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6BD18159-1EDE-4986-A654-72C67F9A8909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aficos" sheetId="8" r:id="rId8"/>
    <sheet name="Mapa" sheetId="10" r:id="rId9"/>
  </sheets>
  <definedNames>
    <definedName name="_xlnm._FilterDatabase" localSheetId="0" hidden="1">'Datos originales'!$A$7:$K$1411</definedName>
    <definedName name="_xlnm._FilterDatabase" localSheetId="2" hidden="1">Indicador_MUN!$A$1:$D$344</definedName>
    <definedName name="_xlnm._FilterDatabase" localSheetId="8" hidden="1">Mapa!$A$1:$F$344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3mxaMsgiTWaLofmCv4Bsd7hzIa5PIpfIp92cCOqFOCk="/>
    </ext>
  </extLst>
</workbook>
</file>

<file path=xl/calcChain.xml><?xml version="1.0" encoding="utf-8"?>
<calcChain xmlns="http://schemas.openxmlformats.org/spreadsheetml/2006/main">
  <c r="O13" i="2" l="1"/>
  <c r="L13" i="2"/>
  <c r="P3" i="2"/>
  <c r="M4" i="2"/>
  <c r="M13" i="2"/>
  <c r="N13" i="2"/>
  <c r="P13" i="2"/>
  <c r="K13" i="2"/>
  <c r="F344" i="10"/>
  <c r="D344" i="10"/>
  <c r="F343" i="10"/>
  <c r="D343" i="10"/>
  <c r="F342" i="10"/>
  <c r="D342" i="10"/>
  <c r="F341" i="10"/>
  <c r="D341" i="10"/>
  <c r="F340" i="10"/>
  <c r="D340" i="10"/>
  <c r="F339" i="10"/>
  <c r="D339" i="10"/>
  <c r="F338" i="10"/>
  <c r="D338" i="10"/>
  <c r="F337" i="10"/>
  <c r="D337" i="10"/>
  <c r="F336" i="10"/>
  <c r="D336" i="10"/>
  <c r="F335" i="10"/>
  <c r="D335" i="10"/>
  <c r="F334" i="10"/>
  <c r="D334" i="10"/>
  <c r="F333" i="10"/>
  <c r="D333" i="10"/>
  <c r="F332" i="10"/>
  <c r="D332" i="10"/>
  <c r="F331" i="10"/>
  <c r="D331" i="10"/>
  <c r="F330" i="10"/>
  <c r="D330" i="10"/>
  <c r="F329" i="10"/>
  <c r="D329" i="10"/>
  <c r="F328" i="10"/>
  <c r="D328" i="10"/>
  <c r="F327" i="10"/>
  <c r="D327" i="10"/>
  <c r="F326" i="10"/>
  <c r="D326" i="10"/>
  <c r="F325" i="10"/>
  <c r="D325" i="10"/>
  <c r="F324" i="10"/>
  <c r="D324" i="10"/>
  <c r="F323" i="10"/>
  <c r="D323" i="10"/>
  <c r="F322" i="10"/>
  <c r="D322" i="10"/>
  <c r="F321" i="10"/>
  <c r="D321" i="10"/>
  <c r="F320" i="10"/>
  <c r="D320" i="10"/>
  <c r="F319" i="10"/>
  <c r="D319" i="10"/>
  <c r="F318" i="10"/>
  <c r="D318" i="10"/>
  <c r="F317" i="10"/>
  <c r="D317" i="10"/>
  <c r="F316" i="10"/>
  <c r="D316" i="10"/>
  <c r="F315" i="10"/>
  <c r="D315" i="10"/>
  <c r="F314" i="10"/>
  <c r="D314" i="10"/>
  <c r="F313" i="10"/>
  <c r="D313" i="10"/>
  <c r="F312" i="10"/>
  <c r="D312" i="10"/>
  <c r="F311" i="10"/>
  <c r="D311" i="10"/>
  <c r="F310" i="10"/>
  <c r="D310" i="10"/>
  <c r="F309" i="10"/>
  <c r="D309" i="10"/>
  <c r="F308" i="10"/>
  <c r="D308" i="10"/>
  <c r="F307" i="10"/>
  <c r="D307" i="10"/>
  <c r="F306" i="10"/>
  <c r="D306" i="10"/>
  <c r="F305" i="10"/>
  <c r="D305" i="10"/>
  <c r="F304" i="10"/>
  <c r="D304" i="10"/>
  <c r="F303" i="10"/>
  <c r="D303" i="10"/>
  <c r="F302" i="10"/>
  <c r="D302" i="10"/>
  <c r="F301" i="10"/>
  <c r="D301" i="10"/>
  <c r="F300" i="10"/>
  <c r="D300" i="10"/>
  <c r="F299" i="10"/>
  <c r="D299" i="10"/>
  <c r="F298" i="10"/>
  <c r="D298" i="10"/>
  <c r="F297" i="10"/>
  <c r="D297" i="10"/>
  <c r="F296" i="10"/>
  <c r="D296" i="10"/>
  <c r="F295" i="10"/>
  <c r="D295" i="10"/>
  <c r="F294" i="10"/>
  <c r="D294" i="10"/>
  <c r="F293" i="10"/>
  <c r="D293" i="10"/>
  <c r="F292" i="10"/>
  <c r="D292" i="10"/>
  <c r="F291" i="10"/>
  <c r="D291" i="10"/>
  <c r="F290" i="10"/>
  <c r="D290" i="10"/>
  <c r="F289" i="10"/>
  <c r="D289" i="10"/>
  <c r="F288" i="10"/>
  <c r="D288" i="10"/>
  <c r="F287" i="10"/>
  <c r="D287" i="10"/>
  <c r="F286" i="10"/>
  <c r="D286" i="10"/>
  <c r="F285" i="10"/>
  <c r="D285" i="10"/>
  <c r="F284" i="10"/>
  <c r="D284" i="10"/>
  <c r="F283" i="10"/>
  <c r="D283" i="10"/>
  <c r="F282" i="10"/>
  <c r="D282" i="10"/>
  <c r="F281" i="10"/>
  <c r="D281" i="10"/>
  <c r="F280" i="10"/>
  <c r="D280" i="10"/>
  <c r="F279" i="10"/>
  <c r="D279" i="10"/>
  <c r="F278" i="10"/>
  <c r="D278" i="10"/>
  <c r="F277" i="10"/>
  <c r="D277" i="10"/>
  <c r="F276" i="10"/>
  <c r="D276" i="10"/>
  <c r="F275" i="10"/>
  <c r="D275" i="10"/>
  <c r="F274" i="10"/>
  <c r="D274" i="10"/>
  <c r="F273" i="10"/>
  <c r="D273" i="10"/>
  <c r="F272" i="10"/>
  <c r="D272" i="10"/>
  <c r="F271" i="10"/>
  <c r="D271" i="10"/>
  <c r="F270" i="10"/>
  <c r="D270" i="10"/>
  <c r="F269" i="10"/>
  <c r="D269" i="10"/>
  <c r="F268" i="10"/>
  <c r="D268" i="10"/>
  <c r="F267" i="10"/>
  <c r="D267" i="10"/>
  <c r="F266" i="10"/>
  <c r="D266" i="10"/>
  <c r="F265" i="10"/>
  <c r="D265" i="10"/>
  <c r="F264" i="10"/>
  <c r="D264" i="10"/>
  <c r="F263" i="10"/>
  <c r="D263" i="10"/>
  <c r="F262" i="10"/>
  <c r="D262" i="10"/>
  <c r="F261" i="10"/>
  <c r="D261" i="10"/>
  <c r="F260" i="10"/>
  <c r="D260" i="10"/>
  <c r="F259" i="10"/>
  <c r="D259" i="10"/>
  <c r="F258" i="10"/>
  <c r="D258" i="10"/>
  <c r="F257" i="10"/>
  <c r="D257" i="10"/>
  <c r="F256" i="10"/>
  <c r="D256" i="10"/>
  <c r="F255" i="10"/>
  <c r="D255" i="10"/>
  <c r="F254" i="10"/>
  <c r="D254" i="10"/>
  <c r="F253" i="10"/>
  <c r="D253" i="10"/>
  <c r="F252" i="10"/>
  <c r="D252" i="10"/>
  <c r="F251" i="10"/>
  <c r="D251" i="10"/>
  <c r="F250" i="10"/>
  <c r="D250" i="10"/>
  <c r="F249" i="10"/>
  <c r="D249" i="10"/>
  <c r="F248" i="10"/>
  <c r="D248" i="10"/>
  <c r="F247" i="10"/>
  <c r="D247" i="10"/>
  <c r="F246" i="10"/>
  <c r="D246" i="10"/>
  <c r="F245" i="10"/>
  <c r="D245" i="10"/>
  <c r="F244" i="10"/>
  <c r="D244" i="10"/>
  <c r="F243" i="10"/>
  <c r="D243" i="10"/>
  <c r="F242" i="10"/>
  <c r="D242" i="10"/>
  <c r="F241" i="10"/>
  <c r="D241" i="10"/>
  <c r="F240" i="10"/>
  <c r="D240" i="10"/>
  <c r="F239" i="10"/>
  <c r="D239" i="10"/>
  <c r="F238" i="10"/>
  <c r="D238" i="10"/>
  <c r="F237" i="10"/>
  <c r="D237" i="10"/>
  <c r="F236" i="10"/>
  <c r="D236" i="10"/>
  <c r="F235" i="10"/>
  <c r="D235" i="10"/>
  <c r="F234" i="10"/>
  <c r="D234" i="10"/>
  <c r="F233" i="10"/>
  <c r="D233" i="10"/>
  <c r="F232" i="10"/>
  <c r="D232" i="10"/>
  <c r="F231" i="10"/>
  <c r="D231" i="10"/>
  <c r="F230" i="10"/>
  <c r="D230" i="10"/>
  <c r="F229" i="10"/>
  <c r="D229" i="10"/>
  <c r="F228" i="10"/>
  <c r="D228" i="10"/>
  <c r="F227" i="10"/>
  <c r="D227" i="10"/>
  <c r="F226" i="10"/>
  <c r="D226" i="10"/>
  <c r="F225" i="10"/>
  <c r="D225" i="10"/>
  <c r="F224" i="10"/>
  <c r="D224" i="10"/>
  <c r="F223" i="10"/>
  <c r="D223" i="10"/>
  <c r="F222" i="10"/>
  <c r="D222" i="10"/>
  <c r="F221" i="10"/>
  <c r="D221" i="10"/>
  <c r="F220" i="10"/>
  <c r="D220" i="10"/>
  <c r="F219" i="10"/>
  <c r="D219" i="10"/>
  <c r="F218" i="10"/>
  <c r="D218" i="10"/>
  <c r="F217" i="10"/>
  <c r="D217" i="10"/>
  <c r="F216" i="10"/>
  <c r="D216" i="10"/>
  <c r="F215" i="10"/>
  <c r="D215" i="10"/>
  <c r="F214" i="10"/>
  <c r="D214" i="10"/>
  <c r="F213" i="10"/>
  <c r="D213" i="10"/>
  <c r="F212" i="10"/>
  <c r="D212" i="10"/>
  <c r="F211" i="10"/>
  <c r="D211" i="10"/>
  <c r="F210" i="10"/>
  <c r="D210" i="10"/>
  <c r="F209" i="10"/>
  <c r="D209" i="10"/>
  <c r="F208" i="10"/>
  <c r="D208" i="10"/>
  <c r="F207" i="10"/>
  <c r="D207" i="10"/>
  <c r="F206" i="10"/>
  <c r="D206" i="10"/>
  <c r="F205" i="10"/>
  <c r="D205" i="10"/>
  <c r="F204" i="10"/>
  <c r="D204" i="10"/>
  <c r="F203" i="10"/>
  <c r="D203" i="10"/>
  <c r="F202" i="10"/>
  <c r="D202" i="10"/>
  <c r="F201" i="10"/>
  <c r="D201" i="10"/>
  <c r="F200" i="10"/>
  <c r="D200" i="10"/>
  <c r="F199" i="10"/>
  <c r="D199" i="10"/>
  <c r="F198" i="10"/>
  <c r="D198" i="10"/>
  <c r="F197" i="10"/>
  <c r="D197" i="10"/>
  <c r="F196" i="10"/>
  <c r="D196" i="10"/>
  <c r="F195" i="10"/>
  <c r="D195" i="10"/>
  <c r="F194" i="10"/>
  <c r="D194" i="10"/>
  <c r="F193" i="10"/>
  <c r="D193" i="10"/>
  <c r="F192" i="10"/>
  <c r="D192" i="10"/>
  <c r="F191" i="10"/>
  <c r="D191" i="10"/>
  <c r="F190" i="10"/>
  <c r="D190" i="10"/>
  <c r="F189" i="10"/>
  <c r="D189" i="10"/>
  <c r="F188" i="10"/>
  <c r="D188" i="10"/>
  <c r="F187" i="10"/>
  <c r="D187" i="10"/>
  <c r="F186" i="10"/>
  <c r="D186" i="10"/>
  <c r="F185" i="10"/>
  <c r="D185" i="10"/>
  <c r="F184" i="10"/>
  <c r="D184" i="10"/>
  <c r="F183" i="10"/>
  <c r="D183" i="10"/>
  <c r="F182" i="10"/>
  <c r="D182" i="10"/>
  <c r="F181" i="10"/>
  <c r="D181" i="10"/>
  <c r="F180" i="10"/>
  <c r="D180" i="10"/>
  <c r="F179" i="10"/>
  <c r="D179" i="10"/>
  <c r="F178" i="10"/>
  <c r="D178" i="10"/>
  <c r="F177" i="10"/>
  <c r="D177" i="10"/>
  <c r="F176" i="10"/>
  <c r="D176" i="10"/>
  <c r="F175" i="10"/>
  <c r="D175" i="10"/>
  <c r="F174" i="10"/>
  <c r="D174" i="10"/>
  <c r="F173" i="10"/>
  <c r="D173" i="10"/>
  <c r="F172" i="10"/>
  <c r="D172" i="10"/>
  <c r="F171" i="10"/>
  <c r="D171" i="10"/>
  <c r="F170" i="10"/>
  <c r="D170" i="10"/>
  <c r="F169" i="10"/>
  <c r="D169" i="10"/>
  <c r="F168" i="10"/>
  <c r="D168" i="10"/>
  <c r="F167" i="10"/>
  <c r="D167" i="10"/>
  <c r="F166" i="10"/>
  <c r="D166" i="10"/>
  <c r="F165" i="10"/>
  <c r="D165" i="10"/>
  <c r="F164" i="10"/>
  <c r="D164" i="10"/>
  <c r="F163" i="10"/>
  <c r="D163" i="10"/>
  <c r="F162" i="10"/>
  <c r="D162" i="10"/>
  <c r="F161" i="10"/>
  <c r="D161" i="10"/>
  <c r="F160" i="10"/>
  <c r="D160" i="10"/>
  <c r="F159" i="10"/>
  <c r="D159" i="10"/>
  <c r="F158" i="10"/>
  <c r="D158" i="10"/>
  <c r="F157" i="10"/>
  <c r="D157" i="10"/>
  <c r="F156" i="10"/>
  <c r="D156" i="10"/>
  <c r="F155" i="10"/>
  <c r="D155" i="10"/>
  <c r="F154" i="10"/>
  <c r="D154" i="10"/>
  <c r="F153" i="10"/>
  <c r="D153" i="10"/>
  <c r="F152" i="10"/>
  <c r="D152" i="10"/>
  <c r="F151" i="10"/>
  <c r="D151" i="10"/>
  <c r="F150" i="10"/>
  <c r="D150" i="10"/>
  <c r="F149" i="10"/>
  <c r="D149" i="10"/>
  <c r="F148" i="10"/>
  <c r="D148" i="10"/>
  <c r="F147" i="10"/>
  <c r="D147" i="10"/>
  <c r="F146" i="10"/>
  <c r="D146" i="10"/>
  <c r="F145" i="10"/>
  <c r="D145" i="10"/>
  <c r="F144" i="10"/>
  <c r="D144" i="10"/>
  <c r="F143" i="10"/>
  <c r="D143" i="10"/>
  <c r="F142" i="10"/>
  <c r="D142" i="10"/>
  <c r="F141" i="10"/>
  <c r="D141" i="10"/>
  <c r="F140" i="10"/>
  <c r="D140" i="10"/>
  <c r="F139" i="10"/>
  <c r="D139" i="10"/>
  <c r="F138" i="10"/>
  <c r="D138" i="10"/>
  <c r="F137" i="10"/>
  <c r="D137" i="10"/>
  <c r="F136" i="10"/>
  <c r="D136" i="10"/>
  <c r="F135" i="10"/>
  <c r="D135" i="10"/>
  <c r="F134" i="10"/>
  <c r="D134" i="10"/>
  <c r="F133" i="10"/>
  <c r="D133" i="10"/>
  <c r="F132" i="10"/>
  <c r="D132" i="10"/>
  <c r="F131" i="10"/>
  <c r="D131" i="10"/>
  <c r="F130" i="10"/>
  <c r="D130" i="10"/>
  <c r="F129" i="10"/>
  <c r="D129" i="10"/>
  <c r="F128" i="10"/>
  <c r="D128" i="10"/>
  <c r="F127" i="10"/>
  <c r="D127" i="10"/>
  <c r="F126" i="10"/>
  <c r="D126" i="10"/>
  <c r="F125" i="10"/>
  <c r="D125" i="10"/>
  <c r="F124" i="10"/>
  <c r="D124" i="10"/>
  <c r="F123" i="10"/>
  <c r="D123" i="10"/>
  <c r="F122" i="10"/>
  <c r="D122" i="10"/>
  <c r="F121" i="10"/>
  <c r="D121" i="10"/>
  <c r="F120" i="10"/>
  <c r="D120" i="10"/>
  <c r="F119" i="10"/>
  <c r="D119" i="10"/>
  <c r="F118" i="10"/>
  <c r="D118" i="10"/>
  <c r="F117" i="10"/>
  <c r="D117" i="10"/>
  <c r="F116" i="10"/>
  <c r="D116" i="10"/>
  <c r="F115" i="10"/>
  <c r="D115" i="10"/>
  <c r="F114" i="10"/>
  <c r="D114" i="10"/>
  <c r="F113" i="10"/>
  <c r="D113" i="10"/>
  <c r="F112" i="10"/>
  <c r="D112" i="10"/>
  <c r="F111" i="10"/>
  <c r="D111" i="10"/>
  <c r="F110" i="10"/>
  <c r="D110" i="10"/>
  <c r="F109" i="10"/>
  <c r="D109" i="10"/>
  <c r="F108" i="10"/>
  <c r="D108" i="10"/>
  <c r="F107" i="10"/>
  <c r="D107" i="10"/>
  <c r="F106" i="10"/>
  <c r="D106" i="10"/>
  <c r="F105" i="10"/>
  <c r="D105" i="10"/>
  <c r="F104" i="10"/>
  <c r="D104" i="10"/>
  <c r="F103" i="10"/>
  <c r="D103" i="10"/>
  <c r="F102" i="10"/>
  <c r="D102" i="10"/>
  <c r="F101" i="10"/>
  <c r="D101" i="10"/>
  <c r="F100" i="10"/>
  <c r="D100" i="10"/>
  <c r="F99" i="10"/>
  <c r="D99" i="10"/>
  <c r="F98" i="10"/>
  <c r="D98" i="10"/>
  <c r="F97" i="10"/>
  <c r="D97" i="10"/>
  <c r="F96" i="10"/>
  <c r="D96" i="10"/>
  <c r="F95" i="10"/>
  <c r="D95" i="10"/>
  <c r="F94" i="10"/>
  <c r="D94" i="10"/>
  <c r="F93" i="10"/>
  <c r="D93" i="10"/>
  <c r="F92" i="10"/>
  <c r="D92" i="10"/>
  <c r="F91" i="10"/>
  <c r="D91" i="10"/>
  <c r="F90" i="10"/>
  <c r="D90" i="10"/>
  <c r="F89" i="10"/>
  <c r="D89" i="10"/>
  <c r="F88" i="10"/>
  <c r="D88" i="10"/>
  <c r="F87" i="10"/>
  <c r="D87" i="10"/>
  <c r="F86" i="10"/>
  <c r="D86" i="10"/>
  <c r="F85" i="10"/>
  <c r="D85" i="10"/>
  <c r="F84" i="10"/>
  <c r="D84" i="10"/>
  <c r="F83" i="10"/>
  <c r="D83" i="10"/>
  <c r="F82" i="10"/>
  <c r="D82" i="10"/>
  <c r="F81" i="10"/>
  <c r="D81" i="10"/>
  <c r="F80" i="10"/>
  <c r="D80" i="10"/>
  <c r="F79" i="10"/>
  <c r="D79" i="10"/>
  <c r="F78" i="10"/>
  <c r="D78" i="10"/>
  <c r="F77" i="10"/>
  <c r="D77" i="10"/>
  <c r="F76" i="10"/>
  <c r="D76" i="10"/>
  <c r="F75" i="10"/>
  <c r="D75" i="10"/>
  <c r="F74" i="10"/>
  <c r="D74" i="10"/>
  <c r="F73" i="10"/>
  <c r="D73" i="10"/>
  <c r="F72" i="10"/>
  <c r="D72" i="10"/>
  <c r="F71" i="10"/>
  <c r="D71" i="10"/>
  <c r="F70" i="10"/>
  <c r="D70" i="10"/>
  <c r="F69" i="10"/>
  <c r="D69" i="10"/>
  <c r="F68" i="10"/>
  <c r="D68" i="10"/>
  <c r="F67" i="10"/>
  <c r="D67" i="10"/>
  <c r="F66" i="10"/>
  <c r="D66" i="10"/>
  <c r="F65" i="10"/>
  <c r="D65" i="10"/>
  <c r="F64" i="10"/>
  <c r="D64" i="10"/>
  <c r="F63" i="10"/>
  <c r="D63" i="10"/>
  <c r="F62" i="10"/>
  <c r="D62" i="10"/>
  <c r="F61" i="10"/>
  <c r="D61" i="10"/>
  <c r="F60" i="10"/>
  <c r="D60" i="10"/>
  <c r="F59" i="10"/>
  <c r="D59" i="10"/>
  <c r="F58" i="10"/>
  <c r="D58" i="10"/>
  <c r="F57" i="10"/>
  <c r="D57" i="10"/>
  <c r="F56" i="10"/>
  <c r="D56" i="10"/>
  <c r="F55" i="10"/>
  <c r="D55" i="10"/>
  <c r="F54" i="10"/>
  <c r="D54" i="10"/>
  <c r="F53" i="10"/>
  <c r="D53" i="10"/>
  <c r="F52" i="10"/>
  <c r="D52" i="10"/>
  <c r="F51" i="10"/>
  <c r="D51" i="10"/>
  <c r="F50" i="10"/>
  <c r="D50" i="10"/>
  <c r="F49" i="10"/>
  <c r="D49" i="10"/>
  <c r="F48" i="10"/>
  <c r="D48" i="10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F39" i="10"/>
  <c r="D39" i="10"/>
  <c r="F38" i="10"/>
  <c r="D38" i="10"/>
  <c r="F37" i="10"/>
  <c r="D37" i="10"/>
  <c r="F36" i="10"/>
  <c r="D36" i="10"/>
  <c r="F35" i="10"/>
  <c r="D35" i="10"/>
  <c r="F34" i="10"/>
  <c r="D34" i="10"/>
  <c r="F33" i="10"/>
  <c r="D33" i="10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F12" i="10"/>
  <c r="D12" i="10"/>
  <c r="F11" i="10"/>
  <c r="D11" i="10"/>
  <c r="F10" i="10"/>
  <c r="D10" i="10"/>
  <c r="F9" i="10"/>
  <c r="D9" i="10"/>
  <c r="F8" i="10"/>
  <c r="D8" i="10"/>
  <c r="F7" i="10"/>
  <c r="D7" i="10"/>
  <c r="F6" i="10"/>
  <c r="D6" i="10"/>
  <c r="F5" i="10"/>
  <c r="D5" i="10"/>
  <c r="F4" i="10"/>
  <c r="D4" i="10"/>
  <c r="F3" i="10"/>
  <c r="D3" i="10"/>
  <c r="F2" i="10"/>
  <c r="D2" i="10"/>
  <c r="E11" i="8"/>
  <c r="C11" i="8"/>
  <c r="E10" i="8"/>
  <c r="C10" i="8"/>
  <c r="E9" i="8"/>
  <c r="C9" i="8"/>
  <c r="E8" i="8"/>
  <c r="C8" i="8"/>
  <c r="E7" i="8"/>
  <c r="C7" i="8"/>
  <c r="E6" i="8"/>
  <c r="C6" i="8"/>
  <c r="I5" i="8"/>
  <c r="J5" i="8" s="1"/>
  <c r="H5" i="8"/>
  <c r="E5" i="8"/>
  <c r="C5" i="8"/>
  <c r="I4" i="8"/>
  <c r="J4" i="8" s="1"/>
  <c r="H4" i="8"/>
  <c r="E4" i="8"/>
  <c r="C4" i="8"/>
  <c r="J3" i="8"/>
  <c r="I3" i="8"/>
  <c r="H3" i="8"/>
  <c r="E3" i="8"/>
  <c r="C3" i="8"/>
  <c r="J2" i="8"/>
  <c r="I2" i="8"/>
  <c r="H2" i="8"/>
  <c r="E2" i="8"/>
  <c r="C2" i="8"/>
  <c r="H345" i="2"/>
  <c r="E345" i="2"/>
  <c r="H344" i="2"/>
  <c r="E344" i="2"/>
  <c r="H343" i="2"/>
  <c r="E343" i="2"/>
  <c r="H342" i="2"/>
  <c r="E342" i="2"/>
  <c r="H341" i="2"/>
  <c r="E341" i="2"/>
  <c r="H340" i="2"/>
  <c r="E340" i="2"/>
  <c r="H339" i="2"/>
  <c r="E339" i="2"/>
  <c r="H338" i="2"/>
  <c r="E338" i="2"/>
  <c r="H337" i="2"/>
  <c r="E337" i="2"/>
  <c r="H336" i="2"/>
  <c r="E336" i="2"/>
  <c r="H335" i="2"/>
  <c r="E335" i="2"/>
  <c r="H334" i="2"/>
  <c r="E334" i="2"/>
  <c r="H333" i="2"/>
  <c r="E333" i="2"/>
  <c r="H332" i="2"/>
  <c r="E332" i="2"/>
  <c r="H331" i="2"/>
  <c r="E331" i="2"/>
  <c r="H330" i="2"/>
  <c r="E330" i="2"/>
  <c r="H329" i="2"/>
  <c r="E329" i="2"/>
  <c r="H328" i="2"/>
  <c r="E328" i="2"/>
  <c r="H327" i="2"/>
  <c r="E327" i="2"/>
  <c r="H326" i="2"/>
  <c r="E326" i="2"/>
  <c r="H325" i="2"/>
  <c r="E325" i="2"/>
  <c r="H324" i="2"/>
  <c r="E324" i="2"/>
  <c r="H323" i="2"/>
  <c r="E323" i="2"/>
  <c r="H322" i="2"/>
  <c r="E322" i="2"/>
  <c r="H321" i="2"/>
  <c r="E321" i="2"/>
  <c r="H320" i="2"/>
  <c r="E320" i="2"/>
  <c r="H319" i="2"/>
  <c r="E319" i="2"/>
  <c r="H318" i="2"/>
  <c r="E318" i="2"/>
  <c r="H317" i="2"/>
  <c r="E317" i="2"/>
  <c r="H316" i="2"/>
  <c r="E316" i="2"/>
  <c r="H315" i="2"/>
  <c r="E315" i="2"/>
  <c r="H314" i="2"/>
  <c r="E314" i="2"/>
  <c r="H313" i="2"/>
  <c r="E313" i="2"/>
  <c r="H312" i="2"/>
  <c r="E312" i="2"/>
  <c r="H311" i="2"/>
  <c r="E311" i="2"/>
  <c r="H310" i="2"/>
  <c r="E310" i="2"/>
  <c r="H309" i="2"/>
  <c r="E309" i="2"/>
  <c r="H308" i="2"/>
  <c r="E308" i="2"/>
  <c r="H307" i="2"/>
  <c r="E307" i="2"/>
  <c r="H306" i="2"/>
  <c r="E306" i="2"/>
  <c r="H305" i="2"/>
  <c r="E305" i="2"/>
  <c r="H304" i="2"/>
  <c r="E304" i="2"/>
  <c r="H303" i="2"/>
  <c r="E303" i="2"/>
  <c r="H302" i="2"/>
  <c r="E302" i="2"/>
  <c r="H301" i="2"/>
  <c r="E301" i="2"/>
  <c r="H300" i="2"/>
  <c r="E300" i="2"/>
  <c r="H299" i="2"/>
  <c r="E299" i="2"/>
  <c r="H298" i="2"/>
  <c r="E298" i="2"/>
  <c r="H297" i="2"/>
  <c r="E297" i="2"/>
  <c r="H296" i="2"/>
  <c r="E296" i="2"/>
  <c r="H295" i="2"/>
  <c r="E295" i="2"/>
  <c r="H294" i="2"/>
  <c r="E294" i="2"/>
  <c r="H293" i="2"/>
  <c r="E293" i="2"/>
  <c r="H292" i="2"/>
  <c r="E292" i="2"/>
  <c r="H291" i="2"/>
  <c r="E291" i="2"/>
  <c r="H290" i="2"/>
  <c r="E290" i="2"/>
  <c r="H289" i="2"/>
  <c r="E289" i="2"/>
  <c r="H288" i="2"/>
  <c r="E288" i="2"/>
  <c r="H287" i="2"/>
  <c r="E287" i="2"/>
  <c r="H286" i="2"/>
  <c r="E286" i="2"/>
  <c r="H285" i="2"/>
  <c r="E285" i="2"/>
  <c r="H284" i="2"/>
  <c r="E284" i="2"/>
  <c r="H283" i="2"/>
  <c r="E283" i="2"/>
  <c r="H282" i="2"/>
  <c r="E282" i="2"/>
  <c r="H281" i="2"/>
  <c r="E281" i="2"/>
  <c r="H280" i="2"/>
  <c r="E280" i="2"/>
  <c r="H279" i="2"/>
  <c r="E279" i="2"/>
  <c r="H278" i="2"/>
  <c r="E278" i="2"/>
  <c r="H277" i="2"/>
  <c r="E277" i="2"/>
  <c r="H276" i="2"/>
  <c r="E276" i="2"/>
  <c r="H275" i="2"/>
  <c r="E275" i="2"/>
  <c r="H274" i="2"/>
  <c r="E274" i="2"/>
  <c r="H273" i="2"/>
  <c r="E273" i="2"/>
  <c r="H272" i="2"/>
  <c r="E272" i="2"/>
  <c r="H271" i="2"/>
  <c r="E271" i="2"/>
  <c r="H270" i="2"/>
  <c r="E270" i="2"/>
  <c r="H269" i="2"/>
  <c r="E269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57" i="2"/>
  <c r="E257" i="2"/>
  <c r="H256" i="2"/>
  <c r="E256" i="2"/>
  <c r="H255" i="2"/>
  <c r="E255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48" i="2"/>
  <c r="E248" i="2"/>
  <c r="H247" i="2"/>
  <c r="E247" i="2"/>
  <c r="H246" i="2"/>
  <c r="E246" i="2"/>
  <c r="H245" i="2"/>
  <c r="E245" i="2"/>
  <c r="H244" i="2"/>
  <c r="E244" i="2"/>
  <c r="H243" i="2"/>
  <c r="E243" i="2"/>
  <c r="H242" i="2"/>
  <c r="E242" i="2"/>
  <c r="H241" i="2"/>
  <c r="E241" i="2"/>
  <c r="H240" i="2"/>
  <c r="E240" i="2"/>
  <c r="H239" i="2"/>
  <c r="E239" i="2"/>
  <c r="H238" i="2"/>
  <c r="E238" i="2"/>
  <c r="H237" i="2"/>
  <c r="E237" i="2"/>
  <c r="H236" i="2"/>
  <c r="E236" i="2"/>
  <c r="H235" i="2"/>
  <c r="E235" i="2"/>
  <c r="H234" i="2"/>
  <c r="E234" i="2"/>
  <c r="H233" i="2"/>
  <c r="E233" i="2"/>
  <c r="H232" i="2"/>
  <c r="E232" i="2"/>
  <c r="H231" i="2"/>
  <c r="E231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80" i="2"/>
  <c r="E180" i="2"/>
  <c r="H179" i="2"/>
  <c r="E179" i="2"/>
  <c r="H178" i="2"/>
  <c r="E178" i="2"/>
  <c r="H177" i="2"/>
  <c r="E177" i="2"/>
  <c r="H176" i="2"/>
  <c r="E176" i="2"/>
  <c r="H175" i="2"/>
  <c r="E175" i="2"/>
  <c r="H174" i="2"/>
  <c r="E174" i="2"/>
  <c r="H173" i="2"/>
  <c r="E173" i="2"/>
  <c r="H172" i="2"/>
  <c r="E172" i="2"/>
  <c r="H171" i="2"/>
  <c r="E171" i="2"/>
  <c r="H170" i="2"/>
  <c r="E170" i="2"/>
  <c r="H169" i="2"/>
  <c r="E169" i="2"/>
  <c r="H168" i="2"/>
  <c r="E168" i="2"/>
  <c r="H167" i="2"/>
  <c r="E167" i="2"/>
  <c r="H166" i="2"/>
  <c r="E166" i="2"/>
  <c r="H165" i="2"/>
  <c r="E165" i="2"/>
  <c r="H164" i="2"/>
  <c r="E164" i="2"/>
  <c r="H163" i="2"/>
  <c r="E163" i="2"/>
  <c r="H162" i="2"/>
  <c r="E162" i="2"/>
  <c r="H161" i="2"/>
  <c r="E161" i="2"/>
  <c r="H160" i="2"/>
  <c r="E160" i="2"/>
  <c r="H159" i="2"/>
  <c r="E159" i="2"/>
  <c r="H158" i="2"/>
  <c r="E158" i="2"/>
  <c r="H157" i="2"/>
  <c r="E157" i="2"/>
  <c r="H156" i="2"/>
  <c r="E156" i="2"/>
  <c r="H155" i="2"/>
  <c r="E155" i="2"/>
  <c r="H154" i="2"/>
  <c r="E154" i="2"/>
  <c r="H153" i="2"/>
  <c r="E153" i="2"/>
  <c r="H152" i="2"/>
  <c r="E152" i="2"/>
  <c r="H151" i="2"/>
  <c r="E151" i="2"/>
  <c r="H150" i="2"/>
  <c r="E150" i="2"/>
  <c r="H149" i="2"/>
  <c r="E149" i="2"/>
  <c r="H148" i="2"/>
  <c r="E148" i="2"/>
  <c r="H147" i="2"/>
  <c r="E147" i="2"/>
  <c r="H146" i="2"/>
  <c r="E146" i="2"/>
  <c r="H145" i="2"/>
  <c r="E145" i="2"/>
  <c r="H144" i="2"/>
  <c r="E144" i="2"/>
  <c r="H143" i="2"/>
  <c r="E143" i="2"/>
  <c r="H142" i="2"/>
  <c r="E142" i="2"/>
  <c r="H141" i="2"/>
  <c r="E141" i="2"/>
  <c r="H140" i="2"/>
  <c r="E140" i="2"/>
  <c r="H139" i="2"/>
  <c r="E139" i="2"/>
  <c r="H138" i="2"/>
  <c r="E138" i="2"/>
  <c r="H137" i="2"/>
  <c r="E137" i="2"/>
  <c r="H136" i="2"/>
  <c r="E136" i="2"/>
  <c r="H135" i="2"/>
  <c r="E135" i="2"/>
  <c r="H134" i="2"/>
  <c r="E134" i="2"/>
  <c r="H133" i="2"/>
  <c r="E133" i="2"/>
  <c r="H132" i="2"/>
  <c r="E132" i="2"/>
  <c r="H131" i="2"/>
  <c r="E131" i="2"/>
  <c r="H130" i="2"/>
  <c r="E130" i="2"/>
  <c r="H129" i="2"/>
  <c r="E129" i="2"/>
  <c r="H128" i="2"/>
  <c r="E128" i="2"/>
  <c r="H127" i="2"/>
  <c r="E127" i="2"/>
  <c r="H126" i="2"/>
  <c r="E126" i="2"/>
  <c r="H125" i="2"/>
  <c r="E125" i="2"/>
  <c r="H124" i="2"/>
  <c r="E124" i="2"/>
  <c r="H123" i="2"/>
  <c r="E123" i="2"/>
  <c r="H122" i="2"/>
  <c r="E122" i="2"/>
  <c r="H121" i="2"/>
  <c r="E121" i="2"/>
  <c r="H120" i="2"/>
  <c r="E120" i="2"/>
  <c r="H119" i="2"/>
  <c r="E119" i="2"/>
  <c r="H118" i="2"/>
  <c r="E118" i="2"/>
  <c r="H117" i="2"/>
  <c r="E117" i="2"/>
  <c r="H116" i="2"/>
  <c r="E116" i="2"/>
  <c r="H115" i="2"/>
  <c r="E115" i="2"/>
  <c r="H114" i="2"/>
  <c r="E114" i="2"/>
  <c r="H113" i="2"/>
  <c r="E113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104" i="2"/>
  <c r="E104" i="2"/>
  <c r="H103" i="2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95" i="2"/>
  <c r="E95" i="2"/>
  <c r="H94" i="2"/>
  <c r="E94" i="2"/>
  <c r="H93" i="2"/>
  <c r="E93" i="2"/>
  <c r="H92" i="2"/>
  <c r="E92" i="2"/>
  <c r="H91" i="2"/>
  <c r="E91" i="2"/>
  <c r="H90" i="2"/>
  <c r="E90" i="2"/>
  <c r="H89" i="2"/>
  <c r="E89" i="2"/>
  <c r="H88" i="2"/>
  <c r="E88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H73" i="2"/>
  <c r="E73" i="2"/>
  <c r="H72" i="2"/>
  <c r="E72" i="2"/>
  <c r="H71" i="2"/>
  <c r="E71" i="2"/>
  <c r="H70" i="2"/>
  <c r="E70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P12" i="2"/>
  <c r="M12" i="2"/>
  <c r="H12" i="2"/>
  <c r="E12" i="2"/>
  <c r="P11" i="2"/>
  <c r="M11" i="2"/>
  <c r="H11" i="2"/>
  <c r="E11" i="2"/>
  <c r="P10" i="2"/>
  <c r="M10" i="2"/>
  <c r="H10" i="2"/>
  <c r="E10" i="2"/>
  <c r="P9" i="2"/>
  <c r="M9" i="2"/>
  <c r="H9" i="2"/>
  <c r="E9" i="2"/>
  <c r="P8" i="2"/>
  <c r="M8" i="2"/>
  <c r="H8" i="2"/>
  <c r="E8" i="2"/>
  <c r="P7" i="2"/>
  <c r="M7" i="2"/>
  <c r="H7" i="2"/>
  <c r="E7" i="2"/>
  <c r="P6" i="2"/>
  <c r="M6" i="2"/>
  <c r="H6" i="2"/>
  <c r="E6" i="2"/>
  <c r="P5" i="2"/>
  <c r="M5" i="2"/>
  <c r="H5" i="2"/>
  <c r="E5" i="2"/>
  <c r="P4" i="2"/>
  <c r="H4" i="2"/>
  <c r="E4" i="2"/>
  <c r="M3" i="2"/>
  <c r="H3" i="2"/>
  <c r="E3" i="2"/>
</calcChain>
</file>

<file path=xl/sharedStrings.xml><?xml version="1.0" encoding="utf-8"?>
<sst xmlns="http://schemas.openxmlformats.org/spreadsheetml/2006/main" count="8083" uniqueCount="489">
  <si>
    <t>Cuadro N° 10. INDICADOR COMPLEMENTARIO ODS 7.1.2</t>
  </si>
  <si>
    <t>BOLIVIA: POBLACIÓN EN VIVIENDAS PARTICULARES Y PORCENTAJE DE POBLACIÓN QUE UTILIZA COMBUSTIBLE LIMPIO PARA COCINAR(1) POR CATEGORIAS SELECCIONADAS, SEGÚN DEPARTAMENTO, PROVINCIA, MUNICIPIO O TERRITORIO INDÍGENA ORIGINARIO CAMPESINO (TIOC) Y ÁREA, CENSOS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</si>
  <si>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</si>
  <si>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</si>
  <si>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</si>
  <si>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</si>
  <si>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</si>
  <si>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</si>
  <si>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</si>
  <si>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POBLACIÓN EN VIVIENDAS PARTICULARES</t>
  </si>
  <si>
    <t>PORCENTAJE DE POBLACIÓN QUE UTILIZA COMBUSTIBLE LIMPIO PARA COCINAR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</si>
  <si>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</si>
  <si>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</si>
  <si>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</si>
  <si>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</si>
  <si>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</si>
  <si>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</si>
  <si>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</si>
  <si>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</si>
  <si>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</si>
  <si>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</si>
  <si>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</si>
  <si>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</si>
  <si>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</si>
  <si>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</si>
  <si>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</si>
  <si>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</si>
  <si>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</si>
  <si>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</si>
  <si>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</si>
  <si>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</si>
  <si>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</si>
  <si>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</si>
  <si>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</si>
  <si>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</si>
  <si>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</si>
  <si>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</si>
  <si>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</si>
  <si>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</si>
  <si>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</si>
  <si>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</si>
  <si>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</si>
  <si>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</si>
  <si>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</si>
  <si>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</si>
  <si>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</si>
  <si>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</si>
  <si>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</si>
  <si>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</si>
  <si>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</si>
  <si>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</si>
  <si>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</si>
  <si>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</si>
  <si>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</si>
  <si>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</si>
  <si>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</si>
  <si>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</si>
  <si>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</si>
  <si>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</si>
  <si>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</si>
  <si>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</si>
  <si>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</si>
  <si>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</si>
  <si>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</si>
  <si>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</si>
  <si>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</si>
  <si>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</si>
  <si>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</si>
  <si>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</si>
  <si>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</si>
  <si>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</si>
  <si>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</si>
  <si>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</si>
  <si>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</si>
  <si>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</si>
  <si>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</si>
  <si>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</si>
  <si>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</si>
  <si>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</si>
  <si>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</si>
  <si>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</si>
  <si>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</si>
  <si>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</si>
  <si>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</si>
  <si>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</si>
  <si>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</si>
  <si>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</si>
  <si>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</si>
  <si>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</si>
  <si>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</si>
  <si>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</si>
  <si>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</si>
  <si>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</si>
  <si>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</si>
  <si>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</si>
  <si>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</si>
  <si>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</si>
  <si>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</si>
  <si>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</si>
  <si>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</si>
  <si>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</si>
  <si>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</si>
  <si>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</si>
  <si>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</si>
  <si>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</si>
  <si>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</si>
  <si>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</si>
  <si>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</si>
  <si>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</si>
  <si>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</si>
  <si>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</si>
  <si>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</si>
  <si>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</si>
  <si>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</si>
  <si>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</si>
  <si>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</si>
  <si>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</si>
  <si>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</si>
  <si>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</si>
  <si>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</si>
  <si>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</si>
  <si>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</si>
  <si>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</si>
  <si>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</si>
  <si>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</si>
  <si>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</si>
  <si>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</si>
  <si>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</si>
  <si>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</si>
  <si>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</si>
  <si>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</si>
  <si>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</si>
  <si>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</si>
  <si>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</si>
  <si>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</si>
  <si>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</si>
  <si>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</si>
  <si>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</si>
  <si>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</si>
  <si>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</si>
  <si>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</si>
  <si>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</si>
  <si>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</si>
  <si>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</si>
  <si>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</si>
  <si>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</si>
  <si>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</si>
  <si>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</si>
  <si>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</si>
  <si>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</si>
  <si>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</si>
  <si>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</si>
  <si>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</si>
  <si>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</si>
  <si>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</si>
  <si>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</si>
  <si>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</si>
  <si>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</si>
  <si>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</si>
  <si>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</si>
  <si>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</si>
  <si>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</si>
  <si>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</si>
  <si>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</si>
  <si>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</si>
  <si>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</si>
  <si>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</si>
  <si>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</si>
  <si>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</si>
  <si>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</si>
  <si>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</si>
  <si>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</si>
  <si>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</si>
  <si>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</si>
  <si>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</si>
  <si>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</si>
  <si>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</si>
  <si>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</si>
  <si>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</si>
  <si>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</si>
  <si>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</si>
  <si>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</si>
  <si>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</si>
  <si>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</si>
  <si>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</si>
  <si>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</si>
  <si>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</si>
  <si>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</si>
  <si>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</si>
  <si>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</si>
  <si>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</si>
  <si>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</si>
  <si>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</si>
  <si>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</si>
  <si>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</si>
  <si>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</si>
  <si>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</si>
  <si>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</si>
  <si>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</si>
  <si>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</si>
  <si>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</si>
  <si>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</si>
  <si>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</si>
  <si>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</si>
  <si>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</si>
  <si>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</si>
  <si>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</si>
  <si>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</si>
  <si>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</si>
  <si>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</si>
  <si>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</si>
  <si>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</si>
  <si>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</si>
  <si>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</si>
  <si>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</si>
  <si>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</si>
  <si>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</si>
  <si>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</si>
  <si>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</si>
  <si>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</si>
  <si>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</si>
  <si>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</si>
  <si>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</si>
  <si>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</si>
  <si>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</si>
  <si>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</si>
  <si>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</si>
  <si>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</si>
  <si>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</si>
  <si>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</si>
  <si>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</si>
  <si>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</si>
  <si>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</si>
  <si>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</si>
  <si>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</si>
  <si>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</si>
  <si>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</si>
  <si>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</si>
  <si>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</si>
  <si>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</si>
  <si>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</si>
  <si>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</si>
  <si>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</si>
  <si>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</si>
  <si>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</si>
  <si>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</si>
  <si>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</si>
  <si>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</si>
  <si>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</si>
  <si>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</si>
  <si>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</si>
  <si>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</si>
  <si>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</si>
  <si>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</si>
  <si>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</si>
  <si>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</si>
  <si>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</si>
  <si>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</si>
  <si>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</si>
  <si>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</si>
  <si>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</si>
  <si>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</si>
  <si>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</si>
  <si>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</si>
  <si>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</si>
  <si>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</si>
  <si>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</si>
  <si>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</si>
  <si>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</si>
  <si>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</si>
  <si>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</si>
  <si>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</si>
  <si>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</si>
  <si>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</si>
  <si>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</si>
  <si>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</si>
  <si>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</si>
  <si>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</si>
  <si>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</si>
  <si>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</si>
  <si>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</si>
  <si>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</si>
  <si>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</si>
  <si>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</si>
  <si>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</si>
  <si>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</si>
  <si>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</si>
  <si>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</si>
  <si>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</si>
  <si>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</si>
  <si>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</si>
  <si>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</si>
  <si>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</si>
  <si>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</si>
  <si>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</si>
  <si>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</si>
  <si>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</si>
  <si>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</si>
  <si>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</si>
  <si>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</si>
  <si>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</si>
  <si>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</si>
  <si>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</si>
  <si>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</si>
  <si>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</si>
  <si>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</si>
  <si>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</si>
  <si>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</si>
  <si>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</si>
  <si>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</si>
  <si>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</si>
  <si>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</si>
  <si>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</si>
  <si>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</si>
  <si>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</si>
  <si>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</si>
  <si>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</si>
  <si>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</si>
  <si>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</si>
  <si>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</si>
  <si>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</si>
  <si>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</si>
  <si>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</si>
  <si>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</si>
  <si>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</si>
  <si>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</si>
  <si>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</si>
  <si>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</si>
  <si>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</si>
  <si>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</si>
  <si>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</si>
  <si>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</si>
  <si>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</si>
  <si>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</si>
  <si>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</si>
  <si>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</si>
  <si>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</si>
  <si>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</si>
  <si>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</si>
  <si>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</si>
  <si>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</si>
  <si>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</si>
  <si>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</si>
  <si>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</si>
  <si>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</si>
  <si>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</si>
  <si>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</si>
  <si>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</si>
  <si>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</si>
  <si>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</si>
  <si>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</si>
  <si>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</si>
  <si>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</si>
  <si>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</si>
  <si>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</si>
  <si>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</si>
  <si>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</si>
  <si>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</si>
  <si>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</si>
  <si>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</si>
  <si>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</si>
  <si>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</si>
  <si>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</si>
  <si>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</si>
  <si>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</si>
  <si>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</si>
  <si>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</si>
  <si>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</si>
  <si>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</si>
  <si>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</si>
  <si>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</si>
  <si>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</si>
  <si>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</si>
  <si>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</si>
  <si>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</si>
  <si>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</si>
  <si>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</si>
  <si>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</si>
  <si>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</si>
  <si>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</si>
  <si>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</si>
  <si>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</si>
  <si>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</si>
  <si>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</si>
  <si>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</si>
  <si>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</si>
  <si>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</si>
  <si>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</si>
  <si>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</si>
  <si>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</si>
  <si>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</si>
  <si>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</si>
  <si>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</si>
  <si>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</si>
  <si>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</si>
  <si>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</si>
  <si>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</si>
  <si>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</si>
  <si>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</si>
  <si>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</si>
  <si>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</si>
  <si>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</si>
  <si>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</si>
  <si>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</si>
  <si>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</si>
  <si>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</si>
  <si>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</si>
  <si>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</si>
  <si>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</si>
  <si>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</si>
  <si>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</si>
  <si>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</si>
  <si>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</si>
  <si>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</si>
  <si>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</si>
  <si>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</si>
  <si>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</si>
  <si>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</si>
  <si>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</si>
  <si>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</si>
  <si>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</si>
  <si>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</si>
  <si>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</si>
  <si>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</si>
  <si>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</si>
  <si>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</si>
  <si>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</si>
  <si>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</si>
  <si>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</si>
  <si>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</si>
  <si>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</si>
  <si>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</si>
  <si>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</si>
  <si>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</si>
  <si>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</si>
  <si>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</si>
  <si>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</si>
  <si>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</si>
  <si>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</si>
  <si>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</si>
  <si>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</si>
  <si>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</si>
  <si>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</si>
  <si>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</si>
  <si>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Corresponde a población en viviendas particulares con personas presentes.</t>
  </si>
  <si>
    <t>(1) No incluye viviendas que declararon que "No cocina".</t>
  </si>
  <si>
    <t>(2) Corresponde a personas que declararon haber nacido en otro país que no sea Bolivia.</t>
  </si>
  <si>
    <t>(3)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</si>
  <si>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(4) Corresponde a la población de 5 o más años de edad, residente habitual y que no declararon en la pregunta.</t>
  </si>
  <si>
    <t>Codigo</t>
  </si>
  <si>
    <t>Municipio</t>
  </si>
  <si>
    <t>Población en viviendas particulares, 2012</t>
  </si>
  <si>
    <t>Porcentaje de población que utiliza combustible limpio para cocinar, 2012</t>
  </si>
  <si>
    <t>Población sin energía limpia para cocinar, 2012</t>
  </si>
  <si>
    <t>Población en viviendas particulares, 2024</t>
  </si>
  <si>
    <t>Porcentaje de población que utiliza combustible limpio para cocinar, 2024</t>
  </si>
  <si>
    <t>Población sin energía limpia para cocinar, 2024</t>
  </si>
  <si>
    <t>sdg7_1_energia_limpia_cocinar_2012</t>
  </si>
  <si>
    <t>sdg7_1_energia_limpia_cocinar_2024</t>
  </si>
  <si>
    <t>sdg7_1_energia_limpia_cocinar_abs_2012</t>
  </si>
  <si>
    <t>sdg7_1_energia_limpia_cocinar_abs_2024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</si>
  <si>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</si>
  <si>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</si>
  <si>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</si>
  <si>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</si>
  <si>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</si>
  <si>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</si>
  <si>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</si>
  <si>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</si>
  <si>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</si>
  <si>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</si>
  <si>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</si>
  <si>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Energía limpia para cocinar</t>
  </si>
  <si>
    <t>PORCENTAJE DE POBLACIÓN QUE UTILIZA COMBUSTIBLE LIMPIO PARA COCINAR, 2012</t>
  </si>
  <si>
    <t>PORCENTAJE DE POBLACIÓN QUE NO UTILIZA COMBUSTIBLE LIMPIO PARA COCINAR, 2012</t>
  </si>
  <si>
    <t>PORCENTAJE DE POBLACIÓN QUE UTILIZA COMBUSTIBLE LIMPIO PARA COCINAR, 2024</t>
  </si>
  <si>
    <t>PORCENTAJE DE POBLACIÓN QUE NO UTILIZA COMBUSTIBLE LIMPIO PARA COCINAR, 2024</t>
  </si>
  <si>
    <t>Categoría</t>
  </si>
  <si>
    <t>2012 (cantidad de municipios)</t>
  </si>
  <si>
    <t>2024 (cantidad de municipios)</t>
  </si>
  <si>
    <t>Diferencia</t>
  </si>
  <si>
    <t>ODS alcanzado</t>
  </si>
  <si>
    <t>Próximo a alcanzarse</t>
  </si>
  <si>
    <t>Quedan retos importantes</t>
  </si>
  <si>
    <t>Quedan retos grandes</t>
  </si>
  <si>
    <t>sdg7_1_energia_limpia_cocinar, 2012</t>
  </si>
  <si>
    <t>Umbral 2012</t>
  </si>
  <si>
    <t>sdg7_1_energia_limpia_cocinar, 2024</t>
  </si>
  <si>
    <t>Umbral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</si>
</sst>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0"/>
      <name val="Arial"/>
      <family val="2"/>
    </font>
    <font>
      <b/>
      <sz val="10"/>
      <color rgb="FF17223D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u/>
      <sz val="8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&quot;Aptos Display&quot;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3" fillId="2" borderId="1" xfId="0" applyFont="1" applyFill="1" applyBorder="1"/>
    <xf numFmtId="3" fontId="6" fillId="2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9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164" fontId="7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left" vertical="center"/>
    </xf>
    <xf numFmtId="1" fontId="12" fillId="2" borderId="9" xfId="0" applyNumberFormat="1" applyFont="1" applyFill="1" applyBorder="1" applyAlignment="1">
      <alignment horizontal="left"/>
    </xf>
    <xf numFmtId="3" fontId="12" fillId="2" borderId="9" xfId="0" applyNumberFormat="1" applyFont="1" applyFill="1" applyBorder="1" applyAlignment="1">
      <alignment horizontal="left"/>
    </xf>
    <xf numFmtId="0" fontId="13" fillId="4" borderId="9" xfId="0" applyFont="1" applyFill="1" applyBorder="1" applyAlignment="1">
      <alignment horizontal="right" vertical="center"/>
    </xf>
    <xf numFmtId="0" fontId="13" fillId="4" borderId="9" xfId="0" applyFont="1" applyFill="1" applyBorder="1" applyAlignment="1">
      <alignment horizontal="left" vertical="center"/>
    </xf>
    <xf numFmtId="3" fontId="13" fillId="4" borderId="9" xfId="0" applyNumberFormat="1" applyFont="1" applyFill="1" applyBorder="1" applyAlignment="1">
      <alignment horizontal="right" vertical="center"/>
    </xf>
    <xf numFmtId="165" fontId="13" fillId="4" borderId="9" xfId="0" applyNumberFormat="1" applyFont="1" applyFill="1" applyBorder="1" applyAlignment="1">
      <alignment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left" vertical="center"/>
    </xf>
    <xf numFmtId="3" fontId="13" fillId="2" borderId="10" xfId="0" applyNumberFormat="1" applyFont="1" applyFill="1" applyBorder="1" applyAlignment="1">
      <alignment horizontal="right" vertical="center"/>
    </xf>
    <xf numFmtId="165" fontId="13" fillId="2" borderId="10" xfId="0" applyNumberFormat="1" applyFont="1" applyFill="1" applyBorder="1" applyAlignment="1">
      <alignment vertical="center"/>
    </xf>
    <xf numFmtId="0" fontId="13" fillId="5" borderId="10" xfId="0" applyFont="1" applyFill="1" applyBorder="1" applyAlignment="1">
      <alignment horizontal="right" vertical="center"/>
    </xf>
    <xf numFmtId="0" fontId="13" fillId="5" borderId="10" xfId="0" applyFont="1" applyFill="1" applyBorder="1" applyAlignment="1">
      <alignment horizontal="left" vertical="center"/>
    </xf>
    <xf numFmtId="3" fontId="13" fillId="5" borderId="10" xfId="0" applyNumberFormat="1" applyFont="1" applyFill="1" applyBorder="1" applyAlignment="1">
      <alignment horizontal="right" vertical="center"/>
    </xf>
    <xf numFmtId="165" fontId="13" fillId="5" borderId="10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right" vertical="center"/>
    </xf>
    <xf numFmtId="0" fontId="12" fillId="0" borderId="11" xfId="0" applyFont="1" applyBorder="1" applyAlignment="1">
      <alignment vertical="center"/>
    </xf>
    <xf numFmtId="0" fontId="12" fillId="6" borderId="10" xfId="0" applyFont="1" applyFill="1" applyBorder="1" applyAlignment="1">
      <alignment horizontal="left" vertical="center"/>
    </xf>
    <xf numFmtId="3" fontId="12" fillId="6" borderId="10" xfId="0" applyNumberFormat="1" applyFont="1" applyFill="1" applyBorder="1" applyAlignment="1">
      <alignment horizontal="right" vertical="center"/>
    </xf>
    <xf numFmtId="165" fontId="12" fillId="6" borderId="10" xfId="0" applyNumberFormat="1" applyFont="1" applyFill="1" applyBorder="1" applyAlignment="1">
      <alignment vertical="center"/>
    </xf>
    <xf numFmtId="0" fontId="12" fillId="7" borderId="10" xfId="0" applyFont="1" applyFill="1" applyBorder="1" applyAlignment="1">
      <alignment horizontal="right" vertical="center"/>
    </xf>
    <xf numFmtId="0" fontId="12" fillId="7" borderId="10" xfId="0" applyFont="1" applyFill="1" applyBorder="1" applyAlignment="1">
      <alignment horizontal="left" vertical="center"/>
    </xf>
    <xf numFmtId="3" fontId="12" fillId="7" borderId="10" xfId="0" applyNumberFormat="1" applyFont="1" applyFill="1" applyBorder="1" applyAlignment="1">
      <alignment horizontal="right" vertical="center"/>
    </xf>
    <xf numFmtId="165" fontId="12" fillId="7" borderId="10" xfId="0" applyNumberFormat="1" applyFont="1" applyFill="1" applyBorder="1" applyAlignment="1">
      <alignment vertical="center"/>
    </xf>
    <xf numFmtId="0" fontId="13" fillId="2" borderId="10" xfId="0" applyFont="1" applyFill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1" fontId="12" fillId="7" borderId="10" xfId="0" applyNumberFormat="1" applyFont="1" applyFill="1" applyBorder="1" applyAlignment="1">
      <alignment vertical="center"/>
    </xf>
    <xf numFmtId="1" fontId="12" fillId="7" borderId="10" xfId="0" applyNumberFormat="1" applyFont="1" applyFill="1" applyBorder="1" applyAlignment="1">
      <alignment horizontal="left" vertical="center"/>
    </xf>
    <xf numFmtId="0" fontId="12" fillId="0" borderId="12" xfId="0" applyFont="1" applyBorder="1" applyAlignment="1">
      <alignment horizontal="right" vertical="center"/>
    </xf>
    <xf numFmtId="0" fontId="12" fillId="0" borderId="12" xfId="0" applyFont="1" applyBorder="1" applyAlignment="1">
      <alignment vertical="center"/>
    </xf>
    <xf numFmtId="0" fontId="12" fillId="6" borderId="13" xfId="0" applyFont="1" applyFill="1" applyBorder="1" applyAlignment="1">
      <alignment horizontal="left" vertical="center"/>
    </xf>
    <xf numFmtId="3" fontId="12" fillId="6" borderId="13" xfId="0" applyNumberFormat="1" applyFont="1" applyFill="1" applyBorder="1" applyAlignment="1">
      <alignment horizontal="right" vertical="center"/>
    </xf>
    <xf numFmtId="165" fontId="12" fillId="6" borderId="13" xfId="0" applyNumberFormat="1" applyFont="1" applyFill="1" applyBorder="1" applyAlignment="1">
      <alignment vertical="center"/>
    </xf>
    <xf numFmtId="0" fontId="14" fillId="2" borderId="1" xfId="0" applyFont="1" applyFill="1" applyBorder="1"/>
    <xf numFmtId="0" fontId="15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 vertical="center"/>
    </xf>
    <xf numFmtId="3" fontId="16" fillId="0" borderId="0" xfId="0" applyNumberFormat="1" applyFont="1"/>
    <xf numFmtId="2" fontId="16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 wrapText="1"/>
    </xf>
    <xf numFmtId="3" fontId="7" fillId="0" borderId="0" xfId="0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3" fontId="18" fillId="0" borderId="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3" fontId="19" fillId="0" borderId="8" xfId="0" applyNumberFormat="1" applyFont="1" applyBorder="1" applyAlignment="1">
      <alignment horizontal="center"/>
    </xf>
    <xf numFmtId="165" fontId="19" fillId="0" borderId="8" xfId="0" applyNumberFormat="1" applyFont="1" applyBorder="1" applyAlignment="1">
      <alignment horizontal="center"/>
    </xf>
    <xf numFmtId="1" fontId="19" fillId="0" borderId="8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 wrapText="1"/>
    </xf>
    <xf numFmtId="0" fontId="19" fillId="0" borderId="0" xfId="0" applyFont="1" applyAlignment="1">
      <alignment vertical="center" wrapText="1"/>
    </xf>
    <xf numFmtId="3" fontId="19" fillId="0" borderId="8" xfId="0" applyNumberFormat="1" applyFont="1" applyBorder="1"/>
    <xf numFmtId="0" fontId="18" fillId="0" borderId="8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165" fontId="19" fillId="0" borderId="8" xfId="0" applyNumberFormat="1" applyFont="1" applyBorder="1" applyAlignment="1">
      <alignment vertical="center"/>
    </xf>
    <xf numFmtId="0" fontId="19" fillId="0" borderId="8" xfId="0" applyFont="1" applyBorder="1"/>
    <xf numFmtId="0" fontId="20" fillId="8" borderId="8" xfId="0" applyFont="1" applyFill="1" applyBorder="1" applyAlignment="1">
      <alignment wrapText="1"/>
    </xf>
    <xf numFmtId="0" fontId="21" fillId="9" borderId="8" xfId="0" applyFont="1" applyFill="1" applyBorder="1" applyAlignment="1">
      <alignment horizontal="center" wrapText="1"/>
    </xf>
    <xf numFmtId="0" fontId="21" fillId="10" borderId="8" xfId="0" applyFont="1" applyFill="1" applyBorder="1" applyAlignment="1">
      <alignment horizontal="center" wrapText="1"/>
    </xf>
    <xf numFmtId="0" fontId="21" fillId="11" borderId="8" xfId="0" applyFont="1" applyFill="1" applyBorder="1" applyAlignment="1">
      <alignment horizontal="center" wrapText="1"/>
    </xf>
    <xf numFmtId="0" fontId="21" fillId="12" borderId="8" xfId="0" applyFont="1" applyFill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20" fillId="0" borderId="8" xfId="0" applyFont="1" applyBorder="1"/>
    <xf numFmtId="0" fontId="20" fillId="0" borderId="8" xfId="0" applyFont="1" applyBorder="1" applyAlignment="1">
      <alignment horizontal="right" wrapText="1"/>
    </xf>
    <xf numFmtId="0" fontId="20" fillId="0" borderId="0" xfId="0" applyFont="1" applyAlignment="1">
      <alignment horizontal="center"/>
    </xf>
    <xf numFmtId="0" fontId="7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165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0" fillId="3" borderId="6" xfId="0" applyFont="1" applyFill="1" applyBorder="1" applyAlignment="1">
      <alignment horizontal="center" vertical="center" wrapText="1"/>
    </xf>
    <xf numFmtId="0" fontId="11" fillId="0" borderId="7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9" fillId="0" borderId="9" xfId="0" applyFont="1" applyBorder="1" applyAlignment="1">
      <alignment vertical="center"/>
    </xf>
    <xf numFmtId="165" fontId="19" fillId="0" borderId="9" xfId="0" applyNumberFormat="1" applyFont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3" fontId="0" fillId="0" borderId="0" xfId="0" applyNumberFormat="1"/>
    <xf numFmtId="1" fontId="0" fillId="0" borderId="0" xfId="0" applyNumberFormat="1"/>
    <xf numFmtId="0" fontId="19" fillId="0" borderId="9" xfId="0" applyFont="1" applyBorder="1" applyAlignment="1">
      <alignment horizontal="center"/>
    </xf>
    <xf numFmtId="3" fontId="19" fillId="0" borderId="9" xfId="0" applyNumberFormat="1" applyFont="1" applyBorder="1" applyAlignment="1">
      <alignment horizontal="center"/>
    </xf>
    <xf numFmtId="165" fontId="19" fillId="0" borderId="9" xfId="0" applyNumberFormat="1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3" fontId="0" fillId="0" borderId="14" xfId="0" applyNumberFormat="1" applyBorder="1"/>
    <xf numFmtId="165" fontId="0" fillId="0" borderId="14" xfId="0" applyNumberFormat="1" applyBorder="1"/>
  </cellXfs>
  <cellStyles count="1">
    <cellStyle name="Normal" xfId="0" builtinId="0"/>
  </cellStyles>
  <dxfs count="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991100" cy="3524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FC7FE20B-4DF7-4BFE-9029-9DC56D8EE8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4175" y="0"/>
          <a:ext cx="4991100" cy="3524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12"/>
  <sheetViews>
    <sheetView showGridLines="0" tabSelected="1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H8" sqref="H8"/>
    </sheetView>
  </sheetViews>
  <sheetFormatPr baseColWidth="10" defaultColWidth="14.42578125" defaultRowHeight="15" customHeight="1"/>
  <cols>
    <col min="1" max="1" width="7" customWidth="1"/>
    <col min="2" max="2" width="6.7109375" customWidth="1"/>
    <col min="3" max="3" width="14.7109375" customWidth="1"/>
    <col min="4" max="4" width="17.7109375" customWidth="1"/>
    <col min="5" max="6" width="20.7109375" customWidth="1"/>
    <col min="7" max="7" width="30.7109375" customWidth="1"/>
    <col min="8" max="11" width="24.7109375" customWidth="1"/>
  </cols>
  <sheetData>
    <row r="1" spans="1:11" ht="15" customHeight="1">
      <c r="A1" s="1"/>
      <c r="B1" s="2" t="s">
        <v>0</v>
      </c>
      <c r="C1" s="3"/>
      <c r="D1" s="4"/>
      <c r="E1" s="3"/>
      <c r="F1" s="3"/>
      <c r="G1" s="5"/>
      <c r="H1" s="6"/>
      <c r="I1" s="6"/>
      <c r="J1" s="6"/>
      <c r="K1" s="6"/>
    </row>
    <row r="2" spans="1:11" ht="15" customHeight="1">
      <c r="A2" s="7"/>
      <c r="B2" s="8" t="s">
        <v>1</v>
      </c>
      <c r="C2" s="9"/>
      <c r="D2" s="7"/>
      <c r="E2" s="9"/>
      <c r="F2" s="9"/>
      <c r="G2" s="10"/>
      <c r="H2" s="6"/>
      <c r="I2" s="6"/>
      <c r="J2" s="6"/>
      <c r="K2" s="6"/>
    </row>
    <row r="3" spans="1:11" ht="15" customHeight="1">
      <c r="A3" s="7"/>
      <c r="B3" s="11" t="s">
        <v>2</v>
      </c>
      <c r="C3" s="9"/>
      <c r="D3" s="7"/>
      <c r="E3" s="9"/>
      <c r="F3" s="9"/>
      <c r="G3" s="7"/>
      <c r="H3" s="6"/>
      <c r="I3" s="6"/>
      <c r="J3" s="6"/>
      <c r="K3" s="6"/>
    </row>
    <row r="4" spans="1:11">
      <c r="A4" s="12"/>
      <c r="B4" s="13"/>
      <c r="C4" s="14"/>
      <c r="D4" s="14"/>
      <c r="E4" s="14"/>
      <c r="F4" s="14"/>
      <c r="G4" s="14"/>
      <c r="H4" s="15"/>
      <c r="I4" s="16"/>
      <c r="J4" s="16"/>
      <c r="K4" s="17"/>
    </row>
    <row r="5" spans="1:11" ht="30" customHeight="1">
      <c r="A5" s="7"/>
      <c r="B5" s="18"/>
      <c r="C5" s="18"/>
      <c r="D5" s="18"/>
      <c r="E5" s="18"/>
      <c r="F5" s="18"/>
      <c r="G5" s="18"/>
      <c r="H5" s="102">
        <v>2012</v>
      </c>
      <c r="I5" s="103"/>
      <c r="J5" s="104">
        <v>2024</v>
      </c>
      <c r="K5" s="105"/>
    </row>
    <row r="6" spans="1:11" ht="54.75" customHeight="1">
      <c r="A6" s="7"/>
      <c r="B6" s="18" t="s">
        <v>3</v>
      </c>
      <c r="C6" s="18" t="s">
        <v>4</v>
      </c>
      <c r="D6" s="18" t="s">
        <v>5</v>
      </c>
      <c r="E6" s="18" t="s">
        <v>6</v>
      </c>
      <c r="F6" s="18" t="s">
        <v>7</v>
      </c>
      <c r="G6" s="18" t="s">
        <v>8</v>
      </c>
      <c r="H6" s="19" t="s">
        <v>9</v>
      </c>
      <c r="I6" s="19" t="s">
        <v>10</v>
      </c>
      <c r="J6" s="19" t="s">
        <v>9</v>
      </c>
      <c r="K6" s="19" t="s">
        <v>10</v>
      </c>
    </row>
    <row r="7" spans="1:11" ht="15" customHeight="1">
      <c r="A7" s="7"/>
      <c r="B7" s="20"/>
      <c r="C7" s="21"/>
      <c r="D7" s="20"/>
      <c r="E7" s="21"/>
      <c r="F7" s="21"/>
      <c r="G7" s="22"/>
      <c r="H7" s="23"/>
      <c r="I7" s="23"/>
      <c r="J7" s="23"/>
      <c r="K7" s="23"/>
    </row>
    <row r="8" spans="1:11" ht="15" customHeight="1">
      <c r="A8" s="7"/>
      <c r="B8" s="24">
        <v>1</v>
      </c>
      <c r="C8" s="25" t="s">
        <v>11</v>
      </c>
      <c r="D8" s="25"/>
      <c r="E8" s="25"/>
      <c r="F8" s="25"/>
      <c r="G8" s="25" t="s">
        <v>12</v>
      </c>
      <c r="H8" s="26">
        <v>9750629</v>
      </c>
      <c r="I8" s="27">
        <v>75.470526100000001</v>
      </c>
      <c r="J8" s="26">
        <v>11049568</v>
      </c>
      <c r="K8" s="27">
        <v>83.758242899999999</v>
      </c>
    </row>
    <row r="9" spans="1:11" ht="15" hidden="1" customHeight="1">
      <c r="A9" s="7"/>
      <c r="B9" s="28">
        <v>2</v>
      </c>
      <c r="C9" s="29" t="s">
        <v>11</v>
      </c>
      <c r="D9" s="29"/>
      <c r="E9" s="29"/>
      <c r="F9" s="29"/>
      <c r="G9" s="29" t="s">
        <v>13</v>
      </c>
      <c r="H9" s="30">
        <v>6569842</v>
      </c>
      <c r="I9" s="31">
        <v>96.5992028</v>
      </c>
      <c r="J9" s="30">
        <v>7612780</v>
      </c>
      <c r="K9" s="31">
        <v>98.427276199999994</v>
      </c>
    </row>
    <row r="10" spans="1:11" ht="15" hidden="1" customHeight="1">
      <c r="A10" s="7"/>
      <c r="B10" s="28">
        <v>3</v>
      </c>
      <c r="C10" s="29" t="s">
        <v>11</v>
      </c>
      <c r="D10" s="29"/>
      <c r="E10" s="29"/>
      <c r="F10" s="29"/>
      <c r="G10" s="29" t="s">
        <v>14</v>
      </c>
      <c r="H10" s="30">
        <v>3180787</v>
      </c>
      <c r="I10" s="31">
        <v>31.829732700000001</v>
      </c>
      <c r="J10" s="30">
        <v>3436788</v>
      </c>
      <c r="K10" s="31">
        <v>51.2650766</v>
      </c>
    </row>
    <row r="11" spans="1:11" ht="15" hidden="1" customHeight="1">
      <c r="A11" s="7"/>
      <c r="B11" s="24">
        <v>4</v>
      </c>
      <c r="C11" s="25" t="s">
        <v>15</v>
      </c>
      <c r="D11" s="25" t="s">
        <v>16</v>
      </c>
      <c r="E11" s="25"/>
      <c r="F11" s="25"/>
      <c r="G11" s="25" t="s">
        <v>16</v>
      </c>
      <c r="H11" s="26">
        <v>562160</v>
      </c>
      <c r="I11" s="27">
        <v>56.840401300000003</v>
      </c>
      <c r="J11" s="26">
        <v>589329</v>
      </c>
      <c r="K11" s="27">
        <v>68.431215800000004</v>
      </c>
    </row>
    <row r="12" spans="1:11" ht="15" hidden="1" customHeight="1">
      <c r="A12" s="7"/>
      <c r="B12" s="28">
        <v>5</v>
      </c>
      <c r="C12" s="29" t="s">
        <v>15</v>
      </c>
      <c r="D12" s="29" t="s">
        <v>16</v>
      </c>
      <c r="E12" s="29"/>
      <c r="F12" s="29"/>
      <c r="G12" s="29" t="s">
        <v>13</v>
      </c>
      <c r="H12" s="30">
        <v>271230</v>
      </c>
      <c r="I12" s="31">
        <v>97.481104599999995</v>
      </c>
      <c r="J12" s="30">
        <v>324620</v>
      </c>
      <c r="K12" s="31">
        <v>98.4184585</v>
      </c>
    </row>
    <row r="13" spans="1:11" ht="15" hidden="1" customHeight="1">
      <c r="A13" s="7"/>
      <c r="B13" s="28">
        <v>6</v>
      </c>
      <c r="C13" s="29" t="s">
        <v>15</v>
      </c>
      <c r="D13" s="29" t="s">
        <v>16</v>
      </c>
      <c r="E13" s="29"/>
      <c r="F13" s="29"/>
      <c r="G13" s="29" t="s">
        <v>14</v>
      </c>
      <c r="H13" s="30">
        <v>290930</v>
      </c>
      <c r="I13" s="31">
        <v>18.951637900000001</v>
      </c>
      <c r="J13" s="30">
        <v>264709</v>
      </c>
      <c r="K13" s="31">
        <v>31.657027200000002</v>
      </c>
    </row>
    <row r="14" spans="1:11" ht="15" hidden="1" customHeight="1">
      <c r="A14" s="7"/>
      <c r="B14" s="32">
        <v>7</v>
      </c>
      <c r="C14" s="33" t="s">
        <v>17</v>
      </c>
      <c r="D14" s="33" t="s">
        <v>16</v>
      </c>
      <c r="E14" s="33" t="s">
        <v>18</v>
      </c>
      <c r="F14" s="33"/>
      <c r="G14" s="33" t="s">
        <v>18</v>
      </c>
      <c r="H14" s="34">
        <v>277803</v>
      </c>
      <c r="I14" s="35">
        <v>85.757173199999997</v>
      </c>
      <c r="J14" s="34">
        <v>310516</v>
      </c>
      <c r="K14" s="35">
        <v>90.407579600000005</v>
      </c>
    </row>
    <row r="15" spans="1:11" ht="15" hidden="1" customHeight="1">
      <c r="A15" s="7"/>
      <c r="B15" s="36">
        <v>8</v>
      </c>
      <c r="C15" s="37" t="s">
        <v>17</v>
      </c>
      <c r="D15" s="37" t="s">
        <v>16</v>
      </c>
      <c r="E15" s="37" t="s">
        <v>18</v>
      </c>
      <c r="F15" s="37"/>
      <c r="G15" s="38" t="s">
        <v>13</v>
      </c>
      <c r="H15" s="39">
        <v>230384</v>
      </c>
      <c r="I15" s="40">
        <v>98.750347199999993</v>
      </c>
      <c r="J15" s="39">
        <v>267643</v>
      </c>
      <c r="K15" s="40">
        <v>99.093568700000006</v>
      </c>
    </row>
    <row r="16" spans="1:11" ht="15" hidden="1" customHeight="1">
      <c r="A16" s="7"/>
      <c r="B16" s="36">
        <v>9</v>
      </c>
      <c r="C16" s="37" t="s">
        <v>17</v>
      </c>
      <c r="D16" s="37" t="s">
        <v>16</v>
      </c>
      <c r="E16" s="37" t="s">
        <v>18</v>
      </c>
      <c r="F16" s="37"/>
      <c r="G16" s="38" t="s">
        <v>14</v>
      </c>
      <c r="H16" s="39">
        <v>47419</v>
      </c>
      <c r="I16" s="40">
        <v>22.630169299999999</v>
      </c>
      <c r="J16" s="39">
        <v>42873</v>
      </c>
      <c r="K16" s="40">
        <v>36.183612099999998</v>
      </c>
    </row>
    <row r="17" spans="1:11" ht="15" customHeight="1">
      <c r="A17" s="7"/>
      <c r="B17" s="41">
        <v>10</v>
      </c>
      <c r="C17" s="42" t="s">
        <v>19</v>
      </c>
      <c r="D17" s="42" t="s">
        <v>16</v>
      </c>
      <c r="E17" s="42" t="s">
        <v>18</v>
      </c>
      <c r="F17" s="42" t="s">
        <v>20</v>
      </c>
      <c r="G17" s="42" t="s">
        <v>20</v>
      </c>
      <c r="H17" s="43">
        <v>252503</v>
      </c>
      <c r="I17" s="44">
        <v>92.192567999999994</v>
      </c>
      <c r="J17" s="43">
        <v>288058</v>
      </c>
      <c r="K17" s="44">
        <v>94.741684000000006</v>
      </c>
    </row>
    <row r="18" spans="1:11" ht="15" hidden="1" customHeight="1">
      <c r="A18" s="7"/>
      <c r="B18" s="36">
        <v>11</v>
      </c>
      <c r="C18" s="37" t="s">
        <v>19</v>
      </c>
      <c r="D18" s="37" t="s">
        <v>16</v>
      </c>
      <c r="E18" s="37" t="s">
        <v>18</v>
      </c>
      <c r="F18" s="37" t="s">
        <v>20</v>
      </c>
      <c r="G18" s="38" t="s">
        <v>13</v>
      </c>
      <c r="H18" s="39">
        <v>230384</v>
      </c>
      <c r="I18" s="40">
        <v>98.750347199999993</v>
      </c>
      <c r="J18" s="39">
        <v>267643</v>
      </c>
      <c r="K18" s="40">
        <v>99.093568700000006</v>
      </c>
    </row>
    <row r="19" spans="1:11" ht="15" hidden="1" customHeight="1">
      <c r="A19" s="7"/>
      <c r="B19" s="36">
        <v>12</v>
      </c>
      <c r="C19" s="37" t="s">
        <v>19</v>
      </c>
      <c r="D19" s="37" t="s">
        <v>16</v>
      </c>
      <c r="E19" s="37" t="s">
        <v>18</v>
      </c>
      <c r="F19" s="37" t="s">
        <v>20</v>
      </c>
      <c r="G19" s="38" t="s">
        <v>14</v>
      </c>
      <c r="H19" s="39">
        <v>22119</v>
      </c>
      <c r="I19" s="40">
        <v>23.8889642</v>
      </c>
      <c r="J19" s="39">
        <v>20415</v>
      </c>
      <c r="K19" s="40">
        <v>37.687974500000003</v>
      </c>
    </row>
    <row r="20" spans="1:11" ht="15" customHeight="1">
      <c r="A20" s="7"/>
      <c r="B20" s="41">
        <v>13</v>
      </c>
      <c r="C20" s="42" t="s">
        <v>19</v>
      </c>
      <c r="D20" s="42" t="s">
        <v>16</v>
      </c>
      <c r="E20" s="42" t="s">
        <v>18</v>
      </c>
      <c r="F20" s="42" t="s">
        <v>21</v>
      </c>
      <c r="G20" s="42" t="s">
        <v>21</v>
      </c>
      <c r="H20" s="43">
        <v>9025</v>
      </c>
      <c r="I20" s="44">
        <v>53.3185596</v>
      </c>
      <c r="J20" s="43">
        <v>8903</v>
      </c>
      <c r="K20" s="44">
        <v>74.312029699999997</v>
      </c>
    </row>
    <row r="21" spans="1:11" ht="15" hidden="1" customHeight="1">
      <c r="A21" s="7"/>
      <c r="B21" s="36">
        <v>14</v>
      </c>
      <c r="C21" s="37" t="s">
        <v>19</v>
      </c>
      <c r="D21" s="37" t="s">
        <v>16</v>
      </c>
      <c r="E21" s="37" t="s">
        <v>18</v>
      </c>
      <c r="F21" s="37" t="s">
        <v>21</v>
      </c>
      <c r="G21" s="38" t="s">
        <v>13</v>
      </c>
      <c r="H21" s="39"/>
      <c r="I21" s="40"/>
      <c r="J21" s="39"/>
      <c r="K21" s="40"/>
    </row>
    <row r="22" spans="1:11" ht="15" hidden="1" customHeight="1">
      <c r="A22" s="7"/>
      <c r="B22" s="36">
        <v>15</v>
      </c>
      <c r="C22" s="37" t="s">
        <v>19</v>
      </c>
      <c r="D22" s="37" t="s">
        <v>16</v>
      </c>
      <c r="E22" s="37" t="s">
        <v>18</v>
      </c>
      <c r="F22" s="37" t="s">
        <v>21</v>
      </c>
      <c r="G22" s="38" t="s">
        <v>14</v>
      </c>
      <c r="H22" s="39">
        <v>9025</v>
      </c>
      <c r="I22" s="40">
        <v>53.3185596</v>
      </c>
      <c r="J22" s="39">
        <v>8903</v>
      </c>
      <c r="K22" s="40">
        <v>74.312029699999997</v>
      </c>
    </row>
    <row r="23" spans="1:11" ht="15" customHeight="1">
      <c r="A23" s="7"/>
      <c r="B23" s="41">
        <v>16</v>
      </c>
      <c r="C23" s="42" t="s">
        <v>19</v>
      </c>
      <c r="D23" s="42" t="s">
        <v>16</v>
      </c>
      <c r="E23" s="42" t="s">
        <v>18</v>
      </c>
      <c r="F23" s="42" t="s">
        <v>22</v>
      </c>
      <c r="G23" s="42" t="s">
        <v>22</v>
      </c>
      <c r="H23" s="43">
        <v>16275</v>
      </c>
      <c r="I23" s="44">
        <v>3.9016896999999999</v>
      </c>
      <c r="J23" s="43">
        <v>13555</v>
      </c>
      <c r="K23" s="44">
        <v>8.8749538999999995</v>
      </c>
    </row>
    <row r="24" spans="1:11" ht="15" hidden="1" customHeight="1">
      <c r="A24" s="7"/>
      <c r="B24" s="36">
        <v>17</v>
      </c>
      <c r="C24" s="37" t="s">
        <v>19</v>
      </c>
      <c r="D24" s="37" t="s">
        <v>16</v>
      </c>
      <c r="E24" s="37" t="s">
        <v>18</v>
      </c>
      <c r="F24" s="37" t="s">
        <v>22</v>
      </c>
      <c r="G24" s="38" t="s">
        <v>13</v>
      </c>
      <c r="H24" s="39"/>
      <c r="I24" s="40"/>
      <c r="J24" s="39"/>
      <c r="K24" s="40"/>
    </row>
    <row r="25" spans="1:11" ht="15" hidden="1" customHeight="1">
      <c r="A25" s="7"/>
      <c r="B25" s="36">
        <v>18</v>
      </c>
      <c r="C25" s="37" t="s">
        <v>19</v>
      </c>
      <c r="D25" s="37" t="s">
        <v>16</v>
      </c>
      <c r="E25" s="37" t="s">
        <v>18</v>
      </c>
      <c r="F25" s="37" t="s">
        <v>22</v>
      </c>
      <c r="G25" s="38" t="s">
        <v>14</v>
      </c>
      <c r="H25" s="39">
        <v>16275</v>
      </c>
      <c r="I25" s="40">
        <v>3.9016896999999999</v>
      </c>
      <c r="J25" s="39">
        <v>13555</v>
      </c>
      <c r="K25" s="40">
        <v>8.8749538999999995</v>
      </c>
    </row>
    <row r="26" spans="1:11" ht="15" hidden="1" customHeight="1">
      <c r="A26" s="7"/>
      <c r="B26" s="32">
        <v>19</v>
      </c>
      <c r="C26" s="33" t="s">
        <v>17</v>
      </c>
      <c r="D26" s="33" t="s">
        <v>16</v>
      </c>
      <c r="E26" s="33" t="s">
        <v>23</v>
      </c>
      <c r="F26" s="33"/>
      <c r="G26" s="33" t="s">
        <v>23</v>
      </c>
      <c r="H26" s="34">
        <v>24398</v>
      </c>
      <c r="I26" s="35">
        <v>11.6689893</v>
      </c>
      <c r="J26" s="34">
        <v>24479</v>
      </c>
      <c r="K26" s="35">
        <v>27.9627436</v>
      </c>
    </row>
    <row r="27" spans="1:11" ht="15" hidden="1" customHeight="1">
      <c r="A27" s="7"/>
      <c r="B27" s="36">
        <v>20</v>
      </c>
      <c r="C27" s="37" t="s">
        <v>17</v>
      </c>
      <c r="D27" s="37" t="s">
        <v>16</v>
      </c>
      <c r="E27" s="37" t="s">
        <v>23</v>
      </c>
      <c r="F27" s="37"/>
      <c r="G27" s="38" t="s">
        <v>13</v>
      </c>
      <c r="H27" s="39"/>
      <c r="I27" s="40"/>
      <c r="J27" s="39"/>
      <c r="K27" s="40"/>
    </row>
    <row r="28" spans="1:11" ht="15" hidden="1" customHeight="1">
      <c r="A28" s="7"/>
      <c r="B28" s="36">
        <v>21</v>
      </c>
      <c r="C28" s="37" t="s">
        <v>17</v>
      </c>
      <c r="D28" s="37" t="s">
        <v>16</v>
      </c>
      <c r="E28" s="37" t="s">
        <v>23</v>
      </c>
      <c r="F28" s="37"/>
      <c r="G28" s="38" t="s">
        <v>14</v>
      </c>
      <c r="H28" s="39">
        <v>24398</v>
      </c>
      <c r="I28" s="40">
        <v>11.6689893</v>
      </c>
      <c r="J28" s="39">
        <v>24479</v>
      </c>
      <c r="K28" s="40">
        <v>27.9627436</v>
      </c>
    </row>
    <row r="29" spans="1:11" ht="15" customHeight="1">
      <c r="A29" s="7"/>
      <c r="B29" s="41">
        <v>22</v>
      </c>
      <c r="C29" s="42" t="s">
        <v>19</v>
      </c>
      <c r="D29" s="42" t="s">
        <v>16</v>
      </c>
      <c r="E29" s="42" t="s">
        <v>23</v>
      </c>
      <c r="F29" s="42" t="s">
        <v>23</v>
      </c>
      <c r="G29" s="42" t="s">
        <v>23</v>
      </c>
      <c r="H29" s="43">
        <v>10335</v>
      </c>
      <c r="I29" s="44">
        <v>10.333817099999999</v>
      </c>
      <c r="J29" s="43">
        <v>7808</v>
      </c>
      <c r="K29" s="44">
        <v>19.851434399999999</v>
      </c>
    </row>
    <row r="30" spans="1:11" ht="15" hidden="1" customHeight="1">
      <c r="A30" s="7"/>
      <c r="B30" s="36">
        <v>23</v>
      </c>
      <c r="C30" s="37" t="s">
        <v>19</v>
      </c>
      <c r="D30" s="37" t="s">
        <v>16</v>
      </c>
      <c r="E30" s="37" t="s">
        <v>23</v>
      </c>
      <c r="F30" s="37" t="s">
        <v>23</v>
      </c>
      <c r="G30" s="38" t="s">
        <v>13</v>
      </c>
      <c r="H30" s="39"/>
      <c r="I30" s="40"/>
      <c r="J30" s="39"/>
      <c r="K30" s="40"/>
    </row>
    <row r="31" spans="1:11" ht="15" hidden="1" customHeight="1">
      <c r="A31" s="7"/>
      <c r="B31" s="36">
        <v>24</v>
      </c>
      <c r="C31" s="37" t="s">
        <v>19</v>
      </c>
      <c r="D31" s="37" t="s">
        <v>16</v>
      </c>
      <c r="E31" s="37" t="s">
        <v>23</v>
      </c>
      <c r="F31" s="37" t="s">
        <v>23</v>
      </c>
      <c r="G31" s="38" t="s">
        <v>14</v>
      </c>
      <c r="H31" s="39">
        <v>10335</v>
      </c>
      <c r="I31" s="40">
        <v>10.333817099999999</v>
      </c>
      <c r="J31" s="39">
        <v>7808</v>
      </c>
      <c r="K31" s="40">
        <v>19.851434399999999</v>
      </c>
    </row>
    <row r="32" spans="1:11" ht="15" customHeight="1">
      <c r="A32" s="7"/>
      <c r="B32" s="41">
        <v>25</v>
      </c>
      <c r="C32" s="42" t="s">
        <v>19</v>
      </c>
      <c r="D32" s="42" t="s">
        <v>16</v>
      </c>
      <c r="E32" s="42" t="s">
        <v>23</v>
      </c>
      <c r="F32" s="42" t="s">
        <v>24</v>
      </c>
      <c r="G32" s="42" t="s">
        <v>24</v>
      </c>
      <c r="H32" s="43">
        <v>14063</v>
      </c>
      <c r="I32" s="44">
        <v>12.6502169</v>
      </c>
      <c r="J32" s="43">
        <v>16671</v>
      </c>
      <c r="K32" s="44">
        <v>31.761741900000001</v>
      </c>
    </row>
    <row r="33" spans="1:11" ht="15" hidden="1" customHeight="1">
      <c r="A33" s="7"/>
      <c r="B33" s="36">
        <v>26</v>
      </c>
      <c r="C33" s="37" t="s">
        <v>19</v>
      </c>
      <c r="D33" s="37" t="s">
        <v>16</v>
      </c>
      <c r="E33" s="37" t="s">
        <v>23</v>
      </c>
      <c r="F33" s="37" t="s">
        <v>24</v>
      </c>
      <c r="G33" s="38" t="s">
        <v>13</v>
      </c>
      <c r="H33" s="39"/>
      <c r="I33" s="40"/>
      <c r="J33" s="39"/>
      <c r="K33" s="40"/>
    </row>
    <row r="34" spans="1:11" ht="15" hidden="1" customHeight="1">
      <c r="A34" s="7"/>
      <c r="B34" s="36">
        <v>27</v>
      </c>
      <c r="C34" s="37" t="s">
        <v>19</v>
      </c>
      <c r="D34" s="37" t="s">
        <v>16</v>
      </c>
      <c r="E34" s="37" t="s">
        <v>23</v>
      </c>
      <c r="F34" s="37" t="s">
        <v>24</v>
      </c>
      <c r="G34" s="38" t="s">
        <v>14</v>
      </c>
      <c r="H34" s="39">
        <v>14063</v>
      </c>
      <c r="I34" s="40">
        <v>12.6502169</v>
      </c>
      <c r="J34" s="39">
        <v>16671</v>
      </c>
      <c r="K34" s="40">
        <v>31.761741900000001</v>
      </c>
    </row>
    <row r="35" spans="1:11" ht="15" hidden="1" customHeight="1">
      <c r="A35" s="7"/>
      <c r="B35" s="32">
        <v>28</v>
      </c>
      <c r="C35" s="33" t="s">
        <v>17</v>
      </c>
      <c r="D35" s="33" t="s">
        <v>16</v>
      </c>
      <c r="E35" s="33" t="s">
        <v>25</v>
      </c>
      <c r="F35" s="33"/>
      <c r="G35" s="33" t="s">
        <v>25</v>
      </c>
      <c r="H35" s="34">
        <v>38187</v>
      </c>
      <c r="I35" s="35">
        <v>24.432398500000001</v>
      </c>
      <c r="J35" s="34">
        <v>43922</v>
      </c>
      <c r="K35" s="35">
        <v>35.845362199999997</v>
      </c>
    </row>
    <row r="36" spans="1:11" ht="15" hidden="1" customHeight="1">
      <c r="A36" s="7"/>
      <c r="B36" s="36">
        <v>29</v>
      </c>
      <c r="C36" s="37" t="s">
        <v>17</v>
      </c>
      <c r="D36" s="37" t="s">
        <v>16</v>
      </c>
      <c r="E36" s="37" t="s">
        <v>25</v>
      </c>
      <c r="F36" s="37"/>
      <c r="G36" s="38" t="s">
        <v>13</v>
      </c>
      <c r="H36" s="39">
        <v>6225</v>
      </c>
      <c r="I36" s="40">
        <v>77.783132499999994</v>
      </c>
      <c r="J36" s="39">
        <v>9483</v>
      </c>
      <c r="K36" s="40">
        <v>93.019086799999997</v>
      </c>
    </row>
    <row r="37" spans="1:11" ht="15" hidden="1" customHeight="1">
      <c r="A37" s="7"/>
      <c r="B37" s="36">
        <v>30</v>
      </c>
      <c r="C37" s="37" t="s">
        <v>17</v>
      </c>
      <c r="D37" s="37" t="s">
        <v>16</v>
      </c>
      <c r="E37" s="37" t="s">
        <v>25</v>
      </c>
      <c r="F37" s="37"/>
      <c r="G37" s="38" t="s">
        <v>14</v>
      </c>
      <c r="H37" s="39">
        <v>31962</v>
      </c>
      <c r="I37" s="40">
        <v>14.041674499999999</v>
      </c>
      <c r="J37" s="39">
        <v>34439</v>
      </c>
      <c r="K37" s="40">
        <v>20.1022097</v>
      </c>
    </row>
    <row r="38" spans="1:11" ht="15" customHeight="1">
      <c r="A38" s="7"/>
      <c r="B38" s="41">
        <v>31</v>
      </c>
      <c r="C38" s="42" t="s">
        <v>19</v>
      </c>
      <c r="D38" s="42" t="s">
        <v>16</v>
      </c>
      <c r="E38" s="42" t="s">
        <v>25</v>
      </c>
      <c r="F38" s="42" t="s">
        <v>25</v>
      </c>
      <c r="G38" s="42" t="s">
        <v>25</v>
      </c>
      <c r="H38" s="43">
        <v>10894</v>
      </c>
      <c r="I38" s="44">
        <v>32.274646599999997</v>
      </c>
      <c r="J38" s="43">
        <v>13446</v>
      </c>
      <c r="K38" s="44">
        <v>36.501561799999998</v>
      </c>
    </row>
    <row r="39" spans="1:11" ht="15" hidden="1" customHeight="1">
      <c r="A39" s="7"/>
      <c r="B39" s="36">
        <v>32</v>
      </c>
      <c r="C39" s="37" t="s">
        <v>19</v>
      </c>
      <c r="D39" s="37" t="s">
        <v>16</v>
      </c>
      <c r="E39" s="37" t="s">
        <v>25</v>
      </c>
      <c r="F39" s="37" t="s">
        <v>25</v>
      </c>
      <c r="G39" s="38" t="s">
        <v>13</v>
      </c>
      <c r="H39" s="39">
        <v>3772</v>
      </c>
      <c r="I39" s="40">
        <v>83.642629900000003</v>
      </c>
      <c r="J39" s="39">
        <v>4604</v>
      </c>
      <c r="K39" s="40">
        <v>92.854039999999998</v>
      </c>
    </row>
    <row r="40" spans="1:11" ht="15" hidden="1" customHeight="1">
      <c r="A40" s="7"/>
      <c r="B40" s="36">
        <v>33</v>
      </c>
      <c r="C40" s="37" t="s">
        <v>19</v>
      </c>
      <c r="D40" s="37" t="s">
        <v>16</v>
      </c>
      <c r="E40" s="37" t="s">
        <v>25</v>
      </c>
      <c r="F40" s="37" t="s">
        <v>25</v>
      </c>
      <c r="G40" s="38" t="s">
        <v>14</v>
      </c>
      <c r="H40" s="39">
        <v>7122</v>
      </c>
      <c r="I40" s="40">
        <v>5.0688009000000003</v>
      </c>
      <c r="J40" s="39">
        <v>8842</v>
      </c>
      <c r="K40" s="40">
        <v>7.1590138000000003</v>
      </c>
    </row>
    <row r="41" spans="1:11" ht="15" customHeight="1">
      <c r="A41" s="7"/>
      <c r="B41" s="41">
        <v>34</v>
      </c>
      <c r="C41" s="42" t="s">
        <v>19</v>
      </c>
      <c r="D41" s="42" t="s">
        <v>16</v>
      </c>
      <c r="E41" s="42" t="s">
        <v>25</v>
      </c>
      <c r="F41" s="42" t="s">
        <v>26</v>
      </c>
      <c r="G41" s="42" t="s">
        <v>26</v>
      </c>
      <c r="H41" s="43">
        <v>11791</v>
      </c>
      <c r="I41" s="44">
        <v>18.607412400000001</v>
      </c>
      <c r="J41" s="43">
        <v>12443</v>
      </c>
      <c r="K41" s="44">
        <v>31.8572691</v>
      </c>
    </row>
    <row r="42" spans="1:11" ht="15" hidden="1" customHeight="1">
      <c r="A42" s="7"/>
      <c r="B42" s="36">
        <v>35</v>
      </c>
      <c r="C42" s="37" t="s">
        <v>19</v>
      </c>
      <c r="D42" s="37" t="s">
        <v>16</v>
      </c>
      <c r="E42" s="37" t="s">
        <v>25</v>
      </c>
      <c r="F42" s="37" t="s">
        <v>26</v>
      </c>
      <c r="G42" s="38" t="s">
        <v>13</v>
      </c>
      <c r="H42" s="39">
        <v>2453</v>
      </c>
      <c r="I42" s="40">
        <v>68.772931099999994</v>
      </c>
      <c r="J42" s="39">
        <v>2191</v>
      </c>
      <c r="K42" s="40">
        <v>88.224554999999995</v>
      </c>
    </row>
    <row r="43" spans="1:11" ht="15" hidden="1" customHeight="1">
      <c r="A43" s="7"/>
      <c r="B43" s="36">
        <v>36</v>
      </c>
      <c r="C43" s="37" t="s">
        <v>19</v>
      </c>
      <c r="D43" s="37" t="s">
        <v>16</v>
      </c>
      <c r="E43" s="37" t="s">
        <v>25</v>
      </c>
      <c r="F43" s="37" t="s">
        <v>26</v>
      </c>
      <c r="G43" s="38" t="s">
        <v>14</v>
      </c>
      <c r="H43" s="39">
        <v>9338</v>
      </c>
      <c r="I43" s="40">
        <v>5.4294281</v>
      </c>
      <c r="J43" s="39">
        <v>10252</v>
      </c>
      <c r="K43" s="40">
        <v>19.810768599999999</v>
      </c>
    </row>
    <row r="44" spans="1:11" ht="15" customHeight="1">
      <c r="A44" s="7"/>
      <c r="B44" s="41">
        <v>37</v>
      </c>
      <c r="C44" s="42" t="s">
        <v>19</v>
      </c>
      <c r="D44" s="42" t="s">
        <v>16</v>
      </c>
      <c r="E44" s="42" t="s">
        <v>25</v>
      </c>
      <c r="F44" s="42" t="s">
        <v>27</v>
      </c>
      <c r="G44" s="42" t="s">
        <v>27</v>
      </c>
      <c r="H44" s="43">
        <v>7922</v>
      </c>
      <c r="I44" s="44">
        <v>31.305226000000001</v>
      </c>
      <c r="J44" s="43">
        <v>8995</v>
      </c>
      <c r="K44" s="44">
        <v>49.9610895</v>
      </c>
    </row>
    <row r="45" spans="1:11" ht="15" hidden="1" customHeight="1">
      <c r="A45" s="7"/>
      <c r="B45" s="36">
        <v>38</v>
      </c>
      <c r="C45" s="37" t="s">
        <v>19</v>
      </c>
      <c r="D45" s="37" t="s">
        <v>16</v>
      </c>
      <c r="E45" s="37" t="s">
        <v>25</v>
      </c>
      <c r="F45" s="37" t="s">
        <v>27</v>
      </c>
      <c r="G45" s="38" t="s">
        <v>13</v>
      </c>
      <c r="H45" s="39"/>
      <c r="I45" s="40"/>
      <c r="J45" s="39">
        <v>2688</v>
      </c>
      <c r="K45" s="40">
        <v>97.209821399999996</v>
      </c>
    </row>
    <row r="46" spans="1:11" ht="15" hidden="1" customHeight="1">
      <c r="A46" s="7"/>
      <c r="B46" s="36">
        <v>39</v>
      </c>
      <c r="C46" s="37" t="s">
        <v>19</v>
      </c>
      <c r="D46" s="37" t="s">
        <v>16</v>
      </c>
      <c r="E46" s="37" t="s">
        <v>25</v>
      </c>
      <c r="F46" s="37" t="s">
        <v>27</v>
      </c>
      <c r="G46" s="38" t="s">
        <v>14</v>
      </c>
      <c r="H46" s="39">
        <v>7922</v>
      </c>
      <c r="I46" s="40">
        <v>31.305226000000001</v>
      </c>
      <c r="J46" s="39">
        <v>6307</v>
      </c>
      <c r="K46" s="40">
        <v>29.824005100000001</v>
      </c>
    </row>
    <row r="47" spans="1:11" ht="15" customHeight="1">
      <c r="A47" s="7"/>
      <c r="B47" s="41">
        <v>40</v>
      </c>
      <c r="C47" s="42" t="s">
        <v>19</v>
      </c>
      <c r="D47" s="42" t="s">
        <v>16</v>
      </c>
      <c r="E47" s="42" t="s">
        <v>25</v>
      </c>
      <c r="F47" s="42" t="s">
        <v>28</v>
      </c>
      <c r="G47" s="42" t="s">
        <v>28</v>
      </c>
      <c r="H47" s="43">
        <v>7580</v>
      </c>
      <c r="I47" s="44">
        <v>15.0395778</v>
      </c>
      <c r="J47" s="43">
        <v>9038</v>
      </c>
      <c r="K47" s="44">
        <v>26.311130800000001</v>
      </c>
    </row>
    <row r="48" spans="1:11" ht="15" hidden="1" customHeight="1">
      <c r="A48" s="7"/>
      <c r="B48" s="36">
        <v>41</v>
      </c>
      <c r="C48" s="37" t="s">
        <v>19</v>
      </c>
      <c r="D48" s="37" t="s">
        <v>16</v>
      </c>
      <c r="E48" s="37" t="s">
        <v>25</v>
      </c>
      <c r="F48" s="37" t="s">
        <v>28</v>
      </c>
      <c r="G48" s="38" t="s">
        <v>13</v>
      </c>
      <c r="H48" s="39"/>
      <c r="I48" s="40"/>
      <c r="J48" s="39"/>
      <c r="K48" s="40"/>
    </row>
    <row r="49" spans="1:11" ht="15" hidden="1" customHeight="1">
      <c r="A49" s="7"/>
      <c r="B49" s="36">
        <v>42</v>
      </c>
      <c r="C49" s="37" t="s">
        <v>19</v>
      </c>
      <c r="D49" s="37" t="s">
        <v>16</v>
      </c>
      <c r="E49" s="37" t="s">
        <v>25</v>
      </c>
      <c r="F49" s="37" t="s">
        <v>28</v>
      </c>
      <c r="G49" s="38" t="s">
        <v>14</v>
      </c>
      <c r="H49" s="39">
        <v>7580</v>
      </c>
      <c r="I49" s="40">
        <v>15.0395778</v>
      </c>
      <c r="J49" s="39">
        <v>9038</v>
      </c>
      <c r="K49" s="40">
        <v>26.311130800000001</v>
      </c>
    </row>
    <row r="50" spans="1:11" ht="15" hidden="1" customHeight="1">
      <c r="A50" s="7"/>
      <c r="B50" s="32">
        <v>43</v>
      </c>
      <c r="C50" s="33" t="s">
        <v>17</v>
      </c>
      <c r="D50" s="33" t="s">
        <v>16</v>
      </c>
      <c r="E50" s="33" t="s">
        <v>29</v>
      </c>
      <c r="F50" s="33"/>
      <c r="G50" s="33" t="s">
        <v>29</v>
      </c>
      <c r="H50" s="34">
        <v>34570</v>
      </c>
      <c r="I50" s="35">
        <v>25.973387299999999</v>
      </c>
      <c r="J50" s="34">
        <v>33656</v>
      </c>
      <c r="K50" s="35">
        <v>36.614570999999998</v>
      </c>
    </row>
    <row r="51" spans="1:11" ht="15" hidden="1" customHeight="1">
      <c r="A51" s="7"/>
      <c r="B51" s="36">
        <v>44</v>
      </c>
      <c r="C51" s="37" t="s">
        <v>17</v>
      </c>
      <c r="D51" s="37" t="s">
        <v>16</v>
      </c>
      <c r="E51" s="37" t="s">
        <v>29</v>
      </c>
      <c r="F51" s="37"/>
      <c r="G51" s="38" t="s">
        <v>13</v>
      </c>
      <c r="H51" s="39">
        <v>5150</v>
      </c>
      <c r="I51" s="40">
        <v>84.951456300000004</v>
      </c>
      <c r="J51" s="39">
        <v>6030</v>
      </c>
      <c r="K51" s="40">
        <v>93.034825900000001</v>
      </c>
    </row>
    <row r="52" spans="1:11" ht="15" hidden="1" customHeight="1">
      <c r="A52" s="7"/>
      <c r="B52" s="36">
        <v>45</v>
      </c>
      <c r="C52" s="37" t="s">
        <v>17</v>
      </c>
      <c r="D52" s="37" t="s">
        <v>16</v>
      </c>
      <c r="E52" s="37" t="s">
        <v>29</v>
      </c>
      <c r="F52" s="37"/>
      <c r="G52" s="38" t="s">
        <v>14</v>
      </c>
      <c r="H52" s="39">
        <v>29420</v>
      </c>
      <c r="I52" s="40">
        <v>15.6492182</v>
      </c>
      <c r="J52" s="39">
        <v>27626</v>
      </c>
      <c r="K52" s="40">
        <v>24.299572900000001</v>
      </c>
    </row>
    <row r="53" spans="1:11" ht="15" customHeight="1">
      <c r="A53" s="7"/>
      <c r="B53" s="41">
        <v>46</v>
      </c>
      <c r="C53" s="42" t="s">
        <v>19</v>
      </c>
      <c r="D53" s="42" t="s">
        <v>16</v>
      </c>
      <c r="E53" s="42" t="s">
        <v>29</v>
      </c>
      <c r="F53" s="42" t="s">
        <v>30</v>
      </c>
      <c r="G53" s="42" t="s">
        <v>30</v>
      </c>
      <c r="H53" s="43">
        <v>10039</v>
      </c>
      <c r="I53" s="44">
        <v>32.821994199999999</v>
      </c>
      <c r="J53" s="43">
        <v>8989</v>
      </c>
      <c r="K53" s="44">
        <v>49.404828100000003</v>
      </c>
    </row>
    <row r="54" spans="1:11" ht="15" hidden="1" customHeight="1">
      <c r="A54" s="7"/>
      <c r="B54" s="36">
        <v>47</v>
      </c>
      <c r="C54" s="37" t="s">
        <v>19</v>
      </c>
      <c r="D54" s="37" t="s">
        <v>16</v>
      </c>
      <c r="E54" s="37" t="s">
        <v>29</v>
      </c>
      <c r="F54" s="37" t="s">
        <v>30</v>
      </c>
      <c r="G54" s="38" t="s">
        <v>13</v>
      </c>
      <c r="H54" s="39">
        <v>3133</v>
      </c>
      <c r="I54" s="40">
        <v>92.275773999999998</v>
      </c>
      <c r="J54" s="39">
        <v>4059</v>
      </c>
      <c r="K54" s="40">
        <v>96.058142399999994</v>
      </c>
    </row>
    <row r="55" spans="1:11" ht="15" hidden="1" customHeight="1">
      <c r="A55" s="7"/>
      <c r="B55" s="36">
        <v>48</v>
      </c>
      <c r="C55" s="37" t="s">
        <v>19</v>
      </c>
      <c r="D55" s="37" t="s">
        <v>16</v>
      </c>
      <c r="E55" s="37" t="s">
        <v>29</v>
      </c>
      <c r="F55" s="37" t="s">
        <v>30</v>
      </c>
      <c r="G55" s="38" t="s">
        <v>14</v>
      </c>
      <c r="H55" s="39">
        <v>6906</v>
      </c>
      <c r="I55" s="40">
        <v>5.8499854999999998</v>
      </c>
      <c r="J55" s="39">
        <v>4930</v>
      </c>
      <c r="K55" s="40">
        <v>10.993914800000001</v>
      </c>
    </row>
    <row r="56" spans="1:11" ht="15" customHeight="1">
      <c r="A56" s="7"/>
      <c r="B56" s="41">
        <v>49</v>
      </c>
      <c r="C56" s="42" t="s">
        <v>19</v>
      </c>
      <c r="D56" s="42" t="s">
        <v>16</v>
      </c>
      <c r="E56" s="42" t="s">
        <v>29</v>
      </c>
      <c r="F56" s="42" t="s">
        <v>29</v>
      </c>
      <c r="G56" s="42" t="s">
        <v>29</v>
      </c>
      <c r="H56" s="43">
        <v>8273</v>
      </c>
      <c r="I56" s="44">
        <v>20.971836100000001</v>
      </c>
      <c r="J56" s="43">
        <v>8428</v>
      </c>
      <c r="K56" s="44">
        <v>33.068343599999999</v>
      </c>
    </row>
    <row r="57" spans="1:11" ht="15" hidden="1" customHeight="1">
      <c r="A57" s="7"/>
      <c r="B57" s="36">
        <v>50</v>
      </c>
      <c r="C57" s="37" t="s">
        <v>19</v>
      </c>
      <c r="D57" s="37" t="s">
        <v>16</v>
      </c>
      <c r="E57" s="37" t="s">
        <v>29</v>
      </c>
      <c r="F57" s="37" t="s">
        <v>29</v>
      </c>
      <c r="G57" s="38" t="s">
        <v>13</v>
      </c>
      <c r="H57" s="39"/>
      <c r="I57" s="40"/>
      <c r="J57" s="39">
        <v>1971</v>
      </c>
      <c r="K57" s="40">
        <v>86.808726500000006</v>
      </c>
    </row>
    <row r="58" spans="1:11" ht="15" hidden="1" customHeight="1">
      <c r="A58" s="7"/>
      <c r="B58" s="36">
        <v>51</v>
      </c>
      <c r="C58" s="37" t="s">
        <v>19</v>
      </c>
      <c r="D58" s="37" t="s">
        <v>16</v>
      </c>
      <c r="E58" s="37" t="s">
        <v>29</v>
      </c>
      <c r="F58" s="37" t="s">
        <v>29</v>
      </c>
      <c r="G58" s="38" t="s">
        <v>14</v>
      </c>
      <c r="H58" s="39">
        <v>8273</v>
      </c>
      <c r="I58" s="40">
        <v>20.971836100000001</v>
      </c>
      <c r="J58" s="39">
        <v>6457</v>
      </c>
      <c r="K58" s="40">
        <v>16.664085499999999</v>
      </c>
    </row>
    <row r="59" spans="1:11" ht="15" customHeight="1">
      <c r="A59" s="7"/>
      <c r="B59" s="41">
        <v>52</v>
      </c>
      <c r="C59" s="42" t="s">
        <v>19</v>
      </c>
      <c r="D59" s="42" t="s">
        <v>16</v>
      </c>
      <c r="E59" s="42" t="s">
        <v>29</v>
      </c>
      <c r="F59" s="42" t="s">
        <v>31</v>
      </c>
      <c r="G59" s="42" t="s">
        <v>31</v>
      </c>
      <c r="H59" s="43">
        <v>7146</v>
      </c>
      <c r="I59" s="44">
        <v>23.467674200000001</v>
      </c>
      <c r="J59" s="43">
        <v>6872</v>
      </c>
      <c r="K59" s="44">
        <v>31.388242099999999</v>
      </c>
    </row>
    <row r="60" spans="1:11" ht="15" hidden="1" customHeight="1">
      <c r="A60" s="7"/>
      <c r="B60" s="36">
        <v>53</v>
      </c>
      <c r="C60" s="37" t="s">
        <v>19</v>
      </c>
      <c r="D60" s="37" t="s">
        <v>16</v>
      </c>
      <c r="E60" s="37" t="s">
        <v>29</v>
      </c>
      <c r="F60" s="37" t="s">
        <v>31</v>
      </c>
      <c r="G60" s="38" t="s">
        <v>13</v>
      </c>
      <c r="H60" s="39">
        <v>2017</v>
      </c>
      <c r="I60" s="40">
        <v>73.574615800000004</v>
      </c>
      <c r="J60" s="39"/>
      <c r="K60" s="40"/>
    </row>
    <row r="61" spans="1:11" ht="15" hidden="1" customHeight="1">
      <c r="A61" s="7"/>
      <c r="B61" s="36">
        <v>54</v>
      </c>
      <c r="C61" s="37" t="s">
        <v>19</v>
      </c>
      <c r="D61" s="37" t="s">
        <v>16</v>
      </c>
      <c r="E61" s="37" t="s">
        <v>29</v>
      </c>
      <c r="F61" s="37" t="s">
        <v>31</v>
      </c>
      <c r="G61" s="38" t="s">
        <v>14</v>
      </c>
      <c r="H61" s="39">
        <v>5129</v>
      </c>
      <c r="I61" s="40">
        <v>3.7629166999999999</v>
      </c>
      <c r="J61" s="39">
        <v>6872</v>
      </c>
      <c r="K61" s="40">
        <v>31.388242099999999</v>
      </c>
    </row>
    <row r="62" spans="1:11" ht="15" customHeight="1">
      <c r="A62" s="7"/>
      <c r="B62" s="41">
        <v>55</v>
      </c>
      <c r="C62" s="42" t="s">
        <v>19</v>
      </c>
      <c r="D62" s="42" t="s">
        <v>16</v>
      </c>
      <c r="E62" s="42" t="s">
        <v>29</v>
      </c>
      <c r="F62" s="42" t="s">
        <v>32</v>
      </c>
      <c r="G62" s="42" t="s">
        <v>32</v>
      </c>
      <c r="H62" s="43">
        <v>4829</v>
      </c>
      <c r="I62" s="44">
        <v>30.2340029</v>
      </c>
      <c r="J62" s="43">
        <v>3743</v>
      </c>
      <c r="K62" s="44">
        <v>43.521239600000001</v>
      </c>
    </row>
    <row r="63" spans="1:11" ht="15" hidden="1" customHeight="1">
      <c r="A63" s="7"/>
      <c r="B63" s="36">
        <v>56</v>
      </c>
      <c r="C63" s="37" t="s">
        <v>19</v>
      </c>
      <c r="D63" s="37" t="s">
        <v>16</v>
      </c>
      <c r="E63" s="37" t="s">
        <v>29</v>
      </c>
      <c r="F63" s="37" t="s">
        <v>32</v>
      </c>
      <c r="G63" s="38" t="s">
        <v>13</v>
      </c>
      <c r="H63" s="39"/>
      <c r="I63" s="40"/>
      <c r="J63" s="39"/>
      <c r="K63" s="40"/>
    </row>
    <row r="64" spans="1:11" ht="15" hidden="1" customHeight="1">
      <c r="A64" s="7"/>
      <c r="B64" s="36">
        <v>57</v>
      </c>
      <c r="C64" s="37" t="s">
        <v>19</v>
      </c>
      <c r="D64" s="37" t="s">
        <v>16</v>
      </c>
      <c r="E64" s="37" t="s">
        <v>29</v>
      </c>
      <c r="F64" s="37" t="s">
        <v>32</v>
      </c>
      <c r="G64" s="38" t="s">
        <v>14</v>
      </c>
      <c r="H64" s="39">
        <v>4829</v>
      </c>
      <c r="I64" s="40">
        <v>30.2340029</v>
      </c>
      <c r="J64" s="39">
        <v>3743</v>
      </c>
      <c r="K64" s="40">
        <v>43.521239600000001</v>
      </c>
    </row>
    <row r="65" spans="1:11" ht="15" customHeight="1">
      <c r="A65" s="7"/>
      <c r="B65" s="41">
        <v>58</v>
      </c>
      <c r="C65" s="42" t="s">
        <v>19</v>
      </c>
      <c r="D65" s="42" t="s">
        <v>16</v>
      </c>
      <c r="E65" s="42" t="s">
        <v>29</v>
      </c>
      <c r="F65" s="42" t="s">
        <v>33</v>
      </c>
      <c r="G65" s="42" t="s">
        <v>33</v>
      </c>
      <c r="H65" s="43">
        <v>4283</v>
      </c>
      <c r="I65" s="44">
        <v>18.9586738</v>
      </c>
      <c r="J65" s="43">
        <v>5624</v>
      </c>
      <c r="K65" s="44">
        <v>23.275248900000001</v>
      </c>
    </row>
    <row r="66" spans="1:11" ht="15" hidden="1" customHeight="1">
      <c r="A66" s="7"/>
      <c r="B66" s="36">
        <v>59</v>
      </c>
      <c r="C66" s="37" t="s">
        <v>19</v>
      </c>
      <c r="D66" s="37" t="s">
        <v>16</v>
      </c>
      <c r="E66" s="37" t="s">
        <v>29</v>
      </c>
      <c r="F66" s="37" t="s">
        <v>33</v>
      </c>
      <c r="G66" s="38" t="s">
        <v>13</v>
      </c>
      <c r="H66" s="39"/>
      <c r="I66" s="40"/>
      <c r="J66" s="39"/>
      <c r="K66" s="40"/>
    </row>
    <row r="67" spans="1:11" ht="15" hidden="1" customHeight="1">
      <c r="A67" s="7"/>
      <c r="B67" s="36">
        <v>60</v>
      </c>
      <c r="C67" s="37" t="s">
        <v>19</v>
      </c>
      <c r="D67" s="37" t="s">
        <v>16</v>
      </c>
      <c r="E67" s="37" t="s">
        <v>29</v>
      </c>
      <c r="F67" s="37" t="s">
        <v>33</v>
      </c>
      <c r="G67" s="38" t="s">
        <v>14</v>
      </c>
      <c r="H67" s="39">
        <v>4283</v>
      </c>
      <c r="I67" s="40">
        <v>18.9586738</v>
      </c>
      <c r="J67" s="39">
        <v>5624</v>
      </c>
      <c r="K67" s="40">
        <v>23.275248900000001</v>
      </c>
    </row>
    <row r="68" spans="1:11" ht="15" hidden="1" customHeight="1">
      <c r="A68" s="7"/>
      <c r="B68" s="32">
        <v>61</v>
      </c>
      <c r="C68" s="33" t="s">
        <v>17</v>
      </c>
      <c r="D68" s="33" t="s">
        <v>16</v>
      </c>
      <c r="E68" s="33" t="s">
        <v>34</v>
      </c>
      <c r="F68" s="33"/>
      <c r="G68" s="33" t="s">
        <v>34</v>
      </c>
      <c r="H68" s="34">
        <v>31123</v>
      </c>
      <c r="I68" s="35">
        <v>44.928188200000001</v>
      </c>
      <c r="J68" s="34">
        <v>31023</v>
      </c>
      <c r="K68" s="35">
        <v>60.780711099999998</v>
      </c>
    </row>
    <row r="69" spans="1:11" ht="15" hidden="1" customHeight="1">
      <c r="A69" s="7"/>
      <c r="B69" s="36">
        <v>62</v>
      </c>
      <c r="C69" s="37" t="s">
        <v>17</v>
      </c>
      <c r="D69" s="37" t="s">
        <v>16</v>
      </c>
      <c r="E69" s="37" t="s">
        <v>34</v>
      </c>
      <c r="F69" s="37"/>
      <c r="G69" s="38" t="s">
        <v>13</v>
      </c>
      <c r="H69" s="39">
        <v>10639</v>
      </c>
      <c r="I69" s="40">
        <v>95.751480400000005</v>
      </c>
      <c r="J69" s="39">
        <v>12612</v>
      </c>
      <c r="K69" s="40">
        <v>98.358705999999998</v>
      </c>
    </row>
    <row r="70" spans="1:11" ht="15" hidden="1" customHeight="1">
      <c r="A70" s="7"/>
      <c r="B70" s="36">
        <v>63</v>
      </c>
      <c r="C70" s="37" t="s">
        <v>17</v>
      </c>
      <c r="D70" s="37" t="s">
        <v>16</v>
      </c>
      <c r="E70" s="37" t="s">
        <v>34</v>
      </c>
      <c r="F70" s="37"/>
      <c r="G70" s="38" t="s">
        <v>14</v>
      </c>
      <c r="H70" s="39">
        <v>20484</v>
      </c>
      <c r="I70" s="40">
        <v>18.531536800000001</v>
      </c>
      <c r="J70" s="39">
        <v>18411</v>
      </c>
      <c r="K70" s="40">
        <v>35.038835499999998</v>
      </c>
    </row>
    <row r="71" spans="1:11" ht="15" customHeight="1">
      <c r="A71" s="7"/>
      <c r="B71" s="41">
        <v>64</v>
      </c>
      <c r="C71" s="42" t="s">
        <v>19</v>
      </c>
      <c r="D71" s="42" t="s">
        <v>16</v>
      </c>
      <c r="E71" s="42" t="s">
        <v>34</v>
      </c>
      <c r="F71" s="42" t="s">
        <v>35</v>
      </c>
      <c r="G71" s="42" t="s">
        <v>35</v>
      </c>
      <c r="H71" s="43">
        <v>23158</v>
      </c>
      <c r="I71" s="44">
        <v>51.787719099999997</v>
      </c>
      <c r="J71" s="43">
        <v>24007</v>
      </c>
      <c r="K71" s="44">
        <v>67.513641899999996</v>
      </c>
    </row>
    <row r="72" spans="1:11" ht="15" hidden="1" customHeight="1">
      <c r="A72" s="7"/>
      <c r="B72" s="36">
        <v>65</v>
      </c>
      <c r="C72" s="37" t="s">
        <v>19</v>
      </c>
      <c r="D72" s="37" t="s">
        <v>16</v>
      </c>
      <c r="E72" s="37" t="s">
        <v>34</v>
      </c>
      <c r="F72" s="37" t="s">
        <v>35</v>
      </c>
      <c r="G72" s="38" t="s">
        <v>13</v>
      </c>
      <c r="H72" s="39">
        <v>10639</v>
      </c>
      <c r="I72" s="40">
        <v>95.751480400000005</v>
      </c>
      <c r="J72" s="39">
        <v>12612</v>
      </c>
      <c r="K72" s="40">
        <v>98.358705999999998</v>
      </c>
    </row>
    <row r="73" spans="1:11" ht="15" hidden="1" customHeight="1">
      <c r="A73" s="7"/>
      <c r="B73" s="36">
        <v>66</v>
      </c>
      <c r="C73" s="37" t="s">
        <v>19</v>
      </c>
      <c r="D73" s="37" t="s">
        <v>16</v>
      </c>
      <c r="E73" s="37" t="s">
        <v>34</v>
      </c>
      <c r="F73" s="37" t="s">
        <v>35</v>
      </c>
      <c r="G73" s="38" t="s">
        <v>14</v>
      </c>
      <c r="H73" s="39">
        <v>12519</v>
      </c>
      <c r="I73" s="40">
        <v>14.426072400000001</v>
      </c>
      <c r="J73" s="39">
        <v>11395</v>
      </c>
      <c r="K73" s="40">
        <v>33.374287000000002</v>
      </c>
    </row>
    <row r="74" spans="1:11" ht="15" customHeight="1">
      <c r="A74" s="7"/>
      <c r="B74" s="41">
        <v>67</v>
      </c>
      <c r="C74" s="42" t="s">
        <v>19</v>
      </c>
      <c r="D74" s="42" t="s">
        <v>16</v>
      </c>
      <c r="E74" s="42" t="s">
        <v>34</v>
      </c>
      <c r="F74" s="42" t="s">
        <v>36</v>
      </c>
      <c r="G74" s="42" t="s">
        <v>36</v>
      </c>
      <c r="H74" s="43">
        <v>7965</v>
      </c>
      <c r="I74" s="44">
        <v>24.9843063</v>
      </c>
      <c r="J74" s="43">
        <v>7016</v>
      </c>
      <c r="K74" s="44">
        <v>37.742303300000003</v>
      </c>
    </row>
    <row r="75" spans="1:11" ht="15" hidden="1" customHeight="1">
      <c r="A75" s="7"/>
      <c r="B75" s="36">
        <v>68</v>
      </c>
      <c r="C75" s="37" t="s">
        <v>19</v>
      </c>
      <c r="D75" s="37" t="s">
        <v>16</v>
      </c>
      <c r="E75" s="37" t="s">
        <v>34</v>
      </c>
      <c r="F75" s="37" t="s">
        <v>36</v>
      </c>
      <c r="G75" s="38" t="s">
        <v>13</v>
      </c>
      <c r="H75" s="39"/>
      <c r="I75" s="40"/>
      <c r="J75" s="39"/>
      <c r="K75" s="40"/>
    </row>
    <row r="76" spans="1:11" ht="15" hidden="1" customHeight="1">
      <c r="A76" s="7"/>
      <c r="B76" s="36">
        <v>69</v>
      </c>
      <c r="C76" s="37" t="s">
        <v>19</v>
      </c>
      <c r="D76" s="37" t="s">
        <v>16</v>
      </c>
      <c r="E76" s="37" t="s">
        <v>34</v>
      </c>
      <c r="F76" s="37" t="s">
        <v>36</v>
      </c>
      <c r="G76" s="38" t="s">
        <v>14</v>
      </c>
      <c r="H76" s="39">
        <v>7965</v>
      </c>
      <c r="I76" s="40">
        <v>24.9843063</v>
      </c>
      <c r="J76" s="39">
        <v>7016</v>
      </c>
      <c r="K76" s="40">
        <v>37.742303300000003</v>
      </c>
    </row>
    <row r="77" spans="1:11" ht="15" hidden="1" customHeight="1">
      <c r="A77" s="7"/>
      <c r="B77" s="32">
        <v>70</v>
      </c>
      <c r="C77" s="33" t="s">
        <v>17</v>
      </c>
      <c r="D77" s="33" t="s">
        <v>16</v>
      </c>
      <c r="E77" s="33" t="s">
        <v>37</v>
      </c>
      <c r="F77" s="33"/>
      <c r="G77" s="33" t="s">
        <v>37</v>
      </c>
      <c r="H77" s="34">
        <v>26509</v>
      </c>
      <c r="I77" s="35">
        <v>28.488437900000001</v>
      </c>
      <c r="J77" s="34">
        <v>21469</v>
      </c>
      <c r="K77" s="35">
        <v>48.893753799999999</v>
      </c>
    </row>
    <row r="78" spans="1:11" ht="15" hidden="1" customHeight="1">
      <c r="A78" s="7"/>
      <c r="B78" s="36">
        <v>71</v>
      </c>
      <c r="C78" s="37" t="s">
        <v>17</v>
      </c>
      <c r="D78" s="37" t="s">
        <v>16</v>
      </c>
      <c r="E78" s="37" t="s">
        <v>37</v>
      </c>
      <c r="F78" s="37"/>
      <c r="G78" s="38" t="s">
        <v>13</v>
      </c>
      <c r="H78" s="39">
        <v>2839</v>
      </c>
      <c r="I78" s="40">
        <v>85.663966200000004</v>
      </c>
      <c r="J78" s="39">
        <v>2821</v>
      </c>
      <c r="K78" s="40">
        <v>94.292804000000004</v>
      </c>
    </row>
    <row r="79" spans="1:11" ht="15" hidden="1" customHeight="1">
      <c r="A79" s="7"/>
      <c r="B79" s="36">
        <v>72</v>
      </c>
      <c r="C79" s="37" t="s">
        <v>17</v>
      </c>
      <c r="D79" s="37" t="s">
        <v>16</v>
      </c>
      <c r="E79" s="37" t="s">
        <v>37</v>
      </c>
      <c r="F79" s="37"/>
      <c r="G79" s="38" t="s">
        <v>14</v>
      </c>
      <c r="H79" s="39">
        <v>23670</v>
      </c>
      <c r="I79" s="40">
        <v>21.6307562</v>
      </c>
      <c r="J79" s="39">
        <v>18648</v>
      </c>
      <c r="K79" s="40">
        <v>42.025954499999997</v>
      </c>
    </row>
    <row r="80" spans="1:11" ht="15" customHeight="1">
      <c r="A80" s="7"/>
      <c r="B80" s="41">
        <v>73</v>
      </c>
      <c r="C80" s="42" t="s">
        <v>19</v>
      </c>
      <c r="D80" s="42" t="s">
        <v>16</v>
      </c>
      <c r="E80" s="42" t="s">
        <v>37</v>
      </c>
      <c r="F80" s="42" t="s">
        <v>38</v>
      </c>
      <c r="G80" s="42" t="s">
        <v>38</v>
      </c>
      <c r="H80" s="43">
        <v>16671</v>
      </c>
      <c r="I80" s="44">
        <v>27.388878900000002</v>
      </c>
      <c r="J80" s="43">
        <v>13110</v>
      </c>
      <c r="K80" s="44">
        <v>45.5148741</v>
      </c>
    </row>
    <row r="81" spans="1:11" ht="15" hidden="1" customHeight="1">
      <c r="A81" s="7"/>
      <c r="B81" s="36">
        <v>74</v>
      </c>
      <c r="C81" s="37" t="s">
        <v>19</v>
      </c>
      <c r="D81" s="37" t="s">
        <v>16</v>
      </c>
      <c r="E81" s="37" t="s">
        <v>37</v>
      </c>
      <c r="F81" s="37" t="s">
        <v>38</v>
      </c>
      <c r="G81" s="38" t="s">
        <v>13</v>
      </c>
      <c r="H81" s="39">
        <v>2839</v>
      </c>
      <c r="I81" s="40">
        <v>85.663966200000004</v>
      </c>
      <c r="J81" s="39">
        <v>2821</v>
      </c>
      <c r="K81" s="40">
        <v>94.292804000000004</v>
      </c>
    </row>
    <row r="82" spans="1:11" ht="15" hidden="1" customHeight="1">
      <c r="A82" s="7"/>
      <c r="B82" s="36">
        <v>75</v>
      </c>
      <c r="C82" s="37" t="s">
        <v>19</v>
      </c>
      <c r="D82" s="37" t="s">
        <v>16</v>
      </c>
      <c r="E82" s="37" t="s">
        <v>37</v>
      </c>
      <c r="F82" s="37" t="s">
        <v>38</v>
      </c>
      <c r="G82" s="38" t="s">
        <v>14</v>
      </c>
      <c r="H82" s="39">
        <v>13832</v>
      </c>
      <c r="I82" s="40">
        <v>15.4279931</v>
      </c>
      <c r="J82" s="39">
        <v>10289</v>
      </c>
      <c r="K82" s="40">
        <v>32.141121599999998</v>
      </c>
    </row>
    <row r="83" spans="1:11" ht="15" customHeight="1">
      <c r="A83" s="7"/>
      <c r="B83" s="41">
        <v>76</v>
      </c>
      <c r="C83" s="42" t="s">
        <v>19</v>
      </c>
      <c r="D83" s="42" t="s">
        <v>16</v>
      </c>
      <c r="E83" s="42" t="s">
        <v>37</v>
      </c>
      <c r="F83" s="42" t="s">
        <v>37</v>
      </c>
      <c r="G83" s="42" t="s">
        <v>37</v>
      </c>
      <c r="H83" s="43">
        <v>9838</v>
      </c>
      <c r="I83" s="44">
        <v>30.3516975</v>
      </c>
      <c r="J83" s="43">
        <v>8359</v>
      </c>
      <c r="K83" s="44">
        <v>54.1930853</v>
      </c>
    </row>
    <row r="84" spans="1:11" ht="15" hidden="1" customHeight="1">
      <c r="A84" s="7"/>
      <c r="B84" s="36">
        <v>77</v>
      </c>
      <c r="C84" s="37" t="s">
        <v>19</v>
      </c>
      <c r="D84" s="37" t="s">
        <v>16</v>
      </c>
      <c r="E84" s="37" t="s">
        <v>37</v>
      </c>
      <c r="F84" s="37" t="s">
        <v>37</v>
      </c>
      <c r="G84" s="38" t="s">
        <v>13</v>
      </c>
      <c r="H84" s="39"/>
      <c r="I84" s="40"/>
      <c r="J84" s="39"/>
      <c r="K84" s="40"/>
    </row>
    <row r="85" spans="1:11" ht="15" hidden="1" customHeight="1">
      <c r="A85" s="7"/>
      <c r="B85" s="36">
        <v>78</v>
      </c>
      <c r="C85" s="37" t="s">
        <v>19</v>
      </c>
      <c r="D85" s="37" t="s">
        <v>16</v>
      </c>
      <c r="E85" s="37" t="s">
        <v>37</v>
      </c>
      <c r="F85" s="37" t="s">
        <v>37</v>
      </c>
      <c r="G85" s="38" t="s">
        <v>14</v>
      </c>
      <c r="H85" s="39">
        <v>9838</v>
      </c>
      <c r="I85" s="40">
        <v>30.3516975</v>
      </c>
      <c r="J85" s="39">
        <v>8359</v>
      </c>
      <c r="K85" s="40">
        <v>54.1930853</v>
      </c>
    </row>
    <row r="86" spans="1:11" ht="15" hidden="1" customHeight="1">
      <c r="A86" s="7"/>
      <c r="B86" s="32">
        <v>79</v>
      </c>
      <c r="C86" s="33" t="s">
        <v>17</v>
      </c>
      <c r="D86" s="33" t="s">
        <v>16</v>
      </c>
      <c r="E86" s="33" t="s">
        <v>39</v>
      </c>
      <c r="F86" s="33"/>
      <c r="G86" s="33" t="s">
        <v>39</v>
      </c>
      <c r="H86" s="34">
        <v>75583</v>
      </c>
      <c r="I86" s="35">
        <v>29.533096100000002</v>
      </c>
      <c r="J86" s="34">
        <v>70846</v>
      </c>
      <c r="K86" s="35">
        <v>46.838212499999997</v>
      </c>
    </row>
    <row r="87" spans="1:11" ht="15" hidden="1" customHeight="1">
      <c r="A87" s="7"/>
      <c r="B87" s="36">
        <v>80</v>
      </c>
      <c r="C87" s="37" t="s">
        <v>17</v>
      </c>
      <c r="D87" s="37" t="s">
        <v>16</v>
      </c>
      <c r="E87" s="37" t="s">
        <v>39</v>
      </c>
      <c r="F87" s="37"/>
      <c r="G87" s="38" t="s">
        <v>13</v>
      </c>
      <c r="H87" s="39">
        <v>7329</v>
      </c>
      <c r="I87" s="40">
        <v>96.084049699999994</v>
      </c>
      <c r="J87" s="39">
        <v>13270</v>
      </c>
      <c r="K87" s="40">
        <v>95.478522999999996</v>
      </c>
    </row>
    <row r="88" spans="1:11" ht="15" hidden="1" customHeight="1">
      <c r="A88" s="7"/>
      <c r="B88" s="36">
        <v>81</v>
      </c>
      <c r="C88" s="37" t="s">
        <v>17</v>
      </c>
      <c r="D88" s="37" t="s">
        <v>16</v>
      </c>
      <c r="E88" s="37" t="s">
        <v>39</v>
      </c>
      <c r="F88" s="37"/>
      <c r="G88" s="38" t="s">
        <v>14</v>
      </c>
      <c r="H88" s="39">
        <v>68254</v>
      </c>
      <c r="I88" s="40">
        <v>22.386966300000001</v>
      </c>
      <c r="J88" s="39">
        <v>57576</v>
      </c>
      <c r="K88" s="40">
        <v>35.627692099999997</v>
      </c>
    </row>
    <row r="89" spans="1:11" ht="15" customHeight="1">
      <c r="A89" s="7"/>
      <c r="B89" s="41">
        <v>82</v>
      </c>
      <c r="C89" s="42" t="s">
        <v>19</v>
      </c>
      <c r="D89" s="42" t="s">
        <v>16</v>
      </c>
      <c r="E89" s="42" t="s">
        <v>39</v>
      </c>
      <c r="F89" s="42" t="s">
        <v>40</v>
      </c>
      <c r="G89" s="42" t="s">
        <v>40</v>
      </c>
      <c r="H89" s="43">
        <v>14936</v>
      </c>
      <c r="I89" s="44">
        <v>46.411355100000002</v>
      </c>
      <c r="J89" s="43">
        <v>14219</v>
      </c>
      <c r="K89" s="44">
        <v>60.292566299999997</v>
      </c>
    </row>
    <row r="90" spans="1:11" ht="15" hidden="1" customHeight="1">
      <c r="A90" s="7"/>
      <c r="B90" s="36">
        <v>83</v>
      </c>
      <c r="C90" s="37" t="s">
        <v>19</v>
      </c>
      <c r="D90" s="37" t="s">
        <v>16</v>
      </c>
      <c r="E90" s="37" t="s">
        <v>39</v>
      </c>
      <c r="F90" s="37" t="s">
        <v>40</v>
      </c>
      <c r="G90" s="38" t="s">
        <v>13</v>
      </c>
      <c r="H90" s="39">
        <v>4891</v>
      </c>
      <c r="I90" s="40">
        <v>98.262114100000005</v>
      </c>
      <c r="J90" s="39">
        <v>5118</v>
      </c>
      <c r="K90" s="40">
        <v>99.081672499999996</v>
      </c>
    </row>
    <row r="91" spans="1:11" ht="15" hidden="1" customHeight="1">
      <c r="A91" s="7"/>
      <c r="B91" s="36">
        <v>84</v>
      </c>
      <c r="C91" s="37" t="s">
        <v>19</v>
      </c>
      <c r="D91" s="37" t="s">
        <v>16</v>
      </c>
      <c r="E91" s="37" t="s">
        <v>39</v>
      </c>
      <c r="F91" s="37" t="s">
        <v>40</v>
      </c>
      <c r="G91" s="38" t="s">
        <v>14</v>
      </c>
      <c r="H91" s="39">
        <v>10045</v>
      </c>
      <c r="I91" s="40">
        <v>21.164758599999999</v>
      </c>
      <c r="J91" s="39">
        <v>9101</v>
      </c>
      <c r="K91" s="40">
        <v>38.479287999999997</v>
      </c>
    </row>
    <row r="92" spans="1:11" ht="15" customHeight="1">
      <c r="A92" s="7"/>
      <c r="B92" s="41">
        <v>85</v>
      </c>
      <c r="C92" s="42" t="s">
        <v>19</v>
      </c>
      <c r="D92" s="42" t="s">
        <v>16</v>
      </c>
      <c r="E92" s="42" t="s">
        <v>39</v>
      </c>
      <c r="F92" s="42" t="s">
        <v>41</v>
      </c>
      <c r="G92" s="42" t="s">
        <v>41</v>
      </c>
      <c r="H92" s="43">
        <v>32142</v>
      </c>
      <c r="I92" s="44">
        <v>24.463318999999998</v>
      </c>
      <c r="J92" s="43">
        <v>26515</v>
      </c>
      <c r="K92" s="44">
        <v>43.809164600000003</v>
      </c>
    </row>
    <row r="93" spans="1:11" ht="15" hidden="1" customHeight="1">
      <c r="A93" s="7"/>
      <c r="B93" s="36">
        <v>86</v>
      </c>
      <c r="C93" s="37" t="s">
        <v>19</v>
      </c>
      <c r="D93" s="37" t="s">
        <v>16</v>
      </c>
      <c r="E93" s="37" t="s">
        <v>39</v>
      </c>
      <c r="F93" s="37" t="s">
        <v>41</v>
      </c>
      <c r="G93" s="38" t="s">
        <v>13</v>
      </c>
      <c r="H93" s="39"/>
      <c r="I93" s="40"/>
      <c r="J93" s="39">
        <v>2802</v>
      </c>
      <c r="K93" s="40">
        <v>91.149179200000006</v>
      </c>
    </row>
    <row r="94" spans="1:11" ht="15" hidden="1" customHeight="1">
      <c r="A94" s="7"/>
      <c r="B94" s="36">
        <v>87</v>
      </c>
      <c r="C94" s="37" t="s">
        <v>19</v>
      </c>
      <c r="D94" s="37" t="s">
        <v>16</v>
      </c>
      <c r="E94" s="37" t="s">
        <v>39</v>
      </c>
      <c r="F94" s="37" t="s">
        <v>41</v>
      </c>
      <c r="G94" s="38" t="s">
        <v>14</v>
      </c>
      <c r="H94" s="39">
        <v>32142</v>
      </c>
      <c r="I94" s="40">
        <v>24.463318999999998</v>
      </c>
      <c r="J94" s="39">
        <v>23713</v>
      </c>
      <c r="K94" s="40">
        <v>38.215324899999999</v>
      </c>
    </row>
    <row r="95" spans="1:11" ht="15" customHeight="1">
      <c r="A95" s="7"/>
      <c r="B95" s="41">
        <v>88</v>
      </c>
      <c r="C95" s="42" t="s">
        <v>19</v>
      </c>
      <c r="D95" s="42" t="s">
        <v>16</v>
      </c>
      <c r="E95" s="42" t="s">
        <v>39</v>
      </c>
      <c r="F95" s="42" t="s">
        <v>42</v>
      </c>
      <c r="G95" s="42" t="s">
        <v>42</v>
      </c>
      <c r="H95" s="43">
        <v>12849</v>
      </c>
      <c r="I95" s="44">
        <v>20.281734</v>
      </c>
      <c r="J95" s="43">
        <v>15967</v>
      </c>
      <c r="K95" s="44">
        <v>37.220517299999997</v>
      </c>
    </row>
    <row r="96" spans="1:11" ht="15" hidden="1" customHeight="1">
      <c r="A96" s="7"/>
      <c r="B96" s="36">
        <v>89</v>
      </c>
      <c r="C96" s="37" t="s">
        <v>19</v>
      </c>
      <c r="D96" s="37" t="s">
        <v>16</v>
      </c>
      <c r="E96" s="37" t="s">
        <v>39</v>
      </c>
      <c r="F96" s="37" t="s">
        <v>42</v>
      </c>
      <c r="G96" s="38" t="s">
        <v>13</v>
      </c>
      <c r="H96" s="39"/>
      <c r="I96" s="40"/>
      <c r="J96" s="39">
        <v>2769</v>
      </c>
      <c r="K96" s="40">
        <v>90.935355700000002</v>
      </c>
    </row>
    <row r="97" spans="1:11" ht="15" hidden="1" customHeight="1">
      <c r="A97" s="7"/>
      <c r="B97" s="36">
        <v>90</v>
      </c>
      <c r="C97" s="37" t="s">
        <v>19</v>
      </c>
      <c r="D97" s="37" t="s">
        <v>16</v>
      </c>
      <c r="E97" s="37" t="s">
        <v>39</v>
      </c>
      <c r="F97" s="37" t="s">
        <v>42</v>
      </c>
      <c r="G97" s="38" t="s">
        <v>14</v>
      </c>
      <c r="H97" s="39">
        <v>12849</v>
      </c>
      <c r="I97" s="40">
        <v>20.281734</v>
      </c>
      <c r="J97" s="39">
        <v>13198</v>
      </c>
      <c r="K97" s="40">
        <v>25.950901699999999</v>
      </c>
    </row>
    <row r="98" spans="1:11" ht="15" customHeight="1">
      <c r="A98" s="7"/>
      <c r="B98" s="41">
        <v>91</v>
      </c>
      <c r="C98" s="42" t="s">
        <v>19</v>
      </c>
      <c r="D98" s="42" t="s">
        <v>16</v>
      </c>
      <c r="E98" s="42" t="s">
        <v>39</v>
      </c>
      <c r="F98" s="42" t="s">
        <v>43</v>
      </c>
      <c r="G98" s="42" t="s">
        <v>43</v>
      </c>
      <c r="H98" s="43">
        <v>15656</v>
      </c>
      <c r="I98" s="44">
        <v>31.432038800000001</v>
      </c>
      <c r="J98" s="43">
        <v>14145</v>
      </c>
      <c r="K98" s="44">
        <v>49.848002800000003</v>
      </c>
    </row>
    <row r="99" spans="1:11" ht="15" hidden="1" customHeight="1">
      <c r="A99" s="7"/>
      <c r="B99" s="36">
        <v>92</v>
      </c>
      <c r="C99" s="37" t="s">
        <v>19</v>
      </c>
      <c r="D99" s="37" t="s">
        <v>16</v>
      </c>
      <c r="E99" s="37" t="s">
        <v>39</v>
      </c>
      <c r="F99" s="37" t="s">
        <v>43</v>
      </c>
      <c r="G99" s="38" t="s">
        <v>13</v>
      </c>
      <c r="H99" s="39">
        <v>2438</v>
      </c>
      <c r="I99" s="40">
        <v>91.714520100000001</v>
      </c>
      <c r="J99" s="39">
        <v>2581</v>
      </c>
      <c r="K99" s="40">
        <v>97.9077877</v>
      </c>
    </row>
    <row r="100" spans="1:11" ht="15" hidden="1" customHeight="1">
      <c r="A100" s="7"/>
      <c r="B100" s="36">
        <v>93</v>
      </c>
      <c r="C100" s="37" t="s">
        <v>19</v>
      </c>
      <c r="D100" s="37" t="s">
        <v>16</v>
      </c>
      <c r="E100" s="37" t="s">
        <v>39</v>
      </c>
      <c r="F100" s="37" t="s">
        <v>43</v>
      </c>
      <c r="G100" s="38" t="s">
        <v>14</v>
      </c>
      <c r="H100" s="39">
        <v>13218</v>
      </c>
      <c r="I100" s="40">
        <v>20.3132093</v>
      </c>
      <c r="J100" s="39">
        <v>11564</v>
      </c>
      <c r="K100" s="40">
        <v>39.121411299999998</v>
      </c>
    </row>
    <row r="101" spans="1:11" ht="15" hidden="1" customHeight="1">
      <c r="A101" s="7"/>
      <c r="B101" s="32">
        <v>94</v>
      </c>
      <c r="C101" s="33" t="s">
        <v>17</v>
      </c>
      <c r="D101" s="33" t="s">
        <v>16</v>
      </c>
      <c r="E101" s="33" t="s">
        <v>44</v>
      </c>
      <c r="F101" s="33"/>
      <c r="G101" s="33" t="s">
        <v>44</v>
      </c>
      <c r="H101" s="34">
        <v>10876</v>
      </c>
      <c r="I101" s="35">
        <v>31.463773400000001</v>
      </c>
      <c r="J101" s="34">
        <v>8941</v>
      </c>
      <c r="K101" s="35">
        <v>44.838385000000002</v>
      </c>
    </row>
    <row r="102" spans="1:11" ht="15" hidden="1" customHeight="1">
      <c r="A102" s="7"/>
      <c r="B102" s="36">
        <v>95</v>
      </c>
      <c r="C102" s="37" t="s">
        <v>17</v>
      </c>
      <c r="D102" s="37" t="s">
        <v>16</v>
      </c>
      <c r="E102" s="37" t="s">
        <v>44</v>
      </c>
      <c r="F102" s="37"/>
      <c r="G102" s="38" t="s">
        <v>13</v>
      </c>
      <c r="H102" s="39">
        <v>3127</v>
      </c>
      <c r="I102" s="40">
        <v>90.150303800000003</v>
      </c>
      <c r="J102" s="39">
        <v>3333</v>
      </c>
      <c r="K102" s="40">
        <v>94.089408899999995</v>
      </c>
    </row>
    <row r="103" spans="1:11" ht="15" hidden="1" customHeight="1">
      <c r="A103" s="7"/>
      <c r="B103" s="36">
        <v>96</v>
      </c>
      <c r="C103" s="37" t="s">
        <v>17</v>
      </c>
      <c r="D103" s="37" t="s">
        <v>16</v>
      </c>
      <c r="E103" s="37" t="s">
        <v>44</v>
      </c>
      <c r="F103" s="37"/>
      <c r="G103" s="38" t="s">
        <v>14</v>
      </c>
      <c r="H103" s="39">
        <v>7749</v>
      </c>
      <c r="I103" s="40">
        <v>7.7816492000000004</v>
      </c>
      <c r="J103" s="39">
        <v>5608</v>
      </c>
      <c r="K103" s="40">
        <v>15.5670471</v>
      </c>
    </row>
    <row r="104" spans="1:11" ht="15" customHeight="1">
      <c r="A104" s="7"/>
      <c r="B104" s="41">
        <v>97</v>
      </c>
      <c r="C104" s="42" t="s">
        <v>19</v>
      </c>
      <c r="D104" s="42" t="s">
        <v>16</v>
      </c>
      <c r="E104" s="42" t="s">
        <v>44</v>
      </c>
      <c r="F104" s="42" t="s">
        <v>45</v>
      </c>
      <c r="G104" s="42" t="s">
        <v>45</v>
      </c>
      <c r="H104" s="43">
        <v>10876</v>
      </c>
      <c r="I104" s="44">
        <v>31.463773400000001</v>
      </c>
      <c r="J104" s="43">
        <v>8941</v>
      </c>
      <c r="K104" s="44">
        <v>44.838385000000002</v>
      </c>
    </row>
    <row r="105" spans="1:11" ht="15" hidden="1" customHeight="1">
      <c r="A105" s="7"/>
      <c r="B105" s="36">
        <v>98</v>
      </c>
      <c r="C105" s="37" t="s">
        <v>19</v>
      </c>
      <c r="D105" s="37" t="s">
        <v>16</v>
      </c>
      <c r="E105" s="37" t="s">
        <v>44</v>
      </c>
      <c r="F105" s="37" t="s">
        <v>45</v>
      </c>
      <c r="G105" s="38" t="s">
        <v>13</v>
      </c>
      <c r="H105" s="39">
        <v>3127</v>
      </c>
      <c r="I105" s="40">
        <v>90.150303800000003</v>
      </c>
      <c r="J105" s="39">
        <v>3333</v>
      </c>
      <c r="K105" s="40">
        <v>94.089408899999995</v>
      </c>
    </row>
    <row r="106" spans="1:11" ht="15" hidden="1" customHeight="1">
      <c r="A106" s="7"/>
      <c r="B106" s="36">
        <v>99</v>
      </c>
      <c r="C106" s="37" t="s">
        <v>19</v>
      </c>
      <c r="D106" s="37" t="s">
        <v>16</v>
      </c>
      <c r="E106" s="37" t="s">
        <v>44</v>
      </c>
      <c r="F106" s="37" t="s">
        <v>45</v>
      </c>
      <c r="G106" s="38" t="s">
        <v>14</v>
      </c>
      <c r="H106" s="39">
        <v>7749</v>
      </c>
      <c r="I106" s="40">
        <v>7.7816492000000004</v>
      </c>
      <c r="J106" s="39">
        <v>5608</v>
      </c>
      <c r="K106" s="40">
        <v>15.5670471</v>
      </c>
    </row>
    <row r="107" spans="1:11" ht="15" hidden="1" customHeight="1">
      <c r="A107" s="7"/>
      <c r="B107" s="32">
        <v>100</v>
      </c>
      <c r="C107" s="33" t="s">
        <v>17</v>
      </c>
      <c r="D107" s="33" t="s">
        <v>16</v>
      </c>
      <c r="E107" s="33" t="s">
        <v>46</v>
      </c>
      <c r="F107" s="33"/>
      <c r="G107" s="33" t="s">
        <v>46</v>
      </c>
      <c r="H107" s="34">
        <v>24795</v>
      </c>
      <c r="I107" s="35">
        <v>28.7517645</v>
      </c>
      <c r="J107" s="34">
        <v>24966</v>
      </c>
      <c r="K107" s="35">
        <v>47.724905900000003</v>
      </c>
    </row>
    <row r="108" spans="1:11" ht="15" hidden="1" customHeight="1">
      <c r="A108" s="7"/>
      <c r="B108" s="36">
        <v>101</v>
      </c>
      <c r="C108" s="37" t="s">
        <v>17</v>
      </c>
      <c r="D108" s="37" t="s">
        <v>16</v>
      </c>
      <c r="E108" s="37" t="s">
        <v>46</v>
      </c>
      <c r="F108" s="37"/>
      <c r="G108" s="38" t="s">
        <v>13</v>
      </c>
      <c r="H108" s="39">
        <v>2622</v>
      </c>
      <c r="I108" s="40">
        <v>93.668954999999997</v>
      </c>
      <c r="J108" s="39">
        <v>5615</v>
      </c>
      <c r="K108" s="40">
        <v>93.196794299999993</v>
      </c>
    </row>
    <row r="109" spans="1:11" ht="15" hidden="1" customHeight="1">
      <c r="A109" s="7"/>
      <c r="B109" s="36">
        <v>102</v>
      </c>
      <c r="C109" s="37" t="s">
        <v>17</v>
      </c>
      <c r="D109" s="37" t="s">
        <v>16</v>
      </c>
      <c r="E109" s="37" t="s">
        <v>46</v>
      </c>
      <c r="F109" s="37"/>
      <c r="G109" s="38" t="s">
        <v>14</v>
      </c>
      <c r="H109" s="39">
        <v>22173</v>
      </c>
      <c r="I109" s="40">
        <v>21.075181499999999</v>
      </c>
      <c r="J109" s="39">
        <v>19351</v>
      </c>
      <c r="K109" s="40">
        <v>34.530515200000004</v>
      </c>
    </row>
    <row r="110" spans="1:11" ht="15" customHeight="1">
      <c r="A110" s="7"/>
      <c r="B110" s="41">
        <v>103</v>
      </c>
      <c r="C110" s="42" t="s">
        <v>19</v>
      </c>
      <c r="D110" s="42" t="s">
        <v>16</v>
      </c>
      <c r="E110" s="42" t="s">
        <v>46</v>
      </c>
      <c r="F110" s="42" t="s">
        <v>47</v>
      </c>
      <c r="G110" s="42" t="s">
        <v>47</v>
      </c>
      <c r="H110" s="43">
        <v>3359</v>
      </c>
      <c r="I110" s="44">
        <v>27.240250100000001</v>
      </c>
      <c r="J110" s="43">
        <v>5260</v>
      </c>
      <c r="K110" s="44">
        <v>50.304182500000003</v>
      </c>
    </row>
    <row r="111" spans="1:11" ht="15" hidden="1" customHeight="1">
      <c r="A111" s="7"/>
      <c r="B111" s="36">
        <v>104</v>
      </c>
      <c r="C111" s="37" t="s">
        <v>19</v>
      </c>
      <c r="D111" s="37" t="s">
        <v>16</v>
      </c>
      <c r="E111" s="37" t="s">
        <v>46</v>
      </c>
      <c r="F111" s="37" t="s">
        <v>47</v>
      </c>
      <c r="G111" s="38" t="s">
        <v>13</v>
      </c>
      <c r="H111" s="39"/>
      <c r="I111" s="40"/>
      <c r="J111" s="39">
        <v>2269</v>
      </c>
      <c r="K111" s="40">
        <v>93.5213751</v>
      </c>
    </row>
    <row r="112" spans="1:11" ht="15" hidden="1" customHeight="1">
      <c r="A112" s="7"/>
      <c r="B112" s="36">
        <v>105</v>
      </c>
      <c r="C112" s="37" t="s">
        <v>19</v>
      </c>
      <c r="D112" s="37" t="s">
        <v>16</v>
      </c>
      <c r="E112" s="37" t="s">
        <v>46</v>
      </c>
      <c r="F112" s="37" t="s">
        <v>47</v>
      </c>
      <c r="G112" s="38" t="s">
        <v>14</v>
      </c>
      <c r="H112" s="39">
        <v>3359</v>
      </c>
      <c r="I112" s="40">
        <v>27.240250100000001</v>
      </c>
      <c r="J112" s="39">
        <v>2991</v>
      </c>
      <c r="K112" s="40">
        <v>17.519224300000001</v>
      </c>
    </row>
    <row r="113" spans="1:11" ht="15" customHeight="1">
      <c r="A113" s="7"/>
      <c r="B113" s="41">
        <v>106</v>
      </c>
      <c r="C113" s="42" t="s">
        <v>19</v>
      </c>
      <c r="D113" s="42" t="s">
        <v>16</v>
      </c>
      <c r="E113" s="42" t="s">
        <v>46</v>
      </c>
      <c r="F113" s="42" t="s">
        <v>48</v>
      </c>
      <c r="G113" s="42" t="s">
        <v>48</v>
      </c>
      <c r="H113" s="43">
        <v>17511</v>
      </c>
      <c r="I113" s="44">
        <v>29.878362200000002</v>
      </c>
      <c r="J113" s="43">
        <v>14775</v>
      </c>
      <c r="K113" s="44">
        <v>49.143824000000002</v>
      </c>
    </row>
    <row r="114" spans="1:11" ht="15" hidden="1" customHeight="1">
      <c r="A114" s="7"/>
      <c r="B114" s="36">
        <v>107</v>
      </c>
      <c r="C114" s="37" t="s">
        <v>19</v>
      </c>
      <c r="D114" s="37" t="s">
        <v>16</v>
      </c>
      <c r="E114" s="37" t="s">
        <v>46</v>
      </c>
      <c r="F114" s="37" t="s">
        <v>48</v>
      </c>
      <c r="G114" s="38" t="s">
        <v>13</v>
      </c>
      <c r="H114" s="39">
        <v>2622</v>
      </c>
      <c r="I114" s="40">
        <v>93.668954999999997</v>
      </c>
      <c r="J114" s="39">
        <v>3346</v>
      </c>
      <c r="K114" s="40">
        <v>92.976688600000003</v>
      </c>
    </row>
    <row r="115" spans="1:11" ht="15" hidden="1" customHeight="1">
      <c r="A115" s="7"/>
      <c r="B115" s="36">
        <v>108</v>
      </c>
      <c r="C115" s="37" t="s">
        <v>19</v>
      </c>
      <c r="D115" s="37" t="s">
        <v>16</v>
      </c>
      <c r="E115" s="37" t="s">
        <v>46</v>
      </c>
      <c r="F115" s="37" t="s">
        <v>48</v>
      </c>
      <c r="G115" s="38" t="s">
        <v>14</v>
      </c>
      <c r="H115" s="39">
        <v>14889</v>
      </c>
      <c r="I115" s="40">
        <v>18.644636999999999</v>
      </c>
      <c r="J115" s="39">
        <v>11429</v>
      </c>
      <c r="K115" s="40">
        <v>36.311138300000003</v>
      </c>
    </row>
    <row r="116" spans="1:11" ht="15" customHeight="1">
      <c r="A116" s="7"/>
      <c r="B116" s="41">
        <v>109</v>
      </c>
      <c r="C116" s="42" t="s">
        <v>19</v>
      </c>
      <c r="D116" s="42" t="s">
        <v>16</v>
      </c>
      <c r="E116" s="42" t="s">
        <v>46</v>
      </c>
      <c r="F116" s="42" t="s">
        <v>49</v>
      </c>
      <c r="G116" s="42" t="s">
        <v>49</v>
      </c>
      <c r="H116" s="43">
        <v>3925</v>
      </c>
      <c r="I116" s="44">
        <v>25.019108299999999</v>
      </c>
      <c r="J116" s="43">
        <v>4931</v>
      </c>
      <c r="K116" s="44">
        <v>40.721963100000004</v>
      </c>
    </row>
    <row r="117" spans="1:11" ht="15" hidden="1" customHeight="1">
      <c r="A117" s="7"/>
      <c r="B117" s="36">
        <v>110</v>
      </c>
      <c r="C117" s="37" t="s">
        <v>19</v>
      </c>
      <c r="D117" s="37" t="s">
        <v>16</v>
      </c>
      <c r="E117" s="37" t="s">
        <v>46</v>
      </c>
      <c r="F117" s="37" t="s">
        <v>49</v>
      </c>
      <c r="G117" s="38" t="s">
        <v>13</v>
      </c>
      <c r="H117" s="39"/>
      <c r="I117" s="40"/>
      <c r="J117" s="39"/>
      <c r="K117" s="40"/>
    </row>
    <row r="118" spans="1:11" ht="15" hidden="1" customHeight="1">
      <c r="A118" s="7"/>
      <c r="B118" s="36">
        <v>111</v>
      </c>
      <c r="C118" s="37" t="s">
        <v>19</v>
      </c>
      <c r="D118" s="37" t="s">
        <v>16</v>
      </c>
      <c r="E118" s="37" t="s">
        <v>46</v>
      </c>
      <c r="F118" s="37" t="s">
        <v>49</v>
      </c>
      <c r="G118" s="38" t="s">
        <v>14</v>
      </c>
      <c r="H118" s="39">
        <v>3925</v>
      </c>
      <c r="I118" s="40">
        <v>25.019108299999999</v>
      </c>
      <c r="J118" s="39">
        <v>4931</v>
      </c>
      <c r="K118" s="40">
        <v>40.721963100000004</v>
      </c>
    </row>
    <row r="119" spans="1:11" ht="15" hidden="1" customHeight="1">
      <c r="A119" s="7"/>
      <c r="B119" s="32">
        <v>112</v>
      </c>
      <c r="C119" s="33" t="s">
        <v>17</v>
      </c>
      <c r="D119" s="33" t="s">
        <v>16</v>
      </c>
      <c r="E119" s="33" t="s">
        <v>50</v>
      </c>
      <c r="F119" s="33"/>
      <c r="G119" s="33" t="s">
        <v>50</v>
      </c>
      <c r="H119" s="34">
        <v>18316</v>
      </c>
      <c r="I119" s="35">
        <v>31.305962000000001</v>
      </c>
      <c r="J119" s="34">
        <v>19511</v>
      </c>
      <c r="K119" s="35">
        <v>47.0657578</v>
      </c>
    </row>
    <row r="120" spans="1:11" ht="15" hidden="1" customHeight="1">
      <c r="A120" s="7"/>
      <c r="B120" s="36">
        <v>113</v>
      </c>
      <c r="C120" s="37" t="s">
        <v>17</v>
      </c>
      <c r="D120" s="37" t="s">
        <v>16</v>
      </c>
      <c r="E120" s="37" t="s">
        <v>50</v>
      </c>
      <c r="F120" s="37"/>
      <c r="G120" s="38" t="s">
        <v>13</v>
      </c>
      <c r="H120" s="39">
        <v>2915</v>
      </c>
      <c r="I120" s="40">
        <v>93.996569500000007</v>
      </c>
      <c r="J120" s="39">
        <v>3813</v>
      </c>
      <c r="K120" s="40">
        <v>97.928140600000006</v>
      </c>
    </row>
    <row r="121" spans="1:11" ht="15" hidden="1" customHeight="1">
      <c r="A121" s="7"/>
      <c r="B121" s="36">
        <v>114</v>
      </c>
      <c r="C121" s="37" t="s">
        <v>17</v>
      </c>
      <c r="D121" s="37" t="s">
        <v>16</v>
      </c>
      <c r="E121" s="37" t="s">
        <v>50</v>
      </c>
      <c r="F121" s="37"/>
      <c r="G121" s="38" t="s">
        <v>14</v>
      </c>
      <c r="H121" s="39">
        <v>15401</v>
      </c>
      <c r="I121" s="40">
        <v>19.440296100000001</v>
      </c>
      <c r="J121" s="39">
        <v>15698</v>
      </c>
      <c r="K121" s="40">
        <v>34.7114282</v>
      </c>
    </row>
    <row r="122" spans="1:11" ht="15" customHeight="1">
      <c r="A122" s="7"/>
      <c r="B122" s="41">
        <v>115</v>
      </c>
      <c r="C122" s="42" t="s">
        <v>19</v>
      </c>
      <c r="D122" s="42" t="s">
        <v>16</v>
      </c>
      <c r="E122" s="42" t="s">
        <v>50</v>
      </c>
      <c r="F122" s="42" t="s">
        <v>51</v>
      </c>
      <c r="G122" s="42" t="s">
        <v>51</v>
      </c>
      <c r="H122" s="43">
        <v>9204</v>
      </c>
      <c r="I122" s="44">
        <v>36.6905693</v>
      </c>
      <c r="J122" s="43">
        <v>10494</v>
      </c>
      <c r="K122" s="44">
        <v>47.160282100000003</v>
      </c>
    </row>
    <row r="123" spans="1:11" ht="15" hidden="1" customHeight="1">
      <c r="A123" s="7"/>
      <c r="B123" s="36">
        <v>116</v>
      </c>
      <c r="C123" s="37" t="s">
        <v>19</v>
      </c>
      <c r="D123" s="37" t="s">
        <v>16</v>
      </c>
      <c r="E123" s="37" t="s">
        <v>50</v>
      </c>
      <c r="F123" s="37" t="s">
        <v>51</v>
      </c>
      <c r="G123" s="38" t="s">
        <v>13</v>
      </c>
      <c r="H123" s="39">
        <v>2915</v>
      </c>
      <c r="I123" s="40">
        <v>93.996569500000007</v>
      </c>
      <c r="J123" s="39">
        <v>3813</v>
      </c>
      <c r="K123" s="40">
        <v>97.928140600000006</v>
      </c>
    </row>
    <row r="124" spans="1:11" ht="15" hidden="1" customHeight="1">
      <c r="A124" s="7"/>
      <c r="B124" s="36">
        <v>117</v>
      </c>
      <c r="C124" s="37" t="s">
        <v>19</v>
      </c>
      <c r="D124" s="37" t="s">
        <v>16</v>
      </c>
      <c r="E124" s="37" t="s">
        <v>50</v>
      </c>
      <c r="F124" s="37" t="s">
        <v>51</v>
      </c>
      <c r="G124" s="38" t="s">
        <v>14</v>
      </c>
      <c r="H124" s="39">
        <v>6289</v>
      </c>
      <c r="I124" s="40">
        <v>10.128796299999999</v>
      </c>
      <c r="J124" s="39">
        <v>6681</v>
      </c>
      <c r="K124" s="40">
        <v>18.1859003</v>
      </c>
    </row>
    <row r="125" spans="1:11" ht="15" customHeight="1">
      <c r="A125" s="7"/>
      <c r="B125" s="41">
        <v>118</v>
      </c>
      <c r="C125" s="42" t="s">
        <v>19</v>
      </c>
      <c r="D125" s="42" t="s">
        <v>16</v>
      </c>
      <c r="E125" s="42" t="s">
        <v>50</v>
      </c>
      <c r="F125" s="42" t="s">
        <v>52</v>
      </c>
      <c r="G125" s="42" t="s">
        <v>52</v>
      </c>
      <c r="H125" s="43">
        <v>2414</v>
      </c>
      <c r="I125" s="44">
        <v>10.8947804</v>
      </c>
      <c r="J125" s="43">
        <v>2529</v>
      </c>
      <c r="K125" s="44">
        <v>33.4914986</v>
      </c>
    </row>
    <row r="126" spans="1:11" ht="15" hidden="1" customHeight="1">
      <c r="A126" s="7"/>
      <c r="B126" s="36">
        <v>119</v>
      </c>
      <c r="C126" s="37" t="s">
        <v>19</v>
      </c>
      <c r="D126" s="37" t="s">
        <v>16</v>
      </c>
      <c r="E126" s="37" t="s">
        <v>50</v>
      </c>
      <c r="F126" s="37" t="s">
        <v>52</v>
      </c>
      <c r="G126" s="38" t="s">
        <v>13</v>
      </c>
      <c r="H126" s="39"/>
      <c r="I126" s="40"/>
      <c r="J126" s="39"/>
      <c r="K126" s="40"/>
    </row>
    <row r="127" spans="1:11" ht="15" hidden="1" customHeight="1">
      <c r="A127" s="7"/>
      <c r="B127" s="36">
        <v>120</v>
      </c>
      <c r="C127" s="37" t="s">
        <v>19</v>
      </c>
      <c r="D127" s="37" t="s">
        <v>16</v>
      </c>
      <c r="E127" s="37" t="s">
        <v>50</v>
      </c>
      <c r="F127" s="37" t="s">
        <v>52</v>
      </c>
      <c r="G127" s="38" t="s">
        <v>14</v>
      </c>
      <c r="H127" s="39">
        <v>2414</v>
      </c>
      <c r="I127" s="40">
        <v>10.8947804</v>
      </c>
      <c r="J127" s="39">
        <v>2529</v>
      </c>
      <c r="K127" s="40">
        <v>33.4914986</v>
      </c>
    </row>
    <row r="128" spans="1:11" ht="15" customHeight="1">
      <c r="A128" s="7"/>
      <c r="B128" s="41">
        <v>121</v>
      </c>
      <c r="C128" s="42" t="s">
        <v>19</v>
      </c>
      <c r="D128" s="42" t="s">
        <v>16</v>
      </c>
      <c r="E128" s="42" t="s">
        <v>50</v>
      </c>
      <c r="F128" s="42" t="s">
        <v>53</v>
      </c>
      <c r="G128" s="42" t="s">
        <v>53</v>
      </c>
      <c r="H128" s="43">
        <v>6698</v>
      </c>
      <c r="I128" s="44">
        <v>31.263063599999999</v>
      </c>
      <c r="J128" s="43">
        <v>6488</v>
      </c>
      <c r="K128" s="44">
        <v>52.204069099999998</v>
      </c>
    </row>
    <row r="129" spans="1:11" ht="15" hidden="1" customHeight="1">
      <c r="A129" s="7"/>
      <c r="B129" s="36">
        <v>122</v>
      </c>
      <c r="C129" s="37" t="s">
        <v>19</v>
      </c>
      <c r="D129" s="37" t="s">
        <v>16</v>
      </c>
      <c r="E129" s="37" t="s">
        <v>50</v>
      </c>
      <c r="F129" s="37" t="s">
        <v>53</v>
      </c>
      <c r="G129" s="38" t="s">
        <v>13</v>
      </c>
      <c r="H129" s="39"/>
      <c r="I129" s="40"/>
      <c r="J129" s="39"/>
      <c r="K129" s="40"/>
    </row>
    <row r="130" spans="1:11" ht="15" hidden="1" customHeight="1">
      <c r="A130" s="7"/>
      <c r="B130" s="36">
        <v>123</v>
      </c>
      <c r="C130" s="37" t="s">
        <v>19</v>
      </c>
      <c r="D130" s="37" t="s">
        <v>16</v>
      </c>
      <c r="E130" s="37" t="s">
        <v>50</v>
      </c>
      <c r="F130" s="37" t="s">
        <v>53</v>
      </c>
      <c r="G130" s="38" t="s">
        <v>14</v>
      </c>
      <c r="H130" s="39">
        <v>6698</v>
      </c>
      <c r="I130" s="40">
        <v>31.263063599999999</v>
      </c>
      <c r="J130" s="39">
        <v>6488</v>
      </c>
      <c r="K130" s="40">
        <v>52.204069099999998</v>
      </c>
    </row>
    <row r="131" spans="1:11" ht="15" hidden="1" customHeight="1">
      <c r="A131" s="7"/>
      <c r="B131" s="24">
        <v>124</v>
      </c>
      <c r="C131" s="25" t="s">
        <v>15</v>
      </c>
      <c r="D131" s="25" t="s">
        <v>54</v>
      </c>
      <c r="E131" s="25"/>
      <c r="F131" s="25"/>
      <c r="G131" s="25" t="s">
        <v>54</v>
      </c>
      <c r="H131" s="26">
        <v>2653413</v>
      </c>
      <c r="I131" s="27">
        <v>76.458470700000007</v>
      </c>
      <c r="J131" s="26">
        <v>2947200</v>
      </c>
      <c r="K131" s="27">
        <v>83.640404500000002</v>
      </c>
    </row>
    <row r="132" spans="1:11" ht="15" hidden="1" customHeight="1">
      <c r="A132" s="7"/>
      <c r="B132" s="28">
        <v>125</v>
      </c>
      <c r="C132" s="29" t="s">
        <v>15</v>
      </c>
      <c r="D132" s="45" t="s">
        <v>54</v>
      </c>
      <c r="E132" s="45"/>
      <c r="F132" s="45"/>
      <c r="G132" s="29" t="s">
        <v>13</v>
      </c>
      <c r="H132" s="30">
        <v>1765688</v>
      </c>
      <c r="I132" s="31">
        <v>98.356561299999996</v>
      </c>
      <c r="J132" s="30">
        <v>1906366</v>
      </c>
      <c r="K132" s="31">
        <v>98.965151500000005</v>
      </c>
    </row>
    <row r="133" spans="1:11" ht="15" hidden="1" customHeight="1">
      <c r="A133" s="7"/>
      <c r="B133" s="28">
        <v>126</v>
      </c>
      <c r="C133" s="29" t="s">
        <v>15</v>
      </c>
      <c r="D133" s="45" t="s">
        <v>54</v>
      </c>
      <c r="E133" s="45"/>
      <c r="F133" s="45"/>
      <c r="G133" s="29" t="s">
        <v>14</v>
      </c>
      <c r="H133" s="30">
        <v>887725</v>
      </c>
      <c r="I133" s="31">
        <v>32.903095</v>
      </c>
      <c r="J133" s="30">
        <v>1040834</v>
      </c>
      <c r="K133" s="31">
        <v>55.571973999999997</v>
      </c>
    </row>
    <row r="134" spans="1:11" ht="15" hidden="1" customHeight="1">
      <c r="A134" s="7"/>
      <c r="B134" s="32">
        <v>127</v>
      </c>
      <c r="C134" s="33" t="s">
        <v>17</v>
      </c>
      <c r="D134" s="46" t="s">
        <v>54</v>
      </c>
      <c r="E134" s="46" t="s">
        <v>55</v>
      </c>
      <c r="F134" s="46"/>
      <c r="G134" s="33" t="s">
        <v>55</v>
      </c>
      <c r="H134" s="34">
        <v>1630450</v>
      </c>
      <c r="I134" s="35">
        <v>98.071882000000002</v>
      </c>
      <c r="J134" s="34">
        <v>1685572</v>
      </c>
      <c r="K134" s="35">
        <v>98.738647799999995</v>
      </c>
    </row>
    <row r="135" spans="1:11" ht="15" hidden="1" customHeight="1">
      <c r="A135" s="7"/>
      <c r="B135" s="36">
        <v>128</v>
      </c>
      <c r="C135" s="37" t="s">
        <v>17</v>
      </c>
      <c r="D135" s="37" t="s">
        <v>54</v>
      </c>
      <c r="E135" s="37" t="s">
        <v>55</v>
      </c>
      <c r="F135" s="37"/>
      <c r="G135" s="38" t="s">
        <v>13</v>
      </c>
      <c r="H135" s="39">
        <v>1585642</v>
      </c>
      <c r="I135" s="40">
        <v>99.397972600000003</v>
      </c>
      <c r="J135" s="39">
        <v>1630171</v>
      </c>
      <c r="K135" s="40">
        <v>99.639730999999998</v>
      </c>
    </row>
    <row r="136" spans="1:11" ht="15" hidden="1" customHeight="1">
      <c r="A136" s="7"/>
      <c r="B136" s="36">
        <v>129</v>
      </c>
      <c r="C136" s="37" t="s">
        <v>17</v>
      </c>
      <c r="D136" s="37" t="s">
        <v>54</v>
      </c>
      <c r="E136" s="37" t="s">
        <v>55</v>
      </c>
      <c r="F136" s="37"/>
      <c r="G136" s="38" t="s">
        <v>14</v>
      </c>
      <c r="H136" s="39">
        <v>44808</v>
      </c>
      <c r="I136" s="40">
        <v>51.1448848</v>
      </c>
      <c r="J136" s="39">
        <v>55401</v>
      </c>
      <c r="K136" s="40">
        <v>72.224328099999994</v>
      </c>
    </row>
    <row r="137" spans="1:11" ht="15" customHeight="1">
      <c r="A137" s="7"/>
      <c r="B137" s="41">
        <v>130</v>
      </c>
      <c r="C137" s="42" t="s">
        <v>19</v>
      </c>
      <c r="D137" s="42" t="s">
        <v>54</v>
      </c>
      <c r="E137" s="42" t="s">
        <v>55</v>
      </c>
      <c r="F137" s="42" t="s">
        <v>56</v>
      </c>
      <c r="G137" s="42" t="s">
        <v>56</v>
      </c>
      <c r="H137" s="43">
        <v>743707</v>
      </c>
      <c r="I137" s="44">
        <v>99.174540500000006</v>
      </c>
      <c r="J137" s="43">
        <v>727154</v>
      </c>
      <c r="K137" s="44">
        <v>99.329853099999994</v>
      </c>
    </row>
    <row r="138" spans="1:11" ht="15" hidden="1" customHeight="1">
      <c r="A138" s="7"/>
      <c r="B138" s="36">
        <v>131</v>
      </c>
      <c r="C138" s="37" t="s">
        <v>19</v>
      </c>
      <c r="D138" s="37" t="s">
        <v>54</v>
      </c>
      <c r="E138" s="37" t="s">
        <v>55</v>
      </c>
      <c r="F138" s="37" t="s">
        <v>56</v>
      </c>
      <c r="G138" s="38" t="s">
        <v>13</v>
      </c>
      <c r="H138" s="39">
        <v>736285</v>
      </c>
      <c r="I138" s="40">
        <v>99.702696599999996</v>
      </c>
      <c r="J138" s="39">
        <v>720274</v>
      </c>
      <c r="K138" s="40">
        <v>99.756620400000003</v>
      </c>
    </row>
    <row r="139" spans="1:11" ht="15" hidden="1" customHeight="1">
      <c r="A139" s="7"/>
      <c r="B139" s="36">
        <v>132</v>
      </c>
      <c r="C139" s="37" t="s">
        <v>19</v>
      </c>
      <c r="D139" s="37" t="s">
        <v>54</v>
      </c>
      <c r="E139" s="37" t="s">
        <v>55</v>
      </c>
      <c r="F139" s="37" t="s">
        <v>56</v>
      </c>
      <c r="G139" s="38" t="s">
        <v>14</v>
      </c>
      <c r="H139" s="39">
        <v>7422</v>
      </c>
      <c r="I139" s="40">
        <v>46.779843700000001</v>
      </c>
      <c r="J139" s="39">
        <v>6880</v>
      </c>
      <c r="K139" s="40">
        <v>54.651162800000002</v>
      </c>
    </row>
    <row r="140" spans="1:11" ht="15" customHeight="1">
      <c r="A140" s="7"/>
      <c r="B140" s="41">
        <v>133</v>
      </c>
      <c r="C140" s="42" t="s">
        <v>19</v>
      </c>
      <c r="D140" s="47" t="s">
        <v>54</v>
      </c>
      <c r="E140" s="47" t="s">
        <v>55</v>
      </c>
      <c r="F140" s="47" t="s">
        <v>57</v>
      </c>
      <c r="G140" s="48" t="s">
        <v>57</v>
      </c>
      <c r="H140" s="43">
        <v>16449</v>
      </c>
      <c r="I140" s="44">
        <v>34.950452900000002</v>
      </c>
      <c r="J140" s="43">
        <v>21481</v>
      </c>
      <c r="K140" s="44">
        <v>67.669102899999999</v>
      </c>
    </row>
    <row r="141" spans="1:11" ht="15" hidden="1" customHeight="1">
      <c r="A141" s="7"/>
      <c r="B141" s="36">
        <v>134</v>
      </c>
      <c r="C141" s="37" t="s">
        <v>19</v>
      </c>
      <c r="D141" s="37" t="s">
        <v>54</v>
      </c>
      <c r="E141" s="37" t="s">
        <v>55</v>
      </c>
      <c r="F141" s="37" t="s">
        <v>57</v>
      </c>
      <c r="G141" s="38" t="s">
        <v>13</v>
      </c>
      <c r="H141" s="39"/>
      <c r="I141" s="40"/>
      <c r="J141" s="39"/>
      <c r="K141" s="40"/>
    </row>
    <row r="142" spans="1:11" ht="15" hidden="1" customHeight="1">
      <c r="A142" s="7"/>
      <c r="B142" s="36">
        <v>135</v>
      </c>
      <c r="C142" s="37" t="s">
        <v>19</v>
      </c>
      <c r="D142" s="37" t="s">
        <v>54</v>
      </c>
      <c r="E142" s="37" t="s">
        <v>55</v>
      </c>
      <c r="F142" s="37" t="s">
        <v>57</v>
      </c>
      <c r="G142" s="38" t="s">
        <v>14</v>
      </c>
      <c r="H142" s="39">
        <v>16449</v>
      </c>
      <c r="I142" s="40">
        <v>34.950452900000002</v>
      </c>
      <c r="J142" s="39">
        <v>21481</v>
      </c>
      <c r="K142" s="40">
        <v>67.669102899999999</v>
      </c>
    </row>
    <row r="143" spans="1:11" ht="15" customHeight="1">
      <c r="A143" s="7"/>
      <c r="B143" s="41">
        <v>136</v>
      </c>
      <c r="C143" s="42" t="s">
        <v>19</v>
      </c>
      <c r="D143" s="47" t="s">
        <v>54</v>
      </c>
      <c r="E143" s="47" t="s">
        <v>55</v>
      </c>
      <c r="F143" s="47" t="s">
        <v>58</v>
      </c>
      <c r="G143" s="48" t="s">
        <v>58</v>
      </c>
      <c r="H143" s="43">
        <v>15692</v>
      </c>
      <c r="I143" s="44">
        <v>67.416517999999996</v>
      </c>
      <c r="J143" s="43">
        <v>20230</v>
      </c>
      <c r="K143" s="44">
        <v>80.098863100000003</v>
      </c>
    </row>
    <row r="144" spans="1:11" ht="15" hidden="1" customHeight="1">
      <c r="A144" s="7"/>
      <c r="B144" s="36">
        <v>137</v>
      </c>
      <c r="C144" s="37" t="s">
        <v>19</v>
      </c>
      <c r="D144" s="37" t="s">
        <v>54</v>
      </c>
      <c r="E144" s="37" t="s">
        <v>55</v>
      </c>
      <c r="F144" s="37" t="s">
        <v>58</v>
      </c>
      <c r="G144" s="38" t="s">
        <v>13</v>
      </c>
      <c r="H144" s="39"/>
      <c r="I144" s="40"/>
      <c r="J144" s="39"/>
      <c r="K144" s="40"/>
    </row>
    <row r="145" spans="1:11" ht="15" hidden="1" customHeight="1">
      <c r="A145" s="7"/>
      <c r="B145" s="36">
        <v>138</v>
      </c>
      <c r="C145" s="37" t="s">
        <v>19</v>
      </c>
      <c r="D145" s="37" t="s">
        <v>54</v>
      </c>
      <c r="E145" s="37" t="s">
        <v>55</v>
      </c>
      <c r="F145" s="37" t="s">
        <v>58</v>
      </c>
      <c r="G145" s="38" t="s">
        <v>14</v>
      </c>
      <c r="H145" s="39">
        <v>15692</v>
      </c>
      <c r="I145" s="40">
        <v>67.416517999999996</v>
      </c>
      <c r="J145" s="39">
        <v>20230</v>
      </c>
      <c r="K145" s="40">
        <v>80.098863100000003</v>
      </c>
    </row>
    <row r="146" spans="1:11" ht="15" customHeight="1">
      <c r="A146" s="7"/>
      <c r="B146" s="41">
        <v>139</v>
      </c>
      <c r="C146" s="42" t="s">
        <v>19</v>
      </c>
      <c r="D146" s="47" t="s">
        <v>54</v>
      </c>
      <c r="E146" s="47" t="s">
        <v>55</v>
      </c>
      <c r="F146" s="47" t="s">
        <v>59</v>
      </c>
      <c r="G146" s="48" t="s">
        <v>59</v>
      </c>
      <c r="H146" s="43">
        <v>21947</v>
      </c>
      <c r="I146" s="44">
        <v>85.688248999999999</v>
      </c>
      <c r="J146" s="43">
        <v>43701</v>
      </c>
      <c r="K146" s="44">
        <v>94.579071400000004</v>
      </c>
    </row>
    <row r="147" spans="1:11" ht="15" hidden="1" customHeight="1">
      <c r="A147" s="7"/>
      <c r="B147" s="36">
        <v>140</v>
      </c>
      <c r="C147" s="37" t="s">
        <v>19</v>
      </c>
      <c r="D147" s="37" t="s">
        <v>54</v>
      </c>
      <c r="E147" s="37" t="s">
        <v>55</v>
      </c>
      <c r="F147" s="37" t="s">
        <v>59</v>
      </c>
      <c r="G147" s="38" t="s">
        <v>13</v>
      </c>
      <c r="H147" s="39">
        <v>18257</v>
      </c>
      <c r="I147" s="40">
        <v>90.381771400000005</v>
      </c>
      <c r="J147" s="39">
        <v>37496</v>
      </c>
      <c r="K147" s="40">
        <v>96.343609999999998</v>
      </c>
    </row>
    <row r="148" spans="1:11" ht="15" hidden="1" customHeight="1">
      <c r="A148" s="7"/>
      <c r="B148" s="36">
        <v>141</v>
      </c>
      <c r="C148" s="37" t="s">
        <v>19</v>
      </c>
      <c r="D148" s="37" t="s">
        <v>54</v>
      </c>
      <c r="E148" s="37" t="s">
        <v>55</v>
      </c>
      <c r="F148" s="37" t="s">
        <v>59</v>
      </c>
      <c r="G148" s="38" t="s">
        <v>14</v>
      </c>
      <c r="H148" s="39">
        <v>3690</v>
      </c>
      <c r="I148" s="40">
        <v>62.466124700000002</v>
      </c>
      <c r="J148" s="39">
        <v>6205</v>
      </c>
      <c r="K148" s="40">
        <v>83.916196600000006</v>
      </c>
    </row>
    <row r="149" spans="1:11" ht="15" customHeight="1">
      <c r="A149" s="7"/>
      <c r="B149" s="41">
        <v>142</v>
      </c>
      <c r="C149" s="42" t="s">
        <v>19</v>
      </c>
      <c r="D149" s="47" t="s">
        <v>54</v>
      </c>
      <c r="E149" s="47" t="s">
        <v>55</v>
      </c>
      <c r="F149" s="47" t="s">
        <v>60</v>
      </c>
      <c r="G149" s="48" t="s">
        <v>60</v>
      </c>
      <c r="H149" s="43">
        <v>832655</v>
      </c>
      <c r="I149" s="44">
        <v>99.238099800000001</v>
      </c>
      <c r="J149" s="43">
        <v>873006</v>
      </c>
      <c r="K149" s="44">
        <v>99.650861500000005</v>
      </c>
    </row>
    <row r="150" spans="1:11" ht="15" hidden="1" customHeight="1">
      <c r="A150" s="7"/>
      <c r="B150" s="36">
        <v>143</v>
      </c>
      <c r="C150" s="37" t="s">
        <v>19</v>
      </c>
      <c r="D150" s="37" t="s">
        <v>54</v>
      </c>
      <c r="E150" s="37" t="s">
        <v>55</v>
      </c>
      <c r="F150" s="37" t="s">
        <v>60</v>
      </c>
      <c r="G150" s="38" t="s">
        <v>13</v>
      </c>
      <c r="H150" s="39">
        <v>831100</v>
      </c>
      <c r="I150" s="40">
        <v>99.326073899999997</v>
      </c>
      <c r="J150" s="39">
        <v>872401</v>
      </c>
      <c r="K150" s="40">
        <v>99.684892599999998</v>
      </c>
    </row>
    <row r="151" spans="1:11" ht="15" hidden="1" customHeight="1">
      <c r="A151" s="7"/>
      <c r="B151" s="36">
        <v>144</v>
      </c>
      <c r="C151" s="37" t="s">
        <v>19</v>
      </c>
      <c r="D151" s="37" t="s">
        <v>54</v>
      </c>
      <c r="E151" s="37" t="s">
        <v>55</v>
      </c>
      <c r="F151" s="37" t="s">
        <v>60</v>
      </c>
      <c r="G151" s="38" t="s">
        <v>14</v>
      </c>
      <c r="H151" s="39">
        <v>1555</v>
      </c>
      <c r="I151" s="40">
        <v>52.218649499999998</v>
      </c>
      <c r="J151" s="39">
        <v>605</v>
      </c>
      <c r="K151" s="40">
        <v>50.578512400000001</v>
      </c>
    </row>
    <row r="152" spans="1:11" ht="15" hidden="1" customHeight="1">
      <c r="A152" s="7"/>
      <c r="B152" s="32">
        <v>145</v>
      </c>
      <c r="C152" s="33" t="s">
        <v>17</v>
      </c>
      <c r="D152" s="46" t="s">
        <v>54</v>
      </c>
      <c r="E152" s="46" t="s">
        <v>61</v>
      </c>
      <c r="F152" s="46"/>
      <c r="G152" s="33" t="s">
        <v>61</v>
      </c>
      <c r="H152" s="34">
        <v>83277</v>
      </c>
      <c r="I152" s="35">
        <v>46.444996799999998</v>
      </c>
      <c r="J152" s="34">
        <v>92133</v>
      </c>
      <c r="K152" s="35">
        <v>69.738313099999999</v>
      </c>
    </row>
    <row r="153" spans="1:11" ht="15" hidden="1" customHeight="1">
      <c r="A153" s="7"/>
      <c r="B153" s="36">
        <v>146</v>
      </c>
      <c r="C153" s="37" t="s">
        <v>17</v>
      </c>
      <c r="D153" s="37" t="s">
        <v>54</v>
      </c>
      <c r="E153" s="37" t="s">
        <v>61</v>
      </c>
      <c r="F153" s="37"/>
      <c r="G153" s="38" t="s">
        <v>13</v>
      </c>
      <c r="H153" s="39">
        <v>8855</v>
      </c>
      <c r="I153" s="40">
        <v>98.193111200000004</v>
      </c>
      <c r="J153" s="39">
        <v>8980</v>
      </c>
      <c r="K153" s="40">
        <v>99.454342999999994</v>
      </c>
    </row>
    <row r="154" spans="1:11" ht="15" hidden="1" customHeight="1">
      <c r="A154" s="7"/>
      <c r="B154" s="36">
        <v>147</v>
      </c>
      <c r="C154" s="37" t="s">
        <v>17</v>
      </c>
      <c r="D154" s="37" t="s">
        <v>54</v>
      </c>
      <c r="E154" s="37" t="s">
        <v>61</v>
      </c>
      <c r="F154" s="37"/>
      <c r="G154" s="38" t="s">
        <v>14</v>
      </c>
      <c r="H154" s="39">
        <v>74422</v>
      </c>
      <c r="I154" s="40">
        <v>40.287818100000003</v>
      </c>
      <c r="J154" s="39">
        <v>83153</v>
      </c>
      <c r="K154" s="40">
        <v>66.529169100000004</v>
      </c>
    </row>
    <row r="155" spans="1:11" ht="15" customHeight="1">
      <c r="A155" s="7"/>
      <c r="B155" s="41">
        <v>148</v>
      </c>
      <c r="C155" s="42" t="s">
        <v>19</v>
      </c>
      <c r="D155" s="47" t="s">
        <v>54</v>
      </c>
      <c r="E155" s="47" t="s">
        <v>61</v>
      </c>
      <c r="F155" s="47" t="s">
        <v>62</v>
      </c>
      <c r="G155" s="48" t="s">
        <v>62</v>
      </c>
      <c r="H155" s="43">
        <v>45272</v>
      </c>
      <c r="I155" s="44">
        <v>55.707722199999999</v>
      </c>
      <c r="J155" s="43">
        <v>46202</v>
      </c>
      <c r="K155" s="44">
        <v>79.968399599999998</v>
      </c>
    </row>
    <row r="156" spans="1:11" ht="15" hidden="1" customHeight="1">
      <c r="A156" s="7"/>
      <c r="B156" s="36">
        <v>149</v>
      </c>
      <c r="C156" s="37" t="s">
        <v>19</v>
      </c>
      <c r="D156" s="37" t="s">
        <v>54</v>
      </c>
      <c r="E156" s="37" t="s">
        <v>61</v>
      </c>
      <c r="F156" s="37" t="s">
        <v>62</v>
      </c>
      <c r="G156" s="38" t="s">
        <v>13</v>
      </c>
      <c r="H156" s="39">
        <v>8855</v>
      </c>
      <c r="I156" s="40">
        <v>98.193111200000004</v>
      </c>
      <c r="J156" s="39">
        <v>8980</v>
      </c>
      <c r="K156" s="40">
        <v>99.454342999999994</v>
      </c>
    </row>
    <row r="157" spans="1:11" ht="15" hidden="1" customHeight="1">
      <c r="A157" s="7"/>
      <c r="B157" s="36">
        <v>150</v>
      </c>
      <c r="C157" s="37" t="s">
        <v>19</v>
      </c>
      <c r="D157" s="37" t="s">
        <v>54</v>
      </c>
      <c r="E157" s="37" t="s">
        <v>61</v>
      </c>
      <c r="F157" s="37" t="s">
        <v>62</v>
      </c>
      <c r="G157" s="38" t="s">
        <v>14</v>
      </c>
      <c r="H157" s="39">
        <v>36417</v>
      </c>
      <c r="I157" s="40">
        <v>45.377158999999999</v>
      </c>
      <c r="J157" s="39">
        <v>37222</v>
      </c>
      <c r="K157" s="40">
        <v>75.267314999999996</v>
      </c>
    </row>
    <row r="158" spans="1:11" ht="15" customHeight="1">
      <c r="A158" s="7"/>
      <c r="B158" s="41">
        <v>151</v>
      </c>
      <c r="C158" s="42" t="s">
        <v>19</v>
      </c>
      <c r="D158" s="47" t="s">
        <v>54</v>
      </c>
      <c r="E158" s="47" t="s">
        <v>61</v>
      </c>
      <c r="F158" s="47" t="s">
        <v>63</v>
      </c>
      <c r="G158" s="48" t="s">
        <v>63</v>
      </c>
      <c r="H158" s="43">
        <v>13012</v>
      </c>
      <c r="I158" s="44">
        <v>17.291730699999999</v>
      </c>
      <c r="J158" s="43">
        <v>16632</v>
      </c>
      <c r="K158" s="44">
        <v>42.989418000000001</v>
      </c>
    </row>
    <row r="159" spans="1:11" ht="15" hidden="1" customHeight="1">
      <c r="A159" s="7"/>
      <c r="B159" s="36">
        <v>152</v>
      </c>
      <c r="C159" s="37" t="s">
        <v>19</v>
      </c>
      <c r="D159" s="37" t="s">
        <v>54</v>
      </c>
      <c r="E159" s="37" t="s">
        <v>61</v>
      </c>
      <c r="F159" s="37" t="s">
        <v>63</v>
      </c>
      <c r="G159" s="38" t="s">
        <v>13</v>
      </c>
      <c r="H159" s="39"/>
      <c r="I159" s="40"/>
      <c r="J159" s="39"/>
      <c r="K159" s="40"/>
    </row>
    <row r="160" spans="1:11" ht="15" hidden="1" customHeight="1">
      <c r="A160" s="7"/>
      <c r="B160" s="36">
        <v>153</v>
      </c>
      <c r="C160" s="37" t="s">
        <v>19</v>
      </c>
      <c r="D160" s="37" t="s">
        <v>54</v>
      </c>
      <c r="E160" s="37" t="s">
        <v>61</v>
      </c>
      <c r="F160" s="37" t="s">
        <v>63</v>
      </c>
      <c r="G160" s="38" t="s">
        <v>14</v>
      </c>
      <c r="H160" s="39">
        <v>13012</v>
      </c>
      <c r="I160" s="40">
        <v>17.291730699999999</v>
      </c>
      <c r="J160" s="39">
        <v>16632</v>
      </c>
      <c r="K160" s="40">
        <v>42.989418000000001</v>
      </c>
    </row>
    <row r="161" spans="1:11" ht="15" customHeight="1">
      <c r="A161" s="7"/>
      <c r="B161" s="41">
        <v>154</v>
      </c>
      <c r="C161" s="42" t="s">
        <v>19</v>
      </c>
      <c r="D161" s="47" t="s">
        <v>54</v>
      </c>
      <c r="E161" s="47" t="s">
        <v>61</v>
      </c>
      <c r="F161" s="47" t="s">
        <v>64</v>
      </c>
      <c r="G161" s="48" t="s">
        <v>64</v>
      </c>
      <c r="H161" s="43">
        <v>7859</v>
      </c>
      <c r="I161" s="44">
        <v>50.159053299999997</v>
      </c>
      <c r="J161" s="43">
        <v>8467</v>
      </c>
      <c r="K161" s="44">
        <v>78.067792600000004</v>
      </c>
    </row>
    <row r="162" spans="1:11" ht="15" hidden="1" customHeight="1">
      <c r="A162" s="7"/>
      <c r="B162" s="36">
        <v>155</v>
      </c>
      <c r="C162" s="37" t="s">
        <v>19</v>
      </c>
      <c r="D162" s="37" t="s">
        <v>54</v>
      </c>
      <c r="E162" s="37" t="s">
        <v>61</v>
      </c>
      <c r="F162" s="37" t="s">
        <v>64</v>
      </c>
      <c r="G162" s="38" t="s">
        <v>13</v>
      </c>
      <c r="H162" s="39"/>
      <c r="I162" s="40"/>
      <c r="J162" s="39"/>
      <c r="K162" s="40"/>
    </row>
    <row r="163" spans="1:11" ht="15" hidden="1" customHeight="1">
      <c r="A163" s="7"/>
      <c r="B163" s="36">
        <v>156</v>
      </c>
      <c r="C163" s="37" t="s">
        <v>19</v>
      </c>
      <c r="D163" s="37" t="s">
        <v>54</v>
      </c>
      <c r="E163" s="37" t="s">
        <v>61</v>
      </c>
      <c r="F163" s="37" t="s">
        <v>64</v>
      </c>
      <c r="G163" s="38" t="s">
        <v>14</v>
      </c>
      <c r="H163" s="39">
        <v>7859</v>
      </c>
      <c r="I163" s="40">
        <v>50.159053299999997</v>
      </c>
      <c r="J163" s="39">
        <v>8467</v>
      </c>
      <c r="K163" s="40">
        <v>78.067792600000004</v>
      </c>
    </row>
    <row r="164" spans="1:11" ht="15" customHeight="1">
      <c r="A164" s="7"/>
      <c r="B164" s="41">
        <v>157</v>
      </c>
      <c r="C164" s="42" t="s">
        <v>19</v>
      </c>
      <c r="D164" s="47" t="s">
        <v>54</v>
      </c>
      <c r="E164" s="47" t="s">
        <v>61</v>
      </c>
      <c r="F164" s="47" t="s">
        <v>65</v>
      </c>
      <c r="G164" s="48" t="s">
        <v>65</v>
      </c>
      <c r="H164" s="43">
        <v>8452</v>
      </c>
      <c r="I164" s="44">
        <v>21.178419300000002</v>
      </c>
      <c r="J164" s="43">
        <v>9125</v>
      </c>
      <c r="K164" s="44">
        <v>49.490411000000002</v>
      </c>
    </row>
    <row r="165" spans="1:11" ht="15" hidden="1" customHeight="1">
      <c r="A165" s="7"/>
      <c r="B165" s="36">
        <v>158</v>
      </c>
      <c r="C165" s="37" t="s">
        <v>19</v>
      </c>
      <c r="D165" s="37" t="s">
        <v>54</v>
      </c>
      <c r="E165" s="37" t="s">
        <v>61</v>
      </c>
      <c r="F165" s="37" t="s">
        <v>65</v>
      </c>
      <c r="G165" s="38" t="s">
        <v>13</v>
      </c>
      <c r="H165" s="39"/>
      <c r="I165" s="40"/>
      <c r="J165" s="39"/>
      <c r="K165" s="40"/>
    </row>
    <row r="166" spans="1:11" ht="15" hidden="1" customHeight="1">
      <c r="A166" s="7"/>
      <c r="B166" s="36">
        <v>159</v>
      </c>
      <c r="C166" s="37" t="s">
        <v>19</v>
      </c>
      <c r="D166" s="37" t="s">
        <v>54</v>
      </c>
      <c r="E166" s="37" t="s">
        <v>61</v>
      </c>
      <c r="F166" s="37" t="s">
        <v>65</v>
      </c>
      <c r="G166" s="38" t="s">
        <v>14</v>
      </c>
      <c r="H166" s="39">
        <v>8452</v>
      </c>
      <c r="I166" s="40">
        <v>21.178419300000002</v>
      </c>
      <c r="J166" s="39">
        <v>9125</v>
      </c>
      <c r="K166" s="40">
        <v>49.490411000000002</v>
      </c>
    </row>
    <row r="167" spans="1:11" ht="15" customHeight="1">
      <c r="A167" s="7"/>
      <c r="B167" s="41">
        <v>160</v>
      </c>
      <c r="C167" s="42" t="s">
        <v>19</v>
      </c>
      <c r="D167" s="47" t="s">
        <v>54</v>
      </c>
      <c r="E167" s="47" t="s">
        <v>61</v>
      </c>
      <c r="F167" s="47" t="s">
        <v>66</v>
      </c>
      <c r="G167" s="48" t="s">
        <v>66</v>
      </c>
      <c r="H167" s="43">
        <v>3856</v>
      </c>
      <c r="I167" s="44">
        <v>76.115145200000001</v>
      </c>
      <c r="J167" s="43">
        <v>4922</v>
      </c>
      <c r="K167" s="44">
        <v>84.376269800000003</v>
      </c>
    </row>
    <row r="168" spans="1:11" ht="15" hidden="1" customHeight="1">
      <c r="A168" s="7"/>
      <c r="B168" s="36">
        <v>161</v>
      </c>
      <c r="C168" s="37" t="s">
        <v>19</v>
      </c>
      <c r="D168" s="37" t="s">
        <v>54</v>
      </c>
      <c r="E168" s="37" t="s">
        <v>61</v>
      </c>
      <c r="F168" s="37" t="s">
        <v>66</v>
      </c>
      <c r="G168" s="38" t="s">
        <v>13</v>
      </c>
      <c r="H168" s="39"/>
      <c r="I168" s="40"/>
      <c r="J168" s="39"/>
      <c r="K168" s="40"/>
    </row>
    <row r="169" spans="1:11" ht="15" hidden="1" customHeight="1">
      <c r="A169" s="7"/>
      <c r="B169" s="36">
        <v>162</v>
      </c>
      <c r="C169" s="37" t="s">
        <v>19</v>
      </c>
      <c r="D169" s="37" t="s">
        <v>54</v>
      </c>
      <c r="E169" s="37" t="s">
        <v>61</v>
      </c>
      <c r="F169" s="37" t="s">
        <v>66</v>
      </c>
      <c r="G169" s="38" t="s">
        <v>14</v>
      </c>
      <c r="H169" s="39">
        <v>3856</v>
      </c>
      <c r="I169" s="40">
        <v>76.115145200000001</v>
      </c>
      <c r="J169" s="39">
        <v>4922</v>
      </c>
      <c r="K169" s="40">
        <v>84.376269800000003</v>
      </c>
    </row>
    <row r="170" spans="1:11" ht="15" customHeight="1">
      <c r="A170" s="7"/>
      <c r="B170" s="41">
        <v>163</v>
      </c>
      <c r="C170" s="42" t="s">
        <v>19</v>
      </c>
      <c r="D170" s="47" t="s">
        <v>54</v>
      </c>
      <c r="E170" s="47" t="s">
        <v>61</v>
      </c>
      <c r="F170" s="47" t="s">
        <v>67</v>
      </c>
      <c r="G170" s="48" t="s">
        <v>67</v>
      </c>
      <c r="H170" s="43">
        <v>4826</v>
      </c>
      <c r="I170" s="44">
        <v>52.652299999999997</v>
      </c>
      <c r="J170" s="43">
        <v>6785</v>
      </c>
      <c r="K170" s="44">
        <v>71.864406799999998</v>
      </c>
    </row>
    <row r="171" spans="1:11" ht="15" hidden="1" customHeight="1">
      <c r="A171" s="7"/>
      <c r="B171" s="36">
        <v>164</v>
      </c>
      <c r="C171" s="37" t="s">
        <v>19</v>
      </c>
      <c r="D171" s="37" t="s">
        <v>54</v>
      </c>
      <c r="E171" s="37" t="s">
        <v>61</v>
      </c>
      <c r="F171" s="37" t="s">
        <v>67</v>
      </c>
      <c r="G171" s="38" t="s">
        <v>13</v>
      </c>
      <c r="H171" s="39"/>
      <c r="I171" s="40"/>
      <c r="J171" s="39"/>
      <c r="K171" s="40"/>
    </row>
    <row r="172" spans="1:11" ht="15" hidden="1" customHeight="1">
      <c r="A172" s="7"/>
      <c r="B172" s="36">
        <v>165</v>
      </c>
      <c r="C172" s="37" t="s">
        <v>19</v>
      </c>
      <c r="D172" s="37" t="s">
        <v>54</v>
      </c>
      <c r="E172" s="37" t="s">
        <v>61</v>
      </c>
      <c r="F172" s="37" t="s">
        <v>67</v>
      </c>
      <c r="G172" s="38" t="s">
        <v>14</v>
      </c>
      <c r="H172" s="39">
        <v>4826</v>
      </c>
      <c r="I172" s="40">
        <v>52.652299999999997</v>
      </c>
      <c r="J172" s="39">
        <v>6785</v>
      </c>
      <c r="K172" s="40">
        <v>71.864406799999998</v>
      </c>
    </row>
    <row r="173" spans="1:11" ht="15" hidden="1" customHeight="1">
      <c r="A173" s="7"/>
      <c r="B173" s="32">
        <v>166</v>
      </c>
      <c r="C173" s="33" t="s">
        <v>17</v>
      </c>
      <c r="D173" s="46" t="s">
        <v>54</v>
      </c>
      <c r="E173" s="46" t="s">
        <v>68</v>
      </c>
      <c r="F173" s="46"/>
      <c r="G173" s="33" t="s">
        <v>68</v>
      </c>
      <c r="H173" s="34">
        <v>54290</v>
      </c>
      <c r="I173" s="35">
        <v>16.702891900000001</v>
      </c>
      <c r="J173" s="34">
        <v>67717</v>
      </c>
      <c r="K173" s="35">
        <v>37.088175800000002</v>
      </c>
    </row>
    <row r="174" spans="1:11" ht="15" hidden="1" customHeight="1">
      <c r="A174" s="7"/>
      <c r="B174" s="36">
        <v>167</v>
      </c>
      <c r="C174" s="37" t="s">
        <v>17</v>
      </c>
      <c r="D174" s="37" t="s">
        <v>54</v>
      </c>
      <c r="E174" s="37" t="s">
        <v>68</v>
      </c>
      <c r="F174" s="37"/>
      <c r="G174" s="38" t="s">
        <v>13</v>
      </c>
      <c r="H174" s="39">
        <v>1969</v>
      </c>
      <c r="I174" s="40">
        <v>62.3158964</v>
      </c>
      <c r="J174" s="39">
        <v>3782</v>
      </c>
      <c r="K174" s="40">
        <v>93.548387099999999</v>
      </c>
    </row>
    <row r="175" spans="1:11" ht="15" hidden="1" customHeight="1">
      <c r="A175" s="7"/>
      <c r="B175" s="36">
        <v>168</v>
      </c>
      <c r="C175" s="37" t="s">
        <v>17</v>
      </c>
      <c r="D175" s="37" t="s">
        <v>54</v>
      </c>
      <c r="E175" s="37" t="s">
        <v>68</v>
      </c>
      <c r="F175" s="37"/>
      <c r="G175" s="38" t="s">
        <v>14</v>
      </c>
      <c r="H175" s="39">
        <v>52321</v>
      </c>
      <c r="I175" s="40">
        <v>14.9863344</v>
      </c>
      <c r="J175" s="39">
        <v>63935</v>
      </c>
      <c r="K175" s="40">
        <v>33.748338199999999</v>
      </c>
    </row>
    <row r="176" spans="1:11" ht="15" customHeight="1">
      <c r="A176" s="7"/>
      <c r="B176" s="41">
        <v>169</v>
      </c>
      <c r="C176" s="42" t="s">
        <v>19</v>
      </c>
      <c r="D176" s="47" t="s">
        <v>54</v>
      </c>
      <c r="E176" s="47" t="s">
        <v>68</v>
      </c>
      <c r="F176" s="47" t="s">
        <v>69</v>
      </c>
      <c r="G176" s="48" t="s">
        <v>69</v>
      </c>
      <c r="H176" s="43">
        <v>10288</v>
      </c>
      <c r="I176" s="44">
        <v>30.034992200000001</v>
      </c>
      <c r="J176" s="43">
        <v>13051</v>
      </c>
      <c r="K176" s="44">
        <v>49.0077389</v>
      </c>
    </row>
    <row r="177" spans="1:11" ht="15" hidden="1" customHeight="1">
      <c r="A177" s="7"/>
      <c r="B177" s="36">
        <v>170</v>
      </c>
      <c r="C177" s="37" t="s">
        <v>19</v>
      </c>
      <c r="D177" s="37" t="s">
        <v>54</v>
      </c>
      <c r="E177" s="37" t="s">
        <v>68</v>
      </c>
      <c r="F177" s="37" t="s">
        <v>69</v>
      </c>
      <c r="G177" s="38" t="s">
        <v>13</v>
      </c>
      <c r="H177" s="39"/>
      <c r="I177" s="40"/>
      <c r="J177" s="39">
        <v>2041</v>
      </c>
      <c r="K177" s="40">
        <v>95.541401300000004</v>
      </c>
    </row>
    <row r="178" spans="1:11" ht="15" hidden="1" customHeight="1">
      <c r="A178" s="7"/>
      <c r="B178" s="36">
        <v>171</v>
      </c>
      <c r="C178" s="37" t="s">
        <v>19</v>
      </c>
      <c r="D178" s="37" t="s">
        <v>54</v>
      </c>
      <c r="E178" s="37" t="s">
        <v>68</v>
      </c>
      <c r="F178" s="37" t="s">
        <v>69</v>
      </c>
      <c r="G178" s="38" t="s">
        <v>14</v>
      </c>
      <c r="H178" s="39">
        <v>10288</v>
      </c>
      <c r="I178" s="40">
        <v>30.034992200000001</v>
      </c>
      <c r="J178" s="39">
        <v>11010</v>
      </c>
      <c r="K178" s="40">
        <v>40.381471400000002</v>
      </c>
    </row>
    <row r="179" spans="1:11" ht="15" customHeight="1">
      <c r="A179" s="7"/>
      <c r="B179" s="41">
        <v>172</v>
      </c>
      <c r="C179" s="42" t="s">
        <v>19</v>
      </c>
      <c r="D179" s="47" t="s">
        <v>54</v>
      </c>
      <c r="E179" s="47" t="s">
        <v>68</v>
      </c>
      <c r="F179" s="47" t="s">
        <v>70</v>
      </c>
      <c r="G179" s="48" t="s">
        <v>70</v>
      </c>
      <c r="H179" s="43">
        <v>14570</v>
      </c>
      <c r="I179" s="44">
        <v>12.958133200000001</v>
      </c>
      <c r="J179" s="43">
        <v>15340</v>
      </c>
      <c r="K179" s="44">
        <v>33.859191699999997</v>
      </c>
    </row>
    <row r="180" spans="1:11" ht="15" hidden="1" customHeight="1">
      <c r="A180" s="7"/>
      <c r="B180" s="36">
        <v>173</v>
      </c>
      <c r="C180" s="37" t="s">
        <v>19</v>
      </c>
      <c r="D180" s="37" t="s">
        <v>54</v>
      </c>
      <c r="E180" s="37" t="s">
        <v>68</v>
      </c>
      <c r="F180" s="37" t="s">
        <v>70</v>
      </c>
      <c r="G180" s="38" t="s">
        <v>13</v>
      </c>
      <c r="H180" s="39"/>
      <c r="I180" s="40"/>
      <c r="J180" s="39"/>
      <c r="K180" s="40"/>
    </row>
    <row r="181" spans="1:11" ht="15" hidden="1" customHeight="1">
      <c r="A181" s="7"/>
      <c r="B181" s="36">
        <v>174</v>
      </c>
      <c r="C181" s="37" t="s">
        <v>19</v>
      </c>
      <c r="D181" s="37" t="s">
        <v>54</v>
      </c>
      <c r="E181" s="37" t="s">
        <v>68</v>
      </c>
      <c r="F181" s="37" t="s">
        <v>70</v>
      </c>
      <c r="G181" s="38" t="s">
        <v>14</v>
      </c>
      <c r="H181" s="39">
        <v>14570</v>
      </c>
      <c r="I181" s="40">
        <v>12.958133200000001</v>
      </c>
      <c r="J181" s="39">
        <v>15340</v>
      </c>
      <c r="K181" s="40">
        <v>33.859191699999997</v>
      </c>
    </row>
    <row r="182" spans="1:11" ht="15" customHeight="1">
      <c r="A182" s="7"/>
      <c r="B182" s="41">
        <v>175</v>
      </c>
      <c r="C182" s="42" t="s">
        <v>19</v>
      </c>
      <c r="D182" s="47" t="s">
        <v>54</v>
      </c>
      <c r="E182" s="47" t="s">
        <v>68</v>
      </c>
      <c r="F182" s="47" t="s">
        <v>71</v>
      </c>
      <c r="G182" s="48" t="s">
        <v>71</v>
      </c>
      <c r="H182" s="43">
        <v>9788</v>
      </c>
      <c r="I182" s="44">
        <v>4.6587658000000003</v>
      </c>
      <c r="J182" s="43">
        <v>12156</v>
      </c>
      <c r="K182" s="44">
        <v>16.971043099999999</v>
      </c>
    </row>
    <row r="183" spans="1:11" ht="15" hidden="1" customHeight="1">
      <c r="A183" s="7"/>
      <c r="B183" s="36">
        <v>176</v>
      </c>
      <c r="C183" s="37" t="s">
        <v>19</v>
      </c>
      <c r="D183" s="37" t="s">
        <v>54</v>
      </c>
      <c r="E183" s="37" t="s">
        <v>68</v>
      </c>
      <c r="F183" s="37" t="s">
        <v>71</v>
      </c>
      <c r="G183" s="38" t="s">
        <v>13</v>
      </c>
      <c r="H183" s="39"/>
      <c r="I183" s="40"/>
      <c r="J183" s="39"/>
      <c r="K183" s="40"/>
    </row>
    <row r="184" spans="1:11" ht="15" hidden="1" customHeight="1">
      <c r="A184" s="7"/>
      <c r="B184" s="36">
        <v>177</v>
      </c>
      <c r="C184" s="37" t="s">
        <v>19</v>
      </c>
      <c r="D184" s="37" t="s">
        <v>54</v>
      </c>
      <c r="E184" s="37" t="s">
        <v>68</v>
      </c>
      <c r="F184" s="37" t="s">
        <v>71</v>
      </c>
      <c r="G184" s="38" t="s">
        <v>14</v>
      </c>
      <c r="H184" s="39">
        <v>9788</v>
      </c>
      <c r="I184" s="40">
        <v>4.6587658000000003</v>
      </c>
      <c r="J184" s="39">
        <v>12156</v>
      </c>
      <c r="K184" s="40">
        <v>16.971043099999999</v>
      </c>
    </row>
    <row r="185" spans="1:11" ht="15" customHeight="1">
      <c r="A185" s="7"/>
      <c r="B185" s="41">
        <v>178</v>
      </c>
      <c r="C185" s="42" t="s">
        <v>19</v>
      </c>
      <c r="D185" s="47" t="s">
        <v>54</v>
      </c>
      <c r="E185" s="47" t="s">
        <v>68</v>
      </c>
      <c r="F185" s="47" t="s">
        <v>72</v>
      </c>
      <c r="G185" s="48" t="s">
        <v>72</v>
      </c>
      <c r="H185" s="43">
        <v>3822</v>
      </c>
      <c r="I185" s="44">
        <v>15.384615399999999</v>
      </c>
      <c r="J185" s="43">
        <v>5144</v>
      </c>
      <c r="K185" s="44">
        <v>41.660186600000003</v>
      </c>
    </row>
    <row r="186" spans="1:11" ht="15" hidden="1" customHeight="1">
      <c r="A186" s="7"/>
      <c r="B186" s="36">
        <v>179</v>
      </c>
      <c r="C186" s="37" t="s">
        <v>19</v>
      </c>
      <c r="D186" s="37" t="s">
        <v>54</v>
      </c>
      <c r="E186" s="37" t="s">
        <v>68</v>
      </c>
      <c r="F186" s="37" t="s">
        <v>72</v>
      </c>
      <c r="G186" s="38" t="s">
        <v>13</v>
      </c>
      <c r="H186" s="39"/>
      <c r="I186" s="40"/>
      <c r="J186" s="39"/>
      <c r="K186" s="40"/>
    </row>
    <row r="187" spans="1:11" ht="15" hidden="1" customHeight="1">
      <c r="A187" s="7"/>
      <c r="B187" s="36">
        <v>180</v>
      </c>
      <c r="C187" s="37" t="s">
        <v>19</v>
      </c>
      <c r="D187" s="37" t="s">
        <v>54</v>
      </c>
      <c r="E187" s="37" t="s">
        <v>68</v>
      </c>
      <c r="F187" s="37" t="s">
        <v>72</v>
      </c>
      <c r="G187" s="38" t="s">
        <v>14</v>
      </c>
      <c r="H187" s="39">
        <v>3822</v>
      </c>
      <c r="I187" s="40">
        <v>15.384615399999999</v>
      </c>
      <c r="J187" s="39">
        <v>5144</v>
      </c>
      <c r="K187" s="40">
        <v>41.660186600000003</v>
      </c>
    </row>
    <row r="188" spans="1:11" ht="15" customHeight="1">
      <c r="A188" s="7"/>
      <c r="B188" s="41">
        <v>181</v>
      </c>
      <c r="C188" s="42" t="s">
        <v>19</v>
      </c>
      <c r="D188" s="47" t="s">
        <v>54</v>
      </c>
      <c r="E188" s="47" t="s">
        <v>68</v>
      </c>
      <c r="F188" s="47" t="s">
        <v>73</v>
      </c>
      <c r="G188" s="48" t="s">
        <v>73</v>
      </c>
      <c r="H188" s="43">
        <v>3017</v>
      </c>
      <c r="I188" s="44">
        <v>24.859131600000001</v>
      </c>
      <c r="J188" s="43">
        <v>4113</v>
      </c>
      <c r="K188" s="44">
        <v>37.053245799999999</v>
      </c>
    </row>
    <row r="189" spans="1:11" ht="15" hidden="1" customHeight="1">
      <c r="A189" s="7"/>
      <c r="B189" s="36">
        <v>182</v>
      </c>
      <c r="C189" s="37" t="s">
        <v>19</v>
      </c>
      <c r="D189" s="37" t="s">
        <v>54</v>
      </c>
      <c r="E189" s="37" t="s">
        <v>68</v>
      </c>
      <c r="F189" s="37" t="s">
        <v>73</v>
      </c>
      <c r="G189" s="38" t="s">
        <v>13</v>
      </c>
      <c r="H189" s="39"/>
      <c r="I189" s="40"/>
      <c r="J189" s="39"/>
      <c r="K189" s="40"/>
    </row>
    <row r="190" spans="1:11" ht="15" hidden="1" customHeight="1">
      <c r="A190" s="7"/>
      <c r="B190" s="36">
        <v>183</v>
      </c>
      <c r="C190" s="37" t="s">
        <v>19</v>
      </c>
      <c r="D190" s="37" t="s">
        <v>54</v>
      </c>
      <c r="E190" s="37" t="s">
        <v>68</v>
      </c>
      <c r="F190" s="37" t="s">
        <v>73</v>
      </c>
      <c r="G190" s="38" t="s">
        <v>14</v>
      </c>
      <c r="H190" s="39">
        <v>3017</v>
      </c>
      <c r="I190" s="40">
        <v>24.859131600000001</v>
      </c>
      <c r="J190" s="39">
        <v>4113</v>
      </c>
      <c r="K190" s="40">
        <v>37.053245799999999</v>
      </c>
    </row>
    <row r="191" spans="1:11" ht="15" customHeight="1">
      <c r="A191" s="7"/>
      <c r="B191" s="41">
        <v>184</v>
      </c>
      <c r="C191" s="42" t="s">
        <v>19</v>
      </c>
      <c r="D191" s="47" t="s">
        <v>54</v>
      </c>
      <c r="E191" s="47" t="s">
        <v>68</v>
      </c>
      <c r="F191" s="47" t="s">
        <v>74</v>
      </c>
      <c r="G191" s="48" t="s">
        <v>74</v>
      </c>
      <c r="H191" s="43">
        <v>4982</v>
      </c>
      <c r="I191" s="44">
        <v>33.861902899999997</v>
      </c>
      <c r="J191" s="43">
        <v>6018</v>
      </c>
      <c r="K191" s="44">
        <v>80.259222300000005</v>
      </c>
    </row>
    <row r="192" spans="1:11" ht="15" hidden="1" customHeight="1">
      <c r="A192" s="7"/>
      <c r="B192" s="36">
        <v>185</v>
      </c>
      <c r="C192" s="37" t="s">
        <v>19</v>
      </c>
      <c r="D192" s="37" t="s">
        <v>54</v>
      </c>
      <c r="E192" s="37" t="s">
        <v>68</v>
      </c>
      <c r="F192" s="37" t="s">
        <v>74</v>
      </c>
      <c r="G192" s="38" t="s">
        <v>13</v>
      </c>
      <c r="H192" s="39">
        <v>1969</v>
      </c>
      <c r="I192" s="40">
        <v>62.3158964</v>
      </c>
      <c r="J192" s="39">
        <v>1741</v>
      </c>
      <c r="K192" s="40">
        <v>91.211947199999997</v>
      </c>
    </row>
    <row r="193" spans="1:11" ht="15" hidden="1" customHeight="1">
      <c r="A193" s="7"/>
      <c r="B193" s="36">
        <v>186</v>
      </c>
      <c r="C193" s="37" t="s">
        <v>19</v>
      </c>
      <c r="D193" s="37" t="s">
        <v>54</v>
      </c>
      <c r="E193" s="37" t="s">
        <v>68</v>
      </c>
      <c r="F193" s="37" t="s">
        <v>74</v>
      </c>
      <c r="G193" s="38" t="s">
        <v>14</v>
      </c>
      <c r="H193" s="39">
        <v>3013</v>
      </c>
      <c r="I193" s="40">
        <v>15.2671756</v>
      </c>
      <c r="J193" s="39">
        <v>4277</v>
      </c>
      <c r="K193" s="40">
        <v>75.8007949</v>
      </c>
    </row>
    <row r="194" spans="1:11" ht="15" customHeight="1">
      <c r="A194" s="7"/>
      <c r="B194" s="41">
        <v>187</v>
      </c>
      <c r="C194" s="42" t="s">
        <v>19</v>
      </c>
      <c r="D194" s="47" t="s">
        <v>54</v>
      </c>
      <c r="E194" s="47" t="s">
        <v>68</v>
      </c>
      <c r="F194" s="47" t="s">
        <v>75</v>
      </c>
      <c r="G194" s="48" t="s">
        <v>75</v>
      </c>
      <c r="H194" s="43">
        <v>596</v>
      </c>
      <c r="I194" s="44">
        <v>38.758389299999997</v>
      </c>
      <c r="J194" s="43">
        <v>3914</v>
      </c>
      <c r="K194" s="44">
        <v>42.769545200000003</v>
      </c>
    </row>
    <row r="195" spans="1:11" ht="15" hidden="1" customHeight="1">
      <c r="A195" s="7"/>
      <c r="B195" s="36">
        <v>188</v>
      </c>
      <c r="C195" s="37" t="s">
        <v>19</v>
      </c>
      <c r="D195" s="37" t="s">
        <v>54</v>
      </c>
      <c r="E195" s="37" t="s">
        <v>68</v>
      </c>
      <c r="F195" s="37" t="s">
        <v>75</v>
      </c>
      <c r="G195" s="38" t="s">
        <v>13</v>
      </c>
      <c r="H195" s="39"/>
      <c r="I195" s="40"/>
      <c r="J195" s="39"/>
      <c r="K195" s="40"/>
    </row>
    <row r="196" spans="1:11" ht="15" hidden="1" customHeight="1">
      <c r="A196" s="7"/>
      <c r="B196" s="36">
        <v>189</v>
      </c>
      <c r="C196" s="37" t="s">
        <v>19</v>
      </c>
      <c r="D196" s="37" t="s">
        <v>54</v>
      </c>
      <c r="E196" s="37" t="s">
        <v>68</v>
      </c>
      <c r="F196" s="37" t="s">
        <v>75</v>
      </c>
      <c r="G196" s="38" t="s">
        <v>14</v>
      </c>
      <c r="H196" s="39">
        <v>596</v>
      </c>
      <c r="I196" s="40">
        <v>38.758389299999997</v>
      </c>
      <c r="J196" s="39">
        <v>3914</v>
      </c>
      <c r="K196" s="40">
        <v>42.769545200000003</v>
      </c>
    </row>
    <row r="197" spans="1:11" ht="15" customHeight="1">
      <c r="A197" s="7"/>
      <c r="B197" s="41">
        <v>190</v>
      </c>
      <c r="C197" s="42" t="s">
        <v>19</v>
      </c>
      <c r="D197" s="47" t="s">
        <v>54</v>
      </c>
      <c r="E197" s="47" t="s">
        <v>68</v>
      </c>
      <c r="F197" s="47" t="s">
        <v>76</v>
      </c>
      <c r="G197" s="48" t="s">
        <v>76</v>
      </c>
      <c r="H197" s="43">
        <v>7227</v>
      </c>
      <c r="I197" s="44">
        <v>5.2303860999999996</v>
      </c>
      <c r="J197" s="43">
        <v>7981</v>
      </c>
      <c r="K197" s="44">
        <v>16.175917800000001</v>
      </c>
    </row>
    <row r="198" spans="1:11" ht="15" hidden="1" customHeight="1">
      <c r="A198" s="7"/>
      <c r="B198" s="36">
        <v>191</v>
      </c>
      <c r="C198" s="37" t="s">
        <v>19</v>
      </c>
      <c r="D198" s="37" t="s">
        <v>54</v>
      </c>
      <c r="E198" s="37" t="s">
        <v>68</v>
      </c>
      <c r="F198" s="37" t="s">
        <v>76</v>
      </c>
      <c r="G198" s="38" t="s">
        <v>13</v>
      </c>
      <c r="H198" s="39"/>
      <c r="I198" s="40"/>
      <c r="J198" s="39"/>
      <c r="K198" s="40"/>
    </row>
    <row r="199" spans="1:11" ht="15" hidden="1" customHeight="1">
      <c r="A199" s="7"/>
      <c r="B199" s="36">
        <v>192</v>
      </c>
      <c r="C199" s="37" t="s">
        <v>19</v>
      </c>
      <c r="D199" s="37" t="s">
        <v>54</v>
      </c>
      <c r="E199" s="37" t="s">
        <v>68</v>
      </c>
      <c r="F199" s="37" t="s">
        <v>76</v>
      </c>
      <c r="G199" s="38" t="s">
        <v>14</v>
      </c>
      <c r="H199" s="39">
        <v>7227</v>
      </c>
      <c r="I199" s="40">
        <v>5.2303860999999996</v>
      </c>
      <c r="J199" s="39">
        <v>7981</v>
      </c>
      <c r="K199" s="40">
        <v>16.175917800000001</v>
      </c>
    </row>
    <row r="200" spans="1:11" ht="15" hidden="1" customHeight="1">
      <c r="A200" s="7"/>
      <c r="B200" s="32">
        <v>193</v>
      </c>
      <c r="C200" s="33" t="s">
        <v>17</v>
      </c>
      <c r="D200" s="46" t="s">
        <v>54</v>
      </c>
      <c r="E200" s="46" t="s">
        <v>77</v>
      </c>
      <c r="F200" s="46"/>
      <c r="G200" s="33" t="s">
        <v>77</v>
      </c>
      <c r="H200" s="34">
        <v>53311</v>
      </c>
      <c r="I200" s="35">
        <v>17.5029544</v>
      </c>
      <c r="J200" s="34">
        <v>62414</v>
      </c>
      <c r="K200" s="35">
        <v>33.957124999999998</v>
      </c>
    </row>
    <row r="201" spans="1:11" ht="15" hidden="1" customHeight="1">
      <c r="A201" s="7"/>
      <c r="B201" s="36">
        <v>194</v>
      </c>
      <c r="C201" s="37" t="s">
        <v>17</v>
      </c>
      <c r="D201" s="37" t="s">
        <v>54</v>
      </c>
      <c r="E201" s="37" t="s">
        <v>77</v>
      </c>
      <c r="F201" s="37"/>
      <c r="G201" s="38" t="s">
        <v>13</v>
      </c>
      <c r="H201" s="39"/>
      <c r="I201" s="40"/>
      <c r="J201" s="39"/>
      <c r="K201" s="40"/>
    </row>
    <row r="202" spans="1:11" ht="15" hidden="1" customHeight="1">
      <c r="A202" s="7"/>
      <c r="B202" s="36">
        <v>195</v>
      </c>
      <c r="C202" s="37" t="s">
        <v>17</v>
      </c>
      <c r="D202" s="37" t="s">
        <v>54</v>
      </c>
      <c r="E202" s="37" t="s">
        <v>77</v>
      </c>
      <c r="F202" s="37"/>
      <c r="G202" s="38" t="s">
        <v>14</v>
      </c>
      <c r="H202" s="39">
        <v>53311</v>
      </c>
      <c r="I202" s="40">
        <v>17.5029544</v>
      </c>
      <c r="J202" s="39">
        <v>62414</v>
      </c>
      <c r="K202" s="40">
        <v>33.957124999999998</v>
      </c>
    </row>
    <row r="203" spans="1:11" ht="15" customHeight="1">
      <c r="A203" s="7"/>
      <c r="B203" s="41">
        <v>196</v>
      </c>
      <c r="C203" s="42" t="s">
        <v>19</v>
      </c>
      <c r="D203" s="47" t="s">
        <v>54</v>
      </c>
      <c r="E203" s="47" t="s">
        <v>77</v>
      </c>
      <c r="F203" s="47" t="s">
        <v>78</v>
      </c>
      <c r="G203" s="48" t="s">
        <v>78</v>
      </c>
      <c r="H203" s="43">
        <v>11171</v>
      </c>
      <c r="I203" s="44">
        <v>22.379375199999998</v>
      </c>
      <c r="J203" s="43">
        <v>13773</v>
      </c>
      <c r="K203" s="44">
        <v>33.638277799999997</v>
      </c>
    </row>
    <row r="204" spans="1:11" ht="15" hidden="1" customHeight="1">
      <c r="A204" s="7"/>
      <c r="B204" s="36">
        <v>197</v>
      </c>
      <c r="C204" s="37" t="s">
        <v>19</v>
      </c>
      <c r="D204" s="37" t="s">
        <v>54</v>
      </c>
      <c r="E204" s="37" t="s">
        <v>77</v>
      </c>
      <c r="F204" s="37" t="s">
        <v>78</v>
      </c>
      <c r="G204" s="38" t="s">
        <v>13</v>
      </c>
      <c r="H204" s="39"/>
      <c r="I204" s="40"/>
      <c r="J204" s="39"/>
      <c r="K204" s="40"/>
    </row>
    <row r="205" spans="1:11" ht="15" hidden="1" customHeight="1">
      <c r="A205" s="7"/>
      <c r="B205" s="36">
        <v>198</v>
      </c>
      <c r="C205" s="37" t="s">
        <v>19</v>
      </c>
      <c r="D205" s="37" t="s">
        <v>54</v>
      </c>
      <c r="E205" s="37" t="s">
        <v>77</v>
      </c>
      <c r="F205" s="37" t="s">
        <v>78</v>
      </c>
      <c r="G205" s="38" t="s">
        <v>14</v>
      </c>
      <c r="H205" s="39">
        <v>11171</v>
      </c>
      <c r="I205" s="40">
        <v>22.379375199999998</v>
      </c>
      <c r="J205" s="39">
        <v>13773</v>
      </c>
      <c r="K205" s="40">
        <v>33.638277799999997</v>
      </c>
    </row>
    <row r="206" spans="1:11" ht="15" customHeight="1">
      <c r="A206" s="7"/>
      <c r="B206" s="41">
        <v>199</v>
      </c>
      <c r="C206" s="42" t="s">
        <v>19</v>
      </c>
      <c r="D206" s="47" t="s">
        <v>54</v>
      </c>
      <c r="E206" s="47" t="s">
        <v>77</v>
      </c>
      <c r="F206" s="47" t="s">
        <v>79</v>
      </c>
      <c r="G206" s="48" t="s">
        <v>79</v>
      </c>
      <c r="H206" s="43">
        <v>15504</v>
      </c>
      <c r="I206" s="44">
        <v>12.7063983</v>
      </c>
      <c r="J206" s="43">
        <v>17575</v>
      </c>
      <c r="K206" s="44">
        <v>26.372688499999999</v>
      </c>
    </row>
    <row r="207" spans="1:11" ht="15" hidden="1" customHeight="1">
      <c r="A207" s="7"/>
      <c r="B207" s="36">
        <v>200</v>
      </c>
      <c r="C207" s="37" t="s">
        <v>19</v>
      </c>
      <c r="D207" s="37" t="s">
        <v>54</v>
      </c>
      <c r="E207" s="37" t="s">
        <v>77</v>
      </c>
      <c r="F207" s="37" t="s">
        <v>79</v>
      </c>
      <c r="G207" s="38" t="s">
        <v>13</v>
      </c>
      <c r="H207" s="39"/>
      <c r="I207" s="40"/>
      <c r="J207" s="39"/>
      <c r="K207" s="40"/>
    </row>
    <row r="208" spans="1:11" ht="15" hidden="1" customHeight="1">
      <c r="A208" s="7"/>
      <c r="B208" s="36">
        <v>201</v>
      </c>
      <c r="C208" s="37" t="s">
        <v>19</v>
      </c>
      <c r="D208" s="37" t="s">
        <v>54</v>
      </c>
      <c r="E208" s="37" t="s">
        <v>77</v>
      </c>
      <c r="F208" s="37" t="s">
        <v>79</v>
      </c>
      <c r="G208" s="38" t="s">
        <v>14</v>
      </c>
      <c r="H208" s="39">
        <v>15504</v>
      </c>
      <c r="I208" s="40">
        <v>12.7063983</v>
      </c>
      <c r="J208" s="39">
        <v>17575</v>
      </c>
      <c r="K208" s="40">
        <v>26.372688499999999</v>
      </c>
    </row>
    <row r="209" spans="1:11" ht="15" customHeight="1">
      <c r="A209" s="7"/>
      <c r="B209" s="41">
        <v>202</v>
      </c>
      <c r="C209" s="42" t="s">
        <v>19</v>
      </c>
      <c r="D209" s="47" t="s">
        <v>54</v>
      </c>
      <c r="E209" s="47" t="s">
        <v>77</v>
      </c>
      <c r="F209" s="47" t="s">
        <v>80</v>
      </c>
      <c r="G209" s="48" t="s">
        <v>80</v>
      </c>
      <c r="H209" s="43">
        <v>14247</v>
      </c>
      <c r="I209" s="44">
        <v>16.9649751</v>
      </c>
      <c r="J209" s="43">
        <v>16879</v>
      </c>
      <c r="K209" s="44">
        <v>34.498489200000002</v>
      </c>
    </row>
    <row r="210" spans="1:11" ht="15" hidden="1" customHeight="1">
      <c r="A210" s="7"/>
      <c r="B210" s="36">
        <v>203</v>
      </c>
      <c r="C210" s="37" t="s">
        <v>19</v>
      </c>
      <c r="D210" s="37" t="s">
        <v>54</v>
      </c>
      <c r="E210" s="37" t="s">
        <v>77</v>
      </c>
      <c r="F210" s="37" t="s">
        <v>80</v>
      </c>
      <c r="G210" s="38" t="s">
        <v>13</v>
      </c>
      <c r="H210" s="39"/>
      <c r="I210" s="40"/>
      <c r="J210" s="39"/>
      <c r="K210" s="40"/>
    </row>
    <row r="211" spans="1:11" ht="15" hidden="1" customHeight="1">
      <c r="A211" s="7"/>
      <c r="B211" s="36">
        <v>204</v>
      </c>
      <c r="C211" s="37" t="s">
        <v>19</v>
      </c>
      <c r="D211" s="37" t="s">
        <v>54</v>
      </c>
      <c r="E211" s="37" t="s">
        <v>77</v>
      </c>
      <c r="F211" s="37" t="s">
        <v>80</v>
      </c>
      <c r="G211" s="38" t="s">
        <v>14</v>
      </c>
      <c r="H211" s="39">
        <v>14247</v>
      </c>
      <c r="I211" s="40">
        <v>16.9649751</v>
      </c>
      <c r="J211" s="39">
        <v>16879</v>
      </c>
      <c r="K211" s="40">
        <v>34.498489200000002</v>
      </c>
    </row>
    <row r="212" spans="1:11" ht="15" customHeight="1">
      <c r="A212" s="7"/>
      <c r="B212" s="41">
        <v>205</v>
      </c>
      <c r="C212" s="42" t="s">
        <v>19</v>
      </c>
      <c r="D212" s="47" t="s">
        <v>54</v>
      </c>
      <c r="E212" s="47" t="s">
        <v>77</v>
      </c>
      <c r="F212" s="47" t="s">
        <v>81</v>
      </c>
      <c r="G212" s="48" t="s">
        <v>81</v>
      </c>
      <c r="H212" s="43">
        <v>5285</v>
      </c>
      <c r="I212" s="44">
        <v>11.844843900000001</v>
      </c>
      <c r="J212" s="43">
        <v>5584</v>
      </c>
      <c r="K212" s="44">
        <v>33.703438400000003</v>
      </c>
    </row>
    <row r="213" spans="1:11" ht="15" hidden="1" customHeight="1">
      <c r="A213" s="7"/>
      <c r="B213" s="36">
        <v>206</v>
      </c>
      <c r="C213" s="37" t="s">
        <v>19</v>
      </c>
      <c r="D213" s="37" t="s">
        <v>54</v>
      </c>
      <c r="E213" s="37" t="s">
        <v>77</v>
      </c>
      <c r="F213" s="37" t="s">
        <v>81</v>
      </c>
      <c r="G213" s="38" t="s">
        <v>13</v>
      </c>
      <c r="H213" s="39"/>
      <c r="I213" s="40"/>
      <c r="J213" s="39"/>
      <c r="K213" s="40"/>
    </row>
    <row r="214" spans="1:11" ht="15" hidden="1" customHeight="1">
      <c r="A214" s="7"/>
      <c r="B214" s="36">
        <v>207</v>
      </c>
      <c r="C214" s="37" t="s">
        <v>19</v>
      </c>
      <c r="D214" s="37" t="s">
        <v>54</v>
      </c>
      <c r="E214" s="37" t="s">
        <v>77</v>
      </c>
      <c r="F214" s="37" t="s">
        <v>81</v>
      </c>
      <c r="G214" s="38" t="s">
        <v>14</v>
      </c>
      <c r="H214" s="39">
        <v>5285</v>
      </c>
      <c r="I214" s="40">
        <v>11.844843900000001</v>
      </c>
      <c r="J214" s="39">
        <v>5584</v>
      </c>
      <c r="K214" s="40">
        <v>33.703438400000003</v>
      </c>
    </row>
    <row r="215" spans="1:11" ht="15" customHeight="1">
      <c r="A215" s="7"/>
      <c r="B215" s="41">
        <v>208</v>
      </c>
      <c r="C215" s="42" t="s">
        <v>19</v>
      </c>
      <c r="D215" s="47" t="s">
        <v>54</v>
      </c>
      <c r="E215" s="47" t="s">
        <v>77</v>
      </c>
      <c r="F215" s="47" t="s">
        <v>82</v>
      </c>
      <c r="G215" s="48" t="s">
        <v>82</v>
      </c>
      <c r="H215" s="43">
        <v>7104</v>
      </c>
      <c r="I215" s="44">
        <v>25.591216200000002</v>
      </c>
      <c r="J215" s="43">
        <v>8603</v>
      </c>
      <c r="K215" s="44">
        <v>49.064279900000002</v>
      </c>
    </row>
    <row r="216" spans="1:11" ht="15" hidden="1" customHeight="1">
      <c r="A216" s="7"/>
      <c r="B216" s="36">
        <v>209</v>
      </c>
      <c r="C216" s="37" t="s">
        <v>19</v>
      </c>
      <c r="D216" s="37" t="s">
        <v>54</v>
      </c>
      <c r="E216" s="37" t="s">
        <v>77</v>
      </c>
      <c r="F216" s="37" t="s">
        <v>82</v>
      </c>
      <c r="G216" s="38" t="s">
        <v>13</v>
      </c>
      <c r="H216" s="39"/>
      <c r="I216" s="40"/>
      <c r="J216" s="39"/>
      <c r="K216" s="40"/>
    </row>
    <row r="217" spans="1:11" ht="15" hidden="1" customHeight="1">
      <c r="A217" s="7"/>
      <c r="B217" s="36">
        <v>210</v>
      </c>
      <c r="C217" s="37" t="s">
        <v>19</v>
      </c>
      <c r="D217" s="37" t="s">
        <v>54</v>
      </c>
      <c r="E217" s="37" t="s">
        <v>77</v>
      </c>
      <c r="F217" s="37" t="s">
        <v>82</v>
      </c>
      <c r="G217" s="38" t="s">
        <v>14</v>
      </c>
      <c r="H217" s="39">
        <v>7104</v>
      </c>
      <c r="I217" s="40">
        <v>25.591216200000002</v>
      </c>
      <c r="J217" s="39">
        <v>8603</v>
      </c>
      <c r="K217" s="40">
        <v>49.064279900000002</v>
      </c>
    </row>
    <row r="218" spans="1:11" ht="15" hidden="1" customHeight="1">
      <c r="A218" s="7"/>
      <c r="B218" s="32">
        <v>211</v>
      </c>
      <c r="C218" s="33" t="s">
        <v>17</v>
      </c>
      <c r="D218" s="46" t="s">
        <v>54</v>
      </c>
      <c r="E218" s="46" t="s">
        <v>83</v>
      </c>
      <c r="F218" s="46"/>
      <c r="G218" s="33" t="s">
        <v>83</v>
      </c>
      <c r="H218" s="34">
        <v>25020</v>
      </c>
      <c r="I218" s="35">
        <v>9.7082333999999992</v>
      </c>
      <c r="J218" s="34">
        <v>32912</v>
      </c>
      <c r="K218" s="35">
        <v>24.176592100000001</v>
      </c>
    </row>
    <row r="219" spans="1:11" ht="15" hidden="1" customHeight="1">
      <c r="A219" s="7"/>
      <c r="B219" s="36">
        <v>212</v>
      </c>
      <c r="C219" s="37" t="s">
        <v>17</v>
      </c>
      <c r="D219" s="37" t="s">
        <v>54</v>
      </c>
      <c r="E219" s="37" t="s">
        <v>83</v>
      </c>
      <c r="F219" s="37"/>
      <c r="G219" s="38" t="s">
        <v>13</v>
      </c>
      <c r="H219" s="39"/>
      <c r="I219" s="40"/>
      <c r="J219" s="39"/>
      <c r="K219" s="40"/>
    </row>
    <row r="220" spans="1:11" ht="15" hidden="1" customHeight="1">
      <c r="A220" s="7"/>
      <c r="B220" s="36">
        <v>213</v>
      </c>
      <c r="C220" s="37" t="s">
        <v>17</v>
      </c>
      <c r="D220" s="37" t="s">
        <v>54</v>
      </c>
      <c r="E220" s="37" t="s">
        <v>83</v>
      </c>
      <c r="F220" s="37"/>
      <c r="G220" s="38" t="s">
        <v>14</v>
      </c>
      <c r="H220" s="39">
        <v>25020</v>
      </c>
      <c r="I220" s="40">
        <v>9.7082333999999992</v>
      </c>
      <c r="J220" s="39">
        <v>32912</v>
      </c>
      <c r="K220" s="40">
        <v>24.176592100000001</v>
      </c>
    </row>
    <row r="221" spans="1:11" ht="15" customHeight="1">
      <c r="A221" s="7"/>
      <c r="B221" s="41">
        <v>214</v>
      </c>
      <c r="C221" s="42" t="s">
        <v>19</v>
      </c>
      <c r="D221" s="47" t="s">
        <v>54</v>
      </c>
      <c r="E221" s="47" t="s">
        <v>83</v>
      </c>
      <c r="F221" s="47" t="s">
        <v>84</v>
      </c>
      <c r="G221" s="48" t="s">
        <v>84</v>
      </c>
      <c r="H221" s="43">
        <v>11399</v>
      </c>
      <c r="I221" s="44">
        <v>7.6147030000000004</v>
      </c>
      <c r="J221" s="43">
        <v>17594</v>
      </c>
      <c r="K221" s="44">
        <v>19.824940300000002</v>
      </c>
    </row>
    <row r="222" spans="1:11" ht="15" hidden="1" customHeight="1">
      <c r="A222" s="7"/>
      <c r="B222" s="36">
        <v>215</v>
      </c>
      <c r="C222" s="37" t="s">
        <v>19</v>
      </c>
      <c r="D222" s="37" t="s">
        <v>54</v>
      </c>
      <c r="E222" s="37" t="s">
        <v>83</v>
      </c>
      <c r="F222" s="37" t="s">
        <v>84</v>
      </c>
      <c r="G222" s="38" t="s">
        <v>13</v>
      </c>
      <c r="H222" s="39"/>
      <c r="I222" s="40"/>
      <c r="J222" s="39"/>
      <c r="K222" s="40"/>
    </row>
    <row r="223" spans="1:11" ht="15" hidden="1" customHeight="1">
      <c r="A223" s="7"/>
      <c r="B223" s="36">
        <v>216</v>
      </c>
      <c r="C223" s="37" t="s">
        <v>19</v>
      </c>
      <c r="D223" s="37" t="s">
        <v>54</v>
      </c>
      <c r="E223" s="37" t="s">
        <v>83</v>
      </c>
      <c r="F223" s="37" t="s">
        <v>84</v>
      </c>
      <c r="G223" s="38" t="s">
        <v>14</v>
      </c>
      <c r="H223" s="39">
        <v>11399</v>
      </c>
      <c r="I223" s="40">
        <v>7.6147030000000004</v>
      </c>
      <c r="J223" s="39">
        <v>17594</v>
      </c>
      <c r="K223" s="40">
        <v>19.824940300000002</v>
      </c>
    </row>
    <row r="224" spans="1:11" ht="15" customHeight="1">
      <c r="A224" s="7"/>
      <c r="B224" s="41">
        <v>217</v>
      </c>
      <c r="C224" s="42" t="s">
        <v>19</v>
      </c>
      <c r="D224" s="47" t="s">
        <v>54</v>
      </c>
      <c r="E224" s="47" t="s">
        <v>83</v>
      </c>
      <c r="F224" s="47" t="s">
        <v>85</v>
      </c>
      <c r="G224" s="48" t="s">
        <v>85</v>
      </c>
      <c r="H224" s="43">
        <v>8223</v>
      </c>
      <c r="I224" s="44">
        <v>6.3115651000000002</v>
      </c>
      <c r="J224" s="43">
        <v>8939</v>
      </c>
      <c r="K224" s="44">
        <v>19.308647499999999</v>
      </c>
    </row>
    <row r="225" spans="1:11" ht="15" hidden="1" customHeight="1">
      <c r="A225" s="7"/>
      <c r="B225" s="36">
        <v>218</v>
      </c>
      <c r="C225" s="37" t="s">
        <v>19</v>
      </c>
      <c r="D225" s="37" t="s">
        <v>54</v>
      </c>
      <c r="E225" s="37" t="s">
        <v>83</v>
      </c>
      <c r="F225" s="37" t="s">
        <v>85</v>
      </c>
      <c r="G225" s="38" t="s">
        <v>13</v>
      </c>
      <c r="H225" s="39"/>
      <c r="I225" s="40"/>
      <c r="J225" s="39"/>
      <c r="K225" s="40"/>
    </row>
    <row r="226" spans="1:11" ht="15" hidden="1" customHeight="1">
      <c r="A226" s="7"/>
      <c r="B226" s="36">
        <v>219</v>
      </c>
      <c r="C226" s="37" t="s">
        <v>19</v>
      </c>
      <c r="D226" s="37" t="s">
        <v>54</v>
      </c>
      <c r="E226" s="37" t="s">
        <v>83</v>
      </c>
      <c r="F226" s="37" t="s">
        <v>85</v>
      </c>
      <c r="G226" s="38" t="s">
        <v>14</v>
      </c>
      <c r="H226" s="39">
        <v>8223</v>
      </c>
      <c r="I226" s="40">
        <v>6.3115651000000002</v>
      </c>
      <c r="J226" s="39">
        <v>8939</v>
      </c>
      <c r="K226" s="40">
        <v>19.308647499999999</v>
      </c>
    </row>
    <row r="227" spans="1:11" ht="15" customHeight="1">
      <c r="A227" s="7"/>
      <c r="B227" s="41">
        <v>220</v>
      </c>
      <c r="C227" s="42" t="s">
        <v>19</v>
      </c>
      <c r="D227" s="47" t="s">
        <v>54</v>
      </c>
      <c r="E227" s="47" t="s">
        <v>83</v>
      </c>
      <c r="F227" s="47" t="s">
        <v>86</v>
      </c>
      <c r="G227" s="48" t="s">
        <v>86</v>
      </c>
      <c r="H227" s="43">
        <v>5398</v>
      </c>
      <c r="I227" s="44">
        <v>19.303445700000001</v>
      </c>
      <c r="J227" s="43">
        <v>6379</v>
      </c>
      <c r="K227" s="44">
        <v>43.000470300000003</v>
      </c>
    </row>
    <row r="228" spans="1:11" ht="15" hidden="1" customHeight="1">
      <c r="A228" s="7"/>
      <c r="B228" s="36">
        <v>221</v>
      </c>
      <c r="C228" s="37" t="s">
        <v>19</v>
      </c>
      <c r="D228" s="37" t="s">
        <v>54</v>
      </c>
      <c r="E228" s="37" t="s">
        <v>83</v>
      </c>
      <c r="F228" s="37" t="s">
        <v>86</v>
      </c>
      <c r="G228" s="38" t="s">
        <v>13</v>
      </c>
      <c r="H228" s="39"/>
      <c r="I228" s="40"/>
      <c r="J228" s="39"/>
      <c r="K228" s="40"/>
    </row>
    <row r="229" spans="1:11" ht="15" hidden="1" customHeight="1">
      <c r="A229" s="7"/>
      <c r="B229" s="36">
        <v>222</v>
      </c>
      <c r="C229" s="37" t="s">
        <v>19</v>
      </c>
      <c r="D229" s="37" t="s">
        <v>54</v>
      </c>
      <c r="E229" s="37" t="s">
        <v>83</v>
      </c>
      <c r="F229" s="37" t="s">
        <v>86</v>
      </c>
      <c r="G229" s="38" t="s">
        <v>14</v>
      </c>
      <c r="H229" s="39">
        <v>5398</v>
      </c>
      <c r="I229" s="40">
        <v>19.303445700000001</v>
      </c>
      <c r="J229" s="39">
        <v>6379</v>
      </c>
      <c r="K229" s="40">
        <v>43.000470300000003</v>
      </c>
    </row>
    <row r="230" spans="1:11" ht="15" hidden="1" customHeight="1">
      <c r="A230" s="7"/>
      <c r="B230" s="32">
        <v>223</v>
      </c>
      <c r="C230" s="33" t="s">
        <v>17</v>
      </c>
      <c r="D230" s="46" t="s">
        <v>54</v>
      </c>
      <c r="E230" s="46" t="s">
        <v>87</v>
      </c>
      <c r="F230" s="46"/>
      <c r="G230" s="33" t="s">
        <v>87</v>
      </c>
      <c r="H230" s="34">
        <v>82849</v>
      </c>
      <c r="I230" s="35">
        <v>52.518437200000001</v>
      </c>
      <c r="J230" s="34">
        <v>102193</v>
      </c>
      <c r="K230" s="35">
        <v>64.981945899999999</v>
      </c>
    </row>
    <row r="231" spans="1:11" ht="15" hidden="1" customHeight="1">
      <c r="A231" s="7"/>
      <c r="B231" s="36">
        <v>224</v>
      </c>
      <c r="C231" s="37" t="s">
        <v>17</v>
      </c>
      <c r="D231" s="37" t="s">
        <v>54</v>
      </c>
      <c r="E231" s="37" t="s">
        <v>87</v>
      </c>
      <c r="F231" s="37"/>
      <c r="G231" s="38" t="s">
        <v>13</v>
      </c>
      <c r="H231" s="39">
        <v>14716</v>
      </c>
      <c r="I231" s="40">
        <v>95.039412900000002</v>
      </c>
      <c r="J231" s="39">
        <v>23195</v>
      </c>
      <c r="K231" s="40">
        <v>97.452037099999998</v>
      </c>
    </row>
    <row r="232" spans="1:11" ht="15" hidden="1" customHeight="1">
      <c r="A232" s="7"/>
      <c r="B232" s="36">
        <v>225</v>
      </c>
      <c r="C232" s="37" t="s">
        <v>17</v>
      </c>
      <c r="D232" s="37" t="s">
        <v>54</v>
      </c>
      <c r="E232" s="37" t="s">
        <v>87</v>
      </c>
      <c r="F232" s="37"/>
      <c r="G232" s="38" t="s">
        <v>14</v>
      </c>
      <c r="H232" s="39">
        <v>68133</v>
      </c>
      <c r="I232" s="40">
        <v>43.334360699999998</v>
      </c>
      <c r="J232" s="39">
        <v>78998</v>
      </c>
      <c r="K232" s="40">
        <v>55.448239200000003</v>
      </c>
    </row>
    <row r="233" spans="1:11" ht="15" customHeight="1">
      <c r="A233" s="7"/>
      <c r="B233" s="41">
        <v>226</v>
      </c>
      <c r="C233" s="42" t="s">
        <v>19</v>
      </c>
      <c r="D233" s="47" t="s">
        <v>54</v>
      </c>
      <c r="E233" s="47" t="s">
        <v>87</v>
      </c>
      <c r="F233" s="47" t="s">
        <v>88</v>
      </c>
      <c r="G233" s="48" t="s">
        <v>88</v>
      </c>
      <c r="H233" s="43">
        <v>23130</v>
      </c>
      <c r="I233" s="44">
        <v>32.520536100000001</v>
      </c>
      <c r="J233" s="43">
        <v>29483</v>
      </c>
      <c r="K233" s="44">
        <v>46.813417899999997</v>
      </c>
    </row>
    <row r="234" spans="1:11" ht="15" hidden="1" customHeight="1">
      <c r="A234" s="7"/>
      <c r="B234" s="36">
        <v>227</v>
      </c>
      <c r="C234" s="37" t="s">
        <v>19</v>
      </c>
      <c r="D234" s="37" t="s">
        <v>54</v>
      </c>
      <c r="E234" s="37" t="s">
        <v>87</v>
      </c>
      <c r="F234" s="37" t="s">
        <v>88</v>
      </c>
      <c r="G234" s="38" t="s">
        <v>13</v>
      </c>
      <c r="H234" s="39">
        <v>2710</v>
      </c>
      <c r="I234" s="40">
        <v>88.413284099999998</v>
      </c>
      <c r="J234" s="39">
        <v>3820</v>
      </c>
      <c r="K234" s="40">
        <v>91.596858600000004</v>
      </c>
    </row>
    <row r="235" spans="1:11" ht="15" hidden="1" customHeight="1">
      <c r="A235" s="7"/>
      <c r="B235" s="36">
        <v>228</v>
      </c>
      <c r="C235" s="37" t="s">
        <v>19</v>
      </c>
      <c r="D235" s="37" t="s">
        <v>54</v>
      </c>
      <c r="E235" s="37" t="s">
        <v>87</v>
      </c>
      <c r="F235" s="37" t="s">
        <v>88</v>
      </c>
      <c r="G235" s="38" t="s">
        <v>14</v>
      </c>
      <c r="H235" s="39">
        <v>20420</v>
      </c>
      <c r="I235" s="40">
        <v>25.102840400000002</v>
      </c>
      <c r="J235" s="39">
        <v>25663</v>
      </c>
      <c r="K235" s="40">
        <v>40.1472938</v>
      </c>
    </row>
    <row r="236" spans="1:11" ht="15" customHeight="1">
      <c r="A236" s="7"/>
      <c r="B236" s="41">
        <v>229</v>
      </c>
      <c r="C236" s="42" t="s">
        <v>19</v>
      </c>
      <c r="D236" s="47" t="s">
        <v>54</v>
      </c>
      <c r="E236" s="47" t="s">
        <v>87</v>
      </c>
      <c r="F236" s="47" t="s">
        <v>89</v>
      </c>
      <c r="G236" s="48" t="s">
        <v>89</v>
      </c>
      <c r="H236" s="43">
        <v>14263</v>
      </c>
      <c r="I236" s="44">
        <v>60.905840300000001</v>
      </c>
      <c r="J236" s="43">
        <v>15828</v>
      </c>
      <c r="K236" s="44">
        <v>81.115744300000003</v>
      </c>
    </row>
    <row r="237" spans="1:11" ht="15" hidden="1" customHeight="1">
      <c r="A237" s="7"/>
      <c r="B237" s="36">
        <v>230</v>
      </c>
      <c r="C237" s="37" t="s">
        <v>19</v>
      </c>
      <c r="D237" s="37" t="s">
        <v>54</v>
      </c>
      <c r="E237" s="37" t="s">
        <v>87</v>
      </c>
      <c r="F237" s="37" t="s">
        <v>89</v>
      </c>
      <c r="G237" s="38" t="s">
        <v>13</v>
      </c>
      <c r="H237" s="39">
        <v>4004</v>
      </c>
      <c r="I237" s="40">
        <v>97.452547499999994</v>
      </c>
      <c r="J237" s="39">
        <v>4372</v>
      </c>
      <c r="K237" s="40">
        <v>99.588289099999997</v>
      </c>
    </row>
    <row r="238" spans="1:11" ht="15" hidden="1" customHeight="1">
      <c r="A238" s="7"/>
      <c r="B238" s="36">
        <v>231</v>
      </c>
      <c r="C238" s="37" t="s">
        <v>19</v>
      </c>
      <c r="D238" s="37" t="s">
        <v>54</v>
      </c>
      <c r="E238" s="37" t="s">
        <v>87</v>
      </c>
      <c r="F238" s="37" t="s">
        <v>89</v>
      </c>
      <c r="G238" s="38" t="s">
        <v>14</v>
      </c>
      <c r="H238" s="39">
        <v>10259</v>
      </c>
      <c r="I238" s="40">
        <v>46.641972899999999</v>
      </c>
      <c r="J238" s="39">
        <v>11456</v>
      </c>
      <c r="K238" s="40">
        <v>74.065991600000004</v>
      </c>
    </row>
    <row r="239" spans="1:11" ht="15" customHeight="1">
      <c r="A239" s="7"/>
      <c r="B239" s="41">
        <v>232</v>
      </c>
      <c r="C239" s="42" t="s">
        <v>19</v>
      </c>
      <c r="D239" s="47" t="s">
        <v>54</v>
      </c>
      <c r="E239" s="47" t="s">
        <v>87</v>
      </c>
      <c r="F239" s="47" t="s">
        <v>90</v>
      </c>
      <c r="G239" s="48" t="s">
        <v>90</v>
      </c>
      <c r="H239" s="43">
        <v>7822</v>
      </c>
      <c r="I239" s="44">
        <v>37.547941700000003</v>
      </c>
      <c r="J239" s="43">
        <v>9428</v>
      </c>
      <c r="K239" s="44">
        <v>47.677131899999999</v>
      </c>
    </row>
    <row r="240" spans="1:11" ht="15" hidden="1" customHeight="1">
      <c r="A240" s="7"/>
      <c r="B240" s="36">
        <v>233</v>
      </c>
      <c r="C240" s="37" t="s">
        <v>19</v>
      </c>
      <c r="D240" s="37" t="s">
        <v>54</v>
      </c>
      <c r="E240" s="37" t="s">
        <v>87</v>
      </c>
      <c r="F240" s="37" t="s">
        <v>90</v>
      </c>
      <c r="G240" s="38" t="s">
        <v>13</v>
      </c>
      <c r="H240" s="39"/>
      <c r="I240" s="40"/>
      <c r="J240" s="39"/>
      <c r="K240" s="40"/>
    </row>
    <row r="241" spans="1:11" ht="15" hidden="1" customHeight="1">
      <c r="A241" s="7"/>
      <c r="B241" s="36">
        <v>234</v>
      </c>
      <c r="C241" s="37" t="s">
        <v>19</v>
      </c>
      <c r="D241" s="37" t="s">
        <v>54</v>
      </c>
      <c r="E241" s="37" t="s">
        <v>87</v>
      </c>
      <c r="F241" s="37" t="s">
        <v>90</v>
      </c>
      <c r="G241" s="38" t="s">
        <v>14</v>
      </c>
      <c r="H241" s="39">
        <v>7822</v>
      </c>
      <c r="I241" s="40">
        <v>37.547941700000003</v>
      </c>
      <c r="J241" s="39">
        <v>9428</v>
      </c>
      <c r="K241" s="40">
        <v>47.677131899999999</v>
      </c>
    </row>
    <row r="242" spans="1:11" ht="15" customHeight="1">
      <c r="A242" s="7"/>
      <c r="B242" s="41">
        <v>235</v>
      </c>
      <c r="C242" s="42" t="s">
        <v>19</v>
      </c>
      <c r="D242" s="47" t="s">
        <v>54</v>
      </c>
      <c r="E242" s="47" t="s">
        <v>87</v>
      </c>
      <c r="F242" s="47" t="s">
        <v>91</v>
      </c>
      <c r="G242" s="48" t="s">
        <v>91</v>
      </c>
      <c r="H242" s="43">
        <v>2580</v>
      </c>
      <c r="I242" s="44">
        <v>18.100775200000001</v>
      </c>
      <c r="J242" s="43">
        <v>4071</v>
      </c>
      <c r="K242" s="44">
        <v>19.503807399999999</v>
      </c>
    </row>
    <row r="243" spans="1:11" ht="15" hidden="1" customHeight="1">
      <c r="A243" s="7"/>
      <c r="B243" s="36">
        <v>236</v>
      </c>
      <c r="C243" s="37" t="s">
        <v>19</v>
      </c>
      <c r="D243" s="37" t="s">
        <v>54</v>
      </c>
      <c r="E243" s="37" t="s">
        <v>87</v>
      </c>
      <c r="F243" s="37" t="s">
        <v>91</v>
      </c>
      <c r="G243" s="38" t="s">
        <v>13</v>
      </c>
      <c r="H243" s="39"/>
      <c r="I243" s="40"/>
      <c r="J243" s="39"/>
      <c r="K243" s="40"/>
    </row>
    <row r="244" spans="1:11" ht="15" hidden="1" customHeight="1">
      <c r="A244" s="7"/>
      <c r="B244" s="36">
        <v>237</v>
      </c>
      <c r="C244" s="37" t="s">
        <v>19</v>
      </c>
      <c r="D244" s="37" t="s">
        <v>54</v>
      </c>
      <c r="E244" s="37" t="s">
        <v>87</v>
      </c>
      <c r="F244" s="37" t="s">
        <v>91</v>
      </c>
      <c r="G244" s="38" t="s">
        <v>14</v>
      </c>
      <c r="H244" s="39">
        <v>2580</v>
      </c>
      <c r="I244" s="40">
        <v>18.100775200000001</v>
      </c>
      <c r="J244" s="39">
        <v>4071</v>
      </c>
      <c r="K244" s="40">
        <v>19.503807399999999</v>
      </c>
    </row>
    <row r="245" spans="1:11" ht="15" customHeight="1">
      <c r="A245" s="7"/>
      <c r="B245" s="41">
        <v>238</v>
      </c>
      <c r="C245" s="42" t="s">
        <v>19</v>
      </c>
      <c r="D245" s="47" t="s">
        <v>54</v>
      </c>
      <c r="E245" s="47" t="s">
        <v>87</v>
      </c>
      <c r="F245" s="47" t="s">
        <v>92</v>
      </c>
      <c r="G245" s="48" t="s">
        <v>92</v>
      </c>
      <c r="H245" s="43">
        <v>3673</v>
      </c>
      <c r="I245" s="44">
        <v>13.2589164</v>
      </c>
      <c r="J245" s="43">
        <v>3476</v>
      </c>
      <c r="K245" s="44">
        <v>28.970080599999999</v>
      </c>
    </row>
    <row r="246" spans="1:11" ht="15" hidden="1" customHeight="1">
      <c r="A246" s="7"/>
      <c r="B246" s="36">
        <v>239</v>
      </c>
      <c r="C246" s="37" t="s">
        <v>19</v>
      </c>
      <c r="D246" s="37" t="s">
        <v>54</v>
      </c>
      <c r="E246" s="37" t="s">
        <v>87</v>
      </c>
      <c r="F246" s="37" t="s">
        <v>92</v>
      </c>
      <c r="G246" s="38" t="s">
        <v>13</v>
      </c>
      <c r="H246" s="39"/>
      <c r="I246" s="40"/>
      <c r="J246" s="39"/>
      <c r="K246" s="40"/>
    </row>
    <row r="247" spans="1:11" ht="15" hidden="1" customHeight="1">
      <c r="A247" s="7"/>
      <c r="B247" s="36">
        <v>240</v>
      </c>
      <c r="C247" s="37" t="s">
        <v>19</v>
      </c>
      <c r="D247" s="37" t="s">
        <v>54</v>
      </c>
      <c r="E247" s="37" t="s">
        <v>87</v>
      </c>
      <c r="F247" s="37" t="s">
        <v>92</v>
      </c>
      <c r="G247" s="38" t="s">
        <v>14</v>
      </c>
      <c r="H247" s="39">
        <v>3673</v>
      </c>
      <c r="I247" s="40">
        <v>13.2589164</v>
      </c>
      <c r="J247" s="39">
        <v>3476</v>
      </c>
      <c r="K247" s="40">
        <v>28.970080599999999</v>
      </c>
    </row>
    <row r="248" spans="1:11" ht="15" customHeight="1">
      <c r="A248" s="7"/>
      <c r="B248" s="41">
        <v>241</v>
      </c>
      <c r="C248" s="42" t="s">
        <v>19</v>
      </c>
      <c r="D248" s="47" t="s">
        <v>54</v>
      </c>
      <c r="E248" s="47" t="s">
        <v>87</v>
      </c>
      <c r="F248" s="47" t="s">
        <v>93</v>
      </c>
      <c r="G248" s="48" t="s">
        <v>93</v>
      </c>
      <c r="H248" s="43">
        <v>9477</v>
      </c>
      <c r="I248" s="44">
        <v>92.223277400000001</v>
      </c>
      <c r="J248" s="43">
        <v>7369</v>
      </c>
      <c r="K248" s="44">
        <v>95.196091699999997</v>
      </c>
    </row>
    <row r="249" spans="1:11" ht="15" hidden="1" customHeight="1">
      <c r="A249" s="7"/>
      <c r="B249" s="36">
        <v>242</v>
      </c>
      <c r="C249" s="37" t="s">
        <v>19</v>
      </c>
      <c r="D249" s="37" t="s">
        <v>54</v>
      </c>
      <c r="E249" s="37" t="s">
        <v>87</v>
      </c>
      <c r="F249" s="37" t="s">
        <v>93</v>
      </c>
      <c r="G249" s="38" t="s">
        <v>13</v>
      </c>
      <c r="H249" s="39">
        <v>2340</v>
      </c>
      <c r="I249" s="40">
        <v>97.606837600000006</v>
      </c>
      <c r="J249" s="39">
        <v>2196</v>
      </c>
      <c r="K249" s="40">
        <v>96.493624800000006</v>
      </c>
    </row>
    <row r="250" spans="1:11" ht="15" hidden="1" customHeight="1">
      <c r="A250" s="7"/>
      <c r="B250" s="36">
        <v>243</v>
      </c>
      <c r="C250" s="37" t="s">
        <v>19</v>
      </c>
      <c r="D250" s="37" t="s">
        <v>54</v>
      </c>
      <c r="E250" s="37" t="s">
        <v>87</v>
      </c>
      <c r="F250" s="37" t="s">
        <v>93</v>
      </c>
      <c r="G250" s="38" t="s">
        <v>14</v>
      </c>
      <c r="H250" s="39">
        <v>7137</v>
      </c>
      <c r="I250" s="40">
        <v>90.458175699999998</v>
      </c>
      <c r="J250" s="39">
        <v>5173</v>
      </c>
      <c r="K250" s="40">
        <v>94.645273500000002</v>
      </c>
    </row>
    <row r="251" spans="1:11" ht="15" customHeight="1">
      <c r="A251" s="7"/>
      <c r="B251" s="41">
        <v>244</v>
      </c>
      <c r="C251" s="42" t="s">
        <v>19</v>
      </c>
      <c r="D251" s="47" t="s">
        <v>54</v>
      </c>
      <c r="E251" s="47" t="s">
        <v>87</v>
      </c>
      <c r="F251" s="47" t="s">
        <v>94</v>
      </c>
      <c r="G251" s="48" t="s">
        <v>94</v>
      </c>
      <c r="H251" s="43">
        <v>12928</v>
      </c>
      <c r="I251" s="44">
        <v>83.245668300000006</v>
      </c>
      <c r="J251" s="43">
        <v>19688</v>
      </c>
      <c r="K251" s="44">
        <v>93.965867500000002</v>
      </c>
    </row>
    <row r="252" spans="1:11" ht="15" hidden="1" customHeight="1">
      <c r="A252" s="7"/>
      <c r="B252" s="36">
        <v>245</v>
      </c>
      <c r="C252" s="37" t="s">
        <v>19</v>
      </c>
      <c r="D252" s="37" t="s">
        <v>54</v>
      </c>
      <c r="E252" s="37" t="s">
        <v>87</v>
      </c>
      <c r="F252" s="37" t="s">
        <v>94</v>
      </c>
      <c r="G252" s="38" t="s">
        <v>13</v>
      </c>
      <c r="H252" s="39">
        <v>5662</v>
      </c>
      <c r="I252" s="40">
        <v>95.443306300000003</v>
      </c>
      <c r="J252" s="39">
        <v>9922</v>
      </c>
      <c r="K252" s="40">
        <v>98.901431200000005</v>
      </c>
    </row>
    <row r="253" spans="1:11" ht="15" hidden="1" customHeight="1">
      <c r="A253" s="7"/>
      <c r="B253" s="36">
        <v>246</v>
      </c>
      <c r="C253" s="37" t="s">
        <v>19</v>
      </c>
      <c r="D253" s="37" t="s">
        <v>54</v>
      </c>
      <c r="E253" s="37" t="s">
        <v>87</v>
      </c>
      <c r="F253" s="37" t="s">
        <v>94</v>
      </c>
      <c r="G253" s="38" t="s">
        <v>14</v>
      </c>
      <c r="H253" s="39">
        <v>7266</v>
      </c>
      <c r="I253" s="40">
        <v>73.740710199999995</v>
      </c>
      <c r="J253" s="39">
        <v>9766</v>
      </c>
      <c r="K253" s="40">
        <v>88.951464299999998</v>
      </c>
    </row>
    <row r="254" spans="1:11" ht="15" customHeight="1">
      <c r="A254" s="7"/>
      <c r="B254" s="41">
        <v>247</v>
      </c>
      <c r="C254" s="42" t="s">
        <v>19</v>
      </c>
      <c r="D254" s="47" t="s">
        <v>54</v>
      </c>
      <c r="E254" s="47" t="s">
        <v>87</v>
      </c>
      <c r="F254" s="47" t="s">
        <v>95</v>
      </c>
      <c r="G254" s="48" t="s">
        <v>95</v>
      </c>
      <c r="H254" s="43">
        <v>8976</v>
      </c>
      <c r="I254" s="44">
        <v>43.5494652</v>
      </c>
      <c r="J254" s="43">
        <v>12850</v>
      </c>
      <c r="K254" s="44">
        <v>61.9066148</v>
      </c>
    </row>
    <row r="255" spans="1:11" ht="15" hidden="1" customHeight="1">
      <c r="A255" s="7"/>
      <c r="B255" s="36">
        <v>248</v>
      </c>
      <c r="C255" s="37" t="s">
        <v>19</v>
      </c>
      <c r="D255" s="37" t="s">
        <v>54</v>
      </c>
      <c r="E255" s="37" t="s">
        <v>87</v>
      </c>
      <c r="F255" s="37" t="s">
        <v>95</v>
      </c>
      <c r="G255" s="38" t="s">
        <v>13</v>
      </c>
      <c r="H255" s="39"/>
      <c r="I255" s="40"/>
      <c r="J255" s="39">
        <v>2885</v>
      </c>
      <c r="K255" s="40">
        <v>97.712305000000001</v>
      </c>
    </row>
    <row r="256" spans="1:11" ht="15" hidden="1" customHeight="1">
      <c r="A256" s="7"/>
      <c r="B256" s="36">
        <v>249</v>
      </c>
      <c r="C256" s="37" t="s">
        <v>19</v>
      </c>
      <c r="D256" s="37" t="s">
        <v>54</v>
      </c>
      <c r="E256" s="37" t="s">
        <v>87</v>
      </c>
      <c r="F256" s="37" t="s">
        <v>95</v>
      </c>
      <c r="G256" s="38" t="s">
        <v>14</v>
      </c>
      <c r="H256" s="39">
        <v>8976</v>
      </c>
      <c r="I256" s="40">
        <v>43.5494652</v>
      </c>
      <c r="J256" s="39">
        <v>9965</v>
      </c>
      <c r="K256" s="40">
        <v>51.540391399999997</v>
      </c>
    </row>
    <row r="257" spans="1:11" ht="15" hidden="1" customHeight="1">
      <c r="A257" s="7"/>
      <c r="B257" s="32">
        <v>250</v>
      </c>
      <c r="C257" s="33" t="s">
        <v>17</v>
      </c>
      <c r="D257" s="46" t="s">
        <v>54</v>
      </c>
      <c r="E257" s="46" t="s">
        <v>96</v>
      </c>
      <c r="F257" s="46"/>
      <c r="G257" s="33" t="s">
        <v>96</v>
      </c>
      <c r="H257" s="34">
        <v>24362</v>
      </c>
      <c r="I257" s="35">
        <v>38.198834300000001</v>
      </c>
      <c r="J257" s="34">
        <v>26793</v>
      </c>
      <c r="K257" s="35">
        <v>57.5224872</v>
      </c>
    </row>
    <row r="258" spans="1:11" ht="15" hidden="1" customHeight="1">
      <c r="A258" s="7"/>
      <c r="B258" s="36">
        <v>251</v>
      </c>
      <c r="C258" s="37" t="s">
        <v>17</v>
      </c>
      <c r="D258" s="37" t="s">
        <v>54</v>
      </c>
      <c r="E258" s="37" t="s">
        <v>96</v>
      </c>
      <c r="F258" s="37"/>
      <c r="G258" s="38" t="s">
        <v>13</v>
      </c>
      <c r="H258" s="39">
        <v>4785</v>
      </c>
      <c r="I258" s="40">
        <v>82.048066899999995</v>
      </c>
      <c r="J258" s="39">
        <v>5189</v>
      </c>
      <c r="K258" s="40">
        <v>91.520524199999997</v>
      </c>
    </row>
    <row r="259" spans="1:11" ht="15" hidden="1" customHeight="1">
      <c r="A259" s="7"/>
      <c r="B259" s="36">
        <v>252</v>
      </c>
      <c r="C259" s="37" t="s">
        <v>17</v>
      </c>
      <c r="D259" s="37" t="s">
        <v>54</v>
      </c>
      <c r="E259" s="37" t="s">
        <v>96</v>
      </c>
      <c r="F259" s="37"/>
      <c r="G259" s="38" t="s">
        <v>14</v>
      </c>
      <c r="H259" s="39">
        <v>19577</v>
      </c>
      <c r="I259" s="40">
        <v>27.481228000000002</v>
      </c>
      <c r="J259" s="39">
        <v>21604</v>
      </c>
      <c r="K259" s="40">
        <v>49.3566006</v>
      </c>
    </row>
    <row r="260" spans="1:11" ht="15" customHeight="1">
      <c r="A260" s="7"/>
      <c r="B260" s="41">
        <v>253</v>
      </c>
      <c r="C260" s="42" t="s">
        <v>19</v>
      </c>
      <c r="D260" s="47" t="s">
        <v>54</v>
      </c>
      <c r="E260" s="47" t="s">
        <v>96</v>
      </c>
      <c r="F260" s="47" t="s">
        <v>97</v>
      </c>
      <c r="G260" s="48" t="s">
        <v>97</v>
      </c>
      <c r="H260" s="43">
        <v>18386</v>
      </c>
      <c r="I260" s="44">
        <v>34.602414899999999</v>
      </c>
      <c r="J260" s="43">
        <v>18369</v>
      </c>
      <c r="K260" s="44">
        <v>44.841853100000002</v>
      </c>
    </row>
    <row r="261" spans="1:11" ht="15" hidden="1" customHeight="1">
      <c r="A261" s="7"/>
      <c r="B261" s="36">
        <v>254</v>
      </c>
      <c r="C261" s="37" t="s">
        <v>19</v>
      </c>
      <c r="D261" s="37" t="s">
        <v>54</v>
      </c>
      <c r="E261" s="37" t="s">
        <v>96</v>
      </c>
      <c r="F261" s="37" t="s">
        <v>97</v>
      </c>
      <c r="G261" s="38" t="s">
        <v>13</v>
      </c>
      <c r="H261" s="39">
        <v>4785</v>
      </c>
      <c r="I261" s="40">
        <v>82.048066899999995</v>
      </c>
      <c r="J261" s="39">
        <v>5189</v>
      </c>
      <c r="K261" s="40">
        <v>91.520524199999997</v>
      </c>
    </row>
    <row r="262" spans="1:11" ht="15" hidden="1" customHeight="1">
      <c r="A262" s="7"/>
      <c r="B262" s="36">
        <v>255</v>
      </c>
      <c r="C262" s="37" t="s">
        <v>19</v>
      </c>
      <c r="D262" s="37" t="s">
        <v>54</v>
      </c>
      <c r="E262" s="37" t="s">
        <v>96</v>
      </c>
      <c r="F262" s="37" t="s">
        <v>97</v>
      </c>
      <c r="G262" s="38" t="s">
        <v>14</v>
      </c>
      <c r="H262" s="39">
        <v>13601</v>
      </c>
      <c r="I262" s="40">
        <v>17.9104478</v>
      </c>
      <c r="J262" s="39">
        <v>13180</v>
      </c>
      <c r="K262" s="40">
        <v>26.464339899999999</v>
      </c>
    </row>
    <row r="263" spans="1:11" ht="15" customHeight="1">
      <c r="A263" s="7"/>
      <c r="B263" s="41">
        <v>256</v>
      </c>
      <c r="C263" s="42" t="s">
        <v>19</v>
      </c>
      <c r="D263" s="47" t="s">
        <v>54</v>
      </c>
      <c r="E263" s="47" t="s">
        <v>96</v>
      </c>
      <c r="F263" s="47" t="s">
        <v>98</v>
      </c>
      <c r="G263" s="48" t="s">
        <v>98</v>
      </c>
      <c r="H263" s="43">
        <v>5976</v>
      </c>
      <c r="I263" s="44">
        <v>49.263721599999997</v>
      </c>
      <c r="J263" s="43">
        <v>8424</v>
      </c>
      <c r="K263" s="44">
        <v>85.173314300000001</v>
      </c>
    </row>
    <row r="264" spans="1:11" ht="15" hidden="1" customHeight="1">
      <c r="A264" s="7"/>
      <c r="B264" s="36">
        <v>257</v>
      </c>
      <c r="C264" s="37" t="s">
        <v>19</v>
      </c>
      <c r="D264" s="37" t="s">
        <v>54</v>
      </c>
      <c r="E264" s="37" t="s">
        <v>96</v>
      </c>
      <c r="F264" s="37" t="s">
        <v>98</v>
      </c>
      <c r="G264" s="38" t="s">
        <v>13</v>
      </c>
      <c r="H264" s="39"/>
      <c r="I264" s="40"/>
      <c r="J264" s="39"/>
      <c r="K264" s="40"/>
    </row>
    <row r="265" spans="1:11" ht="15" hidden="1" customHeight="1">
      <c r="A265" s="7"/>
      <c r="B265" s="36">
        <v>258</v>
      </c>
      <c r="C265" s="37" t="s">
        <v>19</v>
      </c>
      <c r="D265" s="37" t="s">
        <v>54</v>
      </c>
      <c r="E265" s="37" t="s">
        <v>96</v>
      </c>
      <c r="F265" s="37" t="s">
        <v>98</v>
      </c>
      <c r="G265" s="38" t="s">
        <v>14</v>
      </c>
      <c r="H265" s="39">
        <v>5976</v>
      </c>
      <c r="I265" s="40">
        <v>49.263721599999997</v>
      </c>
      <c r="J265" s="39">
        <v>8424</v>
      </c>
      <c r="K265" s="40">
        <v>85.173314300000001</v>
      </c>
    </row>
    <row r="266" spans="1:11" ht="15" hidden="1" customHeight="1">
      <c r="A266" s="7"/>
      <c r="B266" s="32">
        <v>259</v>
      </c>
      <c r="C266" s="33" t="s">
        <v>17</v>
      </c>
      <c r="D266" s="46" t="s">
        <v>54</v>
      </c>
      <c r="E266" s="46" t="s">
        <v>99</v>
      </c>
      <c r="F266" s="46"/>
      <c r="G266" s="33" t="s">
        <v>99</v>
      </c>
      <c r="H266" s="34">
        <v>131005</v>
      </c>
      <c r="I266" s="35">
        <v>66.782947199999995</v>
      </c>
      <c r="J266" s="34">
        <v>170306</v>
      </c>
      <c r="K266" s="35">
        <v>85.137928200000005</v>
      </c>
    </row>
    <row r="267" spans="1:11" ht="15" hidden="1" customHeight="1">
      <c r="A267" s="7"/>
      <c r="B267" s="36">
        <v>260</v>
      </c>
      <c r="C267" s="37" t="s">
        <v>17</v>
      </c>
      <c r="D267" s="37" t="s">
        <v>54</v>
      </c>
      <c r="E267" s="37" t="s">
        <v>99</v>
      </c>
      <c r="F267" s="37"/>
      <c r="G267" s="38" t="s">
        <v>13</v>
      </c>
      <c r="H267" s="39">
        <v>66242</v>
      </c>
      <c r="I267" s="40">
        <v>95.616074400000002</v>
      </c>
      <c r="J267" s="39">
        <v>92851</v>
      </c>
      <c r="K267" s="40">
        <v>99.099632700000001</v>
      </c>
    </row>
    <row r="268" spans="1:11" ht="15" hidden="1" customHeight="1">
      <c r="A268" s="7"/>
      <c r="B268" s="36">
        <v>261</v>
      </c>
      <c r="C268" s="37" t="s">
        <v>17</v>
      </c>
      <c r="D268" s="37" t="s">
        <v>54</v>
      </c>
      <c r="E268" s="37" t="s">
        <v>99</v>
      </c>
      <c r="F268" s="37"/>
      <c r="G268" s="38" t="s">
        <v>14</v>
      </c>
      <c r="H268" s="39">
        <v>64763</v>
      </c>
      <c r="I268" s="40">
        <v>37.291354599999998</v>
      </c>
      <c r="J268" s="39">
        <v>77455</v>
      </c>
      <c r="K268" s="40">
        <v>68.401007000000007</v>
      </c>
    </row>
    <row r="269" spans="1:11" ht="15" customHeight="1">
      <c r="A269" s="7"/>
      <c r="B269" s="41">
        <v>262</v>
      </c>
      <c r="C269" s="42" t="s">
        <v>19</v>
      </c>
      <c r="D269" s="47" t="s">
        <v>54</v>
      </c>
      <c r="E269" s="47" t="s">
        <v>99</v>
      </c>
      <c r="F269" s="47" t="s">
        <v>100</v>
      </c>
      <c r="G269" s="48" t="s">
        <v>100</v>
      </c>
      <c r="H269" s="43">
        <v>77736</v>
      </c>
      <c r="I269" s="44">
        <v>86.117114299999997</v>
      </c>
      <c r="J269" s="43">
        <v>109219</v>
      </c>
      <c r="K269" s="44">
        <v>95.030168700000004</v>
      </c>
    </row>
    <row r="270" spans="1:11" ht="15" hidden="1" customHeight="1">
      <c r="A270" s="7"/>
      <c r="B270" s="36">
        <v>263</v>
      </c>
      <c r="C270" s="37" t="s">
        <v>19</v>
      </c>
      <c r="D270" s="37" t="s">
        <v>54</v>
      </c>
      <c r="E270" s="37" t="s">
        <v>99</v>
      </c>
      <c r="F270" s="37" t="s">
        <v>100</v>
      </c>
      <c r="G270" s="38" t="s">
        <v>13</v>
      </c>
      <c r="H270" s="39">
        <v>60482</v>
      </c>
      <c r="I270" s="40">
        <v>97.599285699999996</v>
      </c>
      <c r="J270" s="39">
        <v>88096</v>
      </c>
      <c r="K270" s="40">
        <v>99.0907646</v>
      </c>
    </row>
    <row r="271" spans="1:11" ht="15" hidden="1" customHeight="1">
      <c r="A271" s="7"/>
      <c r="B271" s="36">
        <v>264</v>
      </c>
      <c r="C271" s="37" t="s">
        <v>19</v>
      </c>
      <c r="D271" s="37" t="s">
        <v>54</v>
      </c>
      <c r="E271" s="37" t="s">
        <v>99</v>
      </c>
      <c r="F271" s="37" t="s">
        <v>100</v>
      </c>
      <c r="G271" s="38" t="s">
        <v>14</v>
      </c>
      <c r="H271" s="39">
        <v>17254</v>
      </c>
      <c r="I271" s="40">
        <v>45.867624900000003</v>
      </c>
      <c r="J271" s="39">
        <v>21123</v>
      </c>
      <c r="K271" s="40">
        <v>78.094967600000004</v>
      </c>
    </row>
    <row r="272" spans="1:11" ht="15" customHeight="1">
      <c r="A272" s="7"/>
      <c r="B272" s="41">
        <v>265</v>
      </c>
      <c r="C272" s="42" t="s">
        <v>19</v>
      </c>
      <c r="D272" s="47" t="s">
        <v>54</v>
      </c>
      <c r="E272" s="47" t="s">
        <v>99</v>
      </c>
      <c r="F272" s="47" t="s">
        <v>101</v>
      </c>
      <c r="G272" s="48" t="s">
        <v>101</v>
      </c>
      <c r="H272" s="43">
        <v>6970</v>
      </c>
      <c r="I272" s="44">
        <v>52.912482099999998</v>
      </c>
      <c r="J272" s="43">
        <v>8070</v>
      </c>
      <c r="K272" s="44">
        <v>86.505576199999993</v>
      </c>
    </row>
    <row r="273" spans="1:11" ht="15" hidden="1" customHeight="1">
      <c r="A273" s="7"/>
      <c r="B273" s="36">
        <v>266</v>
      </c>
      <c r="C273" s="37" t="s">
        <v>19</v>
      </c>
      <c r="D273" s="37" t="s">
        <v>54</v>
      </c>
      <c r="E273" s="37" t="s">
        <v>99</v>
      </c>
      <c r="F273" s="37" t="s">
        <v>101</v>
      </c>
      <c r="G273" s="38" t="s">
        <v>13</v>
      </c>
      <c r="H273" s="39"/>
      <c r="I273" s="40"/>
      <c r="J273" s="39"/>
      <c r="K273" s="40"/>
    </row>
    <row r="274" spans="1:11" ht="15" hidden="1" customHeight="1">
      <c r="A274" s="7"/>
      <c r="B274" s="36">
        <v>267</v>
      </c>
      <c r="C274" s="37" t="s">
        <v>19</v>
      </c>
      <c r="D274" s="37" t="s">
        <v>54</v>
      </c>
      <c r="E274" s="37" t="s">
        <v>99</v>
      </c>
      <c r="F274" s="37" t="s">
        <v>101</v>
      </c>
      <c r="G274" s="38" t="s">
        <v>14</v>
      </c>
      <c r="H274" s="39">
        <v>6970</v>
      </c>
      <c r="I274" s="40">
        <v>52.912482099999998</v>
      </c>
      <c r="J274" s="39">
        <v>8070</v>
      </c>
      <c r="K274" s="40">
        <v>86.505576199999993</v>
      </c>
    </row>
    <row r="275" spans="1:11" ht="15" customHeight="1">
      <c r="A275" s="7"/>
      <c r="B275" s="41">
        <v>268</v>
      </c>
      <c r="C275" s="42" t="s">
        <v>19</v>
      </c>
      <c r="D275" s="47" t="s">
        <v>54</v>
      </c>
      <c r="E275" s="47" t="s">
        <v>99</v>
      </c>
      <c r="F275" s="47" t="s">
        <v>102</v>
      </c>
      <c r="G275" s="48" t="s">
        <v>102</v>
      </c>
      <c r="H275" s="43">
        <v>12059</v>
      </c>
      <c r="I275" s="44">
        <v>32.672692599999998</v>
      </c>
      <c r="J275" s="43">
        <v>13339</v>
      </c>
      <c r="K275" s="44">
        <v>68.243496500000006</v>
      </c>
    </row>
    <row r="276" spans="1:11" ht="15" hidden="1" customHeight="1">
      <c r="A276" s="7"/>
      <c r="B276" s="36">
        <v>269</v>
      </c>
      <c r="C276" s="37" t="s">
        <v>19</v>
      </c>
      <c r="D276" s="37" t="s">
        <v>54</v>
      </c>
      <c r="E276" s="37" t="s">
        <v>99</v>
      </c>
      <c r="F276" s="37" t="s">
        <v>102</v>
      </c>
      <c r="G276" s="38" t="s">
        <v>13</v>
      </c>
      <c r="H276" s="39">
        <v>1966</v>
      </c>
      <c r="I276" s="40">
        <v>28.179043700000001</v>
      </c>
      <c r="J276" s="39"/>
      <c r="K276" s="40"/>
    </row>
    <row r="277" spans="1:11" ht="15" hidden="1" customHeight="1">
      <c r="A277" s="7"/>
      <c r="B277" s="36">
        <v>270</v>
      </c>
      <c r="C277" s="37" t="s">
        <v>19</v>
      </c>
      <c r="D277" s="37" t="s">
        <v>54</v>
      </c>
      <c r="E277" s="37" t="s">
        <v>99</v>
      </c>
      <c r="F277" s="37" t="s">
        <v>102</v>
      </c>
      <c r="G277" s="38" t="s">
        <v>14</v>
      </c>
      <c r="H277" s="39">
        <v>10093</v>
      </c>
      <c r="I277" s="40">
        <v>33.548003600000001</v>
      </c>
      <c r="J277" s="39">
        <v>13339</v>
      </c>
      <c r="K277" s="40">
        <v>68.243496500000006</v>
      </c>
    </row>
    <row r="278" spans="1:11" ht="15" customHeight="1">
      <c r="A278" s="7"/>
      <c r="B278" s="41">
        <v>271</v>
      </c>
      <c r="C278" s="42" t="s">
        <v>19</v>
      </c>
      <c r="D278" s="47" t="s">
        <v>54</v>
      </c>
      <c r="E278" s="47" t="s">
        <v>99</v>
      </c>
      <c r="F278" s="47" t="s">
        <v>103</v>
      </c>
      <c r="G278" s="48" t="s">
        <v>103</v>
      </c>
      <c r="H278" s="43">
        <v>6690</v>
      </c>
      <c r="I278" s="44">
        <v>75.4110613</v>
      </c>
      <c r="J278" s="43">
        <v>7684</v>
      </c>
      <c r="K278" s="44">
        <v>91.319625200000004</v>
      </c>
    </row>
    <row r="279" spans="1:11" ht="15" hidden="1" customHeight="1">
      <c r="A279" s="7"/>
      <c r="B279" s="36">
        <v>272</v>
      </c>
      <c r="C279" s="37" t="s">
        <v>19</v>
      </c>
      <c r="D279" s="37" t="s">
        <v>54</v>
      </c>
      <c r="E279" s="37" t="s">
        <v>99</v>
      </c>
      <c r="F279" s="37" t="s">
        <v>103</v>
      </c>
      <c r="G279" s="38" t="s">
        <v>13</v>
      </c>
      <c r="H279" s="39">
        <v>3794</v>
      </c>
      <c r="I279" s="40">
        <v>98.945703699999996</v>
      </c>
      <c r="J279" s="39">
        <v>4755</v>
      </c>
      <c r="K279" s="40">
        <v>99.263932699999998</v>
      </c>
    </row>
    <row r="280" spans="1:11" ht="15" hidden="1" customHeight="1">
      <c r="A280" s="7"/>
      <c r="B280" s="36">
        <v>273</v>
      </c>
      <c r="C280" s="37" t="s">
        <v>19</v>
      </c>
      <c r="D280" s="37" t="s">
        <v>54</v>
      </c>
      <c r="E280" s="37" t="s">
        <v>99</v>
      </c>
      <c r="F280" s="37" t="s">
        <v>103</v>
      </c>
      <c r="G280" s="38" t="s">
        <v>14</v>
      </c>
      <c r="H280" s="39">
        <v>2896</v>
      </c>
      <c r="I280" s="40">
        <v>44.578729299999999</v>
      </c>
      <c r="J280" s="39">
        <v>2929</v>
      </c>
      <c r="K280" s="40">
        <v>78.422669900000002</v>
      </c>
    </row>
    <row r="281" spans="1:11" ht="15" customHeight="1">
      <c r="A281" s="7"/>
      <c r="B281" s="41">
        <v>274</v>
      </c>
      <c r="C281" s="42" t="s">
        <v>19</v>
      </c>
      <c r="D281" s="47" t="s">
        <v>54</v>
      </c>
      <c r="E281" s="47" t="s">
        <v>99</v>
      </c>
      <c r="F281" s="47" t="s">
        <v>104</v>
      </c>
      <c r="G281" s="48" t="s">
        <v>104</v>
      </c>
      <c r="H281" s="43">
        <v>6066</v>
      </c>
      <c r="I281" s="44">
        <v>14.754368599999999</v>
      </c>
      <c r="J281" s="43">
        <v>7824</v>
      </c>
      <c r="K281" s="44">
        <v>40.465235200000002</v>
      </c>
    </row>
    <row r="282" spans="1:11" ht="15" hidden="1" customHeight="1">
      <c r="A282" s="7"/>
      <c r="B282" s="36">
        <v>275</v>
      </c>
      <c r="C282" s="37" t="s">
        <v>19</v>
      </c>
      <c r="D282" s="37" t="s">
        <v>54</v>
      </c>
      <c r="E282" s="37" t="s">
        <v>99</v>
      </c>
      <c r="F282" s="37" t="s">
        <v>104</v>
      </c>
      <c r="G282" s="38" t="s">
        <v>13</v>
      </c>
      <c r="H282" s="39"/>
      <c r="I282" s="40"/>
      <c r="J282" s="39"/>
      <c r="K282" s="40"/>
    </row>
    <row r="283" spans="1:11" ht="15" hidden="1" customHeight="1">
      <c r="A283" s="7"/>
      <c r="B283" s="36">
        <v>276</v>
      </c>
      <c r="C283" s="37" t="s">
        <v>19</v>
      </c>
      <c r="D283" s="37" t="s">
        <v>54</v>
      </c>
      <c r="E283" s="37" t="s">
        <v>99</v>
      </c>
      <c r="F283" s="37" t="s">
        <v>104</v>
      </c>
      <c r="G283" s="38" t="s">
        <v>14</v>
      </c>
      <c r="H283" s="39">
        <v>6066</v>
      </c>
      <c r="I283" s="40">
        <v>14.754368599999999</v>
      </c>
      <c r="J283" s="39">
        <v>7824</v>
      </c>
      <c r="K283" s="40">
        <v>40.465235200000002</v>
      </c>
    </row>
    <row r="284" spans="1:11" ht="15" customHeight="1">
      <c r="A284" s="7"/>
      <c r="B284" s="41">
        <v>277</v>
      </c>
      <c r="C284" s="42" t="s">
        <v>19</v>
      </c>
      <c r="D284" s="47" t="s">
        <v>54</v>
      </c>
      <c r="E284" s="47" t="s">
        <v>99</v>
      </c>
      <c r="F284" s="47" t="s">
        <v>105</v>
      </c>
      <c r="G284" s="48" t="s">
        <v>105</v>
      </c>
      <c r="H284" s="43">
        <v>14938</v>
      </c>
      <c r="I284" s="44">
        <v>20.464587000000002</v>
      </c>
      <c r="J284" s="43">
        <v>16750</v>
      </c>
      <c r="K284" s="44">
        <v>48.973134299999998</v>
      </c>
    </row>
    <row r="285" spans="1:11" ht="15" hidden="1" customHeight="1">
      <c r="A285" s="7"/>
      <c r="B285" s="36">
        <v>278</v>
      </c>
      <c r="C285" s="37" t="s">
        <v>19</v>
      </c>
      <c r="D285" s="37" t="s">
        <v>54</v>
      </c>
      <c r="E285" s="37" t="s">
        <v>99</v>
      </c>
      <c r="F285" s="37" t="s">
        <v>105</v>
      </c>
      <c r="G285" s="38" t="s">
        <v>13</v>
      </c>
      <c r="H285" s="39"/>
      <c r="I285" s="40"/>
      <c r="J285" s="39"/>
      <c r="K285" s="40"/>
    </row>
    <row r="286" spans="1:11" ht="15" hidden="1" customHeight="1">
      <c r="A286" s="7"/>
      <c r="B286" s="36">
        <v>279</v>
      </c>
      <c r="C286" s="37" t="s">
        <v>19</v>
      </c>
      <c r="D286" s="37" t="s">
        <v>54</v>
      </c>
      <c r="E286" s="37" t="s">
        <v>99</v>
      </c>
      <c r="F286" s="37" t="s">
        <v>105</v>
      </c>
      <c r="G286" s="38" t="s">
        <v>14</v>
      </c>
      <c r="H286" s="39">
        <v>14938</v>
      </c>
      <c r="I286" s="40">
        <v>20.464587000000002</v>
      </c>
      <c r="J286" s="39">
        <v>16750</v>
      </c>
      <c r="K286" s="40">
        <v>48.973134299999998</v>
      </c>
    </row>
    <row r="287" spans="1:11" ht="15" customHeight="1">
      <c r="A287" s="7"/>
      <c r="B287" s="41">
        <v>280</v>
      </c>
      <c r="C287" s="42" t="s">
        <v>19</v>
      </c>
      <c r="D287" s="47" t="s">
        <v>54</v>
      </c>
      <c r="E287" s="47" t="s">
        <v>99</v>
      </c>
      <c r="F287" s="47" t="s">
        <v>106</v>
      </c>
      <c r="G287" s="48" t="s">
        <v>106</v>
      </c>
      <c r="H287" s="43">
        <v>6546</v>
      </c>
      <c r="I287" s="44">
        <v>59.883898600000002</v>
      </c>
      <c r="J287" s="43">
        <v>7420</v>
      </c>
      <c r="K287" s="44">
        <v>90.754716999999999</v>
      </c>
    </row>
    <row r="288" spans="1:11" ht="15" hidden="1" customHeight="1">
      <c r="A288" s="7"/>
      <c r="B288" s="36">
        <v>281</v>
      </c>
      <c r="C288" s="37" t="s">
        <v>19</v>
      </c>
      <c r="D288" s="37" t="s">
        <v>54</v>
      </c>
      <c r="E288" s="37" t="s">
        <v>99</v>
      </c>
      <c r="F288" s="37" t="s">
        <v>106</v>
      </c>
      <c r="G288" s="38" t="s">
        <v>13</v>
      </c>
      <c r="H288" s="39"/>
      <c r="I288" s="40"/>
      <c r="J288" s="39"/>
      <c r="K288" s="40"/>
    </row>
    <row r="289" spans="1:11" ht="15" hidden="1" customHeight="1">
      <c r="A289" s="7"/>
      <c r="B289" s="36">
        <v>282</v>
      </c>
      <c r="C289" s="37" t="s">
        <v>19</v>
      </c>
      <c r="D289" s="37" t="s">
        <v>54</v>
      </c>
      <c r="E289" s="37" t="s">
        <v>99</v>
      </c>
      <c r="F289" s="37" t="s">
        <v>106</v>
      </c>
      <c r="G289" s="38" t="s">
        <v>14</v>
      </c>
      <c r="H289" s="39">
        <v>6546</v>
      </c>
      <c r="I289" s="40">
        <v>59.883898600000002</v>
      </c>
      <c r="J289" s="39">
        <v>7420</v>
      </c>
      <c r="K289" s="40">
        <v>90.754716999999999</v>
      </c>
    </row>
    <row r="290" spans="1:11" ht="15" hidden="1" customHeight="1">
      <c r="A290" s="7"/>
      <c r="B290" s="32">
        <v>283</v>
      </c>
      <c r="C290" s="33" t="s">
        <v>17</v>
      </c>
      <c r="D290" s="46" t="s">
        <v>54</v>
      </c>
      <c r="E290" s="46" t="s">
        <v>107</v>
      </c>
      <c r="F290" s="46"/>
      <c r="G290" s="33" t="s">
        <v>107</v>
      </c>
      <c r="H290" s="34">
        <v>46757</v>
      </c>
      <c r="I290" s="35">
        <v>29.285454600000001</v>
      </c>
      <c r="J290" s="34">
        <v>57666</v>
      </c>
      <c r="K290" s="35">
        <v>54.1931121</v>
      </c>
    </row>
    <row r="291" spans="1:11" ht="15" hidden="1" customHeight="1">
      <c r="A291" s="7"/>
      <c r="B291" s="36">
        <v>284</v>
      </c>
      <c r="C291" s="37" t="s">
        <v>17</v>
      </c>
      <c r="D291" s="37" t="s">
        <v>54</v>
      </c>
      <c r="E291" s="37" t="s">
        <v>107</v>
      </c>
      <c r="F291" s="37"/>
      <c r="G291" s="38" t="s">
        <v>13</v>
      </c>
      <c r="H291" s="39"/>
      <c r="I291" s="40"/>
      <c r="J291" s="39">
        <v>2105</v>
      </c>
      <c r="K291" s="40">
        <v>74.441805200000005</v>
      </c>
    </row>
    <row r="292" spans="1:11" ht="15" hidden="1" customHeight="1">
      <c r="A292" s="7"/>
      <c r="B292" s="36">
        <v>285</v>
      </c>
      <c r="C292" s="37" t="s">
        <v>17</v>
      </c>
      <c r="D292" s="37" t="s">
        <v>54</v>
      </c>
      <c r="E292" s="37" t="s">
        <v>107</v>
      </c>
      <c r="F292" s="37"/>
      <c r="G292" s="38" t="s">
        <v>14</v>
      </c>
      <c r="H292" s="39">
        <v>46757</v>
      </c>
      <c r="I292" s="40">
        <v>29.285454600000001</v>
      </c>
      <c r="J292" s="39">
        <v>55561</v>
      </c>
      <c r="K292" s="40">
        <v>53.425964299999997</v>
      </c>
    </row>
    <row r="293" spans="1:11" ht="15" customHeight="1">
      <c r="A293" s="7"/>
      <c r="B293" s="41">
        <v>286</v>
      </c>
      <c r="C293" s="42" t="s">
        <v>19</v>
      </c>
      <c r="D293" s="47" t="s">
        <v>54</v>
      </c>
      <c r="E293" s="47" t="s">
        <v>107</v>
      </c>
      <c r="F293" s="47" t="s">
        <v>108</v>
      </c>
      <c r="G293" s="48" t="s">
        <v>108</v>
      </c>
      <c r="H293" s="43">
        <v>11018</v>
      </c>
      <c r="I293" s="44">
        <v>27.7001271</v>
      </c>
      <c r="J293" s="43">
        <v>10553</v>
      </c>
      <c r="K293" s="44">
        <v>52.496920299999999</v>
      </c>
    </row>
    <row r="294" spans="1:11" ht="15" hidden="1" customHeight="1">
      <c r="A294" s="7"/>
      <c r="B294" s="36">
        <v>287</v>
      </c>
      <c r="C294" s="37" t="s">
        <v>19</v>
      </c>
      <c r="D294" s="37" t="s">
        <v>54</v>
      </c>
      <c r="E294" s="37" t="s">
        <v>107</v>
      </c>
      <c r="F294" s="37" t="s">
        <v>108</v>
      </c>
      <c r="G294" s="38" t="s">
        <v>13</v>
      </c>
      <c r="H294" s="39"/>
      <c r="I294" s="40"/>
      <c r="J294" s="39"/>
      <c r="K294" s="40"/>
    </row>
    <row r="295" spans="1:11" ht="15" hidden="1" customHeight="1">
      <c r="A295" s="7"/>
      <c r="B295" s="36">
        <v>288</v>
      </c>
      <c r="C295" s="37" t="s">
        <v>19</v>
      </c>
      <c r="D295" s="37" t="s">
        <v>54</v>
      </c>
      <c r="E295" s="37" t="s">
        <v>107</v>
      </c>
      <c r="F295" s="37" t="s">
        <v>108</v>
      </c>
      <c r="G295" s="38" t="s">
        <v>14</v>
      </c>
      <c r="H295" s="39">
        <v>11018</v>
      </c>
      <c r="I295" s="40">
        <v>27.7001271</v>
      </c>
      <c r="J295" s="39">
        <v>10553</v>
      </c>
      <c r="K295" s="40">
        <v>52.496920299999999</v>
      </c>
    </row>
    <row r="296" spans="1:11" ht="15" customHeight="1">
      <c r="A296" s="7"/>
      <c r="B296" s="41">
        <v>289</v>
      </c>
      <c r="C296" s="42" t="s">
        <v>19</v>
      </c>
      <c r="D296" s="47" t="s">
        <v>54</v>
      </c>
      <c r="E296" s="47" t="s">
        <v>107</v>
      </c>
      <c r="F296" s="47" t="s">
        <v>109</v>
      </c>
      <c r="G296" s="48" t="s">
        <v>109</v>
      </c>
      <c r="H296" s="43">
        <v>12368</v>
      </c>
      <c r="I296" s="44">
        <v>18.272962499999998</v>
      </c>
      <c r="J296" s="43">
        <v>16377</v>
      </c>
      <c r="K296" s="44">
        <v>48.391036200000002</v>
      </c>
    </row>
    <row r="297" spans="1:11" ht="15" hidden="1" customHeight="1">
      <c r="A297" s="7"/>
      <c r="B297" s="36">
        <v>290</v>
      </c>
      <c r="C297" s="37" t="s">
        <v>19</v>
      </c>
      <c r="D297" s="37" t="s">
        <v>54</v>
      </c>
      <c r="E297" s="37" t="s">
        <v>107</v>
      </c>
      <c r="F297" s="37" t="s">
        <v>109</v>
      </c>
      <c r="G297" s="38" t="s">
        <v>13</v>
      </c>
      <c r="H297" s="39"/>
      <c r="I297" s="40"/>
      <c r="J297" s="39"/>
      <c r="K297" s="40"/>
    </row>
    <row r="298" spans="1:11" ht="15" hidden="1" customHeight="1">
      <c r="A298" s="7"/>
      <c r="B298" s="36">
        <v>291</v>
      </c>
      <c r="C298" s="37" t="s">
        <v>19</v>
      </c>
      <c r="D298" s="37" t="s">
        <v>54</v>
      </c>
      <c r="E298" s="37" t="s">
        <v>107</v>
      </c>
      <c r="F298" s="37" t="s">
        <v>109</v>
      </c>
      <c r="G298" s="38" t="s">
        <v>14</v>
      </c>
      <c r="H298" s="39">
        <v>12368</v>
      </c>
      <c r="I298" s="40">
        <v>18.272962499999998</v>
      </c>
      <c r="J298" s="39">
        <v>16377</v>
      </c>
      <c r="K298" s="40">
        <v>48.391036200000002</v>
      </c>
    </row>
    <row r="299" spans="1:11" ht="15" customHeight="1">
      <c r="A299" s="7"/>
      <c r="B299" s="41">
        <v>292</v>
      </c>
      <c r="C299" s="42" t="s">
        <v>19</v>
      </c>
      <c r="D299" s="47" t="s">
        <v>54</v>
      </c>
      <c r="E299" s="47" t="s">
        <v>107</v>
      </c>
      <c r="F299" s="47" t="s">
        <v>110</v>
      </c>
      <c r="G299" s="48" t="s">
        <v>110</v>
      </c>
      <c r="H299" s="43">
        <v>7189</v>
      </c>
      <c r="I299" s="44">
        <v>23.8837112</v>
      </c>
      <c r="J299" s="43">
        <v>12082</v>
      </c>
      <c r="K299" s="44">
        <v>50.902168500000002</v>
      </c>
    </row>
    <row r="300" spans="1:11" ht="15" hidden="1" customHeight="1">
      <c r="A300" s="7"/>
      <c r="B300" s="36">
        <v>293</v>
      </c>
      <c r="C300" s="37" t="s">
        <v>19</v>
      </c>
      <c r="D300" s="37" t="s">
        <v>54</v>
      </c>
      <c r="E300" s="37" t="s">
        <v>107</v>
      </c>
      <c r="F300" s="37" t="s">
        <v>110</v>
      </c>
      <c r="G300" s="38" t="s">
        <v>13</v>
      </c>
      <c r="H300" s="39"/>
      <c r="I300" s="40"/>
      <c r="J300" s="39">
        <v>2105</v>
      </c>
      <c r="K300" s="40">
        <v>74.441805200000005</v>
      </c>
    </row>
    <row r="301" spans="1:11" ht="15" hidden="1" customHeight="1">
      <c r="A301" s="7"/>
      <c r="B301" s="36">
        <v>294</v>
      </c>
      <c r="C301" s="37" t="s">
        <v>19</v>
      </c>
      <c r="D301" s="37" t="s">
        <v>54</v>
      </c>
      <c r="E301" s="37" t="s">
        <v>107</v>
      </c>
      <c r="F301" s="37" t="s">
        <v>110</v>
      </c>
      <c r="G301" s="38" t="s">
        <v>14</v>
      </c>
      <c r="H301" s="39">
        <v>7189</v>
      </c>
      <c r="I301" s="40">
        <v>23.8837112</v>
      </c>
      <c r="J301" s="39">
        <v>9977</v>
      </c>
      <c r="K301" s="40">
        <v>45.935651999999997</v>
      </c>
    </row>
    <row r="302" spans="1:11" ht="15" customHeight="1">
      <c r="A302" s="7"/>
      <c r="B302" s="41">
        <v>295</v>
      </c>
      <c r="C302" s="42" t="s">
        <v>19</v>
      </c>
      <c r="D302" s="47" t="s">
        <v>54</v>
      </c>
      <c r="E302" s="47" t="s">
        <v>107</v>
      </c>
      <c r="F302" s="47" t="s">
        <v>111</v>
      </c>
      <c r="G302" s="48" t="s">
        <v>111</v>
      </c>
      <c r="H302" s="43">
        <v>4963</v>
      </c>
      <c r="I302" s="44">
        <v>48.4585936</v>
      </c>
      <c r="J302" s="43">
        <v>5156</v>
      </c>
      <c r="K302" s="44">
        <v>60.415050399999998</v>
      </c>
    </row>
    <row r="303" spans="1:11" ht="15" hidden="1" customHeight="1">
      <c r="A303" s="7"/>
      <c r="B303" s="36">
        <v>296</v>
      </c>
      <c r="C303" s="37" t="s">
        <v>19</v>
      </c>
      <c r="D303" s="37" t="s">
        <v>54</v>
      </c>
      <c r="E303" s="37" t="s">
        <v>107</v>
      </c>
      <c r="F303" s="37" t="s">
        <v>111</v>
      </c>
      <c r="G303" s="38" t="s">
        <v>13</v>
      </c>
      <c r="H303" s="39"/>
      <c r="I303" s="40"/>
      <c r="J303" s="39"/>
      <c r="K303" s="40"/>
    </row>
    <row r="304" spans="1:11" ht="15" hidden="1" customHeight="1">
      <c r="A304" s="7"/>
      <c r="B304" s="36">
        <v>297</v>
      </c>
      <c r="C304" s="37" t="s">
        <v>19</v>
      </c>
      <c r="D304" s="37" t="s">
        <v>54</v>
      </c>
      <c r="E304" s="37" t="s">
        <v>107</v>
      </c>
      <c r="F304" s="37" t="s">
        <v>111</v>
      </c>
      <c r="G304" s="38" t="s">
        <v>14</v>
      </c>
      <c r="H304" s="39">
        <v>4963</v>
      </c>
      <c r="I304" s="40">
        <v>48.4585936</v>
      </c>
      <c r="J304" s="39">
        <v>5156</v>
      </c>
      <c r="K304" s="40">
        <v>60.415050399999998</v>
      </c>
    </row>
    <row r="305" spans="1:11" ht="15" customHeight="1">
      <c r="A305" s="7"/>
      <c r="B305" s="41">
        <v>298</v>
      </c>
      <c r="C305" s="42" t="s">
        <v>19</v>
      </c>
      <c r="D305" s="47" t="s">
        <v>54</v>
      </c>
      <c r="E305" s="47" t="s">
        <v>107</v>
      </c>
      <c r="F305" s="47" t="s">
        <v>112</v>
      </c>
      <c r="G305" s="48" t="s">
        <v>112</v>
      </c>
      <c r="H305" s="43">
        <v>11219</v>
      </c>
      <c r="I305" s="44">
        <v>37.9623852</v>
      </c>
      <c r="J305" s="43">
        <v>13498</v>
      </c>
      <c r="K305" s="44">
        <v>63.127870799999997</v>
      </c>
    </row>
    <row r="306" spans="1:11" ht="15" hidden="1" customHeight="1">
      <c r="A306" s="7"/>
      <c r="B306" s="36">
        <v>299</v>
      </c>
      <c r="C306" s="37" t="s">
        <v>19</v>
      </c>
      <c r="D306" s="37" t="s">
        <v>54</v>
      </c>
      <c r="E306" s="37" t="s">
        <v>107</v>
      </c>
      <c r="F306" s="37" t="s">
        <v>112</v>
      </c>
      <c r="G306" s="38" t="s">
        <v>13</v>
      </c>
      <c r="H306" s="39"/>
      <c r="I306" s="40"/>
      <c r="J306" s="39"/>
      <c r="K306" s="40"/>
    </row>
    <row r="307" spans="1:11" ht="15" hidden="1" customHeight="1">
      <c r="A307" s="7"/>
      <c r="B307" s="36">
        <v>300</v>
      </c>
      <c r="C307" s="37" t="s">
        <v>19</v>
      </c>
      <c r="D307" s="37" t="s">
        <v>54</v>
      </c>
      <c r="E307" s="37" t="s">
        <v>107</v>
      </c>
      <c r="F307" s="37" t="s">
        <v>112</v>
      </c>
      <c r="G307" s="38" t="s">
        <v>14</v>
      </c>
      <c r="H307" s="39">
        <v>11219</v>
      </c>
      <c r="I307" s="40">
        <v>37.9623852</v>
      </c>
      <c r="J307" s="39">
        <v>13498</v>
      </c>
      <c r="K307" s="40">
        <v>63.127870799999997</v>
      </c>
    </row>
    <row r="308" spans="1:11" ht="15" hidden="1" customHeight="1">
      <c r="A308" s="7"/>
      <c r="B308" s="32">
        <v>301</v>
      </c>
      <c r="C308" s="33" t="s">
        <v>17</v>
      </c>
      <c r="D308" s="46" t="s">
        <v>54</v>
      </c>
      <c r="E308" s="46" t="s">
        <v>113</v>
      </c>
      <c r="F308" s="46"/>
      <c r="G308" s="33" t="s">
        <v>113</v>
      </c>
      <c r="H308" s="34">
        <v>65231</v>
      </c>
      <c r="I308" s="35">
        <v>32.875473300000003</v>
      </c>
      <c r="J308" s="34">
        <v>83964</v>
      </c>
      <c r="K308" s="35">
        <v>49.399742699999997</v>
      </c>
    </row>
    <row r="309" spans="1:11" ht="15" hidden="1" customHeight="1">
      <c r="A309" s="7"/>
      <c r="B309" s="36">
        <v>302</v>
      </c>
      <c r="C309" s="37" t="s">
        <v>17</v>
      </c>
      <c r="D309" s="37" t="s">
        <v>54</v>
      </c>
      <c r="E309" s="37" t="s">
        <v>113</v>
      </c>
      <c r="F309" s="37"/>
      <c r="G309" s="38" t="s">
        <v>13</v>
      </c>
      <c r="H309" s="39">
        <v>11150</v>
      </c>
      <c r="I309" s="40">
        <v>87.650224199999997</v>
      </c>
      <c r="J309" s="39">
        <v>18099</v>
      </c>
      <c r="K309" s="40">
        <v>90.386209199999996</v>
      </c>
    </row>
    <row r="310" spans="1:11" ht="15" hidden="1" customHeight="1">
      <c r="A310" s="7"/>
      <c r="B310" s="36">
        <v>303</v>
      </c>
      <c r="C310" s="37" t="s">
        <v>17</v>
      </c>
      <c r="D310" s="37" t="s">
        <v>54</v>
      </c>
      <c r="E310" s="37" t="s">
        <v>113</v>
      </c>
      <c r="F310" s="37"/>
      <c r="G310" s="38" t="s">
        <v>14</v>
      </c>
      <c r="H310" s="39">
        <v>54081</v>
      </c>
      <c r="I310" s="40">
        <v>21.582441200000002</v>
      </c>
      <c r="J310" s="39">
        <v>65865</v>
      </c>
      <c r="K310" s="40">
        <v>38.137098600000002</v>
      </c>
    </row>
    <row r="311" spans="1:11" ht="15" customHeight="1">
      <c r="A311" s="7"/>
      <c r="B311" s="41">
        <v>304</v>
      </c>
      <c r="C311" s="42" t="s">
        <v>19</v>
      </c>
      <c r="D311" s="47" t="s">
        <v>54</v>
      </c>
      <c r="E311" s="47" t="s">
        <v>113</v>
      </c>
      <c r="F311" s="47" t="s">
        <v>113</v>
      </c>
      <c r="G311" s="48" t="s">
        <v>113</v>
      </c>
      <c r="H311" s="43">
        <v>14582</v>
      </c>
      <c r="I311" s="44">
        <v>8.4213413999999993</v>
      </c>
      <c r="J311" s="43">
        <v>18522</v>
      </c>
      <c r="K311" s="44">
        <v>23.134650700000002</v>
      </c>
    </row>
    <row r="312" spans="1:11" ht="15" hidden="1" customHeight="1">
      <c r="A312" s="7"/>
      <c r="B312" s="36">
        <v>305</v>
      </c>
      <c r="C312" s="37" t="s">
        <v>19</v>
      </c>
      <c r="D312" s="37" t="s">
        <v>54</v>
      </c>
      <c r="E312" s="37" t="s">
        <v>113</v>
      </c>
      <c r="F312" s="37" t="s">
        <v>113</v>
      </c>
      <c r="G312" s="38" t="s">
        <v>13</v>
      </c>
      <c r="H312" s="39"/>
      <c r="I312" s="40"/>
      <c r="J312" s="39"/>
      <c r="K312" s="40"/>
    </row>
    <row r="313" spans="1:11" ht="15" hidden="1" customHeight="1">
      <c r="A313" s="7"/>
      <c r="B313" s="36">
        <v>306</v>
      </c>
      <c r="C313" s="37" t="s">
        <v>19</v>
      </c>
      <c r="D313" s="37" t="s">
        <v>54</v>
      </c>
      <c r="E313" s="37" t="s">
        <v>113</v>
      </c>
      <c r="F313" s="37" t="s">
        <v>113</v>
      </c>
      <c r="G313" s="38" t="s">
        <v>14</v>
      </c>
      <c r="H313" s="39">
        <v>14582</v>
      </c>
      <c r="I313" s="40">
        <v>8.4213413999999993</v>
      </c>
      <c r="J313" s="39">
        <v>18522</v>
      </c>
      <c r="K313" s="40">
        <v>23.134650700000002</v>
      </c>
    </row>
    <row r="314" spans="1:11" ht="15" customHeight="1">
      <c r="A314" s="7"/>
      <c r="B314" s="41">
        <v>307</v>
      </c>
      <c r="C314" s="42" t="s">
        <v>19</v>
      </c>
      <c r="D314" s="47" t="s">
        <v>54</v>
      </c>
      <c r="E314" s="47" t="s">
        <v>113</v>
      </c>
      <c r="F314" s="47" t="s">
        <v>114</v>
      </c>
      <c r="G314" s="48" t="s">
        <v>114</v>
      </c>
      <c r="H314" s="43">
        <v>8026</v>
      </c>
      <c r="I314" s="44">
        <v>61.6247197</v>
      </c>
      <c r="J314" s="43">
        <v>9970</v>
      </c>
      <c r="K314" s="44">
        <v>69.428284899999994</v>
      </c>
    </row>
    <row r="315" spans="1:11" ht="15" hidden="1" customHeight="1">
      <c r="A315" s="7"/>
      <c r="B315" s="36">
        <v>308</v>
      </c>
      <c r="C315" s="37" t="s">
        <v>19</v>
      </c>
      <c r="D315" s="37" t="s">
        <v>54</v>
      </c>
      <c r="E315" s="37" t="s">
        <v>113</v>
      </c>
      <c r="F315" s="37" t="s">
        <v>114</v>
      </c>
      <c r="G315" s="38" t="s">
        <v>13</v>
      </c>
      <c r="H315" s="39">
        <v>3051</v>
      </c>
      <c r="I315" s="40">
        <v>83.120288400000007</v>
      </c>
      <c r="J315" s="39">
        <v>4367</v>
      </c>
      <c r="K315" s="40">
        <v>90.451110600000007</v>
      </c>
    </row>
    <row r="316" spans="1:11" ht="15" hidden="1" customHeight="1">
      <c r="A316" s="7"/>
      <c r="B316" s="36">
        <v>309</v>
      </c>
      <c r="C316" s="37" t="s">
        <v>19</v>
      </c>
      <c r="D316" s="37" t="s">
        <v>54</v>
      </c>
      <c r="E316" s="37" t="s">
        <v>113</v>
      </c>
      <c r="F316" s="37" t="s">
        <v>114</v>
      </c>
      <c r="G316" s="38" t="s">
        <v>14</v>
      </c>
      <c r="H316" s="39">
        <v>4975</v>
      </c>
      <c r="I316" s="40">
        <v>48.442211100000002</v>
      </c>
      <c r="J316" s="39">
        <v>5603</v>
      </c>
      <c r="K316" s="40">
        <v>53.043012699999998</v>
      </c>
    </row>
    <row r="317" spans="1:11" ht="15" customHeight="1">
      <c r="A317" s="7"/>
      <c r="B317" s="41">
        <v>310</v>
      </c>
      <c r="C317" s="42" t="s">
        <v>19</v>
      </c>
      <c r="D317" s="47" t="s">
        <v>54</v>
      </c>
      <c r="E317" s="47" t="s">
        <v>113</v>
      </c>
      <c r="F317" s="47" t="s">
        <v>115</v>
      </c>
      <c r="G317" s="48" t="s">
        <v>115</v>
      </c>
      <c r="H317" s="43">
        <v>10184</v>
      </c>
      <c r="I317" s="44">
        <v>48.311076200000002</v>
      </c>
      <c r="J317" s="43">
        <v>15304</v>
      </c>
      <c r="K317" s="44">
        <v>81.070308400000002</v>
      </c>
    </row>
    <row r="318" spans="1:11" ht="15" hidden="1" customHeight="1">
      <c r="A318" s="7"/>
      <c r="B318" s="36">
        <v>311</v>
      </c>
      <c r="C318" s="37" t="s">
        <v>19</v>
      </c>
      <c r="D318" s="37" t="s">
        <v>54</v>
      </c>
      <c r="E318" s="37" t="s">
        <v>113</v>
      </c>
      <c r="F318" s="37" t="s">
        <v>115</v>
      </c>
      <c r="G318" s="38" t="s">
        <v>13</v>
      </c>
      <c r="H318" s="39"/>
      <c r="I318" s="40"/>
      <c r="J318" s="39">
        <v>2073</v>
      </c>
      <c r="K318" s="40">
        <v>96.478533499999998</v>
      </c>
    </row>
    <row r="319" spans="1:11" ht="15" hidden="1" customHeight="1">
      <c r="A319" s="7"/>
      <c r="B319" s="36">
        <v>312</v>
      </c>
      <c r="C319" s="37" t="s">
        <v>19</v>
      </c>
      <c r="D319" s="37" t="s">
        <v>54</v>
      </c>
      <c r="E319" s="37" t="s">
        <v>113</v>
      </c>
      <c r="F319" s="37" t="s">
        <v>115</v>
      </c>
      <c r="G319" s="38" t="s">
        <v>14</v>
      </c>
      <c r="H319" s="39">
        <v>10184</v>
      </c>
      <c r="I319" s="40">
        <v>48.311076200000002</v>
      </c>
      <c r="J319" s="39">
        <v>13231</v>
      </c>
      <c r="K319" s="40">
        <v>78.656186199999993</v>
      </c>
    </row>
    <row r="320" spans="1:11" ht="15" customHeight="1">
      <c r="A320" s="7"/>
      <c r="B320" s="41">
        <v>313</v>
      </c>
      <c r="C320" s="42" t="s">
        <v>19</v>
      </c>
      <c r="D320" s="47" t="s">
        <v>54</v>
      </c>
      <c r="E320" s="47" t="s">
        <v>113</v>
      </c>
      <c r="F320" s="47" t="s">
        <v>116</v>
      </c>
      <c r="G320" s="48" t="s">
        <v>116</v>
      </c>
      <c r="H320" s="43">
        <v>19255</v>
      </c>
      <c r="I320" s="44">
        <v>36.831991700000003</v>
      </c>
      <c r="J320" s="43">
        <v>22958</v>
      </c>
      <c r="K320" s="44">
        <v>44.751285000000003</v>
      </c>
    </row>
    <row r="321" spans="1:11" ht="15" hidden="1" customHeight="1">
      <c r="A321" s="7"/>
      <c r="B321" s="36">
        <v>314</v>
      </c>
      <c r="C321" s="37" t="s">
        <v>19</v>
      </c>
      <c r="D321" s="37" t="s">
        <v>54</v>
      </c>
      <c r="E321" s="37" t="s">
        <v>113</v>
      </c>
      <c r="F321" s="37" t="s">
        <v>116</v>
      </c>
      <c r="G321" s="38" t="s">
        <v>13</v>
      </c>
      <c r="H321" s="39">
        <v>5771</v>
      </c>
      <c r="I321" s="40">
        <v>99.584127499999994</v>
      </c>
      <c r="J321" s="39">
        <v>6191</v>
      </c>
      <c r="K321" s="40">
        <v>99.838475200000005</v>
      </c>
    </row>
    <row r="322" spans="1:11" ht="15" hidden="1" customHeight="1">
      <c r="A322" s="7"/>
      <c r="B322" s="36">
        <v>315</v>
      </c>
      <c r="C322" s="37" t="s">
        <v>19</v>
      </c>
      <c r="D322" s="37" t="s">
        <v>54</v>
      </c>
      <c r="E322" s="37" t="s">
        <v>113</v>
      </c>
      <c r="F322" s="37" t="s">
        <v>116</v>
      </c>
      <c r="G322" s="38" t="s">
        <v>14</v>
      </c>
      <c r="H322" s="39">
        <v>13484</v>
      </c>
      <c r="I322" s="40">
        <v>9.9747848999999995</v>
      </c>
      <c r="J322" s="39">
        <v>16767</v>
      </c>
      <c r="K322" s="40">
        <v>24.4110455</v>
      </c>
    </row>
    <row r="323" spans="1:11" ht="15" customHeight="1">
      <c r="A323" s="7"/>
      <c r="B323" s="41">
        <v>316</v>
      </c>
      <c r="C323" s="42" t="s">
        <v>19</v>
      </c>
      <c r="D323" s="47" t="s">
        <v>54</v>
      </c>
      <c r="E323" s="47" t="s">
        <v>113</v>
      </c>
      <c r="F323" s="47" t="s">
        <v>117</v>
      </c>
      <c r="G323" s="48" t="s">
        <v>117</v>
      </c>
      <c r="H323" s="43">
        <v>7728</v>
      </c>
      <c r="I323" s="44">
        <v>18.090062100000001</v>
      </c>
      <c r="J323" s="43">
        <v>9430</v>
      </c>
      <c r="K323" s="44">
        <v>34.294803799999997</v>
      </c>
    </row>
    <row r="324" spans="1:11" ht="15" hidden="1" customHeight="1">
      <c r="A324" s="7"/>
      <c r="B324" s="36">
        <v>317</v>
      </c>
      <c r="C324" s="37" t="s">
        <v>19</v>
      </c>
      <c r="D324" s="37" t="s">
        <v>54</v>
      </c>
      <c r="E324" s="37" t="s">
        <v>113</v>
      </c>
      <c r="F324" s="37" t="s">
        <v>117</v>
      </c>
      <c r="G324" s="38" t="s">
        <v>13</v>
      </c>
      <c r="H324" s="39"/>
      <c r="I324" s="40"/>
      <c r="J324" s="39">
        <v>2012</v>
      </c>
      <c r="K324" s="40">
        <v>62.475149100000003</v>
      </c>
    </row>
    <row r="325" spans="1:11" ht="15" hidden="1" customHeight="1">
      <c r="A325" s="7"/>
      <c r="B325" s="36">
        <v>318</v>
      </c>
      <c r="C325" s="37" t="s">
        <v>19</v>
      </c>
      <c r="D325" s="37" t="s">
        <v>54</v>
      </c>
      <c r="E325" s="37" t="s">
        <v>113</v>
      </c>
      <c r="F325" s="37" t="s">
        <v>117</v>
      </c>
      <c r="G325" s="38" t="s">
        <v>14</v>
      </c>
      <c r="H325" s="39">
        <v>7728</v>
      </c>
      <c r="I325" s="40">
        <v>18.090062100000001</v>
      </c>
      <c r="J325" s="39">
        <v>7418</v>
      </c>
      <c r="K325" s="40">
        <v>26.651388499999999</v>
      </c>
    </row>
    <row r="326" spans="1:11" ht="15" customHeight="1">
      <c r="A326" s="7"/>
      <c r="B326" s="41">
        <v>319</v>
      </c>
      <c r="C326" s="42" t="s">
        <v>19</v>
      </c>
      <c r="D326" s="47" t="s">
        <v>54</v>
      </c>
      <c r="E326" s="47" t="s">
        <v>113</v>
      </c>
      <c r="F326" s="47" t="s">
        <v>118</v>
      </c>
      <c r="G326" s="48" t="s">
        <v>118</v>
      </c>
      <c r="H326" s="43">
        <v>5456</v>
      </c>
      <c r="I326" s="44">
        <v>34.109237499999999</v>
      </c>
      <c r="J326" s="43">
        <v>7780</v>
      </c>
      <c r="K326" s="44">
        <v>55.989717200000001</v>
      </c>
    </row>
    <row r="327" spans="1:11" ht="15" hidden="1" customHeight="1">
      <c r="A327" s="7"/>
      <c r="B327" s="36">
        <v>320</v>
      </c>
      <c r="C327" s="37" t="s">
        <v>19</v>
      </c>
      <c r="D327" s="37" t="s">
        <v>54</v>
      </c>
      <c r="E327" s="37" t="s">
        <v>113</v>
      </c>
      <c r="F327" s="37" t="s">
        <v>118</v>
      </c>
      <c r="G327" s="38" t="s">
        <v>13</v>
      </c>
      <c r="H327" s="39">
        <v>2328</v>
      </c>
      <c r="I327" s="40">
        <v>64.003436399999998</v>
      </c>
      <c r="J327" s="39">
        <v>3456</v>
      </c>
      <c r="K327" s="40">
        <v>85.966435200000006</v>
      </c>
    </row>
    <row r="328" spans="1:11" ht="15" hidden="1" customHeight="1">
      <c r="A328" s="7"/>
      <c r="B328" s="36">
        <v>321</v>
      </c>
      <c r="C328" s="37" t="s">
        <v>19</v>
      </c>
      <c r="D328" s="37" t="s">
        <v>54</v>
      </c>
      <c r="E328" s="37" t="s">
        <v>113</v>
      </c>
      <c r="F328" s="37" t="s">
        <v>118</v>
      </c>
      <c r="G328" s="38" t="s">
        <v>14</v>
      </c>
      <c r="H328" s="39">
        <v>3128</v>
      </c>
      <c r="I328" s="40">
        <v>11.860613799999999</v>
      </c>
      <c r="J328" s="39">
        <v>4324</v>
      </c>
      <c r="K328" s="40">
        <v>32.030527300000003</v>
      </c>
    </row>
    <row r="329" spans="1:11" ht="15" hidden="1" customHeight="1">
      <c r="A329" s="7"/>
      <c r="B329" s="32">
        <v>322</v>
      </c>
      <c r="C329" s="33" t="s">
        <v>17</v>
      </c>
      <c r="D329" s="46" t="s">
        <v>54</v>
      </c>
      <c r="E329" s="46" t="s">
        <v>119</v>
      </c>
      <c r="F329" s="46"/>
      <c r="G329" s="33" t="s">
        <v>119</v>
      </c>
      <c r="H329" s="34">
        <v>103313</v>
      </c>
      <c r="I329" s="35">
        <v>41.2755413</v>
      </c>
      <c r="J329" s="34">
        <v>118599</v>
      </c>
      <c r="K329" s="35">
        <v>65.495493199999999</v>
      </c>
    </row>
    <row r="330" spans="1:11" ht="15" hidden="1" customHeight="1">
      <c r="A330" s="7"/>
      <c r="B330" s="36">
        <v>323</v>
      </c>
      <c r="C330" s="37" t="s">
        <v>17</v>
      </c>
      <c r="D330" s="37" t="s">
        <v>54</v>
      </c>
      <c r="E330" s="37" t="s">
        <v>119</v>
      </c>
      <c r="F330" s="37"/>
      <c r="G330" s="38" t="s">
        <v>13</v>
      </c>
      <c r="H330" s="39">
        <v>9376</v>
      </c>
      <c r="I330" s="40">
        <v>83.393771299999997</v>
      </c>
      <c r="J330" s="39">
        <v>15201</v>
      </c>
      <c r="K330" s="40">
        <v>92.914939799999999</v>
      </c>
    </row>
    <row r="331" spans="1:11" ht="15" hidden="1" customHeight="1">
      <c r="A331" s="7"/>
      <c r="B331" s="36">
        <v>324</v>
      </c>
      <c r="C331" s="37" t="s">
        <v>17</v>
      </c>
      <c r="D331" s="37" t="s">
        <v>54</v>
      </c>
      <c r="E331" s="37" t="s">
        <v>119</v>
      </c>
      <c r="F331" s="37"/>
      <c r="G331" s="38" t="s">
        <v>14</v>
      </c>
      <c r="H331" s="39">
        <v>93937</v>
      </c>
      <c r="I331" s="40">
        <v>37.0716544</v>
      </c>
      <c r="J331" s="39">
        <v>103398</v>
      </c>
      <c r="K331" s="40">
        <v>61.464438399999999</v>
      </c>
    </row>
    <row r="332" spans="1:11" ht="15" customHeight="1">
      <c r="A332" s="7"/>
      <c r="B332" s="41">
        <v>325</v>
      </c>
      <c r="C332" s="42" t="s">
        <v>19</v>
      </c>
      <c r="D332" s="47" t="s">
        <v>54</v>
      </c>
      <c r="E332" s="47" t="s">
        <v>119</v>
      </c>
      <c r="F332" s="47" t="s">
        <v>120</v>
      </c>
      <c r="G332" s="48" t="s">
        <v>120</v>
      </c>
      <c r="H332" s="43">
        <v>17400</v>
      </c>
      <c r="I332" s="44">
        <v>59.603448299999997</v>
      </c>
      <c r="J332" s="43">
        <v>17959</v>
      </c>
      <c r="K332" s="44">
        <v>80.895372800000004</v>
      </c>
    </row>
    <row r="333" spans="1:11" ht="15" hidden="1" customHeight="1">
      <c r="A333" s="7"/>
      <c r="B333" s="36">
        <v>326</v>
      </c>
      <c r="C333" s="37" t="s">
        <v>19</v>
      </c>
      <c r="D333" s="37" t="s">
        <v>54</v>
      </c>
      <c r="E333" s="37" t="s">
        <v>119</v>
      </c>
      <c r="F333" s="37" t="s">
        <v>120</v>
      </c>
      <c r="G333" s="38" t="s">
        <v>13</v>
      </c>
      <c r="H333" s="39">
        <v>1877</v>
      </c>
      <c r="I333" s="40">
        <v>96.057538600000001</v>
      </c>
      <c r="J333" s="39">
        <v>2443</v>
      </c>
      <c r="K333" s="40">
        <v>97.789602900000006</v>
      </c>
    </row>
    <row r="334" spans="1:11" ht="15" hidden="1" customHeight="1">
      <c r="A334" s="7"/>
      <c r="B334" s="36">
        <v>327</v>
      </c>
      <c r="C334" s="37" t="s">
        <v>19</v>
      </c>
      <c r="D334" s="37" t="s">
        <v>54</v>
      </c>
      <c r="E334" s="37" t="s">
        <v>119</v>
      </c>
      <c r="F334" s="37" t="s">
        <v>120</v>
      </c>
      <c r="G334" s="38" t="s">
        <v>14</v>
      </c>
      <c r="H334" s="39">
        <v>15523</v>
      </c>
      <c r="I334" s="40">
        <v>55.195516300000001</v>
      </c>
      <c r="J334" s="39">
        <v>15516</v>
      </c>
      <c r="K334" s="40">
        <v>78.235369899999995</v>
      </c>
    </row>
    <row r="335" spans="1:11" ht="15" customHeight="1">
      <c r="A335" s="7"/>
      <c r="B335" s="41">
        <v>328</v>
      </c>
      <c r="C335" s="42" t="s">
        <v>19</v>
      </c>
      <c r="D335" s="47" t="s">
        <v>54</v>
      </c>
      <c r="E335" s="47" t="s">
        <v>119</v>
      </c>
      <c r="F335" s="47" t="s">
        <v>121</v>
      </c>
      <c r="G335" s="48" t="s">
        <v>121</v>
      </c>
      <c r="H335" s="43">
        <v>16614</v>
      </c>
      <c r="I335" s="44">
        <v>41.4830866</v>
      </c>
      <c r="J335" s="43">
        <v>21869</v>
      </c>
      <c r="K335" s="44">
        <v>64.877223499999999</v>
      </c>
    </row>
    <row r="336" spans="1:11" ht="15" hidden="1" customHeight="1">
      <c r="A336" s="7"/>
      <c r="B336" s="36">
        <v>329</v>
      </c>
      <c r="C336" s="37" t="s">
        <v>19</v>
      </c>
      <c r="D336" s="37" t="s">
        <v>54</v>
      </c>
      <c r="E336" s="37" t="s">
        <v>119</v>
      </c>
      <c r="F336" s="37" t="s">
        <v>121</v>
      </c>
      <c r="G336" s="38" t="s">
        <v>13</v>
      </c>
      <c r="H336" s="39"/>
      <c r="I336" s="40"/>
      <c r="J336" s="39">
        <v>2689</v>
      </c>
      <c r="K336" s="40">
        <v>93.082930500000003</v>
      </c>
    </row>
    <row r="337" spans="1:11" ht="15" hidden="1" customHeight="1">
      <c r="A337" s="7"/>
      <c r="B337" s="36">
        <v>330</v>
      </c>
      <c r="C337" s="37" t="s">
        <v>19</v>
      </c>
      <c r="D337" s="37" t="s">
        <v>54</v>
      </c>
      <c r="E337" s="37" t="s">
        <v>119</v>
      </c>
      <c r="F337" s="37" t="s">
        <v>121</v>
      </c>
      <c r="G337" s="38" t="s">
        <v>14</v>
      </c>
      <c r="H337" s="39">
        <v>16614</v>
      </c>
      <c r="I337" s="40">
        <v>41.4830866</v>
      </c>
      <c r="J337" s="39">
        <v>19180</v>
      </c>
      <c r="K337" s="40">
        <v>60.9228363</v>
      </c>
    </row>
    <row r="338" spans="1:11" ht="15" customHeight="1">
      <c r="A338" s="7"/>
      <c r="B338" s="41">
        <v>331</v>
      </c>
      <c r="C338" s="42" t="s">
        <v>19</v>
      </c>
      <c r="D338" s="47" t="s">
        <v>54</v>
      </c>
      <c r="E338" s="47" t="s">
        <v>119</v>
      </c>
      <c r="F338" s="47" t="s">
        <v>122</v>
      </c>
      <c r="G338" s="48" t="s">
        <v>122</v>
      </c>
      <c r="H338" s="43">
        <v>6131</v>
      </c>
      <c r="I338" s="44">
        <v>55.374327200000003</v>
      </c>
      <c r="J338" s="43">
        <v>7339</v>
      </c>
      <c r="K338" s="44">
        <v>72.121542399999996</v>
      </c>
    </row>
    <row r="339" spans="1:11" ht="15" hidden="1" customHeight="1">
      <c r="A339" s="7"/>
      <c r="B339" s="36">
        <v>332</v>
      </c>
      <c r="C339" s="37" t="s">
        <v>19</v>
      </c>
      <c r="D339" s="37" t="s">
        <v>54</v>
      </c>
      <c r="E339" s="37" t="s">
        <v>119</v>
      </c>
      <c r="F339" s="37" t="s">
        <v>122</v>
      </c>
      <c r="G339" s="38" t="s">
        <v>13</v>
      </c>
      <c r="H339" s="39"/>
      <c r="I339" s="40"/>
      <c r="J339" s="39"/>
      <c r="K339" s="40"/>
    </row>
    <row r="340" spans="1:11" ht="15" hidden="1" customHeight="1">
      <c r="A340" s="7"/>
      <c r="B340" s="36">
        <v>333</v>
      </c>
      <c r="C340" s="37" t="s">
        <v>19</v>
      </c>
      <c r="D340" s="37" t="s">
        <v>54</v>
      </c>
      <c r="E340" s="37" t="s">
        <v>119</v>
      </c>
      <c r="F340" s="37" t="s">
        <v>122</v>
      </c>
      <c r="G340" s="38" t="s">
        <v>14</v>
      </c>
      <c r="H340" s="39">
        <v>6131</v>
      </c>
      <c r="I340" s="40">
        <v>55.374327200000003</v>
      </c>
      <c r="J340" s="39">
        <v>7339</v>
      </c>
      <c r="K340" s="40">
        <v>72.121542399999996</v>
      </c>
    </row>
    <row r="341" spans="1:11" ht="15" customHeight="1">
      <c r="A341" s="7"/>
      <c r="B341" s="41">
        <v>334</v>
      </c>
      <c r="C341" s="42" t="s">
        <v>19</v>
      </c>
      <c r="D341" s="47" t="s">
        <v>54</v>
      </c>
      <c r="E341" s="47" t="s">
        <v>119</v>
      </c>
      <c r="F341" s="47" t="s">
        <v>123</v>
      </c>
      <c r="G341" s="48" t="s">
        <v>123</v>
      </c>
      <c r="H341" s="43">
        <v>23766</v>
      </c>
      <c r="I341" s="44">
        <v>39.956240000000001</v>
      </c>
      <c r="J341" s="43">
        <v>26542</v>
      </c>
      <c r="K341" s="44">
        <v>63.514429999999997</v>
      </c>
    </row>
    <row r="342" spans="1:11" ht="15" hidden="1" customHeight="1">
      <c r="A342" s="7"/>
      <c r="B342" s="36">
        <v>335</v>
      </c>
      <c r="C342" s="37" t="s">
        <v>19</v>
      </c>
      <c r="D342" s="37" t="s">
        <v>54</v>
      </c>
      <c r="E342" s="37" t="s">
        <v>119</v>
      </c>
      <c r="F342" s="37" t="s">
        <v>123</v>
      </c>
      <c r="G342" s="38" t="s">
        <v>13</v>
      </c>
      <c r="H342" s="39">
        <v>5280</v>
      </c>
      <c r="I342" s="40">
        <v>79.393939399999994</v>
      </c>
      <c r="J342" s="39">
        <v>7318</v>
      </c>
      <c r="K342" s="40">
        <v>89.382344900000007</v>
      </c>
    </row>
    <row r="343" spans="1:11" ht="15" hidden="1" customHeight="1">
      <c r="A343" s="7"/>
      <c r="B343" s="36">
        <v>336</v>
      </c>
      <c r="C343" s="37" t="s">
        <v>19</v>
      </c>
      <c r="D343" s="37" t="s">
        <v>54</v>
      </c>
      <c r="E343" s="37" t="s">
        <v>119</v>
      </c>
      <c r="F343" s="37" t="s">
        <v>123</v>
      </c>
      <c r="G343" s="38" t="s">
        <v>14</v>
      </c>
      <c r="H343" s="39">
        <v>18486</v>
      </c>
      <c r="I343" s="40">
        <v>28.691983100000002</v>
      </c>
      <c r="J343" s="39">
        <v>19224</v>
      </c>
      <c r="K343" s="40">
        <v>53.667290899999998</v>
      </c>
    </row>
    <row r="344" spans="1:11" ht="15" customHeight="1">
      <c r="A344" s="7"/>
      <c r="B344" s="41">
        <v>337</v>
      </c>
      <c r="C344" s="42" t="s">
        <v>19</v>
      </c>
      <c r="D344" s="47" t="s">
        <v>54</v>
      </c>
      <c r="E344" s="47" t="s">
        <v>119</v>
      </c>
      <c r="F344" s="47" t="s">
        <v>124</v>
      </c>
      <c r="G344" s="48" t="s">
        <v>124</v>
      </c>
      <c r="H344" s="43">
        <v>39402</v>
      </c>
      <c r="I344" s="44">
        <v>31.696360599999998</v>
      </c>
      <c r="J344" s="43">
        <v>44890</v>
      </c>
      <c r="K344" s="44">
        <v>59.7237692</v>
      </c>
    </row>
    <row r="345" spans="1:11" ht="15" hidden="1" customHeight="1">
      <c r="A345" s="7"/>
      <c r="B345" s="36">
        <v>338</v>
      </c>
      <c r="C345" s="37" t="s">
        <v>19</v>
      </c>
      <c r="D345" s="37" t="s">
        <v>54</v>
      </c>
      <c r="E345" s="37" t="s">
        <v>119</v>
      </c>
      <c r="F345" s="37" t="s">
        <v>124</v>
      </c>
      <c r="G345" s="38" t="s">
        <v>13</v>
      </c>
      <c r="H345" s="39">
        <v>2219</v>
      </c>
      <c r="I345" s="40">
        <v>82.199188800000002</v>
      </c>
      <c r="J345" s="39">
        <v>2751</v>
      </c>
      <c r="K345" s="40">
        <v>97.818974900000001</v>
      </c>
    </row>
    <row r="346" spans="1:11" ht="15" hidden="1" customHeight="1">
      <c r="A346" s="7"/>
      <c r="B346" s="36">
        <v>339</v>
      </c>
      <c r="C346" s="37" t="s">
        <v>19</v>
      </c>
      <c r="D346" s="37" t="s">
        <v>54</v>
      </c>
      <c r="E346" s="37" t="s">
        <v>119</v>
      </c>
      <c r="F346" s="37" t="s">
        <v>124</v>
      </c>
      <c r="G346" s="38" t="s">
        <v>14</v>
      </c>
      <c r="H346" s="39">
        <v>37183</v>
      </c>
      <c r="I346" s="40">
        <v>28.682462399999999</v>
      </c>
      <c r="J346" s="39">
        <v>42139</v>
      </c>
      <c r="K346" s="40">
        <v>57.236764000000001</v>
      </c>
    </row>
    <row r="347" spans="1:11" ht="15" hidden="1" customHeight="1">
      <c r="A347" s="7"/>
      <c r="B347" s="32">
        <v>340</v>
      </c>
      <c r="C347" s="33" t="s">
        <v>17</v>
      </c>
      <c r="D347" s="46" t="s">
        <v>54</v>
      </c>
      <c r="E347" s="46" t="s">
        <v>125</v>
      </c>
      <c r="F347" s="46"/>
      <c r="G347" s="33" t="s">
        <v>125</v>
      </c>
      <c r="H347" s="34">
        <v>77574</v>
      </c>
      <c r="I347" s="35">
        <v>46.458865099999997</v>
      </c>
      <c r="J347" s="34">
        <v>114454</v>
      </c>
      <c r="K347" s="35">
        <v>80.585213300000007</v>
      </c>
    </row>
    <row r="348" spans="1:11" ht="15" hidden="1" customHeight="1">
      <c r="A348" s="7"/>
      <c r="B348" s="36">
        <v>341</v>
      </c>
      <c r="C348" s="37" t="s">
        <v>17</v>
      </c>
      <c r="D348" s="37" t="s">
        <v>54</v>
      </c>
      <c r="E348" s="37" t="s">
        <v>125</v>
      </c>
      <c r="F348" s="37"/>
      <c r="G348" s="38" t="s">
        <v>13</v>
      </c>
      <c r="H348" s="39">
        <v>2229</v>
      </c>
      <c r="I348" s="40">
        <v>99.147599799999995</v>
      </c>
      <c r="J348" s="39">
        <v>28777</v>
      </c>
      <c r="K348" s="40">
        <v>96.525002599999993</v>
      </c>
    </row>
    <row r="349" spans="1:11" ht="15" hidden="1" customHeight="1">
      <c r="A349" s="7"/>
      <c r="B349" s="36">
        <v>342</v>
      </c>
      <c r="C349" s="37" t="s">
        <v>17</v>
      </c>
      <c r="D349" s="37" t="s">
        <v>54</v>
      </c>
      <c r="E349" s="37" t="s">
        <v>125</v>
      </c>
      <c r="F349" s="37"/>
      <c r="G349" s="38" t="s">
        <v>14</v>
      </c>
      <c r="H349" s="39">
        <v>75345</v>
      </c>
      <c r="I349" s="40">
        <v>44.900126100000001</v>
      </c>
      <c r="J349" s="39">
        <v>85677</v>
      </c>
      <c r="K349" s="40">
        <v>75.231392299999996</v>
      </c>
    </row>
    <row r="350" spans="1:11" ht="15" customHeight="1">
      <c r="A350" s="7"/>
      <c r="B350" s="41">
        <v>343</v>
      </c>
      <c r="C350" s="42" t="s">
        <v>19</v>
      </c>
      <c r="D350" s="47" t="s">
        <v>54</v>
      </c>
      <c r="E350" s="47" t="s">
        <v>125</v>
      </c>
      <c r="F350" s="47" t="s">
        <v>126</v>
      </c>
      <c r="G350" s="48" t="s">
        <v>126</v>
      </c>
      <c r="H350" s="43">
        <v>29595</v>
      </c>
      <c r="I350" s="44">
        <v>47.859435699999999</v>
      </c>
      <c r="J350" s="43">
        <v>48648</v>
      </c>
      <c r="K350" s="44">
        <v>85.586252299999998</v>
      </c>
    </row>
    <row r="351" spans="1:11" ht="15" hidden="1" customHeight="1">
      <c r="A351" s="7"/>
      <c r="B351" s="36">
        <v>344</v>
      </c>
      <c r="C351" s="37" t="s">
        <v>19</v>
      </c>
      <c r="D351" s="37" t="s">
        <v>54</v>
      </c>
      <c r="E351" s="37" t="s">
        <v>125</v>
      </c>
      <c r="F351" s="37" t="s">
        <v>126</v>
      </c>
      <c r="G351" s="38" t="s">
        <v>13</v>
      </c>
      <c r="H351" s="39"/>
      <c r="I351" s="40"/>
      <c r="J351" s="39">
        <v>15295</v>
      </c>
      <c r="K351" s="40">
        <v>95.004903600000006</v>
      </c>
    </row>
    <row r="352" spans="1:11" ht="15" hidden="1" customHeight="1">
      <c r="A352" s="7"/>
      <c r="B352" s="36">
        <v>345</v>
      </c>
      <c r="C352" s="37" t="s">
        <v>19</v>
      </c>
      <c r="D352" s="37" t="s">
        <v>54</v>
      </c>
      <c r="E352" s="37" t="s">
        <v>125</v>
      </c>
      <c r="F352" s="37" t="s">
        <v>126</v>
      </c>
      <c r="G352" s="38" t="s">
        <v>14</v>
      </c>
      <c r="H352" s="39">
        <v>29595</v>
      </c>
      <c r="I352" s="40">
        <v>47.859435699999999</v>
      </c>
      <c r="J352" s="39">
        <v>33353</v>
      </c>
      <c r="K352" s="40">
        <v>81.267052399999997</v>
      </c>
    </row>
    <row r="353" spans="1:11" ht="15" customHeight="1">
      <c r="A353" s="7"/>
      <c r="B353" s="41">
        <v>346</v>
      </c>
      <c r="C353" s="42" t="s">
        <v>19</v>
      </c>
      <c r="D353" s="47" t="s">
        <v>54</v>
      </c>
      <c r="E353" s="47" t="s">
        <v>125</v>
      </c>
      <c r="F353" s="47" t="s">
        <v>127</v>
      </c>
      <c r="G353" s="48" t="s">
        <v>127</v>
      </c>
      <c r="H353" s="43">
        <v>24283</v>
      </c>
      <c r="I353" s="44">
        <v>40.4109871</v>
      </c>
      <c r="J353" s="43">
        <v>37896</v>
      </c>
      <c r="K353" s="44">
        <v>73.092146900000003</v>
      </c>
    </row>
    <row r="354" spans="1:11" ht="15" hidden="1" customHeight="1">
      <c r="A354" s="7"/>
      <c r="B354" s="36">
        <v>347</v>
      </c>
      <c r="C354" s="37" t="s">
        <v>19</v>
      </c>
      <c r="D354" s="37" t="s">
        <v>54</v>
      </c>
      <c r="E354" s="37" t="s">
        <v>125</v>
      </c>
      <c r="F354" s="37" t="s">
        <v>127</v>
      </c>
      <c r="G354" s="38" t="s">
        <v>13</v>
      </c>
      <c r="H354" s="39"/>
      <c r="I354" s="40"/>
      <c r="J354" s="39">
        <v>10619</v>
      </c>
      <c r="K354" s="40">
        <v>98.022412700000004</v>
      </c>
    </row>
    <row r="355" spans="1:11" ht="15" hidden="1" customHeight="1">
      <c r="A355" s="7"/>
      <c r="B355" s="36">
        <v>348</v>
      </c>
      <c r="C355" s="37" t="s">
        <v>19</v>
      </c>
      <c r="D355" s="37" t="s">
        <v>54</v>
      </c>
      <c r="E355" s="37" t="s">
        <v>125</v>
      </c>
      <c r="F355" s="37" t="s">
        <v>127</v>
      </c>
      <c r="G355" s="38" t="s">
        <v>14</v>
      </c>
      <c r="H355" s="39">
        <v>24283</v>
      </c>
      <c r="I355" s="40">
        <v>40.4109871</v>
      </c>
      <c r="J355" s="39">
        <v>27277</v>
      </c>
      <c r="K355" s="40">
        <v>63.3867361</v>
      </c>
    </row>
    <row r="356" spans="1:11" ht="15" customHeight="1">
      <c r="A356" s="7"/>
      <c r="B356" s="41">
        <v>349</v>
      </c>
      <c r="C356" s="42" t="s">
        <v>19</v>
      </c>
      <c r="D356" s="47" t="s">
        <v>54</v>
      </c>
      <c r="E356" s="47" t="s">
        <v>125</v>
      </c>
      <c r="F356" s="47" t="s">
        <v>128</v>
      </c>
      <c r="G356" s="48" t="s">
        <v>128</v>
      </c>
      <c r="H356" s="43">
        <v>17281</v>
      </c>
      <c r="I356" s="44">
        <v>50.4484694</v>
      </c>
      <c r="J356" s="43">
        <v>20218</v>
      </c>
      <c r="K356" s="44">
        <v>83.044811600000003</v>
      </c>
    </row>
    <row r="357" spans="1:11" ht="15" hidden="1" customHeight="1">
      <c r="A357" s="7"/>
      <c r="B357" s="36">
        <v>350</v>
      </c>
      <c r="C357" s="37" t="s">
        <v>19</v>
      </c>
      <c r="D357" s="37" t="s">
        <v>54</v>
      </c>
      <c r="E357" s="37" t="s">
        <v>125</v>
      </c>
      <c r="F357" s="37" t="s">
        <v>128</v>
      </c>
      <c r="G357" s="38" t="s">
        <v>13</v>
      </c>
      <c r="H357" s="39">
        <v>2229</v>
      </c>
      <c r="I357" s="40">
        <v>99.147599799999995</v>
      </c>
      <c r="J357" s="39">
        <v>2863</v>
      </c>
      <c r="K357" s="40">
        <v>99.091861699999995</v>
      </c>
    </row>
    <row r="358" spans="1:11" ht="15" hidden="1" customHeight="1">
      <c r="A358" s="7"/>
      <c r="B358" s="36">
        <v>351</v>
      </c>
      <c r="C358" s="37" t="s">
        <v>19</v>
      </c>
      <c r="D358" s="37" t="s">
        <v>54</v>
      </c>
      <c r="E358" s="37" t="s">
        <v>125</v>
      </c>
      <c r="F358" s="37" t="s">
        <v>128</v>
      </c>
      <c r="G358" s="38" t="s">
        <v>14</v>
      </c>
      <c r="H358" s="39">
        <v>15052</v>
      </c>
      <c r="I358" s="40">
        <v>43.236779200000001</v>
      </c>
      <c r="J358" s="39">
        <v>17355</v>
      </c>
      <c r="K358" s="40">
        <v>80.397579899999997</v>
      </c>
    </row>
    <row r="359" spans="1:11" ht="15" customHeight="1">
      <c r="A359" s="7"/>
      <c r="B359" s="41">
        <v>352</v>
      </c>
      <c r="C359" s="42" t="s">
        <v>19</v>
      </c>
      <c r="D359" s="47" t="s">
        <v>54</v>
      </c>
      <c r="E359" s="47" t="s">
        <v>125</v>
      </c>
      <c r="F359" s="47" t="s">
        <v>129</v>
      </c>
      <c r="G359" s="48" t="s">
        <v>129</v>
      </c>
      <c r="H359" s="43">
        <v>6415</v>
      </c>
      <c r="I359" s="44">
        <v>52.143413899999999</v>
      </c>
      <c r="J359" s="43">
        <v>7692</v>
      </c>
      <c r="K359" s="44">
        <v>79.407176300000003</v>
      </c>
    </row>
    <row r="360" spans="1:11" ht="15" hidden="1" customHeight="1">
      <c r="A360" s="7"/>
      <c r="B360" s="36">
        <v>353</v>
      </c>
      <c r="C360" s="37" t="s">
        <v>19</v>
      </c>
      <c r="D360" s="37" t="s">
        <v>54</v>
      </c>
      <c r="E360" s="37" t="s">
        <v>125</v>
      </c>
      <c r="F360" s="37" t="s">
        <v>129</v>
      </c>
      <c r="G360" s="38" t="s">
        <v>13</v>
      </c>
      <c r="H360" s="39"/>
      <c r="I360" s="40"/>
      <c r="J360" s="39"/>
      <c r="K360" s="40"/>
    </row>
    <row r="361" spans="1:11" ht="15" hidden="1" customHeight="1">
      <c r="A361" s="7"/>
      <c r="B361" s="36">
        <v>354</v>
      </c>
      <c r="C361" s="37" t="s">
        <v>19</v>
      </c>
      <c r="D361" s="37" t="s">
        <v>54</v>
      </c>
      <c r="E361" s="37" t="s">
        <v>125</v>
      </c>
      <c r="F361" s="37" t="s">
        <v>129</v>
      </c>
      <c r="G361" s="38" t="s">
        <v>14</v>
      </c>
      <c r="H361" s="39">
        <v>6415</v>
      </c>
      <c r="I361" s="40">
        <v>52.143413899999999</v>
      </c>
      <c r="J361" s="39">
        <v>7692</v>
      </c>
      <c r="K361" s="40">
        <v>79.407176300000003</v>
      </c>
    </row>
    <row r="362" spans="1:11" ht="15" hidden="1" customHeight="1">
      <c r="A362" s="7"/>
      <c r="B362" s="32">
        <v>355</v>
      </c>
      <c r="C362" s="33" t="s">
        <v>17</v>
      </c>
      <c r="D362" s="46" t="s">
        <v>54</v>
      </c>
      <c r="E362" s="46" t="s">
        <v>130</v>
      </c>
      <c r="F362" s="46"/>
      <c r="G362" s="33" t="s">
        <v>130</v>
      </c>
      <c r="H362" s="34">
        <v>96799</v>
      </c>
      <c r="I362" s="35">
        <v>55.601814099999999</v>
      </c>
      <c r="J362" s="34">
        <v>110388</v>
      </c>
      <c r="K362" s="35">
        <v>78.531180899999995</v>
      </c>
    </row>
    <row r="363" spans="1:11" ht="15" hidden="1" customHeight="1">
      <c r="A363" s="7"/>
      <c r="B363" s="36">
        <v>356</v>
      </c>
      <c r="C363" s="37" t="s">
        <v>17</v>
      </c>
      <c r="D363" s="37" t="s">
        <v>54</v>
      </c>
      <c r="E363" s="37" t="s">
        <v>130</v>
      </c>
      <c r="F363" s="37"/>
      <c r="G363" s="38" t="s">
        <v>13</v>
      </c>
      <c r="H363" s="39">
        <v>27475</v>
      </c>
      <c r="I363" s="40">
        <v>90.012738900000002</v>
      </c>
      <c r="J363" s="39">
        <v>32943</v>
      </c>
      <c r="K363" s="40">
        <v>96.111465300000006</v>
      </c>
    </row>
    <row r="364" spans="1:11" ht="15" hidden="1" customHeight="1">
      <c r="A364" s="7"/>
      <c r="B364" s="36">
        <v>357</v>
      </c>
      <c r="C364" s="37" t="s">
        <v>17</v>
      </c>
      <c r="D364" s="37" t="s">
        <v>54</v>
      </c>
      <c r="E364" s="37" t="s">
        <v>130</v>
      </c>
      <c r="F364" s="37"/>
      <c r="G364" s="38" t="s">
        <v>14</v>
      </c>
      <c r="H364" s="39">
        <v>69324</v>
      </c>
      <c r="I364" s="40">
        <v>41.963822100000002</v>
      </c>
      <c r="J364" s="39">
        <v>77445</v>
      </c>
      <c r="K364" s="40">
        <v>71.053005400000004</v>
      </c>
    </row>
    <row r="365" spans="1:11" ht="15" customHeight="1">
      <c r="A365" s="7"/>
      <c r="B365" s="41">
        <v>358</v>
      </c>
      <c r="C365" s="42" t="s">
        <v>19</v>
      </c>
      <c r="D365" s="47" t="s">
        <v>54</v>
      </c>
      <c r="E365" s="47" t="s">
        <v>130</v>
      </c>
      <c r="F365" s="47" t="s">
        <v>131</v>
      </c>
      <c r="G365" s="48" t="s">
        <v>131</v>
      </c>
      <c r="H365" s="43">
        <v>31030</v>
      </c>
      <c r="I365" s="44">
        <v>48.588462800000002</v>
      </c>
      <c r="J365" s="43">
        <v>33365</v>
      </c>
      <c r="K365" s="44">
        <v>70.813727</v>
      </c>
    </row>
    <row r="366" spans="1:11" ht="15" hidden="1" customHeight="1">
      <c r="A366" s="7"/>
      <c r="B366" s="36">
        <v>359</v>
      </c>
      <c r="C366" s="37" t="s">
        <v>19</v>
      </c>
      <c r="D366" s="37" t="s">
        <v>54</v>
      </c>
      <c r="E366" s="37" t="s">
        <v>130</v>
      </c>
      <c r="F366" s="37" t="s">
        <v>131</v>
      </c>
      <c r="G366" s="38" t="s">
        <v>13</v>
      </c>
      <c r="H366" s="39">
        <v>10974</v>
      </c>
      <c r="I366" s="40">
        <v>85.447421199999994</v>
      </c>
      <c r="J366" s="39">
        <v>9340</v>
      </c>
      <c r="K366" s="40">
        <v>96.295503199999999</v>
      </c>
    </row>
    <row r="367" spans="1:11" ht="15" hidden="1" customHeight="1">
      <c r="A367" s="7"/>
      <c r="B367" s="36">
        <v>360</v>
      </c>
      <c r="C367" s="37" t="s">
        <v>19</v>
      </c>
      <c r="D367" s="37" t="s">
        <v>54</v>
      </c>
      <c r="E367" s="37" t="s">
        <v>130</v>
      </c>
      <c r="F367" s="37" t="s">
        <v>131</v>
      </c>
      <c r="G367" s="38" t="s">
        <v>14</v>
      </c>
      <c r="H367" s="39">
        <v>20056</v>
      </c>
      <c r="I367" s="40">
        <v>28.420422800000001</v>
      </c>
      <c r="J367" s="39">
        <v>24025</v>
      </c>
      <c r="K367" s="40">
        <v>60.907388099999999</v>
      </c>
    </row>
    <row r="368" spans="1:11" ht="15" customHeight="1">
      <c r="A368" s="7"/>
      <c r="B368" s="41">
        <v>361</v>
      </c>
      <c r="C368" s="42" t="s">
        <v>19</v>
      </c>
      <c r="D368" s="47" t="s">
        <v>54</v>
      </c>
      <c r="E368" s="47" t="s">
        <v>130</v>
      </c>
      <c r="F368" s="47" t="s">
        <v>132</v>
      </c>
      <c r="G368" s="48" t="s">
        <v>132</v>
      </c>
      <c r="H368" s="43">
        <v>8854</v>
      </c>
      <c r="I368" s="44">
        <v>35.136661400000001</v>
      </c>
      <c r="J368" s="43">
        <v>9041</v>
      </c>
      <c r="K368" s="44">
        <v>65.191903600000003</v>
      </c>
    </row>
    <row r="369" spans="1:11" ht="15" hidden="1" customHeight="1">
      <c r="A369" s="7"/>
      <c r="B369" s="36">
        <v>362</v>
      </c>
      <c r="C369" s="37" t="s">
        <v>19</v>
      </c>
      <c r="D369" s="37" t="s">
        <v>54</v>
      </c>
      <c r="E369" s="37" t="s">
        <v>130</v>
      </c>
      <c r="F369" s="37" t="s">
        <v>132</v>
      </c>
      <c r="G369" s="38" t="s">
        <v>13</v>
      </c>
      <c r="H369" s="39"/>
      <c r="I369" s="40"/>
      <c r="J369" s="39"/>
      <c r="K369" s="40"/>
    </row>
    <row r="370" spans="1:11" ht="15" hidden="1" customHeight="1">
      <c r="A370" s="7"/>
      <c r="B370" s="36">
        <v>363</v>
      </c>
      <c r="C370" s="37" t="s">
        <v>19</v>
      </c>
      <c r="D370" s="37" t="s">
        <v>54</v>
      </c>
      <c r="E370" s="37" t="s">
        <v>130</v>
      </c>
      <c r="F370" s="37" t="s">
        <v>132</v>
      </c>
      <c r="G370" s="38" t="s">
        <v>14</v>
      </c>
      <c r="H370" s="39">
        <v>8854</v>
      </c>
      <c r="I370" s="40">
        <v>35.136661400000001</v>
      </c>
      <c r="J370" s="39">
        <v>9041</v>
      </c>
      <c r="K370" s="40">
        <v>65.191903600000003</v>
      </c>
    </row>
    <row r="371" spans="1:11" ht="15" customHeight="1">
      <c r="A371" s="7"/>
      <c r="B371" s="41">
        <v>364</v>
      </c>
      <c r="C371" s="42" t="s">
        <v>19</v>
      </c>
      <c r="D371" s="47" t="s">
        <v>54</v>
      </c>
      <c r="E371" s="47" t="s">
        <v>130</v>
      </c>
      <c r="F371" s="47" t="s">
        <v>133</v>
      </c>
      <c r="G371" s="48" t="s">
        <v>133</v>
      </c>
      <c r="H371" s="43">
        <v>7757</v>
      </c>
      <c r="I371" s="44">
        <v>42.129689300000003</v>
      </c>
      <c r="J371" s="43">
        <v>10903</v>
      </c>
      <c r="K371" s="44">
        <v>71.989360700000006</v>
      </c>
    </row>
    <row r="372" spans="1:11" ht="15" hidden="1" customHeight="1">
      <c r="A372" s="7"/>
      <c r="B372" s="36">
        <v>365</v>
      </c>
      <c r="C372" s="37" t="s">
        <v>19</v>
      </c>
      <c r="D372" s="37" t="s">
        <v>54</v>
      </c>
      <c r="E372" s="37" t="s">
        <v>130</v>
      </c>
      <c r="F372" s="37" t="s">
        <v>133</v>
      </c>
      <c r="G372" s="38" t="s">
        <v>13</v>
      </c>
      <c r="H372" s="39"/>
      <c r="I372" s="40"/>
      <c r="J372" s="39"/>
      <c r="K372" s="40"/>
    </row>
    <row r="373" spans="1:11" ht="15" hidden="1" customHeight="1">
      <c r="A373" s="7"/>
      <c r="B373" s="36">
        <v>366</v>
      </c>
      <c r="C373" s="37" t="s">
        <v>19</v>
      </c>
      <c r="D373" s="37" t="s">
        <v>54</v>
      </c>
      <c r="E373" s="37" t="s">
        <v>130</v>
      </c>
      <c r="F373" s="37" t="s">
        <v>133</v>
      </c>
      <c r="G373" s="38" t="s">
        <v>14</v>
      </c>
      <c r="H373" s="39">
        <v>7757</v>
      </c>
      <c r="I373" s="40">
        <v>42.129689300000003</v>
      </c>
      <c r="J373" s="39">
        <v>10903</v>
      </c>
      <c r="K373" s="40">
        <v>71.989360700000006</v>
      </c>
    </row>
    <row r="374" spans="1:11" ht="15" customHeight="1">
      <c r="A374" s="7"/>
      <c r="B374" s="41">
        <v>367</v>
      </c>
      <c r="C374" s="42" t="s">
        <v>19</v>
      </c>
      <c r="D374" s="47" t="s">
        <v>54</v>
      </c>
      <c r="E374" s="47" t="s">
        <v>130</v>
      </c>
      <c r="F374" s="47" t="s">
        <v>134</v>
      </c>
      <c r="G374" s="48" t="s">
        <v>134</v>
      </c>
      <c r="H374" s="43">
        <v>12251</v>
      </c>
      <c r="I374" s="44">
        <v>50.820341200000001</v>
      </c>
      <c r="J374" s="43">
        <v>15087</v>
      </c>
      <c r="K374" s="44">
        <v>82.011002899999994</v>
      </c>
    </row>
    <row r="375" spans="1:11" ht="15" hidden="1" customHeight="1">
      <c r="A375" s="7"/>
      <c r="B375" s="36">
        <v>368</v>
      </c>
      <c r="C375" s="37" t="s">
        <v>19</v>
      </c>
      <c r="D375" s="37" t="s">
        <v>54</v>
      </c>
      <c r="E375" s="37" t="s">
        <v>130</v>
      </c>
      <c r="F375" s="37" t="s">
        <v>134</v>
      </c>
      <c r="G375" s="38" t="s">
        <v>13</v>
      </c>
      <c r="H375" s="39"/>
      <c r="I375" s="40"/>
      <c r="J375" s="39"/>
      <c r="K375" s="40"/>
    </row>
    <row r="376" spans="1:11" ht="15" hidden="1" customHeight="1">
      <c r="A376" s="7"/>
      <c r="B376" s="36">
        <v>369</v>
      </c>
      <c r="C376" s="37" t="s">
        <v>19</v>
      </c>
      <c r="D376" s="37" t="s">
        <v>54</v>
      </c>
      <c r="E376" s="37" t="s">
        <v>130</v>
      </c>
      <c r="F376" s="37" t="s">
        <v>134</v>
      </c>
      <c r="G376" s="38" t="s">
        <v>14</v>
      </c>
      <c r="H376" s="39">
        <v>12251</v>
      </c>
      <c r="I376" s="40">
        <v>50.820341200000001</v>
      </c>
      <c r="J376" s="39">
        <v>15087</v>
      </c>
      <c r="K376" s="40">
        <v>82.011002899999994</v>
      </c>
    </row>
    <row r="377" spans="1:11" ht="15" customHeight="1">
      <c r="A377" s="7"/>
      <c r="B377" s="41">
        <v>370</v>
      </c>
      <c r="C377" s="42" t="s">
        <v>19</v>
      </c>
      <c r="D377" s="47" t="s">
        <v>54</v>
      </c>
      <c r="E377" s="47" t="s">
        <v>130</v>
      </c>
      <c r="F377" s="47" t="s">
        <v>135</v>
      </c>
      <c r="G377" s="48" t="s">
        <v>135</v>
      </c>
      <c r="H377" s="43">
        <v>22156</v>
      </c>
      <c r="I377" s="44">
        <v>75.988445600000006</v>
      </c>
      <c r="J377" s="43">
        <v>24167</v>
      </c>
      <c r="K377" s="44">
        <v>87.598791700000007</v>
      </c>
    </row>
    <row r="378" spans="1:11" ht="15" hidden="1" customHeight="1">
      <c r="A378" s="7"/>
      <c r="B378" s="36">
        <v>371</v>
      </c>
      <c r="C378" s="37" t="s">
        <v>19</v>
      </c>
      <c r="D378" s="37" t="s">
        <v>54</v>
      </c>
      <c r="E378" s="37" t="s">
        <v>130</v>
      </c>
      <c r="F378" s="37" t="s">
        <v>135</v>
      </c>
      <c r="G378" s="38" t="s">
        <v>13</v>
      </c>
      <c r="H378" s="39">
        <v>10668</v>
      </c>
      <c r="I378" s="40">
        <v>97.562804600000007</v>
      </c>
      <c r="J378" s="39">
        <v>12572</v>
      </c>
      <c r="K378" s="40">
        <v>97.916003799999999</v>
      </c>
    </row>
    <row r="379" spans="1:11" ht="15" hidden="1" customHeight="1">
      <c r="A379" s="7"/>
      <c r="B379" s="36">
        <v>372</v>
      </c>
      <c r="C379" s="37" t="s">
        <v>19</v>
      </c>
      <c r="D379" s="37" t="s">
        <v>54</v>
      </c>
      <c r="E379" s="37" t="s">
        <v>130</v>
      </c>
      <c r="F379" s="37" t="s">
        <v>135</v>
      </c>
      <c r="G379" s="38" t="s">
        <v>14</v>
      </c>
      <c r="H379" s="39">
        <v>11488</v>
      </c>
      <c r="I379" s="40">
        <v>55.954039000000002</v>
      </c>
      <c r="J379" s="39">
        <v>11595</v>
      </c>
      <c r="K379" s="40">
        <v>76.412246699999997</v>
      </c>
    </row>
    <row r="380" spans="1:11" ht="15" customHeight="1">
      <c r="A380" s="7"/>
      <c r="B380" s="41">
        <v>373</v>
      </c>
      <c r="C380" s="42" t="s">
        <v>19</v>
      </c>
      <c r="D380" s="47" t="s">
        <v>54</v>
      </c>
      <c r="E380" s="47" t="s">
        <v>130</v>
      </c>
      <c r="F380" s="47" t="s">
        <v>136</v>
      </c>
      <c r="G380" s="48" t="s">
        <v>136</v>
      </c>
      <c r="H380" s="43">
        <v>9790</v>
      </c>
      <c r="I380" s="44">
        <v>58.365679299999996</v>
      </c>
      <c r="J380" s="43">
        <v>12375</v>
      </c>
      <c r="K380" s="44">
        <v>87.652525299999994</v>
      </c>
    </row>
    <row r="381" spans="1:11" ht="15" hidden="1" customHeight="1">
      <c r="A381" s="7"/>
      <c r="B381" s="36">
        <v>374</v>
      </c>
      <c r="C381" s="37" t="s">
        <v>19</v>
      </c>
      <c r="D381" s="37" t="s">
        <v>54</v>
      </c>
      <c r="E381" s="37" t="s">
        <v>130</v>
      </c>
      <c r="F381" s="37" t="s">
        <v>136</v>
      </c>
      <c r="G381" s="38" t="s">
        <v>13</v>
      </c>
      <c r="H381" s="39">
        <v>3050</v>
      </c>
      <c r="I381" s="40">
        <v>86.459016399999996</v>
      </c>
      <c r="J381" s="39">
        <v>7390</v>
      </c>
      <c r="K381" s="40">
        <v>93.897158300000001</v>
      </c>
    </row>
    <row r="382" spans="1:11" ht="15" hidden="1" customHeight="1">
      <c r="A382" s="7"/>
      <c r="B382" s="36">
        <v>375</v>
      </c>
      <c r="C382" s="37" t="s">
        <v>19</v>
      </c>
      <c r="D382" s="37" t="s">
        <v>54</v>
      </c>
      <c r="E382" s="37" t="s">
        <v>130</v>
      </c>
      <c r="F382" s="37" t="s">
        <v>136</v>
      </c>
      <c r="G382" s="38" t="s">
        <v>14</v>
      </c>
      <c r="H382" s="39">
        <v>6740</v>
      </c>
      <c r="I382" s="40">
        <v>45.652819000000001</v>
      </c>
      <c r="J382" s="39">
        <v>4985</v>
      </c>
      <c r="K382" s="40">
        <v>78.395185600000005</v>
      </c>
    </row>
    <row r="383" spans="1:11" ht="15" customHeight="1">
      <c r="A383" s="7"/>
      <c r="B383" s="41">
        <v>376</v>
      </c>
      <c r="C383" s="42" t="s">
        <v>19</v>
      </c>
      <c r="D383" s="47" t="s">
        <v>54</v>
      </c>
      <c r="E383" s="47" t="s">
        <v>130</v>
      </c>
      <c r="F383" s="47" t="s">
        <v>137</v>
      </c>
      <c r="G383" s="48" t="s">
        <v>137</v>
      </c>
      <c r="H383" s="43">
        <v>4961</v>
      </c>
      <c r="I383" s="44">
        <v>72.364442699999998</v>
      </c>
      <c r="J383" s="43">
        <v>5450</v>
      </c>
      <c r="K383" s="44">
        <v>90.440366999999995</v>
      </c>
    </row>
    <row r="384" spans="1:11" ht="15" hidden="1" customHeight="1">
      <c r="A384" s="7"/>
      <c r="B384" s="36">
        <v>377</v>
      </c>
      <c r="C384" s="37" t="s">
        <v>19</v>
      </c>
      <c r="D384" s="37" t="s">
        <v>54</v>
      </c>
      <c r="E384" s="37" t="s">
        <v>130</v>
      </c>
      <c r="F384" s="37" t="s">
        <v>137</v>
      </c>
      <c r="G384" s="38" t="s">
        <v>13</v>
      </c>
      <c r="H384" s="39">
        <v>2783</v>
      </c>
      <c r="I384" s="40">
        <v>82.968020100000004</v>
      </c>
      <c r="J384" s="39">
        <v>3641</v>
      </c>
      <c r="K384" s="40">
        <v>93.902773999999994</v>
      </c>
    </row>
    <row r="385" spans="1:11" ht="15" hidden="1" customHeight="1">
      <c r="A385" s="7"/>
      <c r="B385" s="36">
        <v>378</v>
      </c>
      <c r="C385" s="37" t="s">
        <v>19</v>
      </c>
      <c r="D385" s="37" t="s">
        <v>54</v>
      </c>
      <c r="E385" s="37" t="s">
        <v>130</v>
      </c>
      <c r="F385" s="37" t="s">
        <v>137</v>
      </c>
      <c r="G385" s="38" t="s">
        <v>14</v>
      </c>
      <c r="H385" s="39">
        <v>2178</v>
      </c>
      <c r="I385" s="40">
        <v>58.815427</v>
      </c>
      <c r="J385" s="39">
        <v>1809</v>
      </c>
      <c r="K385" s="40">
        <v>83.471531200000001</v>
      </c>
    </row>
    <row r="386" spans="1:11" ht="15" hidden="1" customHeight="1">
      <c r="A386" s="7"/>
      <c r="B386" s="32">
        <v>379</v>
      </c>
      <c r="C386" s="33" t="s">
        <v>17</v>
      </c>
      <c r="D386" s="46" t="s">
        <v>54</v>
      </c>
      <c r="E386" s="46" t="s">
        <v>138</v>
      </c>
      <c r="F386" s="46"/>
      <c r="G386" s="33" t="s">
        <v>138</v>
      </c>
      <c r="H386" s="34">
        <v>35299</v>
      </c>
      <c r="I386" s="35">
        <v>54.630442799999997</v>
      </c>
      <c r="J386" s="34">
        <v>49119</v>
      </c>
      <c r="K386" s="35">
        <v>75.313015300000004</v>
      </c>
    </row>
    <row r="387" spans="1:11" ht="15" hidden="1" customHeight="1">
      <c r="A387" s="7"/>
      <c r="B387" s="36">
        <v>380</v>
      </c>
      <c r="C387" s="37" t="s">
        <v>17</v>
      </c>
      <c r="D387" s="37" t="s">
        <v>54</v>
      </c>
      <c r="E387" s="37" t="s">
        <v>138</v>
      </c>
      <c r="F387" s="37"/>
      <c r="G387" s="38" t="s">
        <v>13</v>
      </c>
      <c r="H387" s="39">
        <v>2168</v>
      </c>
      <c r="I387" s="40">
        <v>95.249077499999999</v>
      </c>
      <c r="J387" s="39">
        <v>5562</v>
      </c>
      <c r="K387" s="40">
        <v>94.030924099999993</v>
      </c>
    </row>
    <row r="388" spans="1:11" ht="15" hidden="1" customHeight="1">
      <c r="A388" s="7"/>
      <c r="B388" s="36">
        <v>381</v>
      </c>
      <c r="C388" s="37" t="s">
        <v>17</v>
      </c>
      <c r="D388" s="37" t="s">
        <v>54</v>
      </c>
      <c r="E388" s="37" t="s">
        <v>138</v>
      </c>
      <c r="F388" s="37"/>
      <c r="G388" s="38" t="s">
        <v>14</v>
      </c>
      <c r="H388" s="39">
        <v>33131</v>
      </c>
      <c r="I388" s="40">
        <v>51.9724729</v>
      </c>
      <c r="J388" s="39">
        <v>43557</v>
      </c>
      <c r="K388" s="40">
        <v>72.922836700000005</v>
      </c>
    </row>
    <row r="389" spans="1:11" ht="15" customHeight="1">
      <c r="A389" s="7"/>
      <c r="B389" s="41">
        <v>382</v>
      </c>
      <c r="C389" s="42" t="s">
        <v>19</v>
      </c>
      <c r="D389" s="47" t="s">
        <v>54</v>
      </c>
      <c r="E389" s="47" t="s">
        <v>138</v>
      </c>
      <c r="F389" s="47" t="s">
        <v>139</v>
      </c>
      <c r="G389" s="48" t="s">
        <v>139</v>
      </c>
      <c r="H389" s="43">
        <v>18614</v>
      </c>
      <c r="I389" s="44">
        <v>45.874073299999999</v>
      </c>
      <c r="J389" s="43">
        <v>26339</v>
      </c>
      <c r="K389" s="44">
        <v>67.132389200000006</v>
      </c>
    </row>
    <row r="390" spans="1:11" ht="15" hidden="1" customHeight="1">
      <c r="A390" s="7"/>
      <c r="B390" s="36">
        <v>383</v>
      </c>
      <c r="C390" s="37" t="s">
        <v>19</v>
      </c>
      <c r="D390" s="37" t="s">
        <v>54</v>
      </c>
      <c r="E390" s="37" t="s">
        <v>138</v>
      </c>
      <c r="F390" s="37" t="s">
        <v>139</v>
      </c>
      <c r="G390" s="38" t="s">
        <v>13</v>
      </c>
      <c r="H390" s="39">
        <v>2168</v>
      </c>
      <c r="I390" s="40">
        <v>95.249077499999999</v>
      </c>
      <c r="J390" s="39">
        <v>2607</v>
      </c>
      <c r="K390" s="40">
        <v>93.133870299999998</v>
      </c>
    </row>
    <row r="391" spans="1:11" ht="15" hidden="1" customHeight="1">
      <c r="A391" s="7"/>
      <c r="B391" s="36">
        <v>384</v>
      </c>
      <c r="C391" s="37" t="s">
        <v>19</v>
      </c>
      <c r="D391" s="37" t="s">
        <v>54</v>
      </c>
      <c r="E391" s="37" t="s">
        <v>138</v>
      </c>
      <c r="F391" s="37" t="s">
        <v>139</v>
      </c>
      <c r="G391" s="38" t="s">
        <v>14</v>
      </c>
      <c r="H391" s="39">
        <v>16446</v>
      </c>
      <c r="I391" s="40">
        <v>39.365195200000002</v>
      </c>
      <c r="J391" s="39">
        <v>23732</v>
      </c>
      <c r="K391" s="40">
        <v>64.276082900000006</v>
      </c>
    </row>
    <row r="392" spans="1:11" ht="15" customHeight="1">
      <c r="A392" s="7"/>
      <c r="B392" s="41">
        <v>385</v>
      </c>
      <c r="C392" s="42" t="s">
        <v>19</v>
      </c>
      <c r="D392" s="47" t="s">
        <v>54</v>
      </c>
      <c r="E392" s="47" t="s">
        <v>138</v>
      </c>
      <c r="F392" s="47" t="s">
        <v>140</v>
      </c>
      <c r="G392" s="48" t="s">
        <v>140</v>
      </c>
      <c r="H392" s="43">
        <v>16685</v>
      </c>
      <c r="I392" s="44">
        <v>64.399160899999998</v>
      </c>
      <c r="J392" s="43">
        <v>22780</v>
      </c>
      <c r="K392" s="44">
        <v>84.7717296</v>
      </c>
    </row>
    <row r="393" spans="1:11" ht="15" hidden="1" customHeight="1">
      <c r="A393" s="7"/>
      <c r="B393" s="36">
        <v>386</v>
      </c>
      <c r="C393" s="37" t="s">
        <v>19</v>
      </c>
      <c r="D393" s="37" t="s">
        <v>54</v>
      </c>
      <c r="E393" s="37" t="s">
        <v>138</v>
      </c>
      <c r="F393" s="37" t="s">
        <v>140</v>
      </c>
      <c r="G393" s="38" t="s">
        <v>13</v>
      </c>
      <c r="H393" s="39"/>
      <c r="I393" s="40"/>
      <c r="J393" s="39">
        <v>2955</v>
      </c>
      <c r="K393" s="40">
        <v>94.822334999999995</v>
      </c>
    </row>
    <row r="394" spans="1:11" ht="15" hidden="1" customHeight="1">
      <c r="A394" s="7"/>
      <c r="B394" s="36">
        <v>387</v>
      </c>
      <c r="C394" s="37" t="s">
        <v>19</v>
      </c>
      <c r="D394" s="37" t="s">
        <v>54</v>
      </c>
      <c r="E394" s="37" t="s">
        <v>138</v>
      </c>
      <c r="F394" s="37" t="s">
        <v>140</v>
      </c>
      <c r="G394" s="38" t="s">
        <v>14</v>
      </c>
      <c r="H394" s="39">
        <v>16685</v>
      </c>
      <c r="I394" s="40">
        <v>64.399160899999998</v>
      </c>
      <c r="J394" s="39">
        <v>19825</v>
      </c>
      <c r="K394" s="40">
        <v>83.273644399999995</v>
      </c>
    </row>
    <row r="395" spans="1:11" ht="15" hidden="1" customHeight="1">
      <c r="A395" s="7"/>
      <c r="B395" s="32">
        <v>388</v>
      </c>
      <c r="C395" s="33" t="s">
        <v>17</v>
      </c>
      <c r="D395" s="46" t="s">
        <v>54</v>
      </c>
      <c r="E395" s="46" t="s">
        <v>141</v>
      </c>
      <c r="F395" s="46"/>
      <c r="G395" s="33" t="s">
        <v>141</v>
      </c>
      <c r="H395" s="34">
        <v>16439</v>
      </c>
      <c r="I395" s="35">
        <v>37.982845699999999</v>
      </c>
      <c r="J395" s="34">
        <v>20720</v>
      </c>
      <c r="K395" s="35">
        <v>60.8590734</v>
      </c>
    </row>
    <row r="396" spans="1:11" ht="15" hidden="1" customHeight="1">
      <c r="A396" s="7"/>
      <c r="B396" s="36">
        <v>389</v>
      </c>
      <c r="C396" s="37" t="s">
        <v>17</v>
      </c>
      <c r="D396" s="37" t="s">
        <v>54</v>
      </c>
      <c r="E396" s="37" t="s">
        <v>141</v>
      </c>
      <c r="F396" s="37"/>
      <c r="G396" s="38" t="s">
        <v>13</v>
      </c>
      <c r="H396" s="39">
        <v>6851</v>
      </c>
      <c r="I396" s="40">
        <v>72.821485899999999</v>
      </c>
      <c r="J396" s="39">
        <v>8452</v>
      </c>
      <c r="K396" s="40">
        <v>87.931850400000002</v>
      </c>
    </row>
    <row r="397" spans="1:11" ht="15" hidden="1" customHeight="1">
      <c r="A397" s="7"/>
      <c r="B397" s="36">
        <v>390</v>
      </c>
      <c r="C397" s="37" t="s">
        <v>17</v>
      </c>
      <c r="D397" s="37" t="s">
        <v>54</v>
      </c>
      <c r="E397" s="37" t="s">
        <v>141</v>
      </c>
      <c r="F397" s="37"/>
      <c r="G397" s="38" t="s">
        <v>14</v>
      </c>
      <c r="H397" s="39">
        <v>9588</v>
      </c>
      <c r="I397" s="40">
        <v>13.0892783</v>
      </c>
      <c r="J397" s="39">
        <v>12268</v>
      </c>
      <c r="K397" s="40">
        <v>42.207368799999998</v>
      </c>
    </row>
    <row r="398" spans="1:11" ht="15" customHeight="1">
      <c r="A398" s="7"/>
      <c r="B398" s="41">
        <v>391</v>
      </c>
      <c r="C398" s="42" t="s">
        <v>19</v>
      </c>
      <c r="D398" s="47" t="s">
        <v>54</v>
      </c>
      <c r="E398" s="47" t="s">
        <v>141</v>
      </c>
      <c r="F398" s="47" t="s">
        <v>142</v>
      </c>
      <c r="G398" s="48" t="s">
        <v>142</v>
      </c>
      <c r="H398" s="43">
        <v>8275</v>
      </c>
      <c r="I398" s="44">
        <v>33.933534700000003</v>
      </c>
      <c r="J398" s="43">
        <v>11181</v>
      </c>
      <c r="K398" s="44">
        <v>51.784276900000002</v>
      </c>
    </row>
    <row r="399" spans="1:11" ht="15" hidden="1" customHeight="1">
      <c r="A399" s="7"/>
      <c r="B399" s="36">
        <v>392</v>
      </c>
      <c r="C399" s="37" t="s">
        <v>19</v>
      </c>
      <c r="D399" s="37" t="s">
        <v>54</v>
      </c>
      <c r="E399" s="37" t="s">
        <v>141</v>
      </c>
      <c r="F399" s="37" t="s">
        <v>142</v>
      </c>
      <c r="G399" s="38" t="s">
        <v>13</v>
      </c>
      <c r="H399" s="39">
        <v>3522</v>
      </c>
      <c r="I399" s="40">
        <v>67.461669499999999</v>
      </c>
      <c r="J399" s="39">
        <v>4184</v>
      </c>
      <c r="K399" s="40">
        <v>89.651051600000002</v>
      </c>
    </row>
    <row r="400" spans="1:11" ht="15" hidden="1" customHeight="1">
      <c r="A400" s="7"/>
      <c r="B400" s="36">
        <v>393</v>
      </c>
      <c r="C400" s="37" t="s">
        <v>19</v>
      </c>
      <c r="D400" s="37" t="s">
        <v>54</v>
      </c>
      <c r="E400" s="37" t="s">
        <v>141</v>
      </c>
      <c r="F400" s="37" t="s">
        <v>142</v>
      </c>
      <c r="G400" s="38" t="s">
        <v>14</v>
      </c>
      <c r="H400" s="39">
        <v>4753</v>
      </c>
      <c r="I400" s="40">
        <v>9.0889963999999992</v>
      </c>
      <c r="J400" s="39">
        <v>6997</v>
      </c>
      <c r="K400" s="40">
        <v>29.141060499999998</v>
      </c>
    </row>
    <row r="401" spans="1:11" ht="15" customHeight="1">
      <c r="A401" s="7"/>
      <c r="B401" s="41">
        <v>394</v>
      </c>
      <c r="C401" s="42" t="s">
        <v>19</v>
      </c>
      <c r="D401" s="47" t="s">
        <v>54</v>
      </c>
      <c r="E401" s="47" t="s">
        <v>141</v>
      </c>
      <c r="F401" s="47" t="s">
        <v>143</v>
      </c>
      <c r="G401" s="48" t="s">
        <v>143</v>
      </c>
      <c r="H401" s="43">
        <v>8164</v>
      </c>
      <c r="I401" s="44">
        <v>42.087212200000003</v>
      </c>
      <c r="J401" s="43">
        <v>9539</v>
      </c>
      <c r="K401" s="44">
        <v>71.495963900000007</v>
      </c>
    </row>
    <row r="402" spans="1:11" ht="15" hidden="1" customHeight="1">
      <c r="A402" s="7"/>
      <c r="B402" s="36">
        <v>395</v>
      </c>
      <c r="C402" s="37" t="s">
        <v>19</v>
      </c>
      <c r="D402" s="37" t="s">
        <v>54</v>
      </c>
      <c r="E402" s="37" t="s">
        <v>141</v>
      </c>
      <c r="F402" s="37" t="s">
        <v>143</v>
      </c>
      <c r="G402" s="38" t="s">
        <v>13</v>
      </c>
      <c r="H402" s="39">
        <v>3329</v>
      </c>
      <c r="I402" s="40">
        <v>78.492039700000007</v>
      </c>
      <c r="J402" s="39">
        <v>4268</v>
      </c>
      <c r="K402" s="40">
        <v>86.246485500000006</v>
      </c>
    </row>
    <row r="403" spans="1:11" ht="15" hidden="1" customHeight="1">
      <c r="A403" s="7"/>
      <c r="B403" s="36">
        <v>396</v>
      </c>
      <c r="C403" s="37" t="s">
        <v>19</v>
      </c>
      <c r="D403" s="37" t="s">
        <v>54</v>
      </c>
      <c r="E403" s="37" t="s">
        <v>141</v>
      </c>
      <c r="F403" s="37" t="s">
        <v>143</v>
      </c>
      <c r="G403" s="38" t="s">
        <v>14</v>
      </c>
      <c r="H403" s="39">
        <v>4835</v>
      </c>
      <c r="I403" s="40">
        <v>17.021716600000001</v>
      </c>
      <c r="J403" s="39">
        <v>5271</v>
      </c>
      <c r="K403" s="40">
        <v>59.552267100000002</v>
      </c>
    </row>
    <row r="404" spans="1:11" ht="15" hidden="1" customHeight="1">
      <c r="A404" s="7"/>
      <c r="B404" s="32">
        <v>397</v>
      </c>
      <c r="C404" s="33" t="s">
        <v>17</v>
      </c>
      <c r="D404" s="46" t="s">
        <v>54</v>
      </c>
      <c r="E404" s="46" t="s">
        <v>144</v>
      </c>
      <c r="F404" s="46"/>
      <c r="G404" s="33" t="s">
        <v>144</v>
      </c>
      <c r="H404" s="34">
        <v>16142</v>
      </c>
      <c r="I404" s="35">
        <v>9.7447651999999998</v>
      </c>
      <c r="J404" s="34">
        <v>22061</v>
      </c>
      <c r="K404" s="35">
        <v>34.712841699999998</v>
      </c>
    </row>
    <row r="405" spans="1:11" ht="15" hidden="1" customHeight="1">
      <c r="A405" s="7"/>
      <c r="B405" s="36">
        <v>398</v>
      </c>
      <c r="C405" s="37" t="s">
        <v>17</v>
      </c>
      <c r="D405" s="37" t="s">
        <v>54</v>
      </c>
      <c r="E405" s="37" t="s">
        <v>144</v>
      </c>
      <c r="F405" s="37"/>
      <c r="G405" s="38" t="s">
        <v>13</v>
      </c>
      <c r="H405" s="39">
        <v>3266</v>
      </c>
      <c r="I405" s="40">
        <v>10.2878138</v>
      </c>
      <c r="J405" s="39">
        <v>2732</v>
      </c>
      <c r="K405" s="40">
        <v>16.654465600000002</v>
      </c>
    </row>
    <row r="406" spans="1:11" ht="15" hidden="1" customHeight="1">
      <c r="A406" s="7"/>
      <c r="B406" s="36">
        <v>399</v>
      </c>
      <c r="C406" s="37" t="s">
        <v>17</v>
      </c>
      <c r="D406" s="37" t="s">
        <v>54</v>
      </c>
      <c r="E406" s="37" t="s">
        <v>144</v>
      </c>
      <c r="F406" s="37"/>
      <c r="G406" s="38" t="s">
        <v>14</v>
      </c>
      <c r="H406" s="39">
        <v>12876</v>
      </c>
      <c r="I406" s="40">
        <v>9.6070208000000008</v>
      </c>
      <c r="J406" s="39">
        <v>19329</v>
      </c>
      <c r="K406" s="40">
        <v>37.265249099999998</v>
      </c>
    </row>
    <row r="407" spans="1:11" ht="15" customHeight="1">
      <c r="A407" s="7"/>
      <c r="B407" s="41">
        <v>400</v>
      </c>
      <c r="C407" s="42" t="s">
        <v>19</v>
      </c>
      <c r="D407" s="47" t="s">
        <v>54</v>
      </c>
      <c r="E407" s="47" t="s">
        <v>144</v>
      </c>
      <c r="F407" s="47" t="s">
        <v>145</v>
      </c>
      <c r="G407" s="48" t="s">
        <v>145</v>
      </c>
      <c r="H407" s="43">
        <v>12893</v>
      </c>
      <c r="I407" s="44">
        <v>10.2148453</v>
      </c>
      <c r="J407" s="43">
        <v>15535</v>
      </c>
      <c r="K407" s="44">
        <v>30.363694899999999</v>
      </c>
    </row>
    <row r="408" spans="1:11" ht="15" hidden="1" customHeight="1">
      <c r="A408" s="7"/>
      <c r="B408" s="36">
        <v>401</v>
      </c>
      <c r="C408" s="37" t="s">
        <v>19</v>
      </c>
      <c r="D408" s="37" t="s">
        <v>54</v>
      </c>
      <c r="E408" s="37" t="s">
        <v>144</v>
      </c>
      <c r="F408" s="37" t="s">
        <v>145</v>
      </c>
      <c r="G408" s="38" t="s">
        <v>13</v>
      </c>
      <c r="H408" s="39">
        <v>3266</v>
      </c>
      <c r="I408" s="40">
        <v>10.2878138</v>
      </c>
      <c r="J408" s="39">
        <v>2732</v>
      </c>
      <c r="K408" s="40">
        <v>16.654465600000002</v>
      </c>
    </row>
    <row r="409" spans="1:11" ht="15" hidden="1" customHeight="1">
      <c r="A409" s="7"/>
      <c r="B409" s="36">
        <v>402</v>
      </c>
      <c r="C409" s="37" t="s">
        <v>19</v>
      </c>
      <c r="D409" s="37" t="s">
        <v>54</v>
      </c>
      <c r="E409" s="37" t="s">
        <v>144</v>
      </c>
      <c r="F409" s="37" t="s">
        <v>145</v>
      </c>
      <c r="G409" s="38" t="s">
        <v>14</v>
      </c>
      <c r="H409" s="39">
        <v>9627</v>
      </c>
      <c r="I409" s="40">
        <v>10.190090400000001</v>
      </c>
      <c r="J409" s="39">
        <v>12803</v>
      </c>
      <c r="K409" s="40">
        <v>33.289072900000001</v>
      </c>
    </row>
    <row r="410" spans="1:11" ht="15" customHeight="1">
      <c r="A410" s="7"/>
      <c r="B410" s="41">
        <v>403</v>
      </c>
      <c r="C410" s="42" t="s">
        <v>19</v>
      </c>
      <c r="D410" s="47" t="s">
        <v>54</v>
      </c>
      <c r="E410" s="47" t="s">
        <v>144</v>
      </c>
      <c r="F410" s="47" t="s">
        <v>146</v>
      </c>
      <c r="G410" s="48" t="s">
        <v>146</v>
      </c>
      <c r="H410" s="43">
        <v>3249</v>
      </c>
      <c r="I410" s="44">
        <v>7.8793474999999997</v>
      </c>
      <c r="J410" s="43">
        <v>6526</v>
      </c>
      <c r="K410" s="44">
        <v>45.0658903</v>
      </c>
    </row>
    <row r="411" spans="1:11" ht="15" hidden="1" customHeight="1">
      <c r="A411" s="7"/>
      <c r="B411" s="36">
        <v>404</v>
      </c>
      <c r="C411" s="37" t="s">
        <v>19</v>
      </c>
      <c r="D411" s="37" t="s">
        <v>54</v>
      </c>
      <c r="E411" s="37" t="s">
        <v>144</v>
      </c>
      <c r="F411" s="37" t="s">
        <v>146</v>
      </c>
      <c r="G411" s="38" t="s">
        <v>13</v>
      </c>
      <c r="H411" s="39"/>
      <c r="I411" s="40"/>
      <c r="J411" s="39"/>
      <c r="K411" s="40"/>
    </row>
    <row r="412" spans="1:11" ht="15" hidden="1" customHeight="1">
      <c r="A412" s="7"/>
      <c r="B412" s="36">
        <v>405</v>
      </c>
      <c r="C412" s="37" t="s">
        <v>19</v>
      </c>
      <c r="D412" s="37" t="s">
        <v>54</v>
      </c>
      <c r="E412" s="37" t="s">
        <v>144</v>
      </c>
      <c r="F412" s="37" t="s">
        <v>146</v>
      </c>
      <c r="G412" s="38" t="s">
        <v>14</v>
      </c>
      <c r="H412" s="39">
        <v>3249</v>
      </c>
      <c r="I412" s="40">
        <v>7.8793474999999997</v>
      </c>
      <c r="J412" s="39">
        <v>6526</v>
      </c>
      <c r="K412" s="40">
        <v>45.0658903</v>
      </c>
    </row>
    <row r="413" spans="1:11" ht="15" hidden="1" customHeight="1">
      <c r="A413" s="7"/>
      <c r="B413" s="32">
        <v>406</v>
      </c>
      <c r="C413" s="33" t="s">
        <v>17</v>
      </c>
      <c r="D413" s="46" t="s">
        <v>54</v>
      </c>
      <c r="E413" s="46" t="s">
        <v>147</v>
      </c>
      <c r="F413" s="46"/>
      <c r="G413" s="33" t="s">
        <v>147</v>
      </c>
      <c r="H413" s="34">
        <v>26530</v>
      </c>
      <c r="I413" s="35">
        <v>46.603844700000003</v>
      </c>
      <c r="J413" s="34">
        <v>32795</v>
      </c>
      <c r="K413" s="35">
        <v>60.149413000000003</v>
      </c>
    </row>
    <row r="414" spans="1:11" ht="15" hidden="1" customHeight="1">
      <c r="A414" s="7"/>
      <c r="B414" s="36">
        <v>407</v>
      </c>
      <c r="C414" s="37" t="s">
        <v>17</v>
      </c>
      <c r="D414" s="37" t="s">
        <v>54</v>
      </c>
      <c r="E414" s="37" t="s">
        <v>147</v>
      </c>
      <c r="F414" s="37"/>
      <c r="G414" s="38" t="s">
        <v>13</v>
      </c>
      <c r="H414" s="39">
        <v>8771</v>
      </c>
      <c r="I414" s="40">
        <v>72.705506799999995</v>
      </c>
      <c r="J414" s="39">
        <v>9099</v>
      </c>
      <c r="K414" s="40">
        <v>85.108253700000006</v>
      </c>
    </row>
    <row r="415" spans="1:11" ht="15" hidden="1" customHeight="1">
      <c r="A415" s="7"/>
      <c r="B415" s="36">
        <v>408</v>
      </c>
      <c r="C415" s="37" t="s">
        <v>17</v>
      </c>
      <c r="D415" s="37" t="s">
        <v>54</v>
      </c>
      <c r="E415" s="37" t="s">
        <v>147</v>
      </c>
      <c r="F415" s="37"/>
      <c r="G415" s="38" t="s">
        <v>14</v>
      </c>
      <c r="H415" s="39">
        <v>17759</v>
      </c>
      <c r="I415" s="40">
        <v>33.712483800000001</v>
      </c>
      <c r="J415" s="39">
        <v>23696</v>
      </c>
      <c r="K415" s="40">
        <v>50.5654963</v>
      </c>
    </row>
    <row r="416" spans="1:11" ht="15" customHeight="1">
      <c r="A416" s="7"/>
      <c r="B416" s="41">
        <v>409</v>
      </c>
      <c r="C416" s="42" t="s">
        <v>19</v>
      </c>
      <c r="D416" s="47" t="s">
        <v>54</v>
      </c>
      <c r="E416" s="47" t="s">
        <v>147</v>
      </c>
      <c r="F416" s="47" t="s">
        <v>148</v>
      </c>
      <c r="G416" s="48" t="s">
        <v>148</v>
      </c>
      <c r="H416" s="43">
        <v>14385</v>
      </c>
      <c r="I416" s="44">
        <v>57.56691</v>
      </c>
      <c r="J416" s="43">
        <v>16894</v>
      </c>
      <c r="K416" s="44">
        <v>65.419675600000005</v>
      </c>
    </row>
    <row r="417" spans="1:11" ht="15" hidden="1" customHeight="1">
      <c r="A417" s="7"/>
      <c r="B417" s="36">
        <v>410</v>
      </c>
      <c r="C417" s="37" t="s">
        <v>19</v>
      </c>
      <c r="D417" s="37" t="s">
        <v>54</v>
      </c>
      <c r="E417" s="37" t="s">
        <v>147</v>
      </c>
      <c r="F417" s="37" t="s">
        <v>148</v>
      </c>
      <c r="G417" s="38" t="s">
        <v>13</v>
      </c>
      <c r="H417" s="39">
        <v>5340</v>
      </c>
      <c r="I417" s="40">
        <v>90.449438200000003</v>
      </c>
      <c r="J417" s="39">
        <v>5714</v>
      </c>
      <c r="K417" s="40">
        <v>93.314665700000006</v>
      </c>
    </row>
    <row r="418" spans="1:11" ht="15" hidden="1" customHeight="1">
      <c r="A418" s="7"/>
      <c r="B418" s="36">
        <v>411</v>
      </c>
      <c r="C418" s="37" t="s">
        <v>19</v>
      </c>
      <c r="D418" s="37" t="s">
        <v>54</v>
      </c>
      <c r="E418" s="37" t="s">
        <v>147</v>
      </c>
      <c r="F418" s="37" t="s">
        <v>148</v>
      </c>
      <c r="G418" s="38" t="s">
        <v>14</v>
      </c>
      <c r="H418" s="39">
        <v>9045</v>
      </c>
      <c r="I418" s="40">
        <v>38.153676099999998</v>
      </c>
      <c r="J418" s="39">
        <v>11180</v>
      </c>
      <c r="K418" s="40">
        <v>51.162790700000002</v>
      </c>
    </row>
    <row r="419" spans="1:11" ht="15" customHeight="1">
      <c r="A419" s="7"/>
      <c r="B419" s="41">
        <v>412</v>
      </c>
      <c r="C419" s="42" t="s">
        <v>19</v>
      </c>
      <c r="D419" s="47" t="s">
        <v>54</v>
      </c>
      <c r="E419" s="47" t="s">
        <v>147</v>
      </c>
      <c r="F419" s="47" t="s">
        <v>149</v>
      </c>
      <c r="G419" s="48" t="s">
        <v>149</v>
      </c>
      <c r="H419" s="43">
        <v>5912</v>
      </c>
      <c r="I419" s="44">
        <v>37.212449300000003</v>
      </c>
      <c r="J419" s="43">
        <v>8735</v>
      </c>
      <c r="K419" s="44">
        <v>59.427590199999997</v>
      </c>
    </row>
    <row r="420" spans="1:11" ht="15" hidden="1" customHeight="1">
      <c r="A420" s="7"/>
      <c r="B420" s="36">
        <v>413</v>
      </c>
      <c r="C420" s="37" t="s">
        <v>19</v>
      </c>
      <c r="D420" s="37" t="s">
        <v>54</v>
      </c>
      <c r="E420" s="37" t="s">
        <v>147</v>
      </c>
      <c r="F420" s="37" t="s">
        <v>149</v>
      </c>
      <c r="G420" s="38" t="s">
        <v>13</v>
      </c>
      <c r="H420" s="39"/>
      <c r="I420" s="40"/>
      <c r="J420" s="39"/>
      <c r="K420" s="40"/>
    </row>
    <row r="421" spans="1:11" ht="15" hidden="1" customHeight="1">
      <c r="A421" s="7"/>
      <c r="B421" s="36">
        <v>414</v>
      </c>
      <c r="C421" s="37" t="s">
        <v>19</v>
      </c>
      <c r="D421" s="37" t="s">
        <v>54</v>
      </c>
      <c r="E421" s="37" t="s">
        <v>147</v>
      </c>
      <c r="F421" s="37" t="s">
        <v>149</v>
      </c>
      <c r="G421" s="38" t="s">
        <v>14</v>
      </c>
      <c r="H421" s="39">
        <v>5912</v>
      </c>
      <c r="I421" s="40">
        <v>37.212449300000003</v>
      </c>
      <c r="J421" s="39">
        <v>8735</v>
      </c>
      <c r="K421" s="40">
        <v>59.427590199999997</v>
      </c>
    </row>
    <row r="422" spans="1:11" ht="15" customHeight="1">
      <c r="A422" s="7"/>
      <c r="B422" s="41">
        <v>415</v>
      </c>
      <c r="C422" s="42" t="s">
        <v>19</v>
      </c>
      <c r="D422" s="47" t="s">
        <v>54</v>
      </c>
      <c r="E422" s="47" t="s">
        <v>147</v>
      </c>
      <c r="F422" s="47" t="s">
        <v>150</v>
      </c>
      <c r="G422" s="48" t="s">
        <v>150</v>
      </c>
      <c r="H422" s="43">
        <v>6233</v>
      </c>
      <c r="I422" s="44">
        <v>30.2101717</v>
      </c>
      <c r="J422" s="43">
        <v>7166</v>
      </c>
      <c r="K422" s="44">
        <v>48.604521400000003</v>
      </c>
    </row>
    <row r="423" spans="1:11" ht="15" hidden="1" customHeight="1">
      <c r="A423" s="7"/>
      <c r="B423" s="36">
        <v>416</v>
      </c>
      <c r="C423" s="37" t="s">
        <v>19</v>
      </c>
      <c r="D423" s="37" t="s">
        <v>54</v>
      </c>
      <c r="E423" s="37" t="s">
        <v>147</v>
      </c>
      <c r="F423" s="37" t="s">
        <v>150</v>
      </c>
      <c r="G423" s="38" t="s">
        <v>13</v>
      </c>
      <c r="H423" s="39">
        <v>3431</v>
      </c>
      <c r="I423" s="40">
        <v>45.088895399999998</v>
      </c>
      <c r="J423" s="39">
        <v>3385</v>
      </c>
      <c r="K423" s="40">
        <v>71.255539099999993</v>
      </c>
    </row>
    <row r="424" spans="1:11" ht="15" hidden="1" customHeight="1">
      <c r="A424" s="7"/>
      <c r="B424" s="36">
        <v>417</v>
      </c>
      <c r="C424" s="37" t="s">
        <v>19</v>
      </c>
      <c r="D424" s="37" t="s">
        <v>54</v>
      </c>
      <c r="E424" s="37" t="s">
        <v>147</v>
      </c>
      <c r="F424" s="37" t="s">
        <v>150</v>
      </c>
      <c r="G424" s="38" t="s">
        <v>14</v>
      </c>
      <c r="H424" s="39">
        <v>2802</v>
      </c>
      <c r="I424" s="40">
        <v>11.991434699999999</v>
      </c>
      <c r="J424" s="39">
        <v>3781</v>
      </c>
      <c r="K424" s="40">
        <v>28.3258397</v>
      </c>
    </row>
    <row r="425" spans="1:11" ht="15" hidden="1" customHeight="1">
      <c r="A425" s="7"/>
      <c r="B425" s="32">
        <v>418</v>
      </c>
      <c r="C425" s="33" t="s">
        <v>17</v>
      </c>
      <c r="D425" s="46" t="s">
        <v>54</v>
      </c>
      <c r="E425" s="46" t="s">
        <v>151</v>
      </c>
      <c r="F425" s="46"/>
      <c r="G425" s="33" t="s">
        <v>151</v>
      </c>
      <c r="H425" s="34">
        <v>17744</v>
      </c>
      <c r="I425" s="35">
        <v>17.938458099999998</v>
      </c>
      <c r="J425" s="34">
        <v>17859</v>
      </c>
      <c r="K425" s="35">
        <v>43.109916599999998</v>
      </c>
    </row>
    <row r="426" spans="1:11" ht="15" hidden="1" customHeight="1">
      <c r="A426" s="7"/>
      <c r="B426" s="36">
        <v>419</v>
      </c>
      <c r="C426" s="37" t="s">
        <v>17</v>
      </c>
      <c r="D426" s="37" t="s">
        <v>54</v>
      </c>
      <c r="E426" s="37" t="s">
        <v>151</v>
      </c>
      <c r="F426" s="37"/>
      <c r="G426" s="38" t="s">
        <v>13</v>
      </c>
      <c r="H426" s="39"/>
      <c r="I426" s="40"/>
      <c r="J426" s="39"/>
      <c r="K426" s="40"/>
    </row>
    <row r="427" spans="1:11" ht="15" hidden="1" customHeight="1">
      <c r="A427" s="7"/>
      <c r="B427" s="36">
        <v>420</v>
      </c>
      <c r="C427" s="37" t="s">
        <v>17</v>
      </c>
      <c r="D427" s="37" t="s">
        <v>54</v>
      </c>
      <c r="E427" s="37" t="s">
        <v>151</v>
      </c>
      <c r="F427" s="37"/>
      <c r="G427" s="38" t="s">
        <v>14</v>
      </c>
      <c r="H427" s="39">
        <v>17744</v>
      </c>
      <c r="I427" s="40">
        <v>17.938458099999998</v>
      </c>
      <c r="J427" s="39">
        <v>17859</v>
      </c>
      <c r="K427" s="40">
        <v>43.109916599999998</v>
      </c>
    </row>
    <row r="428" spans="1:11" ht="15" customHeight="1">
      <c r="A428" s="7"/>
      <c r="B428" s="41">
        <v>421</v>
      </c>
      <c r="C428" s="42" t="s">
        <v>19</v>
      </c>
      <c r="D428" s="47" t="s">
        <v>54</v>
      </c>
      <c r="E428" s="47" t="s">
        <v>151</v>
      </c>
      <c r="F428" s="47" t="s">
        <v>152</v>
      </c>
      <c r="G428" s="48" t="s">
        <v>152</v>
      </c>
      <c r="H428" s="43">
        <v>8766</v>
      </c>
      <c r="I428" s="44">
        <v>20.8304814</v>
      </c>
      <c r="J428" s="43">
        <v>9192</v>
      </c>
      <c r="K428" s="44">
        <v>45.267623999999998</v>
      </c>
    </row>
    <row r="429" spans="1:11" ht="15" hidden="1" customHeight="1">
      <c r="A429" s="7"/>
      <c r="B429" s="36">
        <v>422</v>
      </c>
      <c r="C429" s="37" t="s">
        <v>19</v>
      </c>
      <c r="D429" s="37" t="s">
        <v>54</v>
      </c>
      <c r="E429" s="37" t="s">
        <v>151</v>
      </c>
      <c r="F429" s="37" t="s">
        <v>152</v>
      </c>
      <c r="G429" s="38" t="s">
        <v>13</v>
      </c>
      <c r="H429" s="39"/>
      <c r="I429" s="40"/>
      <c r="J429" s="39"/>
      <c r="K429" s="40"/>
    </row>
    <row r="430" spans="1:11" ht="15" hidden="1" customHeight="1">
      <c r="A430" s="7"/>
      <c r="B430" s="36">
        <v>423</v>
      </c>
      <c r="C430" s="37" t="s">
        <v>19</v>
      </c>
      <c r="D430" s="37" t="s">
        <v>54</v>
      </c>
      <c r="E430" s="37" t="s">
        <v>151</v>
      </c>
      <c r="F430" s="37" t="s">
        <v>152</v>
      </c>
      <c r="G430" s="38" t="s">
        <v>14</v>
      </c>
      <c r="H430" s="39">
        <v>8766</v>
      </c>
      <c r="I430" s="40">
        <v>20.8304814</v>
      </c>
      <c r="J430" s="39">
        <v>9192</v>
      </c>
      <c r="K430" s="40">
        <v>45.267623999999998</v>
      </c>
    </row>
    <row r="431" spans="1:11" ht="15" customHeight="1">
      <c r="A431" s="7"/>
      <c r="B431" s="41">
        <v>424</v>
      </c>
      <c r="C431" s="42" t="s">
        <v>19</v>
      </c>
      <c r="D431" s="47" t="s">
        <v>54</v>
      </c>
      <c r="E431" s="47" t="s">
        <v>151</v>
      </c>
      <c r="F431" s="47" t="s">
        <v>153</v>
      </c>
      <c r="G431" s="48" t="s">
        <v>153</v>
      </c>
      <c r="H431" s="43">
        <v>6978</v>
      </c>
      <c r="I431" s="44">
        <v>16.6093437</v>
      </c>
      <c r="J431" s="43">
        <v>6627</v>
      </c>
      <c r="K431" s="44">
        <v>43.503847899999997</v>
      </c>
    </row>
    <row r="432" spans="1:11" ht="15" hidden="1" customHeight="1">
      <c r="A432" s="7"/>
      <c r="B432" s="36">
        <v>425</v>
      </c>
      <c r="C432" s="37" t="s">
        <v>19</v>
      </c>
      <c r="D432" s="37" t="s">
        <v>54</v>
      </c>
      <c r="E432" s="37" t="s">
        <v>151</v>
      </c>
      <c r="F432" s="37" t="s">
        <v>153</v>
      </c>
      <c r="G432" s="38" t="s">
        <v>13</v>
      </c>
      <c r="H432" s="39"/>
      <c r="I432" s="40"/>
      <c r="J432" s="39"/>
      <c r="K432" s="40"/>
    </row>
    <row r="433" spans="1:11" ht="15" hidden="1" customHeight="1">
      <c r="A433" s="7"/>
      <c r="B433" s="36">
        <v>426</v>
      </c>
      <c r="C433" s="37" t="s">
        <v>19</v>
      </c>
      <c r="D433" s="37" t="s">
        <v>54</v>
      </c>
      <c r="E433" s="37" t="s">
        <v>151</v>
      </c>
      <c r="F433" s="37" t="s">
        <v>153</v>
      </c>
      <c r="G433" s="38" t="s">
        <v>14</v>
      </c>
      <c r="H433" s="39">
        <v>6978</v>
      </c>
      <c r="I433" s="40">
        <v>16.6093437</v>
      </c>
      <c r="J433" s="39">
        <v>6627</v>
      </c>
      <c r="K433" s="40">
        <v>43.503847899999997</v>
      </c>
    </row>
    <row r="434" spans="1:11" ht="15" customHeight="1">
      <c r="A434" s="7"/>
      <c r="B434" s="41">
        <v>427</v>
      </c>
      <c r="C434" s="42" t="s">
        <v>19</v>
      </c>
      <c r="D434" s="47" t="s">
        <v>54</v>
      </c>
      <c r="E434" s="47" t="s">
        <v>151</v>
      </c>
      <c r="F434" s="47" t="s">
        <v>154</v>
      </c>
      <c r="G434" s="48" t="s">
        <v>154</v>
      </c>
      <c r="H434" s="43">
        <v>2000</v>
      </c>
      <c r="I434" s="44">
        <v>9.9</v>
      </c>
      <c r="J434" s="43">
        <v>2040</v>
      </c>
      <c r="K434" s="44">
        <v>32.107843099999997</v>
      </c>
    </row>
    <row r="435" spans="1:11" ht="15" hidden="1" customHeight="1">
      <c r="A435" s="7"/>
      <c r="B435" s="36">
        <v>428</v>
      </c>
      <c r="C435" s="37" t="s">
        <v>19</v>
      </c>
      <c r="D435" s="37" t="s">
        <v>54</v>
      </c>
      <c r="E435" s="37" t="s">
        <v>151</v>
      </c>
      <c r="F435" s="37" t="s">
        <v>154</v>
      </c>
      <c r="G435" s="38" t="s">
        <v>13</v>
      </c>
      <c r="H435" s="39"/>
      <c r="I435" s="40"/>
      <c r="J435" s="39"/>
      <c r="K435" s="40"/>
    </row>
    <row r="436" spans="1:11" ht="15" hidden="1" customHeight="1">
      <c r="A436" s="7"/>
      <c r="B436" s="36">
        <v>429</v>
      </c>
      <c r="C436" s="37" t="s">
        <v>19</v>
      </c>
      <c r="D436" s="37" t="s">
        <v>54</v>
      </c>
      <c r="E436" s="37" t="s">
        <v>151</v>
      </c>
      <c r="F436" s="37" t="s">
        <v>154</v>
      </c>
      <c r="G436" s="38" t="s">
        <v>14</v>
      </c>
      <c r="H436" s="39">
        <v>2000</v>
      </c>
      <c r="I436" s="40">
        <v>9.9</v>
      </c>
      <c r="J436" s="39">
        <v>2040</v>
      </c>
      <c r="K436" s="40">
        <v>32.107843099999997</v>
      </c>
    </row>
    <row r="437" spans="1:11" ht="15" hidden="1" customHeight="1">
      <c r="A437" s="7"/>
      <c r="B437" s="32">
        <v>430</v>
      </c>
      <c r="C437" s="33" t="s">
        <v>17</v>
      </c>
      <c r="D437" s="46" t="s">
        <v>54</v>
      </c>
      <c r="E437" s="46" t="s">
        <v>155</v>
      </c>
      <c r="F437" s="46"/>
      <c r="G437" s="33" t="s">
        <v>155</v>
      </c>
      <c r="H437" s="34">
        <v>7383</v>
      </c>
      <c r="I437" s="35">
        <v>18.434240800000001</v>
      </c>
      <c r="J437" s="34">
        <v>12036</v>
      </c>
      <c r="K437" s="35">
        <v>47.956131599999999</v>
      </c>
    </row>
    <row r="438" spans="1:11" ht="15" hidden="1" customHeight="1">
      <c r="A438" s="7"/>
      <c r="B438" s="36">
        <v>431</v>
      </c>
      <c r="C438" s="37" t="s">
        <v>17</v>
      </c>
      <c r="D438" s="37" t="s">
        <v>54</v>
      </c>
      <c r="E438" s="37" t="s">
        <v>155</v>
      </c>
      <c r="F438" s="37"/>
      <c r="G438" s="38" t="s">
        <v>13</v>
      </c>
      <c r="H438" s="39"/>
      <c r="I438" s="40"/>
      <c r="J438" s="39"/>
      <c r="K438" s="40"/>
    </row>
    <row r="439" spans="1:11" ht="15" hidden="1" customHeight="1">
      <c r="A439" s="7"/>
      <c r="B439" s="36">
        <v>432</v>
      </c>
      <c r="C439" s="37" t="s">
        <v>17</v>
      </c>
      <c r="D439" s="37" t="s">
        <v>54</v>
      </c>
      <c r="E439" s="37" t="s">
        <v>155</v>
      </c>
      <c r="F439" s="37"/>
      <c r="G439" s="38" t="s">
        <v>14</v>
      </c>
      <c r="H439" s="39">
        <v>7383</v>
      </c>
      <c r="I439" s="40">
        <v>18.434240800000001</v>
      </c>
      <c r="J439" s="39">
        <v>12036</v>
      </c>
      <c r="K439" s="40">
        <v>47.956131599999999</v>
      </c>
    </row>
    <row r="440" spans="1:11" ht="15" customHeight="1">
      <c r="A440" s="7"/>
      <c r="B440" s="41">
        <v>433</v>
      </c>
      <c r="C440" s="42" t="s">
        <v>19</v>
      </c>
      <c r="D440" s="47" t="s">
        <v>54</v>
      </c>
      <c r="E440" s="47" t="s">
        <v>155</v>
      </c>
      <c r="F440" s="47" t="s">
        <v>156</v>
      </c>
      <c r="G440" s="48" t="s">
        <v>156</v>
      </c>
      <c r="H440" s="43">
        <v>4531</v>
      </c>
      <c r="I440" s="44">
        <v>14.433899800000001</v>
      </c>
      <c r="J440" s="43">
        <v>6719</v>
      </c>
      <c r="K440" s="44">
        <v>35.511236799999999</v>
      </c>
    </row>
    <row r="441" spans="1:11" ht="15" hidden="1" customHeight="1">
      <c r="A441" s="7"/>
      <c r="B441" s="36">
        <v>434</v>
      </c>
      <c r="C441" s="37" t="s">
        <v>19</v>
      </c>
      <c r="D441" s="37" t="s">
        <v>54</v>
      </c>
      <c r="E441" s="37" t="s">
        <v>155</v>
      </c>
      <c r="F441" s="37" t="s">
        <v>156</v>
      </c>
      <c r="G441" s="38" t="s">
        <v>13</v>
      </c>
      <c r="H441" s="39"/>
      <c r="I441" s="40"/>
      <c r="J441" s="39"/>
      <c r="K441" s="40"/>
    </row>
    <row r="442" spans="1:11" ht="15" hidden="1" customHeight="1">
      <c r="A442" s="7"/>
      <c r="B442" s="36">
        <v>435</v>
      </c>
      <c r="C442" s="37" t="s">
        <v>19</v>
      </c>
      <c r="D442" s="37" t="s">
        <v>54</v>
      </c>
      <c r="E442" s="37" t="s">
        <v>155</v>
      </c>
      <c r="F442" s="37" t="s">
        <v>156</v>
      </c>
      <c r="G442" s="38" t="s">
        <v>14</v>
      </c>
      <c r="H442" s="39">
        <v>4531</v>
      </c>
      <c r="I442" s="40">
        <v>14.433899800000001</v>
      </c>
      <c r="J442" s="39">
        <v>6719</v>
      </c>
      <c r="K442" s="40">
        <v>35.511236799999999</v>
      </c>
    </row>
    <row r="443" spans="1:11" ht="15" customHeight="1">
      <c r="A443" s="7"/>
      <c r="B443" s="41">
        <v>436</v>
      </c>
      <c r="C443" s="42" t="s">
        <v>19</v>
      </c>
      <c r="D443" s="47" t="s">
        <v>54</v>
      </c>
      <c r="E443" s="47" t="s">
        <v>155</v>
      </c>
      <c r="F443" s="47" t="s">
        <v>157</v>
      </c>
      <c r="G443" s="48" t="s">
        <v>157</v>
      </c>
      <c r="H443" s="43">
        <v>2852</v>
      </c>
      <c r="I443" s="44">
        <v>24.7896213</v>
      </c>
      <c r="J443" s="43">
        <v>5317</v>
      </c>
      <c r="K443" s="44">
        <v>63.682527700000001</v>
      </c>
    </row>
    <row r="444" spans="1:11" ht="15" hidden="1" customHeight="1">
      <c r="A444" s="7"/>
      <c r="B444" s="36">
        <v>437</v>
      </c>
      <c r="C444" s="37" t="s">
        <v>19</v>
      </c>
      <c r="D444" s="37" t="s">
        <v>54</v>
      </c>
      <c r="E444" s="37" t="s">
        <v>155</v>
      </c>
      <c r="F444" s="37" t="s">
        <v>157</v>
      </c>
      <c r="G444" s="38" t="s">
        <v>13</v>
      </c>
      <c r="H444" s="39"/>
      <c r="I444" s="40"/>
      <c r="J444" s="39"/>
      <c r="K444" s="40"/>
    </row>
    <row r="445" spans="1:11" ht="15" hidden="1" customHeight="1">
      <c r="A445" s="7"/>
      <c r="B445" s="36">
        <v>438</v>
      </c>
      <c r="C445" s="37" t="s">
        <v>19</v>
      </c>
      <c r="D445" s="37" t="s">
        <v>54</v>
      </c>
      <c r="E445" s="37" t="s">
        <v>155</v>
      </c>
      <c r="F445" s="37" t="s">
        <v>157</v>
      </c>
      <c r="G445" s="38" t="s">
        <v>14</v>
      </c>
      <c r="H445" s="39">
        <v>2852</v>
      </c>
      <c r="I445" s="40">
        <v>24.7896213</v>
      </c>
      <c r="J445" s="39">
        <v>5317</v>
      </c>
      <c r="K445" s="40">
        <v>63.682527700000001</v>
      </c>
    </row>
    <row r="446" spans="1:11" ht="15" hidden="1" customHeight="1">
      <c r="A446" s="7"/>
      <c r="B446" s="32">
        <v>439</v>
      </c>
      <c r="C446" s="33" t="s">
        <v>17</v>
      </c>
      <c r="D446" s="46" t="s">
        <v>54</v>
      </c>
      <c r="E446" s="46" t="s">
        <v>158</v>
      </c>
      <c r="F446" s="46"/>
      <c r="G446" s="33" t="s">
        <v>158</v>
      </c>
      <c r="H446" s="34">
        <v>59638</v>
      </c>
      <c r="I446" s="35">
        <v>30.654951499999999</v>
      </c>
      <c r="J446" s="34">
        <v>67499</v>
      </c>
      <c r="K446" s="35">
        <v>52.7726337</v>
      </c>
    </row>
    <row r="447" spans="1:11" ht="15" hidden="1" customHeight="1">
      <c r="A447" s="7"/>
      <c r="B447" s="36">
        <v>440</v>
      </c>
      <c r="C447" s="37" t="s">
        <v>17</v>
      </c>
      <c r="D447" s="37" t="s">
        <v>54</v>
      </c>
      <c r="E447" s="37" t="s">
        <v>158</v>
      </c>
      <c r="F447" s="37"/>
      <c r="G447" s="38" t="s">
        <v>13</v>
      </c>
      <c r="H447" s="39">
        <v>12193</v>
      </c>
      <c r="I447" s="40">
        <v>91.052243099999998</v>
      </c>
      <c r="J447" s="39">
        <v>19228</v>
      </c>
      <c r="K447" s="40">
        <v>94.409194900000003</v>
      </c>
    </row>
    <row r="448" spans="1:11" ht="15" hidden="1" customHeight="1">
      <c r="A448" s="7"/>
      <c r="B448" s="36">
        <v>441</v>
      </c>
      <c r="C448" s="37" t="s">
        <v>17</v>
      </c>
      <c r="D448" s="37" t="s">
        <v>54</v>
      </c>
      <c r="E448" s="37" t="s">
        <v>158</v>
      </c>
      <c r="F448" s="37"/>
      <c r="G448" s="38" t="s">
        <v>14</v>
      </c>
      <c r="H448" s="39">
        <v>47445</v>
      </c>
      <c r="I448" s="40">
        <v>15.1333123</v>
      </c>
      <c r="J448" s="39">
        <v>48271</v>
      </c>
      <c r="K448" s="40">
        <v>36.1873589</v>
      </c>
    </row>
    <row r="449" spans="1:11" ht="15" customHeight="1">
      <c r="A449" s="7"/>
      <c r="B449" s="41">
        <v>442</v>
      </c>
      <c r="C449" s="42" t="s">
        <v>19</v>
      </c>
      <c r="D449" s="47" t="s">
        <v>54</v>
      </c>
      <c r="E449" s="47" t="s">
        <v>158</v>
      </c>
      <c r="F449" s="47" t="s">
        <v>158</v>
      </c>
      <c r="G449" s="48" t="s">
        <v>158</v>
      </c>
      <c r="H449" s="43">
        <v>48811</v>
      </c>
      <c r="I449" s="44">
        <v>31.283931899999999</v>
      </c>
      <c r="J449" s="43">
        <v>57197</v>
      </c>
      <c r="K449" s="44">
        <v>53.086700399999998</v>
      </c>
    </row>
    <row r="450" spans="1:11" ht="15" hidden="1" customHeight="1">
      <c r="A450" s="7"/>
      <c r="B450" s="36">
        <v>443</v>
      </c>
      <c r="C450" s="37" t="s">
        <v>19</v>
      </c>
      <c r="D450" s="37" t="s">
        <v>54</v>
      </c>
      <c r="E450" s="37" t="s">
        <v>158</v>
      </c>
      <c r="F450" s="37" t="s">
        <v>158</v>
      </c>
      <c r="G450" s="38" t="s">
        <v>13</v>
      </c>
      <c r="H450" s="39">
        <v>12193</v>
      </c>
      <c r="I450" s="40">
        <v>91.052243099999998</v>
      </c>
      <c r="J450" s="39">
        <v>19228</v>
      </c>
      <c r="K450" s="40">
        <v>94.409194900000003</v>
      </c>
    </row>
    <row r="451" spans="1:11" ht="15" hidden="1" customHeight="1">
      <c r="A451" s="7"/>
      <c r="B451" s="36">
        <v>444</v>
      </c>
      <c r="C451" s="37" t="s">
        <v>19</v>
      </c>
      <c r="D451" s="37" t="s">
        <v>54</v>
      </c>
      <c r="E451" s="37" t="s">
        <v>158</v>
      </c>
      <c r="F451" s="37" t="s">
        <v>158</v>
      </c>
      <c r="G451" s="38" t="s">
        <v>14</v>
      </c>
      <c r="H451" s="39">
        <v>36618</v>
      </c>
      <c r="I451" s="40">
        <v>11.382380299999999</v>
      </c>
      <c r="J451" s="39">
        <v>37969</v>
      </c>
      <c r="K451" s="40">
        <v>32.160446700000001</v>
      </c>
    </row>
    <row r="452" spans="1:11" ht="15" customHeight="1">
      <c r="A452" s="7"/>
      <c r="B452" s="41">
        <v>445</v>
      </c>
      <c r="C452" s="42" t="s">
        <v>19</v>
      </c>
      <c r="D452" s="47" t="s">
        <v>54</v>
      </c>
      <c r="E452" s="47" t="s">
        <v>158</v>
      </c>
      <c r="F452" s="47" t="s">
        <v>159</v>
      </c>
      <c r="G452" s="48" t="s">
        <v>159</v>
      </c>
      <c r="H452" s="43">
        <v>10827</v>
      </c>
      <c r="I452" s="44">
        <v>27.819340499999999</v>
      </c>
      <c r="J452" s="43">
        <v>10302</v>
      </c>
      <c r="K452" s="44">
        <v>51.028926400000003</v>
      </c>
    </row>
    <row r="453" spans="1:11" ht="15" hidden="1" customHeight="1">
      <c r="A453" s="7"/>
      <c r="B453" s="36">
        <v>446</v>
      </c>
      <c r="C453" s="37" t="s">
        <v>19</v>
      </c>
      <c r="D453" s="37" t="s">
        <v>54</v>
      </c>
      <c r="E453" s="37" t="s">
        <v>158</v>
      </c>
      <c r="F453" s="37" t="s">
        <v>159</v>
      </c>
      <c r="G453" s="38" t="s">
        <v>13</v>
      </c>
      <c r="H453" s="39"/>
      <c r="I453" s="40"/>
      <c r="J453" s="39"/>
      <c r="K453" s="40"/>
    </row>
    <row r="454" spans="1:11" ht="15" hidden="1" customHeight="1">
      <c r="A454" s="7"/>
      <c r="B454" s="36">
        <v>447</v>
      </c>
      <c r="C454" s="37" t="s">
        <v>19</v>
      </c>
      <c r="D454" s="37" t="s">
        <v>54</v>
      </c>
      <c r="E454" s="37" t="s">
        <v>158</v>
      </c>
      <c r="F454" s="37" t="s">
        <v>159</v>
      </c>
      <c r="G454" s="38" t="s">
        <v>14</v>
      </c>
      <c r="H454" s="39">
        <v>10827</v>
      </c>
      <c r="I454" s="40">
        <v>27.819340499999999</v>
      </c>
      <c r="J454" s="39">
        <v>10302</v>
      </c>
      <c r="K454" s="40">
        <v>51.028926400000003</v>
      </c>
    </row>
    <row r="455" spans="1:11" ht="15" hidden="1" customHeight="1">
      <c r="A455" s="7"/>
      <c r="B455" s="24">
        <v>448</v>
      </c>
      <c r="C455" s="25" t="s">
        <v>15</v>
      </c>
      <c r="D455" s="25" t="s">
        <v>160</v>
      </c>
      <c r="E455" s="25"/>
      <c r="F455" s="25"/>
      <c r="G455" s="25" t="s">
        <v>160</v>
      </c>
      <c r="H455" s="26">
        <v>1720331</v>
      </c>
      <c r="I455" s="27">
        <v>77.134574700000002</v>
      </c>
      <c r="J455" s="26">
        <v>1968192</v>
      </c>
      <c r="K455" s="27">
        <v>85.508629200000001</v>
      </c>
    </row>
    <row r="456" spans="1:11" ht="15" hidden="1" customHeight="1">
      <c r="A456" s="7"/>
      <c r="B456" s="28">
        <v>449</v>
      </c>
      <c r="C456" s="29" t="s">
        <v>15</v>
      </c>
      <c r="D456" s="45" t="s">
        <v>160</v>
      </c>
      <c r="E456" s="45"/>
      <c r="F456" s="45"/>
      <c r="G456" s="29" t="s">
        <v>13</v>
      </c>
      <c r="H456" s="30">
        <v>1169656</v>
      </c>
      <c r="I456" s="31">
        <v>96.891650200000001</v>
      </c>
      <c r="J456" s="30">
        <v>1384934</v>
      </c>
      <c r="K456" s="31">
        <v>98.713657100000006</v>
      </c>
    </row>
    <row r="457" spans="1:11" ht="15" hidden="1" customHeight="1">
      <c r="A457" s="7"/>
      <c r="B457" s="28">
        <v>450</v>
      </c>
      <c r="C457" s="29" t="s">
        <v>15</v>
      </c>
      <c r="D457" s="45" t="s">
        <v>160</v>
      </c>
      <c r="E457" s="45"/>
      <c r="F457" s="45"/>
      <c r="G457" s="29" t="s">
        <v>14</v>
      </c>
      <c r="H457" s="30">
        <v>550675</v>
      </c>
      <c r="I457" s="31">
        <v>35.169746199999999</v>
      </c>
      <c r="J457" s="30">
        <v>583258</v>
      </c>
      <c r="K457" s="31">
        <v>54.153565</v>
      </c>
    </row>
    <row r="458" spans="1:11" ht="15" hidden="1" customHeight="1">
      <c r="A458" s="7"/>
      <c r="B458" s="32">
        <v>451</v>
      </c>
      <c r="C458" s="33" t="s">
        <v>17</v>
      </c>
      <c r="D458" s="46" t="s">
        <v>160</v>
      </c>
      <c r="E458" s="46" t="s">
        <v>161</v>
      </c>
      <c r="F458" s="46"/>
      <c r="G458" s="33" t="s">
        <v>161</v>
      </c>
      <c r="H458" s="34">
        <v>616249</v>
      </c>
      <c r="I458" s="35">
        <v>98.088272799999999</v>
      </c>
      <c r="J458" s="34">
        <v>647988</v>
      </c>
      <c r="K458" s="35">
        <v>99.252918300000005</v>
      </c>
    </row>
    <row r="459" spans="1:11" ht="15" hidden="1" customHeight="1">
      <c r="A459" s="7"/>
      <c r="B459" s="36">
        <v>452</v>
      </c>
      <c r="C459" s="37" t="s">
        <v>17</v>
      </c>
      <c r="D459" s="37" t="s">
        <v>160</v>
      </c>
      <c r="E459" s="37" t="s">
        <v>161</v>
      </c>
      <c r="F459" s="37"/>
      <c r="G459" s="38" t="s">
        <v>13</v>
      </c>
      <c r="H459" s="39">
        <v>616249</v>
      </c>
      <c r="I459" s="40">
        <v>98.088272799999999</v>
      </c>
      <c r="J459" s="39">
        <v>647965</v>
      </c>
      <c r="K459" s="40">
        <v>99.256441300000006</v>
      </c>
    </row>
    <row r="460" spans="1:11" ht="15" hidden="1" customHeight="1">
      <c r="A460" s="7"/>
      <c r="B460" s="36">
        <v>453</v>
      </c>
      <c r="C460" s="37" t="s">
        <v>17</v>
      </c>
      <c r="D460" s="37" t="s">
        <v>160</v>
      </c>
      <c r="E460" s="37" t="s">
        <v>161</v>
      </c>
      <c r="F460" s="37"/>
      <c r="G460" s="38" t="s">
        <v>14</v>
      </c>
      <c r="H460" s="39"/>
      <c r="I460" s="40"/>
      <c r="J460" s="39">
        <v>23</v>
      </c>
      <c r="K460" s="40"/>
    </row>
    <row r="461" spans="1:11" ht="15" customHeight="1">
      <c r="A461" s="7"/>
      <c r="B461" s="41">
        <v>454</v>
      </c>
      <c r="C461" s="42" t="s">
        <v>19</v>
      </c>
      <c r="D461" s="47" t="s">
        <v>160</v>
      </c>
      <c r="E461" s="47" t="s">
        <v>161</v>
      </c>
      <c r="F461" s="47" t="s">
        <v>160</v>
      </c>
      <c r="G461" s="48" t="s">
        <v>160</v>
      </c>
      <c r="H461" s="43">
        <v>616249</v>
      </c>
      <c r="I461" s="44">
        <v>98.088272799999999</v>
      </c>
      <c r="J461" s="43">
        <v>647988</v>
      </c>
      <c r="K461" s="44">
        <v>99.252918300000005</v>
      </c>
    </row>
    <row r="462" spans="1:11" ht="15" hidden="1" customHeight="1">
      <c r="A462" s="7"/>
      <c r="B462" s="36">
        <v>455</v>
      </c>
      <c r="C462" s="37" t="s">
        <v>19</v>
      </c>
      <c r="D462" s="37" t="s">
        <v>160</v>
      </c>
      <c r="E462" s="37" t="s">
        <v>161</v>
      </c>
      <c r="F462" s="37" t="s">
        <v>160</v>
      </c>
      <c r="G462" s="38" t="s">
        <v>13</v>
      </c>
      <c r="H462" s="39">
        <v>616249</v>
      </c>
      <c r="I462" s="40">
        <v>98.088272799999999</v>
      </c>
      <c r="J462" s="39">
        <v>647965</v>
      </c>
      <c r="K462" s="40">
        <v>99.256441300000006</v>
      </c>
    </row>
    <row r="463" spans="1:11" ht="15" hidden="1" customHeight="1">
      <c r="A463" s="7"/>
      <c r="B463" s="36">
        <v>456</v>
      </c>
      <c r="C463" s="37" t="s">
        <v>19</v>
      </c>
      <c r="D463" s="37" t="s">
        <v>160</v>
      </c>
      <c r="E463" s="37" t="s">
        <v>161</v>
      </c>
      <c r="F463" s="37" t="s">
        <v>160</v>
      </c>
      <c r="G463" s="38" t="s">
        <v>14</v>
      </c>
      <c r="H463" s="39"/>
      <c r="I463" s="40"/>
      <c r="J463" s="39">
        <v>23</v>
      </c>
      <c r="K463" s="40"/>
    </row>
    <row r="464" spans="1:11" ht="15" hidden="1" customHeight="1">
      <c r="A464" s="7"/>
      <c r="B464" s="32">
        <v>457</v>
      </c>
      <c r="C464" s="33" t="s">
        <v>17</v>
      </c>
      <c r="D464" s="46" t="s">
        <v>160</v>
      </c>
      <c r="E464" s="46" t="s">
        <v>162</v>
      </c>
      <c r="F464" s="46"/>
      <c r="G464" s="33" t="s">
        <v>162</v>
      </c>
      <c r="H464" s="34">
        <v>35267</v>
      </c>
      <c r="I464" s="35">
        <v>38.418351399999999</v>
      </c>
      <c r="J464" s="34">
        <v>35818</v>
      </c>
      <c r="K464" s="35">
        <v>55.446981999999998</v>
      </c>
    </row>
    <row r="465" spans="1:11" ht="15" hidden="1" customHeight="1">
      <c r="A465" s="7"/>
      <c r="B465" s="36">
        <v>458</v>
      </c>
      <c r="C465" s="37" t="s">
        <v>17</v>
      </c>
      <c r="D465" s="37" t="s">
        <v>160</v>
      </c>
      <c r="E465" s="37" t="s">
        <v>162</v>
      </c>
      <c r="F465" s="37"/>
      <c r="G465" s="38" t="s">
        <v>13</v>
      </c>
      <c r="H465" s="39">
        <v>10737</v>
      </c>
      <c r="I465" s="40">
        <v>87.817826199999999</v>
      </c>
      <c r="J465" s="39">
        <v>11355</v>
      </c>
      <c r="K465" s="40">
        <v>95.755173900000003</v>
      </c>
    </row>
    <row r="466" spans="1:11" ht="15" hidden="1" customHeight="1">
      <c r="A466" s="7"/>
      <c r="B466" s="36">
        <v>459</v>
      </c>
      <c r="C466" s="37" t="s">
        <v>17</v>
      </c>
      <c r="D466" s="37" t="s">
        <v>160</v>
      </c>
      <c r="E466" s="37" t="s">
        <v>162</v>
      </c>
      <c r="F466" s="37"/>
      <c r="G466" s="38" t="s">
        <v>14</v>
      </c>
      <c r="H466" s="39">
        <v>24530</v>
      </c>
      <c r="I466" s="40">
        <v>16.795760300000001</v>
      </c>
      <c r="J466" s="39">
        <v>24463</v>
      </c>
      <c r="K466" s="40">
        <v>36.737113200000003</v>
      </c>
    </row>
    <row r="467" spans="1:11" ht="15" customHeight="1">
      <c r="A467" s="7"/>
      <c r="B467" s="41">
        <v>460</v>
      </c>
      <c r="C467" s="42" t="s">
        <v>19</v>
      </c>
      <c r="D467" s="47" t="s">
        <v>160</v>
      </c>
      <c r="E467" s="47" t="s">
        <v>162</v>
      </c>
      <c r="F467" s="47" t="s">
        <v>163</v>
      </c>
      <c r="G467" s="48" t="s">
        <v>163</v>
      </c>
      <c r="H467" s="43">
        <v>22949</v>
      </c>
      <c r="I467" s="44">
        <v>38.3197525</v>
      </c>
      <c r="J467" s="43">
        <v>22777</v>
      </c>
      <c r="K467" s="44">
        <v>56.082890599999999</v>
      </c>
    </row>
    <row r="468" spans="1:11" ht="15" hidden="1" customHeight="1">
      <c r="A468" s="7"/>
      <c r="B468" s="36">
        <v>461</v>
      </c>
      <c r="C468" s="37" t="s">
        <v>19</v>
      </c>
      <c r="D468" s="37" t="s">
        <v>160</v>
      </c>
      <c r="E468" s="37" t="s">
        <v>162</v>
      </c>
      <c r="F468" s="37" t="s">
        <v>163</v>
      </c>
      <c r="G468" s="38" t="s">
        <v>13</v>
      </c>
      <c r="H468" s="39">
        <v>7680</v>
      </c>
      <c r="I468" s="40">
        <v>94.505208300000007</v>
      </c>
      <c r="J468" s="39">
        <v>8611</v>
      </c>
      <c r="K468" s="40">
        <v>98.8270816</v>
      </c>
    </row>
    <row r="469" spans="1:11" ht="15" hidden="1" customHeight="1">
      <c r="A469" s="7"/>
      <c r="B469" s="36">
        <v>462</v>
      </c>
      <c r="C469" s="37" t="s">
        <v>19</v>
      </c>
      <c r="D469" s="37" t="s">
        <v>160</v>
      </c>
      <c r="E469" s="37" t="s">
        <v>162</v>
      </c>
      <c r="F469" s="37" t="s">
        <v>163</v>
      </c>
      <c r="G469" s="38" t="s">
        <v>14</v>
      </c>
      <c r="H469" s="39">
        <v>15269</v>
      </c>
      <c r="I469" s="40">
        <v>10.0595979</v>
      </c>
      <c r="J469" s="39">
        <v>14166</v>
      </c>
      <c r="K469" s="40">
        <v>30.100239999999999</v>
      </c>
    </row>
    <row r="470" spans="1:11" ht="15" customHeight="1">
      <c r="A470" s="7"/>
      <c r="B470" s="41">
        <v>463</v>
      </c>
      <c r="C470" s="42" t="s">
        <v>19</v>
      </c>
      <c r="D470" s="47" t="s">
        <v>160</v>
      </c>
      <c r="E470" s="47" t="s">
        <v>162</v>
      </c>
      <c r="F470" s="47" t="s">
        <v>164</v>
      </c>
      <c r="G470" s="48" t="s">
        <v>164</v>
      </c>
      <c r="H470" s="43">
        <v>6759</v>
      </c>
      <c r="I470" s="44">
        <v>35.345465300000001</v>
      </c>
      <c r="J470" s="43">
        <v>6387</v>
      </c>
      <c r="K470" s="44">
        <v>42.226397400000003</v>
      </c>
    </row>
    <row r="471" spans="1:11" ht="15" hidden="1" customHeight="1">
      <c r="A471" s="7"/>
      <c r="B471" s="36">
        <v>464</v>
      </c>
      <c r="C471" s="37" t="s">
        <v>19</v>
      </c>
      <c r="D471" s="37" t="s">
        <v>160</v>
      </c>
      <c r="E471" s="37" t="s">
        <v>162</v>
      </c>
      <c r="F471" s="37" t="s">
        <v>164</v>
      </c>
      <c r="G471" s="38" t="s">
        <v>13</v>
      </c>
      <c r="H471" s="39">
        <v>3057</v>
      </c>
      <c r="I471" s="40">
        <v>71.017337299999994</v>
      </c>
      <c r="J471" s="39">
        <v>2744</v>
      </c>
      <c r="K471" s="40">
        <v>86.115160299999999</v>
      </c>
    </row>
    <row r="472" spans="1:11" ht="15" hidden="1" customHeight="1">
      <c r="A472" s="7"/>
      <c r="B472" s="36">
        <v>465</v>
      </c>
      <c r="C472" s="37" t="s">
        <v>19</v>
      </c>
      <c r="D472" s="37" t="s">
        <v>160</v>
      </c>
      <c r="E472" s="37" t="s">
        <v>162</v>
      </c>
      <c r="F472" s="37" t="s">
        <v>164</v>
      </c>
      <c r="G472" s="38" t="s">
        <v>14</v>
      </c>
      <c r="H472" s="39">
        <v>3702</v>
      </c>
      <c r="I472" s="40">
        <v>5.8887087999999999</v>
      </c>
      <c r="J472" s="39">
        <v>3643</v>
      </c>
      <c r="K472" s="40">
        <v>9.1682679</v>
      </c>
    </row>
    <row r="473" spans="1:11" ht="15" customHeight="1">
      <c r="A473" s="7"/>
      <c r="B473" s="41">
        <v>466</v>
      </c>
      <c r="C473" s="42" t="s">
        <v>19</v>
      </c>
      <c r="D473" s="47" t="s">
        <v>160</v>
      </c>
      <c r="E473" s="47" t="s">
        <v>162</v>
      </c>
      <c r="F473" s="47" t="s">
        <v>165</v>
      </c>
      <c r="G473" s="48" t="s">
        <v>165</v>
      </c>
      <c r="H473" s="43">
        <v>5559</v>
      </c>
      <c r="I473" s="44">
        <v>42.561611800000001</v>
      </c>
      <c r="J473" s="43">
        <v>6654</v>
      </c>
      <c r="K473" s="44">
        <v>65.960324600000007</v>
      </c>
    </row>
    <row r="474" spans="1:11" ht="15" hidden="1" customHeight="1">
      <c r="A474" s="7"/>
      <c r="B474" s="36">
        <v>467</v>
      </c>
      <c r="C474" s="37" t="s">
        <v>19</v>
      </c>
      <c r="D474" s="37" t="s">
        <v>160</v>
      </c>
      <c r="E474" s="37" t="s">
        <v>162</v>
      </c>
      <c r="F474" s="37" t="s">
        <v>165</v>
      </c>
      <c r="G474" s="38" t="s">
        <v>13</v>
      </c>
      <c r="H474" s="39"/>
      <c r="I474" s="40"/>
      <c r="J474" s="39"/>
      <c r="K474" s="40"/>
    </row>
    <row r="475" spans="1:11" ht="15" hidden="1" customHeight="1">
      <c r="A475" s="7"/>
      <c r="B475" s="36">
        <v>468</v>
      </c>
      <c r="C475" s="37" t="s">
        <v>19</v>
      </c>
      <c r="D475" s="37" t="s">
        <v>160</v>
      </c>
      <c r="E475" s="37" t="s">
        <v>162</v>
      </c>
      <c r="F475" s="37" t="s">
        <v>165</v>
      </c>
      <c r="G475" s="38" t="s">
        <v>14</v>
      </c>
      <c r="H475" s="39">
        <v>5559</v>
      </c>
      <c r="I475" s="40">
        <v>42.561611800000001</v>
      </c>
      <c r="J475" s="39">
        <v>6654</v>
      </c>
      <c r="K475" s="40">
        <v>65.960324600000007</v>
      </c>
    </row>
    <row r="476" spans="1:11" ht="15" hidden="1" customHeight="1">
      <c r="A476" s="7"/>
      <c r="B476" s="32">
        <v>469</v>
      </c>
      <c r="C476" s="33" t="s">
        <v>17</v>
      </c>
      <c r="D476" s="46" t="s">
        <v>160</v>
      </c>
      <c r="E476" s="46" t="s">
        <v>166</v>
      </c>
      <c r="F476" s="46"/>
      <c r="G476" s="33" t="s">
        <v>166</v>
      </c>
      <c r="H476" s="34">
        <v>53559</v>
      </c>
      <c r="I476" s="35">
        <v>17.2314644</v>
      </c>
      <c r="J476" s="34">
        <v>55679</v>
      </c>
      <c r="K476" s="35">
        <v>28.425438700000001</v>
      </c>
    </row>
    <row r="477" spans="1:11" ht="15" hidden="1" customHeight="1">
      <c r="A477" s="7"/>
      <c r="B477" s="36">
        <v>470</v>
      </c>
      <c r="C477" s="37" t="s">
        <v>17</v>
      </c>
      <c r="D477" s="37" t="s">
        <v>160</v>
      </c>
      <c r="E477" s="37" t="s">
        <v>166</v>
      </c>
      <c r="F477" s="37"/>
      <c r="G477" s="38" t="s">
        <v>13</v>
      </c>
      <c r="H477" s="39"/>
      <c r="I477" s="40"/>
      <c r="J477" s="39"/>
      <c r="K477" s="40"/>
    </row>
    <row r="478" spans="1:11" ht="15" hidden="1" customHeight="1">
      <c r="A478" s="7"/>
      <c r="B478" s="36">
        <v>471</v>
      </c>
      <c r="C478" s="37" t="s">
        <v>17</v>
      </c>
      <c r="D478" s="37" t="s">
        <v>160</v>
      </c>
      <c r="E478" s="37" t="s">
        <v>166</v>
      </c>
      <c r="F478" s="37"/>
      <c r="G478" s="38" t="s">
        <v>14</v>
      </c>
      <c r="H478" s="39">
        <v>53559</v>
      </c>
      <c r="I478" s="40">
        <v>17.2314644</v>
      </c>
      <c r="J478" s="39">
        <v>55679</v>
      </c>
      <c r="K478" s="40">
        <v>28.425438700000001</v>
      </c>
    </row>
    <row r="479" spans="1:11" ht="15" customHeight="1">
      <c r="A479" s="7"/>
      <c r="B479" s="41">
        <v>472</v>
      </c>
      <c r="C479" s="42" t="s">
        <v>19</v>
      </c>
      <c r="D479" s="47" t="s">
        <v>160</v>
      </c>
      <c r="E479" s="47" t="s">
        <v>166</v>
      </c>
      <c r="F479" s="47" t="s">
        <v>166</v>
      </c>
      <c r="G479" s="48" t="s">
        <v>166</v>
      </c>
      <c r="H479" s="43">
        <v>23344</v>
      </c>
      <c r="I479" s="44">
        <v>24.4088417</v>
      </c>
      <c r="J479" s="43">
        <v>21587</v>
      </c>
      <c r="K479" s="44">
        <v>31.3614675</v>
      </c>
    </row>
    <row r="480" spans="1:11" ht="15" hidden="1" customHeight="1">
      <c r="A480" s="7"/>
      <c r="B480" s="36">
        <v>473</v>
      </c>
      <c r="C480" s="37" t="s">
        <v>19</v>
      </c>
      <c r="D480" s="37" t="s">
        <v>160</v>
      </c>
      <c r="E480" s="37" t="s">
        <v>166</v>
      </c>
      <c r="F480" s="37" t="s">
        <v>166</v>
      </c>
      <c r="G480" s="38" t="s">
        <v>13</v>
      </c>
      <c r="H480" s="39"/>
      <c r="I480" s="40"/>
      <c r="J480" s="39"/>
      <c r="K480" s="40"/>
    </row>
    <row r="481" spans="1:11" ht="15" hidden="1" customHeight="1">
      <c r="A481" s="7"/>
      <c r="B481" s="36">
        <v>474</v>
      </c>
      <c r="C481" s="37" t="s">
        <v>19</v>
      </c>
      <c r="D481" s="37" t="s">
        <v>160</v>
      </c>
      <c r="E481" s="37" t="s">
        <v>166</v>
      </c>
      <c r="F481" s="37" t="s">
        <v>166</v>
      </c>
      <c r="G481" s="38" t="s">
        <v>14</v>
      </c>
      <c r="H481" s="39">
        <v>23344</v>
      </c>
      <c r="I481" s="40">
        <v>24.4088417</v>
      </c>
      <c r="J481" s="39">
        <v>21587</v>
      </c>
      <c r="K481" s="40">
        <v>31.3614675</v>
      </c>
    </row>
    <row r="482" spans="1:11" ht="15" customHeight="1">
      <c r="A482" s="7"/>
      <c r="B482" s="41">
        <v>475</v>
      </c>
      <c r="C482" s="42" t="s">
        <v>19</v>
      </c>
      <c r="D482" s="47" t="s">
        <v>160</v>
      </c>
      <c r="E482" s="47" t="s">
        <v>166</v>
      </c>
      <c r="F482" s="47" t="s">
        <v>167</v>
      </c>
      <c r="G482" s="48" t="s">
        <v>167</v>
      </c>
      <c r="H482" s="43">
        <v>12683</v>
      </c>
      <c r="I482" s="44">
        <v>14.373570900000001</v>
      </c>
      <c r="J482" s="43">
        <v>14614</v>
      </c>
      <c r="K482" s="44">
        <v>22.006295300000001</v>
      </c>
    </row>
    <row r="483" spans="1:11" ht="15" hidden="1" customHeight="1">
      <c r="A483" s="7"/>
      <c r="B483" s="36">
        <v>476</v>
      </c>
      <c r="C483" s="37" t="s">
        <v>19</v>
      </c>
      <c r="D483" s="37" t="s">
        <v>160</v>
      </c>
      <c r="E483" s="37" t="s">
        <v>166</v>
      </c>
      <c r="F483" s="37" t="s">
        <v>167</v>
      </c>
      <c r="G483" s="38" t="s">
        <v>13</v>
      </c>
      <c r="H483" s="39"/>
      <c r="I483" s="40"/>
      <c r="J483" s="39"/>
      <c r="K483" s="40"/>
    </row>
    <row r="484" spans="1:11" ht="15" hidden="1" customHeight="1">
      <c r="A484" s="7"/>
      <c r="B484" s="36">
        <v>477</v>
      </c>
      <c r="C484" s="37" t="s">
        <v>19</v>
      </c>
      <c r="D484" s="37" t="s">
        <v>160</v>
      </c>
      <c r="E484" s="37" t="s">
        <v>166</v>
      </c>
      <c r="F484" s="37" t="s">
        <v>167</v>
      </c>
      <c r="G484" s="38" t="s">
        <v>14</v>
      </c>
      <c r="H484" s="39">
        <v>12683</v>
      </c>
      <c r="I484" s="40">
        <v>14.373570900000001</v>
      </c>
      <c r="J484" s="39">
        <v>14614</v>
      </c>
      <c r="K484" s="40">
        <v>22.006295300000001</v>
      </c>
    </row>
    <row r="485" spans="1:11" ht="15" customHeight="1">
      <c r="A485" s="7"/>
      <c r="B485" s="41">
        <v>478</v>
      </c>
      <c r="C485" s="42" t="s">
        <v>19</v>
      </c>
      <c r="D485" s="47" t="s">
        <v>160</v>
      </c>
      <c r="E485" s="47" t="s">
        <v>166</v>
      </c>
      <c r="F485" s="47" t="s">
        <v>168</v>
      </c>
      <c r="G485" s="48" t="s">
        <v>168</v>
      </c>
      <c r="H485" s="43">
        <v>17532</v>
      </c>
      <c r="I485" s="44">
        <v>9.7421857000000003</v>
      </c>
      <c r="J485" s="43">
        <v>19478</v>
      </c>
      <c r="K485" s="44">
        <v>29.9876784</v>
      </c>
    </row>
    <row r="486" spans="1:11" ht="15" hidden="1" customHeight="1">
      <c r="A486" s="7"/>
      <c r="B486" s="36">
        <v>479</v>
      </c>
      <c r="C486" s="37" t="s">
        <v>19</v>
      </c>
      <c r="D486" s="37" t="s">
        <v>160</v>
      </c>
      <c r="E486" s="37" t="s">
        <v>166</v>
      </c>
      <c r="F486" s="37" t="s">
        <v>168</v>
      </c>
      <c r="G486" s="38" t="s">
        <v>13</v>
      </c>
      <c r="H486" s="39"/>
      <c r="I486" s="40"/>
      <c r="J486" s="39"/>
      <c r="K486" s="40"/>
    </row>
    <row r="487" spans="1:11" ht="15" hidden="1" customHeight="1">
      <c r="A487" s="7"/>
      <c r="B487" s="36">
        <v>480</v>
      </c>
      <c r="C487" s="37" t="s">
        <v>19</v>
      </c>
      <c r="D487" s="37" t="s">
        <v>160</v>
      </c>
      <c r="E487" s="37" t="s">
        <v>166</v>
      </c>
      <c r="F487" s="37" t="s">
        <v>168</v>
      </c>
      <c r="G487" s="38" t="s">
        <v>14</v>
      </c>
      <c r="H487" s="39">
        <v>17532</v>
      </c>
      <c r="I487" s="40">
        <v>9.7421857000000003</v>
      </c>
      <c r="J487" s="39">
        <v>19478</v>
      </c>
      <c r="K487" s="40">
        <v>29.9876784</v>
      </c>
    </row>
    <row r="488" spans="1:11" ht="15" hidden="1" customHeight="1">
      <c r="A488" s="7"/>
      <c r="B488" s="32">
        <v>481</v>
      </c>
      <c r="C488" s="33" t="s">
        <v>17</v>
      </c>
      <c r="D488" s="46" t="s">
        <v>160</v>
      </c>
      <c r="E488" s="46" t="s">
        <v>169</v>
      </c>
      <c r="F488" s="46"/>
      <c r="G488" s="33" t="s">
        <v>169</v>
      </c>
      <c r="H488" s="34">
        <v>36099</v>
      </c>
      <c r="I488" s="35">
        <v>50.779800000000002</v>
      </c>
      <c r="J488" s="34">
        <v>51548</v>
      </c>
      <c r="K488" s="35">
        <v>66.464266300000006</v>
      </c>
    </row>
    <row r="489" spans="1:11" ht="15" hidden="1" customHeight="1">
      <c r="A489" s="7"/>
      <c r="B489" s="36">
        <v>482</v>
      </c>
      <c r="C489" s="37" t="s">
        <v>17</v>
      </c>
      <c r="D489" s="37" t="s">
        <v>160</v>
      </c>
      <c r="E489" s="37" t="s">
        <v>169</v>
      </c>
      <c r="F489" s="37"/>
      <c r="G489" s="38" t="s">
        <v>13</v>
      </c>
      <c r="H489" s="39">
        <v>7034</v>
      </c>
      <c r="I489" s="40">
        <v>87.517770799999994</v>
      </c>
      <c r="J489" s="39">
        <v>23779</v>
      </c>
      <c r="K489" s="40">
        <v>83.657849400000003</v>
      </c>
    </row>
    <row r="490" spans="1:11" ht="15" hidden="1" customHeight="1">
      <c r="A490" s="7"/>
      <c r="B490" s="36">
        <v>483</v>
      </c>
      <c r="C490" s="37" t="s">
        <v>17</v>
      </c>
      <c r="D490" s="37" t="s">
        <v>160</v>
      </c>
      <c r="E490" s="37" t="s">
        <v>169</v>
      </c>
      <c r="F490" s="37"/>
      <c r="G490" s="38" t="s">
        <v>14</v>
      </c>
      <c r="H490" s="39">
        <v>29065</v>
      </c>
      <c r="I490" s="40">
        <v>41.888869800000002</v>
      </c>
      <c r="J490" s="39">
        <v>27769</v>
      </c>
      <c r="K490" s="40">
        <v>51.7411502</v>
      </c>
    </row>
    <row r="491" spans="1:11" ht="15" customHeight="1">
      <c r="A491" s="7"/>
      <c r="B491" s="41">
        <v>484</v>
      </c>
      <c r="C491" s="42" t="s">
        <v>19</v>
      </c>
      <c r="D491" s="47" t="s">
        <v>160</v>
      </c>
      <c r="E491" s="47" t="s">
        <v>169</v>
      </c>
      <c r="F491" s="47" t="s">
        <v>170</v>
      </c>
      <c r="G491" s="48" t="s">
        <v>170</v>
      </c>
      <c r="H491" s="43">
        <v>7758</v>
      </c>
      <c r="I491" s="44">
        <v>56.844547599999999</v>
      </c>
      <c r="J491" s="43">
        <v>10686</v>
      </c>
      <c r="K491" s="44">
        <v>67.1532847</v>
      </c>
    </row>
    <row r="492" spans="1:11" ht="15" hidden="1" customHeight="1">
      <c r="A492" s="7"/>
      <c r="B492" s="36">
        <v>485</v>
      </c>
      <c r="C492" s="37" t="s">
        <v>19</v>
      </c>
      <c r="D492" s="37" t="s">
        <v>160</v>
      </c>
      <c r="E492" s="37" t="s">
        <v>169</v>
      </c>
      <c r="F492" s="37" t="s">
        <v>170</v>
      </c>
      <c r="G492" s="38" t="s">
        <v>13</v>
      </c>
      <c r="H492" s="39">
        <v>3540</v>
      </c>
      <c r="I492" s="40">
        <v>92.175141199999999</v>
      </c>
      <c r="J492" s="39">
        <v>3990</v>
      </c>
      <c r="K492" s="40">
        <v>97.794486199999994</v>
      </c>
    </row>
    <row r="493" spans="1:11" ht="15" hidden="1" customHeight="1">
      <c r="A493" s="7"/>
      <c r="B493" s="36">
        <v>486</v>
      </c>
      <c r="C493" s="37" t="s">
        <v>19</v>
      </c>
      <c r="D493" s="37" t="s">
        <v>160</v>
      </c>
      <c r="E493" s="37" t="s">
        <v>169</v>
      </c>
      <c r="F493" s="37" t="s">
        <v>170</v>
      </c>
      <c r="G493" s="38" t="s">
        <v>14</v>
      </c>
      <c r="H493" s="39">
        <v>4218</v>
      </c>
      <c r="I493" s="40">
        <v>27.192982499999999</v>
      </c>
      <c r="J493" s="39">
        <v>6696</v>
      </c>
      <c r="K493" s="40">
        <v>48.894862600000003</v>
      </c>
    </row>
    <row r="494" spans="1:11" ht="15" customHeight="1">
      <c r="A494" s="7"/>
      <c r="B494" s="41">
        <v>487</v>
      </c>
      <c r="C494" s="42" t="s">
        <v>19</v>
      </c>
      <c r="D494" s="47" t="s">
        <v>160</v>
      </c>
      <c r="E494" s="47" t="s">
        <v>169</v>
      </c>
      <c r="F494" s="47" t="s">
        <v>171</v>
      </c>
      <c r="G494" s="48" t="s">
        <v>171</v>
      </c>
      <c r="H494" s="43">
        <v>7127</v>
      </c>
      <c r="I494" s="44">
        <v>20.078574400000001</v>
      </c>
      <c r="J494" s="43">
        <v>7248</v>
      </c>
      <c r="K494" s="44">
        <v>29.525386300000001</v>
      </c>
    </row>
    <row r="495" spans="1:11" ht="15" hidden="1" customHeight="1">
      <c r="A495" s="7"/>
      <c r="B495" s="36">
        <v>488</v>
      </c>
      <c r="C495" s="37" t="s">
        <v>19</v>
      </c>
      <c r="D495" s="37" t="s">
        <v>160</v>
      </c>
      <c r="E495" s="37" t="s">
        <v>169</v>
      </c>
      <c r="F495" s="37" t="s">
        <v>171</v>
      </c>
      <c r="G495" s="38" t="s">
        <v>13</v>
      </c>
      <c r="H495" s="39"/>
      <c r="I495" s="40"/>
      <c r="J495" s="39"/>
      <c r="K495" s="40"/>
    </row>
    <row r="496" spans="1:11" ht="15" hidden="1" customHeight="1">
      <c r="A496" s="7"/>
      <c r="B496" s="36">
        <v>489</v>
      </c>
      <c r="C496" s="37" t="s">
        <v>19</v>
      </c>
      <c r="D496" s="37" t="s">
        <v>160</v>
      </c>
      <c r="E496" s="37" t="s">
        <v>169</v>
      </c>
      <c r="F496" s="37" t="s">
        <v>171</v>
      </c>
      <c r="G496" s="38" t="s">
        <v>14</v>
      </c>
      <c r="H496" s="39">
        <v>7127</v>
      </c>
      <c r="I496" s="40">
        <v>20.078574400000001</v>
      </c>
      <c r="J496" s="39">
        <v>7248</v>
      </c>
      <c r="K496" s="40">
        <v>29.525386300000001</v>
      </c>
    </row>
    <row r="497" spans="1:11" ht="15" customHeight="1">
      <c r="A497" s="7"/>
      <c r="B497" s="41">
        <v>490</v>
      </c>
      <c r="C497" s="42" t="s">
        <v>19</v>
      </c>
      <c r="D497" s="47" t="s">
        <v>160</v>
      </c>
      <c r="E497" s="47" t="s">
        <v>169</v>
      </c>
      <c r="F497" s="47" t="s">
        <v>172</v>
      </c>
      <c r="G497" s="48" t="s">
        <v>172</v>
      </c>
      <c r="H497" s="43">
        <v>16919</v>
      </c>
      <c r="I497" s="44">
        <v>69.909569099999999</v>
      </c>
      <c r="J497" s="43">
        <v>28695</v>
      </c>
      <c r="K497" s="44">
        <v>81.690189899999993</v>
      </c>
    </row>
    <row r="498" spans="1:11" ht="15" hidden="1" customHeight="1">
      <c r="A498" s="7"/>
      <c r="B498" s="36">
        <v>491</v>
      </c>
      <c r="C498" s="37" t="s">
        <v>19</v>
      </c>
      <c r="D498" s="37" t="s">
        <v>160</v>
      </c>
      <c r="E498" s="37" t="s">
        <v>169</v>
      </c>
      <c r="F498" s="37" t="s">
        <v>172</v>
      </c>
      <c r="G498" s="38" t="s">
        <v>13</v>
      </c>
      <c r="H498" s="39">
        <v>3494</v>
      </c>
      <c r="I498" s="40">
        <v>82.799084100000002</v>
      </c>
      <c r="J498" s="39">
        <v>19789</v>
      </c>
      <c r="K498" s="40">
        <v>80.807519299999996</v>
      </c>
    </row>
    <row r="499" spans="1:11" ht="15" hidden="1" customHeight="1">
      <c r="A499" s="7"/>
      <c r="B499" s="36">
        <v>492</v>
      </c>
      <c r="C499" s="37" t="s">
        <v>19</v>
      </c>
      <c r="D499" s="37" t="s">
        <v>160</v>
      </c>
      <c r="E499" s="37" t="s">
        <v>169</v>
      </c>
      <c r="F499" s="37" t="s">
        <v>172</v>
      </c>
      <c r="G499" s="38" t="s">
        <v>14</v>
      </c>
      <c r="H499" s="39">
        <v>13425</v>
      </c>
      <c r="I499" s="40">
        <v>66.554934799999998</v>
      </c>
      <c r="J499" s="39">
        <v>8906</v>
      </c>
      <c r="K499" s="40">
        <v>83.651470900000007</v>
      </c>
    </row>
    <row r="500" spans="1:11" ht="15" customHeight="1">
      <c r="A500" s="7"/>
      <c r="B500" s="41">
        <v>493</v>
      </c>
      <c r="C500" s="42" t="s">
        <v>19</v>
      </c>
      <c r="D500" s="47" t="s">
        <v>160</v>
      </c>
      <c r="E500" s="47" t="s">
        <v>169</v>
      </c>
      <c r="F500" s="47" t="s">
        <v>173</v>
      </c>
      <c r="G500" s="48" t="s">
        <v>173</v>
      </c>
      <c r="H500" s="43">
        <v>4295</v>
      </c>
      <c r="I500" s="44">
        <v>15.413271200000001</v>
      </c>
      <c r="J500" s="43">
        <v>4919</v>
      </c>
      <c r="K500" s="44">
        <v>30.5753202</v>
      </c>
    </row>
    <row r="501" spans="1:11" ht="15" hidden="1" customHeight="1">
      <c r="A501" s="7"/>
      <c r="B501" s="36">
        <v>494</v>
      </c>
      <c r="C501" s="37" t="s">
        <v>19</v>
      </c>
      <c r="D501" s="37" t="s">
        <v>160</v>
      </c>
      <c r="E501" s="37" t="s">
        <v>169</v>
      </c>
      <c r="F501" s="37" t="s">
        <v>173</v>
      </c>
      <c r="G501" s="38" t="s">
        <v>13</v>
      </c>
      <c r="H501" s="39"/>
      <c r="I501" s="40"/>
      <c r="J501" s="39"/>
      <c r="K501" s="40"/>
    </row>
    <row r="502" spans="1:11" ht="15" hidden="1" customHeight="1">
      <c r="A502" s="7"/>
      <c r="B502" s="36">
        <v>495</v>
      </c>
      <c r="C502" s="37" t="s">
        <v>19</v>
      </c>
      <c r="D502" s="37" t="s">
        <v>160</v>
      </c>
      <c r="E502" s="37" t="s">
        <v>169</v>
      </c>
      <c r="F502" s="37" t="s">
        <v>173</v>
      </c>
      <c r="G502" s="38" t="s">
        <v>14</v>
      </c>
      <c r="H502" s="39">
        <v>4295</v>
      </c>
      <c r="I502" s="40">
        <v>15.413271200000001</v>
      </c>
      <c r="J502" s="39">
        <v>4919</v>
      </c>
      <c r="K502" s="40">
        <v>30.5753202</v>
      </c>
    </row>
    <row r="503" spans="1:11" ht="15" hidden="1" customHeight="1">
      <c r="A503" s="7"/>
      <c r="B503" s="32">
        <v>496</v>
      </c>
      <c r="C503" s="33" t="s">
        <v>17</v>
      </c>
      <c r="D503" s="46" t="s">
        <v>160</v>
      </c>
      <c r="E503" s="46" t="s">
        <v>174</v>
      </c>
      <c r="F503" s="46"/>
      <c r="G503" s="33" t="s">
        <v>174</v>
      </c>
      <c r="H503" s="34">
        <v>18178</v>
      </c>
      <c r="I503" s="35">
        <v>46.259214399999998</v>
      </c>
      <c r="J503" s="34">
        <v>19129</v>
      </c>
      <c r="K503" s="35">
        <v>65.455590999999998</v>
      </c>
    </row>
    <row r="504" spans="1:11" ht="15" hidden="1" customHeight="1">
      <c r="A504" s="7"/>
      <c r="B504" s="36">
        <v>497</v>
      </c>
      <c r="C504" s="37" t="s">
        <v>17</v>
      </c>
      <c r="D504" s="37" t="s">
        <v>160</v>
      </c>
      <c r="E504" s="37" t="s">
        <v>174</v>
      </c>
      <c r="F504" s="37"/>
      <c r="G504" s="38" t="s">
        <v>13</v>
      </c>
      <c r="H504" s="39">
        <v>3439</v>
      </c>
      <c r="I504" s="40">
        <v>94.998546099999999</v>
      </c>
      <c r="J504" s="39">
        <v>4105</v>
      </c>
      <c r="K504" s="40">
        <v>97.953715000000003</v>
      </c>
    </row>
    <row r="505" spans="1:11" ht="15" hidden="1" customHeight="1">
      <c r="A505" s="7"/>
      <c r="B505" s="36">
        <v>498</v>
      </c>
      <c r="C505" s="37" t="s">
        <v>17</v>
      </c>
      <c r="D505" s="37" t="s">
        <v>160</v>
      </c>
      <c r="E505" s="37" t="s">
        <v>174</v>
      </c>
      <c r="F505" s="37"/>
      <c r="G505" s="38" t="s">
        <v>14</v>
      </c>
      <c r="H505" s="39">
        <v>14739</v>
      </c>
      <c r="I505" s="40">
        <v>34.887034399999997</v>
      </c>
      <c r="J505" s="39">
        <v>15024</v>
      </c>
      <c r="K505" s="40">
        <v>56.576144800000002</v>
      </c>
    </row>
    <row r="506" spans="1:11" ht="15" customHeight="1">
      <c r="A506" s="7"/>
      <c r="B506" s="41">
        <v>499</v>
      </c>
      <c r="C506" s="42" t="s">
        <v>19</v>
      </c>
      <c r="D506" s="47" t="s">
        <v>160</v>
      </c>
      <c r="E506" s="47" t="s">
        <v>174</v>
      </c>
      <c r="F506" s="47" t="s">
        <v>174</v>
      </c>
      <c r="G506" s="48" t="s">
        <v>174</v>
      </c>
      <c r="H506" s="43">
        <v>9303</v>
      </c>
      <c r="I506" s="44">
        <v>68.934752200000005</v>
      </c>
      <c r="J506" s="43">
        <v>10952</v>
      </c>
      <c r="K506" s="44">
        <v>85.126004399999999</v>
      </c>
    </row>
    <row r="507" spans="1:11" ht="15" hidden="1" customHeight="1">
      <c r="A507" s="7"/>
      <c r="B507" s="36">
        <v>500</v>
      </c>
      <c r="C507" s="37" t="s">
        <v>19</v>
      </c>
      <c r="D507" s="37" t="s">
        <v>160</v>
      </c>
      <c r="E507" s="37" t="s">
        <v>174</v>
      </c>
      <c r="F507" s="37" t="s">
        <v>174</v>
      </c>
      <c r="G507" s="38" t="s">
        <v>13</v>
      </c>
      <c r="H507" s="39">
        <v>3439</v>
      </c>
      <c r="I507" s="40">
        <v>94.998546099999999</v>
      </c>
      <c r="J507" s="39">
        <v>4105</v>
      </c>
      <c r="K507" s="40">
        <v>97.953715000000003</v>
      </c>
    </row>
    <row r="508" spans="1:11" ht="15" hidden="1" customHeight="1">
      <c r="A508" s="7"/>
      <c r="B508" s="36">
        <v>501</v>
      </c>
      <c r="C508" s="37" t="s">
        <v>19</v>
      </c>
      <c r="D508" s="37" t="s">
        <v>160</v>
      </c>
      <c r="E508" s="37" t="s">
        <v>174</v>
      </c>
      <c r="F508" s="37" t="s">
        <v>174</v>
      </c>
      <c r="G508" s="38" t="s">
        <v>14</v>
      </c>
      <c r="H508" s="39">
        <v>5864</v>
      </c>
      <c r="I508" s="40">
        <v>53.649386100000001</v>
      </c>
      <c r="J508" s="39">
        <v>6847</v>
      </c>
      <c r="K508" s="40">
        <v>77.435373200000001</v>
      </c>
    </row>
    <row r="509" spans="1:11" ht="15" customHeight="1">
      <c r="A509" s="7"/>
      <c r="B509" s="41">
        <v>502</v>
      </c>
      <c r="C509" s="42" t="s">
        <v>19</v>
      </c>
      <c r="D509" s="47" t="s">
        <v>160</v>
      </c>
      <c r="E509" s="47" t="s">
        <v>174</v>
      </c>
      <c r="F509" s="47" t="s">
        <v>175</v>
      </c>
      <c r="G509" s="48" t="s">
        <v>175</v>
      </c>
      <c r="H509" s="43">
        <v>8875</v>
      </c>
      <c r="I509" s="44">
        <v>22.490140799999999</v>
      </c>
      <c r="J509" s="43">
        <v>8177</v>
      </c>
      <c r="K509" s="44">
        <v>39.1096979</v>
      </c>
    </row>
    <row r="510" spans="1:11" ht="15" hidden="1" customHeight="1">
      <c r="A510" s="7"/>
      <c r="B510" s="36">
        <v>503</v>
      </c>
      <c r="C510" s="37" t="s">
        <v>19</v>
      </c>
      <c r="D510" s="37" t="s">
        <v>160</v>
      </c>
      <c r="E510" s="37" t="s">
        <v>174</v>
      </c>
      <c r="F510" s="37" t="s">
        <v>175</v>
      </c>
      <c r="G510" s="38" t="s">
        <v>13</v>
      </c>
      <c r="H510" s="39"/>
      <c r="I510" s="40"/>
      <c r="J510" s="39"/>
      <c r="K510" s="40"/>
    </row>
    <row r="511" spans="1:11" ht="15" hidden="1" customHeight="1">
      <c r="A511" s="7"/>
      <c r="B511" s="36">
        <v>504</v>
      </c>
      <c r="C511" s="37" t="s">
        <v>19</v>
      </c>
      <c r="D511" s="37" t="s">
        <v>160</v>
      </c>
      <c r="E511" s="37" t="s">
        <v>174</v>
      </c>
      <c r="F511" s="37" t="s">
        <v>175</v>
      </c>
      <c r="G511" s="38" t="s">
        <v>14</v>
      </c>
      <c r="H511" s="39">
        <v>8875</v>
      </c>
      <c r="I511" s="40">
        <v>22.490140799999999</v>
      </c>
      <c r="J511" s="39">
        <v>8177</v>
      </c>
      <c r="K511" s="40">
        <v>39.1096979</v>
      </c>
    </row>
    <row r="512" spans="1:11" ht="15" hidden="1" customHeight="1">
      <c r="A512" s="7"/>
      <c r="B512" s="32">
        <v>505</v>
      </c>
      <c r="C512" s="33" t="s">
        <v>17</v>
      </c>
      <c r="D512" s="46" t="s">
        <v>160</v>
      </c>
      <c r="E512" s="46" t="s">
        <v>176</v>
      </c>
      <c r="F512" s="46"/>
      <c r="G512" s="33" t="s">
        <v>176</v>
      </c>
      <c r="H512" s="34">
        <v>20534</v>
      </c>
      <c r="I512" s="35">
        <v>7.2270380999999997</v>
      </c>
      <c r="J512" s="34">
        <v>21213</v>
      </c>
      <c r="K512" s="35">
        <v>14.8682412</v>
      </c>
    </row>
    <row r="513" spans="1:11" ht="15" hidden="1" customHeight="1">
      <c r="A513" s="7"/>
      <c r="B513" s="36">
        <v>506</v>
      </c>
      <c r="C513" s="37" t="s">
        <v>17</v>
      </c>
      <c r="D513" s="37" t="s">
        <v>160</v>
      </c>
      <c r="E513" s="37" t="s">
        <v>176</v>
      </c>
      <c r="F513" s="37"/>
      <c r="G513" s="38" t="s">
        <v>13</v>
      </c>
      <c r="H513" s="39"/>
      <c r="I513" s="40"/>
      <c r="J513" s="39"/>
      <c r="K513" s="40"/>
    </row>
    <row r="514" spans="1:11" ht="15" hidden="1" customHeight="1">
      <c r="A514" s="7"/>
      <c r="B514" s="36">
        <v>507</v>
      </c>
      <c r="C514" s="37" t="s">
        <v>17</v>
      </c>
      <c r="D514" s="37" t="s">
        <v>160</v>
      </c>
      <c r="E514" s="37" t="s">
        <v>176</v>
      </c>
      <c r="F514" s="37"/>
      <c r="G514" s="38" t="s">
        <v>14</v>
      </c>
      <c r="H514" s="39">
        <v>20534</v>
      </c>
      <c r="I514" s="40">
        <v>7.2270380999999997</v>
      </c>
      <c r="J514" s="39">
        <v>21213</v>
      </c>
      <c r="K514" s="40">
        <v>14.8682412</v>
      </c>
    </row>
    <row r="515" spans="1:11" ht="15" customHeight="1">
      <c r="A515" s="7"/>
      <c r="B515" s="41">
        <v>508</v>
      </c>
      <c r="C515" s="42" t="s">
        <v>19</v>
      </c>
      <c r="D515" s="47" t="s">
        <v>160</v>
      </c>
      <c r="E515" s="47" t="s">
        <v>176</v>
      </c>
      <c r="F515" s="47" t="s">
        <v>176</v>
      </c>
      <c r="G515" s="48" t="s">
        <v>176</v>
      </c>
      <c r="H515" s="43">
        <v>10440</v>
      </c>
      <c r="I515" s="44">
        <v>9.2911877</v>
      </c>
      <c r="J515" s="43">
        <v>10562</v>
      </c>
      <c r="K515" s="44">
        <v>16.796061399999999</v>
      </c>
    </row>
    <row r="516" spans="1:11" ht="15" hidden="1" customHeight="1">
      <c r="A516" s="7"/>
      <c r="B516" s="36">
        <v>509</v>
      </c>
      <c r="C516" s="37" t="s">
        <v>19</v>
      </c>
      <c r="D516" s="37" t="s">
        <v>160</v>
      </c>
      <c r="E516" s="37" t="s">
        <v>176</v>
      </c>
      <c r="F516" s="37" t="s">
        <v>176</v>
      </c>
      <c r="G516" s="38" t="s">
        <v>13</v>
      </c>
      <c r="H516" s="39"/>
      <c r="I516" s="40"/>
      <c r="J516" s="39"/>
      <c r="K516" s="40"/>
    </row>
    <row r="517" spans="1:11" ht="15" hidden="1" customHeight="1">
      <c r="A517" s="7"/>
      <c r="B517" s="36">
        <v>510</v>
      </c>
      <c r="C517" s="37" t="s">
        <v>19</v>
      </c>
      <c r="D517" s="37" t="s">
        <v>160</v>
      </c>
      <c r="E517" s="37" t="s">
        <v>176</v>
      </c>
      <c r="F517" s="37" t="s">
        <v>176</v>
      </c>
      <c r="G517" s="38" t="s">
        <v>14</v>
      </c>
      <c r="H517" s="39">
        <v>10440</v>
      </c>
      <c r="I517" s="40">
        <v>9.2911877</v>
      </c>
      <c r="J517" s="39">
        <v>10562</v>
      </c>
      <c r="K517" s="40">
        <v>16.796061399999999</v>
      </c>
    </row>
    <row r="518" spans="1:11" ht="15" customHeight="1">
      <c r="A518" s="7"/>
      <c r="B518" s="41">
        <v>511</v>
      </c>
      <c r="C518" s="42" t="s">
        <v>19</v>
      </c>
      <c r="D518" s="47" t="s">
        <v>160</v>
      </c>
      <c r="E518" s="47" t="s">
        <v>176</v>
      </c>
      <c r="F518" s="47" t="s">
        <v>177</v>
      </c>
      <c r="G518" s="48" t="s">
        <v>177</v>
      </c>
      <c r="H518" s="43">
        <v>10094</v>
      </c>
      <c r="I518" s="44">
        <v>5.0921339000000003</v>
      </c>
      <c r="J518" s="43">
        <v>10651</v>
      </c>
      <c r="K518" s="44">
        <v>12.9565299</v>
      </c>
    </row>
    <row r="519" spans="1:11" ht="15" hidden="1" customHeight="1">
      <c r="A519" s="7"/>
      <c r="B519" s="36">
        <v>512</v>
      </c>
      <c r="C519" s="37" t="s">
        <v>19</v>
      </c>
      <c r="D519" s="37" t="s">
        <v>160</v>
      </c>
      <c r="E519" s="37" t="s">
        <v>176</v>
      </c>
      <c r="F519" s="37" t="s">
        <v>177</v>
      </c>
      <c r="G519" s="38" t="s">
        <v>13</v>
      </c>
      <c r="H519" s="39"/>
      <c r="I519" s="40"/>
      <c r="J519" s="39"/>
      <c r="K519" s="40"/>
    </row>
    <row r="520" spans="1:11" ht="15" hidden="1" customHeight="1">
      <c r="A520" s="7"/>
      <c r="B520" s="36">
        <v>513</v>
      </c>
      <c r="C520" s="37" t="s">
        <v>19</v>
      </c>
      <c r="D520" s="37" t="s">
        <v>160</v>
      </c>
      <c r="E520" s="37" t="s">
        <v>176</v>
      </c>
      <c r="F520" s="37" t="s">
        <v>177</v>
      </c>
      <c r="G520" s="38" t="s">
        <v>14</v>
      </c>
      <c r="H520" s="39">
        <v>10094</v>
      </c>
      <c r="I520" s="40">
        <v>5.0921339000000003</v>
      </c>
      <c r="J520" s="39">
        <v>10651</v>
      </c>
      <c r="K520" s="40">
        <v>12.9565299</v>
      </c>
    </row>
    <row r="521" spans="1:11" ht="15" hidden="1" customHeight="1">
      <c r="A521" s="7"/>
      <c r="B521" s="32">
        <v>514</v>
      </c>
      <c r="C521" s="33" t="s">
        <v>17</v>
      </c>
      <c r="D521" s="46" t="s">
        <v>160</v>
      </c>
      <c r="E521" s="46" t="s">
        <v>178</v>
      </c>
      <c r="F521" s="46"/>
      <c r="G521" s="33" t="s">
        <v>178</v>
      </c>
      <c r="H521" s="34">
        <v>29139</v>
      </c>
      <c r="I521" s="35">
        <v>54.257181099999997</v>
      </c>
      <c r="J521" s="34">
        <v>30745</v>
      </c>
      <c r="K521" s="35">
        <v>75.010570799999996</v>
      </c>
    </row>
    <row r="522" spans="1:11" ht="15" hidden="1" customHeight="1">
      <c r="A522" s="7"/>
      <c r="B522" s="36">
        <v>515</v>
      </c>
      <c r="C522" s="37" t="s">
        <v>17</v>
      </c>
      <c r="D522" s="37" t="s">
        <v>160</v>
      </c>
      <c r="E522" s="37" t="s">
        <v>178</v>
      </c>
      <c r="F522" s="37"/>
      <c r="G522" s="38" t="s">
        <v>13</v>
      </c>
      <c r="H522" s="39">
        <v>8952</v>
      </c>
      <c r="I522" s="40">
        <v>91.420911500000003</v>
      </c>
      <c r="J522" s="39">
        <v>8749</v>
      </c>
      <c r="K522" s="40">
        <v>97.965481800000006</v>
      </c>
    </row>
    <row r="523" spans="1:11" ht="15" hidden="1" customHeight="1">
      <c r="A523" s="7"/>
      <c r="B523" s="36">
        <v>516</v>
      </c>
      <c r="C523" s="37" t="s">
        <v>17</v>
      </c>
      <c r="D523" s="37" t="s">
        <v>160</v>
      </c>
      <c r="E523" s="37" t="s">
        <v>178</v>
      </c>
      <c r="F523" s="37"/>
      <c r="G523" s="38" t="s">
        <v>14</v>
      </c>
      <c r="H523" s="39">
        <v>20187</v>
      </c>
      <c r="I523" s="40">
        <v>37.776786999999999</v>
      </c>
      <c r="J523" s="39">
        <v>21996</v>
      </c>
      <c r="K523" s="40">
        <v>65.880160000000004</v>
      </c>
    </row>
    <row r="524" spans="1:11" ht="15" customHeight="1">
      <c r="A524" s="7"/>
      <c r="B524" s="41">
        <v>517</v>
      </c>
      <c r="C524" s="42" t="s">
        <v>19</v>
      </c>
      <c r="D524" s="47" t="s">
        <v>160</v>
      </c>
      <c r="E524" s="47" t="s">
        <v>178</v>
      </c>
      <c r="F524" s="47" t="s">
        <v>178</v>
      </c>
      <c r="G524" s="48" t="s">
        <v>178</v>
      </c>
      <c r="H524" s="43">
        <v>19112</v>
      </c>
      <c r="I524" s="44">
        <v>64.974884900000006</v>
      </c>
      <c r="J524" s="43">
        <v>19217</v>
      </c>
      <c r="K524" s="44">
        <v>78.040276800000001</v>
      </c>
    </row>
    <row r="525" spans="1:11" ht="15" hidden="1" customHeight="1">
      <c r="A525" s="7"/>
      <c r="B525" s="36">
        <v>518</v>
      </c>
      <c r="C525" s="37" t="s">
        <v>19</v>
      </c>
      <c r="D525" s="37" t="s">
        <v>160</v>
      </c>
      <c r="E525" s="37" t="s">
        <v>178</v>
      </c>
      <c r="F525" s="37" t="s">
        <v>178</v>
      </c>
      <c r="G525" s="38" t="s">
        <v>13</v>
      </c>
      <c r="H525" s="39">
        <v>8952</v>
      </c>
      <c r="I525" s="40">
        <v>91.420911500000003</v>
      </c>
      <c r="J525" s="39">
        <v>8749</v>
      </c>
      <c r="K525" s="40">
        <v>97.965481800000006</v>
      </c>
    </row>
    <row r="526" spans="1:11" ht="15" hidden="1" customHeight="1">
      <c r="A526" s="7"/>
      <c r="B526" s="36">
        <v>519</v>
      </c>
      <c r="C526" s="37" t="s">
        <v>19</v>
      </c>
      <c r="D526" s="37" t="s">
        <v>160</v>
      </c>
      <c r="E526" s="37" t="s">
        <v>178</v>
      </c>
      <c r="F526" s="37" t="s">
        <v>178</v>
      </c>
      <c r="G526" s="38" t="s">
        <v>14</v>
      </c>
      <c r="H526" s="39">
        <v>10160</v>
      </c>
      <c r="I526" s="40">
        <v>41.673228299999998</v>
      </c>
      <c r="J526" s="39">
        <v>10468</v>
      </c>
      <c r="K526" s="40">
        <v>61.387084399999999</v>
      </c>
    </row>
    <row r="527" spans="1:11" ht="15" customHeight="1">
      <c r="A527" s="7"/>
      <c r="B527" s="41">
        <v>520</v>
      </c>
      <c r="C527" s="42" t="s">
        <v>19</v>
      </c>
      <c r="D527" s="47" t="s">
        <v>160</v>
      </c>
      <c r="E527" s="47" t="s">
        <v>178</v>
      </c>
      <c r="F527" s="47" t="s">
        <v>179</v>
      </c>
      <c r="G527" s="48" t="s">
        <v>179</v>
      </c>
      <c r="H527" s="43">
        <v>6317</v>
      </c>
      <c r="I527" s="44">
        <v>41.127117300000002</v>
      </c>
      <c r="J527" s="43">
        <v>7617</v>
      </c>
      <c r="K527" s="44">
        <v>76.893790199999998</v>
      </c>
    </row>
    <row r="528" spans="1:11" ht="15" hidden="1" customHeight="1">
      <c r="A528" s="7"/>
      <c r="B528" s="36">
        <v>521</v>
      </c>
      <c r="C528" s="37" t="s">
        <v>19</v>
      </c>
      <c r="D528" s="37" t="s">
        <v>160</v>
      </c>
      <c r="E528" s="37" t="s">
        <v>178</v>
      </c>
      <c r="F528" s="37" t="s">
        <v>179</v>
      </c>
      <c r="G528" s="38" t="s">
        <v>13</v>
      </c>
      <c r="H528" s="39"/>
      <c r="I528" s="40"/>
      <c r="J528" s="39"/>
      <c r="K528" s="40"/>
    </row>
    <row r="529" spans="1:11" ht="15" hidden="1" customHeight="1">
      <c r="A529" s="7"/>
      <c r="B529" s="36">
        <v>522</v>
      </c>
      <c r="C529" s="37" t="s">
        <v>19</v>
      </c>
      <c r="D529" s="37" t="s">
        <v>160</v>
      </c>
      <c r="E529" s="37" t="s">
        <v>178</v>
      </c>
      <c r="F529" s="37" t="s">
        <v>179</v>
      </c>
      <c r="G529" s="38" t="s">
        <v>14</v>
      </c>
      <c r="H529" s="39">
        <v>6317</v>
      </c>
      <c r="I529" s="40">
        <v>41.127117300000002</v>
      </c>
      <c r="J529" s="39">
        <v>7617</v>
      </c>
      <c r="K529" s="40">
        <v>76.893790199999998</v>
      </c>
    </row>
    <row r="530" spans="1:11" ht="15" customHeight="1">
      <c r="A530" s="7"/>
      <c r="B530" s="41">
        <v>523</v>
      </c>
      <c r="C530" s="42" t="s">
        <v>19</v>
      </c>
      <c r="D530" s="47" t="s">
        <v>160</v>
      </c>
      <c r="E530" s="47" t="s">
        <v>178</v>
      </c>
      <c r="F530" s="47" t="s">
        <v>180</v>
      </c>
      <c r="G530" s="48" t="s">
        <v>180</v>
      </c>
      <c r="H530" s="43">
        <v>3710</v>
      </c>
      <c r="I530" s="44">
        <v>21.401617300000002</v>
      </c>
      <c r="J530" s="43">
        <v>3911</v>
      </c>
      <c r="K530" s="44">
        <v>56.4561493</v>
      </c>
    </row>
    <row r="531" spans="1:11" ht="15" hidden="1" customHeight="1">
      <c r="A531" s="7"/>
      <c r="B531" s="36">
        <v>524</v>
      </c>
      <c r="C531" s="37" t="s">
        <v>19</v>
      </c>
      <c r="D531" s="37" t="s">
        <v>160</v>
      </c>
      <c r="E531" s="37" t="s">
        <v>178</v>
      </c>
      <c r="F531" s="37" t="s">
        <v>180</v>
      </c>
      <c r="G531" s="38" t="s">
        <v>13</v>
      </c>
      <c r="H531" s="39"/>
      <c r="I531" s="40"/>
      <c r="J531" s="39"/>
      <c r="K531" s="40"/>
    </row>
    <row r="532" spans="1:11" ht="15" hidden="1" customHeight="1">
      <c r="A532" s="7"/>
      <c r="B532" s="36">
        <v>525</v>
      </c>
      <c r="C532" s="37" t="s">
        <v>19</v>
      </c>
      <c r="D532" s="37" t="s">
        <v>160</v>
      </c>
      <c r="E532" s="37" t="s">
        <v>178</v>
      </c>
      <c r="F532" s="37" t="s">
        <v>180</v>
      </c>
      <c r="G532" s="38" t="s">
        <v>14</v>
      </c>
      <c r="H532" s="39">
        <v>3710</v>
      </c>
      <c r="I532" s="40">
        <v>21.401617300000002</v>
      </c>
      <c r="J532" s="39">
        <v>3911</v>
      </c>
      <c r="K532" s="40">
        <v>56.4561493</v>
      </c>
    </row>
    <row r="533" spans="1:11" ht="15" hidden="1" customHeight="1">
      <c r="A533" s="7"/>
      <c r="B533" s="32">
        <v>526</v>
      </c>
      <c r="C533" s="33" t="s">
        <v>17</v>
      </c>
      <c r="D533" s="46" t="s">
        <v>160</v>
      </c>
      <c r="E533" s="46" t="s">
        <v>181</v>
      </c>
      <c r="F533" s="46"/>
      <c r="G533" s="33" t="s">
        <v>181</v>
      </c>
      <c r="H533" s="34">
        <v>33783</v>
      </c>
      <c r="I533" s="35">
        <v>78.779267700000005</v>
      </c>
      <c r="J533" s="34">
        <v>35763</v>
      </c>
      <c r="K533" s="35">
        <v>90.014819799999998</v>
      </c>
    </row>
    <row r="534" spans="1:11" ht="15" hidden="1" customHeight="1">
      <c r="A534" s="7"/>
      <c r="B534" s="36">
        <v>527</v>
      </c>
      <c r="C534" s="37" t="s">
        <v>17</v>
      </c>
      <c r="D534" s="37" t="s">
        <v>160</v>
      </c>
      <c r="E534" s="37" t="s">
        <v>181</v>
      </c>
      <c r="F534" s="37"/>
      <c r="G534" s="38" t="s">
        <v>13</v>
      </c>
      <c r="H534" s="39">
        <v>14292</v>
      </c>
      <c r="I534" s="40">
        <v>93.793730800000006</v>
      </c>
      <c r="J534" s="39">
        <v>12953</v>
      </c>
      <c r="K534" s="40">
        <v>98.965490599999995</v>
      </c>
    </row>
    <row r="535" spans="1:11" ht="15" hidden="1" customHeight="1">
      <c r="A535" s="7"/>
      <c r="B535" s="36">
        <v>528</v>
      </c>
      <c r="C535" s="37" t="s">
        <v>17</v>
      </c>
      <c r="D535" s="37" t="s">
        <v>160</v>
      </c>
      <c r="E535" s="37" t="s">
        <v>181</v>
      </c>
      <c r="F535" s="37"/>
      <c r="G535" s="38" t="s">
        <v>14</v>
      </c>
      <c r="H535" s="39">
        <v>19491</v>
      </c>
      <c r="I535" s="40">
        <v>67.769739900000005</v>
      </c>
      <c r="J535" s="39">
        <v>22810</v>
      </c>
      <c r="K535" s="40">
        <v>84.932047299999994</v>
      </c>
    </row>
    <row r="536" spans="1:11" ht="15" customHeight="1">
      <c r="A536" s="7"/>
      <c r="B536" s="41">
        <v>529</v>
      </c>
      <c r="C536" s="42" t="s">
        <v>19</v>
      </c>
      <c r="D536" s="47" t="s">
        <v>160</v>
      </c>
      <c r="E536" s="47" t="s">
        <v>181</v>
      </c>
      <c r="F536" s="47" t="s">
        <v>182</v>
      </c>
      <c r="G536" s="48" t="s">
        <v>182</v>
      </c>
      <c r="H536" s="43">
        <v>21663</v>
      </c>
      <c r="I536" s="44">
        <v>86.940866900000003</v>
      </c>
      <c r="J536" s="43">
        <v>20953</v>
      </c>
      <c r="K536" s="44">
        <v>97.437121200000007</v>
      </c>
    </row>
    <row r="537" spans="1:11" ht="15" hidden="1" customHeight="1">
      <c r="A537" s="7"/>
      <c r="B537" s="36">
        <v>530</v>
      </c>
      <c r="C537" s="37" t="s">
        <v>19</v>
      </c>
      <c r="D537" s="37" t="s">
        <v>160</v>
      </c>
      <c r="E537" s="37" t="s">
        <v>181</v>
      </c>
      <c r="F537" s="37" t="s">
        <v>182</v>
      </c>
      <c r="G537" s="38" t="s">
        <v>13</v>
      </c>
      <c r="H537" s="39">
        <v>11127</v>
      </c>
      <c r="I537" s="40">
        <v>94.913274000000001</v>
      </c>
      <c r="J537" s="39">
        <v>11002</v>
      </c>
      <c r="K537" s="40">
        <v>99.145609899999997</v>
      </c>
    </row>
    <row r="538" spans="1:11" ht="15" hidden="1" customHeight="1">
      <c r="A538" s="7"/>
      <c r="B538" s="36">
        <v>531</v>
      </c>
      <c r="C538" s="37" t="s">
        <v>19</v>
      </c>
      <c r="D538" s="37" t="s">
        <v>160</v>
      </c>
      <c r="E538" s="37" t="s">
        <v>181</v>
      </c>
      <c r="F538" s="37" t="s">
        <v>182</v>
      </c>
      <c r="G538" s="38" t="s">
        <v>14</v>
      </c>
      <c r="H538" s="39">
        <v>10536</v>
      </c>
      <c r="I538" s="40">
        <v>78.521260400000003</v>
      </c>
      <c r="J538" s="39">
        <v>9951</v>
      </c>
      <c r="K538" s="40">
        <v>95.548186099999995</v>
      </c>
    </row>
    <row r="539" spans="1:11" ht="15" customHeight="1">
      <c r="A539" s="7"/>
      <c r="B539" s="41">
        <v>532</v>
      </c>
      <c r="C539" s="42" t="s">
        <v>19</v>
      </c>
      <c r="D539" s="47" t="s">
        <v>160</v>
      </c>
      <c r="E539" s="47" t="s">
        <v>181</v>
      </c>
      <c r="F539" s="47" t="s">
        <v>183</v>
      </c>
      <c r="G539" s="48" t="s">
        <v>183</v>
      </c>
      <c r="H539" s="43">
        <v>7010</v>
      </c>
      <c r="I539" s="44">
        <v>48.259629099999998</v>
      </c>
      <c r="J539" s="43">
        <v>7308</v>
      </c>
      <c r="K539" s="44">
        <v>73.823207400000001</v>
      </c>
    </row>
    <row r="540" spans="1:11" ht="15" hidden="1" customHeight="1">
      <c r="A540" s="7"/>
      <c r="B540" s="36">
        <v>533</v>
      </c>
      <c r="C540" s="37" t="s">
        <v>19</v>
      </c>
      <c r="D540" s="37" t="s">
        <v>160</v>
      </c>
      <c r="E540" s="37" t="s">
        <v>181</v>
      </c>
      <c r="F540" s="37" t="s">
        <v>183</v>
      </c>
      <c r="G540" s="38" t="s">
        <v>13</v>
      </c>
      <c r="H540" s="39"/>
      <c r="I540" s="40"/>
      <c r="J540" s="39"/>
      <c r="K540" s="40"/>
    </row>
    <row r="541" spans="1:11" ht="15" hidden="1" customHeight="1">
      <c r="A541" s="7"/>
      <c r="B541" s="36">
        <v>534</v>
      </c>
      <c r="C541" s="37" t="s">
        <v>19</v>
      </c>
      <c r="D541" s="37" t="s">
        <v>160</v>
      </c>
      <c r="E541" s="37" t="s">
        <v>181</v>
      </c>
      <c r="F541" s="37" t="s">
        <v>183</v>
      </c>
      <c r="G541" s="38" t="s">
        <v>14</v>
      </c>
      <c r="H541" s="39">
        <v>7010</v>
      </c>
      <c r="I541" s="40">
        <v>48.259629099999998</v>
      </c>
      <c r="J541" s="39">
        <v>7308</v>
      </c>
      <c r="K541" s="40">
        <v>73.823207400000001</v>
      </c>
    </row>
    <row r="542" spans="1:11" ht="15" customHeight="1">
      <c r="A542" s="7"/>
      <c r="B542" s="41">
        <v>535</v>
      </c>
      <c r="C542" s="42" t="s">
        <v>19</v>
      </c>
      <c r="D542" s="47" t="s">
        <v>160</v>
      </c>
      <c r="E542" s="47" t="s">
        <v>181</v>
      </c>
      <c r="F542" s="47" t="s">
        <v>184</v>
      </c>
      <c r="G542" s="48" t="s">
        <v>184</v>
      </c>
      <c r="H542" s="43">
        <v>5110</v>
      </c>
      <c r="I542" s="44">
        <v>86.046966699999999</v>
      </c>
      <c r="J542" s="43">
        <v>7502</v>
      </c>
      <c r="K542" s="44">
        <v>85.057317999999995</v>
      </c>
    </row>
    <row r="543" spans="1:11" ht="15" hidden="1" customHeight="1">
      <c r="A543" s="7"/>
      <c r="B543" s="36">
        <v>536</v>
      </c>
      <c r="C543" s="37" t="s">
        <v>19</v>
      </c>
      <c r="D543" s="37" t="s">
        <v>160</v>
      </c>
      <c r="E543" s="37" t="s">
        <v>181</v>
      </c>
      <c r="F543" s="37" t="s">
        <v>184</v>
      </c>
      <c r="G543" s="38" t="s">
        <v>13</v>
      </c>
      <c r="H543" s="39">
        <v>3165</v>
      </c>
      <c r="I543" s="40">
        <v>89.857819899999996</v>
      </c>
      <c r="J543" s="39">
        <v>1951</v>
      </c>
      <c r="K543" s="40">
        <v>97.9497693</v>
      </c>
    </row>
    <row r="544" spans="1:11" ht="15" hidden="1" customHeight="1">
      <c r="A544" s="7"/>
      <c r="B544" s="36">
        <v>537</v>
      </c>
      <c r="C544" s="37" t="s">
        <v>19</v>
      </c>
      <c r="D544" s="37" t="s">
        <v>160</v>
      </c>
      <c r="E544" s="37" t="s">
        <v>181</v>
      </c>
      <c r="F544" s="37" t="s">
        <v>184</v>
      </c>
      <c r="G544" s="38" t="s">
        <v>14</v>
      </c>
      <c r="H544" s="39">
        <v>1945</v>
      </c>
      <c r="I544" s="40">
        <v>79.845758399999994</v>
      </c>
      <c r="J544" s="39">
        <v>5551</v>
      </c>
      <c r="K544" s="40">
        <v>80.5260313</v>
      </c>
    </row>
    <row r="545" spans="1:11" ht="15" hidden="1" customHeight="1">
      <c r="A545" s="7"/>
      <c r="B545" s="32">
        <v>538</v>
      </c>
      <c r="C545" s="33" t="s">
        <v>17</v>
      </c>
      <c r="D545" s="46" t="s">
        <v>160</v>
      </c>
      <c r="E545" s="46" t="s">
        <v>185</v>
      </c>
      <c r="F545" s="46"/>
      <c r="G545" s="33" t="s">
        <v>185</v>
      </c>
      <c r="H545" s="34">
        <v>329906</v>
      </c>
      <c r="I545" s="35">
        <v>91.752802299999999</v>
      </c>
      <c r="J545" s="34">
        <v>400678</v>
      </c>
      <c r="K545" s="35">
        <v>96.873299799999998</v>
      </c>
    </row>
    <row r="546" spans="1:11" ht="15" hidden="1" customHeight="1">
      <c r="A546" s="7"/>
      <c r="B546" s="36">
        <v>539</v>
      </c>
      <c r="C546" s="37" t="s">
        <v>17</v>
      </c>
      <c r="D546" s="37" t="s">
        <v>160</v>
      </c>
      <c r="E546" s="37" t="s">
        <v>185</v>
      </c>
      <c r="F546" s="37"/>
      <c r="G546" s="38" t="s">
        <v>13</v>
      </c>
      <c r="H546" s="39">
        <v>281251</v>
      </c>
      <c r="I546" s="40">
        <v>96.446590400000005</v>
      </c>
      <c r="J546" s="39">
        <v>362653</v>
      </c>
      <c r="K546" s="40">
        <v>99.124231699999996</v>
      </c>
    </row>
    <row r="547" spans="1:11" ht="15" hidden="1" customHeight="1">
      <c r="A547" s="7"/>
      <c r="B547" s="36">
        <v>540</v>
      </c>
      <c r="C547" s="37" t="s">
        <v>17</v>
      </c>
      <c r="D547" s="37" t="s">
        <v>160</v>
      </c>
      <c r="E547" s="37" t="s">
        <v>185</v>
      </c>
      <c r="F547" s="37"/>
      <c r="G547" s="38" t="s">
        <v>14</v>
      </c>
      <c r="H547" s="39">
        <v>48655</v>
      </c>
      <c r="I547" s="40">
        <v>64.620285699999997</v>
      </c>
      <c r="J547" s="39">
        <v>38025</v>
      </c>
      <c r="K547" s="40">
        <v>75.405654200000001</v>
      </c>
    </row>
    <row r="548" spans="1:11" ht="15" customHeight="1">
      <c r="A548" s="7"/>
      <c r="B548" s="41">
        <v>541</v>
      </c>
      <c r="C548" s="42" t="s">
        <v>19</v>
      </c>
      <c r="D548" s="47" t="s">
        <v>160</v>
      </c>
      <c r="E548" s="47" t="s">
        <v>185</v>
      </c>
      <c r="F548" s="47" t="s">
        <v>185</v>
      </c>
      <c r="G548" s="48" t="s">
        <v>185</v>
      </c>
      <c r="H548" s="43">
        <v>134281</v>
      </c>
      <c r="I548" s="44">
        <v>94.8421594</v>
      </c>
      <c r="J548" s="43">
        <v>163818</v>
      </c>
      <c r="K548" s="44">
        <v>98.176635000000005</v>
      </c>
    </row>
    <row r="549" spans="1:11" ht="15" hidden="1" customHeight="1">
      <c r="A549" s="7"/>
      <c r="B549" s="36">
        <v>542</v>
      </c>
      <c r="C549" s="37" t="s">
        <v>19</v>
      </c>
      <c r="D549" s="37" t="s">
        <v>160</v>
      </c>
      <c r="E549" s="37" t="s">
        <v>185</v>
      </c>
      <c r="F549" s="37" t="s">
        <v>185</v>
      </c>
      <c r="G549" s="38" t="s">
        <v>13</v>
      </c>
      <c r="H549" s="39">
        <v>127781</v>
      </c>
      <c r="I549" s="40">
        <v>97.131811499999998</v>
      </c>
      <c r="J549" s="39">
        <v>156216</v>
      </c>
      <c r="K549" s="40">
        <v>99.251036999999997</v>
      </c>
    </row>
    <row r="550" spans="1:11" ht="15" hidden="1" customHeight="1">
      <c r="A550" s="7"/>
      <c r="B550" s="36">
        <v>543</v>
      </c>
      <c r="C550" s="37" t="s">
        <v>19</v>
      </c>
      <c r="D550" s="37" t="s">
        <v>160</v>
      </c>
      <c r="E550" s="37" t="s">
        <v>185</v>
      </c>
      <c r="F550" s="37" t="s">
        <v>185</v>
      </c>
      <c r="G550" s="38" t="s">
        <v>14</v>
      </c>
      <c r="H550" s="39">
        <v>6500</v>
      </c>
      <c r="I550" s="40">
        <v>49.830769199999999</v>
      </c>
      <c r="J550" s="39">
        <v>7602</v>
      </c>
      <c r="K550" s="40">
        <v>76.098395199999999</v>
      </c>
    </row>
    <row r="551" spans="1:11" ht="15" customHeight="1">
      <c r="A551" s="7"/>
      <c r="B551" s="41">
        <v>544</v>
      </c>
      <c r="C551" s="42" t="s">
        <v>19</v>
      </c>
      <c r="D551" s="47" t="s">
        <v>160</v>
      </c>
      <c r="E551" s="47" t="s">
        <v>185</v>
      </c>
      <c r="F551" s="47" t="s">
        <v>186</v>
      </c>
      <c r="G551" s="48" t="s">
        <v>186</v>
      </c>
      <c r="H551" s="43">
        <v>40761</v>
      </c>
      <c r="I551" s="44">
        <v>80.991634199999993</v>
      </c>
      <c r="J551" s="43">
        <v>55440</v>
      </c>
      <c r="K551" s="44">
        <v>92.433261200000004</v>
      </c>
    </row>
    <row r="552" spans="1:11" ht="15" hidden="1" customHeight="1">
      <c r="A552" s="7"/>
      <c r="B552" s="36">
        <v>545</v>
      </c>
      <c r="C552" s="37" t="s">
        <v>19</v>
      </c>
      <c r="D552" s="37" t="s">
        <v>160</v>
      </c>
      <c r="E552" s="37" t="s">
        <v>185</v>
      </c>
      <c r="F552" s="37" t="s">
        <v>186</v>
      </c>
      <c r="G552" s="38" t="s">
        <v>13</v>
      </c>
      <c r="H552" s="39">
        <v>13833</v>
      </c>
      <c r="I552" s="40">
        <v>91.968481199999999</v>
      </c>
      <c r="J552" s="39">
        <v>37211</v>
      </c>
      <c r="K552" s="40">
        <v>97.866222399999998</v>
      </c>
    </row>
    <row r="553" spans="1:11" ht="15" hidden="1" customHeight="1">
      <c r="A553" s="7"/>
      <c r="B553" s="36">
        <v>546</v>
      </c>
      <c r="C553" s="37" t="s">
        <v>19</v>
      </c>
      <c r="D553" s="37" t="s">
        <v>160</v>
      </c>
      <c r="E553" s="37" t="s">
        <v>185</v>
      </c>
      <c r="F553" s="37" t="s">
        <v>186</v>
      </c>
      <c r="G553" s="38" t="s">
        <v>14</v>
      </c>
      <c r="H553" s="39">
        <v>26928</v>
      </c>
      <c r="I553" s="40">
        <v>75.352792600000001</v>
      </c>
      <c r="J553" s="39">
        <v>18229</v>
      </c>
      <c r="K553" s="40">
        <v>81.342915099999999</v>
      </c>
    </row>
    <row r="554" spans="1:11" ht="15" customHeight="1">
      <c r="A554" s="7"/>
      <c r="B554" s="41">
        <v>547</v>
      </c>
      <c r="C554" s="42" t="s">
        <v>19</v>
      </c>
      <c r="D554" s="47" t="s">
        <v>160</v>
      </c>
      <c r="E554" s="47" t="s">
        <v>185</v>
      </c>
      <c r="F554" s="47" t="s">
        <v>187</v>
      </c>
      <c r="G554" s="48" t="s">
        <v>187</v>
      </c>
      <c r="H554" s="43">
        <v>52595</v>
      </c>
      <c r="I554" s="44">
        <v>88.8031182</v>
      </c>
      <c r="J554" s="43">
        <v>60789</v>
      </c>
      <c r="K554" s="44">
        <v>94.832946800000002</v>
      </c>
    </row>
    <row r="555" spans="1:11" ht="15" hidden="1" customHeight="1">
      <c r="A555" s="7"/>
      <c r="B555" s="36">
        <v>548</v>
      </c>
      <c r="C555" s="37" t="s">
        <v>19</v>
      </c>
      <c r="D555" s="37" t="s">
        <v>160</v>
      </c>
      <c r="E555" s="37" t="s">
        <v>185</v>
      </c>
      <c r="F555" s="37" t="s">
        <v>187</v>
      </c>
      <c r="G555" s="38" t="s">
        <v>13</v>
      </c>
      <c r="H555" s="39">
        <v>48181</v>
      </c>
      <c r="I555" s="40">
        <v>96.181067200000001</v>
      </c>
      <c r="J555" s="39">
        <v>57180</v>
      </c>
      <c r="K555" s="40">
        <v>99.300454700000003</v>
      </c>
    </row>
    <row r="556" spans="1:11" ht="15" hidden="1" customHeight="1">
      <c r="A556" s="7"/>
      <c r="B556" s="36">
        <v>549</v>
      </c>
      <c r="C556" s="37" t="s">
        <v>19</v>
      </c>
      <c r="D556" s="37" t="s">
        <v>160</v>
      </c>
      <c r="E556" s="37" t="s">
        <v>185</v>
      </c>
      <c r="F556" s="37" t="s">
        <v>187</v>
      </c>
      <c r="G556" s="38" t="s">
        <v>14</v>
      </c>
      <c r="H556" s="39">
        <v>4414</v>
      </c>
      <c r="I556" s="40">
        <v>8.2691435999999996</v>
      </c>
      <c r="J556" s="39">
        <v>3609</v>
      </c>
      <c r="K556" s="40">
        <v>24.0509837</v>
      </c>
    </row>
    <row r="557" spans="1:11" ht="15" customHeight="1">
      <c r="A557" s="7"/>
      <c r="B557" s="41">
        <v>550</v>
      </c>
      <c r="C557" s="42" t="s">
        <v>19</v>
      </c>
      <c r="D557" s="47" t="s">
        <v>160</v>
      </c>
      <c r="E557" s="47" t="s">
        <v>185</v>
      </c>
      <c r="F557" s="47" t="s">
        <v>188</v>
      </c>
      <c r="G557" s="48" t="s">
        <v>188</v>
      </c>
      <c r="H557" s="43">
        <v>51162</v>
      </c>
      <c r="I557" s="44">
        <v>89.081740400000001</v>
      </c>
      <c r="J557" s="43">
        <v>55047</v>
      </c>
      <c r="K557" s="44">
        <v>96.604719599999996</v>
      </c>
    </row>
    <row r="558" spans="1:11" ht="15" hidden="1" customHeight="1">
      <c r="A558" s="7"/>
      <c r="B558" s="36">
        <v>551</v>
      </c>
      <c r="C558" s="37" t="s">
        <v>19</v>
      </c>
      <c r="D558" s="37" t="s">
        <v>160</v>
      </c>
      <c r="E558" s="37" t="s">
        <v>185</v>
      </c>
      <c r="F558" s="37" t="s">
        <v>188</v>
      </c>
      <c r="G558" s="38" t="s">
        <v>13</v>
      </c>
      <c r="H558" s="39">
        <v>40349</v>
      </c>
      <c r="I558" s="40">
        <v>94.252645700000002</v>
      </c>
      <c r="J558" s="39">
        <v>46462</v>
      </c>
      <c r="K558" s="40">
        <v>98.975506899999999</v>
      </c>
    </row>
    <row r="559" spans="1:11" ht="15" hidden="1" customHeight="1">
      <c r="A559" s="7"/>
      <c r="B559" s="36">
        <v>552</v>
      </c>
      <c r="C559" s="37" t="s">
        <v>19</v>
      </c>
      <c r="D559" s="37" t="s">
        <v>160</v>
      </c>
      <c r="E559" s="37" t="s">
        <v>185</v>
      </c>
      <c r="F559" s="37" t="s">
        <v>188</v>
      </c>
      <c r="G559" s="38" t="s">
        <v>14</v>
      </c>
      <c r="H559" s="39">
        <v>10813</v>
      </c>
      <c r="I559" s="40">
        <v>69.786368300000007</v>
      </c>
      <c r="J559" s="39">
        <v>8585</v>
      </c>
      <c r="K559" s="40">
        <v>83.774024499999996</v>
      </c>
    </row>
    <row r="560" spans="1:11" ht="15" customHeight="1">
      <c r="A560" s="7"/>
      <c r="B560" s="41">
        <v>553</v>
      </c>
      <c r="C560" s="42" t="s">
        <v>19</v>
      </c>
      <c r="D560" s="47" t="s">
        <v>160</v>
      </c>
      <c r="E560" s="47" t="s">
        <v>185</v>
      </c>
      <c r="F560" s="47" t="s">
        <v>189</v>
      </c>
      <c r="G560" s="48" t="s">
        <v>189</v>
      </c>
      <c r="H560" s="43">
        <v>51107</v>
      </c>
      <c r="I560" s="44">
        <v>97.927876800000007</v>
      </c>
      <c r="J560" s="43">
        <v>65584</v>
      </c>
      <c r="K560" s="44">
        <v>99.487679900000003</v>
      </c>
    </row>
    <row r="561" spans="1:11" ht="15" hidden="1" customHeight="1">
      <c r="A561" s="7"/>
      <c r="B561" s="36">
        <v>554</v>
      </c>
      <c r="C561" s="37" t="s">
        <v>19</v>
      </c>
      <c r="D561" s="37" t="s">
        <v>160</v>
      </c>
      <c r="E561" s="37" t="s">
        <v>185</v>
      </c>
      <c r="F561" s="37" t="s">
        <v>189</v>
      </c>
      <c r="G561" s="38" t="s">
        <v>13</v>
      </c>
      <c r="H561" s="39">
        <v>51107</v>
      </c>
      <c r="I561" s="40">
        <v>97.927876800000007</v>
      </c>
      <c r="J561" s="39">
        <v>65584</v>
      </c>
      <c r="K561" s="40">
        <v>99.487679900000003</v>
      </c>
    </row>
    <row r="562" spans="1:11" ht="15" hidden="1" customHeight="1">
      <c r="A562" s="7"/>
      <c r="B562" s="36">
        <v>555</v>
      </c>
      <c r="C562" s="37" t="s">
        <v>19</v>
      </c>
      <c r="D562" s="37" t="s">
        <v>160</v>
      </c>
      <c r="E562" s="37" t="s">
        <v>185</v>
      </c>
      <c r="F562" s="37" t="s">
        <v>189</v>
      </c>
      <c r="G562" s="38" t="s">
        <v>14</v>
      </c>
      <c r="H562" s="39"/>
      <c r="I562" s="40"/>
      <c r="J562" s="39"/>
      <c r="K562" s="40"/>
    </row>
    <row r="563" spans="1:11" ht="15" hidden="1" customHeight="1">
      <c r="A563" s="7"/>
      <c r="B563" s="32">
        <v>556</v>
      </c>
      <c r="C563" s="33" t="s">
        <v>17</v>
      </c>
      <c r="D563" s="46" t="s">
        <v>160</v>
      </c>
      <c r="E563" s="46" t="s">
        <v>190</v>
      </c>
      <c r="F563" s="46"/>
      <c r="G563" s="33" t="s">
        <v>190</v>
      </c>
      <c r="H563" s="34">
        <v>256242</v>
      </c>
      <c r="I563" s="35">
        <v>74.216951199999997</v>
      </c>
      <c r="J563" s="34">
        <v>326031</v>
      </c>
      <c r="K563" s="35">
        <v>85.670381000000006</v>
      </c>
    </row>
    <row r="564" spans="1:11" ht="15" hidden="1" customHeight="1">
      <c r="A564" s="7"/>
      <c r="B564" s="36">
        <v>557</v>
      </c>
      <c r="C564" s="37" t="s">
        <v>17</v>
      </c>
      <c r="D564" s="37" t="s">
        <v>160</v>
      </c>
      <c r="E564" s="37" t="s">
        <v>190</v>
      </c>
      <c r="F564" s="37"/>
      <c r="G564" s="38" t="s">
        <v>13</v>
      </c>
      <c r="H564" s="39">
        <v>158394</v>
      </c>
      <c r="I564" s="40">
        <v>96.066138899999999</v>
      </c>
      <c r="J564" s="39">
        <v>201883</v>
      </c>
      <c r="K564" s="40">
        <v>98.519934800000001</v>
      </c>
    </row>
    <row r="565" spans="1:11" ht="15" hidden="1" customHeight="1">
      <c r="A565" s="7"/>
      <c r="B565" s="36">
        <v>558</v>
      </c>
      <c r="C565" s="37" t="s">
        <v>17</v>
      </c>
      <c r="D565" s="37" t="s">
        <v>160</v>
      </c>
      <c r="E565" s="37" t="s">
        <v>190</v>
      </c>
      <c r="F565" s="37"/>
      <c r="G565" s="38" t="s">
        <v>14</v>
      </c>
      <c r="H565" s="39">
        <v>97848</v>
      </c>
      <c r="I565" s="40">
        <v>38.8480092</v>
      </c>
      <c r="J565" s="39">
        <v>124148</v>
      </c>
      <c r="K565" s="40">
        <v>64.7751071</v>
      </c>
    </row>
    <row r="566" spans="1:11" ht="15" customHeight="1">
      <c r="A566" s="7"/>
      <c r="B566" s="41">
        <v>559</v>
      </c>
      <c r="C566" s="42" t="s">
        <v>19</v>
      </c>
      <c r="D566" s="47" t="s">
        <v>160</v>
      </c>
      <c r="E566" s="47" t="s">
        <v>190</v>
      </c>
      <c r="F566" s="47" t="s">
        <v>191</v>
      </c>
      <c r="G566" s="48" t="s">
        <v>191</v>
      </c>
      <c r="H566" s="43">
        <v>168840</v>
      </c>
      <c r="I566" s="44">
        <v>88.897180800000001</v>
      </c>
      <c r="J566" s="43">
        <v>213855</v>
      </c>
      <c r="K566" s="44">
        <v>94.556592100000003</v>
      </c>
    </row>
    <row r="567" spans="1:11" ht="15" hidden="1" customHeight="1">
      <c r="A567" s="7"/>
      <c r="B567" s="36">
        <v>560</v>
      </c>
      <c r="C567" s="37" t="s">
        <v>19</v>
      </c>
      <c r="D567" s="37" t="s">
        <v>160</v>
      </c>
      <c r="E567" s="37" t="s">
        <v>190</v>
      </c>
      <c r="F567" s="37" t="s">
        <v>191</v>
      </c>
      <c r="G567" s="38" t="s">
        <v>13</v>
      </c>
      <c r="H567" s="39">
        <v>146911</v>
      </c>
      <c r="I567" s="40">
        <v>96.154134099999993</v>
      </c>
      <c r="J567" s="39">
        <v>187239</v>
      </c>
      <c r="K567" s="40">
        <v>98.523811800000004</v>
      </c>
    </row>
    <row r="568" spans="1:11" ht="15" hidden="1" customHeight="1">
      <c r="A568" s="7"/>
      <c r="B568" s="36">
        <v>561</v>
      </c>
      <c r="C568" s="37" t="s">
        <v>19</v>
      </c>
      <c r="D568" s="37" t="s">
        <v>160</v>
      </c>
      <c r="E568" s="37" t="s">
        <v>190</v>
      </c>
      <c r="F568" s="37" t="s">
        <v>191</v>
      </c>
      <c r="G568" s="38" t="s">
        <v>14</v>
      </c>
      <c r="H568" s="39">
        <v>21929</v>
      </c>
      <c r="I568" s="40">
        <v>40.279994500000001</v>
      </c>
      <c r="J568" s="39">
        <v>26616</v>
      </c>
      <c r="K568" s="40">
        <v>66.647880999999998</v>
      </c>
    </row>
    <row r="569" spans="1:11" ht="15" customHeight="1">
      <c r="A569" s="7"/>
      <c r="B569" s="41">
        <v>562</v>
      </c>
      <c r="C569" s="42" t="s">
        <v>19</v>
      </c>
      <c r="D569" s="47" t="s">
        <v>160</v>
      </c>
      <c r="E569" s="47" t="s">
        <v>190</v>
      </c>
      <c r="F569" s="47" t="s">
        <v>192</v>
      </c>
      <c r="G569" s="48" t="s">
        <v>192</v>
      </c>
      <c r="H569" s="43">
        <v>18675</v>
      </c>
      <c r="I569" s="44">
        <v>46.425702800000003</v>
      </c>
      <c r="J569" s="43">
        <v>21248</v>
      </c>
      <c r="K569" s="44">
        <v>67.686370499999995</v>
      </c>
    </row>
    <row r="570" spans="1:11" ht="15" hidden="1" customHeight="1">
      <c r="A570" s="7"/>
      <c r="B570" s="36">
        <v>563</v>
      </c>
      <c r="C570" s="37" t="s">
        <v>19</v>
      </c>
      <c r="D570" s="37" t="s">
        <v>160</v>
      </c>
      <c r="E570" s="37" t="s">
        <v>190</v>
      </c>
      <c r="F570" s="37" t="s">
        <v>192</v>
      </c>
      <c r="G570" s="38" t="s">
        <v>13</v>
      </c>
      <c r="H570" s="39">
        <v>3625</v>
      </c>
      <c r="I570" s="40">
        <v>92.110344799999993</v>
      </c>
      <c r="J570" s="39">
        <v>3939</v>
      </c>
      <c r="K570" s="40">
        <v>96.9535415</v>
      </c>
    </row>
    <row r="571" spans="1:11" ht="15" hidden="1" customHeight="1">
      <c r="A571" s="7"/>
      <c r="B571" s="36">
        <v>564</v>
      </c>
      <c r="C571" s="37" t="s">
        <v>19</v>
      </c>
      <c r="D571" s="37" t="s">
        <v>160</v>
      </c>
      <c r="E571" s="37" t="s">
        <v>190</v>
      </c>
      <c r="F571" s="37" t="s">
        <v>192</v>
      </c>
      <c r="G571" s="38" t="s">
        <v>14</v>
      </c>
      <c r="H571" s="39">
        <v>15050</v>
      </c>
      <c r="I571" s="40">
        <v>35.421926900000003</v>
      </c>
      <c r="J571" s="39">
        <v>17309</v>
      </c>
      <c r="K571" s="40">
        <v>61.026055800000002</v>
      </c>
    </row>
    <row r="572" spans="1:11" ht="15" customHeight="1">
      <c r="A572" s="7"/>
      <c r="B572" s="41">
        <v>565</v>
      </c>
      <c r="C572" s="42" t="s">
        <v>19</v>
      </c>
      <c r="D572" s="47" t="s">
        <v>160</v>
      </c>
      <c r="E572" s="47" t="s">
        <v>190</v>
      </c>
      <c r="F572" s="47" t="s">
        <v>193</v>
      </c>
      <c r="G572" s="48" t="s">
        <v>193</v>
      </c>
      <c r="H572" s="43">
        <v>68727</v>
      </c>
      <c r="I572" s="44">
        <v>45.704017299999997</v>
      </c>
      <c r="J572" s="43">
        <v>90928</v>
      </c>
      <c r="K572" s="44">
        <v>68.973253600000007</v>
      </c>
    </row>
    <row r="573" spans="1:11" ht="15" hidden="1" customHeight="1">
      <c r="A573" s="7"/>
      <c r="B573" s="36">
        <v>566</v>
      </c>
      <c r="C573" s="37" t="s">
        <v>19</v>
      </c>
      <c r="D573" s="37" t="s">
        <v>160</v>
      </c>
      <c r="E573" s="37" t="s">
        <v>190</v>
      </c>
      <c r="F573" s="37" t="s">
        <v>193</v>
      </c>
      <c r="G573" s="38" t="s">
        <v>13</v>
      </c>
      <c r="H573" s="39">
        <v>7858</v>
      </c>
      <c r="I573" s="40">
        <v>96.245864100000006</v>
      </c>
      <c r="J573" s="39">
        <v>10705</v>
      </c>
      <c r="K573" s="40">
        <v>99.028491399999993</v>
      </c>
    </row>
    <row r="574" spans="1:11" ht="15" hidden="1" customHeight="1">
      <c r="A574" s="7"/>
      <c r="B574" s="36">
        <v>567</v>
      </c>
      <c r="C574" s="37" t="s">
        <v>19</v>
      </c>
      <c r="D574" s="37" t="s">
        <v>160</v>
      </c>
      <c r="E574" s="37" t="s">
        <v>190</v>
      </c>
      <c r="F574" s="37" t="s">
        <v>193</v>
      </c>
      <c r="G574" s="38" t="s">
        <v>14</v>
      </c>
      <c r="H574" s="39">
        <v>60869</v>
      </c>
      <c r="I574" s="40">
        <v>39.179220899999997</v>
      </c>
      <c r="J574" s="39">
        <v>80223</v>
      </c>
      <c r="K574" s="40">
        <v>64.962666600000006</v>
      </c>
    </row>
    <row r="575" spans="1:11" ht="15" hidden="1" customHeight="1">
      <c r="A575" s="7"/>
      <c r="B575" s="32">
        <v>568</v>
      </c>
      <c r="C575" s="33" t="s">
        <v>17</v>
      </c>
      <c r="D575" s="46" t="s">
        <v>160</v>
      </c>
      <c r="E575" s="46" t="s">
        <v>194</v>
      </c>
      <c r="F575" s="46"/>
      <c r="G575" s="33" t="s">
        <v>194</v>
      </c>
      <c r="H575" s="34">
        <v>24344</v>
      </c>
      <c r="I575" s="35">
        <v>11.477160700000001</v>
      </c>
      <c r="J575" s="34">
        <v>24518</v>
      </c>
      <c r="K575" s="35">
        <v>23.1462599</v>
      </c>
    </row>
    <row r="576" spans="1:11" ht="15" hidden="1" customHeight="1">
      <c r="A576" s="7"/>
      <c r="B576" s="36">
        <v>569</v>
      </c>
      <c r="C576" s="37" t="s">
        <v>17</v>
      </c>
      <c r="D576" s="37" t="s">
        <v>160</v>
      </c>
      <c r="E576" s="37" t="s">
        <v>194</v>
      </c>
      <c r="F576" s="37"/>
      <c r="G576" s="38" t="s">
        <v>13</v>
      </c>
      <c r="H576" s="39"/>
      <c r="I576" s="40"/>
      <c r="J576" s="39"/>
      <c r="K576" s="40"/>
    </row>
    <row r="577" spans="1:11" ht="15" hidden="1" customHeight="1">
      <c r="A577" s="7"/>
      <c r="B577" s="36">
        <v>570</v>
      </c>
      <c r="C577" s="37" t="s">
        <v>17</v>
      </c>
      <c r="D577" s="37" t="s">
        <v>160</v>
      </c>
      <c r="E577" s="37" t="s">
        <v>194</v>
      </c>
      <c r="F577" s="37"/>
      <c r="G577" s="38" t="s">
        <v>14</v>
      </c>
      <c r="H577" s="39">
        <v>24344</v>
      </c>
      <c r="I577" s="40">
        <v>11.477160700000001</v>
      </c>
      <c r="J577" s="39">
        <v>24518</v>
      </c>
      <c r="K577" s="40">
        <v>23.1462599</v>
      </c>
    </row>
    <row r="578" spans="1:11" ht="15" customHeight="1">
      <c r="A578" s="7"/>
      <c r="B578" s="41">
        <v>571</v>
      </c>
      <c r="C578" s="42" t="s">
        <v>19</v>
      </c>
      <c r="D578" s="47" t="s">
        <v>160</v>
      </c>
      <c r="E578" s="47" t="s">
        <v>194</v>
      </c>
      <c r="F578" s="47" t="s">
        <v>194</v>
      </c>
      <c r="G578" s="48" t="s">
        <v>194</v>
      </c>
      <c r="H578" s="43">
        <v>24344</v>
      </c>
      <c r="I578" s="44">
        <v>11.477160700000001</v>
      </c>
      <c r="J578" s="43">
        <v>24518</v>
      </c>
      <c r="K578" s="44">
        <v>23.1462599</v>
      </c>
    </row>
    <row r="579" spans="1:11" ht="15" hidden="1" customHeight="1">
      <c r="A579" s="7"/>
      <c r="B579" s="36">
        <v>572</v>
      </c>
      <c r="C579" s="37" t="s">
        <v>19</v>
      </c>
      <c r="D579" s="37" t="s">
        <v>160</v>
      </c>
      <c r="E579" s="37" t="s">
        <v>194</v>
      </c>
      <c r="F579" s="37" t="s">
        <v>194</v>
      </c>
      <c r="G579" s="38" t="s">
        <v>13</v>
      </c>
      <c r="H579" s="39"/>
      <c r="I579" s="40"/>
      <c r="J579" s="39"/>
      <c r="K579" s="40"/>
    </row>
    <row r="580" spans="1:11" ht="15" hidden="1" customHeight="1">
      <c r="A580" s="7"/>
      <c r="B580" s="36">
        <v>573</v>
      </c>
      <c r="C580" s="37" t="s">
        <v>19</v>
      </c>
      <c r="D580" s="37" t="s">
        <v>160</v>
      </c>
      <c r="E580" s="37" t="s">
        <v>194</v>
      </c>
      <c r="F580" s="37" t="s">
        <v>194</v>
      </c>
      <c r="G580" s="38" t="s">
        <v>14</v>
      </c>
      <c r="H580" s="39">
        <v>24344</v>
      </c>
      <c r="I580" s="40">
        <v>11.477160700000001</v>
      </c>
      <c r="J580" s="39">
        <v>24518</v>
      </c>
      <c r="K580" s="40">
        <v>23.1462599</v>
      </c>
    </row>
    <row r="581" spans="1:11" ht="15" hidden="1" customHeight="1">
      <c r="A581" s="7"/>
      <c r="B581" s="32">
        <v>574</v>
      </c>
      <c r="C581" s="33" t="s">
        <v>17</v>
      </c>
      <c r="D581" s="46" t="s">
        <v>160</v>
      </c>
      <c r="E581" s="46" t="s">
        <v>195</v>
      </c>
      <c r="F581" s="46"/>
      <c r="G581" s="33" t="s">
        <v>195</v>
      </c>
      <c r="H581" s="34">
        <v>129474</v>
      </c>
      <c r="I581" s="35">
        <v>47.824273599999998</v>
      </c>
      <c r="J581" s="34">
        <v>169457</v>
      </c>
      <c r="K581" s="35">
        <v>72.267300800000001</v>
      </c>
    </row>
    <row r="582" spans="1:11" ht="15" hidden="1" customHeight="1">
      <c r="A582" s="7"/>
      <c r="B582" s="36">
        <v>575</v>
      </c>
      <c r="C582" s="37" t="s">
        <v>17</v>
      </c>
      <c r="D582" s="37" t="s">
        <v>160</v>
      </c>
      <c r="E582" s="37" t="s">
        <v>195</v>
      </c>
      <c r="F582" s="37"/>
      <c r="G582" s="38" t="s">
        <v>13</v>
      </c>
      <c r="H582" s="39">
        <v>30551</v>
      </c>
      <c r="I582" s="40">
        <v>94.203135700000004</v>
      </c>
      <c r="J582" s="39">
        <v>58077</v>
      </c>
      <c r="K582" s="40">
        <v>98.665564700000004</v>
      </c>
    </row>
    <row r="583" spans="1:11" ht="15" hidden="1" customHeight="1">
      <c r="A583" s="7"/>
      <c r="B583" s="36">
        <v>576</v>
      </c>
      <c r="C583" s="37" t="s">
        <v>17</v>
      </c>
      <c r="D583" s="37" t="s">
        <v>160</v>
      </c>
      <c r="E583" s="37" t="s">
        <v>195</v>
      </c>
      <c r="F583" s="37"/>
      <c r="G583" s="38" t="s">
        <v>14</v>
      </c>
      <c r="H583" s="39">
        <v>98923</v>
      </c>
      <c r="I583" s="40">
        <v>33.500803699999999</v>
      </c>
      <c r="J583" s="39">
        <v>111380</v>
      </c>
      <c r="K583" s="40">
        <v>58.502424099999999</v>
      </c>
    </row>
    <row r="584" spans="1:11" ht="15" customHeight="1">
      <c r="A584" s="7"/>
      <c r="B584" s="41">
        <v>577</v>
      </c>
      <c r="C584" s="42" t="s">
        <v>19</v>
      </c>
      <c r="D584" s="47" t="s">
        <v>160</v>
      </c>
      <c r="E584" s="47" t="s">
        <v>195</v>
      </c>
      <c r="F584" s="47" t="s">
        <v>196</v>
      </c>
      <c r="G584" s="48" t="s">
        <v>196</v>
      </c>
      <c r="H584" s="43">
        <v>14481</v>
      </c>
      <c r="I584" s="44">
        <v>22.8437263</v>
      </c>
      <c r="J584" s="43">
        <v>14431</v>
      </c>
      <c r="K584" s="44">
        <v>44.127226100000001</v>
      </c>
    </row>
    <row r="585" spans="1:11" ht="15" hidden="1" customHeight="1">
      <c r="A585" s="7"/>
      <c r="B585" s="36">
        <v>578</v>
      </c>
      <c r="C585" s="37" t="s">
        <v>19</v>
      </c>
      <c r="D585" s="37" t="s">
        <v>160</v>
      </c>
      <c r="E585" s="37" t="s">
        <v>195</v>
      </c>
      <c r="F585" s="37" t="s">
        <v>196</v>
      </c>
      <c r="G585" s="38" t="s">
        <v>13</v>
      </c>
      <c r="H585" s="39"/>
      <c r="I585" s="40"/>
      <c r="J585" s="39"/>
      <c r="K585" s="40"/>
    </row>
    <row r="586" spans="1:11" ht="15" hidden="1" customHeight="1">
      <c r="A586" s="7"/>
      <c r="B586" s="36">
        <v>579</v>
      </c>
      <c r="C586" s="37" t="s">
        <v>19</v>
      </c>
      <c r="D586" s="37" t="s">
        <v>160</v>
      </c>
      <c r="E586" s="37" t="s">
        <v>195</v>
      </c>
      <c r="F586" s="37" t="s">
        <v>196</v>
      </c>
      <c r="G586" s="38" t="s">
        <v>14</v>
      </c>
      <c r="H586" s="39">
        <v>14481</v>
      </c>
      <c r="I586" s="40">
        <v>22.8437263</v>
      </c>
      <c r="J586" s="39">
        <v>14431</v>
      </c>
      <c r="K586" s="40">
        <v>44.127226100000001</v>
      </c>
    </row>
    <row r="587" spans="1:11" ht="15" customHeight="1">
      <c r="A587" s="7"/>
      <c r="B587" s="41">
        <v>580</v>
      </c>
      <c r="C587" s="42" t="s">
        <v>19</v>
      </c>
      <c r="D587" s="47" t="s">
        <v>160</v>
      </c>
      <c r="E587" s="47" t="s">
        <v>195</v>
      </c>
      <c r="F587" s="47" t="s">
        <v>197</v>
      </c>
      <c r="G587" s="48" t="s">
        <v>197</v>
      </c>
      <c r="H587" s="43">
        <v>10047</v>
      </c>
      <c r="I587" s="44">
        <v>20.921668199999999</v>
      </c>
      <c r="J587" s="43">
        <v>11593</v>
      </c>
      <c r="K587" s="44">
        <v>56.827395799999998</v>
      </c>
    </row>
    <row r="588" spans="1:11" ht="15" hidden="1" customHeight="1">
      <c r="A588" s="7"/>
      <c r="B588" s="36">
        <v>581</v>
      </c>
      <c r="C588" s="37" t="s">
        <v>19</v>
      </c>
      <c r="D588" s="37" t="s">
        <v>160</v>
      </c>
      <c r="E588" s="37" t="s">
        <v>195</v>
      </c>
      <c r="F588" s="37" t="s">
        <v>197</v>
      </c>
      <c r="G588" s="38" t="s">
        <v>13</v>
      </c>
      <c r="H588" s="39"/>
      <c r="I588" s="40"/>
      <c r="J588" s="39"/>
      <c r="K588" s="40"/>
    </row>
    <row r="589" spans="1:11" ht="15" hidden="1" customHeight="1">
      <c r="A589" s="7"/>
      <c r="B589" s="36">
        <v>582</v>
      </c>
      <c r="C589" s="37" t="s">
        <v>19</v>
      </c>
      <c r="D589" s="37" t="s">
        <v>160</v>
      </c>
      <c r="E589" s="37" t="s">
        <v>195</v>
      </c>
      <c r="F589" s="37" t="s">
        <v>197</v>
      </c>
      <c r="G589" s="38" t="s">
        <v>14</v>
      </c>
      <c r="H589" s="39">
        <v>10047</v>
      </c>
      <c r="I589" s="40">
        <v>20.921668199999999</v>
      </c>
      <c r="J589" s="39">
        <v>11593</v>
      </c>
      <c r="K589" s="40">
        <v>56.827395799999998</v>
      </c>
    </row>
    <row r="590" spans="1:11" ht="15" customHeight="1">
      <c r="A590" s="7"/>
      <c r="B590" s="41">
        <v>583</v>
      </c>
      <c r="C590" s="42" t="s">
        <v>19</v>
      </c>
      <c r="D590" s="47" t="s">
        <v>160</v>
      </c>
      <c r="E590" s="47" t="s">
        <v>195</v>
      </c>
      <c r="F590" s="47" t="s">
        <v>198</v>
      </c>
      <c r="G590" s="48" t="s">
        <v>198</v>
      </c>
      <c r="H590" s="43">
        <v>10514</v>
      </c>
      <c r="I590" s="44">
        <v>22.370173099999999</v>
      </c>
      <c r="J590" s="43">
        <v>11973</v>
      </c>
      <c r="K590" s="44">
        <v>53.963083599999997</v>
      </c>
    </row>
    <row r="591" spans="1:11" ht="15" hidden="1" customHeight="1">
      <c r="A591" s="7"/>
      <c r="B591" s="36">
        <v>584</v>
      </c>
      <c r="C591" s="37" t="s">
        <v>19</v>
      </c>
      <c r="D591" s="37" t="s">
        <v>160</v>
      </c>
      <c r="E591" s="37" t="s">
        <v>195</v>
      </c>
      <c r="F591" s="37" t="s">
        <v>198</v>
      </c>
      <c r="G591" s="38" t="s">
        <v>13</v>
      </c>
      <c r="H591" s="39"/>
      <c r="I591" s="40"/>
      <c r="J591" s="39"/>
      <c r="K591" s="40"/>
    </row>
    <row r="592" spans="1:11" ht="15" hidden="1" customHeight="1">
      <c r="A592" s="7"/>
      <c r="B592" s="36">
        <v>585</v>
      </c>
      <c r="C592" s="37" t="s">
        <v>19</v>
      </c>
      <c r="D592" s="37" t="s">
        <v>160</v>
      </c>
      <c r="E592" s="37" t="s">
        <v>195</v>
      </c>
      <c r="F592" s="37" t="s">
        <v>198</v>
      </c>
      <c r="G592" s="38" t="s">
        <v>14</v>
      </c>
      <c r="H592" s="39">
        <v>10514</v>
      </c>
      <c r="I592" s="40">
        <v>22.370173099999999</v>
      </c>
      <c r="J592" s="39">
        <v>11973</v>
      </c>
      <c r="K592" s="40">
        <v>53.963083599999997</v>
      </c>
    </row>
    <row r="593" spans="1:11" ht="15" customHeight="1">
      <c r="A593" s="7"/>
      <c r="B593" s="41">
        <v>586</v>
      </c>
      <c r="C593" s="42" t="s">
        <v>19</v>
      </c>
      <c r="D593" s="47" t="s">
        <v>160</v>
      </c>
      <c r="E593" s="47" t="s">
        <v>195</v>
      </c>
      <c r="F593" s="47" t="s">
        <v>199</v>
      </c>
      <c r="G593" s="48" t="s">
        <v>199</v>
      </c>
      <c r="H593" s="43">
        <v>20344</v>
      </c>
      <c r="I593" s="44">
        <v>59.806331100000001</v>
      </c>
      <c r="J593" s="43">
        <v>25823</v>
      </c>
      <c r="K593" s="44">
        <v>76.164659400000005</v>
      </c>
    </row>
    <row r="594" spans="1:11" ht="15" hidden="1" customHeight="1">
      <c r="A594" s="7"/>
      <c r="B594" s="36">
        <v>587</v>
      </c>
      <c r="C594" s="37" t="s">
        <v>19</v>
      </c>
      <c r="D594" s="37" t="s">
        <v>160</v>
      </c>
      <c r="E594" s="37" t="s">
        <v>195</v>
      </c>
      <c r="F594" s="37" t="s">
        <v>199</v>
      </c>
      <c r="G594" s="38" t="s">
        <v>13</v>
      </c>
      <c r="H594" s="39">
        <v>5590</v>
      </c>
      <c r="I594" s="40">
        <v>94.490161000000001</v>
      </c>
      <c r="J594" s="39">
        <v>9648</v>
      </c>
      <c r="K594" s="40">
        <v>98.776948599999997</v>
      </c>
    </row>
    <row r="595" spans="1:11" ht="15" hidden="1" customHeight="1">
      <c r="A595" s="7"/>
      <c r="B595" s="36">
        <v>588</v>
      </c>
      <c r="C595" s="37" t="s">
        <v>19</v>
      </c>
      <c r="D595" s="37" t="s">
        <v>160</v>
      </c>
      <c r="E595" s="37" t="s">
        <v>195</v>
      </c>
      <c r="F595" s="37" t="s">
        <v>199</v>
      </c>
      <c r="G595" s="38" t="s">
        <v>14</v>
      </c>
      <c r="H595" s="39">
        <v>14754</v>
      </c>
      <c r="I595" s="40">
        <v>46.665311099999997</v>
      </c>
      <c r="J595" s="39">
        <v>16175</v>
      </c>
      <c r="K595" s="40">
        <v>62.676970599999997</v>
      </c>
    </row>
    <row r="596" spans="1:11" ht="15" customHeight="1">
      <c r="A596" s="7"/>
      <c r="B596" s="41">
        <v>589</v>
      </c>
      <c r="C596" s="42" t="s">
        <v>19</v>
      </c>
      <c r="D596" s="47" t="s">
        <v>160</v>
      </c>
      <c r="E596" s="47" t="s">
        <v>195</v>
      </c>
      <c r="F596" s="47" t="s">
        <v>200</v>
      </c>
      <c r="G596" s="48" t="s">
        <v>200</v>
      </c>
      <c r="H596" s="43">
        <v>44974</v>
      </c>
      <c r="I596" s="44">
        <v>54.796104399999997</v>
      </c>
      <c r="J596" s="43">
        <v>62262</v>
      </c>
      <c r="K596" s="44">
        <v>78.895634599999994</v>
      </c>
    </row>
    <row r="597" spans="1:11" ht="15" hidden="1" customHeight="1">
      <c r="A597" s="7"/>
      <c r="B597" s="36">
        <v>590</v>
      </c>
      <c r="C597" s="37" t="s">
        <v>19</v>
      </c>
      <c r="D597" s="37" t="s">
        <v>160</v>
      </c>
      <c r="E597" s="37" t="s">
        <v>195</v>
      </c>
      <c r="F597" s="37" t="s">
        <v>200</v>
      </c>
      <c r="G597" s="38" t="s">
        <v>13</v>
      </c>
      <c r="H597" s="39">
        <v>12186</v>
      </c>
      <c r="I597" s="40">
        <v>95.683571299999997</v>
      </c>
      <c r="J597" s="39">
        <v>21413</v>
      </c>
      <c r="K597" s="40">
        <v>98.449539999999999</v>
      </c>
    </row>
    <row r="598" spans="1:11" ht="15" hidden="1" customHeight="1">
      <c r="A598" s="7"/>
      <c r="B598" s="36">
        <v>591</v>
      </c>
      <c r="C598" s="37" t="s">
        <v>19</v>
      </c>
      <c r="D598" s="37" t="s">
        <v>160</v>
      </c>
      <c r="E598" s="37" t="s">
        <v>195</v>
      </c>
      <c r="F598" s="37" t="s">
        <v>200</v>
      </c>
      <c r="G598" s="38" t="s">
        <v>14</v>
      </c>
      <c r="H598" s="39">
        <v>32788</v>
      </c>
      <c r="I598" s="40">
        <v>39.599853600000003</v>
      </c>
      <c r="J598" s="39">
        <v>40849</v>
      </c>
      <c r="K598" s="40">
        <v>68.645499299999997</v>
      </c>
    </row>
    <row r="599" spans="1:11" ht="15" customHeight="1">
      <c r="A599" s="7"/>
      <c r="B599" s="41">
        <v>592</v>
      </c>
      <c r="C599" s="42" t="s">
        <v>19</v>
      </c>
      <c r="D599" s="47" t="s">
        <v>160</v>
      </c>
      <c r="E599" s="47" t="s">
        <v>195</v>
      </c>
      <c r="F599" s="47" t="s">
        <v>201</v>
      </c>
      <c r="G599" s="48" t="s">
        <v>201</v>
      </c>
      <c r="H599" s="43">
        <v>29114</v>
      </c>
      <c r="I599" s="44">
        <v>59.583018500000001</v>
      </c>
      <c r="J599" s="43">
        <v>43375</v>
      </c>
      <c r="K599" s="44">
        <v>78.974063400000006</v>
      </c>
    </row>
    <row r="600" spans="1:11" ht="15" hidden="1" customHeight="1">
      <c r="A600" s="7"/>
      <c r="B600" s="36">
        <v>593</v>
      </c>
      <c r="C600" s="37" t="s">
        <v>19</v>
      </c>
      <c r="D600" s="37" t="s">
        <v>160</v>
      </c>
      <c r="E600" s="37" t="s">
        <v>195</v>
      </c>
      <c r="F600" s="37" t="s">
        <v>201</v>
      </c>
      <c r="G600" s="38" t="s">
        <v>13</v>
      </c>
      <c r="H600" s="39">
        <v>12775</v>
      </c>
      <c r="I600" s="40">
        <v>92.665362000000002</v>
      </c>
      <c r="J600" s="39">
        <v>27016</v>
      </c>
      <c r="K600" s="40">
        <v>98.797009200000005</v>
      </c>
    </row>
    <row r="601" spans="1:11" ht="15" hidden="1" customHeight="1">
      <c r="A601" s="7"/>
      <c r="B601" s="36">
        <v>594</v>
      </c>
      <c r="C601" s="37" t="s">
        <v>19</v>
      </c>
      <c r="D601" s="37" t="s">
        <v>160</v>
      </c>
      <c r="E601" s="37" t="s">
        <v>195</v>
      </c>
      <c r="F601" s="37" t="s">
        <v>201</v>
      </c>
      <c r="G601" s="38" t="s">
        <v>14</v>
      </c>
      <c r="H601" s="39">
        <v>16339</v>
      </c>
      <c r="I601" s="40">
        <v>33.716873700000001</v>
      </c>
      <c r="J601" s="39">
        <v>16359</v>
      </c>
      <c r="K601" s="40">
        <v>46.237545099999998</v>
      </c>
    </row>
    <row r="602" spans="1:11" ht="15" hidden="1" customHeight="1">
      <c r="A602" s="7"/>
      <c r="B602" s="32">
        <v>595</v>
      </c>
      <c r="C602" s="33" t="s">
        <v>17</v>
      </c>
      <c r="D602" s="46" t="s">
        <v>160</v>
      </c>
      <c r="E602" s="46" t="s">
        <v>202</v>
      </c>
      <c r="F602" s="46"/>
      <c r="G602" s="33" t="s">
        <v>202</v>
      </c>
      <c r="H602" s="34">
        <v>35291</v>
      </c>
      <c r="I602" s="35">
        <v>24.530333500000001</v>
      </c>
      <c r="J602" s="34">
        <v>36055</v>
      </c>
      <c r="K602" s="35">
        <v>39.289973699999997</v>
      </c>
    </row>
    <row r="603" spans="1:11" ht="15" hidden="1" customHeight="1">
      <c r="A603" s="7"/>
      <c r="B603" s="36">
        <v>596</v>
      </c>
      <c r="C603" s="37" t="s">
        <v>17</v>
      </c>
      <c r="D603" s="37" t="s">
        <v>160</v>
      </c>
      <c r="E603" s="37" t="s">
        <v>202</v>
      </c>
      <c r="F603" s="37"/>
      <c r="G603" s="38" t="s">
        <v>13</v>
      </c>
      <c r="H603" s="39">
        <v>3237</v>
      </c>
      <c r="I603" s="40">
        <v>89.589125699999997</v>
      </c>
      <c r="J603" s="39">
        <v>5882</v>
      </c>
      <c r="K603" s="40">
        <v>94.270656200000005</v>
      </c>
    </row>
    <row r="604" spans="1:11" ht="15" hidden="1" customHeight="1">
      <c r="A604" s="7"/>
      <c r="B604" s="36">
        <v>597</v>
      </c>
      <c r="C604" s="37" t="s">
        <v>17</v>
      </c>
      <c r="D604" s="37" t="s">
        <v>160</v>
      </c>
      <c r="E604" s="37" t="s">
        <v>202</v>
      </c>
      <c r="F604" s="37"/>
      <c r="G604" s="38" t="s">
        <v>14</v>
      </c>
      <c r="H604" s="39">
        <v>32054</v>
      </c>
      <c r="I604" s="40">
        <v>17.960317</v>
      </c>
      <c r="J604" s="39">
        <v>30173</v>
      </c>
      <c r="K604" s="40">
        <v>28.571902000000001</v>
      </c>
    </row>
    <row r="605" spans="1:11" ht="15" customHeight="1">
      <c r="A605" s="7"/>
      <c r="B605" s="41">
        <v>598</v>
      </c>
      <c r="C605" s="42" t="s">
        <v>19</v>
      </c>
      <c r="D605" s="47" t="s">
        <v>160</v>
      </c>
      <c r="E605" s="47" t="s">
        <v>202</v>
      </c>
      <c r="F605" s="47" t="s">
        <v>202</v>
      </c>
      <c r="G605" s="48" t="s">
        <v>202</v>
      </c>
      <c r="H605" s="43">
        <v>19466</v>
      </c>
      <c r="I605" s="44">
        <v>39.756498499999999</v>
      </c>
      <c r="J605" s="43">
        <v>19421</v>
      </c>
      <c r="K605" s="44">
        <v>61.407754500000003</v>
      </c>
    </row>
    <row r="606" spans="1:11" ht="15" hidden="1" customHeight="1">
      <c r="A606" s="7"/>
      <c r="B606" s="36">
        <v>599</v>
      </c>
      <c r="C606" s="37" t="s">
        <v>19</v>
      </c>
      <c r="D606" s="37" t="s">
        <v>160</v>
      </c>
      <c r="E606" s="37" t="s">
        <v>202</v>
      </c>
      <c r="F606" s="37" t="s">
        <v>202</v>
      </c>
      <c r="G606" s="38" t="s">
        <v>13</v>
      </c>
      <c r="H606" s="39">
        <v>3237</v>
      </c>
      <c r="I606" s="40">
        <v>89.589125699999997</v>
      </c>
      <c r="J606" s="39">
        <v>5882</v>
      </c>
      <c r="K606" s="40">
        <v>94.270656200000005</v>
      </c>
    </row>
    <row r="607" spans="1:11" ht="15" hidden="1" customHeight="1">
      <c r="A607" s="7"/>
      <c r="B607" s="36">
        <v>600</v>
      </c>
      <c r="C607" s="37" t="s">
        <v>19</v>
      </c>
      <c r="D607" s="37" t="s">
        <v>160</v>
      </c>
      <c r="E607" s="37" t="s">
        <v>202</v>
      </c>
      <c r="F607" s="37" t="s">
        <v>202</v>
      </c>
      <c r="G607" s="38" t="s">
        <v>14</v>
      </c>
      <c r="H607" s="39">
        <v>16229</v>
      </c>
      <c r="I607" s="40">
        <v>29.816994300000001</v>
      </c>
      <c r="J607" s="39">
        <v>13539</v>
      </c>
      <c r="K607" s="40">
        <v>47.130511900000002</v>
      </c>
    </row>
    <row r="608" spans="1:11" ht="15" customHeight="1">
      <c r="A608" s="7"/>
      <c r="B608" s="41">
        <v>601</v>
      </c>
      <c r="C608" s="42" t="s">
        <v>19</v>
      </c>
      <c r="D608" s="47" t="s">
        <v>160</v>
      </c>
      <c r="E608" s="47" t="s">
        <v>202</v>
      </c>
      <c r="F608" s="47" t="s">
        <v>203</v>
      </c>
      <c r="G608" s="48" t="s">
        <v>203</v>
      </c>
      <c r="H608" s="43">
        <v>5399</v>
      </c>
      <c r="I608" s="44">
        <v>7.9644379000000001</v>
      </c>
      <c r="J608" s="43">
        <v>5169</v>
      </c>
      <c r="K608" s="44">
        <v>16.734378</v>
      </c>
    </row>
    <row r="609" spans="1:11" ht="15" hidden="1" customHeight="1">
      <c r="A609" s="7"/>
      <c r="B609" s="36">
        <v>602</v>
      </c>
      <c r="C609" s="37" t="s">
        <v>19</v>
      </c>
      <c r="D609" s="37" t="s">
        <v>160</v>
      </c>
      <c r="E609" s="37" t="s">
        <v>202</v>
      </c>
      <c r="F609" s="37" t="s">
        <v>203</v>
      </c>
      <c r="G609" s="38" t="s">
        <v>13</v>
      </c>
      <c r="H609" s="39"/>
      <c r="I609" s="40"/>
      <c r="J609" s="39"/>
      <c r="K609" s="40"/>
    </row>
    <row r="610" spans="1:11" ht="15" hidden="1" customHeight="1">
      <c r="A610" s="7"/>
      <c r="B610" s="36">
        <v>603</v>
      </c>
      <c r="C610" s="37" t="s">
        <v>19</v>
      </c>
      <c r="D610" s="37" t="s">
        <v>160</v>
      </c>
      <c r="E610" s="37" t="s">
        <v>202</v>
      </c>
      <c r="F610" s="37" t="s">
        <v>203</v>
      </c>
      <c r="G610" s="38" t="s">
        <v>14</v>
      </c>
      <c r="H610" s="39">
        <v>5399</v>
      </c>
      <c r="I610" s="40">
        <v>7.9644379000000001</v>
      </c>
      <c r="J610" s="39">
        <v>5169</v>
      </c>
      <c r="K610" s="40">
        <v>16.734378</v>
      </c>
    </row>
    <row r="611" spans="1:11" ht="15" customHeight="1">
      <c r="A611" s="7"/>
      <c r="B611" s="41">
        <v>604</v>
      </c>
      <c r="C611" s="42" t="s">
        <v>19</v>
      </c>
      <c r="D611" s="47" t="s">
        <v>160</v>
      </c>
      <c r="E611" s="47" t="s">
        <v>202</v>
      </c>
      <c r="F611" s="47" t="s">
        <v>204</v>
      </c>
      <c r="G611" s="48" t="s">
        <v>204</v>
      </c>
      <c r="H611" s="43">
        <v>3415</v>
      </c>
      <c r="I611" s="44">
        <v>4.1288432999999998</v>
      </c>
      <c r="J611" s="43">
        <v>3473</v>
      </c>
      <c r="K611" s="44">
        <v>14.1376332</v>
      </c>
    </row>
    <row r="612" spans="1:11" ht="15" hidden="1" customHeight="1">
      <c r="A612" s="7"/>
      <c r="B612" s="36">
        <v>605</v>
      </c>
      <c r="C612" s="37" t="s">
        <v>19</v>
      </c>
      <c r="D612" s="37" t="s">
        <v>160</v>
      </c>
      <c r="E612" s="37" t="s">
        <v>202</v>
      </c>
      <c r="F612" s="37" t="s">
        <v>204</v>
      </c>
      <c r="G612" s="38" t="s">
        <v>13</v>
      </c>
      <c r="H612" s="39"/>
      <c r="I612" s="40"/>
      <c r="J612" s="39"/>
      <c r="K612" s="40"/>
    </row>
    <row r="613" spans="1:11" ht="15" hidden="1" customHeight="1">
      <c r="A613" s="7"/>
      <c r="B613" s="36">
        <v>606</v>
      </c>
      <c r="C613" s="37" t="s">
        <v>19</v>
      </c>
      <c r="D613" s="37" t="s">
        <v>160</v>
      </c>
      <c r="E613" s="37" t="s">
        <v>202</v>
      </c>
      <c r="F613" s="37" t="s">
        <v>204</v>
      </c>
      <c r="G613" s="38" t="s">
        <v>14</v>
      </c>
      <c r="H613" s="39">
        <v>3415</v>
      </c>
      <c r="I613" s="40">
        <v>4.1288432999999998</v>
      </c>
      <c r="J613" s="39">
        <v>3473</v>
      </c>
      <c r="K613" s="40">
        <v>14.1376332</v>
      </c>
    </row>
    <row r="614" spans="1:11" ht="15" customHeight="1">
      <c r="A614" s="7"/>
      <c r="B614" s="41">
        <v>607</v>
      </c>
      <c r="C614" s="42" t="s">
        <v>19</v>
      </c>
      <c r="D614" s="47" t="s">
        <v>160</v>
      </c>
      <c r="E614" s="47" t="s">
        <v>202</v>
      </c>
      <c r="F614" s="47" t="s">
        <v>205</v>
      </c>
      <c r="G614" s="48" t="s">
        <v>205</v>
      </c>
      <c r="H614" s="43">
        <v>7011</v>
      </c>
      <c r="I614" s="44">
        <v>4.9493653000000002</v>
      </c>
      <c r="J614" s="43">
        <v>7992</v>
      </c>
      <c r="K614" s="44">
        <v>11.0610611</v>
      </c>
    </row>
    <row r="615" spans="1:11" ht="15" hidden="1" customHeight="1">
      <c r="A615" s="7"/>
      <c r="B615" s="36">
        <v>608</v>
      </c>
      <c r="C615" s="37" t="s">
        <v>19</v>
      </c>
      <c r="D615" s="37" t="s">
        <v>160</v>
      </c>
      <c r="E615" s="37" t="s">
        <v>202</v>
      </c>
      <c r="F615" s="37" t="s">
        <v>205</v>
      </c>
      <c r="G615" s="38" t="s">
        <v>13</v>
      </c>
      <c r="H615" s="39"/>
      <c r="I615" s="40"/>
      <c r="J615" s="39"/>
      <c r="K615" s="40"/>
    </row>
    <row r="616" spans="1:11" ht="15" hidden="1" customHeight="1">
      <c r="A616" s="7"/>
      <c r="B616" s="36">
        <v>609</v>
      </c>
      <c r="C616" s="37" t="s">
        <v>19</v>
      </c>
      <c r="D616" s="37" t="s">
        <v>160</v>
      </c>
      <c r="E616" s="37" t="s">
        <v>202</v>
      </c>
      <c r="F616" s="37" t="s">
        <v>205</v>
      </c>
      <c r="G616" s="38" t="s">
        <v>14</v>
      </c>
      <c r="H616" s="39">
        <v>7011</v>
      </c>
      <c r="I616" s="40">
        <v>4.9493653000000002</v>
      </c>
      <c r="J616" s="39">
        <v>7992</v>
      </c>
      <c r="K616" s="40">
        <v>11.0610611</v>
      </c>
    </row>
    <row r="617" spans="1:11" ht="15" hidden="1" customHeight="1">
      <c r="A617" s="7"/>
      <c r="B617" s="32">
        <v>610</v>
      </c>
      <c r="C617" s="33" t="s">
        <v>17</v>
      </c>
      <c r="D617" s="46" t="s">
        <v>160</v>
      </c>
      <c r="E617" s="46" t="s">
        <v>206</v>
      </c>
      <c r="F617" s="46"/>
      <c r="G617" s="33" t="s">
        <v>206</v>
      </c>
      <c r="H617" s="34">
        <v>53975</v>
      </c>
      <c r="I617" s="35">
        <v>80.785548899999995</v>
      </c>
      <c r="J617" s="34">
        <v>60934</v>
      </c>
      <c r="K617" s="35">
        <v>91.275806599999996</v>
      </c>
    </row>
    <row r="618" spans="1:11" ht="15" hidden="1" customHeight="1">
      <c r="A618" s="7"/>
      <c r="B618" s="36">
        <v>611</v>
      </c>
      <c r="C618" s="37" t="s">
        <v>17</v>
      </c>
      <c r="D618" s="37" t="s">
        <v>160</v>
      </c>
      <c r="E618" s="37" t="s">
        <v>206</v>
      </c>
      <c r="F618" s="37"/>
      <c r="G618" s="38" t="s">
        <v>13</v>
      </c>
      <c r="H618" s="39">
        <v>27757</v>
      </c>
      <c r="I618" s="40">
        <v>94.307742200000007</v>
      </c>
      <c r="J618" s="39">
        <v>36764</v>
      </c>
      <c r="K618" s="40">
        <v>97.755956900000001</v>
      </c>
    </row>
    <row r="619" spans="1:11" ht="15" hidden="1" customHeight="1">
      <c r="A619" s="7"/>
      <c r="B619" s="36">
        <v>612</v>
      </c>
      <c r="C619" s="37" t="s">
        <v>17</v>
      </c>
      <c r="D619" s="37" t="s">
        <v>160</v>
      </c>
      <c r="E619" s="37" t="s">
        <v>206</v>
      </c>
      <c r="F619" s="37"/>
      <c r="G619" s="38" t="s">
        <v>14</v>
      </c>
      <c r="H619" s="39">
        <v>26218</v>
      </c>
      <c r="I619" s="40">
        <v>66.469600999999997</v>
      </c>
      <c r="J619" s="39">
        <v>24170</v>
      </c>
      <c r="K619" s="40">
        <v>81.4191146</v>
      </c>
    </row>
    <row r="620" spans="1:11" ht="15" customHeight="1">
      <c r="A620" s="7"/>
      <c r="B620" s="41">
        <v>613</v>
      </c>
      <c r="C620" s="42" t="s">
        <v>19</v>
      </c>
      <c r="D620" s="47" t="s">
        <v>160</v>
      </c>
      <c r="E620" s="47" t="s">
        <v>206</v>
      </c>
      <c r="F620" s="47" t="s">
        <v>206</v>
      </c>
      <c r="G620" s="48" t="s">
        <v>206</v>
      </c>
      <c r="H620" s="43">
        <v>28564</v>
      </c>
      <c r="I620" s="44">
        <v>91.485786300000001</v>
      </c>
      <c r="J620" s="43">
        <v>34432</v>
      </c>
      <c r="K620" s="44">
        <v>97.243842900000004</v>
      </c>
    </row>
    <row r="621" spans="1:11" ht="15" hidden="1" customHeight="1">
      <c r="A621" s="7"/>
      <c r="B621" s="36">
        <v>614</v>
      </c>
      <c r="C621" s="37" t="s">
        <v>19</v>
      </c>
      <c r="D621" s="37" t="s">
        <v>160</v>
      </c>
      <c r="E621" s="37" t="s">
        <v>206</v>
      </c>
      <c r="F621" s="37" t="s">
        <v>206</v>
      </c>
      <c r="G621" s="38" t="s">
        <v>13</v>
      </c>
      <c r="H621" s="39">
        <v>19352</v>
      </c>
      <c r="I621" s="40">
        <v>96.708350600000003</v>
      </c>
      <c r="J621" s="39">
        <v>25990</v>
      </c>
      <c r="K621" s="40">
        <v>98.314736400000001</v>
      </c>
    </row>
    <row r="622" spans="1:11" ht="15" hidden="1" customHeight="1">
      <c r="A622" s="7"/>
      <c r="B622" s="36">
        <v>615</v>
      </c>
      <c r="C622" s="37" t="s">
        <v>19</v>
      </c>
      <c r="D622" s="37" t="s">
        <v>160</v>
      </c>
      <c r="E622" s="37" t="s">
        <v>206</v>
      </c>
      <c r="F622" s="37" t="s">
        <v>206</v>
      </c>
      <c r="G622" s="38" t="s">
        <v>14</v>
      </c>
      <c r="H622" s="39">
        <v>9212</v>
      </c>
      <c r="I622" s="40">
        <v>80.514546199999998</v>
      </c>
      <c r="J622" s="39">
        <v>8442</v>
      </c>
      <c r="K622" s="40">
        <v>93.946932000000004</v>
      </c>
    </row>
    <row r="623" spans="1:11" ht="15" customHeight="1">
      <c r="A623" s="7"/>
      <c r="B623" s="41">
        <v>616</v>
      </c>
      <c r="C623" s="42" t="s">
        <v>19</v>
      </c>
      <c r="D623" s="47" t="s">
        <v>160</v>
      </c>
      <c r="E623" s="47" t="s">
        <v>206</v>
      </c>
      <c r="F623" s="47" t="s">
        <v>207</v>
      </c>
      <c r="G623" s="48" t="s">
        <v>207</v>
      </c>
      <c r="H623" s="43">
        <v>8060</v>
      </c>
      <c r="I623" s="44">
        <v>70.5831266</v>
      </c>
      <c r="J623" s="43">
        <v>8454</v>
      </c>
      <c r="K623" s="44">
        <v>84.882895700000006</v>
      </c>
    </row>
    <row r="624" spans="1:11" ht="15" hidden="1" customHeight="1">
      <c r="A624" s="7"/>
      <c r="B624" s="36">
        <v>617</v>
      </c>
      <c r="C624" s="37" t="s">
        <v>19</v>
      </c>
      <c r="D624" s="37" t="s">
        <v>160</v>
      </c>
      <c r="E624" s="37" t="s">
        <v>206</v>
      </c>
      <c r="F624" s="37" t="s">
        <v>207</v>
      </c>
      <c r="G624" s="38" t="s">
        <v>13</v>
      </c>
      <c r="H624" s="39"/>
      <c r="I624" s="40"/>
      <c r="J624" s="39">
        <v>2609</v>
      </c>
      <c r="K624" s="40">
        <v>94.480643900000004</v>
      </c>
    </row>
    <row r="625" spans="1:11" ht="15" hidden="1" customHeight="1">
      <c r="A625" s="7"/>
      <c r="B625" s="36">
        <v>618</v>
      </c>
      <c r="C625" s="37" t="s">
        <v>19</v>
      </c>
      <c r="D625" s="37" t="s">
        <v>160</v>
      </c>
      <c r="E625" s="37" t="s">
        <v>206</v>
      </c>
      <c r="F625" s="37" t="s">
        <v>207</v>
      </c>
      <c r="G625" s="38" t="s">
        <v>14</v>
      </c>
      <c r="H625" s="39">
        <v>8060</v>
      </c>
      <c r="I625" s="40">
        <v>70.5831266</v>
      </c>
      <c r="J625" s="39">
        <v>5845</v>
      </c>
      <c r="K625" s="40">
        <v>80.598802399999997</v>
      </c>
    </row>
    <row r="626" spans="1:11" ht="15" customHeight="1">
      <c r="A626" s="7"/>
      <c r="B626" s="41">
        <v>619</v>
      </c>
      <c r="C626" s="42" t="s">
        <v>19</v>
      </c>
      <c r="D626" s="47" t="s">
        <v>160</v>
      </c>
      <c r="E626" s="47" t="s">
        <v>206</v>
      </c>
      <c r="F626" s="47" t="s">
        <v>208</v>
      </c>
      <c r="G626" s="48" t="s">
        <v>208</v>
      </c>
      <c r="H626" s="43">
        <v>13318</v>
      </c>
      <c r="I626" s="44">
        <v>80.943084499999998</v>
      </c>
      <c r="J626" s="43">
        <v>12985</v>
      </c>
      <c r="K626" s="44">
        <v>92.891798199999997</v>
      </c>
    </row>
    <row r="627" spans="1:11" ht="15" hidden="1" customHeight="1">
      <c r="A627" s="7"/>
      <c r="B627" s="36">
        <v>620</v>
      </c>
      <c r="C627" s="37" t="s">
        <v>19</v>
      </c>
      <c r="D627" s="37" t="s">
        <v>160</v>
      </c>
      <c r="E627" s="37" t="s">
        <v>206</v>
      </c>
      <c r="F627" s="37" t="s">
        <v>208</v>
      </c>
      <c r="G627" s="38" t="s">
        <v>13</v>
      </c>
      <c r="H627" s="39">
        <v>8405</v>
      </c>
      <c r="I627" s="40">
        <v>88.780487800000003</v>
      </c>
      <c r="J627" s="39">
        <v>8165</v>
      </c>
      <c r="K627" s="40">
        <v>97.023882400000005</v>
      </c>
    </row>
    <row r="628" spans="1:11" ht="15" hidden="1" customHeight="1">
      <c r="A628" s="7"/>
      <c r="B628" s="36">
        <v>621</v>
      </c>
      <c r="C628" s="37" t="s">
        <v>19</v>
      </c>
      <c r="D628" s="37" t="s">
        <v>160</v>
      </c>
      <c r="E628" s="37" t="s">
        <v>206</v>
      </c>
      <c r="F628" s="37" t="s">
        <v>208</v>
      </c>
      <c r="G628" s="38" t="s">
        <v>14</v>
      </c>
      <c r="H628" s="39">
        <v>4913</v>
      </c>
      <c r="I628" s="40">
        <v>67.535110900000006</v>
      </c>
      <c r="J628" s="39">
        <v>4820</v>
      </c>
      <c r="K628" s="40">
        <v>85.892116200000004</v>
      </c>
    </row>
    <row r="629" spans="1:11" ht="15" customHeight="1">
      <c r="A629" s="7"/>
      <c r="B629" s="41">
        <v>622</v>
      </c>
      <c r="C629" s="42" t="s">
        <v>19</v>
      </c>
      <c r="D629" s="47" t="s">
        <v>160</v>
      </c>
      <c r="E629" s="47" t="s">
        <v>206</v>
      </c>
      <c r="F629" s="47" t="s">
        <v>209</v>
      </c>
      <c r="G629" s="48" t="s">
        <v>209</v>
      </c>
      <c r="H629" s="43">
        <v>1296</v>
      </c>
      <c r="I629" s="44">
        <v>34.645061699999999</v>
      </c>
      <c r="J629" s="43">
        <v>1260</v>
      </c>
      <c r="K629" s="44">
        <v>70.396825399999997</v>
      </c>
    </row>
    <row r="630" spans="1:11" ht="15" hidden="1" customHeight="1">
      <c r="A630" s="7"/>
      <c r="B630" s="36">
        <v>623</v>
      </c>
      <c r="C630" s="37" t="s">
        <v>19</v>
      </c>
      <c r="D630" s="37" t="s">
        <v>160</v>
      </c>
      <c r="E630" s="37" t="s">
        <v>206</v>
      </c>
      <c r="F630" s="37" t="s">
        <v>209</v>
      </c>
      <c r="G630" s="38" t="s">
        <v>13</v>
      </c>
      <c r="H630" s="39"/>
      <c r="I630" s="40"/>
      <c r="J630" s="39"/>
      <c r="K630" s="40"/>
    </row>
    <row r="631" spans="1:11" ht="15" hidden="1" customHeight="1">
      <c r="A631" s="7"/>
      <c r="B631" s="36">
        <v>624</v>
      </c>
      <c r="C631" s="37" t="s">
        <v>19</v>
      </c>
      <c r="D631" s="37" t="s">
        <v>160</v>
      </c>
      <c r="E631" s="37" t="s">
        <v>206</v>
      </c>
      <c r="F631" s="37" t="s">
        <v>209</v>
      </c>
      <c r="G631" s="38" t="s">
        <v>14</v>
      </c>
      <c r="H631" s="39">
        <v>1296</v>
      </c>
      <c r="I631" s="40">
        <v>34.645061699999999</v>
      </c>
      <c r="J631" s="39">
        <v>1260</v>
      </c>
      <c r="K631" s="40">
        <v>70.396825399999997</v>
      </c>
    </row>
    <row r="632" spans="1:11" ht="15" customHeight="1">
      <c r="A632" s="7"/>
      <c r="B632" s="41">
        <v>625</v>
      </c>
      <c r="C632" s="42" t="s">
        <v>19</v>
      </c>
      <c r="D632" s="47" t="s">
        <v>160</v>
      </c>
      <c r="E632" s="47" t="s">
        <v>206</v>
      </c>
      <c r="F632" s="47" t="s">
        <v>210</v>
      </c>
      <c r="G632" s="48" t="s">
        <v>210</v>
      </c>
      <c r="H632" s="43">
        <v>2737</v>
      </c>
      <c r="I632" s="44">
        <v>20.2411399</v>
      </c>
      <c r="J632" s="43">
        <v>3803</v>
      </c>
      <c r="K632" s="44">
        <v>52.8530108</v>
      </c>
    </row>
    <row r="633" spans="1:11" ht="15" hidden="1" customHeight="1">
      <c r="A633" s="7"/>
      <c r="B633" s="36">
        <v>626</v>
      </c>
      <c r="C633" s="37" t="s">
        <v>19</v>
      </c>
      <c r="D633" s="37" t="s">
        <v>160</v>
      </c>
      <c r="E633" s="37" t="s">
        <v>206</v>
      </c>
      <c r="F633" s="37" t="s">
        <v>210</v>
      </c>
      <c r="G633" s="38" t="s">
        <v>13</v>
      </c>
      <c r="H633" s="39"/>
      <c r="I633" s="40"/>
      <c r="J633" s="39"/>
      <c r="K633" s="40"/>
    </row>
    <row r="634" spans="1:11" ht="15" hidden="1" customHeight="1">
      <c r="A634" s="7"/>
      <c r="B634" s="36">
        <v>627</v>
      </c>
      <c r="C634" s="37" t="s">
        <v>19</v>
      </c>
      <c r="D634" s="37" t="s">
        <v>160</v>
      </c>
      <c r="E634" s="37" t="s">
        <v>206</v>
      </c>
      <c r="F634" s="37" t="s">
        <v>210</v>
      </c>
      <c r="G634" s="38" t="s">
        <v>14</v>
      </c>
      <c r="H634" s="39">
        <v>2737</v>
      </c>
      <c r="I634" s="40">
        <v>20.2411399</v>
      </c>
      <c r="J634" s="39">
        <v>3803</v>
      </c>
      <c r="K634" s="40">
        <v>52.8530108</v>
      </c>
    </row>
    <row r="635" spans="1:11" ht="15" hidden="1" customHeight="1">
      <c r="A635" s="7"/>
      <c r="B635" s="32">
        <v>628</v>
      </c>
      <c r="C635" s="33" t="s">
        <v>17</v>
      </c>
      <c r="D635" s="46" t="s">
        <v>160</v>
      </c>
      <c r="E635" s="46" t="s">
        <v>211</v>
      </c>
      <c r="F635" s="46"/>
      <c r="G635" s="33" t="s">
        <v>211</v>
      </c>
      <c r="H635" s="34">
        <v>7153</v>
      </c>
      <c r="I635" s="35">
        <v>14.2317909</v>
      </c>
      <c r="J635" s="34">
        <v>8248</v>
      </c>
      <c r="K635" s="35">
        <v>20.6231814</v>
      </c>
    </row>
    <row r="636" spans="1:11" ht="15" hidden="1" customHeight="1">
      <c r="A636" s="7"/>
      <c r="B636" s="36">
        <v>629</v>
      </c>
      <c r="C636" s="37" t="s">
        <v>17</v>
      </c>
      <c r="D636" s="37" t="s">
        <v>160</v>
      </c>
      <c r="E636" s="37" t="s">
        <v>211</v>
      </c>
      <c r="F636" s="37"/>
      <c r="G636" s="38" t="s">
        <v>13</v>
      </c>
      <c r="H636" s="39"/>
      <c r="I636" s="40"/>
      <c r="J636" s="39"/>
      <c r="K636" s="40"/>
    </row>
    <row r="637" spans="1:11" ht="15" hidden="1" customHeight="1">
      <c r="A637" s="7"/>
      <c r="B637" s="36">
        <v>630</v>
      </c>
      <c r="C637" s="37" t="s">
        <v>17</v>
      </c>
      <c r="D637" s="37" t="s">
        <v>160</v>
      </c>
      <c r="E637" s="37" t="s">
        <v>211</v>
      </c>
      <c r="F637" s="37"/>
      <c r="G637" s="38" t="s">
        <v>14</v>
      </c>
      <c r="H637" s="39">
        <v>7153</v>
      </c>
      <c r="I637" s="40">
        <v>14.2317909</v>
      </c>
      <c r="J637" s="39">
        <v>8248</v>
      </c>
      <c r="K637" s="40">
        <v>20.6231814</v>
      </c>
    </row>
    <row r="638" spans="1:11" ht="15" customHeight="1">
      <c r="A638" s="7"/>
      <c r="B638" s="41">
        <v>631</v>
      </c>
      <c r="C638" s="42" t="s">
        <v>19</v>
      </c>
      <c r="D638" s="47" t="s">
        <v>160</v>
      </c>
      <c r="E638" s="47" t="s">
        <v>211</v>
      </c>
      <c r="F638" s="47" t="s">
        <v>211</v>
      </c>
      <c r="G638" s="48" t="s">
        <v>211</v>
      </c>
      <c r="H638" s="43">
        <v>7153</v>
      </c>
      <c r="I638" s="44">
        <v>14.2317909</v>
      </c>
      <c r="J638" s="43">
        <v>8248</v>
      </c>
      <c r="K638" s="44">
        <v>20.6231814</v>
      </c>
    </row>
    <row r="639" spans="1:11" ht="15" hidden="1" customHeight="1">
      <c r="A639" s="7"/>
      <c r="B639" s="36">
        <v>632</v>
      </c>
      <c r="C639" s="37" t="s">
        <v>19</v>
      </c>
      <c r="D639" s="37" t="s">
        <v>160</v>
      </c>
      <c r="E639" s="37" t="s">
        <v>211</v>
      </c>
      <c r="F639" s="37" t="s">
        <v>211</v>
      </c>
      <c r="G639" s="38" t="s">
        <v>13</v>
      </c>
      <c r="H639" s="39"/>
      <c r="I639" s="40"/>
      <c r="J639" s="39"/>
      <c r="K639" s="40"/>
    </row>
    <row r="640" spans="1:11" ht="15" hidden="1" customHeight="1">
      <c r="A640" s="7"/>
      <c r="B640" s="36">
        <v>633</v>
      </c>
      <c r="C640" s="37" t="s">
        <v>19</v>
      </c>
      <c r="D640" s="37" t="s">
        <v>160</v>
      </c>
      <c r="E640" s="37" t="s">
        <v>211</v>
      </c>
      <c r="F640" s="37" t="s">
        <v>211</v>
      </c>
      <c r="G640" s="38" t="s">
        <v>14</v>
      </c>
      <c r="H640" s="39">
        <v>7153</v>
      </c>
      <c r="I640" s="40">
        <v>14.2317909</v>
      </c>
      <c r="J640" s="39">
        <v>8248</v>
      </c>
      <c r="K640" s="40">
        <v>20.6231814</v>
      </c>
    </row>
    <row r="641" spans="1:11" ht="15" hidden="1" customHeight="1">
      <c r="A641" s="7"/>
      <c r="B641" s="32">
        <v>634</v>
      </c>
      <c r="C641" s="33" t="s">
        <v>17</v>
      </c>
      <c r="D641" s="46" t="s">
        <v>160</v>
      </c>
      <c r="E641" s="46" t="s">
        <v>212</v>
      </c>
      <c r="F641" s="46"/>
      <c r="G641" s="33" t="s">
        <v>212</v>
      </c>
      <c r="H641" s="34">
        <v>41138</v>
      </c>
      <c r="I641" s="35">
        <v>44.265642499999998</v>
      </c>
      <c r="J641" s="34">
        <v>44388</v>
      </c>
      <c r="K641" s="35">
        <v>71.789672899999999</v>
      </c>
    </row>
    <row r="642" spans="1:11" ht="15" hidden="1" customHeight="1">
      <c r="A642" s="7"/>
      <c r="B642" s="36">
        <v>635</v>
      </c>
      <c r="C642" s="37" t="s">
        <v>17</v>
      </c>
      <c r="D642" s="37" t="s">
        <v>160</v>
      </c>
      <c r="E642" s="37" t="s">
        <v>212</v>
      </c>
      <c r="F642" s="37"/>
      <c r="G642" s="38" t="s">
        <v>13</v>
      </c>
      <c r="H642" s="39">
        <v>7763</v>
      </c>
      <c r="I642" s="40">
        <v>91.626948299999995</v>
      </c>
      <c r="J642" s="39">
        <v>10769</v>
      </c>
      <c r="K642" s="40">
        <v>98.774259400000005</v>
      </c>
    </row>
    <row r="643" spans="1:11" ht="15" hidden="1" customHeight="1">
      <c r="A643" s="7"/>
      <c r="B643" s="36">
        <v>636</v>
      </c>
      <c r="C643" s="37" t="s">
        <v>17</v>
      </c>
      <c r="D643" s="37" t="s">
        <v>160</v>
      </c>
      <c r="E643" s="37" t="s">
        <v>212</v>
      </c>
      <c r="F643" s="37"/>
      <c r="G643" s="38" t="s">
        <v>14</v>
      </c>
      <c r="H643" s="39">
        <v>33375</v>
      </c>
      <c r="I643" s="40">
        <v>33.2494382</v>
      </c>
      <c r="J643" s="39">
        <v>33619</v>
      </c>
      <c r="K643" s="40">
        <v>63.145840100000001</v>
      </c>
    </row>
    <row r="644" spans="1:11" ht="15" customHeight="1">
      <c r="A644" s="7"/>
      <c r="B644" s="41">
        <v>637</v>
      </c>
      <c r="C644" s="42" t="s">
        <v>19</v>
      </c>
      <c r="D644" s="47" t="s">
        <v>160</v>
      </c>
      <c r="E644" s="47" t="s">
        <v>212</v>
      </c>
      <c r="F644" s="47" t="s">
        <v>212</v>
      </c>
      <c r="G644" s="48" t="s">
        <v>212</v>
      </c>
      <c r="H644" s="43">
        <v>21025</v>
      </c>
      <c r="I644" s="44">
        <v>30.544589800000001</v>
      </c>
      <c r="J644" s="43">
        <v>18306</v>
      </c>
      <c r="K644" s="44">
        <v>59.832841700000003</v>
      </c>
    </row>
    <row r="645" spans="1:11" ht="15" hidden="1" customHeight="1">
      <c r="A645" s="7"/>
      <c r="B645" s="36">
        <v>638</v>
      </c>
      <c r="C645" s="37" t="s">
        <v>19</v>
      </c>
      <c r="D645" s="37" t="s">
        <v>160</v>
      </c>
      <c r="E645" s="37" t="s">
        <v>212</v>
      </c>
      <c r="F645" s="37" t="s">
        <v>212</v>
      </c>
      <c r="G645" s="38" t="s">
        <v>13</v>
      </c>
      <c r="H645" s="39">
        <v>2260</v>
      </c>
      <c r="I645" s="40">
        <v>75.752212400000005</v>
      </c>
      <c r="J645" s="39">
        <v>2535</v>
      </c>
      <c r="K645" s="40">
        <v>97.830374800000001</v>
      </c>
    </row>
    <row r="646" spans="1:11" ht="15" hidden="1" customHeight="1">
      <c r="A646" s="7"/>
      <c r="B646" s="36">
        <v>639</v>
      </c>
      <c r="C646" s="37" t="s">
        <v>19</v>
      </c>
      <c r="D646" s="37" t="s">
        <v>160</v>
      </c>
      <c r="E646" s="37" t="s">
        <v>212</v>
      </c>
      <c r="F646" s="37" t="s">
        <v>212</v>
      </c>
      <c r="G646" s="38" t="s">
        <v>14</v>
      </c>
      <c r="H646" s="39">
        <v>18765</v>
      </c>
      <c r="I646" s="40">
        <v>25.099920099999999</v>
      </c>
      <c r="J646" s="39">
        <v>15771</v>
      </c>
      <c r="K646" s="40">
        <v>53.725191799999997</v>
      </c>
    </row>
    <row r="647" spans="1:11" ht="15" customHeight="1">
      <c r="A647" s="7"/>
      <c r="B647" s="41">
        <v>640</v>
      </c>
      <c r="C647" s="42" t="s">
        <v>19</v>
      </c>
      <c r="D647" s="47" t="s">
        <v>160</v>
      </c>
      <c r="E647" s="47" t="s">
        <v>212</v>
      </c>
      <c r="F647" s="47" t="s">
        <v>213</v>
      </c>
      <c r="G647" s="48" t="s">
        <v>213</v>
      </c>
      <c r="H647" s="43">
        <v>20113</v>
      </c>
      <c r="I647" s="44">
        <v>58.608859899999999</v>
      </c>
      <c r="J647" s="43">
        <v>26082</v>
      </c>
      <c r="K647" s="44">
        <v>80.181734500000005</v>
      </c>
    </row>
    <row r="648" spans="1:11" ht="15" hidden="1" customHeight="1">
      <c r="A648" s="7"/>
      <c r="B648" s="36">
        <v>641</v>
      </c>
      <c r="C648" s="37" t="s">
        <v>19</v>
      </c>
      <c r="D648" s="37" t="s">
        <v>160</v>
      </c>
      <c r="E648" s="37" t="s">
        <v>212</v>
      </c>
      <c r="F648" s="37" t="s">
        <v>213</v>
      </c>
      <c r="G648" s="38" t="s">
        <v>13</v>
      </c>
      <c r="H648" s="39">
        <v>5503</v>
      </c>
      <c r="I648" s="40">
        <v>98.146465599999999</v>
      </c>
      <c r="J648" s="39">
        <v>8234</v>
      </c>
      <c r="K648" s="40">
        <v>99.064852999999999</v>
      </c>
    </row>
    <row r="649" spans="1:11" ht="15" hidden="1" customHeight="1">
      <c r="A649" s="7"/>
      <c r="B649" s="36">
        <v>642</v>
      </c>
      <c r="C649" s="37" t="s">
        <v>19</v>
      </c>
      <c r="D649" s="37" t="s">
        <v>160</v>
      </c>
      <c r="E649" s="37" t="s">
        <v>212</v>
      </c>
      <c r="F649" s="37" t="s">
        <v>213</v>
      </c>
      <c r="G649" s="38" t="s">
        <v>14</v>
      </c>
      <c r="H649" s="39">
        <v>14610</v>
      </c>
      <c r="I649" s="40">
        <v>43.716632400000002</v>
      </c>
      <c r="J649" s="39">
        <v>17848</v>
      </c>
      <c r="K649" s="40">
        <v>71.470192699999998</v>
      </c>
    </row>
    <row r="650" spans="1:11" ht="15" hidden="1" customHeight="1">
      <c r="A650" s="7"/>
      <c r="B650" s="24">
        <v>643</v>
      </c>
      <c r="C650" s="25" t="s">
        <v>15</v>
      </c>
      <c r="D650" s="25" t="s">
        <v>214</v>
      </c>
      <c r="E650" s="25"/>
      <c r="F650" s="25"/>
      <c r="G650" s="25" t="s">
        <v>214</v>
      </c>
      <c r="H650" s="26">
        <v>483358</v>
      </c>
      <c r="I650" s="27">
        <v>74.175662799999998</v>
      </c>
      <c r="J650" s="26">
        <v>557463</v>
      </c>
      <c r="K650" s="27">
        <v>81.835565799999998</v>
      </c>
    </row>
    <row r="651" spans="1:11" ht="15" hidden="1" customHeight="1">
      <c r="A651" s="7"/>
      <c r="B651" s="28">
        <v>644</v>
      </c>
      <c r="C651" s="29" t="s">
        <v>15</v>
      </c>
      <c r="D651" s="45" t="s">
        <v>214</v>
      </c>
      <c r="E651" s="45"/>
      <c r="F651" s="45"/>
      <c r="G651" s="29" t="s">
        <v>13</v>
      </c>
      <c r="H651" s="30">
        <v>308608</v>
      </c>
      <c r="I651" s="31">
        <v>99.179541700000001</v>
      </c>
      <c r="J651" s="30">
        <v>347621</v>
      </c>
      <c r="K651" s="31">
        <v>99.423510100000001</v>
      </c>
    </row>
    <row r="652" spans="1:11" ht="15" hidden="1" customHeight="1">
      <c r="A652" s="7"/>
      <c r="B652" s="28">
        <v>645</v>
      </c>
      <c r="C652" s="29" t="s">
        <v>15</v>
      </c>
      <c r="D652" s="45" t="s">
        <v>214</v>
      </c>
      <c r="E652" s="45"/>
      <c r="F652" s="45"/>
      <c r="G652" s="29" t="s">
        <v>14</v>
      </c>
      <c r="H652" s="30">
        <v>174750</v>
      </c>
      <c r="I652" s="31">
        <v>30.018884100000001</v>
      </c>
      <c r="J652" s="30">
        <v>209842</v>
      </c>
      <c r="K652" s="31">
        <v>52.699650200000001</v>
      </c>
    </row>
    <row r="653" spans="1:11" ht="15" hidden="1" customHeight="1">
      <c r="A653" s="7"/>
      <c r="B653" s="32">
        <v>646</v>
      </c>
      <c r="C653" s="33" t="s">
        <v>17</v>
      </c>
      <c r="D653" s="46" t="s">
        <v>214</v>
      </c>
      <c r="E653" s="46" t="s">
        <v>161</v>
      </c>
      <c r="F653" s="46"/>
      <c r="G653" s="33" t="s">
        <v>161</v>
      </c>
      <c r="H653" s="34">
        <v>302978</v>
      </c>
      <c r="I653" s="35">
        <v>90.895378500000007</v>
      </c>
      <c r="J653" s="34">
        <v>337637</v>
      </c>
      <c r="K653" s="35">
        <v>94.6815663</v>
      </c>
    </row>
    <row r="654" spans="1:11" ht="15" hidden="1" customHeight="1">
      <c r="A654" s="7"/>
      <c r="B654" s="36">
        <v>647</v>
      </c>
      <c r="C654" s="37" t="s">
        <v>17</v>
      </c>
      <c r="D654" s="37" t="s">
        <v>214</v>
      </c>
      <c r="E654" s="37" t="s">
        <v>161</v>
      </c>
      <c r="F654" s="37"/>
      <c r="G654" s="38" t="s">
        <v>13</v>
      </c>
      <c r="H654" s="39">
        <v>263961</v>
      </c>
      <c r="I654" s="40">
        <v>99.377180699999997</v>
      </c>
      <c r="J654" s="39">
        <v>296975</v>
      </c>
      <c r="K654" s="40">
        <v>99.599966300000006</v>
      </c>
    </row>
    <row r="655" spans="1:11" ht="15" hidden="1" customHeight="1">
      <c r="A655" s="7"/>
      <c r="B655" s="36">
        <v>648</v>
      </c>
      <c r="C655" s="37" t="s">
        <v>17</v>
      </c>
      <c r="D655" s="37" t="s">
        <v>214</v>
      </c>
      <c r="E655" s="37" t="s">
        <v>161</v>
      </c>
      <c r="F655" s="37"/>
      <c r="G655" s="38" t="s">
        <v>14</v>
      </c>
      <c r="H655" s="39">
        <v>39017</v>
      </c>
      <c r="I655" s="40">
        <v>33.5135966</v>
      </c>
      <c r="J655" s="39">
        <v>40662</v>
      </c>
      <c r="K655" s="40">
        <v>58.760021600000002</v>
      </c>
    </row>
    <row r="656" spans="1:11" ht="15" customHeight="1">
      <c r="A656" s="7"/>
      <c r="B656" s="41">
        <v>649</v>
      </c>
      <c r="C656" s="42" t="s">
        <v>19</v>
      </c>
      <c r="D656" s="47" t="s">
        <v>214</v>
      </c>
      <c r="E656" s="47" t="s">
        <v>161</v>
      </c>
      <c r="F656" s="47" t="s">
        <v>214</v>
      </c>
      <c r="G656" s="48" t="s">
        <v>214</v>
      </c>
      <c r="H656" s="43">
        <v>258733</v>
      </c>
      <c r="I656" s="44">
        <v>99.385466899999997</v>
      </c>
      <c r="J656" s="43">
        <v>289903</v>
      </c>
      <c r="K656" s="44">
        <v>99.718181599999994</v>
      </c>
    </row>
    <row r="657" spans="1:11" ht="15" hidden="1" customHeight="1">
      <c r="A657" s="7"/>
      <c r="B657" s="36">
        <v>650</v>
      </c>
      <c r="C657" s="37" t="s">
        <v>19</v>
      </c>
      <c r="D657" s="37" t="s">
        <v>214</v>
      </c>
      <c r="E657" s="37" t="s">
        <v>161</v>
      </c>
      <c r="F657" s="37" t="s">
        <v>214</v>
      </c>
      <c r="G657" s="38" t="s">
        <v>13</v>
      </c>
      <c r="H657" s="39">
        <v>258733</v>
      </c>
      <c r="I657" s="40">
        <v>99.385466899999997</v>
      </c>
      <c r="J657" s="39">
        <v>289811</v>
      </c>
      <c r="K657" s="40">
        <v>99.725338199999996</v>
      </c>
    </row>
    <row r="658" spans="1:11" ht="15" hidden="1" customHeight="1">
      <c r="A658" s="7"/>
      <c r="B658" s="36">
        <v>651</v>
      </c>
      <c r="C658" s="37" t="s">
        <v>19</v>
      </c>
      <c r="D658" s="37" t="s">
        <v>214</v>
      </c>
      <c r="E658" s="37" t="s">
        <v>161</v>
      </c>
      <c r="F658" s="37" t="s">
        <v>214</v>
      </c>
      <c r="G658" s="38" t="s">
        <v>14</v>
      </c>
      <c r="H658" s="39"/>
      <c r="I658" s="40"/>
      <c r="J658" s="39">
        <v>92</v>
      </c>
      <c r="K658" s="40">
        <v>77.173912999999999</v>
      </c>
    </row>
    <row r="659" spans="1:11" ht="15" customHeight="1">
      <c r="A659" s="7"/>
      <c r="B659" s="41">
        <v>652</v>
      </c>
      <c r="C659" s="42" t="s">
        <v>19</v>
      </c>
      <c r="D659" s="47" t="s">
        <v>214</v>
      </c>
      <c r="E659" s="47" t="s">
        <v>161</v>
      </c>
      <c r="F659" s="47" t="s">
        <v>215</v>
      </c>
      <c r="G659" s="48" t="s">
        <v>215</v>
      </c>
      <c r="H659" s="43">
        <v>22841</v>
      </c>
      <c r="I659" s="44">
        <v>47.839411599999998</v>
      </c>
      <c r="J659" s="43">
        <v>22245</v>
      </c>
      <c r="K659" s="44">
        <v>70.0966509</v>
      </c>
    </row>
    <row r="660" spans="1:11" ht="15" hidden="1" customHeight="1">
      <c r="A660" s="7"/>
      <c r="B660" s="36">
        <v>653</v>
      </c>
      <c r="C660" s="37" t="s">
        <v>19</v>
      </c>
      <c r="D660" s="37" t="s">
        <v>214</v>
      </c>
      <c r="E660" s="37" t="s">
        <v>161</v>
      </c>
      <c r="F660" s="37" t="s">
        <v>215</v>
      </c>
      <c r="G660" s="38" t="s">
        <v>13</v>
      </c>
      <c r="H660" s="39">
        <v>5228</v>
      </c>
      <c r="I660" s="40">
        <v>98.967100200000004</v>
      </c>
      <c r="J660" s="39">
        <v>7164</v>
      </c>
      <c r="K660" s="40">
        <v>94.528196500000007</v>
      </c>
    </row>
    <row r="661" spans="1:11" ht="15" hidden="1" customHeight="1">
      <c r="A661" s="7"/>
      <c r="B661" s="36">
        <v>654</v>
      </c>
      <c r="C661" s="37" t="s">
        <v>19</v>
      </c>
      <c r="D661" s="37" t="s">
        <v>214</v>
      </c>
      <c r="E661" s="37" t="s">
        <v>161</v>
      </c>
      <c r="F661" s="37" t="s">
        <v>215</v>
      </c>
      <c r="G661" s="38" t="s">
        <v>14</v>
      </c>
      <c r="H661" s="39">
        <v>17613</v>
      </c>
      <c r="I661" s="40">
        <v>32.6633736</v>
      </c>
      <c r="J661" s="39">
        <v>15081</v>
      </c>
      <c r="K661" s="40">
        <v>58.490816299999999</v>
      </c>
    </row>
    <row r="662" spans="1:11" ht="15" customHeight="1">
      <c r="A662" s="7"/>
      <c r="B662" s="41">
        <v>655</v>
      </c>
      <c r="C662" s="42" t="s">
        <v>19</v>
      </c>
      <c r="D662" s="47" t="s">
        <v>214</v>
      </c>
      <c r="E662" s="47" t="s">
        <v>161</v>
      </c>
      <c r="F662" s="47" t="s">
        <v>216</v>
      </c>
      <c r="G662" s="48" t="s">
        <v>216</v>
      </c>
      <c r="H662" s="43">
        <v>8658</v>
      </c>
      <c r="I662" s="44">
        <v>11.018711</v>
      </c>
      <c r="J662" s="43">
        <v>9891</v>
      </c>
      <c r="K662" s="44">
        <v>34.839753299999998</v>
      </c>
    </row>
    <row r="663" spans="1:11" ht="15" hidden="1" customHeight="1">
      <c r="A663" s="7"/>
      <c r="B663" s="36">
        <v>656</v>
      </c>
      <c r="C663" s="37" t="s">
        <v>19</v>
      </c>
      <c r="D663" s="37" t="s">
        <v>214</v>
      </c>
      <c r="E663" s="37" t="s">
        <v>161</v>
      </c>
      <c r="F663" s="37" t="s">
        <v>216</v>
      </c>
      <c r="G663" s="38" t="s">
        <v>13</v>
      </c>
      <c r="H663" s="39"/>
      <c r="I663" s="40"/>
      <c r="J663" s="39"/>
      <c r="K663" s="40"/>
    </row>
    <row r="664" spans="1:11" ht="15" hidden="1" customHeight="1">
      <c r="A664" s="7"/>
      <c r="B664" s="36">
        <v>657</v>
      </c>
      <c r="C664" s="37" t="s">
        <v>19</v>
      </c>
      <c r="D664" s="37" t="s">
        <v>214</v>
      </c>
      <c r="E664" s="37" t="s">
        <v>161</v>
      </c>
      <c r="F664" s="37" t="s">
        <v>216</v>
      </c>
      <c r="G664" s="38" t="s">
        <v>14</v>
      </c>
      <c r="H664" s="39">
        <v>8658</v>
      </c>
      <c r="I664" s="40">
        <v>11.018711</v>
      </c>
      <c r="J664" s="39">
        <v>9891</v>
      </c>
      <c r="K664" s="40">
        <v>34.839753299999998</v>
      </c>
    </row>
    <row r="665" spans="1:11" ht="15" customHeight="1">
      <c r="A665" s="7"/>
      <c r="B665" s="41">
        <v>658</v>
      </c>
      <c r="C665" s="42" t="s">
        <v>19</v>
      </c>
      <c r="D665" s="47" t="s">
        <v>214</v>
      </c>
      <c r="E665" s="47" t="s">
        <v>161</v>
      </c>
      <c r="F665" s="47" t="s">
        <v>217</v>
      </c>
      <c r="G665" s="48" t="s">
        <v>217</v>
      </c>
      <c r="H665" s="43">
        <v>12746</v>
      </c>
      <c r="I665" s="44">
        <v>49.968617600000002</v>
      </c>
      <c r="J665" s="43">
        <v>15598</v>
      </c>
      <c r="K665" s="44">
        <v>74.080010299999998</v>
      </c>
    </row>
    <row r="666" spans="1:11" ht="15" hidden="1" customHeight="1">
      <c r="A666" s="7"/>
      <c r="B666" s="36">
        <v>659</v>
      </c>
      <c r="C666" s="37" t="s">
        <v>19</v>
      </c>
      <c r="D666" s="37" t="s">
        <v>214</v>
      </c>
      <c r="E666" s="37" t="s">
        <v>161</v>
      </c>
      <c r="F666" s="37" t="s">
        <v>217</v>
      </c>
      <c r="G666" s="38" t="s">
        <v>13</v>
      </c>
      <c r="H666" s="39"/>
      <c r="I666" s="40"/>
      <c r="J666" s="39"/>
      <c r="K666" s="40"/>
    </row>
    <row r="667" spans="1:11" ht="15" hidden="1" customHeight="1">
      <c r="A667" s="7"/>
      <c r="B667" s="36">
        <v>660</v>
      </c>
      <c r="C667" s="37" t="s">
        <v>19</v>
      </c>
      <c r="D667" s="37" t="s">
        <v>214</v>
      </c>
      <c r="E667" s="37" t="s">
        <v>161</v>
      </c>
      <c r="F667" s="37" t="s">
        <v>217</v>
      </c>
      <c r="G667" s="38" t="s">
        <v>14</v>
      </c>
      <c r="H667" s="39">
        <v>12746</v>
      </c>
      <c r="I667" s="40">
        <v>49.968617600000002</v>
      </c>
      <c r="J667" s="39">
        <v>15598</v>
      </c>
      <c r="K667" s="40">
        <v>74.080010299999998</v>
      </c>
    </row>
    <row r="668" spans="1:11" ht="15" hidden="1" customHeight="1">
      <c r="A668" s="7"/>
      <c r="B668" s="32">
        <v>661</v>
      </c>
      <c r="C668" s="33" t="s">
        <v>17</v>
      </c>
      <c r="D668" s="46" t="s">
        <v>214</v>
      </c>
      <c r="E668" s="46" t="s">
        <v>218</v>
      </c>
      <c r="F668" s="46"/>
      <c r="G668" s="33" t="s">
        <v>218</v>
      </c>
      <c r="H668" s="34">
        <v>31937</v>
      </c>
      <c r="I668" s="35">
        <v>52.374988299999998</v>
      </c>
      <c r="J668" s="34">
        <v>39895</v>
      </c>
      <c r="K668" s="35">
        <v>62.491540299999997</v>
      </c>
    </row>
    <row r="669" spans="1:11" ht="15" hidden="1" customHeight="1">
      <c r="A669" s="7"/>
      <c r="B669" s="36">
        <v>662</v>
      </c>
      <c r="C669" s="37" t="s">
        <v>17</v>
      </c>
      <c r="D669" s="37" t="s">
        <v>214</v>
      </c>
      <c r="E669" s="37" t="s">
        <v>218</v>
      </c>
      <c r="F669" s="37"/>
      <c r="G669" s="38" t="s">
        <v>13</v>
      </c>
      <c r="H669" s="39">
        <v>11867</v>
      </c>
      <c r="I669" s="40">
        <v>96.4017865</v>
      </c>
      <c r="J669" s="39">
        <v>12429</v>
      </c>
      <c r="K669" s="40">
        <v>99.485075199999997</v>
      </c>
    </row>
    <row r="670" spans="1:11" ht="15" hidden="1" customHeight="1">
      <c r="A670" s="7"/>
      <c r="B670" s="36">
        <v>663</v>
      </c>
      <c r="C670" s="37" t="s">
        <v>17</v>
      </c>
      <c r="D670" s="37" t="s">
        <v>214</v>
      </c>
      <c r="E670" s="37" t="s">
        <v>218</v>
      </c>
      <c r="F670" s="37"/>
      <c r="G670" s="38" t="s">
        <v>14</v>
      </c>
      <c r="H670" s="39">
        <v>20070</v>
      </c>
      <c r="I670" s="40">
        <v>26.342800199999999</v>
      </c>
      <c r="J670" s="39">
        <v>27466</v>
      </c>
      <c r="K670" s="40">
        <v>45.751110500000003</v>
      </c>
    </row>
    <row r="671" spans="1:11" ht="15" customHeight="1">
      <c r="A671" s="7"/>
      <c r="B671" s="41">
        <v>664</v>
      </c>
      <c r="C671" s="42" t="s">
        <v>19</v>
      </c>
      <c r="D671" s="47" t="s">
        <v>214</v>
      </c>
      <c r="E671" s="47" t="s">
        <v>218</v>
      </c>
      <c r="F671" s="47" t="s">
        <v>219</v>
      </c>
      <c r="G671" s="48" t="s">
        <v>219</v>
      </c>
      <c r="H671" s="43">
        <v>27986</v>
      </c>
      <c r="I671" s="44">
        <v>53.205174</v>
      </c>
      <c r="J671" s="43">
        <v>34774</v>
      </c>
      <c r="K671" s="44">
        <v>62.523724600000001</v>
      </c>
    </row>
    <row r="672" spans="1:11" ht="15" hidden="1" customHeight="1">
      <c r="A672" s="7"/>
      <c r="B672" s="36">
        <v>665</v>
      </c>
      <c r="C672" s="37" t="s">
        <v>19</v>
      </c>
      <c r="D672" s="37" t="s">
        <v>214</v>
      </c>
      <c r="E672" s="37" t="s">
        <v>218</v>
      </c>
      <c r="F672" s="37" t="s">
        <v>219</v>
      </c>
      <c r="G672" s="38" t="s">
        <v>13</v>
      </c>
      <c r="H672" s="39">
        <v>11867</v>
      </c>
      <c r="I672" s="40">
        <v>96.4017865</v>
      </c>
      <c r="J672" s="39">
        <v>12429</v>
      </c>
      <c r="K672" s="40">
        <v>99.485075199999997</v>
      </c>
    </row>
    <row r="673" spans="1:11" ht="15" hidden="1" customHeight="1">
      <c r="A673" s="7"/>
      <c r="B673" s="36">
        <v>666</v>
      </c>
      <c r="C673" s="37" t="s">
        <v>19</v>
      </c>
      <c r="D673" s="37" t="s">
        <v>214</v>
      </c>
      <c r="E673" s="37" t="s">
        <v>218</v>
      </c>
      <c r="F673" s="37" t="s">
        <v>219</v>
      </c>
      <c r="G673" s="38" t="s">
        <v>14</v>
      </c>
      <c r="H673" s="39">
        <v>16119</v>
      </c>
      <c r="I673" s="40">
        <v>21.4033129</v>
      </c>
      <c r="J673" s="39">
        <v>22345</v>
      </c>
      <c r="K673" s="40">
        <v>41.964645300000001</v>
      </c>
    </row>
    <row r="674" spans="1:11" ht="15" customHeight="1">
      <c r="A674" s="7"/>
      <c r="B674" s="41">
        <v>667</v>
      </c>
      <c r="C674" s="42" t="s">
        <v>19</v>
      </c>
      <c r="D674" s="47" t="s">
        <v>214</v>
      </c>
      <c r="E674" s="47" t="s">
        <v>218</v>
      </c>
      <c r="F674" s="47" t="s">
        <v>220</v>
      </c>
      <c r="G674" s="48" t="s">
        <v>220</v>
      </c>
      <c r="H674" s="43">
        <v>3951</v>
      </c>
      <c r="I674" s="44">
        <v>46.494558300000001</v>
      </c>
      <c r="J674" s="43">
        <v>5121</v>
      </c>
      <c r="K674" s="44">
        <v>62.2729936</v>
      </c>
    </row>
    <row r="675" spans="1:11" ht="15" hidden="1" customHeight="1">
      <c r="A675" s="7"/>
      <c r="B675" s="36">
        <v>668</v>
      </c>
      <c r="C675" s="37" t="s">
        <v>19</v>
      </c>
      <c r="D675" s="37" t="s">
        <v>214</v>
      </c>
      <c r="E675" s="37" t="s">
        <v>218</v>
      </c>
      <c r="F675" s="37" t="s">
        <v>220</v>
      </c>
      <c r="G675" s="38" t="s">
        <v>13</v>
      </c>
      <c r="H675" s="39"/>
      <c r="I675" s="40"/>
      <c r="J675" s="39"/>
      <c r="K675" s="40"/>
    </row>
    <row r="676" spans="1:11" ht="15" hidden="1" customHeight="1">
      <c r="A676" s="7"/>
      <c r="B676" s="36">
        <v>669</v>
      </c>
      <c r="C676" s="37" t="s">
        <v>19</v>
      </c>
      <c r="D676" s="37" t="s">
        <v>214</v>
      </c>
      <c r="E676" s="37" t="s">
        <v>218</v>
      </c>
      <c r="F676" s="37" t="s">
        <v>220</v>
      </c>
      <c r="G676" s="38" t="s">
        <v>14</v>
      </c>
      <c r="H676" s="39">
        <v>3951</v>
      </c>
      <c r="I676" s="40">
        <v>46.494558300000001</v>
      </c>
      <c r="J676" s="39">
        <v>5121</v>
      </c>
      <c r="K676" s="40">
        <v>62.2729936</v>
      </c>
    </row>
    <row r="677" spans="1:11" ht="15" hidden="1" customHeight="1">
      <c r="A677" s="7"/>
      <c r="B677" s="32">
        <v>670</v>
      </c>
      <c r="C677" s="33" t="s">
        <v>17</v>
      </c>
      <c r="D677" s="46" t="s">
        <v>214</v>
      </c>
      <c r="E677" s="46" t="s">
        <v>221</v>
      </c>
      <c r="F677" s="46"/>
      <c r="G677" s="33" t="s">
        <v>221</v>
      </c>
      <c r="H677" s="34">
        <v>10765</v>
      </c>
      <c r="I677" s="35">
        <v>14.1384115</v>
      </c>
      <c r="J677" s="34">
        <v>18359</v>
      </c>
      <c r="K677" s="35">
        <v>32.768669299999999</v>
      </c>
    </row>
    <row r="678" spans="1:11" ht="15" hidden="1" customHeight="1">
      <c r="A678" s="7"/>
      <c r="B678" s="36">
        <v>671</v>
      </c>
      <c r="C678" s="37" t="s">
        <v>17</v>
      </c>
      <c r="D678" s="37" t="s">
        <v>214</v>
      </c>
      <c r="E678" s="37" t="s">
        <v>221</v>
      </c>
      <c r="F678" s="37"/>
      <c r="G678" s="38" t="s">
        <v>13</v>
      </c>
      <c r="H678" s="39"/>
      <c r="I678" s="40"/>
      <c r="J678" s="39"/>
      <c r="K678" s="40"/>
    </row>
    <row r="679" spans="1:11" ht="15" hidden="1" customHeight="1">
      <c r="A679" s="7"/>
      <c r="B679" s="36">
        <v>672</v>
      </c>
      <c r="C679" s="37" t="s">
        <v>17</v>
      </c>
      <c r="D679" s="37" t="s">
        <v>214</v>
      </c>
      <c r="E679" s="37" t="s">
        <v>221</v>
      </c>
      <c r="F679" s="37"/>
      <c r="G679" s="38" t="s">
        <v>14</v>
      </c>
      <c r="H679" s="39">
        <v>10765</v>
      </c>
      <c r="I679" s="40">
        <v>14.1384115</v>
      </c>
      <c r="J679" s="39">
        <v>18359</v>
      </c>
      <c r="K679" s="40">
        <v>32.768669299999999</v>
      </c>
    </row>
    <row r="680" spans="1:11" ht="15" customHeight="1">
      <c r="A680" s="7"/>
      <c r="B680" s="41">
        <v>673</v>
      </c>
      <c r="C680" s="42" t="s">
        <v>19</v>
      </c>
      <c r="D680" s="47" t="s">
        <v>214</v>
      </c>
      <c r="E680" s="47" t="s">
        <v>221</v>
      </c>
      <c r="F680" s="47" t="s">
        <v>222</v>
      </c>
      <c r="G680" s="48" t="s">
        <v>222</v>
      </c>
      <c r="H680" s="43">
        <v>8953</v>
      </c>
      <c r="I680" s="44">
        <v>14.4755948</v>
      </c>
      <c r="J680" s="43">
        <v>15863</v>
      </c>
      <c r="K680" s="44">
        <v>33.0643636</v>
      </c>
    </row>
    <row r="681" spans="1:11" ht="15" hidden="1" customHeight="1">
      <c r="A681" s="7"/>
      <c r="B681" s="36">
        <v>674</v>
      </c>
      <c r="C681" s="37" t="s">
        <v>19</v>
      </c>
      <c r="D681" s="37" t="s">
        <v>214</v>
      </c>
      <c r="E681" s="37" t="s">
        <v>221</v>
      </c>
      <c r="F681" s="37" t="s">
        <v>222</v>
      </c>
      <c r="G681" s="38" t="s">
        <v>13</v>
      </c>
      <c r="H681" s="39"/>
      <c r="I681" s="40"/>
      <c r="J681" s="39"/>
      <c r="K681" s="40"/>
    </row>
    <row r="682" spans="1:11" ht="15" hidden="1" customHeight="1">
      <c r="A682" s="7"/>
      <c r="B682" s="36">
        <v>675</v>
      </c>
      <c r="C682" s="37" t="s">
        <v>19</v>
      </c>
      <c r="D682" s="37" t="s">
        <v>214</v>
      </c>
      <c r="E682" s="37" t="s">
        <v>221</v>
      </c>
      <c r="F682" s="37" t="s">
        <v>222</v>
      </c>
      <c r="G682" s="38" t="s">
        <v>14</v>
      </c>
      <c r="H682" s="39">
        <v>8953</v>
      </c>
      <c r="I682" s="40">
        <v>14.4755948</v>
      </c>
      <c r="J682" s="39">
        <v>15863</v>
      </c>
      <c r="K682" s="40">
        <v>33.0643636</v>
      </c>
    </row>
    <row r="683" spans="1:11" ht="15" customHeight="1">
      <c r="A683" s="7"/>
      <c r="B683" s="41">
        <v>676</v>
      </c>
      <c r="C683" s="42" t="s">
        <v>19</v>
      </c>
      <c r="D683" s="47" t="s">
        <v>214</v>
      </c>
      <c r="E683" s="47" t="s">
        <v>221</v>
      </c>
      <c r="F683" s="47" t="s">
        <v>223</v>
      </c>
      <c r="G683" s="48" t="s">
        <v>223</v>
      </c>
      <c r="H683" s="43">
        <v>1812</v>
      </c>
      <c r="I683" s="44">
        <v>12.4724062</v>
      </c>
      <c r="J683" s="43">
        <v>2496</v>
      </c>
      <c r="K683" s="44">
        <v>30.889423099999998</v>
      </c>
    </row>
    <row r="684" spans="1:11" ht="15" hidden="1" customHeight="1">
      <c r="A684" s="7"/>
      <c r="B684" s="36">
        <v>677</v>
      </c>
      <c r="C684" s="37" t="s">
        <v>19</v>
      </c>
      <c r="D684" s="37" t="s">
        <v>214</v>
      </c>
      <c r="E684" s="37" t="s">
        <v>221</v>
      </c>
      <c r="F684" s="37" t="s">
        <v>223</v>
      </c>
      <c r="G684" s="38" t="s">
        <v>13</v>
      </c>
      <c r="H684" s="39"/>
      <c r="I684" s="40"/>
      <c r="J684" s="39"/>
      <c r="K684" s="40"/>
    </row>
    <row r="685" spans="1:11" ht="15" hidden="1" customHeight="1">
      <c r="A685" s="7"/>
      <c r="B685" s="36">
        <v>678</v>
      </c>
      <c r="C685" s="37" t="s">
        <v>19</v>
      </c>
      <c r="D685" s="37" t="s">
        <v>214</v>
      </c>
      <c r="E685" s="37" t="s">
        <v>221</v>
      </c>
      <c r="F685" s="37" t="s">
        <v>223</v>
      </c>
      <c r="G685" s="38" t="s">
        <v>14</v>
      </c>
      <c r="H685" s="39">
        <v>1812</v>
      </c>
      <c r="I685" s="40">
        <v>12.4724062</v>
      </c>
      <c r="J685" s="39">
        <v>2496</v>
      </c>
      <c r="K685" s="40">
        <v>30.889423099999998</v>
      </c>
    </row>
    <row r="686" spans="1:11" ht="15" hidden="1" customHeight="1">
      <c r="A686" s="7"/>
      <c r="B686" s="32">
        <v>679</v>
      </c>
      <c r="C686" s="33" t="s">
        <v>17</v>
      </c>
      <c r="D686" s="46" t="s">
        <v>214</v>
      </c>
      <c r="E686" s="46" t="s">
        <v>224</v>
      </c>
      <c r="F686" s="46"/>
      <c r="G686" s="33" t="s">
        <v>224</v>
      </c>
      <c r="H686" s="34">
        <v>9032</v>
      </c>
      <c r="I686" s="35">
        <v>30.690876899999999</v>
      </c>
      <c r="J686" s="34">
        <v>11907</v>
      </c>
      <c r="K686" s="35">
        <v>33.9800118</v>
      </c>
    </row>
    <row r="687" spans="1:11" ht="15" hidden="1" customHeight="1">
      <c r="A687" s="7"/>
      <c r="B687" s="36">
        <v>680</v>
      </c>
      <c r="C687" s="37" t="s">
        <v>17</v>
      </c>
      <c r="D687" s="37" t="s">
        <v>214</v>
      </c>
      <c r="E687" s="37" t="s">
        <v>224</v>
      </c>
      <c r="F687" s="37"/>
      <c r="G687" s="38" t="s">
        <v>13</v>
      </c>
      <c r="H687" s="39"/>
      <c r="I687" s="40"/>
      <c r="J687" s="39"/>
      <c r="K687" s="40"/>
    </row>
    <row r="688" spans="1:11" ht="15" hidden="1" customHeight="1">
      <c r="A688" s="7"/>
      <c r="B688" s="36">
        <v>681</v>
      </c>
      <c r="C688" s="37" t="s">
        <v>17</v>
      </c>
      <c r="D688" s="37" t="s">
        <v>214</v>
      </c>
      <c r="E688" s="37" t="s">
        <v>224</v>
      </c>
      <c r="F688" s="37"/>
      <c r="G688" s="38" t="s">
        <v>14</v>
      </c>
      <c r="H688" s="39">
        <v>9032</v>
      </c>
      <c r="I688" s="40">
        <v>30.690876899999999</v>
      </c>
      <c r="J688" s="39">
        <v>11907</v>
      </c>
      <c r="K688" s="40">
        <v>33.9800118</v>
      </c>
    </row>
    <row r="689" spans="1:11" ht="15" customHeight="1">
      <c r="A689" s="7"/>
      <c r="B689" s="41">
        <v>682</v>
      </c>
      <c r="C689" s="42" t="s">
        <v>19</v>
      </c>
      <c r="D689" s="47" t="s">
        <v>214</v>
      </c>
      <c r="E689" s="47" t="s">
        <v>224</v>
      </c>
      <c r="F689" s="47" t="s">
        <v>225</v>
      </c>
      <c r="G689" s="48" t="s">
        <v>225</v>
      </c>
      <c r="H689" s="43">
        <v>3907</v>
      </c>
      <c r="I689" s="44">
        <v>40.389045299999999</v>
      </c>
      <c r="J689" s="43">
        <v>6348</v>
      </c>
      <c r="K689" s="44">
        <v>34.814114699999998</v>
      </c>
    </row>
    <row r="690" spans="1:11" ht="15" hidden="1" customHeight="1">
      <c r="A690" s="7"/>
      <c r="B690" s="36">
        <v>683</v>
      </c>
      <c r="C690" s="37" t="s">
        <v>19</v>
      </c>
      <c r="D690" s="37" t="s">
        <v>214</v>
      </c>
      <c r="E690" s="37" t="s">
        <v>224</v>
      </c>
      <c r="F690" s="37" t="s">
        <v>225</v>
      </c>
      <c r="G690" s="38" t="s">
        <v>13</v>
      </c>
      <c r="H690" s="39"/>
      <c r="I690" s="40"/>
      <c r="J690" s="39"/>
      <c r="K690" s="40"/>
    </row>
    <row r="691" spans="1:11" ht="15" hidden="1" customHeight="1">
      <c r="A691" s="7"/>
      <c r="B691" s="36">
        <v>684</v>
      </c>
      <c r="C691" s="37" t="s">
        <v>19</v>
      </c>
      <c r="D691" s="37" t="s">
        <v>214</v>
      </c>
      <c r="E691" s="37" t="s">
        <v>224</v>
      </c>
      <c r="F691" s="37" t="s">
        <v>225</v>
      </c>
      <c r="G691" s="38" t="s">
        <v>14</v>
      </c>
      <c r="H691" s="39">
        <v>3907</v>
      </c>
      <c r="I691" s="40">
        <v>40.389045299999999</v>
      </c>
      <c r="J691" s="39">
        <v>6348</v>
      </c>
      <c r="K691" s="40">
        <v>34.814114699999998</v>
      </c>
    </row>
    <row r="692" spans="1:11" ht="15" customHeight="1">
      <c r="A692" s="7"/>
      <c r="B692" s="41">
        <v>685</v>
      </c>
      <c r="C692" s="42" t="s">
        <v>19</v>
      </c>
      <c r="D692" s="47" t="s">
        <v>214</v>
      </c>
      <c r="E692" s="47" t="s">
        <v>224</v>
      </c>
      <c r="F692" s="47" t="s">
        <v>226</v>
      </c>
      <c r="G692" s="48" t="s">
        <v>226</v>
      </c>
      <c r="H692" s="43">
        <v>5125</v>
      </c>
      <c r="I692" s="44">
        <v>23.297561000000002</v>
      </c>
      <c r="J692" s="43">
        <v>5559</v>
      </c>
      <c r="K692" s="44">
        <v>33.027522900000001</v>
      </c>
    </row>
    <row r="693" spans="1:11" ht="15" hidden="1" customHeight="1">
      <c r="A693" s="7"/>
      <c r="B693" s="36">
        <v>686</v>
      </c>
      <c r="C693" s="37" t="s">
        <v>19</v>
      </c>
      <c r="D693" s="37" t="s">
        <v>214</v>
      </c>
      <c r="E693" s="37" t="s">
        <v>224</v>
      </c>
      <c r="F693" s="37" t="s">
        <v>226</v>
      </c>
      <c r="G693" s="38" t="s">
        <v>13</v>
      </c>
      <c r="H693" s="39"/>
      <c r="I693" s="40"/>
      <c r="J693" s="39"/>
      <c r="K693" s="40"/>
    </row>
    <row r="694" spans="1:11" ht="15" hidden="1" customHeight="1">
      <c r="A694" s="7"/>
      <c r="B694" s="36">
        <v>687</v>
      </c>
      <c r="C694" s="37" t="s">
        <v>19</v>
      </c>
      <c r="D694" s="37" t="s">
        <v>214</v>
      </c>
      <c r="E694" s="37" t="s">
        <v>224</v>
      </c>
      <c r="F694" s="37" t="s">
        <v>226</v>
      </c>
      <c r="G694" s="38" t="s">
        <v>14</v>
      </c>
      <c r="H694" s="39">
        <v>5125</v>
      </c>
      <c r="I694" s="40">
        <v>23.297561000000002</v>
      </c>
      <c r="J694" s="39">
        <v>5559</v>
      </c>
      <c r="K694" s="40">
        <v>33.027522900000001</v>
      </c>
    </row>
    <row r="695" spans="1:11" ht="15" hidden="1" customHeight="1">
      <c r="A695" s="7"/>
      <c r="B695" s="32">
        <v>688</v>
      </c>
      <c r="C695" s="33" t="s">
        <v>17</v>
      </c>
      <c r="D695" s="46" t="s">
        <v>214</v>
      </c>
      <c r="E695" s="46" t="s">
        <v>227</v>
      </c>
      <c r="F695" s="46"/>
      <c r="G695" s="33" t="s">
        <v>227</v>
      </c>
      <c r="H695" s="34">
        <v>9981</v>
      </c>
      <c r="I695" s="35">
        <v>29.175433300000002</v>
      </c>
      <c r="J695" s="34">
        <v>14114</v>
      </c>
      <c r="K695" s="35">
        <v>79.630154500000003</v>
      </c>
    </row>
    <row r="696" spans="1:11" ht="15" hidden="1" customHeight="1">
      <c r="A696" s="7"/>
      <c r="B696" s="36">
        <v>689</v>
      </c>
      <c r="C696" s="37" t="s">
        <v>17</v>
      </c>
      <c r="D696" s="37" t="s">
        <v>214</v>
      </c>
      <c r="E696" s="37" t="s">
        <v>227</v>
      </c>
      <c r="F696" s="37"/>
      <c r="G696" s="38" t="s">
        <v>13</v>
      </c>
      <c r="H696" s="39"/>
      <c r="I696" s="40"/>
      <c r="J696" s="39">
        <v>6181</v>
      </c>
      <c r="K696" s="40">
        <v>91.182656499999993</v>
      </c>
    </row>
    <row r="697" spans="1:11" ht="15" hidden="1" customHeight="1">
      <c r="A697" s="7"/>
      <c r="B697" s="36">
        <v>690</v>
      </c>
      <c r="C697" s="37" t="s">
        <v>17</v>
      </c>
      <c r="D697" s="37" t="s">
        <v>214</v>
      </c>
      <c r="E697" s="37" t="s">
        <v>227</v>
      </c>
      <c r="F697" s="37"/>
      <c r="G697" s="38" t="s">
        <v>14</v>
      </c>
      <c r="H697" s="39">
        <v>9981</v>
      </c>
      <c r="I697" s="40">
        <v>29.175433300000002</v>
      </c>
      <c r="J697" s="39">
        <v>7933</v>
      </c>
      <c r="K697" s="40">
        <v>70.629018000000002</v>
      </c>
    </row>
    <row r="698" spans="1:11" ht="15" customHeight="1">
      <c r="A698" s="7"/>
      <c r="B698" s="41">
        <v>691</v>
      </c>
      <c r="C698" s="42" t="s">
        <v>19</v>
      </c>
      <c r="D698" s="47" t="s">
        <v>214</v>
      </c>
      <c r="E698" s="47" t="s">
        <v>227</v>
      </c>
      <c r="F698" s="47" t="s">
        <v>228</v>
      </c>
      <c r="G698" s="48" t="s">
        <v>228</v>
      </c>
      <c r="H698" s="43">
        <v>646</v>
      </c>
      <c r="I698" s="44">
        <v>94.117647099999999</v>
      </c>
      <c r="J698" s="43">
        <v>3778</v>
      </c>
      <c r="K698" s="44">
        <v>97.2736898</v>
      </c>
    </row>
    <row r="699" spans="1:11" ht="15" hidden="1" customHeight="1">
      <c r="A699" s="7"/>
      <c r="B699" s="36">
        <v>692</v>
      </c>
      <c r="C699" s="37" t="s">
        <v>19</v>
      </c>
      <c r="D699" s="37" t="s">
        <v>214</v>
      </c>
      <c r="E699" s="37" t="s">
        <v>227</v>
      </c>
      <c r="F699" s="37" t="s">
        <v>228</v>
      </c>
      <c r="G699" s="38" t="s">
        <v>13</v>
      </c>
      <c r="H699" s="39"/>
      <c r="I699" s="40"/>
      <c r="J699" s="39">
        <v>3644</v>
      </c>
      <c r="K699" s="40">
        <v>97.722283200000007</v>
      </c>
    </row>
    <row r="700" spans="1:11" ht="15" hidden="1" customHeight="1">
      <c r="A700" s="7"/>
      <c r="B700" s="36">
        <v>693</v>
      </c>
      <c r="C700" s="37" t="s">
        <v>19</v>
      </c>
      <c r="D700" s="37" t="s">
        <v>214</v>
      </c>
      <c r="E700" s="37" t="s">
        <v>227</v>
      </c>
      <c r="F700" s="37" t="s">
        <v>228</v>
      </c>
      <c r="G700" s="38" t="s">
        <v>14</v>
      </c>
      <c r="H700" s="39">
        <v>646</v>
      </c>
      <c r="I700" s="40">
        <v>94.117647099999999</v>
      </c>
      <c r="J700" s="39">
        <v>134</v>
      </c>
      <c r="K700" s="40">
        <v>85.074626899999998</v>
      </c>
    </row>
    <row r="701" spans="1:11" ht="15" customHeight="1">
      <c r="A701" s="7"/>
      <c r="B701" s="41">
        <v>694</v>
      </c>
      <c r="C701" s="42" t="s">
        <v>19</v>
      </c>
      <c r="D701" s="47" t="s">
        <v>214</v>
      </c>
      <c r="E701" s="47" t="s">
        <v>227</v>
      </c>
      <c r="F701" s="47" t="s">
        <v>229</v>
      </c>
      <c r="G701" s="48" t="s">
        <v>229</v>
      </c>
      <c r="H701" s="43">
        <v>4193</v>
      </c>
      <c r="I701" s="44">
        <v>14.548056300000001</v>
      </c>
      <c r="J701" s="43">
        <v>4130</v>
      </c>
      <c r="K701" s="44">
        <v>67.941888599999999</v>
      </c>
    </row>
    <row r="702" spans="1:11" ht="15" hidden="1" customHeight="1">
      <c r="A702" s="7"/>
      <c r="B702" s="36">
        <v>695</v>
      </c>
      <c r="C702" s="37" t="s">
        <v>19</v>
      </c>
      <c r="D702" s="37" t="s">
        <v>214</v>
      </c>
      <c r="E702" s="37" t="s">
        <v>227</v>
      </c>
      <c r="F702" s="37" t="s">
        <v>229</v>
      </c>
      <c r="G702" s="38" t="s">
        <v>13</v>
      </c>
      <c r="H702" s="39"/>
      <c r="I702" s="40"/>
      <c r="J702" s="39">
        <v>2537</v>
      </c>
      <c r="K702" s="40">
        <v>81.789515199999997</v>
      </c>
    </row>
    <row r="703" spans="1:11" ht="15" hidden="1" customHeight="1">
      <c r="A703" s="7"/>
      <c r="B703" s="36">
        <v>696</v>
      </c>
      <c r="C703" s="37" t="s">
        <v>19</v>
      </c>
      <c r="D703" s="37" t="s">
        <v>214</v>
      </c>
      <c r="E703" s="37" t="s">
        <v>227</v>
      </c>
      <c r="F703" s="37" t="s">
        <v>229</v>
      </c>
      <c r="G703" s="38" t="s">
        <v>14</v>
      </c>
      <c r="H703" s="39">
        <v>4193</v>
      </c>
      <c r="I703" s="40">
        <v>14.548056300000001</v>
      </c>
      <c r="J703" s="39">
        <v>1593</v>
      </c>
      <c r="K703" s="40">
        <v>45.888261100000001</v>
      </c>
    </row>
    <row r="704" spans="1:11" ht="15" customHeight="1">
      <c r="A704" s="7"/>
      <c r="B704" s="41">
        <v>697</v>
      </c>
      <c r="C704" s="42" t="s">
        <v>19</v>
      </c>
      <c r="D704" s="47" t="s">
        <v>214</v>
      </c>
      <c r="E704" s="47" t="s">
        <v>227</v>
      </c>
      <c r="F704" s="47" t="s">
        <v>230</v>
      </c>
      <c r="G704" s="48" t="s">
        <v>230</v>
      </c>
      <c r="H704" s="43">
        <v>1941</v>
      </c>
      <c r="I704" s="44">
        <v>25.296239100000001</v>
      </c>
      <c r="J704" s="43">
        <v>1491</v>
      </c>
      <c r="K704" s="44">
        <v>78.470824899999997</v>
      </c>
    </row>
    <row r="705" spans="1:11" ht="15" hidden="1" customHeight="1">
      <c r="A705" s="7"/>
      <c r="B705" s="36">
        <v>698</v>
      </c>
      <c r="C705" s="37" t="s">
        <v>19</v>
      </c>
      <c r="D705" s="37" t="s">
        <v>214</v>
      </c>
      <c r="E705" s="37" t="s">
        <v>227</v>
      </c>
      <c r="F705" s="37" t="s">
        <v>230</v>
      </c>
      <c r="G705" s="38" t="s">
        <v>13</v>
      </c>
      <c r="H705" s="39"/>
      <c r="I705" s="40"/>
      <c r="J705" s="39"/>
      <c r="K705" s="40"/>
    </row>
    <row r="706" spans="1:11" ht="15" hidden="1" customHeight="1">
      <c r="A706" s="7"/>
      <c r="B706" s="36">
        <v>699</v>
      </c>
      <c r="C706" s="37" t="s">
        <v>19</v>
      </c>
      <c r="D706" s="37" t="s">
        <v>214</v>
      </c>
      <c r="E706" s="37" t="s">
        <v>227</v>
      </c>
      <c r="F706" s="37" t="s">
        <v>230</v>
      </c>
      <c r="G706" s="38" t="s">
        <v>14</v>
      </c>
      <c r="H706" s="39">
        <v>1941</v>
      </c>
      <c r="I706" s="40">
        <v>25.296239100000001</v>
      </c>
      <c r="J706" s="39">
        <v>1491</v>
      </c>
      <c r="K706" s="40">
        <v>78.470824899999997</v>
      </c>
    </row>
    <row r="707" spans="1:11" ht="15" customHeight="1">
      <c r="A707" s="7"/>
      <c r="B707" s="41">
        <v>700</v>
      </c>
      <c r="C707" s="42" t="s">
        <v>19</v>
      </c>
      <c r="D707" s="47" t="s">
        <v>214</v>
      </c>
      <c r="E707" s="47" t="s">
        <v>227</v>
      </c>
      <c r="F707" s="47" t="s">
        <v>231</v>
      </c>
      <c r="G707" s="48" t="s">
        <v>231</v>
      </c>
      <c r="H707" s="43">
        <v>513</v>
      </c>
      <c r="I707" s="44">
        <v>7.0175438999999997</v>
      </c>
      <c r="J707" s="43">
        <v>872</v>
      </c>
      <c r="K707" s="44">
        <v>74.885321099999999</v>
      </c>
    </row>
    <row r="708" spans="1:11" ht="15" hidden="1" customHeight="1">
      <c r="A708" s="7"/>
      <c r="B708" s="36">
        <v>701</v>
      </c>
      <c r="C708" s="37" t="s">
        <v>19</v>
      </c>
      <c r="D708" s="37" t="s">
        <v>214</v>
      </c>
      <c r="E708" s="37" t="s">
        <v>227</v>
      </c>
      <c r="F708" s="37" t="s">
        <v>231</v>
      </c>
      <c r="G708" s="38" t="s">
        <v>13</v>
      </c>
      <c r="H708" s="39"/>
      <c r="I708" s="40"/>
      <c r="J708" s="39"/>
      <c r="K708" s="40"/>
    </row>
    <row r="709" spans="1:11" ht="15" hidden="1" customHeight="1">
      <c r="A709" s="7"/>
      <c r="B709" s="36">
        <v>702</v>
      </c>
      <c r="C709" s="37" t="s">
        <v>19</v>
      </c>
      <c r="D709" s="37" t="s">
        <v>214</v>
      </c>
      <c r="E709" s="37" t="s">
        <v>227</v>
      </c>
      <c r="F709" s="37" t="s">
        <v>231</v>
      </c>
      <c r="G709" s="38" t="s">
        <v>14</v>
      </c>
      <c r="H709" s="39">
        <v>513</v>
      </c>
      <c r="I709" s="40">
        <v>7.0175438999999997</v>
      </c>
      <c r="J709" s="39">
        <v>872</v>
      </c>
      <c r="K709" s="40">
        <v>74.885321099999999</v>
      </c>
    </row>
    <row r="710" spans="1:11" ht="15" customHeight="1">
      <c r="A710" s="7"/>
      <c r="B710" s="41">
        <v>703</v>
      </c>
      <c r="C710" s="42" t="s">
        <v>19</v>
      </c>
      <c r="D710" s="47" t="s">
        <v>214</v>
      </c>
      <c r="E710" s="47" t="s">
        <v>227</v>
      </c>
      <c r="F710" s="47" t="s">
        <v>232</v>
      </c>
      <c r="G710" s="48" t="s">
        <v>232</v>
      </c>
      <c r="H710" s="43">
        <v>2688</v>
      </c>
      <c r="I710" s="44">
        <v>43.415178599999997</v>
      </c>
      <c r="J710" s="43">
        <v>3843</v>
      </c>
      <c r="K710" s="44">
        <v>76.372625600000006</v>
      </c>
    </row>
    <row r="711" spans="1:11" ht="15" hidden="1" customHeight="1">
      <c r="A711" s="7"/>
      <c r="B711" s="36">
        <v>704</v>
      </c>
      <c r="C711" s="37" t="s">
        <v>19</v>
      </c>
      <c r="D711" s="37" t="s">
        <v>214</v>
      </c>
      <c r="E711" s="37" t="s">
        <v>227</v>
      </c>
      <c r="F711" s="37" t="s">
        <v>232</v>
      </c>
      <c r="G711" s="38" t="s">
        <v>13</v>
      </c>
      <c r="H711" s="39"/>
      <c r="I711" s="40"/>
      <c r="J711" s="39"/>
      <c r="K711" s="40"/>
    </row>
    <row r="712" spans="1:11" ht="15" hidden="1" customHeight="1">
      <c r="A712" s="7"/>
      <c r="B712" s="36">
        <v>705</v>
      </c>
      <c r="C712" s="37" t="s">
        <v>19</v>
      </c>
      <c r="D712" s="37" t="s">
        <v>214</v>
      </c>
      <c r="E712" s="37" t="s">
        <v>227</v>
      </c>
      <c r="F712" s="37" t="s">
        <v>232</v>
      </c>
      <c r="G712" s="38" t="s">
        <v>14</v>
      </c>
      <c r="H712" s="39">
        <v>2688</v>
      </c>
      <c r="I712" s="40">
        <v>43.415178599999997</v>
      </c>
      <c r="J712" s="39">
        <v>3843</v>
      </c>
      <c r="K712" s="40">
        <v>76.372625600000006</v>
      </c>
    </row>
    <row r="713" spans="1:11" ht="15" hidden="1" customHeight="1">
      <c r="A713" s="7"/>
      <c r="B713" s="32">
        <v>706</v>
      </c>
      <c r="C713" s="33" t="s">
        <v>17</v>
      </c>
      <c r="D713" s="46" t="s">
        <v>214</v>
      </c>
      <c r="E713" s="46" t="s">
        <v>233</v>
      </c>
      <c r="F713" s="46"/>
      <c r="G713" s="33" t="s">
        <v>233</v>
      </c>
      <c r="H713" s="34">
        <v>16262</v>
      </c>
      <c r="I713" s="35">
        <v>63.762144900000003</v>
      </c>
      <c r="J713" s="34">
        <v>16686</v>
      </c>
      <c r="K713" s="35">
        <v>79.2460746</v>
      </c>
    </row>
    <row r="714" spans="1:11" ht="15" hidden="1" customHeight="1">
      <c r="A714" s="7"/>
      <c r="B714" s="36">
        <v>707</v>
      </c>
      <c r="C714" s="37" t="s">
        <v>17</v>
      </c>
      <c r="D714" s="37" t="s">
        <v>214</v>
      </c>
      <c r="E714" s="37" t="s">
        <v>233</v>
      </c>
      <c r="F714" s="37"/>
      <c r="G714" s="38" t="s">
        <v>13</v>
      </c>
      <c r="H714" s="39">
        <v>3500</v>
      </c>
      <c r="I714" s="40">
        <v>98.542857100000006</v>
      </c>
      <c r="J714" s="39">
        <v>4595</v>
      </c>
      <c r="K714" s="40">
        <v>99.260065299999994</v>
      </c>
    </row>
    <row r="715" spans="1:11" ht="15" hidden="1" customHeight="1">
      <c r="A715" s="7"/>
      <c r="B715" s="36">
        <v>708</v>
      </c>
      <c r="C715" s="37" t="s">
        <v>17</v>
      </c>
      <c r="D715" s="37" t="s">
        <v>214</v>
      </c>
      <c r="E715" s="37" t="s">
        <v>233</v>
      </c>
      <c r="F715" s="37"/>
      <c r="G715" s="38" t="s">
        <v>14</v>
      </c>
      <c r="H715" s="39">
        <v>12762</v>
      </c>
      <c r="I715" s="40">
        <v>54.223475899999997</v>
      </c>
      <c r="J715" s="39">
        <v>12091</v>
      </c>
      <c r="K715" s="40">
        <v>71.640062900000004</v>
      </c>
    </row>
    <row r="716" spans="1:11" ht="15" customHeight="1">
      <c r="A716" s="7"/>
      <c r="B716" s="41">
        <v>709</v>
      </c>
      <c r="C716" s="42" t="s">
        <v>19</v>
      </c>
      <c r="D716" s="47" t="s">
        <v>214</v>
      </c>
      <c r="E716" s="47" t="s">
        <v>233</v>
      </c>
      <c r="F716" s="47" t="s">
        <v>233</v>
      </c>
      <c r="G716" s="48" t="s">
        <v>233</v>
      </c>
      <c r="H716" s="43">
        <v>7173</v>
      </c>
      <c r="I716" s="44">
        <v>58.176495199999998</v>
      </c>
      <c r="J716" s="43">
        <v>9040</v>
      </c>
      <c r="K716" s="44">
        <v>76.703539800000001</v>
      </c>
    </row>
    <row r="717" spans="1:11" ht="15" hidden="1" customHeight="1">
      <c r="A717" s="7"/>
      <c r="B717" s="36">
        <v>710</v>
      </c>
      <c r="C717" s="37" t="s">
        <v>19</v>
      </c>
      <c r="D717" s="37" t="s">
        <v>214</v>
      </c>
      <c r="E717" s="37" t="s">
        <v>233</v>
      </c>
      <c r="F717" s="37" t="s">
        <v>233</v>
      </c>
      <c r="G717" s="38" t="s">
        <v>13</v>
      </c>
      <c r="H717" s="39">
        <v>3500</v>
      </c>
      <c r="I717" s="40">
        <v>98.542857100000006</v>
      </c>
      <c r="J717" s="39">
        <v>4595</v>
      </c>
      <c r="K717" s="40">
        <v>99.260065299999994</v>
      </c>
    </row>
    <row r="718" spans="1:11" ht="15" hidden="1" customHeight="1">
      <c r="A718" s="7"/>
      <c r="B718" s="36">
        <v>711</v>
      </c>
      <c r="C718" s="37" t="s">
        <v>19</v>
      </c>
      <c r="D718" s="37" t="s">
        <v>214</v>
      </c>
      <c r="E718" s="37" t="s">
        <v>233</v>
      </c>
      <c r="F718" s="37" t="s">
        <v>233</v>
      </c>
      <c r="G718" s="38" t="s">
        <v>14</v>
      </c>
      <c r="H718" s="39">
        <v>3673</v>
      </c>
      <c r="I718" s="40">
        <v>19.711407600000001</v>
      </c>
      <c r="J718" s="39">
        <v>4445</v>
      </c>
      <c r="K718" s="40">
        <v>53.385826799999997</v>
      </c>
    </row>
    <row r="719" spans="1:11" ht="15" customHeight="1">
      <c r="A719" s="7"/>
      <c r="B719" s="41">
        <v>712</v>
      </c>
      <c r="C719" s="42" t="s">
        <v>19</v>
      </c>
      <c r="D719" s="47" t="s">
        <v>214</v>
      </c>
      <c r="E719" s="47" t="s">
        <v>233</v>
      </c>
      <c r="F719" s="47" t="s">
        <v>234</v>
      </c>
      <c r="G719" s="48" t="s">
        <v>234</v>
      </c>
      <c r="H719" s="43">
        <v>5910</v>
      </c>
      <c r="I719" s="44">
        <v>69.475465299999996</v>
      </c>
      <c r="J719" s="43">
        <v>4129</v>
      </c>
      <c r="K719" s="44">
        <v>81.666263000000001</v>
      </c>
    </row>
    <row r="720" spans="1:11" ht="15" hidden="1" customHeight="1">
      <c r="A720" s="7"/>
      <c r="B720" s="36">
        <v>713</v>
      </c>
      <c r="C720" s="37" t="s">
        <v>19</v>
      </c>
      <c r="D720" s="37" t="s">
        <v>214</v>
      </c>
      <c r="E720" s="37" t="s">
        <v>233</v>
      </c>
      <c r="F720" s="37" t="s">
        <v>234</v>
      </c>
      <c r="G720" s="38" t="s">
        <v>13</v>
      </c>
      <c r="H720" s="39"/>
      <c r="I720" s="40"/>
      <c r="J720" s="39"/>
      <c r="K720" s="40"/>
    </row>
    <row r="721" spans="1:11" ht="15" hidden="1" customHeight="1">
      <c r="A721" s="7"/>
      <c r="B721" s="36">
        <v>714</v>
      </c>
      <c r="C721" s="37" t="s">
        <v>19</v>
      </c>
      <c r="D721" s="37" t="s">
        <v>214</v>
      </c>
      <c r="E721" s="37" t="s">
        <v>233</v>
      </c>
      <c r="F721" s="37" t="s">
        <v>234</v>
      </c>
      <c r="G721" s="38" t="s">
        <v>14</v>
      </c>
      <c r="H721" s="39">
        <v>5910</v>
      </c>
      <c r="I721" s="40">
        <v>69.475465299999996</v>
      </c>
      <c r="J721" s="39">
        <v>4129</v>
      </c>
      <c r="K721" s="40">
        <v>81.666263000000001</v>
      </c>
    </row>
    <row r="722" spans="1:11" ht="15" customHeight="1">
      <c r="A722" s="7"/>
      <c r="B722" s="41">
        <v>715</v>
      </c>
      <c r="C722" s="42" t="s">
        <v>19</v>
      </c>
      <c r="D722" s="47" t="s">
        <v>214</v>
      </c>
      <c r="E722" s="47" t="s">
        <v>233</v>
      </c>
      <c r="F722" s="47" t="s">
        <v>235</v>
      </c>
      <c r="G722" s="48" t="s">
        <v>235</v>
      </c>
      <c r="H722" s="43">
        <v>3179</v>
      </c>
      <c r="I722" s="44">
        <v>65.743944600000006</v>
      </c>
      <c r="J722" s="43">
        <v>3517</v>
      </c>
      <c r="K722" s="44">
        <v>82.9400057</v>
      </c>
    </row>
    <row r="723" spans="1:11" ht="15" hidden="1" customHeight="1">
      <c r="A723" s="7"/>
      <c r="B723" s="36">
        <v>716</v>
      </c>
      <c r="C723" s="37" t="s">
        <v>19</v>
      </c>
      <c r="D723" s="37" t="s">
        <v>214</v>
      </c>
      <c r="E723" s="37" t="s">
        <v>233</v>
      </c>
      <c r="F723" s="37" t="s">
        <v>235</v>
      </c>
      <c r="G723" s="38" t="s">
        <v>13</v>
      </c>
      <c r="H723" s="39"/>
      <c r="I723" s="40"/>
      <c r="J723" s="39"/>
      <c r="K723" s="40"/>
    </row>
    <row r="724" spans="1:11" ht="15" hidden="1" customHeight="1">
      <c r="A724" s="7"/>
      <c r="B724" s="36">
        <v>717</v>
      </c>
      <c r="C724" s="37" t="s">
        <v>19</v>
      </c>
      <c r="D724" s="37" t="s">
        <v>214</v>
      </c>
      <c r="E724" s="37" t="s">
        <v>233</v>
      </c>
      <c r="F724" s="37" t="s">
        <v>235</v>
      </c>
      <c r="G724" s="38" t="s">
        <v>14</v>
      </c>
      <c r="H724" s="39">
        <v>3179</v>
      </c>
      <c r="I724" s="40">
        <v>65.743944600000006</v>
      </c>
      <c r="J724" s="39">
        <v>3517</v>
      </c>
      <c r="K724" s="40">
        <v>82.9400057</v>
      </c>
    </row>
    <row r="725" spans="1:11" ht="15" hidden="1" customHeight="1">
      <c r="A725" s="7"/>
      <c r="B725" s="32">
        <v>718</v>
      </c>
      <c r="C725" s="33" t="s">
        <v>17</v>
      </c>
      <c r="D725" s="46" t="s">
        <v>214</v>
      </c>
      <c r="E725" s="46" t="s">
        <v>236</v>
      </c>
      <c r="F725" s="46"/>
      <c r="G725" s="33" t="s">
        <v>236</v>
      </c>
      <c r="H725" s="34">
        <v>28818</v>
      </c>
      <c r="I725" s="35">
        <v>86.973419399999997</v>
      </c>
      <c r="J725" s="34">
        <v>25426</v>
      </c>
      <c r="K725" s="35">
        <v>92.491937399999998</v>
      </c>
    </row>
    <row r="726" spans="1:11" ht="15" hidden="1" customHeight="1">
      <c r="A726" s="7"/>
      <c r="B726" s="36">
        <v>719</v>
      </c>
      <c r="C726" s="37" t="s">
        <v>17</v>
      </c>
      <c r="D726" s="37" t="s">
        <v>214</v>
      </c>
      <c r="E726" s="37" t="s">
        <v>236</v>
      </c>
      <c r="F726" s="37"/>
      <c r="G726" s="38" t="s">
        <v>13</v>
      </c>
      <c r="H726" s="39">
        <v>22508</v>
      </c>
      <c r="I726" s="40">
        <v>99.800071099999997</v>
      </c>
      <c r="J726" s="39">
        <v>18720</v>
      </c>
      <c r="K726" s="40">
        <v>99.845085499999996</v>
      </c>
    </row>
    <row r="727" spans="1:11" ht="15" hidden="1" customHeight="1">
      <c r="A727" s="7"/>
      <c r="B727" s="36">
        <v>720</v>
      </c>
      <c r="C727" s="37" t="s">
        <v>17</v>
      </c>
      <c r="D727" s="37" t="s">
        <v>214</v>
      </c>
      <c r="E727" s="37" t="s">
        <v>236</v>
      </c>
      <c r="F727" s="37"/>
      <c r="G727" s="38" t="s">
        <v>14</v>
      </c>
      <c r="H727" s="39">
        <v>6310</v>
      </c>
      <c r="I727" s="40">
        <v>41.2202853</v>
      </c>
      <c r="J727" s="39">
        <v>6706</v>
      </c>
      <c r="K727" s="40">
        <v>71.965404100000001</v>
      </c>
    </row>
    <row r="728" spans="1:11" ht="15" customHeight="1">
      <c r="A728" s="7"/>
      <c r="B728" s="41">
        <v>721</v>
      </c>
      <c r="C728" s="42" t="s">
        <v>19</v>
      </c>
      <c r="D728" s="47" t="s">
        <v>214</v>
      </c>
      <c r="E728" s="47" t="s">
        <v>236</v>
      </c>
      <c r="F728" s="47" t="s">
        <v>237</v>
      </c>
      <c r="G728" s="48" t="s">
        <v>237</v>
      </c>
      <c r="H728" s="43">
        <v>24097</v>
      </c>
      <c r="I728" s="44">
        <v>89.629414400000002</v>
      </c>
      <c r="J728" s="43">
        <v>19368</v>
      </c>
      <c r="K728" s="44">
        <v>93.757744700000003</v>
      </c>
    </row>
    <row r="729" spans="1:11" ht="15" hidden="1" customHeight="1">
      <c r="A729" s="7"/>
      <c r="B729" s="36">
        <v>722</v>
      </c>
      <c r="C729" s="37" t="s">
        <v>19</v>
      </c>
      <c r="D729" s="37" t="s">
        <v>214</v>
      </c>
      <c r="E729" s="37" t="s">
        <v>236</v>
      </c>
      <c r="F729" s="37" t="s">
        <v>237</v>
      </c>
      <c r="G729" s="38" t="s">
        <v>13</v>
      </c>
      <c r="H729" s="39">
        <v>19833</v>
      </c>
      <c r="I729" s="40">
        <v>99.9243685</v>
      </c>
      <c r="J729" s="39">
        <v>15562</v>
      </c>
      <c r="K729" s="40">
        <v>99.910037299999999</v>
      </c>
    </row>
    <row r="730" spans="1:11" ht="15" hidden="1" customHeight="1">
      <c r="A730" s="7"/>
      <c r="B730" s="36">
        <v>723</v>
      </c>
      <c r="C730" s="37" t="s">
        <v>19</v>
      </c>
      <c r="D730" s="37" t="s">
        <v>214</v>
      </c>
      <c r="E730" s="37" t="s">
        <v>236</v>
      </c>
      <c r="F730" s="37" t="s">
        <v>237</v>
      </c>
      <c r="G730" s="38" t="s">
        <v>14</v>
      </c>
      <c r="H730" s="39">
        <v>4264</v>
      </c>
      <c r="I730" s="40">
        <v>41.744840500000002</v>
      </c>
      <c r="J730" s="39">
        <v>3806</v>
      </c>
      <c r="K730" s="40">
        <v>68.602207000000007</v>
      </c>
    </row>
    <row r="731" spans="1:11" ht="15" customHeight="1">
      <c r="A731" s="7"/>
      <c r="B731" s="41">
        <v>724</v>
      </c>
      <c r="C731" s="42" t="s">
        <v>19</v>
      </c>
      <c r="D731" s="47" t="s">
        <v>214</v>
      </c>
      <c r="E731" s="47" t="s">
        <v>236</v>
      </c>
      <c r="F731" s="47" t="s">
        <v>238</v>
      </c>
      <c r="G731" s="48" t="s">
        <v>238</v>
      </c>
      <c r="H731" s="43">
        <v>4721</v>
      </c>
      <c r="I731" s="44">
        <v>73.416649000000007</v>
      </c>
      <c r="J731" s="43">
        <v>6058</v>
      </c>
      <c r="K731" s="44">
        <v>88.445031400000005</v>
      </c>
    </row>
    <row r="732" spans="1:11" ht="15" hidden="1" customHeight="1">
      <c r="A732" s="7"/>
      <c r="B732" s="36">
        <v>725</v>
      </c>
      <c r="C732" s="37" t="s">
        <v>19</v>
      </c>
      <c r="D732" s="37" t="s">
        <v>214</v>
      </c>
      <c r="E732" s="37" t="s">
        <v>236</v>
      </c>
      <c r="F732" s="37" t="s">
        <v>238</v>
      </c>
      <c r="G732" s="38" t="s">
        <v>13</v>
      </c>
      <c r="H732" s="39">
        <v>2675</v>
      </c>
      <c r="I732" s="40">
        <v>98.878504699999993</v>
      </c>
      <c r="J732" s="39">
        <v>3158</v>
      </c>
      <c r="K732" s="40">
        <v>99.525015800000006</v>
      </c>
    </row>
    <row r="733" spans="1:11" ht="15" hidden="1" customHeight="1">
      <c r="A733" s="7"/>
      <c r="B733" s="36">
        <v>726</v>
      </c>
      <c r="C733" s="37" t="s">
        <v>19</v>
      </c>
      <c r="D733" s="37" t="s">
        <v>214</v>
      </c>
      <c r="E733" s="37" t="s">
        <v>236</v>
      </c>
      <c r="F733" s="37" t="s">
        <v>238</v>
      </c>
      <c r="G733" s="38" t="s">
        <v>14</v>
      </c>
      <c r="H733" s="39">
        <v>2046</v>
      </c>
      <c r="I733" s="40">
        <v>40.127077200000002</v>
      </c>
      <c r="J733" s="39">
        <v>2900</v>
      </c>
      <c r="K733" s="40">
        <v>76.3793103</v>
      </c>
    </row>
    <row r="734" spans="1:11" ht="15" hidden="1" customHeight="1">
      <c r="A734" s="7"/>
      <c r="B734" s="32">
        <v>727</v>
      </c>
      <c r="C734" s="33" t="s">
        <v>17</v>
      </c>
      <c r="D734" s="46" t="s">
        <v>214</v>
      </c>
      <c r="E734" s="46" t="s">
        <v>239</v>
      </c>
      <c r="F734" s="46"/>
      <c r="G734" s="33" t="s">
        <v>239</v>
      </c>
      <c r="H734" s="34">
        <v>14612</v>
      </c>
      <c r="I734" s="35">
        <v>38.612099600000001</v>
      </c>
      <c r="J734" s="34">
        <v>18982</v>
      </c>
      <c r="K734" s="35">
        <v>64.713939499999995</v>
      </c>
    </row>
    <row r="735" spans="1:11" ht="15" hidden="1" customHeight="1">
      <c r="A735" s="7"/>
      <c r="B735" s="36">
        <v>728</v>
      </c>
      <c r="C735" s="37" t="s">
        <v>17</v>
      </c>
      <c r="D735" s="37" t="s">
        <v>214</v>
      </c>
      <c r="E735" s="37" t="s">
        <v>239</v>
      </c>
      <c r="F735" s="37"/>
      <c r="G735" s="38" t="s">
        <v>13</v>
      </c>
      <c r="H735" s="39"/>
      <c r="I735" s="40"/>
      <c r="J735" s="39"/>
      <c r="K735" s="40"/>
    </row>
    <row r="736" spans="1:11" ht="15" hidden="1" customHeight="1">
      <c r="A736" s="7"/>
      <c r="B736" s="36">
        <v>729</v>
      </c>
      <c r="C736" s="37" t="s">
        <v>17</v>
      </c>
      <c r="D736" s="37" t="s">
        <v>214</v>
      </c>
      <c r="E736" s="37" t="s">
        <v>239</v>
      </c>
      <c r="F736" s="37"/>
      <c r="G736" s="38" t="s">
        <v>14</v>
      </c>
      <c r="H736" s="39">
        <v>14612</v>
      </c>
      <c r="I736" s="40">
        <v>38.612099600000001</v>
      </c>
      <c r="J736" s="39">
        <v>18982</v>
      </c>
      <c r="K736" s="40">
        <v>64.713939499999995</v>
      </c>
    </row>
    <row r="737" spans="1:11" ht="15" customHeight="1">
      <c r="A737" s="7"/>
      <c r="B737" s="41">
        <v>730</v>
      </c>
      <c r="C737" s="42" t="s">
        <v>19</v>
      </c>
      <c r="D737" s="47" t="s">
        <v>214</v>
      </c>
      <c r="E737" s="47" t="s">
        <v>239</v>
      </c>
      <c r="F737" s="47" t="s">
        <v>240</v>
      </c>
      <c r="G737" s="48" t="s">
        <v>240</v>
      </c>
      <c r="H737" s="43">
        <v>11685</v>
      </c>
      <c r="I737" s="44">
        <v>38.981600299999997</v>
      </c>
      <c r="J737" s="43">
        <v>15794</v>
      </c>
      <c r="K737" s="44">
        <v>64.290236800000002</v>
      </c>
    </row>
    <row r="738" spans="1:11" ht="15" hidden="1" customHeight="1">
      <c r="A738" s="7"/>
      <c r="B738" s="36">
        <v>731</v>
      </c>
      <c r="C738" s="37" t="s">
        <v>19</v>
      </c>
      <c r="D738" s="37" t="s">
        <v>214</v>
      </c>
      <c r="E738" s="37" t="s">
        <v>239</v>
      </c>
      <c r="F738" s="37" t="s">
        <v>240</v>
      </c>
      <c r="G738" s="38" t="s">
        <v>13</v>
      </c>
      <c r="H738" s="39"/>
      <c r="I738" s="40"/>
      <c r="J738" s="39"/>
      <c r="K738" s="40"/>
    </row>
    <row r="739" spans="1:11" ht="15" hidden="1" customHeight="1">
      <c r="A739" s="7"/>
      <c r="B739" s="36">
        <v>732</v>
      </c>
      <c r="C739" s="37" t="s">
        <v>19</v>
      </c>
      <c r="D739" s="37" t="s">
        <v>214</v>
      </c>
      <c r="E739" s="37" t="s">
        <v>239</v>
      </c>
      <c r="F739" s="37" t="s">
        <v>240</v>
      </c>
      <c r="G739" s="38" t="s">
        <v>14</v>
      </c>
      <c r="H739" s="39">
        <v>11685</v>
      </c>
      <c r="I739" s="40">
        <v>38.981600299999997</v>
      </c>
      <c r="J739" s="39">
        <v>15794</v>
      </c>
      <c r="K739" s="40">
        <v>64.290236800000002</v>
      </c>
    </row>
    <row r="740" spans="1:11" ht="15" customHeight="1">
      <c r="A740" s="7"/>
      <c r="B740" s="41">
        <v>733</v>
      </c>
      <c r="C740" s="42" t="s">
        <v>19</v>
      </c>
      <c r="D740" s="47" t="s">
        <v>214</v>
      </c>
      <c r="E740" s="47" t="s">
        <v>239</v>
      </c>
      <c r="F740" s="47" t="s">
        <v>241</v>
      </c>
      <c r="G740" s="48" t="s">
        <v>241</v>
      </c>
      <c r="H740" s="43">
        <v>2927</v>
      </c>
      <c r="I740" s="44">
        <v>37.137000299999997</v>
      </c>
      <c r="J740" s="43">
        <v>3188</v>
      </c>
      <c r="K740" s="44">
        <v>66.813048899999998</v>
      </c>
    </row>
    <row r="741" spans="1:11" ht="15" hidden="1" customHeight="1">
      <c r="A741" s="7"/>
      <c r="B741" s="36">
        <v>734</v>
      </c>
      <c r="C741" s="37" t="s">
        <v>19</v>
      </c>
      <c r="D741" s="37" t="s">
        <v>214</v>
      </c>
      <c r="E741" s="37" t="s">
        <v>239</v>
      </c>
      <c r="F741" s="37" t="s">
        <v>241</v>
      </c>
      <c r="G741" s="38" t="s">
        <v>13</v>
      </c>
      <c r="H741" s="39"/>
      <c r="I741" s="40"/>
      <c r="J741" s="39"/>
      <c r="K741" s="40"/>
    </row>
    <row r="742" spans="1:11" ht="15" hidden="1" customHeight="1">
      <c r="A742" s="7"/>
      <c r="B742" s="36">
        <v>735</v>
      </c>
      <c r="C742" s="37" t="s">
        <v>19</v>
      </c>
      <c r="D742" s="37" t="s">
        <v>214</v>
      </c>
      <c r="E742" s="37" t="s">
        <v>239</v>
      </c>
      <c r="F742" s="37" t="s">
        <v>241</v>
      </c>
      <c r="G742" s="38" t="s">
        <v>14</v>
      </c>
      <c r="H742" s="39">
        <v>2927</v>
      </c>
      <c r="I742" s="40">
        <v>37.137000299999997</v>
      </c>
      <c r="J742" s="39">
        <v>3188</v>
      </c>
      <c r="K742" s="40">
        <v>66.813048899999998</v>
      </c>
    </row>
    <row r="743" spans="1:11" ht="15" hidden="1" customHeight="1">
      <c r="A743" s="7"/>
      <c r="B743" s="32">
        <v>736</v>
      </c>
      <c r="C743" s="33" t="s">
        <v>17</v>
      </c>
      <c r="D743" s="46" t="s">
        <v>214</v>
      </c>
      <c r="E743" s="46" t="s">
        <v>242</v>
      </c>
      <c r="F743" s="46"/>
      <c r="G743" s="33" t="s">
        <v>242</v>
      </c>
      <c r="H743" s="34">
        <v>10643</v>
      </c>
      <c r="I743" s="35">
        <v>37.761909199999998</v>
      </c>
      <c r="J743" s="34">
        <v>18307</v>
      </c>
      <c r="K743" s="35">
        <v>74.927623299999993</v>
      </c>
    </row>
    <row r="744" spans="1:11" ht="15" hidden="1" customHeight="1">
      <c r="A744" s="7"/>
      <c r="B744" s="36">
        <v>737</v>
      </c>
      <c r="C744" s="37" t="s">
        <v>17</v>
      </c>
      <c r="D744" s="37" t="s">
        <v>214</v>
      </c>
      <c r="E744" s="37" t="s">
        <v>242</v>
      </c>
      <c r="F744" s="37"/>
      <c r="G744" s="38" t="s">
        <v>13</v>
      </c>
      <c r="H744" s="39"/>
      <c r="I744" s="40"/>
      <c r="J744" s="39">
        <v>2288</v>
      </c>
      <c r="K744" s="40">
        <v>96.940559399999998</v>
      </c>
    </row>
    <row r="745" spans="1:11" ht="15" hidden="1" customHeight="1">
      <c r="A745" s="7"/>
      <c r="B745" s="36">
        <v>738</v>
      </c>
      <c r="C745" s="37" t="s">
        <v>17</v>
      </c>
      <c r="D745" s="37" t="s">
        <v>214</v>
      </c>
      <c r="E745" s="37" t="s">
        <v>242</v>
      </c>
      <c r="F745" s="37"/>
      <c r="G745" s="38" t="s">
        <v>14</v>
      </c>
      <c r="H745" s="39">
        <v>10643</v>
      </c>
      <c r="I745" s="40">
        <v>37.761909199999998</v>
      </c>
      <c r="J745" s="39">
        <v>16019</v>
      </c>
      <c r="K745" s="40">
        <v>71.783507099999994</v>
      </c>
    </row>
    <row r="746" spans="1:11" ht="15" customHeight="1">
      <c r="A746" s="7"/>
      <c r="B746" s="41">
        <v>739</v>
      </c>
      <c r="C746" s="42" t="s">
        <v>19</v>
      </c>
      <c r="D746" s="47" t="s">
        <v>214</v>
      </c>
      <c r="E746" s="47" t="s">
        <v>242</v>
      </c>
      <c r="F746" s="47" t="s">
        <v>242</v>
      </c>
      <c r="G746" s="48" t="s">
        <v>242</v>
      </c>
      <c r="H746" s="43">
        <v>7792</v>
      </c>
      <c r="I746" s="44">
        <v>31.6991786</v>
      </c>
      <c r="J746" s="43">
        <v>14592</v>
      </c>
      <c r="K746" s="44">
        <v>74.958881599999998</v>
      </c>
    </row>
    <row r="747" spans="1:11" ht="15" hidden="1" customHeight="1">
      <c r="A747" s="7"/>
      <c r="B747" s="36">
        <v>740</v>
      </c>
      <c r="C747" s="37" t="s">
        <v>19</v>
      </c>
      <c r="D747" s="37" t="s">
        <v>214</v>
      </c>
      <c r="E747" s="37" t="s">
        <v>242</v>
      </c>
      <c r="F747" s="37" t="s">
        <v>242</v>
      </c>
      <c r="G747" s="38" t="s">
        <v>13</v>
      </c>
      <c r="H747" s="39"/>
      <c r="I747" s="40"/>
      <c r="J747" s="39">
        <v>2288</v>
      </c>
      <c r="K747" s="40">
        <v>96.940559399999998</v>
      </c>
    </row>
    <row r="748" spans="1:11" ht="15" hidden="1" customHeight="1">
      <c r="A748" s="7"/>
      <c r="B748" s="36">
        <v>741</v>
      </c>
      <c r="C748" s="37" t="s">
        <v>19</v>
      </c>
      <c r="D748" s="37" t="s">
        <v>214</v>
      </c>
      <c r="E748" s="37" t="s">
        <v>242</v>
      </c>
      <c r="F748" s="37" t="s">
        <v>242</v>
      </c>
      <c r="G748" s="38" t="s">
        <v>14</v>
      </c>
      <c r="H748" s="39">
        <v>7792</v>
      </c>
      <c r="I748" s="40">
        <v>31.6991786</v>
      </c>
      <c r="J748" s="39">
        <v>12304</v>
      </c>
      <c r="K748" s="40">
        <v>70.871261399999995</v>
      </c>
    </row>
    <row r="749" spans="1:11" ht="15" customHeight="1">
      <c r="A749" s="7"/>
      <c r="B749" s="41">
        <v>742</v>
      </c>
      <c r="C749" s="42" t="s">
        <v>19</v>
      </c>
      <c r="D749" s="47" t="s">
        <v>214</v>
      </c>
      <c r="E749" s="47" t="s">
        <v>242</v>
      </c>
      <c r="F749" s="47" t="s">
        <v>243</v>
      </c>
      <c r="G749" s="48" t="s">
        <v>243</v>
      </c>
      <c r="H749" s="43">
        <v>873</v>
      </c>
      <c r="I749" s="44">
        <v>71.019473099999999</v>
      </c>
      <c r="J749" s="43">
        <v>1378</v>
      </c>
      <c r="K749" s="44">
        <v>94.049346900000003</v>
      </c>
    </row>
    <row r="750" spans="1:11" ht="15" hidden="1" customHeight="1">
      <c r="A750" s="7"/>
      <c r="B750" s="36">
        <v>743</v>
      </c>
      <c r="C750" s="37" t="s">
        <v>19</v>
      </c>
      <c r="D750" s="37" t="s">
        <v>214</v>
      </c>
      <c r="E750" s="37" t="s">
        <v>242</v>
      </c>
      <c r="F750" s="37" t="s">
        <v>243</v>
      </c>
      <c r="G750" s="38" t="s">
        <v>13</v>
      </c>
      <c r="H750" s="39"/>
      <c r="I750" s="40"/>
      <c r="J750" s="39"/>
      <c r="K750" s="40"/>
    </row>
    <row r="751" spans="1:11" ht="15" hidden="1" customHeight="1">
      <c r="A751" s="7"/>
      <c r="B751" s="36">
        <v>744</v>
      </c>
      <c r="C751" s="37" t="s">
        <v>19</v>
      </c>
      <c r="D751" s="37" t="s">
        <v>214</v>
      </c>
      <c r="E751" s="37" t="s">
        <v>242</v>
      </c>
      <c r="F751" s="37" t="s">
        <v>243</v>
      </c>
      <c r="G751" s="38" t="s">
        <v>14</v>
      </c>
      <c r="H751" s="39">
        <v>873</v>
      </c>
      <c r="I751" s="40">
        <v>71.019473099999999</v>
      </c>
      <c r="J751" s="39">
        <v>1378</v>
      </c>
      <c r="K751" s="40">
        <v>94.049346900000003</v>
      </c>
    </row>
    <row r="752" spans="1:11" ht="15" customHeight="1">
      <c r="A752" s="7"/>
      <c r="B752" s="41">
        <v>745</v>
      </c>
      <c r="C752" s="42" t="s">
        <v>19</v>
      </c>
      <c r="D752" s="47" t="s">
        <v>214</v>
      </c>
      <c r="E752" s="47" t="s">
        <v>242</v>
      </c>
      <c r="F752" s="47" t="s">
        <v>244</v>
      </c>
      <c r="G752" s="48" t="s">
        <v>244</v>
      </c>
      <c r="H752" s="43">
        <v>1978</v>
      </c>
      <c r="I752" s="44">
        <v>46.966633000000002</v>
      </c>
      <c r="J752" s="43">
        <v>2337</v>
      </c>
      <c r="K752" s="44">
        <v>63.457424000000003</v>
      </c>
    </row>
    <row r="753" spans="1:11" ht="15" hidden="1" customHeight="1">
      <c r="A753" s="7"/>
      <c r="B753" s="36">
        <v>746</v>
      </c>
      <c r="C753" s="37" t="s">
        <v>19</v>
      </c>
      <c r="D753" s="37" t="s">
        <v>214</v>
      </c>
      <c r="E753" s="37" t="s">
        <v>242</v>
      </c>
      <c r="F753" s="37" t="s">
        <v>244</v>
      </c>
      <c r="G753" s="38" t="s">
        <v>13</v>
      </c>
      <c r="H753" s="39"/>
      <c r="I753" s="40"/>
      <c r="J753" s="39"/>
      <c r="K753" s="40"/>
    </row>
    <row r="754" spans="1:11" ht="15" hidden="1" customHeight="1">
      <c r="A754" s="7"/>
      <c r="B754" s="36">
        <v>747</v>
      </c>
      <c r="C754" s="37" t="s">
        <v>19</v>
      </c>
      <c r="D754" s="37" t="s">
        <v>214</v>
      </c>
      <c r="E754" s="37" t="s">
        <v>242</v>
      </c>
      <c r="F754" s="37" t="s">
        <v>244</v>
      </c>
      <c r="G754" s="38" t="s">
        <v>14</v>
      </c>
      <c r="H754" s="39">
        <v>1978</v>
      </c>
      <c r="I754" s="40">
        <v>46.966633000000002</v>
      </c>
      <c r="J754" s="39">
        <v>2337</v>
      </c>
      <c r="K754" s="40">
        <v>63.457424000000003</v>
      </c>
    </row>
    <row r="755" spans="1:11" ht="15" hidden="1" customHeight="1">
      <c r="A755" s="7"/>
      <c r="B755" s="32">
        <v>748</v>
      </c>
      <c r="C755" s="33" t="s">
        <v>17</v>
      </c>
      <c r="D755" s="46" t="s">
        <v>214</v>
      </c>
      <c r="E755" s="46" t="s">
        <v>245</v>
      </c>
      <c r="F755" s="46"/>
      <c r="G755" s="33" t="s">
        <v>245</v>
      </c>
      <c r="H755" s="34">
        <v>9993</v>
      </c>
      <c r="I755" s="35">
        <v>20.884619199999999</v>
      </c>
      <c r="J755" s="34">
        <v>12084</v>
      </c>
      <c r="K755" s="35">
        <v>36.6683217</v>
      </c>
    </row>
    <row r="756" spans="1:11" ht="15" hidden="1" customHeight="1">
      <c r="A756" s="7"/>
      <c r="B756" s="36">
        <v>749</v>
      </c>
      <c r="C756" s="37" t="s">
        <v>17</v>
      </c>
      <c r="D756" s="37" t="s">
        <v>214</v>
      </c>
      <c r="E756" s="37" t="s">
        <v>245</v>
      </c>
      <c r="F756" s="37"/>
      <c r="G756" s="38" t="s">
        <v>13</v>
      </c>
      <c r="H756" s="39"/>
      <c r="I756" s="40"/>
      <c r="J756" s="39"/>
      <c r="K756" s="40"/>
    </row>
    <row r="757" spans="1:11" ht="15" hidden="1" customHeight="1">
      <c r="A757" s="7"/>
      <c r="B757" s="36">
        <v>750</v>
      </c>
      <c r="C757" s="37" t="s">
        <v>17</v>
      </c>
      <c r="D757" s="37" t="s">
        <v>214</v>
      </c>
      <c r="E757" s="37" t="s">
        <v>245</v>
      </c>
      <c r="F757" s="37"/>
      <c r="G757" s="38" t="s">
        <v>14</v>
      </c>
      <c r="H757" s="39">
        <v>9993</v>
      </c>
      <c r="I757" s="40">
        <v>20.884619199999999</v>
      </c>
      <c r="J757" s="39">
        <v>12084</v>
      </c>
      <c r="K757" s="40">
        <v>36.6683217</v>
      </c>
    </row>
    <row r="758" spans="1:11" ht="15" customHeight="1">
      <c r="A758" s="7"/>
      <c r="B758" s="41">
        <v>751</v>
      </c>
      <c r="C758" s="42" t="s">
        <v>19</v>
      </c>
      <c r="D758" s="47" t="s">
        <v>214</v>
      </c>
      <c r="E758" s="47" t="s">
        <v>245</v>
      </c>
      <c r="F758" s="47" t="s">
        <v>246</v>
      </c>
      <c r="G758" s="48" t="s">
        <v>246</v>
      </c>
      <c r="H758" s="43">
        <v>9993</v>
      </c>
      <c r="I758" s="44">
        <v>20.884619199999999</v>
      </c>
      <c r="J758" s="43">
        <v>12084</v>
      </c>
      <c r="K758" s="44">
        <v>36.6683217</v>
      </c>
    </row>
    <row r="759" spans="1:11" ht="15" hidden="1" customHeight="1">
      <c r="A759" s="7"/>
      <c r="B759" s="36">
        <v>752</v>
      </c>
      <c r="C759" s="37" t="s">
        <v>19</v>
      </c>
      <c r="D759" s="37" t="s">
        <v>214</v>
      </c>
      <c r="E759" s="37" t="s">
        <v>245</v>
      </c>
      <c r="F759" s="37" t="s">
        <v>246</v>
      </c>
      <c r="G759" s="38" t="s">
        <v>13</v>
      </c>
      <c r="H759" s="39"/>
      <c r="I759" s="40"/>
      <c r="J759" s="39"/>
      <c r="K759" s="40"/>
    </row>
    <row r="760" spans="1:11" ht="15" hidden="1" customHeight="1">
      <c r="A760" s="7"/>
      <c r="B760" s="36">
        <v>753</v>
      </c>
      <c r="C760" s="37" t="s">
        <v>19</v>
      </c>
      <c r="D760" s="37" t="s">
        <v>214</v>
      </c>
      <c r="E760" s="37" t="s">
        <v>245</v>
      </c>
      <c r="F760" s="37" t="s">
        <v>246</v>
      </c>
      <c r="G760" s="38" t="s">
        <v>14</v>
      </c>
      <c r="H760" s="39">
        <v>9993</v>
      </c>
      <c r="I760" s="40">
        <v>20.884619199999999</v>
      </c>
      <c r="J760" s="39">
        <v>12084</v>
      </c>
      <c r="K760" s="40">
        <v>36.6683217</v>
      </c>
    </row>
    <row r="761" spans="1:11" ht="15" hidden="1" customHeight="1">
      <c r="A761" s="7"/>
      <c r="B761" s="32">
        <v>754</v>
      </c>
      <c r="C761" s="33" t="s">
        <v>17</v>
      </c>
      <c r="D761" s="46" t="s">
        <v>214</v>
      </c>
      <c r="E761" s="46" t="s">
        <v>247</v>
      </c>
      <c r="F761" s="46"/>
      <c r="G761" s="33" t="s">
        <v>247</v>
      </c>
      <c r="H761" s="34">
        <v>5188</v>
      </c>
      <c r="I761" s="35">
        <v>62.1048574</v>
      </c>
      <c r="J761" s="34">
        <v>5309</v>
      </c>
      <c r="K761" s="35">
        <v>82.539084599999995</v>
      </c>
    </row>
    <row r="762" spans="1:11" ht="15" hidden="1" customHeight="1">
      <c r="A762" s="7"/>
      <c r="B762" s="36">
        <v>755</v>
      </c>
      <c r="C762" s="37" t="s">
        <v>17</v>
      </c>
      <c r="D762" s="37" t="s">
        <v>214</v>
      </c>
      <c r="E762" s="37" t="s">
        <v>247</v>
      </c>
      <c r="F762" s="37"/>
      <c r="G762" s="38" t="s">
        <v>13</v>
      </c>
      <c r="H762" s="39">
        <v>2563</v>
      </c>
      <c r="I762" s="40">
        <v>93.757315599999998</v>
      </c>
      <c r="J762" s="39">
        <v>2170</v>
      </c>
      <c r="K762" s="40">
        <v>99.078340999999995</v>
      </c>
    </row>
    <row r="763" spans="1:11" ht="15" hidden="1" customHeight="1">
      <c r="A763" s="7"/>
      <c r="B763" s="36">
        <v>756</v>
      </c>
      <c r="C763" s="37" t="s">
        <v>17</v>
      </c>
      <c r="D763" s="37" t="s">
        <v>214</v>
      </c>
      <c r="E763" s="37" t="s">
        <v>247</v>
      </c>
      <c r="F763" s="37"/>
      <c r="G763" s="38" t="s">
        <v>14</v>
      </c>
      <c r="H763" s="39">
        <v>2625</v>
      </c>
      <c r="I763" s="40">
        <v>31.2</v>
      </c>
      <c r="J763" s="39">
        <v>3139</v>
      </c>
      <c r="K763" s="40">
        <v>71.105447600000005</v>
      </c>
    </row>
    <row r="764" spans="1:11" ht="15" customHeight="1">
      <c r="A764" s="7"/>
      <c r="B764" s="41">
        <v>757</v>
      </c>
      <c r="C764" s="42" t="s">
        <v>19</v>
      </c>
      <c r="D764" s="47" t="s">
        <v>214</v>
      </c>
      <c r="E764" s="47" t="s">
        <v>247</v>
      </c>
      <c r="F764" s="47" t="s">
        <v>248</v>
      </c>
      <c r="G764" s="48" t="s">
        <v>248</v>
      </c>
      <c r="H764" s="43">
        <v>5188</v>
      </c>
      <c r="I764" s="44">
        <v>62.1048574</v>
      </c>
      <c r="J764" s="43">
        <v>5309</v>
      </c>
      <c r="K764" s="44">
        <v>82.539084599999995</v>
      </c>
    </row>
    <row r="765" spans="1:11" ht="15" hidden="1" customHeight="1">
      <c r="A765" s="7"/>
      <c r="B765" s="36">
        <v>758</v>
      </c>
      <c r="C765" s="37" t="s">
        <v>19</v>
      </c>
      <c r="D765" s="37" t="s">
        <v>214</v>
      </c>
      <c r="E765" s="37" t="s">
        <v>247</v>
      </c>
      <c r="F765" s="37" t="s">
        <v>248</v>
      </c>
      <c r="G765" s="38" t="s">
        <v>13</v>
      </c>
      <c r="H765" s="39">
        <v>2563</v>
      </c>
      <c r="I765" s="40">
        <v>93.757315599999998</v>
      </c>
      <c r="J765" s="39">
        <v>2170</v>
      </c>
      <c r="K765" s="40">
        <v>99.078340999999995</v>
      </c>
    </row>
    <row r="766" spans="1:11" ht="15" hidden="1" customHeight="1">
      <c r="A766" s="7"/>
      <c r="B766" s="36">
        <v>759</v>
      </c>
      <c r="C766" s="37" t="s">
        <v>19</v>
      </c>
      <c r="D766" s="37" t="s">
        <v>214</v>
      </c>
      <c r="E766" s="37" t="s">
        <v>247</v>
      </c>
      <c r="F766" s="37" t="s">
        <v>248</v>
      </c>
      <c r="G766" s="38" t="s">
        <v>14</v>
      </c>
      <c r="H766" s="39">
        <v>2625</v>
      </c>
      <c r="I766" s="40">
        <v>31.2</v>
      </c>
      <c r="J766" s="39">
        <v>3139</v>
      </c>
      <c r="K766" s="40">
        <v>71.105447600000005</v>
      </c>
    </row>
    <row r="767" spans="1:11" ht="15" hidden="1" customHeight="1">
      <c r="A767" s="7"/>
      <c r="B767" s="32">
        <v>760</v>
      </c>
      <c r="C767" s="33" t="s">
        <v>17</v>
      </c>
      <c r="D767" s="46" t="s">
        <v>214</v>
      </c>
      <c r="E767" s="46" t="s">
        <v>249</v>
      </c>
      <c r="F767" s="46"/>
      <c r="G767" s="33" t="s">
        <v>249</v>
      </c>
      <c r="H767" s="34">
        <v>7170</v>
      </c>
      <c r="I767" s="35">
        <v>17.280334700000001</v>
      </c>
      <c r="J767" s="34">
        <v>9319</v>
      </c>
      <c r="K767" s="35">
        <v>42.633329799999998</v>
      </c>
    </row>
    <row r="768" spans="1:11" ht="15" hidden="1" customHeight="1">
      <c r="A768" s="7"/>
      <c r="B768" s="36">
        <v>761</v>
      </c>
      <c r="C768" s="37" t="s">
        <v>17</v>
      </c>
      <c r="D768" s="37" t="s">
        <v>214</v>
      </c>
      <c r="E768" s="37" t="s">
        <v>249</v>
      </c>
      <c r="F768" s="37"/>
      <c r="G768" s="38" t="s">
        <v>13</v>
      </c>
      <c r="H768" s="39"/>
      <c r="I768" s="40"/>
      <c r="J768" s="39"/>
      <c r="K768" s="40"/>
    </row>
    <row r="769" spans="1:11" ht="15" hidden="1" customHeight="1">
      <c r="A769" s="7"/>
      <c r="B769" s="36">
        <v>762</v>
      </c>
      <c r="C769" s="37" t="s">
        <v>17</v>
      </c>
      <c r="D769" s="37" t="s">
        <v>214</v>
      </c>
      <c r="E769" s="37" t="s">
        <v>249</v>
      </c>
      <c r="F769" s="37"/>
      <c r="G769" s="38" t="s">
        <v>14</v>
      </c>
      <c r="H769" s="39">
        <v>7170</v>
      </c>
      <c r="I769" s="40">
        <v>17.280334700000001</v>
      </c>
      <c r="J769" s="39">
        <v>9319</v>
      </c>
      <c r="K769" s="40">
        <v>42.633329799999998</v>
      </c>
    </row>
    <row r="770" spans="1:11" ht="15" customHeight="1">
      <c r="A770" s="7"/>
      <c r="B770" s="41">
        <v>763</v>
      </c>
      <c r="C770" s="42" t="s">
        <v>19</v>
      </c>
      <c r="D770" s="47" t="s">
        <v>214</v>
      </c>
      <c r="E770" s="47" t="s">
        <v>249</v>
      </c>
      <c r="F770" s="47" t="s">
        <v>250</v>
      </c>
      <c r="G770" s="48" t="s">
        <v>250</v>
      </c>
      <c r="H770" s="43">
        <v>5177</v>
      </c>
      <c r="I770" s="44">
        <v>19.123044199999999</v>
      </c>
      <c r="J770" s="43">
        <v>6288</v>
      </c>
      <c r="K770" s="44">
        <v>37.659033100000002</v>
      </c>
    </row>
    <row r="771" spans="1:11" ht="15" hidden="1" customHeight="1">
      <c r="A771" s="7"/>
      <c r="B771" s="36">
        <v>764</v>
      </c>
      <c r="C771" s="37" t="s">
        <v>19</v>
      </c>
      <c r="D771" s="37" t="s">
        <v>214</v>
      </c>
      <c r="E771" s="37" t="s">
        <v>249</v>
      </c>
      <c r="F771" s="37" t="s">
        <v>250</v>
      </c>
      <c r="G771" s="38" t="s">
        <v>13</v>
      </c>
      <c r="H771" s="39"/>
      <c r="I771" s="40"/>
      <c r="J771" s="39"/>
      <c r="K771" s="40"/>
    </row>
    <row r="772" spans="1:11" ht="15" hidden="1" customHeight="1">
      <c r="A772" s="7"/>
      <c r="B772" s="36">
        <v>765</v>
      </c>
      <c r="C772" s="37" t="s">
        <v>19</v>
      </c>
      <c r="D772" s="37" t="s">
        <v>214</v>
      </c>
      <c r="E772" s="37" t="s">
        <v>249</v>
      </c>
      <c r="F772" s="37" t="s">
        <v>250</v>
      </c>
      <c r="G772" s="38" t="s">
        <v>14</v>
      </c>
      <c r="H772" s="39">
        <v>5177</v>
      </c>
      <c r="I772" s="40">
        <v>19.123044199999999</v>
      </c>
      <c r="J772" s="39">
        <v>6288</v>
      </c>
      <c r="K772" s="40">
        <v>37.659033100000002</v>
      </c>
    </row>
    <row r="773" spans="1:11" ht="15" customHeight="1">
      <c r="A773" s="7"/>
      <c r="B773" s="41">
        <v>766</v>
      </c>
      <c r="C773" s="42" t="s">
        <v>19</v>
      </c>
      <c r="D773" s="47" t="s">
        <v>214</v>
      </c>
      <c r="E773" s="47" t="s">
        <v>249</v>
      </c>
      <c r="F773" s="47" t="s">
        <v>251</v>
      </c>
      <c r="G773" s="48" t="s">
        <v>251</v>
      </c>
      <c r="H773" s="43">
        <v>1993</v>
      </c>
      <c r="I773" s="44">
        <v>12.493728000000001</v>
      </c>
      <c r="J773" s="43">
        <v>3031</v>
      </c>
      <c r="K773" s="44">
        <v>52.952820899999999</v>
      </c>
    </row>
    <row r="774" spans="1:11" ht="15" hidden="1" customHeight="1">
      <c r="A774" s="7"/>
      <c r="B774" s="36">
        <v>767</v>
      </c>
      <c r="C774" s="37" t="s">
        <v>19</v>
      </c>
      <c r="D774" s="37" t="s">
        <v>214</v>
      </c>
      <c r="E774" s="37" t="s">
        <v>249</v>
      </c>
      <c r="F774" s="37" t="s">
        <v>251</v>
      </c>
      <c r="G774" s="38" t="s">
        <v>13</v>
      </c>
      <c r="H774" s="39"/>
      <c r="I774" s="40"/>
      <c r="J774" s="39"/>
      <c r="K774" s="40"/>
    </row>
    <row r="775" spans="1:11" ht="15" hidden="1" customHeight="1">
      <c r="A775" s="7"/>
      <c r="B775" s="36">
        <v>768</v>
      </c>
      <c r="C775" s="37" t="s">
        <v>19</v>
      </c>
      <c r="D775" s="37" t="s">
        <v>214</v>
      </c>
      <c r="E775" s="37" t="s">
        <v>249</v>
      </c>
      <c r="F775" s="37" t="s">
        <v>251</v>
      </c>
      <c r="G775" s="38" t="s">
        <v>14</v>
      </c>
      <c r="H775" s="39">
        <v>1993</v>
      </c>
      <c r="I775" s="40">
        <v>12.493728000000001</v>
      </c>
      <c r="J775" s="39">
        <v>3031</v>
      </c>
      <c r="K775" s="40">
        <v>52.952820899999999</v>
      </c>
    </row>
    <row r="776" spans="1:11" ht="15" hidden="1" customHeight="1">
      <c r="A776" s="7"/>
      <c r="B776" s="32">
        <v>769</v>
      </c>
      <c r="C776" s="33" t="s">
        <v>17</v>
      </c>
      <c r="D776" s="46" t="s">
        <v>214</v>
      </c>
      <c r="E776" s="46" t="s">
        <v>252</v>
      </c>
      <c r="F776" s="46"/>
      <c r="G776" s="33" t="s">
        <v>252</v>
      </c>
      <c r="H776" s="34">
        <v>5485</v>
      </c>
      <c r="I776" s="35">
        <v>10.0820419</v>
      </c>
      <c r="J776" s="34">
        <v>6593</v>
      </c>
      <c r="K776" s="35">
        <v>27.589867999999999</v>
      </c>
    </row>
    <row r="777" spans="1:11" ht="15" hidden="1" customHeight="1">
      <c r="A777" s="7"/>
      <c r="B777" s="36">
        <v>770</v>
      </c>
      <c r="C777" s="37" t="s">
        <v>17</v>
      </c>
      <c r="D777" s="37" t="s">
        <v>214</v>
      </c>
      <c r="E777" s="37" t="s">
        <v>252</v>
      </c>
      <c r="F777" s="37"/>
      <c r="G777" s="38" t="s">
        <v>13</v>
      </c>
      <c r="H777" s="39"/>
      <c r="I777" s="40"/>
      <c r="J777" s="39"/>
      <c r="K777" s="40"/>
    </row>
    <row r="778" spans="1:11" ht="15" hidden="1" customHeight="1">
      <c r="A778" s="7"/>
      <c r="B778" s="36">
        <v>771</v>
      </c>
      <c r="C778" s="37" t="s">
        <v>17</v>
      </c>
      <c r="D778" s="37" t="s">
        <v>214</v>
      </c>
      <c r="E778" s="37" t="s">
        <v>252</v>
      </c>
      <c r="F778" s="37"/>
      <c r="G778" s="38" t="s">
        <v>14</v>
      </c>
      <c r="H778" s="39">
        <v>5485</v>
      </c>
      <c r="I778" s="40">
        <v>10.0820419</v>
      </c>
      <c r="J778" s="39">
        <v>6593</v>
      </c>
      <c r="K778" s="40">
        <v>27.589867999999999</v>
      </c>
    </row>
    <row r="779" spans="1:11" ht="15" customHeight="1">
      <c r="A779" s="7"/>
      <c r="B779" s="41">
        <v>772</v>
      </c>
      <c r="C779" s="42" t="s">
        <v>19</v>
      </c>
      <c r="D779" s="47" t="s">
        <v>214</v>
      </c>
      <c r="E779" s="47" t="s">
        <v>252</v>
      </c>
      <c r="F779" s="47" t="s">
        <v>196</v>
      </c>
      <c r="G779" s="48" t="s">
        <v>196</v>
      </c>
      <c r="H779" s="43">
        <v>5485</v>
      </c>
      <c r="I779" s="44">
        <v>10.0820419</v>
      </c>
      <c r="J779" s="43">
        <v>6593</v>
      </c>
      <c r="K779" s="44">
        <v>27.589867999999999</v>
      </c>
    </row>
    <row r="780" spans="1:11" ht="15" hidden="1" customHeight="1">
      <c r="A780" s="7"/>
      <c r="B780" s="36">
        <v>773</v>
      </c>
      <c r="C780" s="37" t="s">
        <v>19</v>
      </c>
      <c r="D780" s="37" t="s">
        <v>214</v>
      </c>
      <c r="E780" s="37" t="s">
        <v>252</v>
      </c>
      <c r="F780" s="37" t="s">
        <v>196</v>
      </c>
      <c r="G780" s="38" t="s">
        <v>13</v>
      </c>
      <c r="H780" s="39"/>
      <c r="I780" s="40"/>
      <c r="J780" s="39"/>
      <c r="K780" s="40"/>
    </row>
    <row r="781" spans="1:11" ht="15" hidden="1" customHeight="1">
      <c r="A781" s="7"/>
      <c r="B781" s="36">
        <v>774</v>
      </c>
      <c r="C781" s="37" t="s">
        <v>19</v>
      </c>
      <c r="D781" s="37" t="s">
        <v>214</v>
      </c>
      <c r="E781" s="37" t="s">
        <v>252</v>
      </c>
      <c r="F781" s="37" t="s">
        <v>196</v>
      </c>
      <c r="G781" s="38" t="s">
        <v>14</v>
      </c>
      <c r="H781" s="39">
        <v>5485</v>
      </c>
      <c r="I781" s="40">
        <v>10.0820419</v>
      </c>
      <c r="J781" s="39">
        <v>6593</v>
      </c>
      <c r="K781" s="40">
        <v>27.589867999999999</v>
      </c>
    </row>
    <row r="782" spans="1:11" ht="15" hidden="1" customHeight="1">
      <c r="A782" s="7"/>
      <c r="B782" s="32">
        <v>775</v>
      </c>
      <c r="C782" s="33" t="s">
        <v>17</v>
      </c>
      <c r="D782" s="46" t="s">
        <v>214</v>
      </c>
      <c r="E782" s="46" t="s">
        <v>253</v>
      </c>
      <c r="F782" s="46"/>
      <c r="G782" s="33" t="s">
        <v>253</v>
      </c>
      <c r="H782" s="34">
        <v>13042</v>
      </c>
      <c r="I782" s="35">
        <v>44.970096599999998</v>
      </c>
      <c r="J782" s="34">
        <v>13427</v>
      </c>
      <c r="K782" s="35">
        <v>65.316153999999997</v>
      </c>
    </row>
    <row r="783" spans="1:11" ht="15" hidden="1" customHeight="1">
      <c r="A783" s="7"/>
      <c r="B783" s="36">
        <v>776</v>
      </c>
      <c r="C783" s="37" t="s">
        <v>17</v>
      </c>
      <c r="D783" s="37" t="s">
        <v>214</v>
      </c>
      <c r="E783" s="37" t="s">
        <v>253</v>
      </c>
      <c r="F783" s="37"/>
      <c r="G783" s="38" t="s">
        <v>13</v>
      </c>
      <c r="H783" s="39">
        <v>4209</v>
      </c>
      <c r="I783" s="40">
        <v>95.129484399999996</v>
      </c>
      <c r="J783" s="39">
        <v>4263</v>
      </c>
      <c r="K783" s="40">
        <v>98.733286399999997</v>
      </c>
    </row>
    <row r="784" spans="1:11" ht="15" hidden="1" customHeight="1">
      <c r="A784" s="7"/>
      <c r="B784" s="36">
        <v>777</v>
      </c>
      <c r="C784" s="37" t="s">
        <v>17</v>
      </c>
      <c r="D784" s="37" t="s">
        <v>214</v>
      </c>
      <c r="E784" s="37" t="s">
        <v>253</v>
      </c>
      <c r="F784" s="37"/>
      <c r="G784" s="38" t="s">
        <v>14</v>
      </c>
      <c r="H784" s="39">
        <v>8833</v>
      </c>
      <c r="I784" s="40">
        <v>21.068719600000001</v>
      </c>
      <c r="J784" s="39">
        <v>9164</v>
      </c>
      <c r="K784" s="40">
        <v>49.770842399999999</v>
      </c>
    </row>
    <row r="785" spans="1:11" ht="15" customHeight="1">
      <c r="A785" s="7"/>
      <c r="B785" s="41">
        <v>778</v>
      </c>
      <c r="C785" s="42" t="s">
        <v>19</v>
      </c>
      <c r="D785" s="47" t="s">
        <v>214</v>
      </c>
      <c r="E785" s="47" t="s">
        <v>253</v>
      </c>
      <c r="F785" s="47" t="s">
        <v>254</v>
      </c>
      <c r="G785" s="48" t="s">
        <v>254</v>
      </c>
      <c r="H785" s="43">
        <v>13042</v>
      </c>
      <c r="I785" s="44">
        <v>44.970096599999998</v>
      </c>
      <c r="J785" s="43">
        <v>13427</v>
      </c>
      <c r="K785" s="44">
        <v>65.316153999999997</v>
      </c>
    </row>
    <row r="786" spans="1:11" ht="15" hidden="1" customHeight="1">
      <c r="A786" s="7"/>
      <c r="B786" s="36">
        <v>779</v>
      </c>
      <c r="C786" s="37" t="s">
        <v>19</v>
      </c>
      <c r="D786" s="37" t="s">
        <v>214</v>
      </c>
      <c r="E786" s="37" t="s">
        <v>253</v>
      </c>
      <c r="F786" s="37" t="s">
        <v>254</v>
      </c>
      <c r="G786" s="38" t="s">
        <v>13</v>
      </c>
      <c r="H786" s="39">
        <v>4209</v>
      </c>
      <c r="I786" s="40">
        <v>95.129484399999996</v>
      </c>
      <c r="J786" s="39">
        <v>4263</v>
      </c>
      <c r="K786" s="40">
        <v>98.733286399999997</v>
      </c>
    </row>
    <row r="787" spans="1:11" ht="15" hidden="1" customHeight="1">
      <c r="A787" s="7"/>
      <c r="B787" s="36">
        <v>780</v>
      </c>
      <c r="C787" s="37" t="s">
        <v>19</v>
      </c>
      <c r="D787" s="37" t="s">
        <v>214</v>
      </c>
      <c r="E787" s="37" t="s">
        <v>253</v>
      </c>
      <c r="F787" s="37" t="s">
        <v>254</v>
      </c>
      <c r="G787" s="38" t="s">
        <v>14</v>
      </c>
      <c r="H787" s="39">
        <v>8833</v>
      </c>
      <c r="I787" s="40">
        <v>21.068719600000001</v>
      </c>
      <c r="J787" s="39">
        <v>9164</v>
      </c>
      <c r="K787" s="40">
        <v>49.770842399999999</v>
      </c>
    </row>
    <row r="788" spans="1:11" ht="15" hidden="1" customHeight="1">
      <c r="A788" s="7"/>
      <c r="B788" s="32">
        <v>781</v>
      </c>
      <c r="C788" s="33" t="s">
        <v>17</v>
      </c>
      <c r="D788" s="46" t="s">
        <v>214</v>
      </c>
      <c r="E788" s="46" t="s">
        <v>255</v>
      </c>
      <c r="F788" s="46"/>
      <c r="G788" s="33" t="s">
        <v>255</v>
      </c>
      <c r="H788" s="34">
        <v>2006</v>
      </c>
      <c r="I788" s="35">
        <v>14.3569292</v>
      </c>
      <c r="J788" s="34">
        <v>3447</v>
      </c>
      <c r="K788" s="35">
        <v>58.949811400000002</v>
      </c>
    </row>
    <row r="789" spans="1:11" ht="15" hidden="1" customHeight="1">
      <c r="A789" s="7"/>
      <c r="B789" s="36">
        <v>782</v>
      </c>
      <c r="C789" s="37" t="s">
        <v>17</v>
      </c>
      <c r="D789" s="37" t="s">
        <v>214</v>
      </c>
      <c r="E789" s="37" t="s">
        <v>255</v>
      </c>
      <c r="F789" s="37"/>
      <c r="G789" s="38" t="s">
        <v>13</v>
      </c>
      <c r="H789" s="39"/>
      <c r="I789" s="40"/>
      <c r="J789" s="39"/>
      <c r="K789" s="40"/>
    </row>
    <row r="790" spans="1:11" ht="15" hidden="1" customHeight="1">
      <c r="A790" s="7"/>
      <c r="B790" s="36">
        <v>783</v>
      </c>
      <c r="C790" s="37" t="s">
        <v>17</v>
      </c>
      <c r="D790" s="37" t="s">
        <v>214</v>
      </c>
      <c r="E790" s="37" t="s">
        <v>255</v>
      </c>
      <c r="F790" s="37"/>
      <c r="G790" s="38" t="s">
        <v>14</v>
      </c>
      <c r="H790" s="39">
        <v>2006</v>
      </c>
      <c r="I790" s="40">
        <v>14.3569292</v>
      </c>
      <c r="J790" s="39">
        <v>3447</v>
      </c>
      <c r="K790" s="40">
        <v>58.949811400000002</v>
      </c>
    </row>
    <row r="791" spans="1:11" ht="15" customHeight="1">
      <c r="A791" s="7"/>
      <c r="B791" s="41">
        <v>784</v>
      </c>
      <c r="C791" s="42" t="s">
        <v>19</v>
      </c>
      <c r="D791" s="47" t="s">
        <v>214</v>
      </c>
      <c r="E791" s="47" t="s">
        <v>255</v>
      </c>
      <c r="F791" s="47" t="s">
        <v>256</v>
      </c>
      <c r="G791" s="48" t="s">
        <v>256</v>
      </c>
      <c r="H791" s="43">
        <v>507</v>
      </c>
      <c r="I791" s="44">
        <v>23.274161700000001</v>
      </c>
      <c r="J791" s="43">
        <v>1251</v>
      </c>
      <c r="K791" s="44">
        <v>58.992805799999999</v>
      </c>
    </row>
    <row r="792" spans="1:11" ht="15" hidden="1" customHeight="1">
      <c r="A792" s="7"/>
      <c r="B792" s="36">
        <v>785</v>
      </c>
      <c r="C792" s="37" t="s">
        <v>19</v>
      </c>
      <c r="D792" s="37" t="s">
        <v>214</v>
      </c>
      <c r="E792" s="37" t="s">
        <v>255</v>
      </c>
      <c r="F792" s="37" t="s">
        <v>256</v>
      </c>
      <c r="G792" s="38" t="s">
        <v>13</v>
      </c>
      <c r="H792" s="39"/>
      <c r="I792" s="40"/>
      <c r="J792" s="39"/>
      <c r="K792" s="40"/>
    </row>
    <row r="793" spans="1:11" ht="15" hidden="1" customHeight="1">
      <c r="A793" s="7"/>
      <c r="B793" s="36">
        <v>786</v>
      </c>
      <c r="C793" s="37" t="s">
        <v>19</v>
      </c>
      <c r="D793" s="37" t="s">
        <v>214</v>
      </c>
      <c r="E793" s="37" t="s">
        <v>255</v>
      </c>
      <c r="F793" s="37" t="s">
        <v>256</v>
      </c>
      <c r="G793" s="38" t="s">
        <v>14</v>
      </c>
      <c r="H793" s="39">
        <v>507</v>
      </c>
      <c r="I793" s="40">
        <v>23.274161700000001</v>
      </c>
      <c r="J793" s="39">
        <v>1251</v>
      </c>
      <c r="K793" s="40">
        <v>58.992805799999999</v>
      </c>
    </row>
    <row r="794" spans="1:11" ht="15" customHeight="1">
      <c r="A794" s="7"/>
      <c r="B794" s="41">
        <v>787</v>
      </c>
      <c r="C794" s="42" t="s">
        <v>19</v>
      </c>
      <c r="D794" s="47" t="s">
        <v>214</v>
      </c>
      <c r="E794" s="47" t="s">
        <v>255</v>
      </c>
      <c r="F794" s="47" t="s">
        <v>257</v>
      </c>
      <c r="G794" s="48" t="s">
        <v>257</v>
      </c>
      <c r="H794" s="43">
        <v>661</v>
      </c>
      <c r="I794" s="44">
        <v>10.2874433</v>
      </c>
      <c r="J794" s="43">
        <v>1077</v>
      </c>
      <c r="K794" s="44">
        <v>67.873723299999995</v>
      </c>
    </row>
    <row r="795" spans="1:11" ht="15" hidden="1" customHeight="1">
      <c r="A795" s="7"/>
      <c r="B795" s="36">
        <v>788</v>
      </c>
      <c r="C795" s="37" t="s">
        <v>19</v>
      </c>
      <c r="D795" s="37" t="s">
        <v>214</v>
      </c>
      <c r="E795" s="37" t="s">
        <v>255</v>
      </c>
      <c r="F795" s="37" t="s">
        <v>257</v>
      </c>
      <c r="G795" s="38" t="s">
        <v>13</v>
      </c>
      <c r="H795" s="39"/>
      <c r="I795" s="40"/>
      <c r="J795" s="39"/>
      <c r="K795" s="40"/>
    </row>
    <row r="796" spans="1:11" ht="15" hidden="1" customHeight="1">
      <c r="A796" s="7"/>
      <c r="B796" s="36">
        <v>789</v>
      </c>
      <c r="C796" s="37" t="s">
        <v>19</v>
      </c>
      <c r="D796" s="37" t="s">
        <v>214</v>
      </c>
      <c r="E796" s="37" t="s">
        <v>255</v>
      </c>
      <c r="F796" s="37" t="s">
        <v>257</v>
      </c>
      <c r="G796" s="38" t="s">
        <v>14</v>
      </c>
      <c r="H796" s="39">
        <v>661</v>
      </c>
      <c r="I796" s="40">
        <v>10.2874433</v>
      </c>
      <c r="J796" s="39">
        <v>1077</v>
      </c>
      <c r="K796" s="40">
        <v>67.873723299999995</v>
      </c>
    </row>
    <row r="797" spans="1:11" ht="15" customHeight="1">
      <c r="A797" s="7"/>
      <c r="B797" s="41">
        <v>790</v>
      </c>
      <c r="C797" s="42" t="s">
        <v>19</v>
      </c>
      <c r="D797" s="47" t="s">
        <v>214</v>
      </c>
      <c r="E797" s="47" t="s">
        <v>255</v>
      </c>
      <c r="F797" s="47" t="s">
        <v>221</v>
      </c>
      <c r="G797" s="48" t="s">
        <v>221</v>
      </c>
      <c r="H797" s="43">
        <v>838</v>
      </c>
      <c r="I797" s="44">
        <v>12.171837699999999</v>
      </c>
      <c r="J797" s="43">
        <v>1119</v>
      </c>
      <c r="K797" s="44">
        <v>50.312779300000003</v>
      </c>
    </row>
    <row r="798" spans="1:11" ht="15" hidden="1" customHeight="1">
      <c r="A798" s="7"/>
      <c r="B798" s="36">
        <v>791</v>
      </c>
      <c r="C798" s="37" t="s">
        <v>19</v>
      </c>
      <c r="D798" s="37" t="s">
        <v>214</v>
      </c>
      <c r="E798" s="37" t="s">
        <v>255</v>
      </c>
      <c r="F798" s="37" t="s">
        <v>221</v>
      </c>
      <c r="G798" s="38" t="s">
        <v>13</v>
      </c>
      <c r="H798" s="39"/>
      <c r="I798" s="40"/>
      <c r="J798" s="39"/>
      <c r="K798" s="40"/>
    </row>
    <row r="799" spans="1:11" ht="15" hidden="1" customHeight="1">
      <c r="A799" s="7"/>
      <c r="B799" s="36">
        <v>792</v>
      </c>
      <c r="C799" s="37" t="s">
        <v>19</v>
      </c>
      <c r="D799" s="37" t="s">
        <v>214</v>
      </c>
      <c r="E799" s="37" t="s">
        <v>255</v>
      </c>
      <c r="F799" s="37" t="s">
        <v>221</v>
      </c>
      <c r="G799" s="38" t="s">
        <v>14</v>
      </c>
      <c r="H799" s="39">
        <v>838</v>
      </c>
      <c r="I799" s="40">
        <v>12.171837699999999</v>
      </c>
      <c r="J799" s="39">
        <v>1119</v>
      </c>
      <c r="K799" s="40">
        <v>50.312779300000003</v>
      </c>
    </row>
    <row r="800" spans="1:11" ht="15" hidden="1" customHeight="1">
      <c r="A800" s="7"/>
      <c r="B800" s="32">
        <v>793</v>
      </c>
      <c r="C800" s="33" t="s">
        <v>17</v>
      </c>
      <c r="D800" s="46" t="s">
        <v>214</v>
      </c>
      <c r="E800" s="46" t="s">
        <v>258</v>
      </c>
      <c r="F800" s="46"/>
      <c r="G800" s="33" t="s">
        <v>258</v>
      </c>
      <c r="H800" s="34">
        <v>5446</v>
      </c>
      <c r="I800" s="35">
        <v>15.791406500000001</v>
      </c>
      <c r="J800" s="34">
        <v>5971</v>
      </c>
      <c r="K800" s="35">
        <v>35.890135700000002</v>
      </c>
    </row>
    <row r="801" spans="1:11" ht="15" hidden="1" customHeight="1">
      <c r="A801" s="7"/>
      <c r="B801" s="36">
        <v>794</v>
      </c>
      <c r="C801" s="37" t="s">
        <v>17</v>
      </c>
      <c r="D801" s="37" t="s">
        <v>214</v>
      </c>
      <c r="E801" s="37" t="s">
        <v>258</v>
      </c>
      <c r="F801" s="37"/>
      <c r="G801" s="38" t="s">
        <v>13</v>
      </c>
      <c r="H801" s="39"/>
      <c r="I801" s="40"/>
      <c r="J801" s="39"/>
      <c r="K801" s="40"/>
    </row>
    <row r="802" spans="1:11" ht="15" hidden="1" customHeight="1">
      <c r="A802" s="7"/>
      <c r="B802" s="36">
        <v>795</v>
      </c>
      <c r="C802" s="37" t="s">
        <v>17</v>
      </c>
      <c r="D802" s="37" t="s">
        <v>214</v>
      </c>
      <c r="E802" s="37" t="s">
        <v>258</v>
      </c>
      <c r="F802" s="37"/>
      <c r="G802" s="38" t="s">
        <v>14</v>
      </c>
      <c r="H802" s="39">
        <v>5446</v>
      </c>
      <c r="I802" s="40">
        <v>15.791406500000001</v>
      </c>
      <c r="J802" s="39">
        <v>5971</v>
      </c>
      <c r="K802" s="40">
        <v>35.890135700000002</v>
      </c>
    </row>
    <row r="803" spans="1:11" ht="15" customHeight="1">
      <c r="A803" s="7"/>
      <c r="B803" s="41">
        <v>796</v>
      </c>
      <c r="C803" s="42" t="s">
        <v>19</v>
      </c>
      <c r="D803" s="47" t="s">
        <v>214</v>
      </c>
      <c r="E803" s="47" t="s">
        <v>258</v>
      </c>
      <c r="F803" s="47" t="s">
        <v>259</v>
      </c>
      <c r="G803" s="48" t="s">
        <v>259</v>
      </c>
      <c r="H803" s="43">
        <v>5446</v>
      </c>
      <c r="I803" s="44">
        <v>15.791406500000001</v>
      </c>
      <c r="J803" s="43">
        <v>5971</v>
      </c>
      <c r="K803" s="44">
        <v>35.890135700000002</v>
      </c>
    </row>
    <row r="804" spans="1:11" ht="15" hidden="1" customHeight="1">
      <c r="A804" s="7"/>
      <c r="B804" s="36">
        <v>797</v>
      </c>
      <c r="C804" s="37" t="s">
        <v>19</v>
      </c>
      <c r="D804" s="37" t="s">
        <v>214</v>
      </c>
      <c r="E804" s="37" t="s">
        <v>258</v>
      </c>
      <c r="F804" s="37" t="s">
        <v>259</v>
      </c>
      <c r="G804" s="38" t="s">
        <v>13</v>
      </c>
      <c r="H804" s="39"/>
      <c r="I804" s="40"/>
      <c r="J804" s="39"/>
      <c r="K804" s="40"/>
    </row>
    <row r="805" spans="1:11" ht="15" hidden="1" customHeight="1">
      <c r="A805" s="7"/>
      <c r="B805" s="36">
        <v>798</v>
      </c>
      <c r="C805" s="37" t="s">
        <v>19</v>
      </c>
      <c r="D805" s="37" t="s">
        <v>214</v>
      </c>
      <c r="E805" s="37" t="s">
        <v>258</v>
      </c>
      <c r="F805" s="37" t="s">
        <v>259</v>
      </c>
      <c r="G805" s="38" t="s">
        <v>14</v>
      </c>
      <c r="H805" s="39">
        <v>5446</v>
      </c>
      <c r="I805" s="40">
        <v>15.791406500000001</v>
      </c>
      <c r="J805" s="39">
        <v>5971</v>
      </c>
      <c r="K805" s="40">
        <v>35.890135700000002</v>
      </c>
    </row>
    <row r="806" spans="1:11" ht="15" hidden="1" customHeight="1">
      <c r="A806" s="7"/>
      <c r="B806" s="24">
        <v>799</v>
      </c>
      <c r="C806" s="25" t="s">
        <v>15</v>
      </c>
      <c r="D806" s="25" t="s">
        <v>260</v>
      </c>
      <c r="E806" s="25"/>
      <c r="F806" s="25"/>
      <c r="G806" s="25" t="s">
        <v>260</v>
      </c>
      <c r="H806" s="26">
        <v>810141</v>
      </c>
      <c r="I806" s="27">
        <v>53.356761400000003</v>
      </c>
      <c r="J806" s="26">
        <v>841628</v>
      </c>
      <c r="K806" s="27">
        <v>64.2048506</v>
      </c>
    </row>
    <row r="807" spans="1:11" ht="15" hidden="1" customHeight="1">
      <c r="A807" s="7"/>
      <c r="B807" s="28">
        <v>800</v>
      </c>
      <c r="C807" s="29" t="s">
        <v>15</v>
      </c>
      <c r="D807" s="45" t="s">
        <v>260</v>
      </c>
      <c r="E807" s="45"/>
      <c r="F807" s="45"/>
      <c r="G807" s="29" t="s">
        <v>13</v>
      </c>
      <c r="H807" s="30">
        <v>326263</v>
      </c>
      <c r="I807" s="31">
        <v>99.0765119</v>
      </c>
      <c r="J807" s="30">
        <v>368874</v>
      </c>
      <c r="K807" s="31">
        <v>99.420669399999994</v>
      </c>
    </row>
    <row r="808" spans="1:11" ht="15" hidden="1" customHeight="1">
      <c r="A808" s="7"/>
      <c r="B808" s="28">
        <v>801</v>
      </c>
      <c r="C808" s="29" t="s">
        <v>15</v>
      </c>
      <c r="D808" s="45" t="s">
        <v>260</v>
      </c>
      <c r="E808" s="45"/>
      <c r="F808" s="45"/>
      <c r="G808" s="29" t="s">
        <v>14</v>
      </c>
      <c r="H808" s="30">
        <v>483878</v>
      </c>
      <c r="I808" s="31">
        <v>22.529439199999999</v>
      </c>
      <c r="J808" s="30">
        <v>472754</v>
      </c>
      <c r="K808" s="31">
        <v>36.727134999999997</v>
      </c>
    </row>
    <row r="809" spans="1:11" ht="15" hidden="1" customHeight="1">
      <c r="A809" s="7"/>
      <c r="B809" s="32">
        <v>802</v>
      </c>
      <c r="C809" s="33" t="s">
        <v>17</v>
      </c>
      <c r="D809" s="46" t="s">
        <v>260</v>
      </c>
      <c r="E809" s="46" t="s">
        <v>261</v>
      </c>
      <c r="F809" s="46"/>
      <c r="G809" s="33" t="s">
        <v>261</v>
      </c>
      <c r="H809" s="34">
        <v>225481</v>
      </c>
      <c r="I809" s="35">
        <v>80.842288300000007</v>
      </c>
      <c r="J809" s="34">
        <v>257026</v>
      </c>
      <c r="K809" s="35">
        <v>84.137013400000001</v>
      </c>
    </row>
    <row r="810" spans="1:11" ht="15" hidden="1" customHeight="1">
      <c r="A810" s="7"/>
      <c r="B810" s="36">
        <v>803</v>
      </c>
      <c r="C810" s="37" t="s">
        <v>17</v>
      </c>
      <c r="D810" s="37" t="s">
        <v>260</v>
      </c>
      <c r="E810" s="37" t="s">
        <v>261</v>
      </c>
      <c r="F810" s="37"/>
      <c r="G810" s="38" t="s">
        <v>13</v>
      </c>
      <c r="H810" s="39">
        <v>171908</v>
      </c>
      <c r="I810" s="40">
        <v>99.709146799999999</v>
      </c>
      <c r="J810" s="39">
        <v>193202</v>
      </c>
      <c r="K810" s="40">
        <v>99.681162700000002</v>
      </c>
    </row>
    <row r="811" spans="1:11" ht="15" hidden="1" customHeight="1">
      <c r="A811" s="7"/>
      <c r="B811" s="36">
        <v>804</v>
      </c>
      <c r="C811" s="37" t="s">
        <v>17</v>
      </c>
      <c r="D811" s="37" t="s">
        <v>260</v>
      </c>
      <c r="E811" s="37" t="s">
        <v>261</v>
      </c>
      <c r="F811" s="37"/>
      <c r="G811" s="38" t="s">
        <v>14</v>
      </c>
      <c r="H811" s="39">
        <v>53573</v>
      </c>
      <c r="I811" s="40">
        <v>20.301271199999999</v>
      </c>
      <c r="J811" s="39">
        <v>63824</v>
      </c>
      <c r="K811" s="40">
        <v>37.083228900000002</v>
      </c>
    </row>
    <row r="812" spans="1:11" ht="15" customHeight="1">
      <c r="A812" s="7"/>
      <c r="B812" s="41">
        <v>805</v>
      </c>
      <c r="C812" s="42" t="s">
        <v>19</v>
      </c>
      <c r="D812" s="47" t="s">
        <v>260</v>
      </c>
      <c r="E812" s="47" t="s">
        <v>261</v>
      </c>
      <c r="F812" s="47" t="s">
        <v>260</v>
      </c>
      <c r="G812" s="48" t="s">
        <v>260</v>
      </c>
      <c r="H812" s="43">
        <v>186908</v>
      </c>
      <c r="I812" s="44">
        <v>93.983671099999995</v>
      </c>
      <c r="J812" s="43">
        <v>212998</v>
      </c>
      <c r="K812" s="44">
        <v>95.475544400000004</v>
      </c>
    </row>
    <row r="813" spans="1:11" ht="15" hidden="1" customHeight="1">
      <c r="A813" s="7"/>
      <c r="B813" s="36">
        <v>806</v>
      </c>
      <c r="C813" s="37" t="s">
        <v>19</v>
      </c>
      <c r="D813" s="37" t="s">
        <v>260</v>
      </c>
      <c r="E813" s="37" t="s">
        <v>261</v>
      </c>
      <c r="F813" s="37" t="s">
        <v>260</v>
      </c>
      <c r="G813" s="38" t="s">
        <v>13</v>
      </c>
      <c r="H813" s="39">
        <v>171908</v>
      </c>
      <c r="I813" s="40">
        <v>99.709146799999999</v>
      </c>
      <c r="J813" s="39">
        <v>193202</v>
      </c>
      <c r="K813" s="40">
        <v>99.681162700000002</v>
      </c>
    </row>
    <row r="814" spans="1:11" ht="15" hidden="1" customHeight="1">
      <c r="A814" s="7"/>
      <c r="B814" s="36">
        <v>807</v>
      </c>
      <c r="C814" s="37" t="s">
        <v>19</v>
      </c>
      <c r="D814" s="37" t="s">
        <v>260</v>
      </c>
      <c r="E814" s="37" t="s">
        <v>261</v>
      </c>
      <c r="F814" s="37" t="s">
        <v>260</v>
      </c>
      <c r="G814" s="38" t="s">
        <v>14</v>
      </c>
      <c r="H814" s="39">
        <v>15000</v>
      </c>
      <c r="I814" s="40">
        <v>28.3666667</v>
      </c>
      <c r="J814" s="39">
        <v>19796</v>
      </c>
      <c r="K814" s="40">
        <v>54.4301879</v>
      </c>
    </row>
    <row r="815" spans="1:11" ht="15" customHeight="1">
      <c r="A815" s="7"/>
      <c r="B815" s="41">
        <v>808</v>
      </c>
      <c r="C815" s="42" t="s">
        <v>19</v>
      </c>
      <c r="D815" s="47" t="s">
        <v>260</v>
      </c>
      <c r="E815" s="47" t="s">
        <v>261</v>
      </c>
      <c r="F815" s="47" t="s">
        <v>262</v>
      </c>
      <c r="G815" s="48" t="s">
        <v>262</v>
      </c>
      <c r="H815" s="43">
        <v>27064</v>
      </c>
      <c r="I815" s="44">
        <v>7.7852497999999999</v>
      </c>
      <c r="J815" s="43">
        <v>28820</v>
      </c>
      <c r="K815" s="44">
        <v>14.247050700000001</v>
      </c>
    </row>
    <row r="816" spans="1:11" ht="15" hidden="1" customHeight="1">
      <c r="A816" s="7"/>
      <c r="B816" s="36">
        <v>809</v>
      </c>
      <c r="C816" s="37" t="s">
        <v>19</v>
      </c>
      <c r="D816" s="37" t="s">
        <v>260</v>
      </c>
      <c r="E816" s="37" t="s">
        <v>261</v>
      </c>
      <c r="F816" s="37" t="s">
        <v>262</v>
      </c>
      <c r="G816" s="38" t="s">
        <v>13</v>
      </c>
      <c r="H816" s="39"/>
      <c r="I816" s="40"/>
      <c r="J816" s="39"/>
      <c r="K816" s="40"/>
    </row>
    <row r="817" spans="1:11" ht="15" hidden="1" customHeight="1">
      <c r="A817" s="7"/>
      <c r="B817" s="36">
        <v>810</v>
      </c>
      <c r="C817" s="37" t="s">
        <v>19</v>
      </c>
      <c r="D817" s="37" t="s">
        <v>260</v>
      </c>
      <c r="E817" s="37" t="s">
        <v>261</v>
      </c>
      <c r="F817" s="37" t="s">
        <v>262</v>
      </c>
      <c r="G817" s="38" t="s">
        <v>14</v>
      </c>
      <c r="H817" s="39">
        <v>27064</v>
      </c>
      <c r="I817" s="40">
        <v>7.7852497999999999</v>
      </c>
      <c r="J817" s="39">
        <v>28820</v>
      </c>
      <c r="K817" s="40">
        <v>14.247050700000001</v>
      </c>
    </row>
    <row r="818" spans="1:11" ht="15" customHeight="1">
      <c r="A818" s="7"/>
      <c r="B818" s="41">
        <v>811</v>
      </c>
      <c r="C818" s="42" t="s">
        <v>19</v>
      </c>
      <c r="D818" s="47" t="s">
        <v>260</v>
      </c>
      <c r="E818" s="47" t="s">
        <v>261</v>
      </c>
      <c r="F818" s="47" t="s">
        <v>263</v>
      </c>
      <c r="G818" s="48" t="s">
        <v>263</v>
      </c>
      <c r="H818" s="43">
        <v>8762</v>
      </c>
      <c r="I818" s="44">
        <v>46.279388300000001</v>
      </c>
      <c r="J818" s="43">
        <v>12100</v>
      </c>
      <c r="K818" s="44">
        <v>64.256198299999994</v>
      </c>
    </row>
    <row r="819" spans="1:11" ht="15" hidden="1" customHeight="1">
      <c r="A819" s="7"/>
      <c r="B819" s="36">
        <v>812</v>
      </c>
      <c r="C819" s="37" t="s">
        <v>19</v>
      </c>
      <c r="D819" s="37" t="s">
        <v>260</v>
      </c>
      <c r="E819" s="37" t="s">
        <v>261</v>
      </c>
      <c r="F819" s="37" t="s">
        <v>263</v>
      </c>
      <c r="G819" s="38" t="s">
        <v>13</v>
      </c>
      <c r="H819" s="39"/>
      <c r="I819" s="40"/>
      <c r="J819" s="39"/>
      <c r="K819" s="40"/>
    </row>
    <row r="820" spans="1:11" ht="15" hidden="1" customHeight="1">
      <c r="A820" s="7"/>
      <c r="B820" s="36">
        <v>813</v>
      </c>
      <c r="C820" s="37" t="s">
        <v>19</v>
      </c>
      <c r="D820" s="37" t="s">
        <v>260</v>
      </c>
      <c r="E820" s="37" t="s">
        <v>261</v>
      </c>
      <c r="F820" s="37" t="s">
        <v>263</v>
      </c>
      <c r="G820" s="38" t="s">
        <v>14</v>
      </c>
      <c r="H820" s="39">
        <v>8762</v>
      </c>
      <c r="I820" s="40">
        <v>46.279388300000001</v>
      </c>
      <c r="J820" s="39">
        <v>12100</v>
      </c>
      <c r="K820" s="40">
        <v>64.256198299999994</v>
      </c>
    </row>
    <row r="821" spans="1:11" ht="15" customHeight="1">
      <c r="A821" s="7"/>
      <c r="B821" s="41">
        <v>814</v>
      </c>
      <c r="C821" s="42" t="s">
        <v>19</v>
      </c>
      <c r="D821" s="47" t="s">
        <v>260</v>
      </c>
      <c r="E821" s="47" t="s">
        <v>261</v>
      </c>
      <c r="F821" s="47" t="s">
        <v>264</v>
      </c>
      <c r="G821" s="48" t="s">
        <v>264</v>
      </c>
      <c r="H821" s="43">
        <v>2747</v>
      </c>
      <c r="I821" s="44">
        <v>16.709137200000001</v>
      </c>
      <c r="J821" s="43">
        <v>3108</v>
      </c>
      <c r="K821" s="44">
        <v>32.561132600000001</v>
      </c>
    </row>
    <row r="822" spans="1:11" ht="15" hidden="1" customHeight="1">
      <c r="A822" s="7"/>
      <c r="B822" s="36">
        <v>815</v>
      </c>
      <c r="C822" s="37" t="s">
        <v>19</v>
      </c>
      <c r="D822" s="37" t="s">
        <v>260</v>
      </c>
      <c r="E822" s="37" t="s">
        <v>261</v>
      </c>
      <c r="F822" s="37" t="s">
        <v>264</v>
      </c>
      <c r="G822" s="38" t="s">
        <v>13</v>
      </c>
      <c r="H822" s="39"/>
      <c r="I822" s="40"/>
      <c r="J822" s="39"/>
      <c r="K822" s="40"/>
    </row>
    <row r="823" spans="1:11" ht="15" hidden="1" customHeight="1">
      <c r="A823" s="7"/>
      <c r="B823" s="36">
        <v>816</v>
      </c>
      <c r="C823" s="37" t="s">
        <v>19</v>
      </c>
      <c r="D823" s="37" t="s">
        <v>260</v>
      </c>
      <c r="E823" s="37" t="s">
        <v>261</v>
      </c>
      <c r="F823" s="37" t="s">
        <v>264</v>
      </c>
      <c r="G823" s="38" t="s">
        <v>14</v>
      </c>
      <c r="H823" s="39">
        <v>2747</v>
      </c>
      <c r="I823" s="40">
        <v>16.709137200000001</v>
      </c>
      <c r="J823" s="39">
        <v>3108</v>
      </c>
      <c r="K823" s="40">
        <v>32.561132600000001</v>
      </c>
    </row>
    <row r="824" spans="1:11" ht="15" hidden="1" customHeight="1">
      <c r="A824" s="7"/>
      <c r="B824" s="32">
        <v>817</v>
      </c>
      <c r="C824" s="33" t="s">
        <v>17</v>
      </c>
      <c r="D824" s="46" t="s">
        <v>260</v>
      </c>
      <c r="E824" s="46" t="s">
        <v>265</v>
      </c>
      <c r="F824" s="46"/>
      <c r="G824" s="33" t="s">
        <v>265</v>
      </c>
      <c r="H824" s="34">
        <v>85260</v>
      </c>
      <c r="I824" s="35">
        <v>68.051841400000001</v>
      </c>
      <c r="J824" s="34">
        <v>86377</v>
      </c>
      <c r="K824" s="35">
        <v>77.474327700000003</v>
      </c>
    </row>
    <row r="825" spans="1:11" ht="15" hidden="1" customHeight="1">
      <c r="A825" s="7"/>
      <c r="B825" s="36">
        <v>818</v>
      </c>
      <c r="C825" s="37" t="s">
        <v>17</v>
      </c>
      <c r="D825" s="37" t="s">
        <v>260</v>
      </c>
      <c r="E825" s="37" t="s">
        <v>265</v>
      </c>
      <c r="F825" s="37"/>
      <c r="G825" s="38" t="s">
        <v>13</v>
      </c>
      <c r="H825" s="39">
        <v>44780</v>
      </c>
      <c r="I825" s="40">
        <v>98.5841894</v>
      </c>
      <c r="J825" s="39">
        <v>48603</v>
      </c>
      <c r="K825" s="40">
        <v>99.302512199999995</v>
      </c>
    </row>
    <row r="826" spans="1:11" ht="15" hidden="1" customHeight="1">
      <c r="A826" s="7"/>
      <c r="B826" s="36">
        <v>819</v>
      </c>
      <c r="C826" s="37" t="s">
        <v>17</v>
      </c>
      <c r="D826" s="37" t="s">
        <v>260</v>
      </c>
      <c r="E826" s="37" t="s">
        <v>265</v>
      </c>
      <c r="F826" s="37"/>
      <c r="G826" s="38" t="s">
        <v>14</v>
      </c>
      <c r="H826" s="39">
        <v>40480</v>
      </c>
      <c r="I826" s="40">
        <v>34.2761858</v>
      </c>
      <c r="J826" s="39">
        <v>37774</v>
      </c>
      <c r="K826" s="40">
        <v>49.3884683</v>
      </c>
    </row>
    <row r="827" spans="1:11" ht="15" customHeight="1">
      <c r="A827" s="7"/>
      <c r="B827" s="41">
        <v>820</v>
      </c>
      <c r="C827" s="42" t="s">
        <v>19</v>
      </c>
      <c r="D827" s="47" t="s">
        <v>260</v>
      </c>
      <c r="E827" s="47" t="s">
        <v>265</v>
      </c>
      <c r="F827" s="47" t="s">
        <v>266</v>
      </c>
      <c r="G827" s="48" t="s">
        <v>266</v>
      </c>
      <c r="H827" s="43">
        <v>21492</v>
      </c>
      <c r="I827" s="44">
        <v>61.3391029</v>
      </c>
      <c r="J827" s="43">
        <v>21997</v>
      </c>
      <c r="K827" s="44">
        <v>71.314270100000002</v>
      </c>
    </row>
    <row r="828" spans="1:11" ht="15" hidden="1" customHeight="1">
      <c r="A828" s="7"/>
      <c r="B828" s="36">
        <v>821</v>
      </c>
      <c r="C828" s="37" t="s">
        <v>19</v>
      </c>
      <c r="D828" s="37" t="s">
        <v>260</v>
      </c>
      <c r="E828" s="37" t="s">
        <v>265</v>
      </c>
      <c r="F828" s="37" t="s">
        <v>266</v>
      </c>
      <c r="G828" s="38" t="s">
        <v>13</v>
      </c>
      <c r="H828" s="39">
        <v>8412</v>
      </c>
      <c r="I828" s="40">
        <v>98.930099900000002</v>
      </c>
      <c r="J828" s="39">
        <v>8532</v>
      </c>
      <c r="K828" s="40">
        <v>99.648382600000005</v>
      </c>
    </row>
    <row r="829" spans="1:11" ht="15" hidden="1" customHeight="1">
      <c r="A829" s="7"/>
      <c r="B829" s="36">
        <v>822</v>
      </c>
      <c r="C829" s="37" t="s">
        <v>19</v>
      </c>
      <c r="D829" s="37" t="s">
        <v>260</v>
      </c>
      <c r="E829" s="37" t="s">
        <v>265</v>
      </c>
      <c r="F829" s="37" t="s">
        <v>266</v>
      </c>
      <c r="G829" s="38" t="s">
        <v>14</v>
      </c>
      <c r="H829" s="39">
        <v>13080</v>
      </c>
      <c r="I829" s="40">
        <v>37.163608600000003</v>
      </c>
      <c r="J829" s="39">
        <v>13465</v>
      </c>
      <c r="K829" s="40">
        <v>53.360564400000001</v>
      </c>
    </row>
    <row r="830" spans="1:11" ht="15" customHeight="1">
      <c r="A830" s="7"/>
      <c r="B830" s="41">
        <v>823</v>
      </c>
      <c r="C830" s="42" t="s">
        <v>19</v>
      </c>
      <c r="D830" s="47" t="s">
        <v>260</v>
      </c>
      <c r="E830" s="47" t="s">
        <v>265</v>
      </c>
      <c r="F830" s="47" t="s">
        <v>267</v>
      </c>
      <c r="G830" s="48" t="s">
        <v>267</v>
      </c>
      <c r="H830" s="43">
        <v>15865</v>
      </c>
      <c r="I830" s="44">
        <v>43.000315200000003</v>
      </c>
      <c r="J830" s="43">
        <v>15571</v>
      </c>
      <c r="K830" s="44">
        <v>58.339220300000001</v>
      </c>
    </row>
    <row r="831" spans="1:11" ht="15" hidden="1" customHeight="1">
      <c r="A831" s="7"/>
      <c r="B831" s="36">
        <v>824</v>
      </c>
      <c r="C831" s="37" t="s">
        <v>19</v>
      </c>
      <c r="D831" s="37" t="s">
        <v>260</v>
      </c>
      <c r="E831" s="37" t="s">
        <v>265</v>
      </c>
      <c r="F831" s="37" t="s">
        <v>267</v>
      </c>
      <c r="G831" s="38" t="s">
        <v>13</v>
      </c>
      <c r="H831" s="39">
        <v>2372</v>
      </c>
      <c r="I831" s="40">
        <v>92.453625599999995</v>
      </c>
      <c r="J831" s="39">
        <v>2532</v>
      </c>
      <c r="K831" s="40">
        <v>98.301737799999998</v>
      </c>
    </row>
    <row r="832" spans="1:11" ht="15" hidden="1" customHeight="1">
      <c r="A832" s="7"/>
      <c r="B832" s="36">
        <v>825</v>
      </c>
      <c r="C832" s="37" t="s">
        <v>19</v>
      </c>
      <c r="D832" s="37" t="s">
        <v>260</v>
      </c>
      <c r="E832" s="37" t="s">
        <v>265</v>
      </c>
      <c r="F832" s="37" t="s">
        <v>267</v>
      </c>
      <c r="G832" s="38" t="s">
        <v>14</v>
      </c>
      <c r="H832" s="39">
        <v>13493</v>
      </c>
      <c r="I832" s="40">
        <v>34.306677499999999</v>
      </c>
      <c r="J832" s="39">
        <v>13039</v>
      </c>
      <c r="K832" s="40">
        <v>50.579032099999999</v>
      </c>
    </row>
    <row r="833" spans="1:11" ht="15" customHeight="1">
      <c r="A833" s="7"/>
      <c r="B833" s="41">
        <v>826</v>
      </c>
      <c r="C833" s="42" t="s">
        <v>19</v>
      </c>
      <c r="D833" s="47" t="s">
        <v>260</v>
      </c>
      <c r="E833" s="47" t="s">
        <v>265</v>
      </c>
      <c r="F833" s="47" t="s">
        <v>268</v>
      </c>
      <c r="G833" s="48" t="s">
        <v>268</v>
      </c>
      <c r="H833" s="43">
        <v>39995</v>
      </c>
      <c r="I833" s="44">
        <v>87.3459182</v>
      </c>
      <c r="J833" s="43">
        <v>40637</v>
      </c>
      <c r="K833" s="44">
        <v>92.004823200000004</v>
      </c>
    </row>
    <row r="834" spans="1:11" ht="15" hidden="1" customHeight="1">
      <c r="A834" s="7"/>
      <c r="B834" s="36">
        <v>827</v>
      </c>
      <c r="C834" s="37" t="s">
        <v>19</v>
      </c>
      <c r="D834" s="37" t="s">
        <v>260</v>
      </c>
      <c r="E834" s="37" t="s">
        <v>265</v>
      </c>
      <c r="F834" s="37" t="s">
        <v>268</v>
      </c>
      <c r="G834" s="38" t="s">
        <v>13</v>
      </c>
      <c r="H834" s="39">
        <v>33996</v>
      </c>
      <c r="I834" s="40">
        <v>98.926344299999997</v>
      </c>
      <c r="J834" s="39">
        <v>35529</v>
      </c>
      <c r="K834" s="40">
        <v>99.383602100000004</v>
      </c>
    </row>
    <row r="835" spans="1:11" ht="15" hidden="1" customHeight="1">
      <c r="A835" s="7"/>
      <c r="B835" s="36">
        <v>828</v>
      </c>
      <c r="C835" s="37" t="s">
        <v>19</v>
      </c>
      <c r="D835" s="37" t="s">
        <v>260</v>
      </c>
      <c r="E835" s="37" t="s">
        <v>265</v>
      </c>
      <c r="F835" s="37" t="s">
        <v>268</v>
      </c>
      <c r="G835" s="38" t="s">
        <v>14</v>
      </c>
      <c r="H835" s="39">
        <v>5999</v>
      </c>
      <c r="I835" s="40">
        <v>21.720286699999999</v>
      </c>
      <c r="J835" s="39">
        <v>5108</v>
      </c>
      <c r="K835" s="40">
        <v>40.681284300000002</v>
      </c>
    </row>
    <row r="836" spans="1:11" ht="15" customHeight="1">
      <c r="A836" s="7"/>
      <c r="B836" s="41">
        <v>829</v>
      </c>
      <c r="C836" s="42" t="s">
        <v>19</v>
      </c>
      <c r="D836" s="47" t="s">
        <v>260</v>
      </c>
      <c r="E836" s="47" t="s">
        <v>265</v>
      </c>
      <c r="F836" s="47" t="s">
        <v>269</v>
      </c>
      <c r="G836" s="48" t="s">
        <v>269</v>
      </c>
      <c r="H836" s="43">
        <v>7908</v>
      </c>
      <c r="I836" s="44">
        <v>38.973191700000001</v>
      </c>
      <c r="J836" s="43">
        <v>8172</v>
      </c>
      <c r="K836" s="44">
        <v>58.259911899999999</v>
      </c>
    </row>
    <row r="837" spans="1:11" ht="15" hidden="1" customHeight="1">
      <c r="A837" s="7"/>
      <c r="B837" s="36">
        <v>830</v>
      </c>
      <c r="C837" s="37" t="s">
        <v>19</v>
      </c>
      <c r="D837" s="37" t="s">
        <v>260</v>
      </c>
      <c r="E837" s="37" t="s">
        <v>265</v>
      </c>
      <c r="F837" s="37" t="s">
        <v>269</v>
      </c>
      <c r="G837" s="38" t="s">
        <v>13</v>
      </c>
      <c r="H837" s="39"/>
      <c r="I837" s="40"/>
      <c r="J837" s="39">
        <v>2010</v>
      </c>
      <c r="K837" s="40">
        <v>97.661691500000003</v>
      </c>
    </row>
    <row r="838" spans="1:11" ht="15" hidden="1" customHeight="1">
      <c r="A838" s="7"/>
      <c r="B838" s="36">
        <v>831</v>
      </c>
      <c r="C838" s="37" t="s">
        <v>19</v>
      </c>
      <c r="D838" s="37" t="s">
        <v>260</v>
      </c>
      <c r="E838" s="37" t="s">
        <v>265</v>
      </c>
      <c r="F838" s="37" t="s">
        <v>269</v>
      </c>
      <c r="G838" s="38" t="s">
        <v>14</v>
      </c>
      <c r="H838" s="39">
        <v>7908</v>
      </c>
      <c r="I838" s="40">
        <v>38.973191700000001</v>
      </c>
      <c r="J838" s="39">
        <v>6162</v>
      </c>
      <c r="K838" s="40">
        <v>45.4073353</v>
      </c>
    </row>
    <row r="839" spans="1:11" ht="15" hidden="1" customHeight="1">
      <c r="A839" s="7"/>
      <c r="B839" s="32">
        <v>832</v>
      </c>
      <c r="C839" s="33" t="s">
        <v>17</v>
      </c>
      <c r="D839" s="46" t="s">
        <v>260</v>
      </c>
      <c r="E839" s="46" t="s">
        <v>270</v>
      </c>
      <c r="F839" s="46"/>
      <c r="G839" s="33" t="s">
        <v>270</v>
      </c>
      <c r="H839" s="34">
        <v>54996</v>
      </c>
      <c r="I839" s="35">
        <v>29.222125200000001</v>
      </c>
      <c r="J839" s="34">
        <v>54997</v>
      </c>
      <c r="K839" s="35">
        <v>41.6586359</v>
      </c>
    </row>
    <row r="840" spans="1:11" ht="15" hidden="1" customHeight="1">
      <c r="A840" s="7"/>
      <c r="B840" s="36">
        <v>833</v>
      </c>
      <c r="C840" s="37" t="s">
        <v>17</v>
      </c>
      <c r="D840" s="37" t="s">
        <v>260</v>
      </c>
      <c r="E840" s="37" t="s">
        <v>270</v>
      </c>
      <c r="F840" s="37"/>
      <c r="G840" s="38" t="s">
        <v>13</v>
      </c>
      <c r="H840" s="39">
        <v>4623</v>
      </c>
      <c r="I840" s="40">
        <v>98.118105099999994</v>
      </c>
      <c r="J840" s="39">
        <v>6152</v>
      </c>
      <c r="K840" s="40">
        <v>98.276983099999995</v>
      </c>
    </row>
    <row r="841" spans="1:11" ht="15" hidden="1" customHeight="1">
      <c r="A841" s="7"/>
      <c r="B841" s="36">
        <v>834</v>
      </c>
      <c r="C841" s="37" t="s">
        <v>17</v>
      </c>
      <c r="D841" s="37" t="s">
        <v>260</v>
      </c>
      <c r="E841" s="37" t="s">
        <v>270</v>
      </c>
      <c r="F841" s="37"/>
      <c r="G841" s="38" t="s">
        <v>14</v>
      </c>
      <c r="H841" s="39">
        <v>50373</v>
      </c>
      <c r="I841" s="40">
        <v>22.899172199999999</v>
      </c>
      <c r="J841" s="39">
        <v>48845</v>
      </c>
      <c r="K841" s="40">
        <v>34.5275873</v>
      </c>
    </row>
    <row r="842" spans="1:11" ht="15" customHeight="1">
      <c r="A842" s="7"/>
      <c r="B842" s="41">
        <v>835</v>
      </c>
      <c r="C842" s="42" t="s">
        <v>19</v>
      </c>
      <c r="D842" s="47" t="s">
        <v>260</v>
      </c>
      <c r="E842" s="47" t="s">
        <v>270</v>
      </c>
      <c r="F842" s="47" t="s">
        <v>271</v>
      </c>
      <c r="G842" s="48" t="s">
        <v>271</v>
      </c>
      <c r="H842" s="43">
        <v>33563</v>
      </c>
      <c r="I842" s="44">
        <v>37.672436900000001</v>
      </c>
      <c r="J842" s="43">
        <v>31595</v>
      </c>
      <c r="K842" s="44">
        <v>53.517961700000001</v>
      </c>
    </row>
    <row r="843" spans="1:11" ht="15" hidden="1" customHeight="1">
      <c r="A843" s="7"/>
      <c r="B843" s="36">
        <v>836</v>
      </c>
      <c r="C843" s="37" t="s">
        <v>19</v>
      </c>
      <c r="D843" s="37" t="s">
        <v>260</v>
      </c>
      <c r="E843" s="37" t="s">
        <v>270</v>
      </c>
      <c r="F843" s="37" t="s">
        <v>271</v>
      </c>
      <c r="G843" s="38" t="s">
        <v>13</v>
      </c>
      <c r="H843" s="39">
        <v>4623</v>
      </c>
      <c r="I843" s="40">
        <v>98.118105099999994</v>
      </c>
      <c r="J843" s="39">
        <v>6152</v>
      </c>
      <c r="K843" s="40">
        <v>98.276983099999995</v>
      </c>
    </row>
    <row r="844" spans="1:11" ht="15" hidden="1" customHeight="1">
      <c r="A844" s="7"/>
      <c r="B844" s="36">
        <v>837</v>
      </c>
      <c r="C844" s="37" t="s">
        <v>19</v>
      </c>
      <c r="D844" s="37" t="s">
        <v>260</v>
      </c>
      <c r="E844" s="37" t="s">
        <v>270</v>
      </c>
      <c r="F844" s="37" t="s">
        <v>271</v>
      </c>
      <c r="G844" s="38" t="s">
        <v>14</v>
      </c>
      <c r="H844" s="39">
        <v>28940</v>
      </c>
      <c r="I844" s="40">
        <v>28.016586</v>
      </c>
      <c r="J844" s="39">
        <v>25443</v>
      </c>
      <c r="K844" s="40">
        <v>42.695436899999997</v>
      </c>
    </row>
    <row r="845" spans="1:11" ht="15" customHeight="1">
      <c r="A845" s="7"/>
      <c r="B845" s="41">
        <v>838</v>
      </c>
      <c r="C845" s="42" t="s">
        <v>19</v>
      </c>
      <c r="D845" s="47" t="s">
        <v>260</v>
      </c>
      <c r="E845" s="47" t="s">
        <v>270</v>
      </c>
      <c r="F845" s="47" t="s">
        <v>272</v>
      </c>
      <c r="G845" s="48" t="s">
        <v>272</v>
      </c>
      <c r="H845" s="43">
        <v>9762</v>
      </c>
      <c r="I845" s="44">
        <v>24.626101200000001</v>
      </c>
      <c r="J845" s="43">
        <v>9115</v>
      </c>
      <c r="K845" s="44">
        <v>44.530992900000001</v>
      </c>
    </row>
    <row r="846" spans="1:11" ht="15" hidden="1" customHeight="1">
      <c r="A846" s="7"/>
      <c r="B846" s="36">
        <v>839</v>
      </c>
      <c r="C846" s="37" t="s">
        <v>19</v>
      </c>
      <c r="D846" s="37" t="s">
        <v>260</v>
      </c>
      <c r="E846" s="37" t="s">
        <v>270</v>
      </c>
      <c r="F846" s="37" t="s">
        <v>272</v>
      </c>
      <c r="G846" s="38" t="s">
        <v>13</v>
      </c>
      <c r="H846" s="39"/>
      <c r="I846" s="40"/>
      <c r="J846" s="39"/>
      <c r="K846" s="40"/>
    </row>
    <row r="847" spans="1:11" ht="15" hidden="1" customHeight="1">
      <c r="A847" s="7"/>
      <c r="B847" s="36">
        <v>840</v>
      </c>
      <c r="C847" s="37" t="s">
        <v>19</v>
      </c>
      <c r="D847" s="37" t="s">
        <v>260</v>
      </c>
      <c r="E847" s="37" t="s">
        <v>270</v>
      </c>
      <c r="F847" s="37" t="s">
        <v>272</v>
      </c>
      <c r="G847" s="38" t="s">
        <v>14</v>
      </c>
      <c r="H847" s="39">
        <v>9762</v>
      </c>
      <c r="I847" s="40">
        <v>24.626101200000001</v>
      </c>
      <c r="J847" s="39">
        <v>9115</v>
      </c>
      <c r="K847" s="40">
        <v>44.530992900000001</v>
      </c>
    </row>
    <row r="848" spans="1:11" ht="15" customHeight="1">
      <c r="A848" s="7"/>
      <c r="B848" s="41">
        <v>841</v>
      </c>
      <c r="C848" s="42" t="s">
        <v>19</v>
      </c>
      <c r="D848" s="47" t="s">
        <v>260</v>
      </c>
      <c r="E848" s="47" t="s">
        <v>270</v>
      </c>
      <c r="F848" s="47" t="s">
        <v>273</v>
      </c>
      <c r="G848" s="48" t="s">
        <v>273</v>
      </c>
      <c r="H848" s="43">
        <v>11671</v>
      </c>
      <c r="I848" s="44">
        <v>8.7653157000000004</v>
      </c>
      <c r="J848" s="43">
        <v>14287</v>
      </c>
      <c r="K848" s="44">
        <v>13.599776</v>
      </c>
    </row>
    <row r="849" spans="1:11" ht="15" hidden="1" customHeight="1">
      <c r="A849" s="7"/>
      <c r="B849" s="36">
        <v>842</v>
      </c>
      <c r="C849" s="37" t="s">
        <v>19</v>
      </c>
      <c r="D849" s="37" t="s">
        <v>260</v>
      </c>
      <c r="E849" s="37" t="s">
        <v>270</v>
      </c>
      <c r="F849" s="37" t="s">
        <v>273</v>
      </c>
      <c r="G849" s="38" t="s">
        <v>13</v>
      </c>
      <c r="H849" s="39"/>
      <c r="I849" s="40"/>
      <c r="J849" s="39"/>
      <c r="K849" s="40"/>
    </row>
    <row r="850" spans="1:11" ht="15" hidden="1" customHeight="1">
      <c r="A850" s="7"/>
      <c r="B850" s="36">
        <v>843</v>
      </c>
      <c r="C850" s="37" t="s">
        <v>19</v>
      </c>
      <c r="D850" s="37" t="s">
        <v>260</v>
      </c>
      <c r="E850" s="37" t="s">
        <v>270</v>
      </c>
      <c r="F850" s="37" t="s">
        <v>273</v>
      </c>
      <c r="G850" s="38" t="s">
        <v>14</v>
      </c>
      <c r="H850" s="39">
        <v>11671</v>
      </c>
      <c r="I850" s="40">
        <v>8.7653157000000004</v>
      </c>
      <c r="J850" s="39">
        <v>14287</v>
      </c>
      <c r="K850" s="40">
        <v>13.599776</v>
      </c>
    </row>
    <row r="851" spans="1:11" ht="15" hidden="1" customHeight="1">
      <c r="A851" s="7"/>
      <c r="B851" s="32">
        <v>844</v>
      </c>
      <c r="C851" s="33" t="s">
        <v>17</v>
      </c>
      <c r="D851" s="46" t="s">
        <v>260</v>
      </c>
      <c r="E851" s="46" t="s">
        <v>267</v>
      </c>
      <c r="F851" s="46"/>
      <c r="G851" s="33" t="s">
        <v>267</v>
      </c>
      <c r="H851" s="34">
        <v>97833</v>
      </c>
      <c r="I851" s="35">
        <v>16.4157288</v>
      </c>
      <c r="J851" s="34">
        <v>100352</v>
      </c>
      <c r="K851" s="35">
        <v>26.417012100000001</v>
      </c>
    </row>
    <row r="852" spans="1:11" ht="15" hidden="1" customHeight="1">
      <c r="A852" s="7"/>
      <c r="B852" s="36">
        <v>845</v>
      </c>
      <c r="C852" s="37" t="s">
        <v>17</v>
      </c>
      <c r="D852" s="37" t="s">
        <v>260</v>
      </c>
      <c r="E852" s="37" t="s">
        <v>267</v>
      </c>
      <c r="F852" s="37"/>
      <c r="G852" s="38" t="s">
        <v>13</v>
      </c>
      <c r="H852" s="39">
        <v>4095</v>
      </c>
      <c r="I852" s="40">
        <v>97.240537200000006</v>
      </c>
      <c r="J852" s="39">
        <v>7274</v>
      </c>
      <c r="K852" s="40">
        <v>97.704151800000005</v>
      </c>
    </row>
    <row r="853" spans="1:11" ht="15" hidden="1" customHeight="1">
      <c r="A853" s="7"/>
      <c r="B853" s="36">
        <v>846</v>
      </c>
      <c r="C853" s="37" t="s">
        <v>17</v>
      </c>
      <c r="D853" s="37" t="s">
        <v>260</v>
      </c>
      <c r="E853" s="37" t="s">
        <v>267</v>
      </c>
      <c r="F853" s="37"/>
      <c r="G853" s="38" t="s">
        <v>14</v>
      </c>
      <c r="H853" s="39">
        <v>93738</v>
      </c>
      <c r="I853" s="40">
        <v>12.884849300000001</v>
      </c>
      <c r="J853" s="39">
        <v>93078</v>
      </c>
      <c r="K853" s="40">
        <v>20.845957200000001</v>
      </c>
    </row>
    <row r="854" spans="1:11" ht="15" customHeight="1">
      <c r="A854" s="7"/>
      <c r="B854" s="41">
        <v>847</v>
      </c>
      <c r="C854" s="42" t="s">
        <v>19</v>
      </c>
      <c r="D854" s="47" t="s">
        <v>260</v>
      </c>
      <c r="E854" s="47" t="s">
        <v>267</v>
      </c>
      <c r="F854" s="47" t="s">
        <v>274</v>
      </c>
      <c r="G854" s="48" t="s">
        <v>274</v>
      </c>
      <c r="H854" s="43">
        <v>15006</v>
      </c>
      <c r="I854" s="44">
        <v>33.180061299999998</v>
      </c>
      <c r="J854" s="43">
        <v>15920</v>
      </c>
      <c r="K854" s="44">
        <v>40.527638199999998</v>
      </c>
    </row>
    <row r="855" spans="1:11" ht="15" hidden="1" customHeight="1">
      <c r="A855" s="7"/>
      <c r="B855" s="36">
        <v>848</v>
      </c>
      <c r="C855" s="37" t="s">
        <v>19</v>
      </c>
      <c r="D855" s="37" t="s">
        <v>260</v>
      </c>
      <c r="E855" s="37" t="s">
        <v>267</v>
      </c>
      <c r="F855" s="37" t="s">
        <v>274</v>
      </c>
      <c r="G855" s="38" t="s">
        <v>13</v>
      </c>
      <c r="H855" s="39">
        <v>4095</v>
      </c>
      <c r="I855" s="40">
        <v>97.240537200000006</v>
      </c>
      <c r="J855" s="39">
        <v>5115</v>
      </c>
      <c r="K855" s="40">
        <v>99.550342099999995</v>
      </c>
    </row>
    <row r="856" spans="1:11" ht="15" hidden="1" customHeight="1">
      <c r="A856" s="7"/>
      <c r="B856" s="36">
        <v>849</v>
      </c>
      <c r="C856" s="37" t="s">
        <v>19</v>
      </c>
      <c r="D856" s="37" t="s">
        <v>260</v>
      </c>
      <c r="E856" s="37" t="s">
        <v>267</v>
      </c>
      <c r="F856" s="37" t="s">
        <v>274</v>
      </c>
      <c r="G856" s="38" t="s">
        <v>14</v>
      </c>
      <c r="H856" s="39">
        <v>10911</v>
      </c>
      <c r="I856" s="40">
        <v>9.1375676000000006</v>
      </c>
      <c r="J856" s="39">
        <v>10805</v>
      </c>
      <c r="K856" s="40">
        <v>12.586765400000001</v>
      </c>
    </row>
    <row r="857" spans="1:11" ht="15" customHeight="1">
      <c r="A857" s="7"/>
      <c r="B857" s="41">
        <v>850</v>
      </c>
      <c r="C857" s="42" t="s">
        <v>19</v>
      </c>
      <c r="D857" s="47" t="s">
        <v>260</v>
      </c>
      <c r="E857" s="47" t="s">
        <v>267</v>
      </c>
      <c r="F857" s="47" t="s">
        <v>275</v>
      </c>
      <c r="G857" s="48" t="s">
        <v>275</v>
      </c>
      <c r="H857" s="43">
        <v>20962</v>
      </c>
      <c r="I857" s="44">
        <v>10.256654899999999</v>
      </c>
      <c r="J857" s="43">
        <v>16774</v>
      </c>
      <c r="K857" s="44">
        <v>13.4553476</v>
      </c>
    </row>
    <row r="858" spans="1:11" ht="15" hidden="1" customHeight="1">
      <c r="A858" s="7"/>
      <c r="B858" s="36">
        <v>851</v>
      </c>
      <c r="C858" s="37" t="s">
        <v>19</v>
      </c>
      <c r="D858" s="37" t="s">
        <v>260</v>
      </c>
      <c r="E858" s="37" t="s">
        <v>267</v>
      </c>
      <c r="F858" s="37" t="s">
        <v>275</v>
      </c>
      <c r="G858" s="38" t="s">
        <v>13</v>
      </c>
      <c r="H858" s="39"/>
      <c r="I858" s="40"/>
      <c r="J858" s="39"/>
      <c r="K858" s="40"/>
    </row>
    <row r="859" spans="1:11" ht="15" hidden="1" customHeight="1">
      <c r="A859" s="7"/>
      <c r="B859" s="36">
        <v>852</v>
      </c>
      <c r="C859" s="37" t="s">
        <v>19</v>
      </c>
      <c r="D859" s="37" t="s">
        <v>260</v>
      </c>
      <c r="E859" s="37" t="s">
        <v>267</v>
      </c>
      <c r="F859" s="37" t="s">
        <v>275</v>
      </c>
      <c r="G859" s="38" t="s">
        <v>14</v>
      </c>
      <c r="H859" s="39">
        <v>20962</v>
      </c>
      <c r="I859" s="40">
        <v>10.256654899999999</v>
      </c>
      <c r="J859" s="39">
        <v>16774</v>
      </c>
      <c r="K859" s="40">
        <v>13.4553476</v>
      </c>
    </row>
    <row r="860" spans="1:11" ht="15" customHeight="1">
      <c r="A860" s="7"/>
      <c r="B860" s="41">
        <v>853</v>
      </c>
      <c r="C860" s="42" t="s">
        <v>19</v>
      </c>
      <c r="D860" s="47" t="s">
        <v>260</v>
      </c>
      <c r="E860" s="47" t="s">
        <v>267</v>
      </c>
      <c r="F860" s="47" t="s">
        <v>276</v>
      </c>
      <c r="G860" s="48" t="s">
        <v>276</v>
      </c>
      <c r="H860" s="43">
        <v>26113</v>
      </c>
      <c r="I860" s="44">
        <v>14.272584500000001</v>
      </c>
      <c r="J860" s="43">
        <v>32403</v>
      </c>
      <c r="K860" s="44">
        <v>25.8000802</v>
      </c>
    </row>
    <row r="861" spans="1:11" ht="15" hidden="1" customHeight="1">
      <c r="A861" s="7"/>
      <c r="B861" s="36">
        <v>854</v>
      </c>
      <c r="C861" s="37" t="s">
        <v>19</v>
      </c>
      <c r="D861" s="37" t="s">
        <v>260</v>
      </c>
      <c r="E861" s="37" t="s">
        <v>267</v>
      </c>
      <c r="F861" s="37" t="s">
        <v>276</v>
      </c>
      <c r="G861" s="38" t="s">
        <v>13</v>
      </c>
      <c r="H861" s="39"/>
      <c r="I861" s="40"/>
      <c r="J861" s="39">
        <v>2159</v>
      </c>
      <c r="K861" s="40">
        <v>93.330245500000004</v>
      </c>
    </row>
    <row r="862" spans="1:11" ht="15" hidden="1" customHeight="1">
      <c r="A862" s="7"/>
      <c r="B862" s="36">
        <v>855</v>
      </c>
      <c r="C862" s="37" t="s">
        <v>19</v>
      </c>
      <c r="D862" s="37" t="s">
        <v>260</v>
      </c>
      <c r="E862" s="37" t="s">
        <v>267</v>
      </c>
      <c r="F862" s="37" t="s">
        <v>276</v>
      </c>
      <c r="G862" s="38" t="s">
        <v>14</v>
      </c>
      <c r="H862" s="39">
        <v>26113</v>
      </c>
      <c r="I862" s="40">
        <v>14.272584500000001</v>
      </c>
      <c r="J862" s="39">
        <v>30244</v>
      </c>
      <c r="K862" s="40">
        <v>20.979367799999999</v>
      </c>
    </row>
    <row r="863" spans="1:11" ht="15" customHeight="1">
      <c r="A863" s="7"/>
      <c r="B863" s="41">
        <v>856</v>
      </c>
      <c r="C863" s="42" t="s">
        <v>19</v>
      </c>
      <c r="D863" s="47" t="s">
        <v>260</v>
      </c>
      <c r="E863" s="47" t="s">
        <v>267</v>
      </c>
      <c r="F863" s="47" t="s">
        <v>277</v>
      </c>
      <c r="G863" s="48" t="s">
        <v>277</v>
      </c>
      <c r="H863" s="43">
        <v>15990</v>
      </c>
      <c r="I863" s="44">
        <v>13.158223899999999</v>
      </c>
      <c r="J863" s="43">
        <v>14405</v>
      </c>
      <c r="K863" s="44">
        <v>16.2096494</v>
      </c>
    </row>
    <row r="864" spans="1:11" ht="15" hidden="1" customHeight="1">
      <c r="A864" s="7"/>
      <c r="B864" s="36">
        <v>857</v>
      </c>
      <c r="C864" s="37" t="s">
        <v>19</v>
      </c>
      <c r="D864" s="37" t="s">
        <v>260</v>
      </c>
      <c r="E864" s="37" t="s">
        <v>267</v>
      </c>
      <c r="F864" s="37" t="s">
        <v>277</v>
      </c>
      <c r="G864" s="38" t="s">
        <v>13</v>
      </c>
      <c r="H864" s="39"/>
      <c r="I864" s="40"/>
      <c r="J864" s="39"/>
      <c r="K864" s="40"/>
    </row>
    <row r="865" spans="1:11" ht="15" hidden="1" customHeight="1">
      <c r="A865" s="7"/>
      <c r="B865" s="36">
        <v>858</v>
      </c>
      <c r="C865" s="37" t="s">
        <v>19</v>
      </c>
      <c r="D865" s="37" t="s">
        <v>260</v>
      </c>
      <c r="E865" s="37" t="s">
        <v>267</v>
      </c>
      <c r="F865" s="37" t="s">
        <v>277</v>
      </c>
      <c r="G865" s="38" t="s">
        <v>14</v>
      </c>
      <c r="H865" s="39">
        <v>15990</v>
      </c>
      <c r="I865" s="40">
        <v>13.158223899999999</v>
      </c>
      <c r="J865" s="39">
        <v>14405</v>
      </c>
      <c r="K865" s="40">
        <v>16.2096494</v>
      </c>
    </row>
    <row r="866" spans="1:11" ht="15" customHeight="1">
      <c r="A866" s="7"/>
      <c r="B866" s="41">
        <v>859</v>
      </c>
      <c r="C866" s="42" t="s">
        <v>19</v>
      </c>
      <c r="D866" s="47" t="s">
        <v>260</v>
      </c>
      <c r="E866" s="47" t="s">
        <v>267</v>
      </c>
      <c r="F866" s="47" t="s">
        <v>278</v>
      </c>
      <c r="G866" s="48" t="s">
        <v>278</v>
      </c>
      <c r="H866" s="43">
        <v>19762</v>
      </c>
      <c r="I866" s="44">
        <v>15.6866714</v>
      </c>
      <c r="J866" s="43">
        <v>20850</v>
      </c>
      <c r="K866" s="44">
        <v>34.0815348</v>
      </c>
    </row>
    <row r="867" spans="1:11" ht="15" hidden="1" customHeight="1">
      <c r="A867" s="7"/>
      <c r="B867" s="36">
        <v>860</v>
      </c>
      <c r="C867" s="37" t="s">
        <v>19</v>
      </c>
      <c r="D867" s="37" t="s">
        <v>260</v>
      </c>
      <c r="E867" s="37" t="s">
        <v>267</v>
      </c>
      <c r="F867" s="37" t="s">
        <v>278</v>
      </c>
      <c r="G867" s="38" t="s">
        <v>13</v>
      </c>
      <c r="H867" s="39"/>
      <c r="I867" s="40"/>
      <c r="J867" s="39"/>
      <c r="K867" s="40"/>
    </row>
    <row r="868" spans="1:11" ht="15" hidden="1" customHeight="1">
      <c r="A868" s="7"/>
      <c r="B868" s="36">
        <v>861</v>
      </c>
      <c r="C868" s="37" t="s">
        <v>19</v>
      </c>
      <c r="D868" s="37" t="s">
        <v>260</v>
      </c>
      <c r="E868" s="37" t="s">
        <v>267</v>
      </c>
      <c r="F868" s="37" t="s">
        <v>278</v>
      </c>
      <c r="G868" s="38" t="s">
        <v>14</v>
      </c>
      <c r="H868" s="39">
        <v>19762</v>
      </c>
      <c r="I868" s="40">
        <v>15.6866714</v>
      </c>
      <c r="J868" s="39">
        <v>20850</v>
      </c>
      <c r="K868" s="40">
        <v>34.0815348</v>
      </c>
    </row>
    <row r="869" spans="1:11" ht="15" hidden="1" customHeight="1">
      <c r="A869" s="7"/>
      <c r="B869" s="32">
        <v>862</v>
      </c>
      <c r="C869" s="33" t="s">
        <v>17</v>
      </c>
      <c r="D869" s="46" t="s">
        <v>260</v>
      </c>
      <c r="E869" s="46" t="s">
        <v>279</v>
      </c>
      <c r="F869" s="46"/>
      <c r="G869" s="33" t="s">
        <v>279</v>
      </c>
      <c r="H869" s="34">
        <v>40421</v>
      </c>
      <c r="I869" s="35">
        <v>11.8873853</v>
      </c>
      <c r="J869" s="34">
        <v>38792</v>
      </c>
      <c r="K869" s="35">
        <v>20.163951300000001</v>
      </c>
    </row>
    <row r="870" spans="1:11" ht="15" hidden="1" customHeight="1">
      <c r="A870" s="7"/>
      <c r="B870" s="36">
        <v>863</v>
      </c>
      <c r="C870" s="37" t="s">
        <v>17</v>
      </c>
      <c r="D870" s="37" t="s">
        <v>260</v>
      </c>
      <c r="E870" s="37" t="s">
        <v>279</v>
      </c>
      <c r="F870" s="37"/>
      <c r="G870" s="38" t="s">
        <v>13</v>
      </c>
      <c r="H870" s="39"/>
      <c r="I870" s="40"/>
      <c r="J870" s="39"/>
      <c r="K870" s="40"/>
    </row>
    <row r="871" spans="1:11" ht="15" hidden="1" customHeight="1">
      <c r="A871" s="7"/>
      <c r="B871" s="36">
        <v>864</v>
      </c>
      <c r="C871" s="37" t="s">
        <v>17</v>
      </c>
      <c r="D871" s="37" t="s">
        <v>260</v>
      </c>
      <c r="E871" s="37" t="s">
        <v>279</v>
      </c>
      <c r="F871" s="37"/>
      <c r="G871" s="38" t="s">
        <v>14</v>
      </c>
      <c r="H871" s="39">
        <v>40421</v>
      </c>
      <c r="I871" s="40">
        <v>11.8873853</v>
      </c>
      <c r="J871" s="39">
        <v>38792</v>
      </c>
      <c r="K871" s="40">
        <v>20.163951300000001</v>
      </c>
    </row>
    <row r="872" spans="1:11" ht="15" customHeight="1">
      <c r="A872" s="7"/>
      <c r="B872" s="41">
        <v>865</v>
      </c>
      <c r="C872" s="42" t="s">
        <v>19</v>
      </c>
      <c r="D872" s="47" t="s">
        <v>260</v>
      </c>
      <c r="E872" s="47" t="s">
        <v>279</v>
      </c>
      <c r="F872" s="47" t="s">
        <v>280</v>
      </c>
      <c r="G872" s="48" t="s">
        <v>280</v>
      </c>
      <c r="H872" s="43">
        <v>29744</v>
      </c>
      <c r="I872" s="44">
        <v>10.906401300000001</v>
      </c>
      <c r="J872" s="43">
        <v>28240</v>
      </c>
      <c r="K872" s="44">
        <v>17.046742200000001</v>
      </c>
    </row>
    <row r="873" spans="1:11" ht="15" hidden="1" customHeight="1">
      <c r="A873" s="7"/>
      <c r="B873" s="36">
        <v>866</v>
      </c>
      <c r="C873" s="37" t="s">
        <v>19</v>
      </c>
      <c r="D873" s="37" t="s">
        <v>260</v>
      </c>
      <c r="E873" s="37" t="s">
        <v>279</v>
      </c>
      <c r="F873" s="37" t="s">
        <v>280</v>
      </c>
      <c r="G873" s="38" t="s">
        <v>13</v>
      </c>
      <c r="H873" s="39"/>
      <c r="I873" s="40"/>
      <c r="J873" s="39"/>
      <c r="K873" s="40"/>
    </row>
    <row r="874" spans="1:11" ht="15" hidden="1" customHeight="1">
      <c r="A874" s="7"/>
      <c r="B874" s="36">
        <v>867</v>
      </c>
      <c r="C874" s="37" t="s">
        <v>19</v>
      </c>
      <c r="D874" s="37" t="s">
        <v>260</v>
      </c>
      <c r="E874" s="37" t="s">
        <v>279</v>
      </c>
      <c r="F874" s="37" t="s">
        <v>280</v>
      </c>
      <c r="G874" s="38" t="s">
        <v>14</v>
      </c>
      <c r="H874" s="39">
        <v>29744</v>
      </c>
      <c r="I874" s="40">
        <v>10.906401300000001</v>
      </c>
      <c r="J874" s="39">
        <v>28240</v>
      </c>
      <c r="K874" s="40">
        <v>17.046742200000001</v>
      </c>
    </row>
    <row r="875" spans="1:11" ht="15" customHeight="1">
      <c r="A875" s="7"/>
      <c r="B875" s="41">
        <v>868</v>
      </c>
      <c r="C875" s="42" t="s">
        <v>19</v>
      </c>
      <c r="D875" s="47" t="s">
        <v>260</v>
      </c>
      <c r="E875" s="47" t="s">
        <v>279</v>
      </c>
      <c r="F875" s="47" t="s">
        <v>281</v>
      </c>
      <c r="G875" s="48" t="s">
        <v>281</v>
      </c>
      <c r="H875" s="43">
        <v>10677</v>
      </c>
      <c r="I875" s="44">
        <v>14.6202117</v>
      </c>
      <c r="J875" s="43">
        <v>10552</v>
      </c>
      <c r="K875" s="44">
        <v>28.506444299999998</v>
      </c>
    </row>
    <row r="876" spans="1:11" ht="15" hidden="1" customHeight="1">
      <c r="A876" s="7"/>
      <c r="B876" s="36">
        <v>869</v>
      </c>
      <c r="C876" s="37" t="s">
        <v>19</v>
      </c>
      <c r="D876" s="37" t="s">
        <v>260</v>
      </c>
      <c r="E876" s="37" t="s">
        <v>279</v>
      </c>
      <c r="F876" s="37" t="s">
        <v>281</v>
      </c>
      <c r="G876" s="38" t="s">
        <v>13</v>
      </c>
      <c r="H876" s="39"/>
      <c r="I876" s="40"/>
      <c r="J876" s="39"/>
      <c r="K876" s="40"/>
    </row>
    <row r="877" spans="1:11" ht="15" hidden="1" customHeight="1">
      <c r="A877" s="7"/>
      <c r="B877" s="36">
        <v>870</v>
      </c>
      <c r="C877" s="37" t="s">
        <v>19</v>
      </c>
      <c r="D877" s="37" t="s">
        <v>260</v>
      </c>
      <c r="E877" s="37" t="s">
        <v>279</v>
      </c>
      <c r="F877" s="37" t="s">
        <v>281</v>
      </c>
      <c r="G877" s="38" t="s">
        <v>14</v>
      </c>
      <c r="H877" s="39">
        <v>10677</v>
      </c>
      <c r="I877" s="40">
        <v>14.6202117</v>
      </c>
      <c r="J877" s="39">
        <v>10552</v>
      </c>
      <c r="K877" s="40">
        <v>28.506444299999998</v>
      </c>
    </row>
    <row r="878" spans="1:11" ht="15" hidden="1" customHeight="1">
      <c r="A878" s="7"/>
      <c r="B878" s="32">
        <v>871</v>
      </c>
      <c r="C878" s="33" t="s">
        <v>17</v>
      </c>
      <c r="D878" s="46" t="s">
        <v>260</v>
      </c>
      <c r="E878" s="46" t="s">
        <v>282</v>
      </c>
      <c r="F878" s="46"/>
      <c r="G878" s="33" t="s">
        <v>282</v>
      </c>
      <c r="H878" s="34">
        <v>41770</v>
      </c>
      <c r="I878" s="35">
        <v>29.600191500000001</v>
      </c>
      <c r="J878" s="34">
        <v>38991</v>
      </c>
      <c r="K878" s="35">
        <v>38.178041100000002</v>
      </c>
    </row>
    <row r="879" spans="1:11" ht="15" hidden="1" customHeight="1">
      <c r="A879" s="7"/>
      <c r="B879" s="36">
        <v>872</v>
      </c>
      <c r="C879" s="37" t="s">
        <v>17</v>
      </c>
      <c r="D879" s="37" t="s">
        <v>260</v>
      </c>
      <c r="E879" s="37" t="s">
        <v>282</v>
      </c>
      <c r="F879" s="37"/>
      <c r="G879" s="38" t="s">
        <v>13</v>
      </c>
      <c r="H879" s="39">
        <v>6181</v>
      </c>
      <c r="I879" s="40">
        <v>95.2758453</v>
      </c>
      <c r="J879" s="39">
        <v>3149</v>
      </c>
      <c r="K879" s="40">
        <v>97.237218200000001</v>
      </c>
    </row>
    <row r="880" spans="1:11" ht="15" hidden="1" customHeight="1">
      <c r="A880" s="7"/>
      <c r="B880" s="36">
        <v>873</v>
      </c>
      <c r="C880" s="37" t="s">
        <v>17</v>
      </c>
      <c r="D880" s="37" t="s">
        <v>260</v>
      </c>
      <c r="E880" s="37" t="s">
        <v>282</v>
      </c>
      <c r="F880" s="37"/>
      <c r="G880" s="38" t="s">
        <v>14</v>
      </c>
      <c r="H880" s="39">
        <v>35589</v>
      </c>
      <c r="I880" s="40">
        <v>18.193823900000002</v>
      </c>
      <c r="J880" s="39">
        <v>35842</v>
      </c>
      <c r="K880" s="40">
        <v>32.989230499999998</v>
      </c>
    </row>
    <row r="881" spans="1:11" ht="15" customHeight="1">
      <c r="A881" s="7"/>
      <c r="B881" s="41">
        <v>874</v>
      </c>
      <c r="C881" s="42" t="s">
        <v>19</v>
      </c>
      <c r="D881" s="47" t="s">
        <v>260</v>
      </c>
      <c r="E881" s="47" t="s">
        <v>282</v>
      </c>
      <c r="F881" s="47" t="s">
        <v>283</v>
      </c>
      <c r="G881" s="48" t="s">
        <v>283</v>
      </c>
      <c r="H881" s="43">
        <v>31296</v>
      </c>
      <c r="I881" s="44">
        <v>33.7359407</v>
      </c>
      <c r="J881" s="43">
        <v>28940</v>
      </c>
      <c r="K881" s="44">
        <v>40.870767100000002</v>
      </c>
    </row>
    <row r="882" spans="1:11" ht="15" hidden="1" customHeight="1">
      <c r="A882" s="7"/>
      <c r="B882" s="36">
        <v>875</v>
      </c>
      <c r="C882" s="37" t="s">
        <v>19</v>
      </c>
      <c r="D882" s="37" t="s">
        <v>260</v>
      </c>
      <c r="E882" s="37" t="s">
        <v>282</v>
      </c>
      <c r="F882" s="37" t="s">
        <v>283</v>
      </c>
      <c r="G882" s="38" t="s">
        <v>13</v>
      </c>
      <c r="H882" s="39">
        <v>6181</v>
      </c>
      <c r="I882" s="40">
        <v>95.2758453</v>
      </c>
      <c r="J882" s="39">
        <v>3149</v>
      </c>
      <c r="K882" s="40">
        <v>97.237218200000001</v>
      </c>
    </row>
    <row r="883" spans="1:11" ht="15" hidden="1" customHeight="1">
      <c r="A883" s="7"/>
      <c r="B883" s="36">
        <v>876</v>
      </c>
      <c r="C883" s="37" t="s">
        <v>19</v>
      </c>
      <c r="D883" s="37" t="s">
        <v>260</v>
      </c>
      <c r="E883" s="37" t="s">
        <v>282</v>
      </c>
      <c r="F883" s="37" t="s">
        <v>283</v>
      </c>
      <c r="G883" s="38" t="s">
        <v>14</v>
      </c>
      <c r="H883" s="39">
        <v>25115</v>
      </c>
      <c r="I883" s="40">
        <v>18.590483800000001</v>
      </c>
      <c r="J883" s="39">
        <v>25791</v>
      </c>
      <c r="K883" s="40">
        <v>33.988600699999999</v>
      </c>
    </row>
    <row r="884" spans="1:11" ht="15" customHeight="1">
      <c r="A884" s="7"/>
      <c r="B884" s="41">
        <v>877</v>
      </c>
      <c r="C884" s="42" t="s">
        <v>19</v>
      </c>
      <c r="D884" s="47" t="s">
        <v>260</v>
      </c>
      <c r="E884" s="47" t="s">
        <v>282</v>
      </c>
      <c r="F884" s="47" t="s">
        <v>284</v>
      </c>
      <c r="G884" s="48" t="s">
        <v>284</v>
      </c>
      <c r="H884" s="43">
        <v>10474</v>
      </c>
      <c r="I884" s="44">
        <v>17.242696200000001</v>
      </c>
      <c r="J884" s="43">
        <v>10051</v>
      </c>
      <c r="K884" s="44">
        <v>30.4248333</v>
      </c>
    </row>
    <row r="885" spans="1:11" ht="15" hidden="1" customHeight="1">
      <c r="A885" s="7"/>
      <c r="B885" s="36">
        <v>878</v>
      </c>
      <c r="C885" s="37" t="s">
        <v>19</v>
      </c>
      <c r="D885" s="37" t="s">
        <v>260</v>
      </c>
      <c r="E885" s="37" t="s">
        <v>282</v>
      </c>
      <c r="F885" s="37" t="s">
        <v>284</v>
      </c>
      <c r="G885" s="38" t="s">
        <v>13</v>
      </c>
      <c r="H885" s="39"/>
      <c r="I885" s="40"/>
      <c r="J885" s="39"/>
      <c r="K885" s="40"/>
    </row>
    <row r="886" spans="1:11" ht="15" hidden="1" customHeight="1">
      <c r="A886" s="7"/>
      <c r="B886" s="36">
        <v>879</v>
      </c>
      <c r="C886" s="37" t="s">
        <v>19</v>
      </c>
      <c r="D886" s="37" t="s">
        <v>260</v>
      </c>
      <c r="E886" s="37" t="s">
        <v>282</v>
      </c>
      <c r="F886" s="37" t="s">
        <v>284</v>
      </c>
      <c r="G886" s="38" t="s">
        <v>14</v>
      </c>
      <c r="H886" s="39">
        <v>10474</v>
      </c>
      <c r="I886" s="40">
        <v>17.242696200000001</v>
      </c>
      <c r="J886" s="39">
        <v>10051</v>
      </c>
      <c r="K886" s="40">
        <v>30.4248333</v>
      </c>
    </row>
    <row r="887" spans="1:11" ht="15" hidden="1" customHeight="1">
      <c r="A887" s="7"/>
      <c r="B887" s="32">
        <v>880</v>
      </c>
      <c r="C887" s="33" t="s">
        <v>17</v>
      </c>
      <c r="D887" s="46" t="s">
        <v>260</v>
      </c>
      <c r="E887" s="46" t="s">
        <v>285</v>
      </c>
      <c r="F887" s="46"/>
      <c r="G887" s="33" t="s">
        <v>285</v>
      </c>
      <c r="H887" s="34">
        <v>27955</v>
      </c>
      <c r="I887" s="35">
        <v>14.7665892</v>
      </c>
      <c r="J887" s="34">
        <v>25483</v>
      </c>
      <c r="K887" s="35">
        <v>26.3352039</v>
      </c>
    </row>
    <row r="888" spans="1:11" ht="15" hidden="1" customHeight="1">
      <c r="A888" s="7"/>
      <c r="B888" s="36">
        <v>881</v>
      </c>
      <c r="C888" s="37" t="s">
        <v>17</v>
      </c>
      <c r="D888" s="37" t="s">
        <v>260</v>
      </c>
      <c r="E888" s="37" t="s">
        <v>285</v>
      </c>
      <c r="F888" s="37"/>
      <c r="G888" s="38" t="s">
        <v>13</v>
      </c>
      <c r="H888" s="39">
        <v>2231</v>
      </c>
      <c r="I888" s="40">
        <v>77.633348299999994</v>
      </c>
      <c r="J888" s="39">
        <v>2262</v>
      </c>
      <c r="K888" s="40">
        <v>93.147656900000001</v>
      </c>
    </row>
    <row r="889" spans="1:11" ht="15" hidden="1" customHeight="1">
      <c r="A889" s="7"/>
      <c r="B889" s="36">
        <v>882</v>
      </c>
      <c r="C889" s="37" t="s">
        <v>17</v>
      </c>
      <c r="D889" s="37" t="s">
        <v>260</v>
      </c>
      <c r="E889" s="37" t="s">
        <v>285</v>
      </c>
      <c r="F889" s="37"/>
      <c r="G889" s="38" t="s">
        <v>14</v>
      </c>
      <c r="H889" s="39">
        <v>25724</v>
      </c>
      <c r="I889" s="40">
        <v>9.3142590999999992</v>
      </c>
      <c r="J889" s="39">
        <v>23221</v>
      </c>
      <c r="K889" s="40">
        <v>19.826880800000001</v>
      </c>
    </row>
    <row r="890" spans="1:11" ht="15" customHeight="1">
      <c r="A890" s="7"/>
      <c r="B890" s="41">
        <v>883</v>
      </c>
      <c r="C890" s="42" t="s">
        <v>19</v>
      </c>
      <c r="D890" s="47" t="s">
        <v>260</v>
      </c>
      <c r="E890" s="47" t="s">
        <v>285</v>
      </c>
      <c r="F890" s="47" t="s">
        <v>286</v>
      </c>
      <c r="G890" s="48" t="s">
        <v>286</v>
      </c>
      <c r="H890" s="43">
        <v>19320</v>
      </c>
      <c r="I890" s="44">
        <v>15.967908899999999</v>
      </c>
      <c r="J890" s="43">
        <v>17091</v>
      </c>
      <c r="K890" s="44">
        <v>30.045052999999999</v>
      </c>
    </row>
    <row r="891" spans="1:11" ht="15" hidden="1" customHeight="1">
      <c r="A891" s="7"/>
      <c r="B891" s="36">
        <v>884</v>
      </c>
      <c r="C891" s="37" t="s">
        <v>19</v>
      </c>
      <c r="D891" s="37" t="s">
        <v>260</v>
      </c>
      <c r="E891" s="37" t="s">
        <v>285</v>
      </c>
      <c r="F891" s="37" t="s">
        <v>286</v>
      </c>
      <c r="G891" s="38" t="s">
        <v>13</v>
      </c>
      <c r="H891" s="39">
        <v>2231</v>
      </c>
      <c r="I891" s="40">
        <v>77.633348299999994</v>
      </c>
      <c r="J891" s="39">
        <v>2262</v>
      </c>
      <c r="K891" s="40">
        <v>93.147656900000001</v>
      </c>
    </row>
    <row r="892" spans="1:11" ht="15" hidden="1" customHeight="1">
      <c r="A892" s="7"/>
      <c r="B892" s="36">
        <v>885</v>
      </c>
      <c r="C892" s="37" t="s">
        <v>19</v>
      </c>
      <c r="D892" s="37" t="s">
        <v>260</v>
      </c>
      <c r="E892" s="37" t="s">
        <v>285</v>
      </c>
      <c r="F892" s="37" t="s">
        <v>286</v>
      </c>
      <c r="G892" s="38" t="s">
        <v>14</v>
      </c>
      <c r="H892" s="39">
        <v>17089</v>
      </c>
      <c r="I892" s="40">
        <v>7.9173736999999997</v>
      </c>
      <c r="J892" s="39">
        <v>14829</v>
      </c>
      <c r="K892" s="40">
        <v>20.4194484</v>
      </c>
    </row>
    <row r="893" spans="1:11" ht="15" customHeight="1">
      <c r="A893" s="7"/>
      <c r="B893" s="41">
        <v>886</v>
      </c>
      <c r="C893" s="42" t="s">
        <v>19</v>
      </c>
      <c r="D893" s="47" t="s">
        <v>260</v>
      </c>
      <c r="E893" s="47" t="s">
        <v>285</v>
      </c>
      <c r="F893" s="47" t="s">
        <v>287</v>
      </c>
      <c r="G893" s="48" t="s">
        <v>287</v>
      </c>
      <c r="H893" s="43">
        <v>8635</v>
      </c>
      <c r="I893" s="44">
        <v>12.0787493</v>
      </c>
      <c r="J893" s="43">
        <v>8392</v>
      </c>
      <c r="K893" s="44">
        <v>18.779790299999998</v>
      </c>
    </row>
    <row r="894" spans="1:11" ht="15" hidden="1" customHeight="1">
      <c r="A894" s="7"/>
      <c r="B894" s="36">
        <v>887</v>
      </c>
      <c r="C894" s="37" t="s">
        <v>19</v>
      </c>
      <c r="D894" s="37" t="s">
        <v>260</v>
      </c>
      <c r="E894" s="37" t="s">
        <v>285</v>
      </c>
      <c r="F894" s="37" t="s">
        <v>287</v>
      </c>
      <c r="G894" s="38" t="s">
        <v>13</v>
      </c>
      <c r="H894" s="39"/>
      <c r="I894" s="40"/>
      <c r="J894" s="39"/>
      <c r="K894" s="40"/>
    </row>
    <row r="895" spans="1:11" ht="15" hidden="1" customHeight="1">
      <c r="A895" s="7"/>
      <c r="B895" s="36">
        <v>888</v>
      </c>
      <c r="C895" s="37" t="s">
        <v>19</v>
      </c>
      <c r="D895" s="37" t="s">
        <v>260</v>
      </c>
      <c r="E895" s="37" t="s">
        <v>285</v>
      </c>
      <c r="F895" s="37" t="s">
        <v>287</v>
      </c>
      <c r="G895" s="38" t="s">
        <v>14</v>
      </c>
      <c r="H895" s="39">
        <v>8635</v>
      </c>
      <c r="I895" s="40">
        <v>12.0787493</v>
      </c>
      <c r="J895" s="39">
        <v>8392</v>
      </c>
      <c r="K895" s="40">
        <v>18.779790299999998</v>
      </c>
    </row>
    <row r="896" spans="1:11" ht="15" hidden="1" customHeight="1">
      <c r="A896" s="7"/>
      <c r="B896" s="32">
        <v>889</v>
      </c>
      <c r="C896" s="33" t="s">
        <v>17</v>
      </c>
      <c r="D896" s="46" t="s">
        <v>260</v>
      </c>
      <c r="E896" s="46" t="s">
        <v>288</v>
      </c>
      <c r="F896" s="46"/>
      <c r="G896" s="33" t="s">
        <v>288</v>
      </c>
      <c r="H896" s="34">
        <v>54339</v>
      </c>
      <c r="I896" s="35">
        <v>77.713980800000002</v>
      </c>
      <c r="J896" s="34">
        <v>53553</v>
      </c>
      <c r="K896" s="35">
        <v>85.1455567</v>
      </c>
    </row>
    <row r="897" spans="1:11" ht="15" hidden="1" customHeight="1">
      <c r="A897" s="7"/>
      <c r="B897" s="36">
        <v>890</v>
      </c>
      <c r="C897" s="37" t="s">
        <v>17</v>
      </c>
      <c r="D897" s="37" t="s">
        <v>260</v>
      </c>
      <c r="E897" s="37" t="s">
        <v>288</v>
      </c>
      <c r="F897" s="37"/>
      <c r="G897" s="38" t="s">
        <v>13</v>
      </c>
      <c r="H897" s="39">
        <v>30747</v>
      </c>
      <c r="I897" s="40">
        <v>98.780368800000005</v>
      </c>
      <c r="J897" s="39">
        <v>27583</v>
      </c>
      <c r="K897" s="40">
        <v>99.271290300000004</v>
      </c>
    </row>
    <row r="898" spans="1:11" ht="15" hidden="1" customHeight="1">
      <c r="A898" s="7"/>
      <c r="B898" s="36">
        <v>891</v>
      </c>
      <c r="C898" s="37" t="s">
        <v>17</v>
      </c>
      <c r="D898" s="37" t="s">
        <v>260</v>
      </c>
      <c r="E898" s="37" t="s">
        <v>288</v>
      </c>
      <c r="F898" s="37"/>
      <c r="G898" s="38" t="s">
        <v>14</v>
      </c>
      <c r="H898" s="39">
        <v>23592</v>
      </c>
      <c r="I898" s="40">
        <v>50.2585622</v>
      </c>
      <c r="J898" s="39">
        <v>25970</v>
      </c>
      <c r="K898" s="40">
        <v>70.142472100000006</v>
      </c>
    </row>
    <row r="899" spans="1:11" ht="15" customHeight="1">
      <c r="A899" s="7"/>
      <c r="B899" s="41">
        <v>892</v>
      </c>
      <c r="C899" s="42" t="s">
        <v>19</v>
      </c>
      <c r="D899" s="47" t="s">
        <v>260</v>
      </c>
      <c r="E899" s="47" t="s">
        <v>288</v>
      </c>
      <c r="F899" s="47" t="s">
        <v>289</v>
      </c>
      <c r="G899" s="48" t="s">
        <v>289</v>
      </c>
      <c r="H899" s="43">
        <v>43474</v>
      </c>
      <c r="I899" s="44">
        <v>73.499102899999997</v>
      </c>
      <c r="J899" s="43">
        <v>44192</v>
      </c>
      <c r="K899" s="44">
        <v>82.886042700000004</v>
      </c>
    </row>
    <row r="900" spans="1:11" ht="15" hidden="1" customHeight="1">
      <c r="A900" s="7"/>
      <c r="B900" s="36">
        <v>893</v>
      </c>
      <c r="C900" s="37" t="s">
        <v>19</v>
      </c>
      <c r="D900" s="37" t="s">
        <v>260</v>
      </c>
      <c r="E900" s="37" t="s">
        <v>288</v>
      </c>
      <c r="F900" s="37" t="s">
        <v>289</v>
      </c>
      <c r="G900" s="38" t="s">
        <v>13</v>
      </c>
      <c r="H900" s="39">
        <v>26384</v>
      </c>
      <c r="I900" s="40">
        <v>98.616585799999996</v>
      </c>
      <c r="J900" s="39">
        <v>27583</v>
      </c>
      <c r="K900" s="40">
        <v>99.271290300000004</v>
      </c>
    </row>
    <row r="901" spans="1:11" ht="15" hidden="1" customHeight="1">
      <c r="A901" s="7"/>
      <c r="B901" s="36">
        <v>894</v>
      </c>
      <c r="C901" s="37" t="s">
        <v>19</v>
      </c>
      <c r="D901" s="37" t="s">
        <v>260</v>
      </c>
      <c r="E901" s="37" t="s">
        <v>288</v>
      </c>
      <c r="F901" s="37" t="s">
        <v>289</v>
      </c>
      <c r="G901" s="38" t="s">
        <v>14</v>
      </c>
      <c r="H901" s="39">
        <v>17090</v>
      </c>
      <c r="I901" s="40">
        <v>34.722059700000003</v>
      </c>
      <c r="J901" s="39">
        <v>16609</v>
      </c>
      <c r="K901" s="40">
        <v>55.6746342</v>
      </c>
    </row>
    <row r="902" spans="1:11" ht="15" customHeight="1">
      <c r="A902" s="7"/>
      <c r="B902" s="41">
        <v>895</v>
      </c>
      <c r="C902" s="42" t="s">
        <v>19</v>
      </c>
      <c r="D902" s="47" t="s">
        <v>260</v>
      </c>
      <c r="E902" s="47" t="s">
        <v>288</v>
      </c>
      <c r="F902" s="47" t="s">
        <v>290</v>
      </c>
      <c r="G902" s="48" t="s">
        <v>290</v>
      </c>
      <c r="H902" s="43">
        <v>10865</v>
      </c>
      <c r="I902" s="44">
        <v>94.578923099999997</v>
      </c>
      <c r="J902" s="43">
        <v>9361</v>
      </c>
      <c r="K902" s="44">
        <v>95.812413199999995</v>
      </c>
    </row>
    <row r="903" spans="1:11" ht="15" hidden="1" customHeight="1">
      <c r="A903" s="7"/>
      <c r="B903" s="36">
        <v>896</v>
      </c>
      <c r="C903" s="37" t="s">
        <v>19</v>
      </c>
      <c r="D903" s="37" t="s">
        <v>260</v>
      </c>
      <c r="E903" s="37" t="s">
        <v>288</v>
      </c>
      <c r="F903" s="37" t="s">
        <v>290</v>
      </c>
      <c r="G903" s="38" t="s">
        <v>13</v>
      </c>
      <c r="H903" s="39">
        <v>4363</v>
      </c>
      <c r="I903" s="40">
        <v>99.7707999</v>
      </c>
      <c r="J903" s="39"/>
      <c r="K903" s="40"/>
    </row>
    <row r="904" spans="1:11" ht="15" hidden="1" customHeight="1">
      <c r="A904" s="7"/>
      <c r="B904" s="36">
        <v>897</v>
      </c>
      <c r="C904" s="37" t="s">
        <v>19</v>
      </c>
      <c r="D904" s="37" t="s">
        <v>260</v>
      </c>
      <c r="E904" s="37" t="s">
        <v>288</v>
      </c>
      <c r="F904" s="37" t="s">
        <v>290</v>
      </c>
      <c r="G904" s="38" t="s">
        <v>14</v>
      </c>
      <c r="H904" s="39">
        <v>6502</v>
      </c>
      <c r="I904" s="40">
        <v>91.095047699999995</v>
      </c>
      <c r="J904" s="39">
        <v>9361</v>
      </c>
      <c r="K904" s="40">
        <v>95.812413199999995</v>
      </c>
    </row>
    <row r="905" spans="1:11" ht="15" hidden="1" customHeight="1">
      <c r="A905" s="7"/>
      <c r="B905" s="32">
        <v>898</v>
      </c>
      <c r="C905" s="33" t="s">
        <v>17</v>
      </c>
      <c r="D905" s="46" t="s">
        <v>260</v>
      </c>
      <c r="E905" s="46" t="s">
        <v>291</v>
      </c>
      <c r="F905" s="46"/>
      <c r="G905" s="33" t="s">
        <v>291</v>
      </c>
      <c r="H905" s="34">
        <v>12063</v>
      </c>
      <c r="I905" s="35">
        <v>49.912956999999999</v>
      </c>
      <c r="J905" s="34">
        <v>12407</v>
      </c>
      <c r="K905" s="35">
        <v>81.623277200000004</v>
      </c>
    </row>
    <row r="906" spans="1:11" ht="15" hidden="1" customHeight="1">
      <c r="A906" s="7"/>
      <c r="B906" s="36">
        <v>899</v>
      </c>
      <c r="C906" s="37" t="s">
        <v>17</v>
      </c>
      <c r="D906" s="37" t="s">
        <v>260</v>
      </c>
      <c r="E906" s="37" t="s">
        <v>291</v>
      </c>
      <c r="F906" s="37"/>
      <c r="G906" s="38" t="s">
        <v>13</v>
      </c>
      <c r="H906" s="39"/>
      <c r="I906" s="40"/>
      <c r="J906" s="39">
        <v>2130</v>
      </c>
      <c r="K906" s="40">
        <v>98.826291100000006</v>
      </c>
    </row>
    <row r="907" spans="1:11" ht="15" hidden="1" customHeight="1">
      <c r="A907" s="7"/>
      <c r="B907" s="36">
        <v>900</v>
      </c>
      <c r="C907" s="37" t="s">
        <v>17</v>
      </c>
      <c r="D907" s="37" t="s">
        <v>260</v>
      </c>
      <c r="E907" s="37" t="s">
        <v>291</v>
      </c>
      <c r="F907" s="37"/>
      <c r="G907" s="38" t="s">
        <v>14</v>
      </c>
      <c r="H907" s="39">
        <v>12063</v>
      </c>
      <c r="I907" s="40">
        <v>49.912956999999999</v>
      </c>
      <c r="J907" s="39">
        <v>10277</v>
      </c>
      <c r="K907" s="40">
        <v>78.057799000000003</v>
      </c>
    </row>
    <row r="908" spans="1:11" ht="15" customHeight="1">
      <c r="A908" s="7"/>
      <c r="B908" s="41">
        <v>901</v>
      </c>
      <c r="C908" s="42" t="s">
        <v>19</v>
      </c>
      <c r="D908" s="47" t="s">
        <v>260</v>
      </c>
      <c r="E908" s="47" t="s">
        <v>291</v>
      </c>
      <c r="F908" s="47" t="s">
        <v>292</v>
      </c>
      <c r="G908" s="48" t="s">
        <v>292</v>
      </c>
      <c r="H908" s="43">
        <v>11068</v>
      </c>
      <c r="I908" s="44">
        <v>50.777014800000003</v>
      </c>
      <c r="J908" s="43">
        <v>10906</v>
      </c>
      <c r="K908" s="44">
        <v>82.450027500000004</v>
      </c>
    </row>
    <row r="909" spans="1:11" ht="15" hidden="1" customHeight="1">
      <c r="A909" s="7"/>
      <c r="B909" s="36">
        <v>902</v>
      </c>
      <c r="C909" s="37" t="s">
        <v>19</v>
      </c>
      <c r="D909" s="37" t="s">
        <v>260</v>
      </c>
      <c r="E909" s="37" t="s">
        <v>291</v>
      </c>
      <c r="F909" s="37" t="s">
        <v>292</v>
      </c>
      <c r="G909" s="38" t="s">
        <v>13</v>
      </c>
      <c r="H909" s="39"/>
      <c r="I909" s="40"/>
      <c r="J909" s="39">
        <v>2130</v>
      </c>
      <c r="K909" s="40">
        <v>98.826291100000006</v>
      </c>
    </row>
    <row r="910" spans="1:11" ht="15" hidden="1" customHeight="1">
      <c r="A910" s="7"/>
      <c r="B910" s="36">
        <v>903</v>
      </c>
      <c r="C910" s="37" t="s">
        <v>19</v>
      </c>
      <c r="D910" s="37" t="s">
        <v>260</v>
      </c>
      <c r="E910" s="37" t="s">
        <v>291</v>
      </c>
      <c r="F910" s="37" t="s">
        <v>292</v>
      </c>
      <c r="G910" s="38" t="s">
        <v>14</v>
      </c>
      <c r="H910" s="39">
        <v>11068</v>
      </c>
      <c r="I910" s="40">
        <v>50.777014800000003</v>
      </c>
      <c r="J910" s="39">
        <v>8776</v>
      </c>
      <c r="K910" s="40">
        <v>78.475387400000002</v>
      </c>
    </row>
    <row r="911" spans="1:11" ht="15" customHeight="1">
      <c r="A911" s="7"/>
      <c r="B911" s="41">
        <v>904</v>
      </c>
      <c r="C911" s="42" t="s">
        <v>19</v>
      </c>
      <c r="D911" s="47" t="s">
        <v>260</v>
      </c>
      <c r="E911" s="47" t="s">
        <v>291</v>
      </c>
      <c r="F911" s="47" t="s">
        <v>293</v>
      </c>
      <c r="G911" s="48" t="s">
        <v>293</v>
      </c>
      <c r="H911" s="43">
        <v>995</v>
      </c>
      <c r="I911" s="44">
        <v>40.3015075</v>
      </c>
      <c r="J911" s="43">
        <v>1501</v>
      </c>
      <c r="K911" s="44">
        <v>75.616255800000005</v>
      </c>
    </row>
    <row r="912" spans="1:11" ht="15" hidden="1" customHeight="1">
      <c r="A912" s="7"/>
      <c r="B912" s="36">
        <v>905</v>
      </c>
      <c r="C912" s="37" t="s">
        <v>19</v>
      </c>
      <c r="D912" s="37" t="s">
        <v>260</v>
      </c>
      <c r="E912" s="37" t="s">
        <v>291</v>
      </c>
      <c r="F912" s="37" t="s">
        <v>293</v>
      </c>
      <c r="G912" s="38" t="s">
        <v>13</v>
      </c>
      <c r="H912" s="39"/>
      <c r="I912" s="40"/>
      <c r="J912" s="39"/>
      <c r="K912" s="40"/>
    </row>
    <row r="913" spans="1:11" ht="15" hidden="1" customHeight="1">
      <c r="A913" s="7"/>
      <c r="B913" s="36">
        <v>906</v>
      </c>
      <c r="C913" s="37" t="s">
        <v>19</v>
      </c>
      <c r="D913" s="37" t="s">
        <v>260</v>
      </c>
      <c r="E913" s="37" t="s">
        <v>291</v>
      </c>
      <c r="F913" s="37" t="s">
        <v>293</v>
      </c>
      <c r="G913" s="38" t="s">
        <v>14</v>
      </c>
      <c r="H913" s="39">
        <v>995</v>
      </c>
      <c r="I913" s="40">
        <v>40.3015075</v>
      </c>
      <c r="J913" s="39">
        <v>1501</v>
      </c>
      <c r="K913" s="40">
        <v>75.616255800000005</v>
      </c>
    </row>
    <row r="914" spans="1:11" ht="15" hidden="1" customHeight="1">
      <c r="A914" s="7"/>
      <c r="B914" s="32">
        <v>907</v>
      </c>
      <c r="C914" s="33" t="s">
        <v>17</v>
      </c>
      <c r="D914" s="46" t="s">
        <v>260</v>
      </c>
      <c r="E914" s="46" t="s">
        <v>294</v>
      </c>
      <c r="F914" s="46"/>
      <c r="G914" s="33" t="s">
        <v>294</v>
      </c>
      <c r="H914" s="34">
        <v>6357</v>
      </c>
      <c r="I914" s="35">
        <v>20.088091899999998</v>
      </c>
      <c r="J914" s="34">
        <v>5715</v>
      </c>
      <c r="K914" s="35">
        <v>44.041994799999998</v>
      </c>
    </row>
    <row r="915" spans="1:11" ht="15" hidden="1" customHeight="1">
      <c r="A915" s="7"/>
      <c r="B915" s="36">
        <v>908</v>
      </c>
      <c r="C915" s="37" t="s">
        <v>17</v>
      </c>
      <c r="D915" s="37" t="s">
        <v>260</v>
      </c>
      <c r="E915" s="37" t="s">
        <v>294</v>
      </c>
      <c r="F915" s="37"/>
      <c r="G915" s="38" t="s">
        <v>13</v>
      </c>
      <c r="H915" s="39"/>
      <c r="I915" s="40"/>
      <c r="J915" s="39"/>
      <c r="K915" s="40"/>
    </row>
    <row r="916" spans="1:11" ht="15" hidden="1" customHeight="1">
      <c r="A916" s="7"/>
      <c r="B916" s="36">
        <v>909</v>
      </c>
      <c r="C916" s="37" t="s">
        <v>17</v>
      </c>
      <c r="D916" s="37" t="s">
        <v>260</v>
      </c>
      <c r="E916" s="37" t="s">
        <v>294</v>
      </c>
      <c r="F916" s="37"/>
      <c r="G916" s="38" t="s">
        <v>14</v>
      </c>
      <c r="H916" s="39">
        <v>6357</v>
      </c>
      <c r="I916" s="40">
        <v>20.088091899999998</v>
      </c>
      <c r="J916" s="39">
        <v>5715</v>
      </c>
      <c r="K916" s="40">
        <v>44.041994799999998</v>
      </c>
    </row>
    <row r="917" spans="1:11" ht="15" customHeight="1">
      <c r="A917" s="7"/>
      <c r="B917" s="41">
        <v>910</v>
      </c>
      <c r="C917" s="42" t="s">
        <v>19</v>
      </c>
      <c r="D917" s="47" t="s">
        <v>260</v>
      </c>
      <c r="E917" s="47" t="s">
        <v>294</v>
      </c>
      <c r="F917" s="47" t="s">
        <v>295</v>
      </c>
      <c r="G917" s="48" t="s">
        <v>295</v>
      </c>
      <c r="H917" s="43">
        <v>2951</v>
      </c>
      <c r="I917" s="44">
        <v>21.1792613</v>
      </c>
      <c r="J917" s="43">
        <v>2885</v>
      </c>
      <c r="K917" s="44">
        <v>47.764298099999998</v>
      </c>
    </row>
    <row r="918" spans="1:11" ht="15" hidden="1" customHeight="1">
      <c r="A918" s="7"/>
      <c r="B918" s="36">
        <v>911</v>
      </c>
      <c r="C918" s="37" t="s">
        <v>19</v>
      </c>
      <c r="D918" s="37" t="s">
        <v>260</v>
      </c>
      <c r="E918" s="37" t="s">
        <v>294</v>
      </c>
      <c r="F918" s="37" t="s">
        <v>295</v>
      </c>
      <c r="G918" s="38" t="s">
        <v>13</v>
      </c>
      <c r="H918" s="39"/>
      <c r="I918" s="40"/>
      <c r="J918" s="39"/>
      <c r="K918" s="40"/>
    </row>
    <row r="919" spans="1:11" ht="15" hidden="1" customHeight="1">
      <c r="A919" s="7"/>
      <c r="B919" s="36">
        <v>912</v>
      </c>
      <c r="C919" s="37" t="s">
        <v>19</v>
      </c>
      <c r="D919" s="37" t="s">
        <v>260</v>
      </c>
      <c r="E919" s="37" t="s">
        <v>294</v>
      </c>
      <c r="F919" s="37" t="s">
        <v>295</v>
      </c>
      <c r="G919" s="38" t="s">
        <v>14</v>
      </c>
      <c r="H919" s="39">
        <v>2951</v>
      </c>
      <c r="I919" s="40">
        <v>21.1792613</v>
      </c>
      <c r="J919" s="39">
        <v>2885</v>
      </c>
      <c r="K919" s="40">
        <v>47.764298099999998</v>
      </c>
    </row>
    <row r="920" spans="1:11" ht="15" customHeight="1">
      <c r="A920" s="7"/>
      <c r="B920" s="41">
        <v>913</v>
      </c>
      <c r="C920" s="42" t="s">
        <v>19</v>
      </c>
      <c r="D920" s="47" t="s">
        <v>260</v>
      </c>
      <c r="E920" s="47" t="s">
        <v>294</v>
      </c>
      <c r="F920" s="47" t="s">
        <v>296</v>
      </c>
      <c r="G920" s="48" t="s">
        <v>296</v>
      </c>
      <c r="H920" s="43">
        <v>1175</v>
      </c>
      <c r="I920" s="44">
        <v>5.7021277000000001</v>
      </c>
      <c r="J920" s="43">
        <v>960</v>
      </c>
      <c r="K920" s="44">
        <v>31.4583333</v>
      </c>
    </row>
    <row r="921" spans="1:11" ht="15" hidden="1" customHeight="1">
      <c r="A921" s="7"/>
      <c r="B921" s="36">
        <v>914</v>
      </c>
      <c r="C921" s="37" t="s">
        <v>19</v>
      </c>
      <c r="D921" s="37" t="s">
        <v>260</v>
      </c>
      <c r="E921" s="37" t="s">
        <v>294</v>
      </c>
      <c r="F921" s="37" t="s">
        <v>296</v>
      </c>
      <c r="G921" s="38" t="s">
        <v>13</v>
      </c>
      <c r="H921" s="39"/>
      <c r="I921" s="40"/>
      <c r="J921" s="39"/>
      <c r="K921" s="40"/>
    </row>
    <row r="922" spans="1:11" ht="15" hidden="1" customHeight="1">
      <c r="A922" s="7"/>
      <c r="B922" s="36">
        <v>915</v>
      </c>
      <c r="C922" s="37" t="s">
        <v>19</v>
      </c>
      <c r="D922" s="37" t="s">
        <v>260</v>
      </c>
      <c r="E922" s="37" t="s">
        <v>294</v>
      </c>
      <c r="F922" s="37" t="s">
        <v>296</v>
      </c>
      <c r="G922" s="38" t="s">
        <v>14</v>
      </c>
      <c r="H922" s="39">
        <v>1175</v>
      </c>
      <c r="I922" s="40">
        <v>5.7021277000000001</v>
      </c>
      <c r="J922" s="39">
        <v>960</v>
      </c>
      <c r="K922" s="40">
        <v>31.4583333</v>
      </c>
    </row>
    <row r="923" spans="1:11" ht="15" customHeight="1">
      <c r="A923" s="7"/>
      <c r="B923" s="41">
        <v>916</v>
      </c>
      <c r="C923" s="42" t="s">
        <v>19</v>
      </c>
      <c r="D923" s="47" t="s">
        <v>260</v>
      </c>
      <c r="E923" s="47" t="s">
        <v>294</v>
      </c>
      <c r="F923" s="47" t="s">
        <v>297</v>
      </c>
      <c r="G923" s="48" t="s">
        <v>297</v>
      </c>
      <c r="H923" s="43">
        <v>2231</v>
      </c>
      <c r="I923" s="44">
        <v>26.221425400000001</v>
      </c>
      <c r="J923" s="43">
        <v>1870</v>
      </c>
      <c r="K923" s="44">
        <v>44.759358300000002</v>
      </c>
    </row>
    <row r="924" spans="1:11" ht="15" hidden="1" customHeight="1">
      <c r="A924" s="7"/>
      <c r="B924" s="36">
        <v>917</v>
      </c>
      <c r="C924" s="37" t="s">
        <v>19</v>
      </c>
      <c r="D924" s="37" t="s">
        <v>260</v>
      </c>
      <c r="E924" s="37" t="s">
        <v>294</v>
      </c>
      <c r="F924" s="37" t="s">
        <v>297</v>
      </c>
      <c r="G924" s="38" t="s">
        <v>13</v>
      </c>
      <c r="H924" s="39"/>
      <c r="I924" s="40"/>
      <c r="J924" s="39"/>
      <c r="K924" s="40"/>
    </row>
    <row r="925" spans="1:11" ht="15" hidden="1" customHeight="1">
      <c r="A925" s="7"/>
      <c r="B925" s="36">
        <v>918</v>
      </c>
      <c r="C925" s="37" t="s">
        <v>19</v>
      </c>
      <c r="D925" s="37" t="s">
        <v>260</v>
      </c>
      <c r="E925" s="37" t="s">
        <v>294</v>
      </c>
      <c r="F925" s="37" t="s">
        <v>297</v>
      </c>
      <c r="G925" s="38" t="s">
        <v>14</v>
      </c>
      <c r="H925" s="39">
        <v>2231</v>
      </c>
      <c r="I925" s="40">
        <v>26.221425400000001</v>
      </c>
      <c r="J925" s="39">
        <v>1870</v>
      </c>
      <c r="K925" s="40">
        <v>44.759358300000002</v>
      </c>
    </row>
    <row r="926" spans="1:11" ht="15" hidden="1" customHeight="1">
      <c r="A926" s="7"/>
      <c r="B926" s="32">
        <v>919</v>
      </c>
      <c r="C926" s="33" t="s">
        <v>17</v>
      </c>
      <c r="D926" s="46" t="s">
        <v>260</v>
      </c>
      <c r="E926" s="46" t="s">
        <v>298</v>
      </c>
      <c r="F926" s="46"/>
      <c r="G926" s="33" t="s">
        <v>298</v>
      </c>
      <c r="H926" s="34">
        <v>49072</v>
      </c>
      <c r="I926" s="35">
        <v>27.266058000000001</v>
      </c>
      <c r="J926" s="34">
        <v>42960</v>
      </c>
      <c r="K926" s="35">
        <v>43.037709499999998</v>
      </c>
    </row>
    <row r="927" spans="1:11" ht="15" hidden="1" customHeight="1">
      <c r="A927" s="7"/>
      <c r="B927" s="36">
        <v>920</v>
      </c>
      <c r="C927" s="37" t="s">
        <v>17</v>
      </c>
      <c r="D927" s="37" t="s">
        <v>260</v>
      </c>
      <c r="E927" s="37" t="s">
        <v>298</v>
      </c>
      <c r="F927" s="37"/>
      <c r="G927" s="38" t="s">
        <v>13</v>
      </c>
      <c r="H927" s="39">
        <v>2573</v>
      </c>
      <c r="I927" s="40">
        <v>87.563155800000004</v>
      </c>
      <c r="J927" s="39">
        <v>3384</v>
      </c>
      <c r="K927" s="40">
        <v>97.488179700000003</v>
      </c>
    </row>
    <row r="928" spans="1:11" ht="15" hidden="1" customHeight="1">
      <c r="A928" s="7"/>
      <c r="B928" s="36">
        <v>921</v>
      </c>
      <c r="C928" s="37" t="s">
        <v>17</v>
      </c>
      <c r="D928" s="37" t="s">
        <v>260</v>
      </c>
      <c r="E928" s="37" t="s">
        <v>298</v>
      </c>
      <c r="F928" s="37"/>
      <c r="G928" s="38" t="s">
        <v>14</v>
      </c>
      <c r="H928" s="39">
        <v>46499</v>
      </c>
      <c r="I928" s="40">
        <v>23.929546899999998</v>
      </c>
      <c r="J928" s="39">
        <v>39576</v>
      </c>
      <c r="K928" s="40">
        <v>38.3818476</v>
      </c>
    </row>
    <row r="929" spans="1:11" ht="15" customHeight="1">
      <c r="A929" s="7"/>
      <c r="B929" s="41">
        <v>922</v>
      </c>
      <c r="C929" s="42" t="s">
        <v>19</v>
      </c>
      <c r="D929" s="47" t="s">
        <v>260</v>
      </c>
      <c r="E929" s="47" t="s">
        <v>298</v>
      </c>
      <c r="F929" s="47" t="s">
        <v>299</v>
      </c>
      <c r="G929" s="48" t="s">
        <v>299</v>
      </c>
      <c r="H929" s="43">
        <v>21710</v>
      </c>
      <c r="I929" s="44">
        <v>28.604329799999999</v>
      </c>
      <c r="J929" s="43">
        <v>16167</v>
      </c>
      <c r="K929" s="44">
        <v>46.799035099999998</v>
      </c>
    </row>
    <row r="930" spans="1:11" ht="15" hidden="1" customHeight="1">
      <c r="A930" s="7"/>
      <c r="B930" s="36">
        <v>923</v>
      </c>
      <c r="C930" s="37" t="s">
        <v>19</v>
      </c>
      <c r="D930" s="37" t="s">
        <v>260</v>
      </c>
      <c r="E930" s="37" t="s">
        <v>298</v>
      </c>
      <c r="F930" s="37" t="s">
        <v>299</v>
      </c>
      <c r="G930" s="38" t="s">
        <v>13</v>
      </c>
      <c r="H930" s="39"/>
      <c r="I930" s="40"/>
      <c r="J930" s="39"/>
      <c r="K930" s="40"/>
    </row>
    <row r="931" spans="1:11" ht="15" hidden="1" customHeight="1">
      <c r="A931" s="7"/>
      <c r="B931" s="36">
        <v>924</v>
      </c>
      <c r="C931" s="37" t="s">
        <v>19</v>
      </c>
      <c r="D931" s="37" t="s">
        <v>260</v>
      </c>
      <c r="E931" s="37" t="s">
        <v>298</v>
      </c>
      <c r="F931" s="37" t="s">
        <v>299</v>
      </c>
      <c r="G931" s="38" t="s">
        <v>14</v>
      </c>
      <c r="H931" s="39">
        <v>21710</v>
      </c>
      <c r="I931" s="40">
        <v>28.604329799999999</v>
      </c>
      <c r="J931" s="39">
        <v>16167</v>
      </c>
      <c r="K931" s="40">
        <v>46.799035099999998</v>
      </c>
    </row>
    <row r="932" spans="1:11" ht="15" customHeight="1">
      <c r="A932" s="7"/>
      <c r="B932" s="41">
        <v>925</v>
      </c>
      <c r="C932" s="42" t="s">
        <v>19</v>
      </c>
      <c r="D932" s="47" t="s">
        <v>260</v>
      </c>
      <c r="E932" s="47" t="s">
        <v>298</v>
      </c>
      <c r="F932" s="47" t="s">
        <v>300</v>
      </c>
      <c r="G932" s="48" t="s">
        <v>300</v>
      </c>
      <c r="H932" s="43">
        <v>11704</v>
      </c>
      <c r="I932" s="44">
        <v>45.104237900000001</v>
      </c>
      <c r="J932" s="43">
        <v>12535</v>
      </c>
      <c r="K932" s="44">
        <v>66.820901500000005</v>
      </c>
    </row>
    <row r="933" spans="1:11" ht="15" hidden="1" customHeight="1">
      <c r="A933" s="7"/>
      <c r="B933" s="36">
        <v>926</v>
      </c>
      <c r="C933" s="37" t="s">
        <v>19</v>
      </c>
      <c r="D933" s="37" t="s">
        <v>260</v>
      </c>
      <c r="E933" s="37" t="s">
        <v>298</v>
      </c>
      <c r="F933" s="37" t="s">
        <v>300</v>
      </c>
      <c r="G933" s="38" t="s">
        <v>13</v>
      </c>
      <c r="H933" s="39">
        <v>2573</v>
      </c>
      <c r="I933" s="40">
        <v>87.563155800000004</v>
      </c>
      <c r="J933" s="39">
        <v>3384</v>
      </c>
      <c r="K933" s="40">
        <v>97.488179700000003</v>
      </c>
    </row>
    <row r="934" spans="1:11" ht="15" hidden="1" customHeight="1">
      <c r="A934" s="7"/>
      <c r="B934" s="36">
        <v>927</v>
      </c>
      <c r="C934" s="37" t="s">
        <v>19</v>
      </c>
      <c r="D934" s="37" t="s">
        <v>260</v>
      </c>
      <c r="E934" s="37" t="s">
        <v>298</v>
      </c>
      <c r="F934" s="37" t="s">
        <v>300</v>
      </c>
      <c r="G934" s="38" t="s">
        <v>14</v>
      </c>
      <c r="H934" s="39">
        <v>9131</v>
      </c>
      <c r="I934" s="40">
        <v>33.139853199999997</v>
      </c>
      <c r="J934" s="39">
        <v>9151</v>
      </c>
      <c r="K934" s="40">
        <v>55.480275399999996</v>
      </c>
    </row>
    <row r="935" spans="1:11" ht="15" customHeight="1">
      <c r="A935" s="7"/>
      <c r="B935" s="41">
        <v>928</v>
      </c>
      <c r="C935" s="42" t="s">
        <v>19</v>
      </c>
      <c r="D935" s="47" t="s">
        <v>260</v>
      </c>
      <c r="E935" s="47" t="s">
        <v>298</v>
      </c>
      <c r="F935" s="47" t="s">
        <v>301</v>
      </c>
      <c r="G935" s="48" t="s">
        <v>301</v>
      </c>
      <c r="H935" s="43">
        <v>15658</v>
      </c>
      <c r="I935" s="44">
        <v>12.0768936</v>
      </c>
      <c r="J935" s="43">
        <v>14258</v>
      </c>
      <c r="K935" s="44">
        <v>17.8636555</v>
      </c>
    </row>
    <row r="936" spans="1:11" ht="15" hidden="1" customHeight="1">
      <c r="A936" s="7"/>
      <c r="B936" s="36">
        <v>929</v>
      </c>
      <c r="C936" s="37" t="s">
        <v>19</v>
      </c>
      <c r="D936" s="37" t="s">
        <v>260</v>
      </c>
      <c r="E936" s="37" t="s">
        <v>298</v>
      </c>
      <c r="F936" s="37" t="s">
        <v>301</v>
      </c>
      <c r="G936" s="38" t="s">
        <v>13</v>
      </c>
      <c r="H936" s="39"/>
      <c r="I936" s="40"/>
      <c r="J936" s="39"/>
      <c r="K936" s="40"/>
    </row>
    <row r="937" spans="1:11" ht="15" hidden="1" customHeight="1">
      <c r="A937" s="7"/>
      <c r="B937" s="36">
        <v>930</v>
      </c>
      <c r="C937" s="37" t="s">
        <v>19</v>
      </c>
      <c r="D937" s="37" t="s">
        <v>260</v>
      </c>
      <c r="E937" s="37" t="s">
        <v>298</v>
      </c>
      <c r="F937" s="37" t="s">
        <v>301</v>
      </c>
      <c r="G937" s="38" t="s">
        <v>14</v>
      </c>
      <c r="H937" s="39">
        <v>15658</v>
      </c>
      <c r="I937" s="40">
        <v>12.0768936</v>
      </c>
      <c r="J937" s="39">
        <v>14258</v>
      </c>
      <c r="K937" s="40">
        <v>17.8636555</v>
      </c>
    </row>
    <row r="938" spans="1:11" ht="15" hidden="1" customHeight="1">
      <c r="A938" s="7"/>
      <c r="B938" s="32">
        <v>931</v>
      </c>
      <c r="C938" s="33" t="s">
        <v>17</v>
      </c>
      <c r="D938" s="46" t="s">
        <v>260</v>
      </c>
      <c r="E938" s="46" t="s">
        <v>302</v>
      </c>
      <c r="F938" s="46"/>
      <c r="G938" s="33" t="s">
        <v>302</v>
      </c>
      <c r="H938" s="34">
        <v>53668</v>
      </c>
      <c r="I938" s="35">
        <v>65.888425100000006</v>
      </c>
      <c r="J938" s="34">
        <v>61399</v>
      </c>
      <c r="K938" s="35">
        <v>82.304272100000006</v>
      </c>
    </row>
    <row r="939" spans="1:11" ht="15" hidden="1" customHeight="1">
      <c r="A939" s="7"/>
      <c r="B939" s="36">
        <v>932</v>
      </c>
      <c r="C939" s="37" t="s">
        <v>17</v>
      </c>
      <c r="D939" s="37" t="s">
        <v>260</v>
      </c>
      <c r="E939" s="37" t="s">
        <v>302</v>
      </c>
      <c r="F939" s="37"/>
      <c r="G939" s="38" t="s">
        <v>13</v>
      </c>
      <c r="H939" s="39">
        <v>25090</v>
      </c>
      <c r="I939" s="40">
        <v>99.840573899999995</v>
      </c>
      <c r="J939" s="39">
        <v>34878</v>
      </c>
      <c r="K939" s="40">
        <v>99.5641952</v>
      </c>
    </row>
    <row r="940" spans="1:11" ht="15" hidden="1" customHeight="1">
      <c r="A940" s="7"/>
      <c r="B940" s="36">
        <v>933</v>
      </c>
      <c r="C940" s="37" t="s">
        <v>17</v>
      </c>
      <c r="D940" s="37" t="s">
        <v>260</v>
      </c>
      <c r="E940" s="37" t="s">
        <v>302</v>
      </c>
      <c r="F940" s="37"/>
      <c r="G940" s="38" t="s">
        <v>14</v>
      </c>
      <c r="H940" s="39">
        <v>28578</v>
      </c>
      <c r="I940" s="40">
        <v>36.080201600000002</v>
      </c>
      <c r="J940" s="39">
        <v>26521</v>
      </c>
      <c r="K940" s="40">
        <v>59.605595600000001</v>
      </c>
    </row>
    <row r="941" spans="1:11" ht="15" customHeight="1">
      <c r="A941" s="7"/>
      <c r="B941" s="41">
        <v>934</v>
      </c>
      <c r="C941" s="42" t="s">
        <v>19</v>
      </c>
      <c r="D941" s="47" t="s">
        <v>260</v>
      </c>
      <c r="E941" s="47" t="s">
        <v>302</v>
      </c>
      <c r="F941" s="47" t="s">
        <v>303</v>
      </c>
      <c r="G941" s="48" t="s">
        <v>303</v>
      </c>
      <c r="H941" s="43">
        <v>28477</v>
      </c>
      <c r="I941" s="44">
        <v>78.659971200000001</v>
      </c>
      <c r="J941" s="43">
        <v>33598</v>
      </c>
      <c r="K941" s="44">
        <v>92.5471754</v>
      </c>
    </row>
    <row r="942" spans="1:11" ht="15" hidden="1" customHeight="1">
      <c r="A942" s="7"/>
      <c r="B942" s="36">
        <v>935</v>
      </c>
      <c r="C942" s="37" t="s">
        <v>19</v>
      </c>
      <c r="D942" s="37" t="s">
        <v>260</v>
      </c>
      <c r="E942" s="37" t="s">
        <v>302</v>
      </c>
      <c r="F942" s="37" t="s">
        <v>303</v>
      </c>
      <c r="G942" s="38" t="s">
        <v>13</v>
      </c>
      <c r="H942" s="39">
        <v>17143</v>
      </c>
      <c r="I942" s="40">
        <v>99.778335200000001</v>
      </c>
      <c r="J942" s="39">
        <v>23464</v>
      </c>
      <c r="K942" s="40">
        <v>99.531196699999995</v>
      </c>
    </row>
    <row r="943" spans="1:11" ht="15" hidden="1" customHeight="1">
      <c r="A943" s="7"/>
      <c r="B943" s="36">
        <v>936</v>
      </c>
      <c r="C943" s="37" t="s">
        <v>19</v>
      </c>
      <c r="D943" s="37" t="s">
        <v>260</v>
      </c>
      <c r="E943" s="37" t="s">
        <v>302</v>
      </c>
      <c r="F943" s="37" t="s">
        <v>303</v>
      </c>
      <c r="G943" s="38" t="s">
        <v>14</v>
      </c>
      <c r="H943" s="39">
        <v>11334</v>
      </c>
      <c r="I943" s="40">
        <v>46.717840099999997</v>
      </c>
      <c r="J943" s="39">
        <v>10134</v>
      </c>
      <c r="K943" s="40">
        <v>76.376554200000001</v>
      </c>
    </row>
    <row r="944" spans="1:11" ht="15" customHeight="1">
      <c r="A944" s="7"/>
      <c r="B944" s="41">
        <v>937</v>
      </c>
      <c r="C944" s="42" t="s">
        <v>19</v>
      </c>
      <c r="D944" s="47" t="s">
        <v>260</v>
      </c>
      <c r="E944" s="47" t="s">
        <v>302</v>
      </c>
      <c r="F944" s="47" t="s">
        <v>304</v>
      </c>
      <c r="G944" s="48" t="s">
        <v>304</v>
      </c>
      <c r="H944" s="43">
        <v>8705</v>
      </c>
      <c r="I944" s="44">
        <v>30.3159104</v>
      </c>
      <c r="J944" s="43">
        <v>7759</v>
      </c>
      <c r="K944" s="44">
        <v>56.038149199999999</v>
      </c>
    </row>
    <row r="945" spans="1:11" ht="15" hidden="1" customHeight="1">
      <c r="A945" s="7"/>
      <c r="B945" s="36">
        <v>938</v>
      </c>
      <c r="C945" s="37" t="s">
        <v>19</v>
      </c>
      <c r="D945" s="37" t="s">
        <v>260</v>
      </c>
      <c r="E945" s="37" t="s">
        <v>302</v>
      </c>
      <c r="F945" s="37" t="s">
        <v>304</v>
      </c>
      <c r="G945" s="38" t="s">
        <v>13</v>
      </c>
      <c r="H945" s="39"/>
      <c r="I945" s="40"/>
      <c r="J945" s="39"/>
      <c r="K945" s="40"/>
    </row>
    <row r="946" spans="1:11" ht="15" hidden="1" customHeight="1">
      <c r="A946" s="7"/>
      <c r="B946" s="36">
        <v>939</v>
      </c>
      <c r="C946" s="37" t="s">
        <v>19</v>
      </c>
      <c r="D946" s="37" t="s">
        <v>260</v>
      </c>
      <c r="E946" s="37" t="s">
        <v>302</v>
      </c>
      <c r="F946" s="37" t="s">
        <v>304</v>
      </c>
      <c r="G946" s="38" t="s">
        <v>14</v>
      </c>
      <c r="H946" s="39">
        <v>8705</v>
      </c>
      <c r="I946" s="40">
        <v>30.3159104</v>
      </c>
      <c r="J946" s="39">
        <v>7759</v>
      </c>
      <c r="K946" s="40">
        <v>56.038149199999999</v>
      </c>
    </row>
    <row r="947" spans="1:11" ht="15" customHeight="1">
      <c r="A947" s="7"/>
      <c r="B947" s="41">
        <v>940</v>
      </c>
      <c r="C947" s="42" t="s">
        <v>19</v>
      </c>
      <c r="D947" s="47" t="s">
        <v>260</v>
      </c>
      <c r="E947" s="47" t="s">
        <v>302</v>
      </c>
      <c r="F947" s="47" t="s">
        <v>305</v>
      </c>
      <c r="G947" s="48" t="s">
        <v>305</v>
      </c>
      <c r="H947" s="43">
        <v>10640</v>
      </c>
      <c r="I947" s="44">
        <v>79.135338300000001</v>
      </c>
      <c r="J947" s="43">
        <v>14321</v>
      </c>
      <c r="K947" s="44">
        <v>86.006563799999995</v>
      </c>
    </row>
    <row r="948" spans="1:11" ht="15" hidden="1" customHeight="1">
      <c r="A948" s="7"/>
      <c r="B948" s="36">
        <v>941</v>
      </c>
      <c r="C948" s="37" t="s">
        <v>19</v>
      </c>
      <c r="D948" s="37" t="s">
        <v>260</v>
      </c>
      <c r="E948" s="37" t="s">
        <v>302</v>
      </c>
      <c r="F948" s="37" t="s">
        <v>305</v>
      </c>
      <c r="G948" s="38" t="s">
        <v>13</v>
      </c>
      <c r="H948" s="39">
        <v>7947</v>
      </c>
      <c r="I948" s="40">
        <v>99.9748333</v>
      </c>
      <c r="J948" s="39">
        <v>11414</v>
      </c>
      <c r="K948" s="40">
        <v>99.632030799999995</v>
      </c>
    </row>
    <row r="949" spans="1:11" ht="15" hidden="1" customHeight="1">
      <c r="A949" s="7"/>
      <c r="B949" s="36">
        <v>942</v>
      </c>
      <c r="C949" s="37" t="s">
        <v>19</v>
      </c>
      <c r="D949" s="37" t="s">
        <v>260</v>
      </c>
      <c r="E949" s="37" t="s">
        <v>302</v>
      </c>
      <c r="F949" s="37" t="s">
        <v>305</v>
      </c>
      <c r="G949" s="38" t="s">
        <v>14</v>
      </c>
      <c r="H949" s="39">
        <v>2693</v>
      </c>
      <c r="I949" s="40">
        <v>17.638321600000001</v>
      </c>
      <c r="J949" s="39">
        <v>2907</v>
      </c>
      <c r="K949" s="40">
        <v>32.507739899999997</v>
      </c>
    </row>
    <row r="950" spans="1:11" ht="15" customHeight="1">
      <c r="A950" s="7"/>
      <c r="B950" s="41">
        <v>943</v>
      </c>
      <c r="C950" s="42" t="s">
        <v>19</v>
      </c>
      <c r="D950" s="47" t="s">
        <v>260</v>
      </c>
      <c r="E950" s="47" t="s">
        <v>302</v>
      </c>
      <c r="F950" s="47" t="s">
        <v>306</v>
      </c>
      <c r="G950" s="48" t="s">
        <v>306</v>
      </c>
      <c r="H950" s="43">
        <v>5846</v>
      </c>
      <c r="I950" s="44">
        <v>32.535066700000002</v>
      </c>
      <c r="J950" s="43">
        <v>5721</v>
      </c>
      <c r="K950" s="44">
        <v>48.505505999999997</v>
      </c>
    </row>
    <row r="951" spans="1:11" ht="15" hidden="1" customHeight="1">
      <c r="A951" s="7"/>
      <c r="B951" s="36">
        <v>944</v>
      </c>
      <c r="C951" s="37" t="s">
        <v>19</v>
      </c>
      <c r="D951" s="37" t="s">
        <v>260</v>
      </c>
      <c r="E951" s="37" t="s">
        <v>302</v>
      </c>
      <c r="F951" s="37" t="s">
        <v>306</v>
      </c>
      <c r="G951" s="38" t="s">
        <v>13</v>
      </c>
      <c r="H951" s="39"/>
      <c r="I951" s="40"/>
      <c r="J951" s="39"/>
      <c r="K951" s="40"/>
    </row>
    <row r="952" spans="1:11" ht="15" hidden="1" customHeight="1">
      <c r="A952" s="7"/>
      <c r="B952" s="36">
        <v>945</v>
      </c>
      <c r="C952" s="37" t="s">
        <v>19</v>
      </c>
      <c r="D952" s="37" t="s">
        <v>260</v>
      </c>
      <c r="E952" s="37" t="s">
        <v>302</v>
      </c>
      <c r="F952" s="37" t="s">
        <v>306</v>
      </c>
      <c r="G952" s="38" t="s">
        <v>14</v>
      </c>
      <c r="H952" s="39">
        <v>5846</v>
      </c>
      <c r="I952" s="40">
        <v>32.535066700000002</v>
      </c>
      <c r="J952" s="39">
        <v>5721</v>
      </c>
      <c r="K952" s="40">
        <v>48.505505999999997</v>
      </c>
    </row>
    <row r="953" spans="1:11" ht="15" hidden="1" customHeight="1">
      <c r="A953" s="7"/>
      <c r="B953" s="32">
        <v>946</v>
      </c>
      <c r="C953" s="33" t="s">
        <v>17</v>
      </c>
      <c r="D953" s="46" t="s">
        <v>260</v>
      </c>
      <c r="E953" s="46" t="s">
        <v>307</v>
      </c>
      <c r="F953" s="46"/>
      <c r="G953" s="33" t="s">
        <v>307</v>
      </c>
      <c r="H953" s="34">
        <v>10195</v>
      </c>
      <c r="I953" s="35">
        <v>15.3212359</v>
      </c>
      <c r="J953" s="34">
        <v>8037</v>
      </c>
      <c r="K953" s="35">
        <v>21.015304199999999</v>
      </c>
    </row>
    <row r="954" spans="1:11" ht="15" hidden="1" customHeight="1">
      <c r="A954" s="7"/>
      <c r="B954" s="36">
        <v>947</v>
      </c>
      <c r="C954" s="37" t="s">
        <v>17</v>
      </c>
      <c r="D954" s="37" t="s">
        <v>260</v>
      </c>
      <c r="E954" s="37" t="s">
        <v>307</v>
      </c>
      <c r="F954" s="37"/>
      <c r="G954" s="38" t="s">
        <v>13</v>
      </c>
      <c r="H954" s="39"/>
      <c r="I954" s="40"/>
      <c r="J954" s="39"/>
      <c r="K954" s="40"/>
    </row>
    <row r="955" spans="1:11" ht="15" hidden="1" customHeight="1">
      <c r="A955" s="7"/>
      <c r="B955" s="36">
        <v>948</v>
      </c>
      <c r="C955" s="37" t="s">
        <v>17</v>
      </c>
      <c r="D955" s="37" t="s">
        <v>260</v>
      </c>
      <c r="E955" s="37" t="s">
        <v>307</v>
      </c>
      <c r="F955" s="37"/>
      <c r="G955" s="38" t="s">
        <v>14</v>
      </c>
      <c r="H955" s="39">
        <v>10195</v>
      </c>
      <c r="I955" s="40">
        <v>15.3212359</v>
      </c>
      <c r="J955" s="39">
        <v>8037</v>
      </c>
      <c r="K955" s="40">
        <v>21.015304199999999</v>
      </c>
    </row>
    <row r="956" spans="1:11" ht="15" customHeight="1">
      <c r="A956" s="7"/>
      <c r="B956" s="41">
        <v>949</v>
      </c>
      <c r="C956" s="42" t="s">
        <v>19</v>
      </c>
      <c r="D956" s="47" t="s">
        <v>260</v>
      </c>
      <c r="E956" s="47" t="s">
        <v>307</v>
      </c>
      <c r="F956" s="47" t="s">
        <v>308</v>
      </c>
      <c r="G956" s="48" t="s">
        <v>308</v>
      </c>
      <c r="H956" s="43">
        <v>4107</v>
      </c>
      <c r="I956" s="44">
        <v>11.468225</v>
      </c>
      <c r="J956" s="43">
        <v>3652</v>
      </c>
      <c r="K956" s="44">
        <v>16.730558599999998</v>
      </c>
    </row>
    <row r="957" spans="1:11" ht="15" hidden="1" customHeight="1">
      <c r="A957" s="7"/>
      <c r="B957" s="36">
        <v>950</v>
      </c>
      <c r="C957" s="37" t="s">
        <v>19</v>
      </c>
      <c r="D957" s="37" t="s">
        <v>260</v>
      </c>
      <c r="E957" s="37" t="s">
        <v>307</v>
      </c>
      <c r="F957" s="37" t="s">
        <v>308</v>
      </c>
      <c r="G957" s="38" t="s">
        <v>13</v>
      </c>
      <c r="H957" s="39"/>
      <c r="I957" s="40"/>
      <c r="J957" s="39"/>
      <c r="K957" s="40"/>
    </row>
    <row r="958" spans="1:11" ht="15" hidden="1" customHeight="1">
      <c r="A958" s="7"/>
      <c r="B958" s="36">
        <v>951</v>
      </c>
      <c r="C958" s="37" t="s">
        <v>19</v>
      </c>
      <c r="D958" s="37" t="s">
        <v>260</v>
      </c>
      <c r="E958" s="37" t="s">
        <v>307</v>
      </c>
      <c r="F958" s="37" t="s">
        <v>308</v>
      </c>
      <c r="G958" s="38" t="s">
        <v>14</v>
      </c>
      <c r="H958" s="39">
        <v>4107</v>
      </c>
      <c r="I958" s="40">
        <v>11.468225</v>
      </c>
      <c r="J958" s="39">
        <v>3652</v>
      </c>
      <c r="K958" s="40">
        <v>16.730558599999998</v>
      </c>
    </row>
    <row r="959" spans="1:11" ht="15" customHeight="1">
      <c r="A959" s="7"/>
      <c r="B959" s="41">
        <v>952</v>
      </c>
      <c r="C959" s="42" t="s">
        <v>19</v>
      </c>
      <c r="D959" s="47" t="s">
        <v>260</v>
      </c>
      <c r="E959" s="47" t="s">
        <v>307</v>
      </c>
      <c r="F959" s="47" t="s">
        <v>309</v>
      </c>
      <c r="G959" s="48" t="s">
        <v>309</v>
      </c>
      <c r="H959" s="43">
        <v>6088</v>
      </c>
      <c r="I959" s="44">
        <v>17.920499299999999</v>
      </c>
      <c r="J959" s="43">
        <v>4385</v>
      </c>
      <c r="K959" s="44">
        <v>24.583808399999999</v>
      </c>
    </row>
    <row r="960" spans="1:11" ht="15" hidden="1" customHeight="1">
      <c r="A960" s="7"/>
      <c r="B960" s="36">
        <v>953</v>
      </c>
      <c r="C960" s="37" t="s">
        <v>19</v>
      </c>
      <c r="D960" s="37" t="s">
        <v>260</v>
      </c>
      <c r="E960" s="37" t="s">
        <v>307</v>
      </c>
      <c r="F960" s="37" t="s">
        <v>309</v>
      </c>
      <c r="G960" s="38" t="s">
        <v>13</v>
      </c>
      <c r="H960" s="39"/>
      <c r="I960" s="40"/>
      <c r="J960" s="39"/>
      <c r="K960" s="40"/>
    </row>
    <row r="961" spans="1:11" ht="15" hidden="1" customHeight="1">
      <c r="A961" s="7"/>
      <c r="B961" s="36">
        <v>954</v>
      </c>
      <c r="C961" s="37" t="s">
        <v>19</v>
      </c>
      <c r="D961" s="37" t="s">
        <v>260</v>
      </c>
      <c r="E961" s="37" t="s">
        <v>307</v>
      </c>
      <c r="F961" s="37" t="s">
        <v>309</v>
      </c>
      <c r="G961" s="38" t="s">
        <v>14</v>
      </c>
      <c r="H961" s="39">
        <v>6088</v>
      </c>
      <c r="I961" s="40">
        <v>17.920499299999999</v>
      </c>
      <c r="J961" s="39">
        <v>4385</v>
      </c>
      <c r="K961" s="40">
        <v>24.583808399999999</v>
      </c>
    </row>
    <row r="962" spans="1:11" ht="15" hidden="1" customHeight="1">
      <c r="A962" s="7"/>
      <c r="B962" s="32">
        <v>955</v>
      </c>
      <c r="C962" s="33" t="s">
        <v>17</v>
      </c>
      <c r="D962" s="46" t="s">
        <v>260</v>
      </c>
      <c r="E962" s="46" t="s">
        <v>310</v>
      </c>
      <c r="F962" s="46"/>
      <c r="G962" s="33" t="s">
        <v>310</v>
      </c>
      <c r="H962" s="34">
        <v>5644</v>
      </c>
      <c r="I962" s="35">
        <v>38.199858300000002</v>
      </c>
      <c r="J962" s="34">
        <v>5565</v>
      </c>
      <c r="K962" s="35">
        <v>75.956873299999998</v>
      </c>
    </row>
    <row r="963" spans="1:11" ht="15" hidden="1" customHeight="1">
      <c r="A963" s="7"/>
      <c r="B963" s="36">
        <v>956</v>
      </c>
      <c r="C963" s="37" t="s">
        <v>17</v>
      </c>
      <c r="D963" s="37" t="s">
        <v>260</v>
      </c>
      <c r="E963" s="37" t="s">
        <v>310</v>
      </c>
      <c r="F963" s="37"/>
      <c r="G963" s="38" t="s">
        <v>13</v>
      </c>
      <c r="H963" s="39"/>
      <c r="I963" s="40"/>
      <c r="J963" s="39"/>
      <c r="K963" s="40"/>
    </row>
    <row r="964" spans="1:11" ht="15" hidden="1" customHeight="1">
      <c r="A964" s="7"/>
      <c r="B964" s="36">
        <v>957</v>
      </c>
      <c r="C964" s="37" t="s">
        <v>17</v>
      </c>
      <c r="D964" s="37" t="s">
        <v>260</v>
      </c>
      <c r="E964" s="37" t="s">
        <v>310</v>
      </c>
      <c r="F964" s="37"/>
      <c r="G964" s="38" t="s">
        <v>14</v>
      </c>
      <c r="H964" s="39">
        <v>5644</v>
      </c>
      <c r="I964" s="40">
        <v>38.199858300000002</v>
      </c>
      <c r="J964" s="39">
        <v>5565</v>
      </c>
      <c r="K964" s="40">
        <v>75.956873299999998</v>
      </c>
    </row>
    <row r="965" spans="1:11" ht="15" customHeight="1">
      <c r="A965" s="7"/>
      <c r="B965" s="41">
        <v>958</v>
      </c>
      <c r="C965" s="42" t="s">
        <v>19</v>
      </c>
      <c r="D965" s="47" t="s">
        <v>260</v>
      </c>
      <c r="E965" s="47" t="s">
        <v>310</v>
      </c>
      <c r="F965" s="47" t="s">
        <v>311</v>
      </c>
      <c r="G965" s="48" t="s">
        <v>311</v>
      </c>
      <c r="H965" s="43">
        <v>3980</v>
      </c>
      <c r="I965" s="44">
        <v>34.045226100000001</v>
      </c>
      <c r="J965" s="43">
        <v>4036</v>
      </c>
      <c r="K965" s="44">
        <v>75.891972199999998</v>
      </c>
    </row>
    <row r="966" spans="1:11" ht="15" hidden="1" customHeight="1">
      <c r="A966" s="7"/>
      <c r="B966" s="36">
        <v>959</v>
      </c>
      <c r="C966" s="37" t="s">
        <v>19</v>
      </c>
      <c r="D966" s="37" t="s">
        <v>260</v>
      </c>
      <c r="E966" s="37" t="s">
        <v>310</v>
      </c>
      <c r="F966" s="37" t="s">
        <v>311</v>
      </c>
      <c r="G966" s="38" t="s">
        <v>13</v>
      </c>
      <c r="H966" s="39"/>
      <c r="I966" s="40"/>
      <c r="J966" s="39"/>
      <c r="K966" s="40"/>
    </row>
    <row r="967" spans="1:11" ht="15" hidden="1" customHeight="1">
      <c r="A967" s="7"/>
      <c r="B967" s="36">
        <v>960</v>
      </c>
      <c r="C967" s="37" t="s">
        <v>19</v>
      </c>
      <c r="D967" s="37" t="s">
        <v>260</v>
      </c>
      <c r="E967" s="37" t="s">
        <v>310</v>
      </c>
      <c r="F967" s="37" t="s">
        <v>311</v>
      </c>
      <c r="G967" s="38" t="s">
        <v>14</v>
      </c>
      <c r="H967" s="39">
        <v>3980</v>
      </c>
      <c r="I967" s="40">
        <v>34.045226100000001</v>
      </c>
      <c r="J967" s="39">
        <v>4036</v>
      </c>
      <c r="K967" s="40">
        <v>75.891972199999998</v>
      </c>
    </row>
    <row r="968" spans="1:11" ht="15" customHeight="1">
      <c r="A968" s="7"/>
      <c r="B968" s="41">
        <v>961</v>
      </c>
      <c r="C968" s="42" t="s">
        <v>19</v>
      </c>
      <c r="D968" s="47" t="s">
        <v>260</v>
      </c>
      <c r="E968" s="47" t="s">
        <v>310</v>
      </c>
      <c r="F968" s="47" t="s">
        <v>312</v>
      </c>
      <c r="G968" s="48" t="s">
        <v>312</v>
      </c>
      <c r="H968" s="43">
        <v>1664</v>
      </c>
      <c r="I968" s="44">
        <v>48.137019199999997</v>
      </c>
      <c r="J968" s="43">
        <v>1529</v>
      </c>
      <c r="K968" s="44">
        <v>76.128188399999999</v>
      </c>
    </row>
    <row r="969" spans="1:11" ht="15" hidden="1" customHeight="1">
      <c r="A969" s="7"/>
      <c r="B969" s="36">
        <v>962</v>
      </c>
      <c r="C969" s="37" t="s">
        <v>19</v>
      </c>
      <c r="D969" s="37" t="s">
        <v>260</v>
      </c>
      <c r="E969" s="37" t="s">
        <v>310</v>
      </c>
      <c r="F969" s="37" t="s">
        <v>312</v>
      </c>
      <c r="G969" s="38" t="s">
        <v>13</v>
      </c>
      <c r="H969" s="39"/>
      <c r="I969" s="40"/>
      <c r="J969" s="39"/>
      <c r="K969" s="40"/>
    </row>
    <row r="970" spans="1:11" ht="15" hidden="1" customHeight="1">
      <c r="A970" s="7"/>
      <c r="B970" s="36">
        <v>963</v>
      </c>
      <c r="C970" s="37" t="s">
        <v>19</v>
      </c>
      <c r="D970" s="37" t="s">
        <v>260</v>
      </c>
      <c r="E970" s="37" t="s">
        <v>310</v>
      </c>
      <c r="F970" s="37" t="s">
        <v>312</v>
      </c>
      <c r="G970" s="38" t="s">
        <v>14</v>
      </c>
      <c r="H970" s="39">
        <v>1664</v>
      </c>
      <c r="I970" s="40">
        <v>48.137019199999997</v>
      </c>
      <c r="J970" s="39">
        <v>1529</v>
      </c>
      <c r="K970" s="40">
        <v>76.128188399999999</v>
      </c>
    </row>
    <row r="971" spans="1:11" ht="15" hidden="1" customHeight="1">
      <c r="A971" s="7"/>
      <c r="B971" s="32">
        <v>964</v>
      </c>
      <c r="C971" s="33" t="s">
        <v>17</v>
      </c>
      <c r="D971" s="46" t="s">
        <v>260</v>
      </c>
      <c r="E971" s="46" t="s">
        <v>313</v>
      </c>
      <c r="F971" s="46"/>
      <c r="G971" s="33" t="s">
        <v>313</v>
      </c>
      <c r="H971" s="34">
        <v>43444</v>
      </c>
      <c r="I971" s="35">
        <v>83.6893472</v>
      </c>
      <c r="J971" s="34">
        <v>47942</v>
      </c>
      <c r="K971" s="35">
        <v>91.439656299999996</v>
      </c>
    </row>
    <row r="972" spans="1:11" ht="15" hidden="1" customHeight="1">
      <c r="A972" s="7"/>
      <c r="B972" s="36">
        <v>965</v>
      </c>
      <c r="C972" s="37" t="s">
        <v>17</v>
      </c>
      <c r="D972" s="37" t="s">
        <v>260</v>
      </c>
      <c r="E972" s="37" t="s">
        <v>313</v>
      </c>
      <c r="F972" s="37"/>
      <c r="G972" s="38" t="s">
        <v>13</v>
      </c>
      <c r="H972" s="39">
        <v>34035</v>
      </c>
      <c r="I972" s="40">
        <v>99.550462800000005</v>
      </c>
      <c r="J972" s="39">
        <v>40257</v>
      </c>
      <c r="K972" s="40">
        <v>99.4932558</v>
      </c>
    </row>
    <row r="973" spans="1:11" ht="15" hidden="1" customHeight="1">
      <c r="A973" s="7"/>
      <c r="B973" s="36">
        <v>966</v>
      </c>
      <c r="C973" s="37" t="s">
        <v>17</v>
      </c>
      <c r="D973" s="37" t="s">
        <v>260</v>
      </c>
      <c r="E973" s="37" t="s">
        <v>313</v>
      </c>
      <c r="F973" s="37"/>
      <c r="G973" s="38" t="s">
        <v>14</v>
      </c>
      <c r="H973" s="39">
        <v>9409</v>
      </c>
      <c r="I973" s="40">
        <v>26.315230100000001</v>
      </c>
      <c r="J973" s="39">
        <v>7685</v>
      </c>
      <c r="K973" s="40">
        <v>49.251789199999997</v>
      </c>
    </row>
    <row r="974" spans="1:11" ht="15" customHeight="1">
      <c r="A974" s="7"/>
      <c r="B974" s="41">
        <v>967</v>
      </c>
      <c r="C974" s="42" t="s">
        <v>19</v>
      </c>
      <c r="D974" s="47" t="s">
        <v>260</v>
      </c>
      <c r="E974" s="47" t="s">
        <v>313</v>
      </c>
      <c r="F974" s="47" t="s">
        <v>314</v>
      </c>
      <c r="G974" s="48" t="s">
        <v>314</v>
      </c>
      <c r="H974" s="43">
        <v>43444</v>
      </c>
      <c r="I974" s="44">
        <v>83.6893472</v>
      </c>
      <c r="J974" s="43">
        <v>47942</v>
      </c>
      <c r="K974" s="44">
        <v>91.439656299999996</v>
      </c>
    </row>
    <row r="975" spans="1:11" ht="15" hidden="1" customHeight="1">
      <c r="A975" s="7"/>
      <c r="B975" s="36">
        <v>968</v>
      </c>
      <c r="C975" s="37" t="s">
        <v>19</v>
      </c>
      <c r="D975" s="37" t="s">
        <v>260</v>
      </c>
      <c r="E975" s="37" t="s">
        <v>313</v>
      </c>
      <c r="F975" s="37" t="s">
        <v>314</v>
      </c>
      <c r="G975" s="38" t="s">
        <v>13</v>
      </c>
      <c r="H975" s="39">
        <v>34035</v>
      </c>
      <c r="I975" s="40">
        <v>99.550462800000005</v>
      </c>
      <c r="J975" s="39">
        <v>40257</v>
      </c>
      <c r="K975" s="40">
        <v>99.4932558</v>
      </c>
    </row>
    <row r="976" spans="1:11" ht="15" hidden="1" customHeight="1">
      <c r="A976" s="7"/>
      <c r="B976" s="36">
        <v>969</v>
      </c>
      <c r="C976" s="37" t="s">
        <v>19</v>
      </c>
      <c r="D976" s="37" t="s">
        <v>260</v>
      </c>
      <c r="E976" s="37" t="s">
        <v>313</v>
      </c>
      <c r="F976" s="37" t="s">
        <v>314</v>
      </c>
      <c r="G976" s="38" t="s">
        <v>14</v>
      </c>
      <c r="H976" s="39">
        <v>9409</v>
      </c>
      <c r="I976" s="40">
        <v>26.315230100000001</v>
      </c>
      <c r="J976" s="39">
        <v>7685</v>
      </c>
      <c r="K976" s="40">
        <v>49.251789199999997</v>
      </c>
    </row>
    <row r="977" spans="1:11" ht="15" hidden="1" customHeight="1">
      <c r="A977" s="7"/>
      <c r="B977" s="32">
        <v>970</v>
      </c>
      <c r="C977" s="33" t="s">
        <v>17</v>
      </c>
      <c r="D977" s="46" t="s">
        <v>260</v>
      </c>
      <c r="E977" s="46" t="s">
        <v>315</v>
      </c>
      <c r="F977" s="46"/>
      <c r="G977" s="33" t="s">
        <v>315</v>
      </c>
      <c r="H977" s="34">
        <v>1643</v>
      </c>
      <c r="I977" s="35">
        <v>11.442483299999999</v>
      </c>
      <c r="J977" s="34">
        <v>2032</v>
      </c>
      <c r="K977" s="35">
        <v>65.600393699999998</v>
      </c>
    </row>
    <row r="978" spans="1:11" ht="15" hidden="1" customHeight="1">
      <c r="A978" s="7"/>
      <c r="B978" s="36">
        <v>971</v>
      </c>
      <c r="C978" s="37" t="s">
        <v>17</v>
      </c>
      <c r="D978" s="37" t="s">
        <v>260</v>
      </c>
      <c r="E978" s="37" t="s">
        <v>315</v>
      </c>
      <c r="F978" s="37"/>
      <c r="G978" s="38" t="s">
        <v>13</v>
      </c>
      <c r="H978" s="39"/>
      <c r="I978" s="40"/>
      <c r="J978" s="39"/>
      <c r="K978" s="40"/>
    </row>
    <row r="979" spans="1:11" ht="15" hidden="1" customHeight="1">
      <c r="A979" s="7"/>
      <c r="B979" s="36">
        <v>972</v>
      </c>
      <c r="C979" s="37" t="s">
        <v>17</v>
      </c>
      <c r="D979" s="37" t="s">
        <v>260</v>
      </c>
      <c r="E979" s="37" t="s">
        <v>315</v>
      </c>
      <c r="F979" s="37"/>
      <c r="G979" s="38" t="s">
        <v>14</v>
      </c>
      <c r="H979" s="39">
        <v>1643</v>
      </c>
      <c r="I979" s="40">
        <v>11.442483299999999</v>
      </c>
      <c r="J979" s="39">
        <v>2032</v>
      </c>
      <c r="K979" s="40">
        <v>65.600393699999998</v>
      </c>
    </row>
    <row r="980" spans="1:11" ht="15" customHeight="1">
      <c r="A980" s="7"/>
      <c r="B980" s="41">
        <v>973</v>
      </c>
      <c r="C980" s="42" t="s">
        <v>19</v>
      </c>
      <c r="D980" s="47" t="s">
        <v>260</v>
      </c>
      <c r="E980" s="47" t="s">
        <v>315</v>
      </c>
      <c r="F980" s="47" t="s">
        <v>316</v>
      </c>
      <c r="G980" s="48" t="s">
        <v>316</v>
      </c>
      <c r="H980" s="43">
        <v>1643</v>
      </c>
      <c r="I980" s="44">
        <v>11.442483299999999</v>
      </c>
      <c r="J980" s="43">
        <v>2032</v>
      </c>
      <c r="K980" s="44">
        <v>65.600393699999998</v>
      </c>
    </row>
    <row r="981" spans="1:11" ht="15" hidden="1" customHeight="1">
      <c r="A981" s="7"/>
      <c r="B981" s="36">
        <v>974</v>
      </c>
      <c r="C981" s="37" t="s">
        <v>19</v>
      </c>
      <c r="D981" s="37" t="s">
        <v>260</v>
      </c>
      <c r="E981" s="37" t="s">
        <v>315</v>
      </c>
      <c r="F981" s="37" t="s">
        <v>316</v>
      </c>
      <c r="G981" s="38" t="s">
        <v>13</v>
      </c>
      <c r="H981" s="39"/>
      <c r="I981" s="40"/>
      <c r="J981" s="39"/>
      <c r="K981" s="40"/>
    </row>
    <row r="982" spans="1:11" ht="15" hidden="1" customHeight="1">
      <c r="A982" s="7"/>
      <c r="B982" s="36">
        <v>975</v>
      </c>
      <c r="C982" s="37" t="s">
        <v>19</v>
      </c>
      <c r="D982" s="37" t="s">
        <v>260</v>
      </c>
      <c r="E982" s="37" t="s">
        <v>315</v>
      </c>
      <c r="F982" s="37" t="s">
        <v>316</v>
      </c>
      <c r="G982" s="38" t="s">
        <v>14</v>
      </c>
      <c r="H982" s="39">
        <v>1643</v>
      </c>
      <c r="I982" s="40">
        <v>11.442483299999999</v>
      </c>
      <c r="J982" s="39">
        <v>2032</v>
      </c>
      <c r="K982" s="40">
        <v>65.600393699999998</v>
      </c>
    </row>
    <row r="983" spans="1:11" ht="15" hidden="1" customHeight="1">
      <c r="A983" s="7"/>
      <c r="B983" s="24">
        <v>976</v>
      </c>
      <c r="C983" s="25" t="s">
        <v>15</v>
      </c>
      <c r="D983" s="25" t="s">
        <v>317</v>
      </c>
      <c r="E983" s="25"/>
      <c r="F983" s="25"/>
      <c r="G983" s="25" t="s">
        <v>317</v>
      </c>
      <c r="H983" s="26">
        <v>458961</v>
      </c>
      <c r="I983" s="27">
        <v>77.919038900000004</v>
      </c>
      <c r="J983" s="26">
        <v>519512</v>
      </c>
      <c r="K983" s="27">
        <v>87.491145500000002</v>
      </c>
    </row>
    <row r="984" spans="1:11" ht="15" hidden="1" customHeight="1">
      <c r="A984" s="7"/>
      <c r="B984" s="28">
        <v>977</v>
      </c>
      <c r="C984" s="29" t="s">
        <v>15</v>
      </c>
      <c r="D984" s="45" t="s">
        <v>317</v>
      </c>
      <c r="E984" s="45"/>
      <c r="F984" s="45"/>
      <c r="G984" s="29" t="s">
        <v>13</v>
      </c>
      <c r="H984" s="30">
        <v>298001</v>
      </c>
      <c r="I984" s="31">
        <v>97.585243000000006</v>
      </c>
      <c r="J984" s="30">
        <v>358881</v>
      </c>
      <c r="K984" s="31">
        <v>98.839726799999994</v>
      </c>
    </row>
    <row r="985" spans="1:11" ht="15" hidden="1" customHeight="1">
      <c r="A985" s="7"/>
      <c r="B985" s="28">
        <v>978</v>
      </c>
      <c r="C985" s="29" t="s">
        <v>15</v>
      </c>
      <c r="D985" s="45" t="s">
        <v>317</v>
      </c>
      <c r="E985" s="45"/>
      <c r="F985" s="45"/>
      <c r="G985" s="29" t="s">
        <v>14</v>
      </c>
      <c r="H985" s="30">
        <v>160960</v>
      </c>
      <c r="I985" s="31">
        <v>41.509070600000001</v>
      </c>
      <c r="J985" s="30">
        <v>160631</v>
      </c>
      <c r="K985" s="31">
        <v>62.1362004</v>
      </c>
    </row>
    <row r="986" spans="1:11" ht="15" hidden="1" customHeight="1">
      <c r="A986" s="7"/>
      <c r="B986" s="32">
        <v>979</v>
      </c>
      <c r="C986" s="33" t="s">
        <v>17</v>
      </c>
      <c r="D986" s="46" t="s">
        <v>317</v>
      </c>
      <c r="E986" s="46" t="s">
        <v>161</v>
      </c>
      <c r="F986" s="46"/>
      <c r="G986" s="33" t="s">
        <v>161</v>
      </c>
      <c r="H986" s="34">
        <v>197097</v>
      </c>
      <c r="I986" s="35">
        <v>91.996834000000007</v>
      </c>
      <c r="J986" s="34">
        <v>231979</v>
      </c>
      <c r="K986" s="35">
        <v>95.906525999999999</v>
      </c>
    </row>
    <row r="987" spans="1:11" ht="15" hidden="1" customHeight="1">
      <c r="A987" s="7"/>
      <c r="B987" s="36">
        <v>980</v>
      </c>
      <c r="C987" s="37" t="s">
        <v>17</v>
      </c>
      <c r="D987" s="37" t="s">
        <v>317</v>
      </c>
      <c r="E987" s="37" t="s">
        <v>161</v>
      </c>
      <c r="F987" s="37"/>
      <c r="G987" s="38" t="s">
        <v>13</v>
      </c>
      <c r="H987" s="39">
        <v>171746</v>
      </c>
      <c r="I987" s="40">
        <v>98.519324999999995</v>
      </c>
      <c r="J987" s="39">
        <v>208943</v>
      </c>
      <c r="K987" s="40">
        <v>99.437167099999996</v>
      </c>
    </row>
    <row r="988" spans="1:11" ht="15" hidden="1" customHeight="1">
      <c r="A988" s="7"/>
      <c r="B988" s="36">
        <v>981</v>
      </c>
      <c r="C988" s="37" t="s">
        <v>17</v>
      </c>
      <c r="D988" s="37" t="s">
        <v>317</v>
      </c>
      <c r="E988" s="37" t="s">
        <v>161</v>
      </c>
      <c r="F988" s="37"/>
      <c r="G988" s="38" t="s">
        <v>14</v>
      </c>
      <c r="H988" s="39">
        <v>25351</v>
      </c>
      <c r="I988" s="40">
        <v>47.8087649</v>
      </c>
      <c r="J988" s="39">
        <v>23036</v>
      </c>
      <c r="K988" s="40">
        <v>63.8826185</v>
      </c>
    </row>
    <row r="989" spans="1:11" ht="15" customHeight="1">
      <c r="A989" s="7"/>
      <c r="B989" s="41">
        <v>982</v>
      </c>
      <c r="C989" s="42" t="s">
        <v>19</v>
      </c>
      <c r="D989" s="47" t="s">
        <v>317</v>
      </c>
      <c r="E989" s="47" t="s">
        <v>161</v>
      </c>
      <c r="F989" s="47" t="s">
        <v>317</v>
      </c>
      <c r="G989" s="48" t="s">
        <v>317</v>
      </c>
      <c r="H989" s="43">
        <v>197097</v>
      </c>
      <c r="I989" s="44">
        <v>91.996834000000007</v>
      </c>
      <c r="J989" s="43">
        <v>231979</v>
      </c>
      <c r="K989" s="44">
        <v>95.906525999999999</v>
      </c>
    </row>
    <row r="990" spans="1:11" ht="15" hidden="1" customHeight="1">
      <c r="A990" s="7"/>
      <c r="B990" s="36">
        <v>983</v>
      </c>
      <c r="C990" s="37" t="s">
        <v>19</v>
      </c>
      <c r="D990" s="37" t="s">
        <v>317</v>
      </c>
      <c r="E990" s="37" t="s">
        <v>161</v>
      </c>
      <c r="F990" s="37" t="s">
        <v>317</v>
      </c>
      <c r="G990" s="38" t="s">
        <v>13</v>
      </c>
      <c r="H990" s="39">
        <v>171746</v>
      </c>
      <c r="I990" s="40">
        <v>98.519324999999995</v>
      </c>
      <c r="J990" s="39">
        <v>208943</v>
      </c>
      <c r="K990" s="40">
        <v>99.437167099999996</v>
      </c>
    </row>
    <row r="991" spans="1:11" ht="15" hidden="1" customHeight="1">
      <c r="A991" s="7"/>
      <c r="B991" s="36">
        <v>984</v>
      </c>
      <c r="C991" s="37" t="s">
        <v>19</v>
      </c>
      <c r="D991" s="37" t="s">
        <v>317</v>
      </c>
      <c r="E991" s="37" t="s">
        <v>161</v>
      </c>
      <c r="F991" s="37" t="s">
        <v>317</v>
      </c>
      <c r="G991" s="38" t="s">
        <v>14</v>
      </c>
      <c r="H991" s="39">
        <v>25351</v>
      </c>
      <c r="I991" s="40">
        <v>47.8087649</v>
      </c>
      <c r="J991" s="39">
        <v>23036</v>
      </c>
      <c r="K991" s="40">
        <v>63.8826185</v>
      </c>
    </row>
    <row r="992" spans="1:11" ht="15" hidden="1" customHeight="1">
      <c r="A992" s="7"/>
      <c r="B992" s="32">
        <v>985</v>
      </c>
      <c r="C992" s="33" t="s">
        <v>17</v>
      </c>
      <c r="D992" s="46" t="s">
        <v>317</v>
      </c>
      <c r="E992" s="46" t="s">
        <v>318</v>
      </c>
      <c r="F992" s="46"/>
      <c r="G992" s="33" t="s">
        <v>318</v>
      </c>
      <c r="H992" s="34">
        <v>50762</v>
      </c>
      <c r="I992" s="35">
        <v>70.160750199999995</v>
      </c>
      <c r="J992" s="34">
        <v>53388</v>
      </c>
      <c r="K992" s="35">
        <v>83.496291299999996</v>
      </c>
    </row>
    <row r="993" spans="1:11" ht="15" hidden="1" customHeight="1">
      <c r="A993" s="7"/>
      <c r="B993" s="36">
        <v>986</v>
      </c>
      <c r="C993" s="37" t="s">
        <v>17</v>
      </c>
      <c r="D993" s="37" t="s">
        <v>317</v>
      </c>
      <c r="E993" s="37" t="s">
        <v>318</v>
      </c>
      <c r="F993" s="37"/>
      <c r="G993" s="38" t="s">
        <v>13</v>
      </c>
      <c r="H993" s="39">
        <v>28038</v>
      </c>
      <c r="I993" s="40">
        <v>98.427134600000002</v>
      </c>
      <c r="J993" s="39">
        <v>31824</v>
      </c>
      <c r="K993" s="40">
        <v>99.242709899999994</v>
      </c>
    </row>
    <row r="994" spans="1:11" ht="15" hidden="1" customHeight="1">
      <c r="A994" s="7"/>
      <c r="B994" s="36">
        <v>987</v>
      </c>
      <c r="C994" s="37" t="s">
        <v>17</v>
      </c>
      <c r="D994" s="37" t="s">
        <v>317</v>
      </c>
      <c r="E994" s="37" t="s">
        <v>318</v>
      </c>
      <c r="F994" s="37"/>
      <c r="G994" s="38" t="s">
        <v>14</v>
      </c>
      <c r="H994" s="39">
        <v>22724</v>
      </c>
      <c r="I994" s="40">
        <v>35.284280899999999</v>
      </c>
      <c r="J994" s="39">
        <v>21564</v>
      </c>
      <c r="K994" s="40">
        <v>60.257837100000003</v>
      </c>
    </row>
    <row r="995" spans="1:11" ht="15" customHeight="1">
      <c r="A995" s="7"/>
      <c r="B995" s="41">
        <v>988</v>
      </c>
      <c r="C995" s="42" t="s">
        <v>19</v>
      </c>
      <c r="D995" s="47" t="s">
        <v>317</v>
      </c>
      <c r="E995" s="47" t="s">
        <v>318</v>
      </c>
      <c r="F995" s="47" t="s">
        <v>319</v>
      </c>
      <c r="G995" s="48" t="s">
        <v>319</v>
      </c>
      <c r="H995" s="43">
        <v>18152</v>
      </c>
      <c r="I995" s="44">
        <v>32.106654900000002</v>
      </c>
      <c r="J995" s="43">
        <v>17547</v>
      </c>
      <c r="K995" s="44">
        <v>55.667635500000003</v>
      </c>
    </row>
    <row r="996" spans="1:11" ht="15" hidden="1" customHeight="1">
      <c r="A996" s="7"/>
      <c r="B996" s="36">
        <v>989</v>
      </c>
      <c r="C996" s="37" t="s">
        <v>19</v>
      </c>
      <c r="D996" s="37" t="s">
        <v>317</v>
      </c>
      <c r="E996" s="37" t="s">
        <v>318</v>
      </c>
      <c r="F996" s="37" t="s">
        <v>319</v>
      </c>
      <c r="G996" s="38" t="s">
        <v>13</v>
      </c>
      <c r="H996" s="39"/>
      <c r="I996" s="40"/>
      <c r="J996" s="39"/>
      <c r="K996" s="40"/>
    </row>
    <row r="997" spans="1:11" ht="15" hidden="1" customHeight="1">
      <c r="A997" s="7"/>
      <c r="B997" s="36">
        <v>990</v>
      </c>
      <c r="C997" s="37" t="s">
        <v>19</v>
      </c>
      <c r="D997" s="37" t="s">
        <v>317</v>
      </c>
      <c r="E997" s="37" t="s">
        <v>318</v>
      </c>
      <c r="F997" s="37" t="s">
        <v>319</v>
      </c>
      <c r="G997" s="38" t="s">
        <v>14</v>
      </c>
      <c r="H997" s="39">
        <v>18152</v>
      </c>
      <c r="I997" s="40">
        <v>32.106654900000002</v>
      </c>
      <c r="J997" s="39">
        <v>17547</v>
      </c>
      <c r="K997" s="40">
        <v>55.667635500000003</v>
      </c>
    </row>
    <row r="998" spans="1:11" ht="15" customHeight="1">
      <c r="A998" s="7"/>
      <c r="B998" s="41">
        <v>991</v>
      </c>
      <c r="C998" s="42" t="s">
        <v>19</v>
      </c>
      <c r="D998" s="47" t="s">
        <v>317</v>
      </c>
      <c r="E998" s="47" t="s">
        <v>318</v>
      </c>
      <c r="F998" s="47" t="s">
        <v>320</v>
      </c>
      <c r="G998" s="48" t="s">
        <v>320</v>
      </c>
      <c r="H998" s="43">
        <v>32610</v>
      </c>
      <c r="I998" s="44">
        <v>91.343146300000001</v>
      </c>
      <c r="J998" s="43">
        <v>35841</v>
      </c>
      <c r="K998" s="44">
        <v>97.120616100000007</v>
      </c>
    </row>
    <row r="999" spans="1:11" ht="15" hidden="1" customHeight="1">
      <c r="A999" s="7"/>
      <c r="B999" s="36">
        <v>992</v>
      </c>
      <c r="C999" s="37" t="s">
        <v>19</v>
      </c>
      <c r="D999" s="37" t="s">
        <v>317</v>
      </c>
      <c r="E999" s="37" t="s">
        <v>318</v>
      </c>
      <c r="F999" s="37" t="s">
        <v>320</v>
      </c>
      <c r="G999" s="38" t="s">
        <v>13</v>
      </c>
      <c r="H999" s="39">
        <v>28038</v>
      </c>
      <c r="I999" s="40">
        <v>98.427134600000002</v>
      </c>
      <c r="J999" s="39">
        <v>31824</v>
      </c>
      <c r="K999" s="40">
        <v>99.242709899999994</v>
      </c>
    </row>
    <row r="1000" spans="1:11" ht="15" hidden="1" customHeight="1">
      <c r="A1000" s="7"/>
      <c r="B1000" s="36">
        <v>993</v>
      </c>
      <c r="C1000" s="37" t="s">
        <v>19</v>
      </c>
      <c r="D1000" s="37" t="s">
        <v>317</v>
      </c>
      <c r="E1000" s="37" t="s">
        <v>318</v>
      </c>
      <c r="F1000" s="37" t="s">
        <v>320</v>
      </c>
      <c r="G1000" s="38" t="s">
        <v>14</v>
      </c>
      <c r="H1000" s="39">
        <v>4572</v>
      </c>
      <c r="I1000" s="40">
        <v>47.900262499999997</v>
      </c>
      <c r="J1000" s="39">
        <v>4017</v>
      </c>
      <c r="K1000" s="40">
        <v>80.308688099999998</v>
      </c>
    </row>
    <row r="1001" spans="1:11" ht="15" hidden="1" customHeight="1">
      <c r="A1001" s="7"/>
      <c r="B1001" s="32">
        <v>994</v>
      </c>
      <c r="C1001" s="33" t="s">
        <v>17</v>
      </c>
      <c r="D1001" s="46" t="s">
        <v>317</v>
      </c>
      <c r="E1001" s="46" t="s">
        <v>321</v>
      </c>
      <c r="F1001" s="46"/>
      <c r="G1001" s="33" t="s">
        <v>321</v>
      </c>
      <c r="H1001" s="34">
        <v>137374</v>
      </c>
      <c r="I1001" s="35">
        <v>78.090468400000006</v>
      </c>
      <c r="J1001" s="34">
        <v>153712</v>
      </c>
      <c r="K1001" s="35">
        <v>86.785026500000001</v>
      </c>
    </row>
    <row r="1002" spans="1:11" ht="15" hidden="1" customHeight="1">
      <c r="A1002" s="7"/>
      <c r="B1002" s="36">
        <v>995</v>
      </c>
      <c r="C1002" s="37" t="s">
        <v>17</v>
      </c>
      <c r="D1002" s="37" t="s">
        <v>317</v>
      </c>
      <c r="E1002" s="37" t="s">
        <v>321</v>
      </c>
      <c r="F1002" s="37"/>
      <c r="G1002" s="38" t="s">
        <v>13</v>
      </c>
      <c r="H1002" s="39">
        <v>91475</v>
      </c>
      <c r="I1002" s="40">
        <v>95.621754600000003</v>
      </c>
      <c r="J1002" s="39">
        <v>105653</v>
      </c>
      <c r="K1002" s="40">
        <v>97.624298400000001</v>
      </c>
    </row>
    <row r="1003" spans="1:11" ht="15" hidden="1" customHeight="1">
      <c r="A1003" s="7"/>
      <c r="B1003" s="36">
        <v>996</v>
      </c>
      <c r="C1003" s="37" t="s">
        <v>17</v>
      </c>
      <c r="D1003" s="37" t="s">
        <v>317</v>
      </c>
      <c r="E1003" s="37" t="s">
        <v>321</v>
      </c>
      <c r="F1003" s="37"/>
      <c r="G1003" s="38" t="s">
        <v>14</v>
      </c>
      <c r="H1003" s="39">
        <v>45899</v>
      </c>
      <c r="I1003" s="40">
        <v>43.151266900000003</v>
      </c>
      <c r="J1003" s="39">
        <v>48059</v>
      </c>
      <c r="K1003" s="40">
        <v>62.955950000000001</v>
      </c>
    </row>
    <row r="1004" spans="1:11" ht="15" customHeight="1">
      <c r="A1004" s="7"/>
      <c r="B1004" s="41">
        <v>997</v>
      </c>
      <c r="C1004" s="42" t="s">
        <v>19</v>
      </c>
      <c r="D1004" s="47" t="s">
        <v>317</v>
      </c>
      <c r="E1004" s="47" t="s">
        <v>321</v>
      </c>
      <c r="F1004" s="47" t="s">
        <v>322</v>
      </c>
      <c r="G1004" s="48" t="s">
        <v>322</v>
      </c>
      <c r="H1004" s="43">
        <v>87069</v>
      </c>
      <c r="I1004" s="44">
        <v>83.555570900000006</v>
      </c>
      <c r="J1004" s="43">
        <v>94320</v>
      </c>
      <c r="K1004" s="44">
        <v>90.807888000000005</v>
      </c>
    </row>
    <row r="1005" spans="1:11" ht="15" hidden="1" customHeight="1">
      <c r="A1005" s="7"/>
      <c r="B1005" s="36">
        <v>998</v>
      </c>
      <c r="C1005" s="37" t="s">
        <v>19</v>
      </c>
      <c r="D1005" s="37" t="s">
        <v>317</v>
      </c>
      <c r="E1005" s="37" t="s">
        <v>321</v>
      </c>
      <c r="F1005" s="37" t="s">
        <v>322</v>
      </c>
      <c r="G1005" s="38" t="s">
        <v>13</v>
      </c>
      <c r="H1005" s="39">
        <v>60353</v>
      </c>
      <c r="I1005" s="40">
        <v>97.623978899999997</v>
      </c>
      <c r="J1005" s="39">
        <v>69536</v>
      </c>
      <c r="K1005" s="40">
        <v>98.961688899999999</v>
      </c>
    </row>
    <row r="1006" spans="1:11" ht="15" hidden="1" customHeight="1">
      <c r="A1006" s="7"/>
      <c r="B1006" s="36">
        <v>999</v>
      </c>
      <c r="C1006" s="37" t="s">
        <v>19</v>
      </c>
      <c r="D1006" s="37" t="s">
        <v>317</v>
      </c>
      <c r="E1006" s="37" t="s">
        <v>321</v>
      </c>
      <c r="F1006" s="37" t="s">
        <v>322</v>
      </c>
      <c r="G1006" s="38" t="s">
        <v>14</v>
      </c>
      <c r="H1006" s="39">
        <v>26716</v>
      </c>
      <c r="I1006" s="40">
        <v>51.774217700000001</v>
      </c>
      <c r="J1006" s="39">
        <v>24784</v>
      </c>
      <c r="K1006" s="40">
        <v>67.930923199999995</v>
      </c>
    </row>
    <row r="1007" spans="1:11" ht="15" customHeight="1">
      <c r="A1007" s="7"/>
      <c r="B1007" s="41">
        <v>1000</v>
      </c>
      <c r="C1007" s="42" t="s">
        <v>19</v>
      </c>
      <c r="D1007" s="47" t="s">
        <v>317</v>
      </c>
      <c r="E1007" s="47" t="s">
        <v>321</v>
      </c>
      <c r="F1007" s="47" t="s">
        <v>323</v>
      </c>
      <c r="G1007" s="48" t="s">
        <v>323</v>
      </c>
      <c r="H1007" s="43">
        <v>13014</v>
      </c>
      <c r="I1007" s="44">
        <v>47.571845699999997</v>
      </c>
      <c r="J1007" s="43">
        <v>15108</v>
      </c>
      <c r="K1007" s="44">
        <v>78.991262899999995</v>
      </c>
    </row>
    <row r="1008" spans="1:11" ht="15" hidden="1" customHeight="1">
      <c r="A1008" s="7"/>
      <c r="B1008" s="36">
        <v>1001</v>
      </c>
      <c r="C1008" s="37" t="s">
        <v>19</v>
      </c>
      <c r="D1008" s="37" t="s">
        <v>317</v>
      </c>
      <c r="E1008" s="37" t="s">
        <v>321</v>
      </c>
      <c r="F1008" s="37" t="s">
        <v>323</v>
      </c>
      <c r="G1008" s="38" t="s">
        <v>13</v>
      </c>
      <c r="H1008" s="39">
        <v>2823</v>
      </c>
      <c r="I1008" s="40">
        <v>97.024442100000002</v>
      </c>
      <c r="J1008" s="39">
        <v>3861</v>
      </c>
      <c r="K1008" s="40">
        <v>98.420098400000001</v>
      </c>
    </row>
    <row r="1009" spans="1:11" ht="15" hidden="1" customHeight="1">
      <c r="A1009" s="7"/>
      <c r="B1009" s="36">
        <v>1002</v>
      </c>
      <c r="C1009" s="37" t="s">
        <v>19</v>
      </c>
      <c r="D1009" s="37" t="s">
        <v>317</v>
      </c>
      <c r="E1009" s="37" t="s">
        <v>321</v>
      </c>
      <c r="F1009" s="37" t="s">
        <v>323</v>
      </c>
      <c r="G1009" s="38" t="s">
        <v>14</v>
      </c>
      <c r="H1009" s="39">
        <v>10191</v>
      </c>
      <c r="I1009" s="40">
        <v>33.873025200000001</v>
      </c>
      <c r="J1009" s="39">
        <v>11247</v>
      </c>
      <c r="K1009" s="40">
        <v>72.321507999999994</v>
      </c>
    </row>
    <row r="1010" spans="1:11" ht="15" customHeight="1">
      <c r="A1010" s="7"/>
      <c r="B1010" s="41">
        <v>1003</v>
      </c>
      <c r="C1010" s="42" t="s">
        <v>19</v>
      </c>
      <c r="D1010" s="47" t="s">
        <v>317</v>
      </c>
      <c r="E1010" s="47" t="s">
        <v>321</v>
      </c>
      <c r="F1010" s="47" t="s">
        <v>324</v>
      </c>
      <c r="G1010" s="48" t="s">
        <v>324</v>
      </c>
      <c r="H1010" s="43">
        <v>37291</v>
      </c>
      <c r="I1010" s="44">
        <v>75.980799700000006</v>
      </c>
      <c r="J1010" s="43">
        <v>44284</v>
      </c>
      <c r="K1010" s="44">
        <v>80.875711300000006</v>
      </c>
    </row>
    <row r="1011" spans="1:11" ht="15" hidden="1" customHeight="1">
      <c r="A1011" s="7"/>
      <c r="B1011" s="36">
        <v>1004</v>
      </c>
      <c r="C1011" s="37" t="s">
        <v>19</v>
      </c>
      <c r="D1011" s="37" t="s">
        <v>317</v>
      </c>
      <c r="E1011" s="37" t="s">
        <v>321</v>
      </c>
      <c r="F1011" s="37" t="s">
        <v>324</v>
      </c>
      <c r="G1011" s="38" t="s">
        <v>13</v>
      </c>
      <c r="H1011" s="39">
        <v>28299</v>
      </c>
      <c r="I1011" s="40">
        <v>91.211703600000007</v>
      </c>
      <c r="J1011" s="39">
        <v>32256</v>
      </c>
      <c r="K1011" s="40">
        <v>94.645957300000006</v>
      </c>
    </row>
    <row r="1012" spans="1:11" ht="15" hidden="1" customHeight="1">
      <c r="A1012" s="7"/>
      <c r="B1012" s="36">
        <v>1005</v>
      </c>
      <c r="C1012" s="37" t="s">
        <v>19</v>
      </c>
      <c r="D1012" s="37" t="s">
        <v>317</v>
      </c>
      <c r="E1012" s="37" t="s">
        <v>321</v>
      </c>
      <c r="F1012" s="37" t="s">
        <v>324</v>
      </c>
      <c r="G1012" s="38" t="s">
        <v>14</v>
      </c>
      <c r="H1012" s="39">
        <v>8992</v>
      </c>
      <c r="I1012" s="40">
        <v>28.047153000000002</v>
      </c>
      <c r="J1012" s="39">
        <v>12028</v>
      </c>
      <c r="K1012" s="40">
        <v>43.947455900000001</v>
      </c>
    </row>
    <row r="1013" spans="1:11" ht="15" hidden="1" customHeight="1">
      <c r="A1013" s="7"/>
      <c r="B1013" s="32">
        <v>1006</v>
      </c>
      <c r="C1013" s="33" t="s">
        <v>17</v>
      </c>
      <c r="D1013" s="46" t="s">
        <v>317</v>
      </c>
      <c r="E1013" s="46" t="s">
        <v>325</v>
      </c>
      <c r="F1013" s="46"/>
      <c r="G1013" s="33" t="s">
        <v>325</v>
      </c>
      <c r="H1013" s="34">
        <v>19661</v>
      </c>
      <c r="I1013" s="35">
        <v>40.694776500000003</v>
      </c>
      <c r="J1013" s="34">
        <v>20525</v>
      </c>
      <c r="K1013" s="35">
        <v>63.2009744</v>
      </c>
    </row>
    <row r="1014" spans="1:11" ht="15" hidden="1" customHeight="1">
      <c r="A1014" s="7"/>
      <c r="B1014" s="36">
        <v>1007</v>
      </c>
      <c r="C1014" s="37" t="s">
        <v>17</v>
      </c>
      <c r="D1014" s="37" t="s">
        <v>317</v>
      </c>
      <c r="E1014" s="37" t="s">
        <v>325</v>
      </c>
      <c r="F1014" s="37"/>
      <c r="G1014" s="38" t="s">
        <v>13</v>
      </c>
      <c r="H1014" s="39"/>
      <c r="I1014" s="40"/>
      <c r="J1014" s="39">
        <v>2422</v>
      </c>
      <c r="K1014" s="40">
        <v>97.563996700000004</v>
      </c>
    </row>
    <row r="1015" spans="1:11" ht="15" hidden="1" customHeight="1">
      <c r="A1015" s="7"/>
      <c r="B1015" s="36">
        <v>1008</v>
      </c>
      <c r="C1015" s="37" t="s">
        <v>17</v>
      </c>
      <c r="D1015" s="37" t="s">
        <v>317</v>
      </c>
      <c r="E1015" s="37" t="s">
        <v>325</v>
      </c>
      <c r="F1015" s="37"/>
      <c r="G1015" s="38" t="s">
        <v>14</v>
      </c>
      <c r="H1015" s="39">
        <v>19661</v>
      </c>
      <c r="I1015" s="40">
        <v>40.694776500000003</v>
      </c>
      <c r="J1015" s="39">
        <v>18103</v>
      </c>
      <c r="K1015" s="40">
        <v>58.603546399999999</v>
      </c>
    </row>
    <row r="1016" spans="1:11" ht="15" customHeight="1">
      <c r="A1016" s="7"/>
      <c r="B1016" s="41">
        <v>1009</v>
      </c>
      <c r="C1016" s="42" t="s">
        <v>19</v>
      </c>
      <c r="D1016" s="47" t="s">
        <v>317</v>
      </c>
      <c r="E1016" s="47" t="s">
        <v>325</v>
      </c>
      <c r="F1016" s="47" t="s">
        <v>326</v>
      </c>
      <c r="G1016" s="48" t="s">
        <v>326</v>
      </c>
      <c r="H1016" s="43">
        <v>14475</v>
      </c>
      <c r="I1016" s="44">
        <v>47.274611399999998</v>
      </c>
      <c r="J1016" s="43">
        <v>15811</v>
      </c>
      <c r="K1016" s="44">
        <v>68.970969600000004</v>
      </c>
    </row>
    <row r="1017" spans="1:11" ht="15" hidden="1" customHeight="1">
      <c r="A1017" s="7"/>
      <c r="B1017" s="36">
        <v>1010</v>
      </c>
      <c r="C1017" s="37" t="s">
        <v>19</v>
      </c>
      <c r="D1017" s="37" t="s">
        <v>317</v>
      </c>
      <c r="E1017" s="37" t="s">
        <v>325</v>
      </c>
      <c r="F1017" s="37" t="s">
        <v>326</v>
      </c>
      <c r="G1017" s="38" t="s">
        <v>13</v>
      </c>
      <c r="H1017" s="39"/>
      <c r="I1017" s="40"/>
      <c r="J1017" s="39">
        <v>2422</v>
      </c>
      <c r="K1017" s="40">
        <v>97.563996700000004</v>
      </c>
    </row>
    <row r="1018" spans="1:11" ht="15" hidden="1" customHeight="1">
      <c r="A1018" s="7"/>
      <c r="B1018" s="36">
        <v>1011</v>
      </c>
      <c r="C1018" s="37" t="s">
        <v>19</v>
      </c>
      <c r="D1018" s="37" t="s">
        <v>317</v>
      </c>
      <c r="E1018" s="37" t="s">
        <v>325</v>
      </c>
      <c r="F1018" s="37" t="s">
        <v>326</v>
      </c>
      <c r="G1018" s="38" t="s">
        <v>14</v>
      </c>
      <c r="H1018" s="39">
        <v>14475</v>
      </c>
      <c r="I1018" s="40">
        <v>47.274611399999998</v>
      </c>
      <c r="J1018" s="39">
        <v>13389</v>
      </c>
      <c r="K1018" s="40">
        <v>63.7986407</v>
      </c>
    </row>
    <row r="1019" spans="1:11" ht="15" customHeight="1">
      <c r="A1019" s="7"/>
      <c r="B1019" s="41">
        <v>1012</v>
      </c>
      <c r="C1019" s="42" t="s">
        <v>19</v>
      </c>
      <c r="D1019" s="47" t="s">
        <v>317</v>
      </c>
      <c r="E1019" s="47" t="s">
        <v>325</v>
      </c>
      <c r="F1019" s="47" t="s">
        <v>327</v>
      </c>
      <c r="G1019" s="48" t="s">
        <v>327</v>
      </c>
      <c r="H1019" s="43">
        <v>5186</v>
      </c>
      <c r="I1019" s="44">
        <v>22.329348199999998</v>
      </c>
      <c r="J1019" s="43">
        <v>4714</v>
      </c>
      <c r="K1019" s="44">
        <v>43.848112</v>
      </c>
    </row>
    <row r="1020" spans="1:11" ht="15" hidden="1" customHeight="1">
      <c r="A1020" s="7"/>
      <c r="B1020" s="36">
        <v>1013</v>
      </c>
      <c r="C1020" s="37" t="s">
        <v>19</v>
      </c>
      <c r="D1020" s="37" t="s">
        <v>317</v>
      </c>
      <c r="E1020" s="37" t="s">
        <v>325</v>
      </c>
      <c r="F1020" s="37" t="s">
        <v>327</v>
      </c>
      <c r="G1020" s="38" t="s">
        <v>13</v>
      </c>
      <c r="H1020" s="39"/>
      <c r="I1020" s="40"/>
      <c r="J1020" s="39"/>
      <c r="K1020" s="40"/>
    </row>
    <row r="1021" spans="1:11" ht="15" hidden="1" customHeight="1">
      <c r="A1021" s="7"/>
      <c r="B1021" s="36">
        <v>1014</v>
      </c>
      <c r="C1021" s="37" t="s">
        <v>19</v>
      </c>
      <c r="D1021" s="37" t="s">
        <v>317</v>
      </c>
      <c r="E1021" s="37" t="s">
        <v>325</v>
      </c>
      <c r="F1021" s="37" t="s">
        <v>327</v>
      </c>
      <c r="G1021" s="38" t="s">
        <v>14</v>
      </c>
      <c r="H1021" s="39">
        <v>5186</v>
      </c>
      <c r="I1021" s="40">
        <v>22.329348199999998</v>
      </c>
      <c r="J1021" s="39">
        <v>4714</v>
      </c>
      <c r="K1021" s="40">
        <v>43.848112</v>
      </c>
    </row>
    <row r="1022" spans="1:11" ht="15" hidden="1" customHeight="1">
      <c r="A1022" s="7"/>
      <c r="B1022" s="32">
        <v>1015</v>
      </c>
      <c r="C1022" s="33" t="s">
        <v>17</v>
      </c>
      <c r="D1022" s="46" t="s">
        <v>317</v>
      </c>
      <c r="E1022" s="46" t="s">
        <v>328</v>
      </c>
      <c r="F1022" s="46"/>
      <c r="G1022" s="33" t="s">
        <v>328</v>
      </c>
      <c r="H1022" s="34">
        <v>34016</v>
      </c>
      <c r="I1022" s="35">
        <v>53.533631200000002</v>
      </c>
      <c r="J1022" s="34">
        <v>39505</v>
      </c>
      <c r="K1022" s="35">
        <v>78.488798900000006</v>
      </c>
    </row>
    <row r="1023" spans="1:11" ht="15" hidden="1" customHeight="1">
      <c r="A1023" s="7"/>
      <c r="B1023" s="36">
        <v>1016</v>
      </c>
      <c r="C1023" s="37" t="s">
        <v>17</v>
      </c>
      <c r="D1023" s="37" t="s">
        <v>317</v>
      </c>
      <c r="E1023" s="37" t="s">
        <v>328</v>
      </c>
      <c r="F1023" s="37"/>
      <c r="G1023" s="38" t="s">
        <v>13</v>
      </c>
      <c r="H1023" s="39">
        <v>3026</v>
      </c>
      <c r="I1023" s="40">
        <v>96.430931900000004</v>
      </c>
      <c r="J1023" s="39">
        <v>5962</v>
      </c>
      <c r="K1023" s="40">
        <v>97.567930200000006</v>
      </c>
    </row>
    <row r="1024" spans="1:11" ht="15" hidden="1" customHeight="1">
      <c r="A1024" s="7"/>
      <c r="B1024" s="36">
        <v>1017</v>
      </c>
      <c r="C1024" s="37" t="s">
        <v>17</v>
      </c>
      <c r="D1024" s="37" t="s">
        <v>317</v>
      </c>
      <c r="E1024" s="37" t="s">
        <v>328</v>
      </c>
      <c r="F1024" s="37"/>
      <c r="G1024" s="38" t="s">
        <v>14</v>
      </c>
      <c r="H1024" s="39">
        <v>30990</v>
      </c>
      <c r="I1024" s="40">
        <v>49.344949999999997</v>
      </c>
      <c r="J1024" s="39">
        <v>33543</v>
      </c>
      <c r="K1024" s="40">
        <v>75.0976359</v>
      </c>
    </row>
    <row r="1025" spans="1:11" ht="15" customHeight="1">
      <c r="A1025" s="7"/>
      <c r="B1025" s="41">
        <v>1018</v>
      </c>
      <c r="C1025" s="42" t="s">
        <v>19</v>
      </c>
      <c r="D1025" s="47" t="s">
        <v>317</v>
      </c>
      <c r="E1025" s="47" t="s">
        <v>328</v>
      </c>
      <c r="F1025" s="47" t="s">
        <v>329</v>
      </c>
      <c r="G1025" s="48" t="s">
        <v>329</v>
      </c>
      <c r="H1025" s="43">
        <v>23156</v>
      </c>
      <c r="I1025" s="44">
        <v>57.6913111</v>
      </c>
      <c r="J1025" s="43">
        <v>30113</v>
      </c>
      <c r="K1025" s="44">
        <v>81.572742700000006</v>
      </c>
    </row>
    <row r="1026" spans="1:11" ht="15" hidden="1" customHeight="1">
      <c r="A1026" s="7"/>
      <c r="B1026" s="36">
        <v>1019</v>
      </c>
      <c r="C1026" s="37" t="s">
        <v>19</v>
      </c>
      <c r="D1026" s="37" t="s">
        <v>317</v>
      </c>
      <c r="E1026" s="37" t="s">
        <v>328</v>
      </c>
      <c r="F1026" s="37" t="s">
        <v>329</v>
      </c>
      <c r="G1026" s="38" t="s">
        <v>13</v>
      </c>
      <c r="H1026" s="39">
        <v>3026</v>
      </c>
      <c r="I1026" s="40">
        <v>96.430931900000004</v>
      </c>
      <c r="J1026" s="39">
        <v>5962</v>
      </c>
      <c r="K1026" s="40">
        <v>97.567930200000006</v>
      </c>
    </row>
    <row r="1027" spans="1:11" ht="15" hidden="1" customHeight="1">
      <c r="A1027" s="7"/>
      <c r="B1027" s="36">
        <v>1020</v>
      </c>
      <c r="C1027" s="37" t="s">
        <v>19</v>
      </c>
      <c r="D1027" s="37" t="s">
        <v>317</v>
      </c>
      <c r="E1027" s="37" t="s">
        <v>328</v>
      </c>
      <c r="F1027" s="37" t="s">
        <v>329</v>
      </c>
      <c r="G1027" s="38" t="s">
        <v>14</v>
      </c>
      <c r="H1027" s="39">
        <v>20130</v>
      </c>
      <c r="I1027" s="40">
        <v>51.867858900000002</v>
      </c>
      <c r="J1027" s="39">
        <v>24151</v>
      </c>
      <c r="K1027" s="40">
        <v>77.624114899999995</v>
      </c>
    </row>
    <row r="1028" spans="1:11" ht="15" customHeight="1">
      <c r="A1028" s="7"/>
      <c r="B1028" s="41">
        <v>1021</v>
      </c>
      <c r="C1028" s="42" t="s">
        <v>19</v>
      </c>
      <c r="D1028" s="47" t="s">
        <v>317</v>
      </c>
      <c r="E1028" s="47" t="s">
        <v>328</v>
      </c>
      <c r="F1028" s="47" t="s">
        <v>330</v>
      </c>
      <c r="G1028" s="48" t="s">
        <v>330</v>
      </c>
      <c r="H1028" s="43">
        <v>10860</v>
      </c>
      <c r="I1028" s="44">
        <v>44.668508299999999</v>
      </c>
      <c r="J1028" s="43">
        <v>9392</v>
      </c>
      <c r="K1028" s="44">
        <v>68.600937000000002</v>
      </c>
    </row>
    <row r="1029" spans="1:11" ht="15" hidden="1" customHeight="1">
      <c r="A1029" s="7"/>
      <c r="B1029" s="36">
        <v>1022</v>
      </c>
      <c r="C1029" s="37" t="s">
        <v>19</v>
      </c>
      <c r="D1029" s="37" t="s">
        <v>317</v>
      </c>
      <c r="E1029" s="37" t="s">
        <v>328</v>
      </c>
      <c r="F1029" s="37" t="s">
        <v>330</v>
      </c>
      <c r="G1029" s="38" t="s">
        <v>13</v>
      </c>
      <c r="H1029" s="39"/>
      <c r="I1029" s="40"/>
      <c r="J1029" s="39"/>
      <c r="K1029" s="40"/>
    </row>
    <row r="1030" spans="1:11" ht="15" hidden="1" customHeight="1">
      <c r="A1030" s="7"/>
      <c r="B1030" s="36">
        <v>1023</v>
      </c>
      <c r="C1030" s="37" t="s">
        <v>19</v>
      </c>
      <c r="D1030" s="37" t="s">
        <v>317</v>
      </c>
      <c r="E1030" s="37" t="s">
        <v>328</v>
      </c>
      <c r="F1030" s="37" t="s">
        <v>330</v>
      </c>
      <c r="G1030" s="38" t="s">
        <v>14</v>
      </c>
      <c r="H1030" s="39">
        <v>10860</v>
      </c>
      <c r="I1030" s="40">
        <v>44.668508299999999</v>
      </c>
      <c r="J1030" s="39">
        <v>9392</v>
      </c>
      <c r="K1030" s="40">
        <v>68.600937000000002</v>
      </c>
    </row>
    <row r="1031" spans="1:11" ht="15" hidden="1" customHeight="1">
      <c r="A1031" s="7"/>
      <c r="B1031" s="32">
        <v>1024</v>
      </c>
      <c r="C1031" s="33" t="s">
        <v>17</v>
      </c>
      <c r="D1031" s="46" t="s">
        <v>317</v>
      </c>
      <c r="E1031" s="46" t="s">
        <v>331</v>
      </c>
      <c r="F1031" s="46"/>
      <c r="G1031" s="33" t="s">
        <v>331</v>
      </c>
      <c r="H1031" s="34">
        <v>20051</v>
      </c>
      <c r="I1031" s="35">
        <v>35.8735225</v>
      </c>
      <c r="J1031" s="34">
        <v>20403</v>
      </c>
      <c r="K1031" s="35">
        <v>49.448610500000001</v>
      </c>
    </row>
    <row r="1032" spans="1:11" ht="15" hidden="1" customHeight="1">
      <c r="A1032" s="7"/>
      <c r="B1032" s="36">
        <v>1025</v>
      </c>
      <c r="C1032" s="37" t="s">
        <v>17</v>
      </c>
      <c r="D1032" s="37" t="s">
        <v>317</v>
      </c>
      <c r="E1032" s="37" t="s">
        <v>331</v>
      </c>
      <c r="F1032" s="37"/>
      <c r="G1032" s="38" t="s">
        <v>13</v>
      </c>
      <c r="H1032" s="39">
        <v>3716</v>
      </c>
      <c r="I1032" s="40">
        <v>97.335845000000006</v>
      </c>
      <c r="J1032" s="39">
        <v>4077</v>
      </c>
      <c r="K1032" s="40">
        <v>99.190581300000005</v>
      </c>
    </row>
    <row r="1033" spans="1:11" ht="15" hidden="1" customHeight="1">
      <c r="A1033" s="7"/>
      <c r="B1033" s="36">
        <v>1026</v>
      </c>
      <c r="C1033" s="37" t="s">
        <v>17</v>
      </c>
      <c r="D1033" s="37" t="s">
        <v>317</v>
      </c>
      <c r="E1033" s="37" t="s">
        <v>331</v>
      </c>
      <c r="F1033" s="37"/>
      <c r="G1033" s="38" t="s">
        <v>14</v>
      </c>
      <c r="H1033" s="39">
        <v>16335</v>
      </c>
      <c r="I1033" s="40">
        <v>21.891643699999999</v>
      </c>
      <c r="J1033" s="39">
        <v>16326</v>
      </c>
      <c r="K1033" s="40">
        <v>37.026828399999999</v>
      </c>
    </row>
    <row r="1034" spans="1:11" ht="15" customHeight="1">
      <c r="A1034" s="7"/>
      <c r="B1034" s="41">
        <v>1027</v>
      </c>
      <c r="C1034" s="42" t="s">
        <v>19</v>
      </c>
      <c r="D1034" s="47" t="s">
        <v>317</v>
      </c>
      <c r="E1034" s="47" t="s">
        <v>331</v>
      </c>
      <c r="F1034" s="47" t="s">
        <v>201</v>
      </c>
      <c r="G1034" s="48" t="s">
        <v>201</v>
      </c>
      <c r="H1034" s="43">
        <v>20051</v>
      </c>
      <c r="I1034" s="44">
        <v>35.8735225</v>
      </c>
      <c r="J1034" s="43">
        <v>20403</v>
      </c>
      <c r="K1034" s="44">
        <v>49.448610500000001</v>
      </c>
    </row>
    <row r="1035" spans="1:11" ht="15" hidden="1" customHeight="1">
      <c r="A1035" s="7"/>
      <c r="B1035" s="36">
        <v>1028</v>
      </c>
      <c r="C1035" s="37" t="s">
        <v>19</v>
      </c>
      <c r="D1035" s="37" t="s">
        <v>317</v>
      </c>
      <c r="E1035" s="37" t="s">
        <v>331</v>
      </c>
      <c r="F1035" s="37" t="s">
        <v>201</v>
      </c>
      <c r="G1035" s="38" t="s">
        <v>13</v>
      </c>
      <c r="H1035" s="39">
        <v>3716</v>
      </c>
      <c r="I1035" s="40">
        <v>97.335845000000006</v>
      </c>
      <c r="J1035" s="39">
        <v>4077</v>
      </c>
      <c r="K1035" s="40">
        <v>99.190581300000005</v>
      </c>
    </row>
    <row r="1036" spans="1:11" ht="15" hidden="1" customHeight="1">
      <c r="A1036" s="7"/>
      <c r="B1036" s="36">
        <v>1029</v>
      </c>
      <c r="C1036" s="37" t="s">
        <v>19</v>
      </c>
      <c r="D1036" s="37" t="s">
        <v>317</v>
      </c>
      <c r="E1036" s="37" t="s">
        <v>331</v>
      </c>
      <c r="F1036" s="37" t="s">
        <v>201</v>
      </c>
      <c r="G1036" s="38" t="s">
        <v>14</v>
      </c>
      <c r="H1036" s="39">
        <v>16335</v>
      </c>
      <c r="I1036" s="40">
        <v>21.891643699999999</v>
      </c>
      <c r="J1036" s="39">
        <v>16326</v>
      </c>
      <c r="K1036" s="40">
        <v>37.026828399999999</v>
      </c>
    </row>
    <row r="1037" spans="1:11" ht="15" hidden="1" customHeight="1">
      <c r="A1037" s="7"/>
      <c r="B1037" s="24">
        <v>1030</v>
      </c>
      <c r="C1037" s="25" t="s">
        <v>15</v>
      </c>
      <c r="D1037" s="25" t="s">
        <v>332</v>
      </c>
      <c r="E1037" s="25"/>
      <c r="F1037" s="25"/>
      <c r="G1037" s="25" t="s">
        <v>332</v>
      </c>
      <c r="H1037" s="26">
        <v>2556717</v>
      </c>
      <c r="I1037" s="27">
        <v>86.780703500000001</v>
      </c>
      <c r="J1037" s="26">
        <v>3029443</v>
      </c>
      <c r="K1037" s="27">
        <v>92.338426600000005</v>
      </c>
    </row>
    <row r="1038" spans="1:11" ht="15" hidden="1" customHeight="1">
      <c r="A1038" s="7"/>
      <c r="B1038" s="28">
        <v>1031</v>
      </c>
      <c r="C1038" s="29" t="s">
        <v>15</v>
      </c>
      <c r="D1038" s="45" t="s">
        <v>332</v>
      </c>
      <c r="E1038" s="45"/>
      <c r="F1038" s="45"/>
      <c r="G1038" s="29" t="s">
        <v>13</v>
      </c>
      <c r="H1038" s="30">
        <v>2086227</v>
      </c>
      <c r="I1038" s="31">
        <v>95.902507299999996</v>
      </c>
      <c r="J1038" s="30">
        <v>2513680</v>
      </c>
      <c r="K1038" s="31">
        <v>98.209915300000006</v>
      </c>
    </row>
    <row r="1039" spans="1:11" ht="15" hidden="1" customHeight="1">
      <c r="A1039" s="7"/>
      <c r="B1039" s="28">
        <v>1032</v>
      </c>
      <c r="C1039" s="29" t="s">
        <v>15</v>
      </c>
      <c r="D1039" s="45" t="s">
        <v>332</v>
      </c>
      <c r="E1039" s="45"/>
      <c r="F1039" s="45"/>
      <c r="G1039" s="29" t="s">
        <v>14</v>
      </c>
      <c r="H1039" s="30">
        <v>470490</v>
      </c>
      <c r="I1039" s="31">
        <v>46.333184600000003</v>
      </c>
      <c r="J1039" s="30">
        <v>515763</v>
      </c>
      <c r="K1039" s="31">
        <v>63.722484899999998</v>
      </c>
    </row>
    <row r="1040" spans="1:11" ht="15" hidden="1" customHeight="1">
      <c r="A1040" s="7"/>
      <c r="B1040" s="32">
        <v>1033</v>
      </c>
      <c r="C1040" s="33" t="s">
        <v>17</v>
      </c>
      <c r="D1040" s="46" t="s">
        <v>332</v>
      </c>
      <c r="E1040" s="46" t="s">
        <v>333</v>
      </c>
      <c r="F1040" s="46"/>
      <c r="G1040" s="33" t="s">
        <v>333</v>
      </c>
      <c r="H1040" s="34">
        <v>1598734</v>
      </c>
      <c r="I1040" s="35">
        <v>96.935825500000007</v>
      </c>
      <c r="J1040" s="34">
        <v>1891541</v>
      </c>
      <c r="K1040" s="35">
        <v>98.628525600000003</v>
      </c>
    </row>
    <row r="1041" spans="1:11" ht="15" hidden="1" customHeight="1">
      <c r="A1041" s="7"/>
      <c r="B1041" s="36">
        <v>1034</v>
      </c>
      <c r="C1041" s="37" t="s">
        <v>17</v>
      </c>
      <c r="D1041" s="37" t="s">
        <v>332</v>
      </c>
      <c r="E1041" s="37" t="s">
        <v>333</v>
      </c>
      <c r="F1041" s="37"/>
      <c r="G1041" s="38" t="s">
        <v>13</v>
      </c>
      <c r="H1041" s="39">
        <v>1528315</v>
      </c>
      <c r="I1041" s="40">
        <v>98.600681100000003</v>
      </c>
      <c r="J1041" s="39">
        <v>1831773</v>
      </c>
      <c r="K1041" s="40">
        <v>99.241445299999995</v>
      </c>
    </row>
    <row r="1042" spans="1:11" ht="15" hidden="1" customHeight="1">
      <c r="A1042" s="7"/>
      <c r="B1042" s="36">
        <v>1035</v>
      </c>
      <c r="C1042" s="37" t="s">
        <v>17</v>
      </c>
      <c r="D1042" s="37" t="s">
        <v>332</v>
      </c>
      <c r="E1042" s="37" t="s">
        <v>333</v>
      </c>
      <c r="F1042" s="37"/>
      <c r="G1042" s="38" t="s">
        <v>14</v>
      </c>
      <c r="H1042" s="39">
        <v>70419</v>
      </c>
      <c r="I1042" s="40">
        <v>60.803192299999999</v>
      </c>
      <c r="J1042" s="39">
        <v>59768</v>
      </c>
      <c r="K1042" s="40">
        <v>79.843729100000004</v>
      </c>
    </row>
    <row r="1043" spans="1:11" ht="15" customHeight="1">
      <c r="A1043" s="7"/>
      <c r="B1043" s="41">
        <v>1036</v>
      </c>
      <c r="C1043" s="42" t="s">
        <v>19</v>
      </c>
      <c r="D1043" s="47" t="s">
        <v>332</v>
      </c>
      <c r="E1043" s="47" t="s">
        <v>333</v>
      </c>
      <c r="F1043" s="47" t="s">
        <v>334</v>
      </c>
      <c r="G1043" s="48" t="s">
        <v>334</v>
      </c>
      <c r="H1043" s="43">
        <v>1392727</v>
      </c>
      <c r="I1043" s="44">
        <v>98.738446199999998</v>
      </c>
      <c r="J1043" s="43">
        <v>1563479</v>
      </c>
      <c r="K1043" s="44">
        <v>99.380803999999998</v>
      </c>
    </row>
    <row r="1044" spans="1:11" ht="15" hidden="1" customHeight="1">
      <c r="A1044" s="7"/>
      <c r="B1044" s="36">
        <v>1037</v>
      </c>
      <c r="C1044" s="37" t="s">
        <v>19</v>
      </c>
      <c r="D1044" s="37" t="s">
        <v>332</v>
      </c>
      <c r="E1044" s="37" t="s">
        <v>333</v>
      </c>
      <c r="F1044" s="37" t="s">
        <v>334</v>
      </c>
      <c r="G1044" s="38" t="s">
        <v>13</v>
      </c>
      <c r="H1044" s="39">
        <v>1381805</v>
      </c>
      <c r="I1044" s="40">
        <v>98.972720499999994</v>
      </c>
      <c r="J1044" s="39">
        <v>1554378</v>
      </c>
      <c r="K1044" s="40">
        <v>99.438617899999997</v>
      </c>
    </row>
    <row r="1045" spans="1:11" ht="15" hidden="1" customHeight="1">
      <c r="A1045" s="7"/>
      <c r="B1045" s="36">
        <v>1038</v>
      </c>
      <c r="C1045" s="37" t="s">
        <v>19</v>
      </c>
      <c r="D1045" s="37" t="s">
        <v>332</v>
      </c>
      <c r="E1045" s="37" t="s">
        <v>333</v>
      </c>
      <c r="F1045" s="37" t="s">
        <v>334</v>
      </c>
      <c r="G1045" s="38" t="s">
        <v>14</v>
      </c>
      <c r="H1045" s="39">
        <v>10922</v>
      </c>
      <c r="I1045" s="40">
        <v>69.099066100000002</v>
      </c>
      <c r="J1045" s="39">
        <v>9101</v>
      </c>
      <c r="K1045" s="40">
        <v>89.506647599999994</v>
      </c>
    </row>
    <row r="1046" spans="1:11" ht="15" customHeight="1">
      <c r="A1046" s="7"/>
      <c r="B1046" s="41">
        <v>1039</v>
      </c>
      <c r="C1046" s="42" t="s">
        <v>19</v>
      </c>
      <c r="D1046" s="47" t="s">
        <v>332</v>
      </c>
      <c r="E1046" s="47" t="s">
        <v>333</v>
      </c>
      <c r="F1046" s="47" t="s">
        <v>335</v>
      </c>
      <c r="G1046" s="48" t="s">
        <v>335</v>
      </c>
      <c r="H1046" s="43">
        <v>54321</v>
      </c>
      <c r="I1046" s="44">
        <v>86.5024576</v>
      </c>
      <c r="J1046" s="43">
        <v>105028</v>
      </c>
      <c r="K1046" s="44">
        <v>95.964885600000002</v>
      </c>
    </row>
    <row r="1047" spans="1:11" ht="15" hidden="1" customHeight="1">
      <c r="A1047" s="7"/>
      <c r="B1047" s="36">
        <v>1040</v>
      </c>
      <c r="C1047" s="37" t="s">
        <v>19</v>
      </c>
      <c r="D1047" s="37" t="s">
        <v>332</v>
      </c>
      <c r="E1047" s="37" t="s">
        <v>333</v>
      </c>
      <c r="F1047" s="37" t="s">
        <v>335</v>
      </c>
      <c r="G1047" s="38" t="s">
        <v>13</v>
      </c>
      <c r="H1047" s="39">
        <v>33557</v>
      </c>
      <c r="I1047" s="40">
        <v>94.847572799999995</v>
      </c>
      <c r="J1047" s="39">
        <v>88972</v>
      </c>
      <c r="K1047" s="40">
        <v>96.937238699999995</v>
      </c>
    </row>
    <row r="1048" spans="1:11" ht="15" hidden="1" customHeight="1">
      <c r="A1048" s="7"/>
      <c r="B1048" s="36">
        <v>1041</v>
      </c>
      <c r="C1048" s="37" t="s">
        <v>19</v>
      </c>
      <c r="D1048" s="37" t="s">
        <v>332</v>
      </c>
      <c r="E1048" s="37" t="s">
        <v>333</v>
      </c>
      <c r="F1048" s="37" t="s">
        <v>335</v>
      </c>
      <c r="G1048" s="38" t="s">
        <v>14</v>
      </c>
      <c r="H1048" s="39">
        <v>20764</v>
      </c>
      <c r="I1048" s="40">
        <v>73.015796600000002</v>
      </c>
      <c r="J1048" s="39">
        <v>16056</v>
      </c>
      <c r="K1048" s="40">
        <v>90.5767314</v>
      </c>
    </row>
    <row r="1049" spans="1:11" ht="15" customHeight="1">
      <c r="A1049" s="7"/>
      <c r="B1049" s="41">
        <v>1042</v>
      </c>
      <c r="C1049" s="42" t="s">
        <v>19</v>
      </c>
      <c r="D1049" s="47" t="s">
        <v>332</v>
      </c>
      <c r="E1049" s="47" t="s">
        <v>333</v>
      </c>
      <c r="F1049" s="47" t="s">
        <v>336</v>
      </c>
      <c r="G1049" s="48" t="s">
        <v>336</v>
      </c>
      <c r="H1049" s="43">
        <v>15190</v>
      </c>
      <c r="I1049" s="44">
        <v>56.366030299999998</v>
      </c>
      <c r="J1049" s="43">
        <v>22722</v>
      </c>
      <c r="K1049" s="44">
        <v>86.911363399999999</v>
      </c>
    </row>
    <row r="1050" spans="1:11" ht="15" hidden="1" customHeight="1">
      <c r="A1050" s="7"/>
      <c r="B1050" s="36">
        <v>1043</v>
      </c>
      <c r="C1050" s="37" t="s">
        <v>19</v>
      </c>
      <c r="D1050" s="37" t="s">
        <v>332</v>
      </c>
      <c r="E1050" s="37" t="s">
        <v>333</v>
      </c>
      <c r="F1050" s="37" t="s">
        <v>336</v>
      </c>
      <c r="G1050" s="38" t="s">
        <v>13</v>
      </c>
      <c r="H1050" s="39">
        <v>4045</v>
      </c>
      <c r="I1050" s="40">
        <v>92.039554999999993</v>
      </c>
      <c r="J1050" s="39">
        <v>11081</v>
      </c>
      <c r="K1050" s="40">
        <v>98.745600600000003</v>
      </c>
    </row>
    <row r="1051" spans="1:11" ht="15" hidden="1" customHeight="1">
      <c r="A1051" s="7"/>
      <c r="B1051" s="36">
        <v>1044</v>
      </c>
      <c r="C1051" s="37" t="s">
        <v>19</v>
      </c>
      <c r="D1051" s="37" t="s">
        <v>332</v>
      </c>
      <c r="E1051" s="37" t="s">
        <v>333</v>
      </c>
      <c r="F1051" s="37" t="s">
        <v>336</v>
      </c>
      <c r="G1051" s="38" t="s">
        <v>14</v>
      </c>
      <c r="H1051" s="39">
        <v>11145</v>
      </c>
      <c r="I1051" s="40">
        <v>43.4185734</v>
      </c>
      <c r="J1051" s="39">
        <v>11641</v>
      </c>
      <c r="K1051" s="40">
        <v>75.646422099999995</v>
      </c>
    </row>
    <row r="1052" spans="1:11" ht="15" customHeight="1">
      <c r="A1052" s="7"/>
      <c r="B1052" s="41">
        <v>1045</v>
      </c>
      <c r="C1052" s="42" t="s">
        <v>19</v>
      </c>
      <c r="D1052" s="47" t="s">
        <v>332</v>
      </c>
      <c r="E1052" s="47" t="s">
        <v>333</v>
      </c>
      <c r="F1052" s="47" t="s">
        <v>337</v>
      </c>
      <c r="G1052" s="48" t="s">
        <v>337</v>
      </c>
      <c r="H1052" s="43">
        <v>87737</v>
      </c>
      <c r="I1052" s="44">
        <v>94.599769800000004</v>
      </c>
      <c r="J1052" s="43">
        <v>145751</v>
      </c>
      <c r="K1052" s="44">
        <v>98.384916700000005</v>
      </c>
    </row>
    <row r="1053" spans="1:11" ht="15" hidden="1" customHeight="1">
      <c r="A1053" s="7"/>
      <c r="B1053" s="36">
        <v>1046</v>
      </c>
      <c r="C1053" s="37" t="s">
        <v>19</v>
      </c>
      <c r="D1053" s="37" t="s">
        <v>332</v>
      </c>
      <c r="E1053" s="37" t="s">
        <v>333</v>
      </c>
      <c r="F1053" s="37" t="s">
        <v>337</v>
      </c>
      <c r="G1053" s="38" t="s">
        <v>13</v>
      </c>
      <c r="H1053" s="39">
        <v>77681</v>
      </c>
      <c r="I1053" s="40">
        <v>96.768836699999994</v>
      </c>
      <c r="J1053" s="39">
        <v>137977</v>
      </c>
      <c r="K1053" s="40">
        <v>98.9838886</v>
      </c>
    </row>
    <row r="1054" spans="1:11" ht="15" hidden="1" customHeight="1">
      <c r="A1054" s="7"/>
      <c r="B1054" s="36">
        <v>1047</v>
      </c>
      <c r="C1054" s="37" t="s">
        <v>19</v>
      </c>
      <c r="D1054" s="37" t="s">
        <v>332</v>
      </c>
      <c r="E1054" s="37" t="s">
        <v>333</v>
      </c>
      <c r="F1054" s="37" t="s">
        <v>337</v>
      </c>
      <c r="G1054" s="38" t="s">
        <v>14</v>
      </c>
      <c r="H1054" s="39">
        <v>10056</v>
      </c>
      <c r="I1054" s="40">
        <v>77.844073199999997</v>
      </c>
      <c r="J1054" s="39">
        <v>7774</v>
      </c>
      <c r="K1054" s="40">
        <v>87.754052000000001</v>
      </c>
    </row>
    <row r="1055" spans="1:11" ht="15" customHeight="1">
      <c r="A1055" s="7"/>
      <c r="B1055" s="41">
        <v>1048</v>
      </c>
      <c r="C1055" s="42" t="s">
        <v>19</v>
      </c>
      <c r="D1055" s="47" t="s">
        <v>332</v>
      </c>
      <c r="E1055" s="47" t="s">
        <v>333</v>
      </c>
      <c r="F1055" s="47" t="s">
        <v>338</v>
      </c>
      <c r="G1055" s="48" t="s">
        <v>338</v>
      </c>
      <c r="H1055" s="43">
        <v>48759</v>
      </c>
      <c r="I1055" s="44">
        <v>73.912508500000001</v>
      </c>
      <c r="J1055" s="43">
        <v>54561</v>
      </c>
      <c r="K1055" s="44">
        <v>87.729330500000003</v>
      </c>
    </row>
    <row r="1056" spans="1:11" ht="15" hidden="1" customHeight="1">
      <c r="A1056" s="7"/>
      <c r="B1056" s="36">
        <v>1049</v>
      </c>
      <c r="C1056" s="37" t="s">
        <v>19</v>
      </c>
      <c r="D1056" s="37" t="s">
        <v>332</v>
      </c>
      <c r="E1056" s="37" t="s">
        <v>333</v>
      </c>
      <c r="F1056" s="37" t="s">
        <v>338</v>
      </c>
      <c r="G1056" s="38" t="s">
        <v>13</v>
      </c>
      <c r="H1056" s="39">
        <v>31227</v>
      </c>
      <c r="I1056" s="40">
        <v>91.577801300000004</v>
      </c>
      <c r="J1056" s="39">
        <v>39365</v>
      </c>
      <c r="K1056" s="40">
        <v>97.706084099999998</v>
      </c>
    </row>
    <row r="1057" spans="1:11" ht="15" hidden="1" customHeight="1">
      <c r="A1057" s="7"/>
      <c r="B1057" s="36">
        <v>1050</v>
      </c>
      <c r="C1057" s="37" t="s">
        <v>19</v>
      </c>
      <c r="D1057" s="37" t="s">
        <v>332</v>
      </c>
      <c r="E1057" s="37" t="s">
        <v>333</v>
      </c>
      <c r="F1057" s="37" t="s">
        <v>338</v>
      </c>
      <c r="G1057" s="38" t="s">
        <v>14</v>
      </c>
      <c r="H1057" s="39">
        <v>17532</v>
      </c>
      <c r="I1057" s="40">
        <v>42.448094900000001</v>
      </c>
      <c r="J1057" s="39">
        <v>15196</v>
      </c>
      <c r="K1057" s="40">
        <v>61.8847065</v>
      </c>
    </row>
    <row r="1058" spans="1:11" ht="15" hidden="1" customHeight="1">
      <c r="A1058" s="7"/>
      <c r="B1058" s="32">
        <v>1051</v>
      </c>
      <c r="C1058" s="33" t="s">
        <v>17</v>
      </c>
      <c r="D1058" s="46" t="s">
        <v>332</v>
      </c>
      <c r="E1058" s="46" t="s">
        <v>339</v>
      </c>
      <c r="F1058" s="46"/>
      <c r="G1058" s="33" t="s">
        <v>339</v>
      </c>
      <c r="H1058" s="34">
        <v>106355</v>
      </c>
      <c r="I1058" s="35">
        <v>91.246297799999994</v>
      </c>
      <c r="J1058" s="34">
        <v>158552</v>
      </c>
      <c r="K1058" s="35">
        <v>97.287955999999994</v>
      </c>
    </row>
    <row r="1059" spans="1:11" ht="15" hidden="1" customHeight="1">
      <c r="A1059" s="7"/>
      <c r="B1059" s="36">
        <v>1052</v>
      </c>
      <c r="C1059" s="37" t="s">
        <v>17</v>
      </c>
      <c r="D1059" s="37" t="s">
        <v>332</v>
      </c>
      <c r="E1059" s="37" t="s">
        <v>339</v>
      </c>
      <c r="F1059" s="37"/>
      <c r="G1059" s="38" t="s">
        <v>13</v>
      </c>
      <c r="H1059" s="39">
        <v>85270</v>
      </c>
      <c r="I1059" s="40">
        <v>96.9238888</v>
      </c>
      <c r="J1059" s="39">
        <v>137462</v>
      </c>
      <c r="K1059" s="40">
        <v>98.486854500000007</v>
      </c>
    </row>
    <row r="1060" spans="1:11" ht="15" hidden="1" customHeight="1">
      <c r="A1060" s="7"/>
      <c r="B1060" s="36">
        <v>1053</v>
      </c>
      <c r="C1060" s="37" t="s">
        <v>17</v>
      </c>
      <c r="D1060" s="37" t="s">
        <v>332</v>
      </c>
      <c r="E1060" s="37" t="s">
        <v>339</v>
      </c>
      <c r="F1060" s="37"/>
      <c r="G1060" s="38" t="s">
        <v>14</v>
      </c>
      <c r="H1060" s="39">
        <v>21085</v>
      </c>
      <c r="I1060" s="40">
        <v>68.285511</v>
      </c>
      <c r="J1060" s="39">
        <v>21090</v>
      </c>
      <c r="K1060" s="40">
        <v>89.473684199999994</v>
      </c>
    </row>
    <row r="1061" spans="1:11" ht="15" customHeight="1">
      <c r="A1061" s="7"/>
      <c r="B1061" s="41">
        <v>1054</v>
      </c>
      <c r="C1061" s="42" t="s">
        <v>19</v>
      </c>
      <c r="D1061" s="47" t="s">
        <v>332</v>
      </c>
      <c r="E1061" s="47" t="s">
        <v>339</v>
      </c>
      <c r="F1061" s="47" t="s">
        <v>339</v>
      </c>
      <c r="G1061" s="48" t="s">
        <v>339</v>
      </c>
      <c r="H1061" s="43">
        <v>94286</v>
      </c>
      <c r="I1061" s="44">
        <v>92.2321448</v>
      </c>
      <c r="J1061" s="43">
        <v>148232</v>
      </c>
      <c r="K1061" s="44">
        <v>97.481650400000007</v>
      </c>
    </row>
    <row r="1062" spans="1:11" ht="15" hidden="1" customHeight="1">
      <c r="A1062" s="7"/>
      <c r="B1062" s="36">
        <v>1055</v>
      </c>
      <c r="C1062" s="37" t="s">
        <v>19</v>
      </c>
      <c r="D1062" s="37" t="s">
        <v>332</v>
      </c>
      <c r="E1062" s="37" t="s">
        <v>339</v>
      </c>
      <c r="F1062" s="37" t="s">
        <v>339</v>
      </c>
      <c r="G1062" s="38" t="s">
        <v>13</v>
      </c>
      <c r="H1062" s="39">
        <v>79036</v>
      </c>
      <c r="I1062" s="40">
        <v>97.101320900000005</v>
      </c>
      <c r="J1062" s="39">
        <v>132377</v>
      </c>
      <c r="K1062" s="40">
        <v>98.440061299999996</v>
      </c>
    </row>
    <row r="1063" spans="1:11" ht="15" hidden="1" customHeight="1">
      <c r="A1063" s="7"/>
      <c r="B1063" s="36">
        <v>1056</v>
      </c>
      <c r="C1063" s="37" t="s">
        <v>19</v>
      </c>
      <c r="D1063" s="37" t="s">
        <v>332</v>
      </c>
      <c r="E1063" s="37" t="s">
        <v>339</v>
      </c>
      <c r="F1063" s="37" t="s">
        <v>339</v>
      </c>
      <c r="G1063" s="38" t="s">
        <v>14</v>
      </c>
      <c r="H1063" s="39">
        <v>15250</v>
      </c>
      <c r="I1063" s="40">
        <v>66.996721300000004</v>
      </c>
      <c r="J1063" s="39">
        <v>15855</v>
      </c>
      <c r="K1063" s="40">
        <v>89.479659400000003</v>
      </c>
    </row>
    <row r="1064" spans="1:11" ht="15" customHeight="1">
      <c r="A1064" s="7"/>
      <c r="B1064" s="41">
        <v>1057</v>
      </c>
      <c r="C1064" s="42" t="s">
        <v>19</v>
      </c>
      <c r="D1064" s="47" t="s">
        <v>332</v>
      </c>
      <c r="E1064" s="47" t="s">
        <v>339</v>
      </c>
      <c r="F1064" s="47" t="s">
        <v>340</v>
      </c>
      <c r="G1064" s="48" t="s">
        <v>340</v>
      </c>
      <c r="H1064" s="43">
        <v>12069</v>
      </c>
      <c r="I1064" s="44">
        <v>83.544618400000004</v>
      </c>
      <c r="J1064" s="43">
        <v>10320</v>
      </c>
      <c r="K1064" s="44">
        <v>94.505814000000001</v>
      </c>
    </row>
    <row r="1065" spans="1:11" ht="15" hidden="1" customHeight="1">
      <c r="A1065" s="7"/>
      <c r="B1065" s="36">
        <v>1058</v>
      </c>
      <c r="C1065" s="37" t="s">
        <v>19</v>
      </c>
      <c r="D1065" s="37" t="s">
        <v>332</v>
      </c>
      <c r="E1065" s="37" t="s">
        <v>339</v>
      </c>
      <c r="F1065" s="37" t="s">
        <v>340</v>
      </c>
      <c r="G1065" s="38" t="s">
        <v>13</v>
      </c>
      <c r="H1065" s="39">
        <v>6234</v>
      </c>
      <c r="I1065" s="40">
        <v>94.674366399999997</v>
      </c>
      <c r="J1065" s="39">
        <v>5085</v>
      </c>
      <c r="K1065" s="40">
        <v>99.705014700000007</v>
      </c>
    </row>
    <row r="1066" spans="1:11" ht="15" hidden="1" customHeight="1">
      <c r="A1066" s="7"/>
      <c r="B1066" s="36">
        <v>1059</v>
      </c>
      <c r="C1066" s="37" t="s">
        <v>19</v>
      </c>
      <c r="D1066" s="37" t="s">
        <v>332</v>
      </c>
      <c r="E1066" s="37" t="s">
        <v>339</v>
      </c>
      <c r="F1066" s="37" t="s">
        <v>340</v>
      </c>
      <c r="G1066" s="38" t="s">
        <v>14</v>
      </c>
      <c r="H1066" s="39">
        <v>5835</v>
      </c>
      <c r="I1066" s="40">
        <v>71.653813200000002</v>
      </c>
      <c r="J1066" s="39">
        <v>5235</v>
      </c>
      <c r="K1066" s="40">
        <v>89.455587399999999</v>
      </c>
    </row>
    <row r="1067" spans="1:11" ht="15" hidden="1" customHeight="1">
      <c r="A1067" s="7"/>
      <c r="B1067" s="32">
        <v>1060</v>
      </c>
      <c r="C1067" s="33" t="s">
        <v>17</v>
      </c>
      <c r="D1067" s="46" t="s">
        <v>332</v>
      </c>
      <c r="E1067" s="46" t="s">
        <v>341</v>
      </c>
      <c r="F1067" s="46"/>
      <c r="G1067" s="33" t="s">
        <v>341</v>
      </c>
      <c r="H1067" s="34">
        <v>67593</v>
      </c>
      <c r="I1067" s="35">
        <v>35.832112799999997</v>
      </c>
      <c r="J1067" s="34">
        <v>88688</v>
      </c>
      <c r="K1067" s="35">
        <v>57.7000271</v>
      </c>
    </row>
    <row r="1068" spans="1:11" ht="15" hidden="1" customHeight="1">
      <c r="A1068" s="7"/>
      <c r="B1068" s="36">
        <v>1061</v>
      </c>
      <c r="C1068" s="37" t="s">
        <v>17</v>
      </c>
      <c r="D1068" s="37" t="s">
        <v>332</v>
      </c>
      <c r="E1068" s="37" t="s">
        <v>341</v>
      </c>
      <c r="F1068" s="37"/>
      <c r="G1068" s="38" t="s">
        <v>13</v>
      </c>
      <c r="H1068" s="39">
        <v>29561</v>
      </c>
      <c r="I1068" s="40">
        <v>66.016034599999998</v>
      </c>
      <c r="J1068" s="39">
        <v>38872</v>
      </c>
      <c r="K1068" s="40">
        <v>85.133257900000004</v>
      </c>
    </row>
    <row r="1069" spans="1:11" ht="15" hidden="1" customHeight="1">
      <c r="A1069" s="7"/>
      <c r="B1069" s="36">
        <v>1062</v>
      </c>
      <c r="C1069" s="37" t="s">
        <v>17</v>
      </c>
      <c r="D1069" s="37" t="s">
        <v>332</v>
      </c>
      <c r="E1069" s="37" t="s">
        <v>341</v>
      </c>
      <c r="F1069" s="37"/>
      <c r="G1069" s="38" t="s">
        <v>14</v>
      </c>
      <c r="H1069" s="39">
        <v>38032</v>
      </c>
      <c r="I1069" s="40">
        <v>12.3711611</v>
      </c>
      <c r="J1069" s="39">
        <v>49816</v>
      </c>
      <c r="K1069" s="40">
        <v>36.293560300000003</v>
      </c>
    </row>
    <row r="1070" spans="1:11" ht="15" customHeight="1">
      <c r="A1070" s="7"/>
      <c r="B1070" s="41">
        <v>1063</v>
      </c>
      <c r="C1070" s="42" t="s">
        <v>19</v>
      </c>
      <c r="D1070" s="47" t="s">
        <v>332</v>
      </c>
      <c r="E1070" s="47" t="s">
        <v>341</v>
      </c>
      <c r="F1070" s="47" t="s">
        <v>342</v>
      </c>
      <c r="G1070" s="48" t="s">
        <v>342</v>
      </c>
      <c r="H1070" s="43">
        <v>50813</v>
      </c>
      <c r="I1070" s="44">
        <v>37.716726000000001</v>
      </c>
      <c r="J1070" s="43">
        <v>64993</v>
      </c>
      <c r="K1070" s="44">
        <v>61.235825400000003</v>
      </c>
    </row>
    <row r="1071" spans="1:11" ht="15" hidden="1" customHeight="1">
      <c r="A1071" s="7"/>
      <c r="B1071" s="36">
        <v>1064</v>
      </c>
      <c r="C1071" s="37" t="s">
        <v>19</v>
      </c>
      <c r="D1071" s="37" t="s">
        <v>332</v>
      </c>
      <c r="E1071" s="37" t="s">
        <v>341</v>
      </c>
      <c r="F1071" s="37" t="s">
        <v>342</v>
      </c>
      <c r="G1071" s="38" t="s">
        <v>13</v>
      </c>
      <c r="H1071" s="39">
        <v>22282</v>
      </c>
      <c r="I1071" s="40">
        <v>67.386230999999995</v>
      </c>
      <c r="J1071" s="39">
        <v>30844</v>
      </c>
      <c r="K1071" s="40">
        <v>85.831928399999995</v>
      </c>
    </row>
    <row r="1072" spans="1:11" ht="15" hidden="1" customHeight="1">
      <c r="A1072" s="7"/>
      <c r="B1072" s="36">
        <v>1065</v>
      </c>
      <c r="C1072" s="37" t="s">
        <v>19</v>
      </c>
      <c r="D1072" s="37" t="s">
        <v>332</v>
      </c>
      <c r="E1072" s="37" t="s">
        <v>341</v>
      </c>
      <c r="F1072" s="37" t="s">
        <v>342</v>
      </c>
      <c r="G1072" s="38" t="s">
        <v>14</v>
      </c>
      <c r="H1072" s="39">
        <v>28531</v>
      </c>
      <c r="I1072" s="40">
        <v>14.545582</v>
      </c>
      <c r="J1072" s="39">
        <v>34149</v>
      </c>
      <c r="K1072" s="40">
        <v>39.020176300000003</v>
      </c>
    </row>
    <row r="1073" spans="1:11" ht="15" customHeight="1">
      <c r="A1073" s="7"/>
      <c r="B1073" s="41">
        <v>1066</v>
      </c>
      <c r="C1073" s="42" t="s">
        <v>19</v>
      </c>
      <c r="D1073" s="47" t="s">
        <v>332</v>
      </c>
      <c r="E1073" s="47" t="s">
        <v>341</v>
      </c>
      <c r="F1073" s="47" t="s">
        <v>343</v>
      </c>
      <c r="G1073" s="48" t="s">
        <v>343</v>
      </c>
      <c r="H1073" s="43">
        <v>11174</v>
      </c>
      <c r="I1073" s="44">
        <v>26.051548199999999</v>
      </c>
      <c r="J1073" s="43">
        <v>15094</v>
      </c>
      <c r="K1073" s="44">
        <v>46.1706638</v>
      </c>
    </row>
    <row r="1074" spans="1:11" ht="15" hidden="1" customHeight="1">
      <c r="A1074" s="7"/>
      <c r="B1074" s="36">
        <v>1067</v>
      </c>
      <c r="C1074" s="37" t="s">
        <v>19</v>
      </c>
      <c r="D1074" s="37" t="s">
        <v>332</v>
      </c>
      <c r="E1074" s="37" t="s">
        <v>341</v>
      </c>
      <c r="F1074" s="37" t="s">
        <v>343</v>
      </c>
      <c r="G1074" s="38" t="s">
        <v>13</v>
      </c>
      <c r="H1074" s="39">
        <v>4278</v>
      </c>
      <c r="I1074" s="40">
        <v>60.9864423</v>
      </c>
      <c r="J1074" s="39">
        <v>5263</v>
      </c>
      <c r="K1074" s="40">
        <v>79.954398600000005</v>
      </c>
    </row>
    <row r="1075" spans="1:11" ht="15" hidden="1" customHeight="1">
      <c r="A1075" s="7"/>
      <c r="B1075" s="36">
        <v>1068</v>
      </c>
      <c r="C1075" s="37" t="s">
        <v>19</v>
      </c>
      <c r="D1075" s="37" t="s">
        <v>332</v>
      </c>
      <c r="E1075" s="37" t="s">
        <v>341</v>
      </c>
      <c r="F1075" s="37" t="s">
        <v>343</v>
      </c>
      <c r="G1075" s="38" t="s">
        <v>14</v>
      </c>
      <c r="H1075" s="39">
        <v>6896</v>
      </c>
      <c r="I1075" s="40">
        <v>4.3793502999999996</v>
      </c>
      <c r="J1075" s="39">
        <v>9831</v>
      </c>
      <c r="K1075" s="40">
        <v>28.084630300000001</v>
      </c>
    </row>
    <row r="1076" spans="1:11" ht="15" customHeight="1">
      <c r="A1076" s="7"/>
      <c r="B1076" s="41">
        <v>1069</v>
      </c>
      <c r="C1076" s="42" t="s">
        <v>19</v>
      </c>
      <c r="D1076" s="47" t="s">
        <v>332</v>
      </c>
      <c r="E1076" s="47" t="s">
        <v>341</v>
      </c>
      <c r="F1076" s="47" t="s">
        <v>344</v>
      </c>
      <c r="G1076" s="48" t="s">
        <v>344</v>
      </c>
      <c r="H1076" s="43">
        <v>5606</v>
      </c>
      <c r="I1076" s="44">
        <v>38.244737800000003</v>
      </c>
      <c r="J1076" s="43">
        <v>8601</v>
      </c>
      <c r="K1076" s="44">
        <v>51.214975000000003</v>
      </c>
    </row>
    <row r="1077" spans="1:11" ht="15" hidden="1" customHeight="1">
      <c r="A1077" s="7"/>
      <c r="B1077" s="36">
        <v>1070</v>
      </c>
      <c r="C1077" s="37" t="s">
        <v>19</v>
      </c>
      <c r="D1077" s="37" t="s">
        <v>332</v>
      </c>
      <c r="E1077" s="37" t="s">
        <v>341</v>
      </c>
      <c r="F1077" s="37" t="s">
        <v>344</v>
      </c>
      <c r="G1077" s="38" t="s">
        <v>13</v>
      </c>
      <c r="H1077" s="39">
        <v>3001</v>
      </c>
      <c r="I1077" s="40">
        <v>63.012329200000003</v>
      </c>
      <c r="J1077" s="39">
        <v>2765</v>
      </c>
      <c r="K1077" s="40">
        <v>87.197106700000006</v>
      </c>
    </row>
    <row r="1078" spans="1:11" ht="15" hidden="1" customHeight="1">
      <c r="A1078" s="7"/>
      <c r="B1078" s="36">
        <v>1071</v>
      </c>
      <c r="C1078" s="37" t="s">
        <v>19</v>
      </c>
      <c r="D1078" s="37" t="s">
        <v>332</v>
      </c>
      <c r="E1078" s="37" t="s">
        <v>341</v>
      </c>
      <c r="F1078" s="37" t="s">
        <v>344</v>
      </c>
      <c r="G1078" s="38" t="s">
        <v>14</v>
      </c>
      <c r="H1078" s="39">
        <v>2605</v>
      </c>
      <c r="I1078" s="40">
        <v>9.7120920999999996</v>
      </c>
      <c r="J1078" s="39">
        <v>5836</v>
      </c>
      <c r="K1078" s="40">
        <v>34.167237800000002</v>
      </c>
    </row>
    <row r="1079" spans="1:11" ht="15" hidden="1" customHeight="1">
      <c r="A1079" s="7"/>
      <c r="B1079" s="32">
        <v>1072</v>
      </c>
      <c r="C1079" s="33" t="s">
        <v>17</v>
      </c>
      <c r="D1079" s="46" t="s">
        <v>332</v>
      </c>
      <c r="E1079" s="46" t="s">
        <v>345</v>
      </c>
      <c r="F1079" s="46"/>
      <c r="G1079" s="33" t="s">
        <v>345</v>
      </c>
      <c r="H1079" s="34">
        <v>89098</v>
      </c>
      <c r="I1079" s="35">
        <v>67.566050899999993</v>
      </c>
      <c r="J1079" s="34">
        <v>97794</v>
      </c>
      <c r="K1079" s="35">
        <v>83.467288400000001</v>
      </c>
    </row>
    <row r="1080" spans="1:11" ht="15" hidden="1" customHeight="1">
      <c r="A1080" s="7"/>
      <c r="B1080" s="36">
        <v>1073</v>
      </c>
      <c r="C1080" s="37" t="s">
        <v>17</v>
      </c>
      <c r="D1080" s="37" t="s">
        <v>332</v>
      </c>
      <c r="E1080" s="37" t="s">
        <v>345</v>
      </c>
      <c r="F1080" s="37"/>
      <c r="G1080" s="38" t="s">
        <v>13</v>
      </c>
      <c r="H1080" s="39">
        <v>53547</v>
      </c>
      <c r="I1080" s="40">
        <v>88.466207299999994</v>
      </c>
      <c r="J1080" s="39">
        <v>58894</v>
      </c>
      <c r="K1080" s="40">
        <v>97.999796200000006</v>
      </c>
    </row>
    <row r="1081" spans="1:11" ht="15" hidden="1" customHeight="1">
      <c r="A1081" s="7"/>
      <c r="B1081" s="36">
        <v>1074</v>
      </c>
      <c r="C1081" s="37" t="s">
        <v>17</v>
      </c>
      <c r="D1081" s="37" t="s">
        <v>332</v>
      </c>
      <c r="E1081" s="37" t="s">
        <v>345</v>
      </c>
      <c r="F1081" s="37"/>
      <c r="G1081" s="38" t="s">
        <v>14</v>
      </c>
      <c r="H1081" s="39">
        <v>35551</v>
      </c>
      <c r="I1081" s="40">
        <v>36.086185999999998</v>
      </c>
      <c r="J1081" s="39">
        <v>38900</v>
      </c>
      <c r="K1081" s="40">
        <v>61.465295599999997</v>
      </c>
    </row>
    <row r="1082" spans="1:11" ht="15" customHeight="1">
      <c r="A1082" s="7"/>
      <c r="B1082" s="41">
        <v>1075</v>
      </c>
      <c r="C1082" s="42" t="s">
        <v>19</v>
      </c>
      <c r="D1082" s="47" t="s">
        <v>332</v>
      </c>
      <c r="E1082" s="47" t="s">
        <v>345</v>
      </c>
      <c r="F1082" s="47" t="s">
        <v>346</v>
      </c>
      <c r="G1082" s="48" t="s">
        <v>346</v>
      </c>
      <c r="H1082" s="43">
        <v>12490</v>
      </c>
      <c r="I1082" s="44">
        <v>57.245796599999998</v>
      </c>
      <c r="J1082" s="43">
        <v>12934</v>
      </c>
      <c r="K1082" s="44">
        <v>80.269058299999998</v>
      </c>
    </row>
    <row r="1083" spans="1:11" ht="15" hidden="1" customHeight="1">
      <c r="A1083" s="7"/>
      <c r="B1083" s="36">
        <v>1076</v>
      </c>
      <c r="C1083" s="37" t="s">
        <v>19</v>
      </c>
      <c r="D1083" s="37" t="s">
        <v>332</v>
      </c>
      <c r="E1083" s="37" t="s">
        <v>345</v>
      </c>
      <c r="F1083" s="37" t="s">
        <v>346</v>
      </c>
      <c r="G1083" s="38" t="s">
        <v>13</v>
      </c>
      <c r="H1083" s="39">
        <v>4123</v>
      </c>
      <c r="I1083" s="40">
        <v>87.1210284</v>
      </c>
      <c r="J1083" s="39">
        <v>5185</v>
      </c>
      <c r="K1083" s="40">
        <v>94.310511099999999</v>
      </c>
    </row>
    <row r="1084" spans="1:11" ht="15" hidden="1" customHeight="1">
      <c r="A1084" s="7"/>
      <c r="B1084" s="36">
        <v>1077</v>
      </c>
      <c r="C1084" s="37" t="s">
        <v>19</v>
      </c>
      <c r="D1084" s="37" t="s">
        <v>332</v>
      </c>
      <c r="E1084" s="37" t="s">
        <v>345</v>
      </c>
      <c r="F1084" s="37" t="s">
        <v>346</v>
      </c>
      <c r="G1084" s="38" t="s">
        <v>14</v>
      </c>
      <c r="H1084" s="39">
        <v>8367</v>
      </c>
      <c r="I1084" s="40">
        <v>42.524202199999998</v>
      </c>
      <c r="J1084" s="39">
        <v>7749</v>
      </c>
      <c r="K1084" s="40">
        <v>70.873661100000007</v>
      </c>
    </row>
    <row r="1085" spans="1:11" ht="15" customHeight="1">
      <c r="A1085" s="7"/>
      <c r="B1085" s="41">
        <v>1078</v>
      </c>
      <c r="C1085" s="42" t="s">
        <v>19</v>
      </c>
      <c r="D1085" s="47" t="s">
        <v>332</v>
      </c>
      <c r="E1085" s="47" t="s">
        <v>345</v>
      </c>
      <c r="F1085" s="47" t="s">
        <v>347</v>
      </c>
      <c r="G1085" s="48" t="s">
        <v>347</v>
      </c>
      <c r="H1085" s="43">
        <v>19588</v>
      </c>
      <c r="I1085" s="44">
        <v>72.243210099999999</v>
      </c>
      <c r="J1085" s="43">
        <v>18595</v>
      </c>
      <c r="K1085" s="44">
        <v>89.481043299999996</v>
      </c>
    </row>
    <row r="1086" spans="1:11" ht="15" hidden="1" customHeight="1">
      <c r="A1086" s="7"/>
      <c r="B1086" s="36">
        <v>1079</v>
      </c>
      <c r="C1086" s="37" t="s">
        <v>19</v>
      </c>
      <c r="D1086" s="37" t="s">
        <v>332</v>
      </c>
      <c r="E1086" s="37" t="s">
        <v>345</v>
      </c>
      <c r="F1086" s="37" t="s">
        <v>347</v>
      </c>
      <c r="G1086" s="38" t="s">
        <v>13</v>
      </c>
      <c r="H1086" s="39">
        <v>12735</v>
      </c>
      <c r="I1086" s="40">
        <v>85.826462500000005</v>
      </c>
      <c r="J1086" s="39">
        <v>12484</v>
      </c>
      <c r="K1086" s="40">
        <v>96.972124300000004</v>
      </c>
    </row>
    <row r="1087" spans="1:11" ht="15" hidden="1" customHeight="1">
      <c r="A1087" s="7"/>
      <c r="B1087" s="36">
        <v>1080</v>
      </c>
      <c r="C1087" s="37" t="s">
        <v>19</v>
      </c>
      <c r="D1087" s="37" t="s">
        <v>332</v>
      </c>
      <c r="E1087" s="37" t="s">
        <v>345</v>
      </c>
      <c r="F1087" s="37" t="s">
        <v>347</v>
      </c>
      <c r="G1087" s="38" t="s">
        <v>14</v>
      </c>
      <c r="H1087" s="39">
        <v>6853</v>
      </c>
      <c r="I1087" s="40">
        <v>47.0013133</v>
      </c>
      <c r="J1087" s="39">
        <v>6111</v>
      </c>
      <c r="K1087" s="40">
        <v>74.177712299999996</v>
      </c>
    </row>
    <row r="1088" spans="1:11" ht="15" customHeight="1">
      <c r="A1088" s="7"/>
      <c r="B1088" s="41">
        <v>1081</v>
      </c>
      <c r="C1088" s="42" t="s">
        <v>19</v>
      </c>
      <c r="D1088" s="47" t="s">
        <v>332</v>
      </c>
      <c r="E1088" s="47" t="s">
        <v>345</v>
      </c>
      <c r="F1088" s="47" t="s">
        <v>348</v>
      </c>
      <c r="G1088" s="48" t="s">
        <v>348</v>
      </c>
      <c r="H1088" s="43">
        <v>48929</v>
      </c>
      <c r="I1088" s="44">
        <v>66.911238699999998</v>
      </c>
      <c r="J1088" s="43">
        <v>56178</v>
      </c>
      <c r="K1088" s="44">
        <v>81.257787699999994</v>
      </c>
    </row>
    <row r="1089" spans="1:11" ht="15" hidden="1" customHeight="1">
      <c r="A1089" s="7"/>
      <c r="B1089" s="36">
        <v>1082</v>
      </c>
      <c r="C1089" s="37" t="s">
        <v>19</v>
      </c>
      <c r="D1089" s="37" t="s">
        <v>332</v>
      </c>
      <c r="E1089" s="37" t="s">
        <v>345</v>
      </c>
      <c r="F1089" s="37" t="s">
        <v>348</v>
      </c>
      <c r="G1089" s="38" t="s">
        <v>13</v>
      </c>
      <c r="H1089" s="39">
        <v>31953</v>
      </c>
      <c r="I1089" s="40">
        <v>88.335993500000001</v>
      </c>
      <c r="J1089" s="39">
        <v>35198</v>
      </c>
      <c r="K1089" s="40">
        <v>98.769816500000005</v>
      </c>
    </row>
    <row r="1090" spans="1:11" ht="15" hidden="1" customHeight="1">
      <c r="A1090" s="7"/>
      <c r="B1090" s="36">
        <v>1083</v>
      </c>
      <c r="C1090" s="37" t="s">
        <v>19</v>
      </c>
      <c r="D1090" s="37" t="s">
        <v>332</v>
      </c>
      <c r="E1090" s="37" t="s">
        <v>345</v>
      </c>
      <c r="F1090" s="37" t="s">
        <v>348</v>
      </c>
      <c r="G1090" s="38" t="s">
        <v>14</v>
      </c>
      <c r="H1090" s="39">
        <v>16976</v>
      </c>
      <c r="I1090" s="40">
        <v>26.584589999999999</v>
      </c>
      <c r="J1090" s="39">
        <v>20980</v>
      </c>
      <c r="K1090" s="40">
        <v>51.877979000000003</v>
      </c>
    </row>
    <row r="1091" spans="1:11" ht="15" customHeight="1">
      <c r="A1091" s="7"/>
      <c r="B1091" s="41">
        <v>1084</v>
      </c>
      <c r="C1091" s="42" t="s">
        <v>19</v>
      </c>
      <c r="D1091" s="47" t="s">
        <v>332</v>
      </c>
      <c r="E1091" s="47" t="s">
        <v>345</v>
      </c>
      <c r="F1091" s="47" t="s">
        <v>349</v>
      </c>
      <c r="G1091" s="48" t="s">
        <v>349</v>
      </c>
      <c r="H1091" s="43">
        <v>8091</v>
      </c>
      <c r="I1091" s="44">
        <v>76.133976000000004</v>
      </c>
      <c r="J1091" s="43">
        <v>10087</v>
      </c>
      <c r="K1091" s="44">
        <v>88.787548299999997</v>
      </c>
    </row>
    <row r="1092" spans="1:11" ht="15" hidden="1" customHeight="1">
      <c r="A1092" s="7"/>
      <c r="B1092" s="36">
        <v>1085</v>
      </c>
      <c r="C1092" s="37" t="s">
        <v>19</v>
      </c>
      <c r="D1092" s="37" t="s">
        <v>332</v>
      </c>
      <c r="E1092" s="37" t="s">
        <v>345</v>
      </c>
      <c r="F1092" s="37" t="s">
        <v>349</v>
      </c>
      <c r="G1092" s="38" t="s">
        <v>13</v>
      </c>
      <c r="H1092" s="39">
        <v>4736</v>
      </c>
      <c r="I1092" s="40">
        <v>97.614020300000007</v>
      </c>
      <c r="J1092" s="39">
        <v>6027</v>
      </c>
      <c r="K1092" s="40">
        <v>98.805375799999993</v>
      </c>
    </row>
    <row r="1093" spans="1:11" ht="15" hidden="1" customHeight="1">
      <c r="A1093" s="7"/>
      <c r="B1093" s="36">
        <v>1086</v>
      </c>
      <c r="C1093" s="37" t="s">
        <v>19</v>
      </c>
      <c r="D1093" s="37" t="s">
        <v>332</v>
      </c>
      <c r="E1093" s="37" t="s">
        <v>345</v>
      </c>
      <c r="F1093" s="37" t="s">
        <v>349</v>
      </c>
      <c r="G1093" s="38" t="s">
        <v>14</v>
      </c>
      <c r="H1093" s="39">
        <v>3355</v>
      </c>
      <c r="I1093" s="40">
        <v>45.812220600000003</v>
      </c>
      <c r="J1093" s="39">
        <v>4060</v>
      </c>
      <c r="K1093" s="40">
        <v>73.916256200000007</v>
      </c>
    </row>
    <row r="1094" spans="1:11" ht="15" hidden="1" customHeight="1">
      <c r="A1094" s="7"/>
      <c r="B1094" s="32">
        <v>1087</v>
      </c>
      <c r="C1094" s="33" t="s">
        <v>17</v>
      </c>
      <c r="D1094" s="46" t="s">
        <v>332</v>
      </c>
      <c r="E1094" s="46" t="s">
        <v>350</v>
      </c>
      <c r="F1094" s="46"/>
      <c r="G1094" s="33" t="s">
        <v>350</v>
      </c>
      <c r="H1094" s="34">
        <v>72524</v>
      </c>
      <c r="I1094" s="35">
        <v>79.900446700000003</v>
      </c>
      <c r="J1094" s="34">
        <v>110136</v>
      </c>
      <c r="K1094" s="35">
        <v>84.264000899999999</v>
      </c>
    </row>
    <row r="1095" spans="1:11" ht="15" hidden="1" customHeight="1">
      <c r="A1095" s="7"/>
      <c r="B1095" s="36">
        <v>1088</v>
      </c>
      <c r="C1095" s="37" t="s">
        <v>17</v>
      </c>
      <c r="D1095" s="37" t="s">
        <v>332</v>
      </c>
      <c r="E1095" s="37" t="s">
        <v>350</v>
      </c>
      <c r="F1095" s="37"/>
      <c r="G1095" s="38" t="s">
        <v>13</v>
      </c>
      <c r="H1095" s="39">
        <v>31038</v>
      </c>
      <c r="I1095" s="40">
        <v>85.456537100000006</v>
      </c>
      <c r="J1095" s="39">
        <v>40213</v>
      </c>
      <c r="K1095" s="40">
        <v>95.280133300000003</v>
      </c>
    </row>
    <row r="1096" spans="1:11" ht="15" hidden="1" customHeight="1">
      <c r="A1096" s="7"/>
      <c r="B1096" s="36">
        <v>1089</v>
      </c>
      <c r="C1096" s="37" t="s">
        <v>17</v>
      </c>
      <c r="D1096" s="37" t="s">
        <v>332</v>
      </c>
      <c r="E1096" s="37" t="s">
        <v>350</v>
      </c>
      <c r="F1096" s="37"/>
      <c r="G1096" s="38" t="s">
        <v>14</v>
      </c>
      <c r="H1096" s="39">
        <v>41486</v>
      </c>
      <c r="I1096" s="40">
        <v>75.743624400000002</v>
      </c>
      <c r="J1096" s="39">
        <v>69923</v>
      </c>
      <c r="K1096" s="40">
        <v>77.928578599999994</v>
      </c>
    </row>
    <row r="1097" spans="1:11" ht="15" customHeight="1">
      <c r="A1097" s="7"/>
      <c r="B1097" s="41">
        <v>1090</v>
      </c>
      <c r="C1097" s="42" t="s">
        <v>19</v>
      </c>
      <c r="D1097" s="47" t="s">
        <v>332</v>
      </c>
      <c r="E1097" s="47" t="s">
        <v>350</v>
      </c>
      <c r="F1097" s="47" t="s">
        <v>351</v>
      </c>
      <c r="G1097" s="48" t="s">
        <v>351</v>
      </c>
      <c r="H1097" s="43">
        <v>21743</v>
      </c>
      <c r="I1097" s="44">
        <v>78.038909099999998</v>
      </c>
      <c r="J1097" s="43">
        <v>40128</v>
      </c>
      <c r="K1097" s="44">
        <v>77.649023099999994</v>
      </c>
    </row>
    <row r="1098" spans="1:11" ht="15" hidden="1" customHeight="1">
      <c r="A1098" s="7"/>
      <c r="B1098" s="36">
        <v>1091</v>
      </c>
      <c r="C1098" s="37" t="s">
        <v>19</v>
      </c>
      <c r="D1098" s="37" t="s">
        <v>332</v>
      </c>
      <c r="E1098" s="37" t="s">
        <v>350</v>
      </c>
      <c r="F1098" s="37" t="s">
        <v>351</v>
      </c>
      <c r="G1098" s="38" t="s">
        <v>13</v>
      </c>
      <c r="H1098" s="39">
        <v>11794</v>
      </c>
      <c r="I1098" s="40">
        <v>87.951500800000005</v>
      </c>
      <c r="J1098" s="39">
        <v>12601</v>
      </c>
      <c r="K1098" s="40">
        <v>95.381318899999997</v>
      </c>
    </row>
    <row r="1099" spans="1:11" ht="15" hidden="1" customHeight="1">
      <c r="A1099" s="7"/>
      <c r="B1099" s="36">
        <v>1092</v>
      </c>
      <c r="C1099" s="37" t="s">
        <v>19</v>
      </c>
      <c r="D1099" s="37" t="s">
        <v>332</v>
      </c>
      <c r="E1099" s="37" t="s">
        <v>350</v>
      </c>
      <c r="F1099" s="37" t="s">
        <v>351</v>
      </c>
      <c r="G1099" s="38" t="s">
        <v>14</v>
      </c>
      <c r="H1099" s="39">
        <v>9949</v>
      </c>
      <c r="I1099" s="40">
        <v>66.288069199999995</v>
      </c>
      <c r="J1099" s="39">
        <v>27527</v>
      </c>
      <c r="K1099" s="40">
        <v>69.531732500000004</v>
      </c>
    </row>
    <row r="1100" spans="1:11" ht="15" customHeight="1">
      <c r="A1100" s="7"/>
      <c r="B1100" s="41">
        <v>1093</v>
      </c>
      <c r="C1100" s="42" t="s">
        <v>19</v>
      </c>
      <c r="D1100" s="47" t="s">
        <v>332</v>
      </c>
      <c r="E1100" s="47" t="s">
        <v>350</v>
      </c>
      <c r="F1100" s="47" t="s">
        <v>352</v>
      </c>
      <c r="G1100" s="48" t="s">
        <v>352</v>
      </c>
      <c r="H1100" s="43">
        <v>36157</v>
      </c>
      <c r="I1100" s="44">
        <v>89.271786899999995</v>
      </c>
      <c r="J1100" s="43">
        <v>52469</v>
      </c>
      <c r="K1100" s="44">
        <v>90.506775399999995</v>
      </c>
    </row>
    <row r="1101" spans="1:11" ht="15" hidden="1" customHeight="1">
      <c r="A1101" s="7"/>
      <c r="B1101" s="36">
        <v>1094</v>
      </c>
      <c r="C1101" s="37" t="s">
        <v>19</v>
      </c>
      <c r="D1101" s="37" t="s">
        <v>332</v>
      </c>
      <c r="E1101" s="37" t="s">
        <v>350</v>
      </c>
      <c r="F1101" s="37" t="s">
        <v>352</v>
      </c>
      <c r="G1101" s="38" t="s">
        <v>13</v>
      </c>
      <c r="H1101" s="39">
        <v>9391</v>
      </c>
      <c r="I1101" s="40">
        <v>95.33596</v>
      </c>
      <c r="J1101" s="39">
        <v>16476</v>
      </c>
      <c r="K1101" s="40">
        <v>97.408351499999995</v>
      </c>
    </row>
    <row r="1102" spans="1:11" ht="15" hidden="1" customHeight="1">
      <c r="A1102" s="7"/>
      <c r="B1102" s="36">
        <v>1095</v>
      </c>
      <c r="C1102" s="37" t="s">
        <v>19</v>
      </c>
      <c r="D1102" s="37" t="s">
        <v>332</v>
      </c>
      <c r="E1102" s="37" t="s">
        <v>350</v>
      </c>
      <c r="F1102" s="37" t="s">
        <v>352</v>
      </c>
      <c r="G1102" s="38" t="s">
        <v>14</v>
      </c>
      <c r="H1102" s="39">
        <v>26766</v>
      </c>
      <c r="I1102" s="40">
        <v>87.144138100000006</v>
      </c>
      <c r="J1102" s="39">
        <v>35993</v>
      </c>
      <c r="K1102" s="40">
        <v>87.347539800000007</v>
      </c>
    </row>
    <row r="1103" spans="1:11" ht="15" customHeight="1">
      <c r="A1103" s="7"/>
      <c r="B1103" s="41">
        <v>1096</v>
      </c>
      <c r="C1103" s="42" t="s">
        <v>19</v>
      </c>
      <c r="D1103" s="47" t="s">
        <v>332</v>
      </c>
      <c r="E1103" s="47" t="s">
        <v>350</v>
      </c>
      <c r="F1103" s="47" t="s">
        <v>353</v>
      </c>
      <c r="G1103" s="48" t="s">
        <v>353</v>
      </c>
      <c r="H1103" s="43">
        <v>14624</v>
      </c>
      <c r="I1103" s="44">
        <v>59.4980853</v>
      </c>
      <c r="J1103" s="43">
        <v>17539</v>
      </c>
      <c r="K1103" s="44">
        <v>80.722960299999997</v>
      </c>
    </row>
    <row r="1104" spans="1:11" ht="15" hidden="1" customHeight="1">
      <c r="A1104" s="7"/>
      <c r="B1104" s="36">
        <v>1097</v>
      </c>
      <c r="C1104" s="37" t="s">
        <v>19</v>
      </c>
      <c r="D1104" s="37" t="s">
        <v>332</v>
      </c>
      <c r="E1104" s="37" t="s">
        <v>350</v>
      </c>
      <c r="F1104" s="37" t="s">
        <v>353</v>
      </c>
      <c r="G1104" s="38" t="s">
        <v>13</v>
      </c>
      <c r="H1104" s="39">
        <v>9853</v>
      </c>
      <c r="I1104" s="40">
        <v>73.053892200000007</v>
      </c>
      <c r="J1104" s="39">
        <v>11136</v>
      </c>
      <c r="K1104" s="40">
        <v>92.016882199999998</v>
      </c>
    </row>
    <row r="1105" spans="1:11" ht="15" hidden="1" customHeight="1">
      <c r="A1105" s="7"/>
      <c r="B1105" s="36">
        <v>1098</v>
      </c>
      <c r="C1105" s="37" t="s">
        <v>19</v>
      </c>
      <c r="D1105" s="37" t="s">
        <v>332</v>
      </c>
      <c r="E1105" s="37" t="s">
        <v>350</v>
      </c>
      <c r="F1105" s="37" t="s">
        <v>353</v>
      </c>
      <c r="G1105" s="38" t="s">
        <v>14</v>
      </c>
      <c r="H1105" s="39">
        <v>4771</v>
      </c>
      <c r="I1105" s="40">
        <v>31.502829599999998</v>
      </c>
      <c r="J1105" s="39">
        <v>6403</v>
      </c>
      <c r="K1105" s="40">
        <v>61.080743400000003</v>
      </c>
    </row>
    <row r="1106" spans="1:11" ht="15" hidden="1" customHeight="1">
      <c r="A1106" s="7"/>
      <c r="B1106" s="32">
        <v>1099</v>
      </c>
      <c r="C1106" s="33" t="s">
        <v>17</v>
      </c>
      <c r="D1106" s="46" t="s">
        <v>332</v>
      </c>
      <c r="E1106" s="46" t="s">
        <v>354</v>
      </c>
      <c r="F1106" s="46"/>
      <c r="G1106" s="33" t="s">
        <v>354</v>
      </c>
      <c r="H1106" s="34">
        <v>42211</v>
      </c>
      <c r="I1106" s="35">
        <v>63.881452699999997</v>
      </c>
      <c r="J1106" s="34">
        <v>43843</v>
      </c>
      <c r="K1106" s="35">
        <v>86.203042699999997</v>
      </c>
    </row>
    <row r="1107" spans="1:11" ht="15" hidden="1" customHeight="1">
      <c r="A1107" s="7"/>
      <c r="B1107" s="36">
        <v>1100</v>
      </c>
      <c r="C1107" s="37" t="s">
        <v>17</v>
      </c>
      <c r="D1107" s="37" t="s">
        <v>332</v>
      </c>
      <c r="E1107" s="37" t="s">
        <v>354</v>
      </c>
      <c r="F1107" s="37"/>
      <c r="G1107" s="38" t="s">
        <v>13</v>
      </c>
      <c r="H1107" s="39">
        <v>23401</v>
      </c>
      <c r="I1107" s="40">
        <v>85.376693299999999</v>
      </c>
      <c r="J1107" s="39">
        <v>25794</v>
      </c>
      <c r="K1107" s="40">
        <v>96.611615099999995</v>
      </c>
    </row>
    <row r="1108" spans="1:11" ht="15" hidden="1" customHeight="1">
      <c r="A1108" s="7"/>
      <c r="B1108" s="36">
        <v>1101</v>
      </c>
      <c r="C1108" s="37" t="s">
        <v>17</v>
      </c>
      <c r="D1108" s="37" t="s">
        <v>332</v>
      </c>
      <c r="E1108" s="37" t="s">
        <v>354</v>
      </c>
      <c r="F1108" s="37"/>
      <c r="G1108" s="38" t="s">
        <v>14</v>
      </c>
      <c r="H1108" s="39">
        <v>18810</v>
      </c>
      <c r="I1108" s="40">
        <v>37.139819199999998</v>
      </c>
      <c r="J1108" s="39">
        <v>18049</v>
      </c>
      <c r="K1108" s="40">
        <v>71.328051400000007</v>
      </c>
    </row>
    <row r="1109" spans="1:11" ht="15" customHeight="1">
      <c r="A1109" s="7"/>
      <c r="B1109" s="41">
        <v>1102</v>
      </c>
      <c r="C1109" s="42" t="s">
        <v>19</v>
      </c>
      <c r="D1109" s="47" t="s">
        <v>332</v>
      </c>
      <c r="E1109" s="47" t="s">
        <v>354</v>
      </c>
      <c r="F1109" s="47" t="s">
        <v>355</v>
      </c>
      <c r="G1109" s="48" t="s">
        <v>355</v>
      </c>
      <c r="H1109" s="43">
        <v>17370</v>
      </c>
      <c r="I1109" s="44">
        <v>82.705814599999997</v>
      </c>
      <c r="J1109" s="43">
        <v>20351</v>
      </c>
      <c r="K1109" s="44">
        <v>93.941329699999997</v>
      </c>
    </row>
    <row r="1110" spans="1:11" ht="15" hidden="1" customHeight="1">
      <c r="A1110" s="7"/>
      <c r="B1110" s="36">
        <v>1103</v>
      </c>
      <c r="C1110" s="37" t="s">
        <v>19</v>
      </c>
      <c r="D1110" s="37" t="s">
        <v>332</v>
      </c>
      <c r="E1110" s="37" t="s">
        <v>354</v>
      </c>
      <c r="F1110" s="37" t="s">
        <v>355</v>
      </c>
      <c r="G1110" s="38" t="s">
        <v>13</v>
      </c>
      <c r="H1110" s="39">
        <v>13704</v>
      </c>
      <c r="I1110" s="40">
        <v>92.527729100000002</v>
      </c>
      <c r="J1110" s="39">
        <v>16230</v>
      </c>
      <c r="K1110" s="40">
        <v>98.521256899999997</v>
      </c>
    </row>
    <row r="1111" spans="1:11" ht="15" hidden="1" customHeight="1">
      <c r="A1111" s="7"/>
      <c r="B1111" s="36">
        <v>1104</v>
      </c>
      <c r="C1111" s="37" t="s">
        <v>19</v>
      </c>
      <c r="D1111" s="37" t="s">
        <v>332</v>
      </c>
      <c r="E1111" s="37" t="s">
        <v>354</v>
      </c>
      <c r="F1111" s="37" t="s">
        <v>355</v>
      </c>
      <c r="G1111" s="38" t="s">
        <v>14</v>
      </c>
      <c r="H1111" s="39">
        <v>3666</v>
      </c>
      <c r="I1111" s="40">
        <v>45.990180000000002</v>
      </c>
      <c r="J1111" s="39">
        <v>4121</v>
      </c>
      <c r="K1111" s="40">
        <v>75.903906800000001</v>
      </c>
    </row>
    <row r="1112" spans="1:11" ht="15" customHeight="1">
      <c r="A1112" s="7"/>
      <c r="B1112" s="41">
        <v>1105</v>
      </c>
      <c r="C1112" s="42" t="s">
        <v>19</v>
      </c>
      <c r="D1112" s="47" t="s">
        <v>332</v>
      </c>
      <c r="E1112" s="47" t="s">
        <v>354</v>
      </c>
      <c r="F1112" s="47" t="s">
        <v>356</v>
      </c>
      <c r="G1112" s="48" t="s">
        <v>356</v>
      </c>
      <c r="H1112" s="43">
        <v>18886</v>
      </c>
      <c r="I1112" s="44">
        <v>40.050831299999999</v>
      </c>
      <c r="J1112" s="43">
        <v>17569</v>
      </c>
      <c r="K1112" s="44">
        <v>74.9672719</v>
      </c>
    </row>
    <row r="1113" spans="1:11" ht="15" hidden="1" customHeight="1">
      <c r="A1113" s="7"/>
      <c r="B1113" s="36">
        <v>1106</v>
      </c>
      <c r="C1113" s="37" t="s">
        <v>19</v>
      </c>
      <c r="D1113" s="37" t="s">
        <v>332</v>
      </c>
      <c r="E1113" s="37" t="s">
        <v>354</v>
      </c>
      <c r="F1113" s="37" t="s">
        <v>356</v>
      </c>
      <c r="G1113" s="38" t="s">
        <v>13</v>
      </c>
      <c r="H1113" s="39">
        <v>5192</v>
      </c>
      <c r="I1113" s="40">
        <v>56.9530046</v>
      </c>
      <c r="J1113" s="39">
        <v>4627</v>
      </c>
      <c r="K1113" s="40">
        <v>89.0641885</v>
      </c>
    </row>
    <row r="1114" spans="1:11" ht="15" hidden="1" customHeight="1">
      <c r="A1114" s="7"/>
      <c r="B1114" s="36">
        <v>1107</v>
      </c>
      <c r="C1114" s="37" t="s">
        <v>19</v>
      </c>
      <c r="D1114" s="37" t="s">
        <v>332</v>
      </c>
      <c r="E1114" s="37" t="s">
        <v>354</v>
      </c>
      <c r="F1114" s="37" t="s">
        <v>356</v>
      </c>
      <c r="G1114" s="38" t="s">
        <v>14</v>
      </c>
      <c r="H1114" s="39">
        <v>13694</v>
      </c>
      <c r="I1114" s="40">
        <v>33.642471200000003</v>
      </c>
      <c r="J1114" s="39">
        <v>12942</v>
      </c>
      <c r="K1114" s="40">
        <v>69.927368299999998</v>
      </c>
    </row>
    <row r="1115" spans="1:11" ht="15" customHeight="1">
      <c r="A1115" s="7"/>
      <c r="B1115" s="41">
        <v>1108</v>
      </c>
      <c r="C1115" s="42" t="s">
        <v>19</v>
      </c>
      <c r="D1115" s="47" t="s">
        <v>332</v>
      </c>
      <c r="E1115" s="47" t="s">
        <v>354</v>
      </c>
      <c r="F1115" s="47" t="s">
        <v>357</v>
      </c>
      <c r="G1115" s="48" t="s">
        <v>357</v>
      </c>
      <c r="H1115" s="43">
        <v>5955</v>
      </c>
      <c r="I1115" s="44">
        <v>84.550797599999996</v>
      </c>
      <c r="J1115" s="43">
        <v>5923</v>
      </c>
      <c r="K1115" s="44">
        <v>92.942765499999993</v>
      </c>
    </row>
    <row r="1116" spans="1:11" ht="15" hidden="1" customHeight="1">
      <c r="A1116" s="7"/>
      <c r="B1116" s="36">
        <v>1109</v>
      </c>
      <c r="C1116" s="37" t="s">
        <v>19</v>
      </c>
      <c r="D1116" s="37" t="s">
        <v>332</v>
      </c>
      <c r="E1116" s="37" t="s">
        <v>354</v>
      </c>
      <c r="F1116" s="37" t="s">
        <v>357</v>
      </c>
      <c r="G1116" s="38" t="s">
        <v>13</v>
      </c>
      <c r="H1116" s="39">
        <v>4505</v>
      </c>
      <c r="I1116" s="40">
        <v>96.381798000000003</v>
      </c>
      <c r="J1116" s="39">
        <v>4937</v>
      </c>
      <c r="K1116" s="40">
        <v>97.407332400000001</v>
      </c>
    </row>
    <row r="1117" spans="1:11" ht="15" hidden="1" customHeight="1">
      <c r="A1117" s="7"/>
      <c r="B1117" s="36">
        <v>1110</v>
      </c>
      <c r="C1117" s="37" t="s">
        <v>19</v>
      </c>
      <c r="D1117" s="37" t="s">
        <v>332</v>
      </c>
      <c r="E1117" s="37" t="s">
        <v>354</v>
      </c>
      <c r="F1117" s="37" t="s">
        <v>357</v>
      </c>
      <c r="G1117" s="38" t="s">
        <v>14</v>
      </c>
      <c r="H1117" s="39">
        <v>1450</v>
      </c>
      <c r="I1117" s="40">
        <v>47.7931034</v>
      </c>
      <c r="J1117" s="39">
        <v>986</v>
      </c>
      <c r="K1117" s="40">
        <v>70.588235299999994</v>
      </c>
    </row>
    <row r="1118" spans="1:11" ht="15" hidden="1" customHeight="1">
      <c r="A1118" s="7"/>
      <c r="B1118" s="32">
        <v>1111</v>
      </c>
      <c r="C1118" s="33" t="s">
        <v>17</v>
      </c>
      <c r="D1118" s="46" t="s">
        <v>332</v>
      </c>
      <c r="E1118" s="46" t="s">
        <v>358</v>
      </c>
      <c r="F1118" s="46"/>
      <c r="G1118" s="33" t="s">
        <v>358</v>
      </c>
      <c r="H1118" s="34">
        <v>115014</v>
      </c>
      <c r="I1118" s="35">
        <v>57.299111400000001</v>
      </c>
      <c r="J1118" s="34">
        <v>130661</v>
      </c>
      <c r="K1118" s="35">
        <v>66.294456600000004</v>
      </c>
    </row>
    <row r="1119" spans="1:11" ht="15" hidden="1" customHeight="1">
      <c r="A1119" s="7"/>
      <c r="B1119" s="36">
        <v>1112</v>
      </c>
      <c r="C1119" s="37" t="s">
        <v>17</v>
      </c>
      <c r="D1119" s="37" t="s">
        <v>332</v>
      </c>
      <c r="E1119" s="37" t="s">
        <v>358</v>
      </c>
      <c r="F1119" s="37"/>
      <c r="G1119" s="38" t="s">
        <v>13</v>
      </c>
      <c r="H1119" s="39">
        <v>40771</v>
      </c>
      <c r="I1119" s="40">
        <v>90.767947800000002</v>
      </c>
      <c r="J1119" s="39">
        <v>45256</v>
      </c>
      <c r="K1119" s="40">
        <v>95.540922800000004</v>
      </c>
    </row>
    <row r="1120" spans="1:11" ht="15" hidden="1" customHeight="1">
      <c r="A1120" s="7"/>
      <c r="B1120" s="36">
        <v>1113</v>
      </c>
      <c r="C1120" s="37" t="s">
        <v>17</v>
      </c>
      <c r="D1120" s="37" t="s">
        <v>332</v>
      </c>
      <c r="E1120" s="37" t="s">
        <v>358</v>
      </c>
      <c r="F1120" s="37"/>
      <c r="G1120" s="38" t="s">
        <v>14</v>
      </c>
      <c r="H1120" s="39">
        <v>74243</v>
      </c>
      <c r="I1120" s="40">
        <v>38.919494100000001</v>
      </c>
      <c r="J1120" s="39">
        <v>85405</v>
      </c>
      <c r="K1120" s="40">
        <v>50.796791800000001</v>
      </c>
    </row>
    <row r="1121" spans="1:11" ht="15" customHeight="1">
      <c r="A1121" s="7"/>
      <c r="B1121" s="41">
        <v>1114</v>
      </c>
      <c r="C1121" s="42" t="s">
        <v>19</v>
      </c>
      <c r="D1121" s="47" t="s">
        <v>332</v>
      </c>
      <c r="E1121" s="47" t="s">
        <v>358</v>
      </c>
      <c r="F1121" s="47" t="s">
        <v>359</v>
      </c>
      <c r="G1121" s="48" t="s">
        <v>359</v>
      </c>
      <c r="H1121" s="43">
        <v>5061</v>
      </c>
      <c r="I1121" s="44">
        <v>23.888559600000001</v>
      </c>
      <c r="J1121" s="43">
        <v>5728</v>
      </c>
      <c r="K1121" s="44">
        <v>41.969273700000002</v>
      </c>
    </row>
    <row r="1122" spans="1:11" ht="15" hidden="1" customHeight="1">
      <c r="A1122" s="7"/>
      <c r="B1122" s="36">
        <v>1115</v>
      </c>
      <c r="C1122" s="37" t="s">
        <v>19</v>
      </c>
      <c r="D1122" s="37" t="s">
        <v>332</v>
      </c>
      <c r="E1122" s="37" t="s">
        <v>358</v>
      </c>
      <c r="F1122" s="37" t="s">
        <v>359</v>
      </c>
      <c r="G1122" s="38" t="s">
        <v>13</v>
      </c>
      <c r="H1122" s="39"/>
      <c r="I1122" s="40"/>
      <c r="J1122" s="39"/>
      <c r="K1122" s="40"/>
    </row>
    <row r="1123" spans="1:11" ht="15" hidden="1" customHeight="1">
      <c r="A1123" s="7"/>
      <c r="B1123" s="36">
        <v>1116</v>
      </c>
      <c r="C1123" s="37" t="s">
        <v>19</v>
      </c>
      <c r="D1123" s="37" t="s">
        <v>332</v>
      </c>
      <c r="E1123" s="37" t="s">
        <v>358</v>
      </c>
      <c r="F1123" s="37" t="s">
        <v>359</v>
      </c>
      <c r="G1123" s="38" t="s">
        <v>14</v>
      </c>
      <c r="H1123" s="39">
        <v>5061</v>
      </c>
      <c r="I1123" s="40">
        <v>23.888559600000001</v>
      </c>
      <c r="J1123" s="39">
        <v>5728</v>
      </c>
      <c r="K1123" s="40">
        <v>41.969273700000002</v>
      </c>
    </row>
    <row r="1124" spans="1:11" ht="15" customHeight="1">
      <c r="A1124" s="7"/>
      <c r="B1124" s="41">
        <v>1117</v>
      </c>
      <c r="C1124" s="42" t="s">
        <v>19</v>
      </c>
      <c r="D1124" s="47" t="s">
        <v>332</v>
      </c>
      <c r="E1124" s="47" t="s">
        <v>358</v>
      </c>
      <c r="F1124" s="47" t="s">
        <v>360</v>
      </c>
      <c r="G1124" s="48" t="s">
        <v>360</v>
      </c>
      <c r="H1124" s="43">
        <v>30923</v>
      </c>
      <c r="I1124" s="44">
        <v>42.799857699999997</v>
      </c>
      <c r="J1124" s="43">
        <v>37705</v>
      </c>
      <c r="K1124" s="44">
        <v>50.523803200000003</v>
      </c>
    </row>
    <row r="1125" spans="1:11" ht="15" hidden="1" customHeight="1">
      <c r="A1125" s="7"/>
      <c r="B1125" s="36">
        <v>1118</v>
      </c>
      <c r="C1125" s="37" t="s">
        <v>19</v>
      </c>
      <c r="D1125" s="37" t="s">
        <v>332</v>
      </c>
      <c r="E1125" s="37" t="s">
        <v>358</v>
      </c>
      <c r="F1125" s="37" t="s">
        <v>360</v>
      </c>
      <c r="G1125" s="38" t="s">
        <v>13</v>
      </c>
      <c r="H1125" s="39">
        <v>3146</v>
      </c>
      <c r="I1125" s="40">
        <v>85.632549299999994</v>
      </c>
      <c r="J1125" s="39">
        <v>5304</v>
      </c>
      <c r="K1125" s="40">
        <v>90.403469099999995</v>
      </c>
    </row>
    <row r="1126" spans="1:11" ht="15" hidden="1" customHeight="1">
      <c r="A1126" s="7"/>
      <c r="B1126" s="36">
        <v>1119</v>
      </c>
      <c r="C1126" s="37" t="s">
        <v>19</v>
      </c>
      <c r="D1126" s="37" t="s">
        <v>332</v>
      </c>
      <c r="E1126" s="37" t="s">
        <v>358</v>
      </c>
      <c r="F1126" s="37" t="s">
        <v>360</v>
      </c>
      <c r="G1126" s="38" t="s">
        <v>14</v>
      </c>
      <c r="H1126" s="39">
        <v>27777</v>
      </c>
      <c r="I1126" s="40">
        <v>37.948662599999999</v>
      </c>
      <c r="J1126" s="39">
        <v>32401</v>
      </c>
      <c r="K1126" s="40">
        <v>43.995555699999997</v>
      </c>
    </row>
    <row r="1127" spans="1:11" ht="15" customHeight="1">
      <c r="A1127" s="7"/>
      <c r="B1127" s="41">
        <v>1120</v>
      </c>
      <c r="C1127" s="42" t="s">
        <v>19</v>
      </c>
      <c r="D1127" s="47" t="s">
        <v>332</v>
      </c>
      <c r="E1127" s="47" t="s">
        <v>358</v>
      </c>
      <c r="F1127" s="47" t="s">
        <v>361</v>
      </c>
      <c r="G1127" s="48" t="s">
        <v>361</v>
      </c>
      <c r="H1127" s="43">
        <v>24923</v>
      </c>
      <c r="I1127" s="44">
        <v>66.320266399999994</v>
      </c>
      <c r="J1127" s="43">
        <v>31529</v>
      </c>
      <c r="K1127" s="44">
        <v>82.451076799999996</v>
      </c>
    </row>
    <row r="1128" spans="1:11" ht="15" hidden="1" customHeight="1">
      <c r="A1128" s="7"/>
      <c r="B1128" s="36">
        <v>1121</v>
      </c>
      <c r="C1128" s="37" t="s">
        <v>19</v>
      </c>
      <c r="D1128" s="37" t="s">
        <v>332</v>
      </c>
      <c r="E1128" s="37" t="s">
        <v>358</v>
      </c>
      <c r="F1128" s="37" t="s">
        <v>361</v>
      </c>
      <c r="G1128" s="38" t="s">
        <v>13</v>
      </c>
      <c r="H1128" s="39">
        <v>4373</v>
      </c>
      <c r="I1128" s="40">
        <v>67.939629499999995</v>
      </c>
      <c r="J1128" s="39">
        <v>8541</v>
      </c>
      <c r="K1128" s="40">
        <v>90.340709500000003</v>
      </c>
    </row>
    <row r="1129" spans="1:11" ht="15" hidden="1" customHeight="1">
      <c r="A1129" s="7"/>
      <c r="B1129" s="36">
        <v>1122</v>
      </c>
      <c r="C1129" s="37" t="s">
        <v>19</v>
      </c>
      <c r="D1129" s="37" t="s">
        <v>332</v>
      </c>
      <c r="E1129" s="37" t="s">
        <v>358</v>
      </c>
      <c r="F1129" s="37" t="s">
        <v>361</v>
      </c>
      <c r="G1129" s="38" t="s">
        <v>14</v>
      </c>
      <c r="H1129" s="39">
        <v>20550</v>
      </c>
      <c r="I1129" s="40">
        <v>65.975669100000005</v>
      </c>
      <c r="J1129" s="39">
        <v>22988</v>
      </c>
      <c r="K1129" s="40">
        <v>79.519749399999995</v>
      </c>
    </row>
    <row r="1130" spans="1:11" ht="15" customHeight="1">
      <c r="A1130" s="7"/>
      <c r="B1130" s="41">
        <v>1123</v>
      </c>
      <c r="C1130" s="42" t="s">
        <v>19</v>
      </c>
      <c r="D1130" s="47" t="s">
        <v>332</v>
      </c>
      <c r="E1130" s="47" t="s">
        <v>358</v>
      </c>
      <c r="F1130" s="47" t="s">
        <v>362</v>
      </c>
      <c r="G1130" s="48" t="s">
        <v>362</v>
      </c>
      <c r="H1130" s="43">
        <v>4763</v>
      </c>
      <c r="I1130" s="44">
        <v>44.236825500000002</v>
      </c>
      <c r="J1130" s="43">
        <v>4986</v>
      </c>
      <c r="K1130" s="44">
        <v>57.440834299999999</v>
      </c>
    </row>
    <row r="1131" spans="1:11" ht="15" hidden="1" customHeight="1">
      <c r="A1131" s="7"/>
      <c r="B1131" s="36">
        <v>1124</v>
      </c>
      <c r="C1131" s="37" t="s">
        <v>19</v>
      </c>
      <c r="D1131" s="37" t="s">
        <v>332</v>
      </c>
      <c r="E1131" s="37" t="s">
        <v>358</v>
      </c>
      <c r="F1131" s="37" t="s">
        <v>362</v>
      </c>
      <c r="G1131" s="38" t="s">
        <v>13</v>
      </c>
      <c r="H1131" s="39">
        <v>2291</v>
      </c>
      <c r="I1131" s="40">
        <v>80.532518600000003</v>
      </c>
      <c r="J1131" s="39">
        <v>2621</v>
      </c>
      <c r="K1131" s="40">
        <v>94.086226600000003</v>
      </c>
    </row>
    <row r="1132" spans="1:11" ht="15" hidden="1" customHeight="1">
      <c r="A1132" s="7"/>
      <c r="B1132" s="36">
        <v>1125</v>
      </c>
      <c r="C1132" s="37" t="s">
        <v>19</v>
      </c>
      <c r="D1132" s="37" t="s">
        <v>332</v>
      </c>
      <c r="E1132" s="37" t="s">
        <v>358</v>
      </c>
      <c r="F1132" s="37" t="s">
        <v>362</v>
      </c>
      <c r="G1132" s="38" t="s">
        <v>14</v>
      </c>
      <c r="H1132" s="39">
        <v>2472</v>
      </c>
      <c r="I1132" s="40">
        <v>10.598705499999999</v>
      </c>
      <c r="J1132" s="39">
        <v>2365</v>
      </c>
      <c r="K1132" s="40">
        <v>16.828752600000001</v>
      </c>
    </row>
    <row r="1133" spans="1:11" ht="15" customHeight="1">
      <c r="A1133" s="7"/>
      <c r="B1133" s="41">
        <v>1126</v>
      </c>
      <c r="C1133" s="42" t="s">
        <v>19</v>
      </c>
      <c r="D1133" s="47" t="s">
        <v>332</v>
      </c>
      <c r="E1133" s="47" t="s">
        <v>358</v>
      </c>
      <c r="F1133" s="47" t="s">
        <v>363</v>
      </c>
      <c r="G1133" s="48" t="s">
        <v>363</v>
      </c>
      <c r="H1133" s="43">
        <v>11852</v>
      </c>
      <c r="I1133" s="44">
        <v>13.8288896</v>
      </c>
      <c r="J1133" s="43">
        <v>14167</v>
      </c>
      <c r="K1133" s="44">
        <v>30.182819200000001</v>
      </c>
    </row>
    <row r="1134" spans="1:11" ht="15" hidden="1" customHeight="1">
      <c r="A1134" s="7"/>
      <c r="B1134" s="36">
        <v>1127</v>
      </c>
      <c r="C1134" s="37" t="s">
        <v>19</v>
      </c>
      <c r="D1134" s="37" t="s">
        <v>332</v>
      </c>
      <c r="E1134" s="37" t="s">
        <v>358</v>
      </c>
      <c r="F1134" s="37" t="s">
        <v>363</v>
      </c>
      <c r="G1134" s="38" t="s">
        <v>13</v>
      </c>
      <c r="H1134" s="39"/>
      <c r="I1134" s="40"/>
      <c r="J1134" s="39"/>
      <c r="K1134" s="40"/>
    </row>
    <row r="1135" spans="1:11" ht="15" hidden="1" customHeight="1">
      <c r="A1135" s="7"/>
      <c r="B1135" s="36">
        <v>1128</v>
      </c>
      <c r="C1135" s="37" t="s">
        <v>19</v>
      </c>
      <c r="D1135" s="37" t="s">
        <v>332</v>
      </c>
      <c r="E1135" s="37" t="s">
        <v>358</v>
      </c>
      <c r="F1135" s="37" t="s">
        <v>363</v>
      </c>
      <c r="G1135" s="38" t="s">
        <v>14</v>
      </c>
      <c r="H1135" s="39">
        <v>11852</v>
      </c>
      <c r="I1135" s="40">
        <v>13.8288896</v>
      </c>
      <c r="J1135" s="39">
        <v>14167</v>
      </c>
      <c r="K1135" s="40">
        <v>30.182819200000001</v>
      </c>
    </row>
    <row r="1136" spans="1:11" ht="15" customHeight="1">
      <c r="A1136" s="7"/>
      <c r="B1136" s="41">
        <v>1129</v>
      </c>
      <c r="C1136" s="42" t="s">
        <v>19</v>
      </c>
      <c r="D1136" s="47" t="s">
        <v>332</v>
      </c>
      <c r="E1136" s="47" t="s">
        <v>358</v>
      </c>
      <c r="F1136" s="47" t="s">
        <v>364</v>
      </c>
      <c r="G1136" s="48" t="s">
        <v>364</v>
      </c>
      <c r="H1136" s="43">
        <v>32607</v>
      </c>
      <c r="I1136" s="44">
        <v>88.309258700000001</v>
      </c>
      <c r="J1136" s="43">
        <v>31301</v>
      </c>
      <c r="K1136" s="44">
        <v>89.061052399999994</v>
      </c>
    </row>
    <row r="1137" spans="1:11" ht="15" hidden="1" customHeight="1">
      <c r="A1137" s="7"/>
      <c r="B1137" s="36">
        <v>1130</v>
      </c>
      <c r="C1137" s="37" t="s">
        <v>19</v>
      </c>
      <c r="D1137" s="37" t="s">
        <v>332</v>
      </c>
      <c r="E1137" s="37" t="s">
        <v>358</v>
      </c>
      <c r="F1137" s="37" t="s">
        <v>364</v>
      </c>
      <c r="G1137" s="38" t="s">
        <v>13</v>
      </c>
      <c r="H1137" s="39">
        <v>27722</v>
      </c>
      <c r="I1137" s="40">
        <v>98.124233500000003</v>
      </c>
      <c r="J1137" s="39">
        <v>25254</v>
      </c>
      <c r="K1137" s="40">
        <v>98.887304999999998</v>
      </c>
    </row>
    <row r="1138" spans="1:11" ht="15" hidden="1" customHeight="1">
      <c r="A1138" s="7"/>
      <c r="B1138" s="36">
        <v>1131</v>
      </c>
      <c r="C1138" s="37" t="s">
        <v>19</v>
      </c>
      <c r="D1138" s="37" t="s">
        <v>332</v>
      </c>
      <c r="E1138" s="37" t="s">
        <v>358</v>
      </c>
      <c r="F1138" s="37" t="s">
        <v>364</v>
      </c>
      <c r="G1138" s="38" t="s">
        <v>14</v>
      </c>
      <c r="H1138" s="39">
        <v>4885</v>
      </c>
      <c r="I1138" s="40">
        <v>32.610030700000003</v>
      </c>
      <c r="J1138" s="39">
        <v>6047</v>
      </c>
      <c r="K1138" s="40">
        <v>48.023813500000003</v>
      </c>
    </row>
    <row r="1139" spans="1:11" ht="15" customHeight="1">
      <c r="A1139" s="7"/>
      <c r="B1139" s="41">
        <v>1132</v>
      </c>
      <c r="C1139" s="42" t="s">
        <v>19</v>
      </c>
      <c r="D1139" s="47" t="s">
        <v>332</v>
      </c>
      <c r="E1139" s="47" t="s">
        <v>358</v>
      </c>
      <c r="F1139" s="47" t="s">
        <v>365</v>
      </c>
      <c r="G1139" s="48" t="s">
        <v>365</v>
      </c>
      <c r="H1139" s="43">
        <v>4885</v>
      </c>
      <c r="I1139" s="44">
        <v>48.884339799999999</v>
      </c>
      <c r="J1139" s="43">
        <v>5245</v>
      </c>
      <c r="K1139" s="44">
        <v>79.199237400000001</v>
      </c>
    </row>
    <row r="1140" spans="1:11" ht="15" hidden="1" customHeight="1">
      <c r="A1140" s="7"/>
      <c r="B1140" s="36">
        <v>1133</v>
      </c>
      <c r="C1140" s="37" t="s">
        <v>19</v>
      </c>
      <c r="D1140" s="37" t="s">
        <v>332</v>
      </c>
      <c r="E1140" s="37" t="s">
        <v>358</v>
      </c>
      <c r="F1140" s="37" t="s">
        <v>365</v>
      </c>
      <c r="G1140" s="38" t="s">
        <v>13</v>
      </c>
      <c r="H1140" s="39">
        <v>3239</v>
      </c>
      <c r="I1140" s="40">
        <v>70.855202199999994</v>
      </c>
      <c r="J1140" s="39">
        <v>3536</v>
      </c>
      <c r="K1140" s="40">
        <v>92.986425299999993</v>
      </c>
    </row>
    <row r="1141" spans="1:11" ht="15" hidden="1" customHeight="1">
      <c r="A1141" s="7"/>
      <c r="B1141" s="36">
        <v>1134</v>
      </c>
      <c r="C1141" s="37" t="s">
        <v>19</v>
      </c>
      <c r="D1141" s="37" t="s">
        <v>332</v>
      </c>
      <c r="E1141" s="37" t="s">
        <v>358</v>
      </c>
      <c r="F1141" s="37" t="s">
        <v>365</v>
      </c>
      <c r="G1141" s="38" t="s">
        <v>14</v>
      </c>
      <c r="H1141" s="39">
        <v>1646</v>
      </c>
      <c r="I1141" s="40">
        <v>5.6500608000000003</v>
      </c>
      <c r="J1141" s="39">
        <v>1709</v>
      </c>
      <c r="K1141" s="40">
        <v>50.672908100000001</v>
      </c>
    </row>
    <row r="1142" spans="1:11" ht="15" hidden="1" customHeight="1">
      <c r="A1142" s="7"/>
      <c r="B1142" s="32">
        <v>1135</v>
      </c>
      <c r="C1142" s="33" t="s">
        <v>17</v>
      </c>
      <c r="D1142" s="46" t="s">
        <v>332</v>
      </c>
      <c r="E1142" s="46" t="s">
        <v>366</v>
      </c>
      <c r="F1142" s="46"/>
      <c r="G1142" s="33" t="s">
        <v>366</v>
      </c>
      <c r="H1142" s="34">
        <v>25835</v>
      </c>
      <c r="I1142" s="35">
        <v>55.703502999999998</v>
      </c>
      <c r="J1142" s="34">
        <v>25589</v>
      </c>
      <c r="K1142" s="35">
        <v>71.014889199999999</v>
      </c>
    </row>
    <row r="1143" spans="1:11" ht="15" hidden="1" customHeight="1">
      <c r="A1143" s="7"/>
      <c r="B1143" s="36">
        <v>1136</v>
      </c>
      <c r="C1143" s="37" t="s">
        <v>17</v>
      </c>
      <c r="D1143" s="37" t="s">
        <v>332</v>
      </c>
      <c r="E1143" s="37" t="s">
        <v>366</v>
      </c>
      <c r="F1143" s="37"/>
      <c r="G1143" s="38" t="s">
        <v>13</v>
      </c>
      <c r="H1143" s="39">
        <v>9732</v>
      </c>
      <c r="I1143" s="40">
        <v>95.684340300000002</v>
      </c>
      <c r="J1143" s="39">
        <v>10291</v>
      </c>
      <c r="K1143" s="40">
        <v>98.824215300000006</v>
      </c>
    </row>
    <row r="1144" spans="1:11" ht="15" hidden="1" customHeight="1">
      <c r="A1144" s="7"/>
      <c r="B1144" s="36">
        <v>1137</v>
      </c>
      <c r="C1144" s="37" t="s">
        <v>17</v>
      </c>
      <c r="D1144" s="37" t="s">
        <v>332</v>
      </c>
      <c r="E1144" s="37" t="s">
        <v>366</v>
      </c>
      <c r="F1144" s="37"/>
      <c r="G1144" s="38" t="s">
        <v>14</v>
      </c>
      <c r="H1144" s="39">
        <v>16103</v>
      </c>
      <c r="I1144" s="40">
        <v>31.540706700000001</v>
      </c>
      <c r="J1144" s="39">
        <v>15298</v>
      </c>
      <c r="K1144" s="40">
        <v>52.307491200000001</v>
      </c>
    </row>
    <row r="1145" spans="1:11" ht="15" customHeight="1">
      <c r="A1145" s="7"/>
      <c r="B1145" s="41">
        <v>1138</v>
      </c>
      <c r="C1145" s="42" t="s">
        <v>19</v>
      </c>
      <c r="D1145" s="47" t="s">
        <v>332</v>
      </c>
      <c r="E1145" s="47" t="s">
        <v>366</v>
      </c>
      <c r="F1145" s="47" t="s">
        <v>367</v>
      </c>
      <c r="G1145" s="48" t="s">
        <v>367</v>
      </c>
      <c r="H1145" s="43">
        <v>16707</v>
      </c>
      <c r="I1145" s="44">
        <v>64.906925200000003</v>
      </c>
      <c r="J1145" s="43">
        <v>16728</v>
      </c>
      <c r="K1145" s="44">
        <v>75.824964100000003</v>
      </c>
    </row>
    <row r="1146" spans="1:11" ht="15" hidden="1" customHeight="1">
      <c r="A1146" s="7"/>
      <c r="B1146" s="36">
        <v>1139</v>
      </c>
      <c r="C1146" s="37" t="s">
        <v>19</v>
      </c>
      <c r="D1146" s="37" t="s">
        <v>332</v>
      </c>
      <c r="E1146" s="37" t="s">
        <v>366</v>
      </c>
      <c r="F1146" s="37" t="s">
        <v>367</v>
      </c>
      <c r="G1146" s="38" t="s">
        <v>13</v>
      </c>
      <c r="H1146" s="39">
        <v>9732</v>
      </c>
      <c r="I1146" s="40">
        <v>95.684340300000002</v>
      </c>
      <c r="J1146" s="39">
        <v>10291</v>
      </c>
      <c r="K1146" s="40">
        <v>98.824215300000006</v>
      </c>
    </row>
    <row r="1147" spans="1:11" ht="15" hidden="1" customHeight="1">
      <c r="A1147" s="7"/>
      <c r="B1147" s="36">
        <v>1140</v>
      </c>
      <c r="C1147" s="37" t="s">
        <v>19</v>
      </c>
      <c r="D1147" s="37" t="s">
        <v>332</v>
      </c>
      <c r="E1147" s="37" t="s">
        <v>366</v>
      </c>
      <c r="F1147" s="37" t="s">
        <v>367</v>
      </c>
      <c r="G1147" s="38" t="s">
        <v>14</v>
      </c>
      <c r="H1147" s="39">
        <v>6975</v>
      </c>
      <c r="I1147" s="40">
        <v>21.964157700000001</v>
      </c>
      <c r="J1147" s="39">
        <v>6437</v>
      </c>
      <c r="K1147" s="40">
        <v>39.055460600000004</v>
      </c>
    </row>
    <row r="1148" spans="1:11" ht="15" customHeight="1">
      <c r="A1148" s="7"/>
      <c r="B1148" s="41">
        <v>1141</v>
      </c>
      <c r="C1148" s="42" t="s">
        <v>19</v>
      </c>
      <c r="D1148" s="47" t="s">
        <v>332</v>
      </c>
      <c r="E1148" s="47" t="s">
        <v>366</v>
      </c>
      <c r="F1148" s="47" t="s">
        <v>368</v>
      </c>
      <c r="G1148" s="48" t="s">
        <v>368</v>
      </c>
      <c r="H1148" s="43">
        <v>2067</v>
      </c>
      <c r="I1148" s="44">
        <v>47.701983599999998</v>
      </c>
      <c r="J1148" s="43">
        <v>2350</v>
      </c>
      <c r="K1148" s="44">
        <v>79.276595700000001</v>
      </c>
    </row>
    <row r="1149" spans="1:11" ht="15" hidden="1" customHeight="1">
      <c r="A1149" s="7"/>
      <c r="B1149" s="36">
        <v>1142</v>
      </c>
      <c r="C1149" s="37" t="s">
        <v>19</v>
      </c>
      <c r="D1149" s="37" t="s">
        <v>332</v>
      </c>
      <c r="E1149" s="37" t="s">
        <v>366</v>
      </c>
      <c r="F1149" s="37" t="s">
        <v>368</v>
      </c>
      <c r="G1149" s="38" t="s">
        <v>13</v>
      </c>
      <c r="H1149" s="39"/>
      <c r="I1149" s="40"/>
      <c r="J1149" s="39"/>
      <c r="K1149" s="40"/>
    </row>
    <row r="1150" spans="1:11" ht="15" hidden="1" customHeight="1">
      <c r="A1150" s="7"/>
      <c r="B1150" s="36">
        <v>1143</v>
      </c>
      <c r="C1150" s="37" t="s">
        <v>19</v>
      </c>
      <c r="D1150" s="37" t="s">
        <v>332</v>
      </c>
      <c r="E1150" s="37" t="s">
        <v>366</v>
      </c>
      <c r="F1150" s="37" t="s">
        <v>368</v>
      </c>
      <c r="G1150" s="38" t="s">
        <v>14</v>
      </c>
      <c r="H1150" s="39">
        <v>2067</v>
      </c>
      <c r="I1150" s="40">
        <v>47.701983599999998</v>
      </c>
      <c r="J1150" s="39">
        <v>2350</v>
      </c>
      <c r="K1150" s="40">
        <v>79.276595700000001</v>
      </c>
    </row>
    <row r="1151" spans="1:11" ht="15" customHeight="1">
      <c r="A1151" s="7"/>
      <c r="B1151" s="41">
        <v>1144</v>
      </c>
      <c r="C1151" s="42" t="s">
        <v>19</v>
      </c>
      <c r="D1151" s="47" t="s">
        <v>332</v>
      </c>
      <c r="E1151" s="47" t="s">
        <v>366</v>
      </c>
      <c r="F1151" s="47" t="s">
        <v>369</v>
      </c>
      <c r="G1151" s="48" t="s">
        <v>369</v>
      </c>
      <c r="H1151" s="43">
        <v>2750</v>
      </c>
      <c r="I1151" s="44">
        <v>36.1454545</v>
      </c>
      <c r="J1151" s="43">
        <v>2746</v>
      </c>
      <c r="K1151" s="44">
        <v>61.034231599999998</v>
      </c>
    </row>
    <row r="1152" spans="1:11" ht="15" hidden="1" customHeight="1">
      <c r="A1152" s="7"/>
      <c r="B1152" s="36">
        <v>1145</v>
      </c>
      <c r="C1152" s="37" t="s">
        <v>19</v>
      </c>
      <c r="D1152" s="37" t="s">
        <v>332</v>
      </c>
      <c r="E1152" s="37" t="s">
        <v>366</v>
      </c>
      <c r="F1152" s="37" t="s">
        <v>369</v>
      </c>
      <c r="G1152" s="38" t="s">
        <v>13</v>
      </c>
      <c r="H1152" s="39"/>
      <c r="I1152" s="40"/>
      <c r="J1152" s="39"/>
      <c r="K1152" s="40"/>
    </row>
    <row r="1153" spans="1:11" ht="15" hidden="1" customHeight="1">
      <c r="A1153" s="7"/>
      <c r="B1153" s="36">
        <v>1146</v>
      </c>
      <c r="C1153" s="37" t="s">
        <v>19</v>
      </c>
      <c r="D1153" s="37" t="s">
        <v>332</v>
      </c>
      <c r="E1153" s="37" t="s">
        <v>366</v>
      </c>
      <c r="F1153" s="37" t="s">
        <v>369</v>
      </c>
      <c r="G1153" s="38" t="s">
        <v>14</v>
      </c>
      <c r="H1153" s="39">
        <v>2750</v>
      </c>
      <c r="I1153" s="40">
        <v>36.1454545</v>
      </c>
      <c r="J1153" s="39">
        <v>2746</v>
      </c>
      <c r="K1153" s="40">
        <v>61.034231599999998</v>
      </c>
    </row>
    <row r="1154" spans="1:11" ht="15" customHeight="1">
      <c r="A1154" s="7"/>
      <c r="B1154" s="41">
        <v>1147</v>
      </c>
      <c r="C1154" s="42" t="s">
        <v>19</v>
      </c>
      <c r="D1154" s="47" t="s">
        <v>332</v>
      </c>
      <c r="E1154" s="47" t="s">
        <v>366</v>
      </c>
      <c r="F1154" s="47" t="s">
        <v>370</v>
      </c>
      <c r="G1154" s="48" t="s">
        <v>370</v>
      </c>
      <c r="H1154" s="43">
        <v>2263</v>
      </c>
      <c r="I1154" s="44">
        <v>40.6539991</v>
      </c>
      <c r="J1154" s="43">
        <v>1760</v>
      </c>
      <c r="K1154" s="44">
        <v>58.3522727</v>
      </c>
    </row>
    <row r="1155" spans="1:11" ht="15" hidden="1" customHeight="1">
      <c r="A1155" s="7"/>
      <c r="B1155" s="36">
        <v>1148</v>
      </c>
      <c r="C1155" s="37" t="s">
        <v>19</v>
      </c>
      <c r="D1155" s="37" t="s">
        <v>332</v>
      </c>
      <c r="E1155" s="37" t="s">
        <v>366</v>
      </c>
      <c r="F1155" s="37" t="s">
        <v>370</v>
      </c>
      <c r="G1155" s="38" t="s">
        <v>13</v>
      </c>
      <c r="H1155" s="39"/>
      <c r="I1155" s="40"/>
      <c r="J1155" s="39"/>
      <c r="K1155" s="40"/>
    </row>
    <row r="1156" spans="1:11" ht="15" hidden="1" customHeight="1">
      <c r="A1156" s="7"/>
      <c r="B1156" s="36">
        <v>1149</v>
      </c>
      <c r="C1156" s="37" t="s">
        <v>19</v>
      </c>
      <c r="D1156" s="37" t="s">
        <v>332</v>
      </c>
      <c r="E1156" s="37" t="s">
        <v>366</v>
      </c>
      <c r="F1156" s="37" t="s">
        <v>370</v>
      </c>
      <c r="G1156" s="38" t="s">
        <v>14</v>
      </c>
      <c r="H1156" s="39">
        <v>2263</v>
      </c>
      <c r="I1156" s="40">
        <v>40.6539991</v>
      </c>
      <c r="J1156" s="39">
        <v>1760</v>
      </c>
      <c r="K1156" s="40">
        <v>58.3522727</v>
      </c>
    </row>
    <row r="1157" spans="1:11" ht="15" customHeight="1">
      <c r="A1157" s="7"/>
      <c r="B1157" s="41">
        <v>1150</v>
      </c>
      <c r="C1157" s="42" t="s">
        <v>19</v>
      </c>
      <c r="D1157" s="47" t="s">
        <v>332</v>
      </c>
      <c r="E1157" s="47" t="s">
        <v>366</v>
      </c>
      <c r="F1157" s="47" t="s">
        <v>371</v>
      </c>
      <c r="G1157" s="48" t="s">
        <v>371</v>
      </c>
      <c r="H1157" s="43">
        <v>2048</v>
      </c>
      <c r="I1157" s="44">
        <v>31.591796899999999</v>
      </c>
      <c r="J1157" s="43">
        <v>2005</v>
      </c>
      <c r="K1157" s="44">
        <v>45.985037400000003</v>
      </c>
    </row>
    <row r="1158" spans="1:11" ht="15" hidden="1" customHeight="1">
      <c r="A1158" s="7"/>
      <c r="B1158" s="36">
        <v>1151</v>
      </c>
      <c r="C1158" s="37" t="s">
        <v>19</v>
      </c>
      <c r="D1158" s="37" t="s">
        <v>332</v>
      </c>
      <c r="E1158" s="37" t="s">
        <v>366</v>
      </c>
      <c r="F1158" s="37" t="s">
        <v>371</v>
      </c>
      <c r="G1158" s="38" t="s">
        <v>13</v>
      </c>
      <c r="H1158" s="39"/>
      <c r="I1158" s="40"/>
      <c r="J1158" s="39"/>
      <c r="K1158" s="40"/>
    </row>
    <row r="1159" spans="1:11" ht="15" hidden="1" customHeight="1">
      <c r="A1159" s="7"/>
      <c r="B1159" s="36">
        <v>1152</v>
      </c>
      <c r="C1159" s="37" t="s">
        <v>19</v>
      </c>
      <c r="D1159" s="37" t="s">
        <v>332</v>
      </c>
      <c r="E1159" s="37" t="s">
        <v>366</v>
      </c>
      <c r="F1159" s="37" t="s">
        <v>371</v>
      </c>
      <c r="G1159" s="38" t="s">
        <v>14</v>
      </c>
      <c r="H1159" s="39">
        <v>2048</v>
      </c>
      <c r="I1159" s="40">
        <v>31.591796899999999</v>
      </c>
      <c r="J1159" s="39">
        <v>2005</v>
      </c>
      <c r="K1159" s="40">
        <v>45.985037400000003</v>
      </c>
    </row>
    <row r="1160" spans="1:11" ht="15" hidden="1" customHeight="1">
      <c r="A1160" s="7"/>
      <c r="B1160" s="32">
        <v>1153</v>
      </c>
      <c r="C1160" s="33" t="s">
        <v>17</v>
      </c>
      <c r="D1160" s="46" t="s">
        <v>332</v>
      </c>
      <c r="E1160" s="46" t="s">
        <v>372</v>
      </c>
      <c r="F1160" s="46"/>
      <c r="G1160" s="33" t="s">
        <v>372</v>
      </c>
      <c r="H1160" s="34">
        <v>32055</v>
      </c>
      <c r="I1160" s="35">
        <v>75.379815899999997</v>
      </c>
      <c r="J1160" s="34">
        <v>36472</v>
      </c>
      <c r="K1160" s="35">
        <v>84.001425800000007</v>
      </c>
    </row>
    <row r="1161" spans="1:11" ht="15" hidden="1" customHeight="1">
      <c r="A1161" s="7"/>
      <c r="B1161" s="36">
        <v>1154</v>
      </c>
      <c r="C1161" s="37" t="s">
        <v>17</v>
      </c>
      <c r="D1161" s="37" t="s">
        <v>332</v>
      </c>
      <c r="E1161" s="37" t="s">
        <v>372</v>
      </c>
      <c r="F1161" s="37"/>
      <c r="G1161" s="38" t="s">
        <v>13</v>
      </c>
      <c r="H1161" s="39">
        <v>14260</v>
      </c>
      <c r="I1161" s="40">
        <v>96.304347800000002</v>
      </c>
      <c r="J1161" s="39">
        <v>16453</v>
      </c>
      <c r="K1161" s="40">
        <v>97.988208799999995</v>
      </c>
    </row>
    <row r="1162" spans="1:11" ht="15" hidden="1" customHeight="1">
      <c r="A1162" s="7"/>
      <c r="B1162" s="36">
        <v>1155</v>
      </c>
      <c r="C1162" s="37" t="s">
        <v>17</v>
      </c>
      <c r="D1162" s="37" t="s">
        <v>332</v>
      </c>
      <c r="E1162" s="37" t="s">
        <v>372</v>
      </c>
      <c r="F1162" s="37"/>
      <c r="G1162" s="38" t="s">
        <v>14</v>
      </c>
      <c r="H1162" s="39">
        <v>17795</v>
      </c>
      <c r="I1162" s="40">
        <v>58.611969700000003</v>
      </c>
      <c r="J1162" s="39">
        <v>20019</v>
      </c>
      <c r="K1162" s="40">
        <v>72.506119200000001</v>
      </c>
    </row>
    <row r="1163" spans="1:11" ht="15" customHeight="1">
      <c r="A1163" s="7"/>
      <c r="B1163" s="41">
        <v>1156</v>
      </c>
      <c r="C1163" s="42" t="s">
        <v>19</v>
      </c>
      <c r="D1163" s="47" t="s">
        <v>332</v>
      </c>
      <c r="E1163" s="47" t="s">
        <v>372</v>
      </c>
      <c r="F1163" s="47" t="s">
        <v>373</v>
      </c>
      <c r="G1163" s="48" t="s">
        <v>373</v>
      </c>
      <c r="H1163" s="43">
        <v>10206</v>
      </c>
      <c r="I1163" s="44">
        <v>69.713893799999994</v>
      </c>
      <c r="J1163" s="43">
        <v>11390</v>
      </c>
      <c r="K1163" s="44">
        <v>83.336259900000002</v>
      </c>
    </row>
    <row r="1164" spans="1:11" ht="15" hidden="1" customHeight="1">
      <c r="A1164" s="7"/>
      <c r="B1164" s="36">
        <v>1157</v>
      </c>
      <c r="C1164" s="37" t="s">
        <v>19</v>
      </c>
      <c r="D1164" s="37" t="s">
        <v>332</v>
      </c>
      <c r="E1164" s="37" t="s">
        <v>372</v>
      </c>
      <c r="F1164" s="37" t="s">
        <v>373</v>
      </c>
      <c r="G1164" s="38" t="s">
        <v>13</v>
      </c>
      <c r="H1164" s="39">
        <v>4206</v>
      </c>
      <c r="I1164" s="40">
        <v>95.197337099999999</v>
      </c>
      <c r="J1164" s="39">
        <v>5010</v>
      </c>
      <c r="K1164" s="40">
        <v>98.463073899999998</v>
      </c>
    </row>
    <row r="1165" spans="1:11" ht="15" hidden="1" customHeight="1">
      <c r="A1165" s="7"/>
      <c r="B1165" s="36">
        <v>1158</v>
      </c>
      <c r="C1165" s="37" t="s">
        <v>19</v>
      </c>
      <c r="D1165" s="37" t="s">
        <v>332</v>
      </c>
      <c r="E1165" s="37" t="s">
        <v>372</v>
      </c>
      <c r="F1165" s="37" t="s">
        <v>373</v>
      </c>
      <c r="G1165" s="38" t="s">
        <v>14</v>
      </c>
      <c r="H1165" s="39">
        <v>6000</v>
      </c>
      <c r="I1165" s="40">
        <v>51.85</v>
      </c>
      <c r="J1165" s="39">
        <v>6380</v>
      </c>
      <c r="K1165" s="40">
        <v>71.457680300000007</v>
      </c>
    </row>
    <row r="1166" spans="1:11" ht="15" customHeight="1">
      <c r="A1166" s="7"/>
      <c r="B1166" s="41">
        <v>1159</v>
      </c>
      <c r="C1166" s="42" t="s">
        <v>19</v>
      </c>
      <c r="D1166" s="47" t="s">
        <v>332</v>
      </c>
      <c r="E1166" s="47" t="s">
        <v>372</v>
      </c>
      <c r="F1166" s="47" t="s">
        <v>374</v>
      </c>
      <c r="G1166" s="48" t="s">
        <v>374</v>
      </c>
      <c r="H1166" s="43">
        <v>9011</v>
      </c>
      <c r="I1166" s="44">
        <v>73.865275800000006</v>
      </c>
      <c r="J1166" s="43">
        <v>9524</v>
      </c>
      <c r="K1166" s="44">
        <v>84.733305299999998</v>
      </c>
    </row>
    <row r="1167" spans="1:11" ht="15" hidden="1" customHeight="1">
      <c r="A1167" s="7"/>
      <c r="B1167" s="36">
        <v>1160</v>
      </c>
      <c r="C1167" s="37" t="s">
        <v>19</v>
      </c>
      <c r="D1167" s="37" t="s">
        <v>332</v>
      </c>
      <c r="E1167" s="37" t="s">
        <v>372</v>
      </c>
      <c r="F1167" s="37" t="s">
        <v>374</v>
      </c>
      <c r="G1167" s="38" t="s">
        <v>13</v>
      </c>
      <c r="H1167" s="39">
        <v>3510</v>
      </c>
      <c r="I1167" s="40">
        <v>95.954415999999995</v>
      </c>
      <c r="J1167" s="39">
        <v>3874</v>
      </c>
      <c r="K1167" s="40">
        <v>97.134744499999996</v>
      </c>
    </row>
    <row r="1168" spans="1:11" ht="15" hidden="1" customHeight="1">
      <c r="A1168" s="7"/>
      <c r="B1168" s="36">
        <v>1161</v>
      </c>
      <c r="C1168" s="37" t="s">
        <v>19</v>
      </c>
      <c r="D1168" s="37" t="s">
        <v>332</v>
      </c>
      <c r="E1168" s="37" t="s">
        <v>372</v>
      </c>
      <c r="F1168" s="37" t="s">
        <v>374</v>
      </c>
      <c r="G1168" s="38" t="s">
        <v>14</v>
      </c>
      <c r="H1168" s="39">
        <v>5501</v>
      </c>
      <c r="I1168" s="40">
        <v>59.7709507</v>
      </c>
      <c r="J1168" s="39">
        <v>5650</v>
      </c>
      <c r="K1168" s="40">
        <v>76.230088499999994</v>
      </c>
    </row>
    <row r="1169" spans="1:11" ht="15" customHeight="1">
      <c r="A1169" s="7"/>
      <c r="B1169" s="41">
        <v>1162</v>
      </c>
      <c r="C1169" s="42" t="s">
        <v>19</v>
      </c>
      <c r="D1169" s="47" t="s">
        <v>332</v>
      </c>
      <c r="E1169" s="47" t="s">
        <v>372</v>
      </c>
      <c r="F1169" s="47" t="s">
        <v>375</v>
      </c>
      <c r="G1169" s="48" t="s">
        <v>375</v>
      </c>
      <c r="H1169" s="43">
        <v>9938</v>
      </c>
      <c r="I1169" s="44">
        <v>87.170456799999997</v>
      </c>
      <c r="J1169" s="43">
        <v>12517</v>
      </c>
      <c r="K1169" s="44">
        <v>86.714068900000001</v>
      </c>
    </row>
    <row r="1170" spans="1:11" ht="15" hidden="1" customHeight="1">
      <c r="A1170" s="7"/>
      <c r="B1170" s="36">
        <v>1163</v>
      </c>
      <c r="C1170" s="37" t="s">
        <v>19</v>
      </c>
      <c r="D1170" s="37" t="s">
        <v>332</v>
      </c>
      <c r="E1170" s="37" t="s">
        <v>372</v>
      </c>
      <c r="F1170" s="37" t="s">
        <v>375</v>
      </c>
      <c r="G1170" s="38" t="s">
        <v>13</v>
      </c>
      <c r="H1170" s="39">
        <v>6544</v>
      </c>
      <c r="I1170" s="40">
        <v>97.203545199999994</v>
      </c>
      <c r="J1170" s="39">
        <v>7569</v>
      </c>
      <c r="K1170" s="40">
        <v>98.110714799999997</v>
      </c>
    </row>
    <row r="1171" spans="1:11" ht="15" hidden="1" customHeight="1">
      <c r="A1171" s="7"/>
      <c r="B1171" s="36">
        <v>1164</v>
      </c>
      <c r="C1171" s="37" t="s">
        <v>19</v>
      </c>
      <c r="D1171" s="37" t="s">
        <v>332</v>
      </c>
      <c r="E1171" s="37" t="s">
        <v>372</v>
      </c>
      <c r="F1171" s="37" t="s">
        <v>375</v>
      </c>
      <c r="G1171" s="38" t="s">
        <v>14</v>
      </c>
      <c r="H1171" s="39">
        <v>3394</v>
      </c>
      <c r="I1171" s="40">
        <v>67.825574500000002</v>
      </c>
      <c r="J1171" s="39">
        <v>4948</v>
      </c>
      <c r="K1171" s="40">
        <v>69.280517399999994</v>
      </c>
    </row>
    <row r="1172" spans="1:11" ht="15" customHeight="1">
      <c r="A1172" s="7"/>
      <c r="B1172" s="41">
        <v>1165</v>
      </c>
      <c r="C1172" s="42" t="s">
        <v>19</v>
      </c>
      <c r="D1172" s="47" t="s">
        <v>332</v>
      </c>
      <c r="E1172" s="47" t="s">
        <v>372</v>
      </c>
      <c r="F1172" s="47" t="s">
        <v>376</v>
      </c>
      <c r="G1172" s="48" t="s">
        <v>376</v>
      </c>
      <c r="H1172" s="43">
        <v>2900</v>
      </c>
      <c r="I1172" s="44">
        <v>59.6206897</v>
      </c>
      <c r="J1172" s="43">
        <v>3041</v>
      </c>
      <c r="K1172" s="44">
        <v>73.035185799999994</v>
      </c>
    </row>
    <row r="1173" spans="1:11" ht="15" hidden="1" customHeight="1">
      <c r="A1173" s="7"/>
      <c r="B1173" s="36">
        <v>1166</v>
      </c>
      <c r="C1173" s="37" t="s">
        <v>19</v>
      </c>
      <c r="D1173" s="37" t="s">
        <v>332</v>
      </c>
      <c r="E1173" s="37" t="s">
        <v>372</v>
      </c>
      <c r="F1173" s="37" t="s">
        <v>376</v>
      </c>
      <c r="G1173" s="38" t="s">
        <v>13</v>
      </c>
      <c r="H1173" s="39"/>
      <c r="I1173" s="40"/>
      <c r="J1173" s="39"/>
      <c r="K1173" s="40"/>
    </row>
    <row r="1174" spans="1:11" ht="15" hidden="1" customHeight="1">
      <c r="A1174" s="7"/>
      <c r="B1174" s="36">
        <v>1167</v>
      </c>
      <c r="C1174" s="37" t="s">
        <v>19</v>
      </c>
      <c r="D1174" s="37" t="s">
        <v>332</v>
      </c>
      <c r="E1174" s="37" t="s">
        <v>372</v>
      </c>
      <c r="F1174" s="37" t="s">
        <v>376</v>
      </c>
      <c r="G1174" s="38" t="s">
        <v>14</v>
      </c>
      <c r="H1174" s="39">
        <v>2900</v>
      </c>
      <c r="I1174" s="40">
        <v>59.6206897</v>
      </c>
      <c r="J1174" s="39">
        <v>3041</v>
      </c>
      <c r="K1174" s="40">
        <v>73.035185799999994</v>
      </c>
    </row>
    <row r="1175" spans="1:11" ht="15" hidden="1" customHeight="1">
      <c r="A1175" s="7"/>
      <c r="B1175" s="32">
        <v>1168</v>
      </c>
      <c r="C1175" s="33" t="s">
        <v>17</v>
      </c>
      <c r="D1175" s="46" t="s">
        <v>332</v>
      </c>
      <c r="E1175" s="46" t="s">
        <v>377</v>
      </c>
      <c r="F1175" s="46"/>
      <c r="G1175" s="33" t="s">
        <v>377</v>
      </c>
      <c r="H1175" s="34">
        <v>172186</v>
      </c>
      <c r="I1175" s="35">
        <v>90.561950400000001</v>
      </c>
      <c r="J1175" s="34">
        <v>186551</v>
      </c>
      <c r="K1175" s="35">
        <v>97.007252699999995</v>
      </c>
    </row>
    <row r="1176" spans="1:11" ht="15" hidden="1" customHeight="1">
      <c r="A1176" s="7"/>
      <c r="B1176" s="36">
        <v>1169</v>
      </c>
      <c r="C1176" s="37" t="s">
        <v>17</v>
      </c>
      <c r="D1176" s="37" t="s">
        <v>332</v>
      </c>
      <c r="E1176" s="37" t="s">
        <v>377</v>
      </c>
      <c r="F1176" s="37"/>
      <c r="G1176" s="38" t="s">
        <v>13</v>
      </c>
      <c r="H1176" s="39">
        <v>142872</v>
      </c>
      <c r="I1176" s="40">
        <v>95.758441099999999</v>
      </c>
      <c r="J1176" s="39">
        <v>165810</v>
      </c>
      <c r="K1176" s="40">
        <v>98.387913900000001</v>
      </c>
    </row>
    <row r="1177" spans="1:11" ht="15" hidden="1" customHeight="1">
      <c r="A1177" s="7"/>
      <c r="B1177" s="36">
        <v>1170</v>
      </c>
      <c r="C1177" s="37" t="s">
        <v>17</v>
      </c>
      <c r="D1177" s="37" t="s">
        <v>332</v>
      </c>
      <c r="E1177" s="37" t="s">
        <v>377</v>
      </c>
      <c r="F1177" s="37"/>
      <c r="G1177" s="38" t="s">
        <v>14</v>
      </c>
      <c r="H1177" s="39">
        <v>29314</v>
      </c>
      <c r="I1177" s="40">
        <v>65.235041300000006</v>
      </c>
      <c r="J1177" s="39">
        <v>20741</v>
      </c>
      <c r="K1177" s="40">
        <v>85.969818200000006</v>
      </c>
    </row>
    <row r="1178" spans="1:11" ht="15" customHeight="1">
      <c r="A1178" s="7"/>
      <c r="B1178" s="41">
        <v>1171</v>
      </c>
      <c r="C1178" s="42" t="s">
        <v>19</v>
      </c>
      <c r="D1178" s="47" t="s">
        <v>332</v>
      </c>
      <c r="E1178" s="47" t="s">
        <v>377</v>
      </c>
      <c r="F1178" s="47" t="s">
        <v>378</v>
      </c>
      <c r="G1178" s="48" t="s">
        <v>378</v>
      </c>
      <c r="H1178" s="43">
        <v>106092</v>
      </c>
      <c r="I1178" s="44">
        <v>96.1872714</v>
      </c>
      <c r="J1178" s="43">
        <v>121655</v>
      </c>
      <c r="K1178" s="44">
        <v>98.831120799999994</v>
      </c>
    </row>
    <row r="1179" spans="1:11" ht="15" hidden="1" customHeight="1">
      <c r="A1179" s="7"/>
      <c r="B1179" s="36">
        <v>1172</v>
      </c>
      <c r="C1179" s="37" t="s">
        <v>19</v>
      </c>
      <c r="D1179" s="37" t="s">
        <v>332</v>
      </c>
      <c r="E1179" s="37" t="s">
        <v>377</v>
      </c>
      <c r="F1179" s="37" t="s">
        <v>378</v>
      </c>
      <c r="G1179" s="38" t="s">
        <v>13</v>
      </c>
      <c r="H1179" s="39">
        <v>103920</v>
      </c>
      <c r="I1179" s="40">
        <v>96.828329499999995</v>
      </c>
      <c r="J1179" s="39">
        <v>120894</v>
      </c>
      <c r="K1179" s="40">
        <v>98.919714799999994</v>
      </c>
    </row>
    <row r="1180" spans="1:11" ht="15" hidden="1" customHeight="1">
      <c r="A1180" s="7"/>
      <c r="B1180" s="36">
        <v>1173</v>
      </c>
      <c r="C1180" s="37" t="s">
        <v>19</v>
      </c>
      <c r="D1180" s="37" t="s">
        <v>332</v>
      </c>
      <c r="E1180" s="37" t="s">
        <v>377</v>
      </c>
      <c r="F1180" s="37" t="s">
        <v>378</v>
      </c>
      <c r="G1180" s="38" t="s">
        <v>14</v>
      </c>
      <c r="H1180" s="39">
        <v>2172</v>
      </c>
      <c r="I1180" s="40">
        <v>65.515653799999995</v>
      </c>
      <c r="J1180" s="39">
        <v>761</v>
      </c>
      <c r="K1180" s="40">
        <v>84.756898800000002</v>
      </c>
    </row>
    <row r="1181" spans="1:11" ht="15" customHeight="1">
      <c r="A1181" s="7"/>
      <c r="B1181" s="41">
        <v>1174</v>
      </c>
      <c r="C1181" s="42" t="s">
        <v>19</v>
      </c>
      <c r="D1181" s="47" t="s">
        <v>332</v>
      </c>
      <c r="E1181" s="47" t="s">
        <v>377</v>
      </c>
      <c r="F1181" s="47" t="s">
        <v>379</v>
      </c>
      <c r="G1181" s="48" t="s">
        <v>379</v>
      </c>
      <c r="H1181" s="43">
        <v>13841</v>
      </c>
      <c r="I1181" s="44">
        <v>71.685571899999999</v>
      </c>
      <c r="J1181" s="43">
        <v>16359</v>
      </c>
      <c r="K1181" s="44">
        <v>88.880738399999998</v>
      </c>
    </row>
    <row r="1182" spans="1:11" ht="15" hidden="1" customHeight="1">
      <c r="A1182" s="7"/>
      <c r="B1182" s="36">
        <v>1175</v>
      </c>
      <c r="C1182" s="37" t="s">
        <v>19</v>
      </c>
      <c r="D1182" s="37" t="s">
        <v>332</v>
      </c>
      <c r="E1182" s="37" t="s">
        <v>377</v>
      </c>
      <c r="F1182" s="37" t="s">
        <v>379</v>
      </c>
      <c r="G1182" s="38" t="s">
        <v>13</v>
      </c>
      <c r="H1182" s="39">
        <v>5152</v>
      </c>
      <c r="I1182" s="40">
        <v>89.382763999999995</v>
      </c>
      <c r="J1182" s="39">
        <v>7742</v>
      </c>
      <c r="K1182" s="40">
        <v>94.704210799999998</v>
      </c>
    </row>
    <row r="1183" spans="1:11" ht="15" hidden="1" customHeight="1">
      <c r="A1183" s="7"/>
      <c r="B1183" s="36">
        <v>1176</v>
      </c>
      <c r="C1183" s="37" t="s">
        <v>19</v>
      </c>
      <c r="D1183" s="37" t="s">
        <v>332</v>
      </c>
      <c r="E1183" s="37" t="s">
        <v>377</v>
      </c>
      <c r="F1183" s="37" t="s">
        <v>379</v>
      </c>
      <c r="G1183" s="38" t="s">
        <v>14</v>
      </c>
      <c r="H1183" s="39">
        <v>8689</v>
      </c>
      <c r="I1183" s="40">
        <v>61.192312100000002</v>
      </c>
      <c r="J1183" s="39">
        <v>8617</v>
      </c>
      <c r="K1183" s="40">
        <v>83.648601600000006</v>
      </c>
    </row>
    <row r="1184" spans="1:11" ht="15" customHeight="1">
      <c r="A1184" s="7"/>
      <c r="B1184" s="41">
        <v>1177</v>
      </c>
      <c r="C1184" s="42" t="s">
        <v>19</v>
      </c>
      <c r="D1184" s="47" t="s">
        <v>332</v>
      </c>
      <c r="E1184" s="47" t="s">
        <v>377</v>
      </c>
      <c r="F1184" s="47" t="s">
        <v>380</v>
      </c>
      <c r="G1184" s="48" t="s">
        <v>380</v>
      </c>
      <c r="H1184" s="43">
        <v>22744</v>
      </c>
      <c r="I1184" s="44">
        <v>84.338726699999995</v>
      </c>
      <c r="J1184" s="43">
        <v>22767</v>
      </c>
      <c r="K1184" s="44">
        <v>94.461281700000001</v>
      </c>
    </row>
    <row r="1185" spans="1:11" ht="15" hidden="1" customHeight="1">
      <c r="A1185" s="7"/>
      <c r="B1185" s="36">
        <v>1178</v>
      </c>
      <c r="C1185" s="37" t="s">
        <v>19</v>
      </c>
      <c r="D1185" s="37" t="s">
        <v>332</v>
      </c>
      <c r="E1185" s="37" t="s">
        <v>377</v>
      </c>
      <c r="F1185" s="37" t="s">
        <v>380</v>
      </c>
      <c r="G1185" s="38" t="s">
        <v>13</v>
      </c>
      <c r="H1185" s="39">
        <v>18001</v>
      </c>
      <c r="I1185" s="40">
        <v>95.033609200000001</v>
      </c>
      <c r="J1185" s="39">
        <v>18484</v>
      </c>
      <c r="K1185" s="40">
        <v>97.500540999999998</v>
      </c>
    </row>
    <row r="1186" spans="1:11" ht="15" hidden="1" customHeight="1">
      <c r="A1186" s="7"/>
      <c r="B1186" s="36">
        <v>1179</v>
      </c>
      <c r="C1186" s="37" t="s">
        <v>19</v>
      </c>
      <c r="D1186" s="37" t="s">
        <v>332</v>
      </c>
      <c r="E1186" s="37" t="s">
        <v>377</v>
      </c>
      <c r="F1186" s="37" t="s">
        <v>380</v>
      </c>
      <c r="G1186" s="38" t="s">
        <v>14</v>
      </c>
      <c r="H1186" s="39">
        <v>4743</v>
      </c>
      <c r="I1186" s="40">
        <v>43.748682299999999</v>
      </c>
      <c r="J1186" s="39">
        <v>4283</v>
      </c>
      <c r="K1186" s="40">
        <v>81.344851700000007</v>
      </c>
    </row>
    <row r="1187" spans="1:11" ht="15" customHeight="1">
      <c r="A1187" s="7"/>
      <c r="B1187" s="41">
        <v>1180</v>
      </c>
      <c r="C1187" s="42" t="s">
        <v>19</v>
      </c>
      <c r="D1187" s="47" t="s">
        <v>332</v>
      </c>
      <c r="E1187" s="47" t="s">
        <v>377</v>
      </c>
      <c r="F1187" s="47" t="s">
        <v>381</v>
      </c>
      <c r="G1187" s="48" t="s">
        <v>381</v>
      </c>
      <c r="H1187" s="43">
        <v>13703</v>
      </c>
      <c r="I1187" s="44">
        <v>82.959935799999997</v>
      </c>
      <c r="J1187" s="43">
        <v>12614</v>
      </c>
      <c r="K1187" s="44">
        <v>95.433645200000001</v>
      </c>
    </row>
    <row r="1188" spans="1:11" ht="15" hidden="1" customHeight="1">
      <c r="A1188" s="7"/>
      <c r="B1188" s="36">
        <v>1181</v>
      </c>
      <c r="C1188" s="37" t="s">
        <v>19</v>
      </c>
      <c r="D1188" s="37" t="s">
        <v>332</v>
      </c>
      <c r="E1188" s="37" t="s">
        <v>377</v>
      </c>
      <c r="F1188" s="37" t="s">
        <v>381</v>
      </c>
      <c r="G1188" s="38" t="s">
        <v>13</v>
      </c>
      <c r="H1188" s="39">
        <v>8753</v>
      </c>
      <c r="I1188" s="40">
        <v>92.002741900000004</v>
      </c>
      <c r="J1188" s="39">
        <v>10551</v>
      </c>
      <c r="K1188" s="40">
        <v>97.895933999999997</v>
      </c>
    </row>
    <row r="1189" spans="1:11" ht="15" hidden="1" customHeight="1">
      <c r="A1189" s="7"/>
      <c r="B1189" s="36">
        <v>1182</v>
      </c>
      <c r="C1189" s="37" t="s">
        <v>19</v>
      </c>
      <c r="D1189" s="37" t="s">
        <v>332</v>
      </c>
      <c r="E1189" s="37" t="s">
        <v>377</v>
      </c>
      <c r="F1189" s="37" t="s">
        <v>381</v>
      </c>
      <c r="G1189" s="38" t="s">
        <v>14</v>
      </c>
      <c r="H1189" s="39">
        <v>4950</v>
      </c>
      <c r="I1189" s="40">
        <v>66.969696999999996</v>
      </c>
      <c r="J1189" s="39">
        <v>2063</v>
      </c>
      <c r="K1189" s="40">
        <v>82.840523500000003</v>
      </c>
    </row>
    <row r="1190" spans="1:11" ht="15" customHeight="1">
      <c r="A1190" s="7"/>
      <c r="B1190" s="41">
        <v>1183</v>
      </c>
      <c r="C1190" s="42" t="s">
        <v>19</v>
      </c>
      <c r="D1190" s="47" t="s">
        <v>332</v>
      </c>
      <c r="E1190" s="47" t="s">
        <v>377</v>
      </c>
      <c r="F1190" s="47" t="s">
        <v>280</v>
      </c>
      <c r="G1190" s="48" t="s">
        <v>280</v>
      </c>
      <c r="H1190" s="43">
        <v>15806</v>
      </c>
      <c r="I1190" s="44">
        <v>84.879159799999996</v>
      </c>
      <c r="J1190" s="43">
        <v>13156</v>
      </c>
      <c r="K1190" s="44">
        <v>96.161447199999998</v>
      </c>
    </row>
    <row r="1191" spans="1:11" ht="15" hidden="1" customHeight="1">
      <c r="A1191" s="7"/>
      <c r="B1191" s="36">
        <v>1184</v>
      </c>
      <c r="C1191" s="37" t="s">
        <v>19</v>
      </c>
      <c r="D1191" s="37" t="s">
        <v>332</v>
      </c>
      <c r="E1191" s="37" t="s">
        <v>377</v>
      </c>
      <c r="F1191" s="37" t="s">
        <v>280</v>
      </c>
      <c r="G1191" s="38" t="s">
        <v>13</v>
      </c>
      <c r="H1191" s="39">
        <v>7046</v>
      </c>
      <c r="I1191" s="40">
        <v>91.1581039</v>
      </c>
      <c r="J1191" s="39">
        <v>8139</v>
      </c>
      <c r="K1191" s="40">
        <v>96.645779599999997</v>
      </c>
    </row>
    <row r="1192" spans="1:11" ht="15" hidden="1" customHeight="1">
      <c r="A1192" s="7"/>
      <c r="B1192" s="36">
        <v>1185</v>
      </c>
      <c r="C1192" s="37" t="s">
        <v>19</v>
      </c>
      <c r="D1192" s="37" t="s">
        <v>332</v>
      </c>
      <c r="E1192" s="37" t="s">
        <v>377</v>
      </c>
      <c r="F1192" s="37" t="s">
        <v>280</v>
      </c>
      <c r="G1192" s="38" t="s">
        <v>14</v>
      </c>
      <c r="H1192" s="39">
        <v>8760</v>
      </c>
      <c r="I1192" s="40">
        <v>79.828767099999993</v>
      </c>
      <c r="J1192" s="39">
        <v>5017</v>
      </c>
      <c r="K1192" s="40">
        <v>95.375722499999995</v>
      </c>
    </row>
    <row r="1193" spans="1:11" ht="15" hidden="1" customHeight="1">
      <c r="A1193" s="7"/>
      <c r="B1193" s="32">
        <v>1186</v>
      </c>
      <c r="C1193" s="33" t="s">
        <v>17</v>
      </c>
      <c r="D1193" s="46" t="s">
        <v>332</v>
      </c>
      <c r="E1193" s="46" t="s">
        <v>382</v>
      </c>
      <c r="F1193" s="46"/>
      <c r="G1193" s="33" t="s">
        <v>382</v>
      </c>
      <c r="H1193" s="34">
        <v>112059</v>
      </c>
      <c r="I1193" s="35">
        <v>59.165261200000003</v>
      </c>
      <c r="J1193" s="34">
        <v>123978</v>
      </c>
      <c r="K1193" s="35">
        <v>76.5200277</v>
      </c>
    </row>
    <row r="1194" spans="1:11" ht="15" hidden="1" customHeight="1">
      <c r="A1194" s="7"/>
      <c r="B1194" s="36">
        <v>1187</v>
      </c>
      <c r="C1194" s="37" t="s">
        <v>17</v>
      </c>
      <c r="D1194" s="37" t="s">
        <v>332</v>
      </c>
      <c r="E1194" s="37" t="s">
        <v>382</v>
      </c>
      <c r="F1194" s="37"/>
      <c r="G1194" s="38" t="s">
        <v>13</v>
      </c>
      <c r="H1194" s="39">
        <v>49462</v>
      </c>
      <c r="I1194" s="40">
        <v>82.368282699999995</v>
      </c>
      <c r="J1194" s="39">
        <v>63041</v>
      </c>
      <c r="K1194" s="40">
        <v>92.206659200000004</v>
      </c>
    </row>
    <row r="1195" spans="1:11" ht="15" hidden="1" customHeight="1">
      <c r="A1195" s="7"/>
      <c r="B1195" s="36">
        <v>1188</v>
      </c>
      <c r="C1195" s="37" t="s">
        <v>17</v>
      </c>
      <c r="D1195" s="37" t="s">
        <v>332</v>
      </c>
      <c r="E1195" s="37" t="s">
        <v>382</v>
      </c>
      <c r="F1195" s="37"/>
      <c r="G1195" s="38" t="s">
        <v>14</v>
      </c>
      <c r="H1195" s="39">
        <v>62597</v>
      </c>
      <c r="I1195" s="40">
        <v>40.831030200000001</v>
      </c>
      <c r="J1195" s="39">
        <v>60937</v>
      </c>
      <c r="K1195" s="40">
        <v>60.291776800000001</v>
      </c>
    </row>
    <row r="1196" spans="1:11" ht="15" customHeight="1">
      <c r="A1196" s="7"/>
      <c r="B1196" s="41">
        <v>1189</v>
      </c>
      <c r="C1196" s="42" t="s">
        <v>19</v>
      </c>
      <c r="D1196" s="47" t="s">
        <v>332</v>
      </c>
      <c r="E1196" s="47" t="s">
        <v>382</v>
      </c>
      <c r="F1196" s="47" t="s">
        <v>383</v>
      </c>
      <c r="G1196" s="48" t="s">
        <v>383</v>
      </c>
      <c r="H1196" s="43">
        <v>18331</v>
      </c>
      <c r="I1196" s="44">
        <v>38.230320200000001</v>
      </c>
      <c r="J1196" s="43">
        <v>29326</v>
      </c>
      <c r="K1196" s="44">
        <v>53.048489400000001</v>
      </c>
    </row>
    <row r="1197" spans="1:11" ht="15" hidden="1" customHeight="1">
      <c r="A1197" s="7"/>
      <c r="B1197" s="36">
        <v>1190</v>
      </c>
      <c r="C1197" s="37" t="s">
        <v>19</v>
      </c>
      <c r="D1197" s="37" t="s">
        <v>332</v>
      </c>
      <c r="E1197" s="37" t="s">
        <v>382</v>
      </c>
      <c r="F1197" s="37" t="s">
        <v>383</v>
      </c>
      <c r="G1197" s="38" t="s">
        <v>13</v>
      </c>
      <c r="H1197" s="39">
        <v>9619</v>
      </c>
      <c r="I1197" s="40">
        <v>63.468136000000001</v>
      </c>
      <c r="J1197" s="39">
        <v>14624</v>
      </c>
      <c r="K1197" s="40">
        <v>76.654814000000002</v>
      </c>
    </row>
    <row r="1198" spans="1:11" ht="15" hidden="1" customHeight="1">
      <c r="A1198" s="7"/>
      <c r="B1198" s="36">
        <v>1191</v>
      </c>
      <c r="C1198" s="37" t="s">
        <v>19</v>
      </c>
      <c r="D1198" s="37" t="s">
        <v>332</v>
      </c>
      <c r="E1198" s="37" t="s">
        <v>382</v>
      </c>
      <c r="F1198" s="37" t="s">
        <v>383</v>
      </c>
      <c r="G1198" s="38" t="s">
        <v>14</v>
      </c>
      <c r="H1198" s="39">
        <v>8712</v>
      </c>
      <c r="I1198" s="40">
        <v>10.3650138</v>
      </c>
      <c r="J1198" s="39">
        <v>14702</v>
      </c>
      <c r="K1198" s="40">
        <v>29.5674058</v>
      </c>
    </row>
    <row r="1199" spans="1:11" ht="15" customHeight="1">
      <c r="A1199" s="7"/>
      <c r="B1199" s="41">
        <v>1192</v>
      </c>
      <c r="C1199" s="42" t="s">
        <v>19</v>
      </c>
      <c r="D1199" s="47" t="s">
        <v>332</v>
      </c>
      <c r="E1199" s="47" t="s">
        <v>382</v>
      </c>
      <c r="F1199" s="47" t="s">
        <v>384</v>
      </c>
      <c r="G1199" s="48" t="s">
        <v>384</v>
      </c>
      <c r="H1199" s="43">
        <v>13266</v>
      </c>
      <c r="I1199" s="44">
        <v>53.912256900000003</v>
      </c>
      <c r="J1199" s="43">
        <v>14205</v>
      </c>
      <c r="K1199" s="44">
        <v>74.466737100000003</v>
      </c>
    </row>
    <row r="1200" spans="1:11" ht="15" hidden="1" customHeight="1">
      <c r="A1200" s="7"/>
      <c r="B1200" s="36">
        <v>1193</v>
      </c>
      <c r="C1200" s="37" t="s">
        <v>19</v>
      </c>
      <c r="D1200" s="37" t="s">
        <v>332</v>
      </c>
      <c r="E1200" s="37" t="s">
        <v>382</v>
      </c>
      <c r="F1200" s="37" t="s">
        <v>384</v>
      </c>
      <c r="G1200" s="38" t="s">
        <v>13</v>
      </c>
      <c r="H1200" s="39">
        <v>6974</v>
      </c>
      <c r="I1200" s="40">
        <v>82.563808399999999</v>
      </c>
      <c r="J1200" s="39">
        <v>7815</v>
      </c>
      <c r="K1200" s="40">
        <v>94.203454899999997</v>
      </c>
    </row>
    <row r="1201" spans="1:11" ht="15" hidden="1" customHeight="1">
      <c r="A1201" s="7"/>
      <c r="B1201" s="36">
        <v>1194</v>
      </c>
      <c r="C1201" s="37" t="s">
        <v>19</v>
      </c>
      <c r="D1201" s="37" t="s">
        <v>332</v>
      </c>
      <c r="E1201" s="37" t="s">
        <v>382</v>
      </c>
      <c r="F1201" s="37" t="s">
        <v>384</v>
      </c>
      <c r="G1201" s="38" t="s">
        <v>14</v>
      </c>
      <c r="H1201" s="39">
        <v>6292</v>
      </c>
      <c r="I1201" s="40">
        <v>22.155117600000001</v>
      </c>
      <c r="J1201" s="39">
        <v>6390</v>
      </c>
      <c r="K1201" s="40">
        <v>50.328638499999997</v>
      </c>
    </row>
    <row r="1202" spans="1:11" ht="15" customHeight="1">
      <c r="A1202" s="7"/>
      <c r="B1202" s="41">
        <v>1195</v>
      </c>
      <c r="C1202" s="42" t="s">
        <v>19</v>
      </c>
      <c r="D1202" s="47" t="s">
        <v>332</v>
      </c>
      <c r="E1202" s="47" t="s">
        <v>382</v>
      </c>
      <c r="F1202" s="47" t="s">
        <v>385</v>
      </c>
      <c r="G1202" s="48" t="s">
        <v>385</v>
      </c>
      <c r="H1202" s="43">
        <v>45889</v>
      </c>
      <c r="I1202" s="44">
        <v>60.225762199999998</v>
      </c>
      <c r="J1202" s="43">
        <v>42102</v>
      </c>
      <c r="K1202" s="44">
        <v>88.209586200000004</v>
      </c>
    </row>
    <row r="1203" spans="1:11" ht="15" hidden="1" customHeight="1">
      <c r="A1203" s="7"/>
      <c r="B1203" s="36">
        <v>1196</v>
      </c>
      <c r="C1203" s="37" t="s">
        <v>19</v>
      </c>
      <c r="D1203" s="37" t="s">
        <v>332</v>
      </c>
      <c r="E1203" s="37" t="s">
        <v>382</v>
      </c>
      <c r="F1203" s="37" t="s">
        <v>385</v>
      </c>
      <c r="G1203" s="38" t="s">
        <v>13</v>
      </c>
      <c r="H1203" s="39">
        <v>18843</v>
      </c>
      <c r="I1203" s="40">
        <v>86.2070796</v>
      </c>
      <c r="J1203" s="39">
        <v>23007</v>
      </c>
      <c r="K1203" s="40">
        <v>97.648541699999996</v>
      </c>
    </row>
    <row r="1204" spans="1:11" ht="15" hidden="1" customHeight="1">
      <c r="A1204" s="7"/>
      <c r="B1204" s="36">
        <v>1197</v>
      </c>
      <c r="C1204" s="37" t="s">
        <v>19</v>
      </c>
      <c r="D1204" s="37" t="s">
        <v>332</v>
      </c>
      <c r="E1204" s="37" t="s">
        <v>382</v>
      </c>
      <c r="F1204" s="37" t="s">
        <v>385</v>
      </c>
      <c r="G1204" s="38" t="s">
        <v>14</v>
      </c>
      <c r="H1204" s="39">
        <v>27046</v>
      </c>
      <c r="I1204" s="40">
        <v>42.124528599999998</v>
      </c>
      <c r="J1204" s="39">
        <v>19095</v>
      </c>
      <c r="K1204" s="40">
        <v>76.836868300000006</v>
      </c>
    </row>
    <row r="1205" spans="1:11" ht="15" customHeight="1">
      <c r="A1205" s="7"/>
      <c r="B1205" s="41">
        <v>1198</v>
      </c>
      <c r="C1205" s="42" t="s">
        <v>19</v>
      </c>
      <c r="D1205" s="47" t="s">
        <v>332</v>
      </c>
      <c r="E1205" s="47" t="s">
        <v>382</v>
      </c>
      <c r="F1205" s="47" t="s">
        <v>386</v>
      </c>
      <c r="G1205" s="48" t="s">
        <v>386</v>
      </c>
      <c r="H1205" s="43">
        <v>6446</v>
      </c>
      <c r="I1205" s="44">
        <v>14.6447409</v>
      </c>
      <c r="J1205" s="43">
        <v>6265</v>
      </c>
      <c r="K1205" s="44">
        <v>26.767757400000001</v>
      </c>
    </row>
    <row r="1206" spans="1:11" ht="15" hidden="1" customHeight="1">
      <c r="A1206" s="7"/>
      <c r="B1206" s="36">
        <v>1199</v>
      </c>
      <c r="C1206" s="37" t="s">
        <v>19</v>
      </c>
      <c r="D1206" s="37" t="s">
        <v>332</v>
      </c>
      <c r="E1206" s="37" t="s">
        <v>382</v>
      </c>
      <c r="F1206" s="37" t="s">
        <v>386</v>
      </c>
      <c r="G1206" s="38" t="s">
        <v>13</v>
      </c>
      <c r="H1206" s="39"/>
      <c r="I1206" s="40"/>
      <c r="J1206" s="39"/>
      <c r="K1206" s="40"/>
    </row>
    <row r="1207" spans="1:11" ht="15" hidden="1" customHeight="1">
      <c r="A1207" s="7"/>
      <c r="B1207" s="36">
        <v>1200</v>
      </c>
      <c r="C1207" s="37" t="s">
        <v>19</v>
      </c>
      <c r="D1207" s="37" t="s">
        <v>332</v>
      </c>
      <c r="E1207" s="37" t="s">
        <v>382</v>
      </c>
      <c r="F1207" s="37" t="s">
        <v>386</v>
      </c>
      <c r="G1207" s="38" t="s">
        <v>14</v>
      </c>
      <c r="H1207" s="39">
        <v>6446</v>
      </c>
      <c r="I1207" s="40">
        <v>14.6447409</v>
      </c>
      <c r="J1207" s="39">
        <v>6265</v>
      </c>
      <c r="K1207" s="40">
        <v>26.767757400000001</v>
      </c>
    </row>
    <row r="1208" spans="1:11" ht="15" customHeight="1">
      <c r="A1208" s="7"/>
      <c r="B1208" s="41">
        <v>1201</v>
      </c>
      <c r="C1208" s="42" t="s">
        <v>19</v>
      </c>
      <c r="D1208" s="47" t="s">
        <v>332</v>
      </c>
      <c r="E1208" s="47" t="s">
        <v>382</v>
      </c>
      <c r="F1208" s="47" t="s">
        <v>387</v>
      </c>
      <c r="G1208" s="48" t="s">
        <v>387</v>
      </c>
      <c r="H1208" s="43">
        <v>6887</v>
      </c>
      <c r="I1208" s="44">
        <v>76.651662599999995</v>
      </c>
      <c r="J1208" s="43">
        <v>8311</v>
      </c>
      <c r="K1208" s="44">
        <v>85.838046000000006</v>
      </c>
    </row>
    <row r="1209" spans="1:11" ht="15" hidden="1" customHeight="1">
      <c r="A1209" s="7"/>
      <c r="B1209" s="36">
        <v>1202</v>
      </c>
      <c r="C1209" s="37" t="s">
        <v>19</v>
      </c>
      <c r="D1209" s="37" t="s">
        <v>332</v>
      </c>
      <c r="E1209" s="37" t="s">
        <v>382</v>
      </c>
      <c r="F1209" s="37" t="s">
        <v>387</v>
      </c>
      <c r="G1209" s="38" t="s">
        <v>13</v>
      </c>
      <c r="H1209" s="39">
        <v>6032</v>
      </c>
      <c r="I1209" s="40">
        <v>83.189655200000004</v>
      </c>
      <c r="J1209" s="39">
        <v>7167</v>
      </c>
      <c r="K1209" s="40">
        <v>94.083996099999993</v>
      </c>
    </row>
    <row r="1210" spans="1:11" ht="15" hidden="1" customHeight="1">
      <c r="A1210" s="7"/>
      <c r="B1210" s="36">
        <v>1203</v>
      </c>
      <c r="C1210" s="37" t="s">
        <v>19</v>
      </c>
      <c r="D1210" s="37" t="s">
        <v>332</v>
      </c>
      <c r="E1210" s="37" t="s">
        <v>382</v>
      </c>
      <c r="F1210" s="37" t="s">
        <v>387</v>
      </c>
      <c r="G1210" s="38" t="s">
        <v>14</v>
      </c>
      <c r="H1210" s="39">
        <v>855</v>
      </c>
      <c r="I1210" s="40">
        <v>30.526315799999999</v>
      </c>
      <c r="J1210" s="39">
        <v>1144</v>
      </c>
      <c r="K1210" s="40">
        <v>34.178321699999998</v>
      </c>
    </row>
    <row r="1211" spans="1:11" ht="15" customHeight="1">
      <c r="A1211" s="7"/>
      <c r="B1211" s="41">
        <v>1204</v>
      </c>
      <c r="C1211" s="42" t="s">
        <v>19</v>
      </c>
      <c r="D1211" s="47" t="s">
        <v>332</v>
      </c>
      <c r="E1211" s="47" t="s">
        <v>382</v>
      </c>
      <c r="F1211" s="47" t="s">
        <v>388</v>
      </c>
      <c r="G1211" s="48" t="s">
        <v>388</v>
      </c>
      <c r="H1211" s="43">
        <v>21240</v>
      </c>
      <c r="I1211" s="44">
        <v>86.064030099999997</v>
      </c>
      <c r="J1211" s="43">
        <v>23769</v>
      </c>
      <c r="K1211" s="44">
        <v>95.855946799999998</v>
      </c>
    </row>
    <row r="1212" spans="1:11" ht="15" hidden="1" customHeight="1">
      <c r="A1212" s="7"/>
      <c r="B1212" s="36">
        <v>1205</v>
      </c>
      <c r="C1212" s="37" t="s">
        <v>19</v>
      </c>
      <c r="D1212" s="37" t="s">
        <v>332</v>
      </c>
      <c r="E1212" s="37" t="s">
        <v>382</v>
      </c>
      <c r="F1212" s="37" t="s">
        <v>388</v>
      </c>
      <c r="G1212" s="38" t="s">
        <v>13</v>
      </c>
      <c r="H1212" s="39">
        <v>7994</v>
      </c>
      <c r="I1212" s="40">
        <v>95.271453600000001</v>
      </c>
      <c r="J1212" s="39">
        <v>10428</v>
      </c>
      <c r="K1212" s="40">
        <v>99.2232451</v>
      </c>
    </row>
    <row r="1213" spans="1:11" ht="15" hidden="1" customHeight="1">
      <c r="A1213" s="7"/>
      <c r="B1213" s="36">
        <v>1206</v>
      </c>
      <c r="C1213" s="37" t="s">
        <v>19</v>
      </c>
      <c r="D1213" s="37" t="s">
        <v>332</v>
      </c>
      <c r="E1213" s="37" t="s">
        <v>382</v>
      </c>
      <c r="F1213" s="37" t="s">
        <v>388</v>
      </c>
      <c r="G1213" s="38" t="s">
        <v>14</v>
      </c>
      <c r="H1213" s="39">
        <v>13246</v>
      </c>
      <c r="I1213" s="40">
        <v>80.507323</v>
      </c>
      <c r="J1213" s="39">
        <v>13341</v>
      </c>
      <c r="K1213" s="40">
        <v>93.223896300000007</v>
      </c>
    </row>
    <row r="1214" spans="1:11" ht="15" hidden="1" customHeight="1">
      <c r="A1214" s="7"/>
      <c r="B1214" s="32">
        <v>1207</v>
      </c>
      <c r="C1214" s="33" t="s">
        <v>17</v>
      </c>
      <c r="D1214" s="46" t="s">
        <v>332</v>
      </c>
      <c r="E1214" s="46" t="s">
        <v>389</v>
      </c>
      <c r="F1214" s="46"/>
      <c r="G1214" s="33" t="s">
        <v>389</v>
      </c>
      <c r="H1214" s="34">
        <v>14000</v>
      </c>
      <c r="I1214" s="35">
        <v>48.65</v>
      </c>
      <c r="J1214" s="34">
        <v>14782</v>
      </c>
      <c r="K1214" s="35">
        <v>69.821404400000006</v>
      </c>
    </row>
    <row r="1215" spans="1:11" ht="15" hidden="1" customHeight="1">
      <c r="A1215" s="7"/>
      <c r="B1215" s="36">
        <v>1208</v>
      </c>
      <c r="C1215" s="37" t="s">
        <v>17</v>
      </c>
      <c r="D1215" s="37" t="s">
        <v>332</v>
      </c>
      <c r="E1215" s="37" t="s">
        <v>389</v>
      </c>
      <c r="F1215" s="37"/>
      <c r="G1215" s="38" t="s">
        <v>13</v>
      </c>
      <c r="H1215" s="39">
        <v>5987</v>
      </c>
      <c r="I1215" s="40">
        <v>84.867212300000006</v>
      </c>
      <c r="J1215" s="39">
        <v>7469</v>
      </c>
      <c r="K1215" s="40">
        <v>88.325076999999993</v>
      </c>
    </row>
    <row r="1216" spans="1:11" ht="15" hidden="1" customHeight="1">
      <c r="A1216" s="7"/>
      <c r="B1216" s="36">
        <v>1209</v>
      </c>
      <c r="C1216" s="37" t="s">
        <v>17</v>
      </c>
      <c r="D1216" s="37" t="s">
        <v>332</v>
      </c>
      <c r="E1216" s="37" t="s">
        <v>389</v>
      </c>
      <c r="F1216" s="37"/>
      <c r="G1216" s="38" t="s">
        <v>14</v>
      </c>
      <c r="H1216" s="39">
        <v>8013</v>
      </c>
      <c r="I1216" s="40">
        <v>21.5899164</v>
      </c>
      <c r="J1216" s="39">
        <v>7313</v>
      </c>
      <c r="K1216" s="40">
        <v>50.9230138</v>
      </c>
    </row>
    <row r="1217" spans="1:11" ht="15" customHeight="1">
      <c r="A1217" s="7"/>
      <c r="B1217" s="41">
        <v>1210</v>
      </c>
      <c r="C1217" s="42" t="s">
        <v>19</v>
      </c>
      <c r="D1217" s="47" t="s">
        <v>332</v>
      </c>
      <c r="E1217" s="47" t="s">
        <v>389</v>
      </c>
      <c r="F1217" s="47" t="s">
        <v>390</v>
      </c>
      <c r="G1217" s="48" t="s">
        <v>390</v>
      </c>
      <c r="H1217" s="43">
        <v>14000</v>
      </c>
      <c r="I1217" s="44">
        <v>48.65</v>
      </c>
      <c r="J1217" s="43">
        <v>14782</v>
      </c>
      <c r="K1217" s="44">
        <v>69.821404400000006</v>
      </c>
    </row>
    <row r="1218" spans="1:11" ht="15" hidden="1" customHeight="1">
      <c r="A1218" s="7"/>
      <c r="B1218" s="36">
        <v>1211</v>
      </c>
      <c r="C1218" s="37" t="s">
        <v>19</v>
      </c>
      <c r="D1218" s="37" t="s">
        <v>332</v>
      </c>
      <c r="E1218" s="37" t="s">
        <v>389</v>
      </c>
      <c r="F1218" s="37" t="s">
        <v>390</v>
      </c>
      <c r="G1218" s="38" t="s">
        <v>13</v>
      </c>
      <c r="H1218" s="39">
        <v>5987</v>
      </c>
      <c r="I1218" s="40">
        <v>84.867212300000006</v>
      </c>
      <c r="J1218" s="39">
        <v>7469</v>
      </c>
      <c r="K1218" s="40">
        <v>88.325076999999993</v>
      </c>
    </row>
    <row r="1219" spans="1:11" ht="15" hidden="1" customHeight="1">
      <c r="A1219" s="7"/>
      <c r="B1219" s="36">
        <v>1212</v>
      </c>
      <c r="C1219" s="37" t="s">
        <v>19</v>
      </c>
      <c r="D1219" s="37" t="s">
        <v>332</v>
      </c>
      <c r="E1219" s="37" t="s">
        <v>389</v>
      </c>
      <c r="F1219" s="37" t="s">
        <v>390</v>
      </c>
      <c r="G1219" s="38" t="s">
        <v>14</v>
      </c>
      <c r="H1219" s="39">
        <v>8013</v>
      </c>
      <c r="I1219" s="40">
        <v>21.5899164</v>
      </c>
      <c r="J1219" s="39">
        <v>7313</v>
      </c>
      <c r="K1219" s="40">
        <v>50.9230138</v>
      </c>
    </row>
    <row r="1220" spans="1:11" ht="15" hidden="1" customHeight="1">
      <c r="A1220" s="7"/>
      <c r="B1220" s="32">
        <v>1213</v>
      </c>
      <c r="C1220" s="33" t="s">
        <v>17</v>
      </c>
      <c r="D1220" s="46" t="s">
        <v>332</v>
      </c>
      <c r="E1220" s="46" t="s">
        <v>391</v>
      </c>
      <c r="F1220" s="46"/>
      <c r="G1220" s="33" t="s">
        <v>391</v>
      </c>
      <c r="H1220" s="34">
        <v>22605</v>
      </c>
      <c r="I1220" s="35">
        <v>68.582172099999994</v>
      </c>
      <c r="J1220" s="34">
        <v>22760</v>
      </c>
      <c r="K1220" s="35">
        <v>84.477152899999993</v>
      </c>
    </row>
    <row r="1221" spans="1:11" ht="15" hidden="1" customHeight="1">
      <c r="A1221" s="7"/>
      <c r="B1221" s="36">
        <v>1214</v>
      </c>
      <c r="C1221" s="37" t="s">
        <v>17</v>
      </c>
      <c r="D1221" s="37" t="s">
        <v>332</v>
      </c>
      <c r="E1221" s="37" t="s">
        <v>391</v>
      </c>
      <c r="F1221" s="37"/>
      <c r="G1221" s="38" t="s">
        <v>13</v>
      </c>
      <c r="H1221" s="39">
        <v>9065</v>
      </c>
      <c r="I1221" s="40">
        <v>96.922228399999995</v>
      </c>
      <c r="J1221" s="39">
        <v>9716</v>
      </c>
      <c r="K1221" s="40">
        <v>98.754631500000002</v>
      </c>
    </row>
    <row r="1222" spans="1:11" ht="15" hidden="1" customHeight="1">
      <c r="A1222" s="7"/>
      <c r="B1222" s="36">
        <v>1215</v>
      </c>
      <c r="C1222" s="37" t="s">
        <v>17</v>
      </c>
      <c r="D1222" s="37" t="s">
        <v>332</v>
      </c>
      <c r="E1222" s="37" t="s">
        <v>391</v>
      </c>
      <c r="F1222" s="37"/>
      <c r="G1222" s="38" t="s">
        <v>14</v>
      </c>
      <c r="H1222" s="39">
        <v>13540</v>
      </c>
      <c r="I1222" s="40">
        <v>49.608567200000003</v>
      </c>
      <c r="J1222" s="39">
        <v>13044</v>
      </c>
      <c r="K1222" s="40">
        <v>73.842379600000001</v>
      </c>
    </row>
    <row r="1223" spans="1:11" ht="15" customHeight="1">
      <c r="A1223" s="7"/>
      <c r="B1223" s="41">
        <v>1216</v>
      </c>
      <c r="C1223" s="42" t="s">
        <v>19</v>
      </c>
      <c r="D1223" s="47" t="s">
        <v>332</v>
      </c>
      <c r="E1223" s="47" t="s">
        <v>391</v>
      </c>
      <c r="F1223" s="47" t="s">
        <v>392</v>
      </c>
      <c r="G1223" s="48" t="s">
        <v>392</v>
      </c>
      <c r="H1223" s="43">
        <v>15641</v>
      </c>
      <c r="I1223" s="44">
        <v>64.778466800000004</v>
      </c>
      <c r="J1223" s="43">
        <v>16865</v>
      </c>
      <c r="K1223" s="44">
        <v>82.881707700000007</v>
      </c>
    </row>
    <row r="1224" spans="1:11" ht="15" hidden="1" customHeight="1">
      <c r="A1224" s="7"/>
      <c r="B1224" s="36">
        <v>1217</v>
      </c>
      <c r="C1224" s="37" t="s">
        <v>19</v>
      </c>
      <c r="D1224" s="37" t="s">
        <v>332</v>
      </c>
      <c r="E1224" s="37" t="s">
        <v>391</v>
      </c>
      <c r="F1224" s="37" t="s">
        <v>392</v>
      </c>
      <c r="G1224" s="38" t="s">
        <v>13</v>
      </c>
      <c r="H1224" s="39">
        <v>5172</v>
      </c>
      <c r="I1224" s="40">
        <v>97.196442399999995</v>
      </c>
      <c r="J1224" s="39">
        <v>6111</v>
      </c>
      <c r="K1224" s="40">
        <v>99.476354099999995</v>
      </c>
    </row>
    <row r="1225" spans="1:11" ht="15" hidden="1" customHeight="1">
      <c r="A1225" s="7"/>
      <c r="B1225" s="36">
        <v>1218</v>
      </c>
      <c r="C1225" s="37" t="s">
        <v>19</v>
      </c>
      <c r="D1225" s="37" t="s">
        <v>332</v>
      </c>
      <c r="E1225" s="37" t="s">
        <v>391</v>
      </c>
      <c r="F1225" s="37" t="s">
        <v>392</v>
      </c>
      <c r="G1225" s="38" t="s">
        <v>14</v>
      </c>
      <c r="H1225" s="39">
        <v>10469</v>
      </c>
      <c r="I1225" s="40">
        <v>48.763014599999998</v>
      </c>
      <c r="J1225" s="39">
        <v>10754</v>
      </c>
      <c r="K1225" s="40">
        <v>73.451738899999995</v>
      </c>
    </row>
    <row r="1226" spans="1:11" ht="15" customHeight="1">
      <c r="A1226" s="7"/>
      <c r="B1226" s="41">
        <v>1219</v>
      </c>
      <c r="C1226" s="42" t="s">
        <v>19</v>
      </c>
      <c r="D1226" s="47" t="s">
        <v>332</v>
      </c>
      <c r="E1226" s="47" t="s">
        <v>391</v>
      </c>
      <c r="F1226" s="47" t="s">
        <v>393</v>
      </c>
      <c r="G1226" s="48" t="s">
        <v>393</v>
      </c>
      <c r="H1226" s="43">
        <v>6964</v>
      </c>
      <c r="I1226" s="44">
        <v>77.125215400000002</v>
      </c>
      <c r="J1226" s="43">
        <v>5895</v>
      </c>
      <c r="K1226" s="44">
        <v>89.041560599999997</v>
      </c>
    </row>
    <row r="1227" spans="1:11" ht="15" hidden="1" customHeight="1">
      <c r="A1227" s="7"/>
      <c r="B1227" s="36">
        <v>1220</v>
      </c>
      <c r="C1227" s="37" t="s">
        <v>19</v>
      </c>
      <c r="D1227" s="37" t="s">
        <v>332</v>
      </c>
      <c r="E1227" s="37" t="s">
        <v>391</v>
      </c>
      <c r="F1227" s="37" t="s">
        <v>393</v>
      </c>
      <c r="G1227" s="38" t="s">
        <v>13</v>
      </c>
      <c r="H1227" s="39">
        <v>3893</v>
      </c>
      <c r="I1227" s="40">
        <v>96.557924499999999</v>
      </c>
      <c r="J1227" s="39">
        <v>3605</v>
      </c>
      <c r="K1227" s="40">
        <v>97.531206699999998</v>
      </c>
    </row>
    <row r="1228" spans="1:11" ht="15" hidden="1" customHeight="1">
      <c r="A1228" s="7"/>
      <c r="B1228" s="36">
        <v>1221</v>
      </c>
      <c r="C1228" s="37" t="s">
        <v>19</v>
      </c>
      <c r="D1228" s="37" t="s">
        <v>332</v>
      </c>
      <c r="E1228" s="37" t="s">
        <v>391</v>
      </c>
      <c r="F1228" s="37" t="s">
        <v>393</v>
      </c>
      <c r="G1228" s="38" t="s">
        <v>14</v>
      </c>
      <c r="H1228" s="39">
        <v>3071</v>
      </c>
      <c r="I1228" s="40">
        <v>52.491045300000003</v>
      </c>
      <c r="J1228" s="39">
        <v>2290</v>
      </c>
      <c r="K1228" s="40">
        <v>75.676855900000007</v>
      </c>
    </row>
    <row r="1229" spans="1:11" ht="15" hidden="1" customHeight="1">
      <c r="A1229" s="7"/>
      <c r="B1229" s="32">
        <v>1222</v>
      </c>
      <c r="C1229" s="33" t="s">
        <v>17</v>
      </c>
      <c r="D1229" s="46" t="s">
        <v>332</v>
      </c>
      <c r="E1229" s="46" t="s">
        <v>394</v>
      </c>
      <c r="F1229" s="46"/>
      <c r="G1229" s="33" t="s">
        <v>394</v>
      </c>
      <c r="H1229" s="34">
        <v>39896</v>
      </c>
      <c r="I1229" s="35">
        <v>74.884700199999997</v>
      </c>
      <c r="J1229" s="34">
        <v>41558</v>
      </c>
      <c r="K1229" s="35">
        <v>87.4873671</v>
      </c>
    </row>
    <row r="1230" spans="1:11" ht="15" hidden="1" customHeight="1">
      <c r="A1230" s="7"/>
      <c r="B1230" s="36">
        <v>1223</v>
      </c>
      <c r="C1230" s="37" t="s">
        <v>17</v>
      </c>
      <c r="D1230" s="37" t="s">
        <v>332</v>
      </c>
      <c r="E1230" s="37" t="s">
        <v>394</v>
      </c>
      <c r="F1230" s="37"/>
      <c r="G1230" s="38" t="s">
        <v>13</v>
      </c>
      <c r="H1230" s="39">
        <v>33122</v>
      </c>
      <c r="I1230" s="40">
        <v>84.237063000000006</v>
      </c>
      <c r="J1230" s="39">
        <v>31512</v>
      </c>
      <c r="K1230" s="40">
        <v>95.823813200000004</v>
      </c>
    </row>
    <row r="1231" spans="1:11" ht="15" hidden="1" customHeight="1">
      <c r="A1231" s="7"/>
      <c r="B1231" s="36">
        <v>1224</v>
      </c>
      <c r="C1231" s="37" t="s">
        <v>17</v>
      </c>
      <c r="D1231" s="37" t="s">
        <v>332</v>
      </c>
      <c r="E1231" s="37" t="s">
        <v>394</v>
      </c>
      <c r="F1231" s="37"/>
      <c r="G1231" s="38" t="s">
        <v>14</v>
      </c>
      <c r="H1231" s="39">
        <v>6774</v>
      </c>
      <c r="I1231" s="40">
        <v>29.155594900000001</v>
      </c>
      <c r="J1231" s="39">
        <v>10046</v>
      </c>
      <c r="K1231" s="40">
        <v>61.337845899999998</v>
      </c>
    </row>
    <row r="1232" spans="1:11" ht="15" customHeight="1">
      <c r="A1232" s="7"/>
      <c r="B1232" s="41">
        <v>1225</v>
      </c>
      <c r="C1232" s="42" t="s">
        <v>19</v>
      </c>
      <c r="D1232" s="47" t="s">
        <v>332</v>
      </c>
      <c r="E1232" s="47" t="s">
        <v>394</v>
      </c>
      <c r="F1232" s="47" t="s">
        <v>395</v>
      </c>
      <c r="G1232" s="48" t="s">
        <v>395</v>
      </c>
      <c r="H1232" s="43">
        <v>18305</v>
      </c>
      <c r="I1232" s="44">
        <v>78.983884200000006</v>
      </c>
      <c r="J1232" s="43">
        <v>16129</v>
      </c>
      <c r="K1232" s="44">
        <v>91.016182000000001</v>
      </c>
    </row>
    <row r="1233" spans="1:11" ht="15" hidden="1" customHeight="1">
      <c r="A1233" s="7"/>
      <c r="B1233" s="36">
        <v>1226</v>
      </c>
      <c r="C1233" s="37" t="s">
        <v>19</v>
      </c>
      <c r="D1233" s="37" t="s">
        <v>332</v>
      </c>
      <c r="E1233" s="37" t="s">
        <v>394</v>
      </c>
      <c r="F1233" s="37" t="s">
        <v>395</v>
      </c>
      <c r="G1233" s="38" t="s">
        <v>13</v>
      </c>
      <c r="H1233" s="39">
        <v>14997</v>
      </c>
      <c r="I1233" s="40">
        <v>85.4237514</v>
      </c>
      <c r="J1233" s="39">
        <v>11185</v>
      </c>
      <c r="K1233" s="40">
        <v>97.407241799999994</v>
      </c>
    </row>
    <row r="1234" spans="1:11" ht="15" hidden="1" customHeight="1">
      <c r="A1234" s="7"/>
      <c r="B1234" s="36">
        <v>1227</v>
      </c>
      <c r="C1234" s="37" t="s">
        <v>19</v>
      </c>
      <c r="D1234" s="37" t="s">
        <v>332</v>
      </c>
      <c r="E1234" s="37" t="s">
        <v>394</v>
      </c>
      <c r="F1234" s="37" t="s">
        <v>395</v>
      </c>
      <c r="G1234" s="38" t="s">
        <v>14</v>
      </c>
      <c r="H1234" s="39">
        <v>3308</v>
      </c>
      <c r="I1234" s="40">
        <v>49.788391799999999</v>
      </c>
      <c r="J1234" s="39">
        <v>4944</v>
      </c>
      <c r="K1234" s="40">
        <v>76.557443399999997</v>
      </c>
    </row>
    <row r="1235" spans="1:11" ht="15" customHeight="1">
      <c r="A1235" s="7"/>
      <c r="B1235" s="41">
        <v>1228</v>
      </c>
      <c r="C1235" s="42" t="s">
        <v>19</v>
      </c>
      <c r="D1235" s="47" t="s">
        <v>332</v>
      </c>
      <c r="E1235" s="47" t="s">
        <v>394</v>
      </c>
      <c r="F1235" s="47" t="s">
        <v>396</v>
      </c>
      <c r="G1235" s="48" t="s">
        <v>396</v>
      </c>
      <c r="H1235" s="43">
        <v>15537</v>
      </c>
      <c r="I1235" s="44">
        <v>91.420480100000006</v>
      </c>
      <c r="J1235" s="43">
        <v>16963</v>
      </c>
      <c r="K1235" s="44">
        <v>96.840181599999994</v>
      </c>
    </row>
    <row r="1236" spans="1:11" ht="15" hidden="1" customHeight="1">
      <c r="A1236" s="7"/>
      <c r="B1236" s="36">
        <v>1229</v>
      </c>
      <c r="C1236" s="37" t="s">
        <v>19</v>
      </c>
      <c r="D1236" s="37" t="s">
        <v>332</v>
      </c>
      <c r="E1236" s="37" t="s">
        <v>394</v>
      </c>
      <c r="F1236" s="37" t="s">
        <v>396</v>
      </c>
      <c r="G1236" s="38" t="s">
        <v>13</v>
      </c>
      <c r="H1236" s="39">
        <v>15305</v>
      </c>
      <c r="I1236" s="40">
        <v>92.544920000000005</v>
      </c>
      <c r="J1236" s="39">
        <v>16617</v>
      </c>
      <c r="K1236" s="40">
        <v>97.646987999999993</v>
      </c>
    </row>
    <row r="1237" spans="1:11" ht="15" hidden="1" customHeight="1">
      <c r="A1237" s="7"/>
      <c r="B1237" s="36">
        <v>1230</v>
      </c>
      <c r="C1237" s="37" t="s">
        <v>19</v>
      </c>
      <c r="D1237" s="37" t="s">
        <v>332</v>
      </c>
      <c r="E1237" s="37" t="s">
        <v>394</v>
      </c>
      <c r="F1237" s="37" t="s">
        <v>396</v>
      </c>
      <c r="G1237" s="38" t="s">
        <v>14</v>
      </c>
      <c r="H1237" s="39">
        <v>232</v>
      </c>
      <c r="I1237" s="40">
        <v>17.241379299999998</v>
      </c>
      <c r="J1237" s="39">
        <v>346</v>
      </c>
      <c r="K1237" s="40">
        <v>58.092485500000002</v>
      </c>
    </row>
    <row r="1238" spans="1:11" ht="15" customHeight="1">
      <c r="A1238" s="7"/>
      <c r="B1238" s="41">
        <v>1231</v>
      </c>
      <c r="C1238" s="42" t="s">
        <v>19</v>
      </c>
      <c r="D1238" s="47" t="s">
        <v>332</v>
      </c>
      <c r="E1238" s="47" t="s">
        <v>394</v>
      </c>
      <c r="F1238" s="47" t="s">
        <v>397</v>
      </c>
      <c r="G1238" s="48" t="s">
        <v>397</v>
      </c>
      <c r="H1238" s="43">
        <v>6054</v>
      </c>
      <c r="I1238" s="44">
        <v>20.052857599999999</v>
      </c>
      <c r="J1238" s="43">
        <v>8466</v>
      </c>
      <c r="K1238" s="44">
        <v>62.024568899999998</v>
      </c>
    </row>
    <row r="1239" spans="1:11" ht="15" hidden="1" customHeight="1">
      <c r="A1239" s="7"/>
      <c r="B1239" s="36">
        <v>1232</v>
      </c>
      <c r="C1239" s="37" t="s">
        <v>19</v>
      </c>
      <c r="D1239" s="37" t="s">
        <v>332</v>
      </c>
      <c r="E1239" s="37" t="s">
        <v>394</v>
      </c>
      <c r="F1239" s="37" t="s">
        <v>397</v>
      </c>
      <c r="G1239" s="38" t="s">
        <v>13</v>
      </c>
      <c r="H1239" s="39">
        <v>2820</v>
      </c>
      <c r="I1239" s="40">
        <v>32.836879400000001</v>
      </c>
      <c r="J1239" s="39">
        <v>3710</v>
      </c>
      <c r="K1239" s="40">
        <v>82.884096999999997</v>
      </c>
    </row>
    <row r="1240" spans="1:11" ht="15" hidden="1" customHeight="1">
      <c r="A1240" s="7"/>
      <c r="B1240" s="36">
        <v>1233</v>
      </c>
      <c r="C1240" s="37" t="s">
        <v>19</v>
      </c>
      <c r="D1240" s="37" t="s">
        <v>332</v>
      </c>
      <c r="E1240" s="37" t="s">
        <v>394</v>
      </c>
      <c r="F1240" s="37" t="s">
        <v>397</v>
      </c>
      <c r="G1240" s="38" t="s">
        <v>14</v>
      </c>
      <c r="H1240" s="39">
        <v>3234</v>
      </c>
      <c r="I1240" s="40">
        <v>8.9053802999999991</v>
      </c>
      <c r="J1240" s="39">
        <v>4756</v>
      </c>
      <c r="K1240" s="40">
        <v>45.752733399999997</v>
      </c>
    </row>
    <row r="1241" spans="1:11" ht="15" hidden="1" customHeight="1">
      <c r="A1241" s="7"/>
      <c r="B1241" s="32">
        <v>1234</v>
      </c>
      <c r="C1241" s="33" t="s">
        <v>17</v>
      </c>
      <c r="D1241" s="46" t="s">
        <v>332</v>
      </c>
      <c r="E1241" s="46" t="s">
        <v>398</v>
      </c>
      <c r="F1241" s="46"/>
      <c r="G1241" s="33" t="s">
        <v>398</v>
      </c>
      <c r="H1241" s="34">
        <v>46552</v>
      </c>
      <c r="I1241" s="35">
        <v>50.9816979</v>
      </c>
      <c r="J1241" s="34">
        <v>56538</v>
      </c>
      <c r="K1241" s="35">
        <v>65.299444600000001</v>
      </c>
    </row>
    <row r="1242" spans="1:11" ht="15" hidden="1" customHeight="1">
      <c r="A1242" s="7"/>
      <c r="B1242" s="36">
        <v>1235</v>
      </c>
      <c r="C1242" s="37" t="s">
        <v>17</v>
      </c>
      <c r="D1242" s="37" t="s">
        <v>332</v>
      </c>
      <c r="E1242" s="37" t="s">
        <v>398</v>
      </c>
      <c r="F1242" s="37"/>
      <c r="G1242" s="38" t="s">
        <v>13</v>
      </c>
      <c r="H1242" s="39">
        <v>29824</v>
      </c>
      <c r="I1242" s="40">
        <v>61.715397000000003</v>
      </c>
      <c r="J1242" s="39">
        <v>31124</v>
      </c>
      <c r="K1242" s="40">
        <v>77.740650299999999</v>
      </c>
    </row>
    <row r="1243" spans="1:11" ht="15" hidden="1" customHeight="1">
      <c r="A1243" s="7"/>
      <c r="B1243" s="36">
        <v>1236</v>
      </c>
      <c r="C1243" s="37" t="s">
        <v>17</v>
      </c>
      <c r="D1243" s="37" t="s">
        <v>332</v>
      </c>
      <c r="E1243" s="37" t="s">
        <v>398</v>
      </c>
      <c r="F1243" s="37"/>
      <c r="G1243" s="38" t="s">
        <v>14</v>
      </c>
      <c r="H1243" s="39">
        <v>16728</v>
      </c>
      <c r="I1243" s="40">
        <v>31.844811100000001</v>
      </c>
      <c r="J1243" s="39">
        <v>25414</v>
      </c>
      <c r="K1243" s="40">
        <v>50.062957400000002</v>
      </c>
    </row>
    <row r="1244" spans="1:11" ht="15" customHeight="1">
      <c r="A1244" s="7"/>
      <c r="B1244" s="41">
        <v>1237</v>
      </c>
      <c r="C1244" s="42" t="s">
        <v>19</v>
      </c>
      <c r="D1244" s="47" t="s">
        <v>332</v>
      </c>
      <c r="E1244" s="47" t="s">
        <v>398</v>
      </c>
      <c r="F1244" s="47" t="s">
        <v>399</v>
      </c>
      <c r="G1244" s="48" t="s">
        <v>399</v>
      </c>
      <c r="H1244" s="43">
        <v>25937</v>
      </c>
      <c r="I1244" s="44">
        <v>61.942398900000001</v>
      </c>
      <c r="J1244" s="43">
        <v>33430</v>
      </c>
      <c r="K1244" s="44">
        <v>70.885432199999997</v>
      </c>
    </row>
    <row r="1245" spans="1:11" ht="15" hidden="1" customHeight="1">
      <c r="A1245" s="7"/>
      <c r="B1245" s="36">
        <v>1238</v>
      </c>
      <c r="C1245" s="37" t="s">
        <v>19</v>
      </c>
      <c r="D1245" s="37" t="s">
        <v>332</v>
      </c>
      <c r="E1245" s="37" t="s">
        <v>398</v>
      </c>
      <c r="F1245" s="37" t="s">
        <v>399</v>
      </c>
      <c r="G1245" s="38" t="s">
        <v>13</v>
      </c>
      <c r="H1245" s="39">
        <v>19411</v>
      </c>
      <c r="I1245" s="40">
        <v>69.682139000000006</v>
      </c>
      <c r="J1245" s="39">
        <v>22993</v>
      </c>
      <c r="K1245" s="40">
        <v>80.950724100000002</v>
      </c>
    </row>
    <row r="1246" spans="1:11" ht="15" hidden="1" customHeight="1">
      <c r="A1246" s="7"/>
      <c r="B1246" s="36">
        <v>1239</v>
      </c>
      <c r="C1246" s="37" t="s">
        <v>19</v>
      </c>
      <c r="D1246" s="37" t="s">
        <v>332</v>
      </c>
      <c r="E1246" s="37" t="s">
        <v>398</v>
      </c>
      <c r="F1246" s="37" t="s">
        <v>399</v>
      </c>
      <c r="G1246" s="38" t="s">
        <v>14</v>
      </c>
      <c r="H1246" s="39">
        <v>6526</v>
      </c>
      <c r="I1246" s="40">
        <v>38.921238099999997</v>
      </c>
      <c r="J1246" s="39">
        <v>10437</v>
      </c>
      <c r="K1246" s="40">
        <v>48.711315499999998</v>
      </c>
    </row>
    <row r="1247" spans="1:11" ht="15" customHeight="1">
      <c r="A1247" s="7"/>
      <c r="B1247" s="41">
        <v>1240</v>
      </c>
      <c r="C1247" s="42" t="s">
        <v>19</v>
      </c>
      <c r="D1247" s="47" t="s">
        <v>332</v>
      </c>
      <c r="E1247" s="47" t="s">
        <v>398</v>
      </c>
      <c r="F1247" s="47" t="s">
        <v>400</v>
      </c>
      <c r="G1247" s="48" t="s">
        <v>400</v>
      </c>
      <c r="H1247" s="43">
        <v>6782</v>
      </c>
      <c r="I1247" s="44">
        <v>35.343556499999998</v>
      </c>
      <c r="J1247" s="43">
        <v>6369</v>
      </c>
      <c r="K1247" s="44">
        <v>51.138326300000003</v>
      </c>
    </row>
    <row r="1248" spans="1:11" ht="15" hidden="1" customHeight="1">
      <c r="A1248" s="7"/>
      <c r="B1248" s="36">
        <v>1241</v>
      </c>
      <c r="C1248" s="37" t="s">
        <v>19</v>
      </c>
      <c r="D1248" s="37" t="s">
        <v>332</v>
      </c>
      <c r="E1248" s="37" t="s">
        <v>398</v>
      </c>
      <c r="F1248" s="37" t="s">
        <v>400</v>
      </c>
      <c r="G1248" s="38" t="s">
        <v>13</v>
      </c>
      <c r="H1248" s="39">
        <v>6164</v>
      </c>
      <c r="I1248" s="40">
        <v>37.443218700000003</v>
      </c>
      <c r="J1248" s="39">
        <v>5322</v>
      </c>
      <c r="K1248" s="40">
        <v>57.158962799999998</v>
      </c>
    </row>
    <row r="1249" spans="1:11" ht="15" hidden="1" customHeight="1">
      <c r="A1249" s="7"/>
      <c r="B1249" s="36">
        <v>1242</v>
      </c>
      <c r="C1249" s="37" t="s">
        <v>19</v>
      </c>
      <c r="D1249" s="37" t="s">
        <v>332</v>
      </c>
      <c r="E1249" s="37" t="s">
        <v>398</v>
      </c>
      <c r="F1249" s="37" t="s">
        <v>400</v>
      </c>
      <c r="G1249" s="38" t="s">
        <v>14</v>
      </c>
      <c r="H1249" s="39">
        <v>618</v>
      </c>
      <c r="I1249" s="40">
        <v>14.401294500000001</v>
      </c>
      <c r="J1249" s="39">
        <v>1047</v>
      </c>
      <c r="K1249" s="40">
        <v>20.534861500000002</v>
      </c>
    </row>
    <row r="1250" spans="1:11" ht="15" customHeight="1">
      <c r="A1250" s="7"/>
      <c r="B1250" s="41">
        <v>1243</v>
      </c>
      <c r="C1250" s="42" t="s">
        <v>19</v>
      </c>
      <c r="D1250" s="47" t="s">
        <v>332</v>
      </c>
      <c r="E1250" s="47" t="s">
        <v>398</v>
      </c>
      <c r="F1250" s="47" t="s">
        <v>330</v>
      </c>
      <c r="G1250" s="48" t="s">
        <v>330</v>
      </c>
      <c r="H1250" s="43">
        <v>13833</v>
      </c>
      <c r="I1250" s="44">
        <v>38.097303500000002</v>
      </c>
      <c r="J1250" s="43">
        <v>16739</v>
      </c>
      <c r="K1250" s="44">
        <v>59.531632700000003</v>
      </c>
    </row>
    <row r="1251" spans="1:11" ht="15" hidden="1" customHeight="1">
      <c r="A1251" s="7"/>
      <c r="B1251" s="36">
        <v>1244</v>
      </c>
      <c r="C1251" s="37" t="s">
        <v>19</v>
      </c>
      <c r="D1251" s="37" t="s">
        <v>332</v>
      </c>
      <c r="E1251" s="37" t="s">
        <v>398</v>
      </c>
      <c r="F1251" s="37" t="s">
        <v>330</v>
      </c>
      <c r="G1251" s="38" t="s">
        <v>13</v>
      </c>
      <c r="H1251" s="39">
        <v>4249</v>
      </c>
      <c r="I1251" s="40">
        <v>60.531889900000003</v>
      </c>
      <c r="J1251" s="39">
        <v>2809</v>
      </c>
      <c r="K1251" s="40">
        <v>90.459238200000001</v>
      </c>
    </row>
    <row r="1252" spans="1:11" ht="15" hidden="1" customHeight="1">
      <c r="A1252" s="7"/>
      <c r="B1252" s="36">
        <v>1245</v>
      </c>
      <c r="C1252" s="37" t="s">
        <v>19</v>
      </c>
      <c r="D1252" s="37" t="s">
        <v>332</v>
      </c>
      <c r="E1252" s="37" t="s">
        <v>398</v>
      </c>
      <c r="F1252" s="37" t="s">
        <v>330</v>
      </c>
      <c r="G1252" s="38" t="s">
        <v>14</v>
      </c>
      <c r="H1252" s="39">
        <v>9584</v>
      </c>
      <c r="I1252" s="40">
        <v>28.1510851</v>
      </c>
      <c r="J1252" s="39">
        <v>13930</v>
      </c>
      <c r="K1252" s="40">
        <v>53.2950467</v>
      </c>
    </row>
    <row r="1253" spans="1:11" ht="15" hidden="1" customHeight="1">
      <c r="A1253" s="7"/>
      <c r="B1253" s="24">
        <v>1246</v>
      </c>
      <c r="C1253" s="25" t="s">
        <v>15</v>
      </c>
      <c r="D1253" s="25" t="s">
        <v>401</v>
      </c>
      <c r="E1253" s="25"/>
      <c r="F1253" s="25"/>
      <c r="G1253" s="25" t="s">
        <v>401</v>
      </c>
      <c r="H1253" s="26">
        <v>403141</v>
      </c>
      <c r="I1253" s="27">
        <v>64.579638399999993</v>
      </c>
      <c r="J1253" s="26">
        <v>469834</v>
      </c>
      <c r="K1253" s="27">
        <v>76.139444999999995</v>
      </c>
    </row>
    <row r="1254" spans="1:11" ht="15" hidden="1" customHeight="1">
      <c r="A1254" s="7"/>
      <c r="B1254" s="28">
        <v>1247</v>
      </c>
      <c r="C1254" s="29" t="s">
        <v>15</v>
      </c>
      <c r="D1254" s="45" t="s">
        <v>401</v>
      </c>
      <c r="E1254" s="45"/>
      <c r="F1254" s="45"/>
      <c r="G1254" s="29" t="s">
        <v>13</v>
      </c>
      <c r="H1254" s="30">
        <v>294749</v>
      </c>
      <c r="I1254" s="31">
        <v>83.363132699999994</v>
      </c>
      <c r="J1254" s="30">
        <v>341875</v>
      </c>
      <c r="K1254" s="31">
        <v>93.604095099999995</v>
      </c>
    </row>
    <row r="1255" spans="1:11" ht="15" hidden="1" customHeight="1">
      <c r="A1255" s="7"/>
      <c r="B1255" s="28">
        <v>1248</v>
      </c>
      <c r="C1255" s="29" t="s">
        <v>15</v>
      </c>
      <c r="D1255" s="45" t="s">
        <v>401</v>
      </c>
      <c r="E1255" s="45"/>
      <c r="F1255" s="45"/>
      <c r="G1255" s="29" t="s">
        <v>14</v>
      </c>
      <c r="H1255" s="30">
        <v>108392</v>
      </c>
      <c r="I1255" s="31">
        <v>13.501918999999999</v>
      </c>
      <c r="J1255" s="30">
        <v>127959</v>
      </c>
      <c r="K1255" s="31">
        <v>29.478192199999999</v>
      </c>
    </row>
    <row r="1256" spans="1:11" ht="15" hidden="1" customHeight="1">
      <c r="A1256" s="7"/>
      <c r="B1256" s="32">
        <v>1249</v>
      </c>
      <c r="C1256" s="33" t="s">
        <v>17</v>
      </c>
      <c r="D1256" s="46" t="s">
        <v>401</v>
      </c>
      <c r="E1256" s="46" t="s">
        <v>161</v>
      </c>
      <c r="F1256" s="46"/>
      <c r="G1256" s="33" t="s">
        <v>161</v>
      </c>
      <c r="H1256" s="34">
        <v>105704</v>
      </c>
      <c r="I1256" s="35">
        <v>90.677741600000004</v>
      </c>
      <c r="J1256" s="34">
        <v>129818</v>
      </c>
      <c r="K1256" s="35">
        <v>94.382905300000004</v>
      </c>
    </row>
    <row r="1257" spans="1:11" ht="15" hidden="1" customHeight="1">
      <c r="A1257" s="7"/>
      <c r="B1257" s="36">
        <v>1250</v>
      </c>
      <c r="C1257" s="37" t="s">
        <v>17</v>
      </c>
      <c r="D1257" s="37" t="s">
        <v>401</v>
      </c>
      <c r="E1257" s="37" t="s">
        <v>161</v>
      </c>
      <c r="F1257" s="37"/>
      <c r="G1257" s="38" t="s">
        <v>13</v>
      </c>
      <c r="H1257" s="39">
        <v>95899</v>
      </c>
      <c r="I1257" s="40">
        <v>96.101106400000006</v>
      </c>
      <c r="J1257" s="39">
        <v>116772</v>
      </c>
      <c r="K1257" s="40">
        <v>98.2059055</v>
      </c>
    </row>
    <row r="1258" spans="1:11" ht="15" hidden="1" customHeight="1">
      <c r="A1258" s="7"/>
      <c r="B1258" s="36">
        <v>1251</v>
      </c>
      <c r="C1258" s="37" t="s">
        <v>17</v>
      </c>
      <c r="D1258" s="37" t="s">
        <v>401</v>
      </c>
      <c r="E1258" s="37" t="s">
        <v>161</v>
      </c>
      <c r="F1258" s="37"/>
      <c r="G1258" s="38" t="s">
        <v>14</v>
      </c>
      <c r="H1258" s="39">
        <v>9805</v>
      </c>
      <c r="I1258" s="40">
        <v>37.633860300000002</v>
      </c>
      <c r="J1258" s="39">
        <v>13046</v>
      </c>
      <c r="K1258" s="40">
        <v>60.164034999999998</v>
      </c>
    </row>
    <row r="1259" spans="1:11" ht="15" customHeight="1">
      <c r="A1259" s="7"/>
      <c r="B1259" s="41">
        <v>1252</v>
      </c>
      <c r="C1259" s="42" t="s">
        <v>19</v>
      </c>
      <c r="D1259" s="47" t="s">
        <v>401</v>
      </c>
      <c r="E1259" s="47" t="s">
        <v>161</v>
      </c>
      <c r="F1259" s="47" t="s">
        <v>402</v>
      </c>
      <c r="G1259" s="48" t="s">
        <v>402</v>
      </c>
      <c r="H1259" s="43">
        <v>100502</v>
      </c>
      <c r="I1259" s="44">
        <v>93.926489000000004</v>
      </c>
      <c r="J1259" s="43">
        <v>122081</v>
      </c>
      <c r="K1259" s="44">
        <v>97.395172099999996</v>
      </c>
    </row>
    <row r="1260" spans="1:11" ht="15" hidden="1" customHeight="1">
      <c r="A1260" s="7"/>
      <c r="B1260" s="36">
        <v>1253</v>
      </c>
      <c r="C1260" s="37" t="s">
        <v>19</v>
      </c>
      <c r="D1260" s="37" t="s">
        <v>401</v>
      </c>
      <c r="E1260" s="37" t="s">
        <v>161</v>
      </c>
      <c r="F1260" s="37" t="s">
        <v>402</v>
      </c>
      <c r="G1260" s="38" t="s">
        <v>13</v>
      </c>
      <c r="H1260" s="39">
        <v>95899</v>
      </c>
      <c r="I1260" s="40">
        <v>96.101106400000006</v>
      </c>
      <c r="J1260" s="39">
        <v>116772</v>
      </c>
      <c r="K1260" s="40">
        <v>98.2059055</v>
      </c>
    </row>
    <row r="1261" spans="1:11" ht="15" hidden="1" customHeight="1">
      <c r="A1261" s="7"/>
      <c r="B1261" s="36">
        <v>1254</v>
      </c>
      <c r="C1261" s="37" t="s">
        <v>19</v>
      </c>
      <c r="D1261" s="37" t="s">
        <v>401</v>
      </c>
      <c r="E1261" s="37" t="s">
        <v>161</v>
      </c>
      <c r="F1261" s="37" t="s">
        <v>402</v>
      </c>
      <c r="G1261" s="38" t="s">
        <v>14</v>
      </c>
      <c r="H1261" s="39">
        <v>4603</v>
      </c>
      <c r="I1261" s="40">
        <v>48.620464900000002</v>
      </c>
      <c r="J1261" s="39">
        <v>5309</v>
      </c>
      <c r="K1261" s="40">
        <v>79.563006200000004</v>
      </c>
    </row>
    <row r="1262" spans="1:11" ht="15" customHeight="1">
      <c r="A1262" s="7"/>
      <c r="B1262" s="41">
        <v>1255</v>
      </c>
      <c r="C1262" s="42" t="s">
        <v>19</v>
      </c>
      <c r="D1262" s="47" t="s">
        <v>401</v>
      </c>
      <c r="E1262" s="47" t="s">
        <v>161</v>
      </c>
      <c r="F1262" s="47" t="s">
        <v>384</v>
      </c>
      <c r="G1262" s="48" t="s">
        <v>384</v>
      </c>
      <c r="H1262" s="43">
        <v>5202</v>
      </c>
      <c r="I1262" s="44">
        <v>27.912341399999999</v>
      </c>
      <c r="J1262" s="43">
        <v>7737</v>
      </c>
      <c r="K1262" s="44">
        <v>46.852785300000001</v>
      </c>
    </row>
    <row r="1263" spans="1:11" ht="15" hidden="1" customHeight="1">
      <c r="A1263" s="7"/>
      <c r="B1263" s="36">
        <v>1256</v>
      </c>
      <c r="C1263" s="37" t="s">
        <v>19</v>
      </c>
      <c r="D1263" s="37" t="s">
        <v>401</v>
      </c>
      <c r="E1263" s="37" t="s">
        <v>161</v>
      </c>
      <c r="F1263" s="37" t="s">
        <v>384</v>
      </c>
      <c r="G1263" s="38" t="s">
        <v>13</v>
      </c>
      <c r="H1263" s="39"/>
      <c r="I1263" s="40"/>
      <c r="J1263" s="39"/>
      <c r="K1263" s="40"/>
    </row>
    <row r="1264" spans="1:11" ht="15" hidden="1" customHeight="1">
      <c r="A1264" s="7"/>
      <c r="B1264" s="36">
        <v>1257</v>
      </c>
      <c r="C1264" s="37" t="s">
        <v>19</v>
      </c>
      <c r="D1264" s="37" t="s">
        <v>401</v>
      </c>
      <c r="E1264" s="37" t="s">
        <v>161</v>
      </c>
      <c r="F1264" s="37" t="s">
        <v>384</v>
      </c>
      <c r="G1264" s="38" t="s">
        <v>14</v>
      </c>
      <c r="H1264" s="39">
        <v>5202</v>
      </c>
      <c r="I1264" s="40">
        <v>27.912341399999999</v>
      </c>
      <c r="J1264" s="39">
        <v>7737</v>
      </c>
      <c r="K1264" s="40">
        <v>46.852785300000001</v>
      </c>
    </row>
    <row r="1265" spans="1:11" ht="15" hidden="1" customHeight="1">
      <c r="A1265" s="7"/>
      <c r="B1265" s="32">
        <v>1258</v>
      </c>
      <c r="C1265" s="33" t="s">
        <v>17</v>
      </c>
      <c r="D1265" s="46" t="s">
        <v>401</v>
      </c>
      <c r="E1265" s="46" t="s">
        <v>403</v>
      </c>
      <c r="F1265" s="46"/>
      <c r="G1265" s="33" t="s">
        <v>403</v>
      </c>
      <c r="H1265" s="34">
        <v>125885</v>
      </c>
      <c r="I1265" s="35">
        <v>72.491559800000005</v>
      </c>
      <c r="J1265" s="34">
        <v>146746</v>
      </c>
      <c r="K1265" s="35">
        <v>85.343382399999996</v>
      </c>
    </row>
    <row r="1266" spans="1:11" ht="15" hidden="1" customHeight="1">
      <c r="A1266" s="7"/>
      <c r="B1266" s="36">
        <v>1259</v>
      </c>
      <c r="C1266" s="37" t="s">
        <v>17</v>
      </c>
      <c r="D1266" s="37" t="s">
        <v>401</v>
      </c>
      <c r="E1266" s="37" t="s">
        <v>403</v>
      </c>
      <c r="F1266" s="37"/>
      <c r="G1266" s="38" t="s">
        <v>13</v>
      </c>
      <c r="H1266" s="39">
        <v>110181</v>
      </c>
      <c r="I1266" s="40">
        <v>81.275356000000002</v>
      </c>
      <c r="J1266" s="39">
        <v>129031</v>
      </c>
      <c r="K1266" s="40">
        <v>92.434376200000003</v>
      </c>
    </row>
    <row r="1267" spans="1:11" ht="15" hidden="1" customHeight="1">
      <c r="A1267" s="7"/>
      <c r="B1267" s="36">
        <v>1260</v>
      </c>
      <c r="C1267" s="37" t="s">
        <v>17</v>
      </c>
      <c r="D1267" s="37" t="s">
        <v>401</v>
      </c>
      <c r="E1267" s="37" t="s">
        <v>403</v>
      </c>
      <c r="F1267" s="37"/>
      <c r="G1267" s="38" t="s">
        <v>14</v>
      </c>
      <c r="H1267" s="39">
        <v>15704</v>
      </c>
      <c r="I1267" s="40">
        <v>10.8634743</v>
      </c>
      <c r="J1267" s="39">
        <v>17715</v>
      </c>
      <c r="K1267" s="40">
        <v>33.694609100000001</v>
      </c>
    </row>
    <row r="1268" spans="1:11" ht="15" customHeight="1">
      <c r="A1268" s="7"/>
      <c r="B1268" s="41">
        <v>1261</v>
      </c>
      <c r="C1268" s="42" t="s">
        <v>19</v>
      </c>
      <c r="D1268" s="47" t="s">
        <v>401</v>
      </c>
      <c r="E1268" s="47" t="s">
        <v>403</v>
      </c>
      <c r="F1268" s="47" t="s">
        <v>404</v>
      </c>
      <c r="G1268" s="48" t="s">
        <v>404</v>
      </c>
      <c r="H1268" s="43">
        <v>86123</v>
      </c>
      <c r="I1268" s="44">
        <v>69.235860299999999</v>
      </c>
      <c r="J1268" s="43">
        <v>106974</v>
      </c>
      <c r="K1268" s="44">
        <v>84.836502300000006</v>
      </c>
    </row>
    <row r="1269" spans="1:11" ht="15" hidden="1" customHeight="1">
      <c r="A1269" s="7"/>
      <c r="B1269" s="36">
        <v>1262</v>
      </c>
      <c r="C1269" s="37" t="s">
        <v>19</v>
      </c>
      <c r="D1269" s="37" t="s">
        <v>401</v>
      </c>
      <c r="E1269" s="37" t="s">
        <v>403</v>
      </c>
      <c r="F1269" s="37" t="s">
        <v>404</v>
      </c>
      <c r="G1269" s="38" t="s">
        <v>13</v>
      </c>
      <c r="H1269" s="39">
        <v>76053</v>
      </c>
      <c r="I1269" s="40">
        <v>77.590627600000005</v>
      </c>
      <c r="J1269" s="39">
        <v>95392</v>
      </c>
      <c r="K1269" s="40">
        <v>91.6953204</v>
      </c>
    </row>
    <row r="1270" spans="1:11" ht="15" hidden="1" customHeight="1">
      <c r="A1270" s="7"/>
      <c r="B1270" s="36">
        <v>1263</v>
      </c>
      <c r="C1270" s="37" t="s">
        <v>19</v>
      </c>
      <c r="D1270" s="37" t="s">
        <v>401</v>
      </c>
      <c r="E1270" s="37" t="s">
        <v>403</v>
      </c>
      <c r="F1270" s="37" t="s">
        <v>404</v>
      </c>
      <c r="G1270" s="38" t="s">
        <v>14</v>
      </c>
      <c r="H1270" s="39">
        <v>10070</v>
      </c>
      <c r="I1270" s="40">
        <v>6.1370407</v>
      </c>
      <c r="J1270" s="39">
        <v>11582</v>
      </c>
      <c r="K1270" s="40">
        <v>28.345708900000002</v>
      </c>
    </row>
    <row r="1271" spans="1:11" ht="15" customHeight="1">
      <c r="A1271" s="7"/>
      <c r="B1271" s="41">
        <v>1264</v>
      </c>
      <c r="C1271" s="42" t="s">
        <v>19</v>
      </c>
      <c r="D1271" s="47" t="s">
        <v>401</v>
      </c>
      <c r="E1271" s="47" t="s">
        <v>403</v>
      </c>
      <c r="F1271" s="47" t="s">
        <v>405</v>
      </c>
      <c r="G1271" s="48" t="s">
        <v>405</v>
      </c>
      <c r="H1271" s="43">
        <v>39762</v>
      </c>
      <c r="I1271" s="44">
        <v>79.543282500000004</v>
      </c>
      <c r="J1271" s="43">
        <v>39772</v>
      </c>
      <c r="K1271" s="44">
        <v>86.706728400000003</v>
      </c>
    </row>
    <row r="1272" spans="1:11" ht="15" hidden="1" customHeight="1">
      <c r="A1272" s="7"/>
      <c r="B1272" s="36">
        <v>1265</v>
      </c>
      <c r="C1272" s="37" t="s">
        <v>19</v>
      </c>
      <c r="D1272" s="37" t="s">
        <v>401</v>
      </c>
      <c r="E1272" s="37" t="s">
        <v>403</v>
      </c>
      <c r="F1272" s="37" t="s">
        <v>405</v>
      </c>
      <c r="G1272" s="38" t="s">
        <v>13</v>
      </c>
      <c r="H1272" s="39">
        <v>34128</v>
      </c>
      <c r="I1272" s="40">
        <v>89.486638499999998</v>
      </c>
      <c r="J1272" s="39">
        <v>33639</v>
      </c>
      <c r="K1272" s="40">
        <v>94.530158400000005</v>
      </c>
    </row>
    <row r="1273" spans="1:11" ht="15" hidden="1" customHeight="1">
      <c r="A1273" s="7"/>
      <c r="B1273" s="36">
        <v>1266</v>
      </c>
      <c r="C1273" s="37" t="s">
        <v>19</v>
      </c>
      <c r="D1273" s="37" t="s">
        <v>401</v>
      </c>
      <c r="E1273" s="37" t="s">
        <v>403</v>
      </c>
      <c r="F1273" s="37" t="s">
        <v>405</v>
      </c>
      <c r="G1273" s="38" t="s">
        <v>14</v>
      </c>
      <c r="H1273" s="39">
        <v>5634</v>
      </c>
      <c r="I1273" s="40">
        <v>19.3113241</v>
      </c>
      <c r="J1273" s="39">
        <v>6133</v>
      </c>
      <c r="K1273" s="40">
        <v>43.795858500000001</v>
      </c>
    </row>
    <row r="1274" spans="1:11" ht="15" hidden="1" customHeight="1">
      <c r="A1274" s="7"/>
      <c r="B1274" s="32">
        <v>1267</v>
      </c>
      <c r="C1274" s="33" t="s">
        <v>17</v>
      </c>
      <c r="D1274" s="46" t="s">
        <v>401</v>
      </c>
      <c r="E1274" s="46" t="s">
        <v>406</v>
      </c>
      <c r="F1274" s="46"/>
      <c r="G1274" s="33" t="s">
        <v>406</v>
      </c>
      <c r="H1274" s="34">
        <v>79628</v>
      </c>
      <c r="I1274" s="35">
        <v>48.368664299999999</v>
      </c>
      <c r="J1274" s="34">
        <v>87153</v>
      </c>
      <c r="K1274" s="35">
        <v>58.359436899999999</v>
      </c>
    </row>
    <row r="1275" spans="1:11" ht="15" hidden="1" customHeight="1">
      <c r="A1275" s="7"/>
      <c r="B1275" s="36">
        <v>1268</v>
      </c>
      <c r="C1275" s="37" t="s">
        <v>17</v>
      </c>
      <c r="D1275" s="37" t="s">
        <v>401</v>
      </c>
      <c r="E1275" s="37" t="s">
        <v>406</v>
      </c>
      <c r="F1275" s="37"/>
      <c r="G1275" s="38" t="s">
        <v>13</v>
      </c>
      <c r="H1275" s="39">
        <v>45391</v>
      </c>
      <c r="I1275" s="40">
        <v>78.691811200000004</v>
      </c>
      <c r="J1275" s="39">
        <v>47009</v>
      </c>
      <c r="K1275" s="40">
        <v>92.426982100000004</v>
      </c>
    </row>
    <row r="1276" spans="1:11" ht="15" hidden="1" customHeight="1">
      <c r="A1276" s="7"/>
      <c r="B1276" s="36">
        <v>1269</v>
      </c>
      <c r="C1276" s="37" t="s">
        <v>17</v>
      </c>
      <c r="D1276" s="37" t="s">
        <v>401</v>
      </c>
      <c r="E1276" s="37" t="s">
        <v>406</v>
      </c>
      <c r="F1276" s="37"/>
      <c r="G1276" s="38" t="s">
        <v>14</v>
      </c>
      <c r="H1276" s="39">
        <v>34237</v>
      </c>
      <c r="I1276" s="40">
        <v>8.1666033999999996</v>
      </c>
      <c r="J1276" s="39">
        <v>40144</v>
      </c>
      <c r="K1276" s="40">
        <v>18.466022299999999</v>
      </c>
    </row>
    <row r="1277" spans="1:11" ht="15" customHeight="1">
      <c r="A1277" s="7"/>
      <c r="B1277" s="41">
        <v>1270</v>
      </c>
      <c r="C1277" s="42" t="s">
        <v>19</v>
      </c>
      <c r="D1277" s="47" t="s">
        <v>401</v>
      </c>
      <c r="E1277" s="47" t="s">
        <v>406</v>
      </c>
      <c r="F1277" s="47" t="s">
        <v>407</v>
      </c>
      <c r="G1277" s="48" t="s">
        <v>407</v>
      </c>
      <c r="H1277" s="43">
        <v>12829</v>
      </c>
      <c r="I1277" s="44">
        <v>38.116766699999999</v>
      </c>
      <c r="J1277" s="43">
        <v>11171</v>
      </c>
      <c r="K1277" s="44">
        <v>56.718288399999999</v>
      </c>
    </row>
    <row r="1278" spans="1:11" ht="15" hidden="1" customHeight="1">
      <c r="A1278" s="7"/>
      <c r="B1278" s="36">
        <v>1271</v>
      </c>
      <c r="C1278" s="37" t="s">
        <v>19</v>
      </c>
      <c r="D1278" s="37" t="s">
        <v>401</v>
      </c>
      <c r="E1278" s="37" t="s">
        <v>406</v>
      </c>
      <c r="F1278" s="37" t="s">
        <v>407</v>
      </c>
      <c r="G1278" s="38" t="s">
        <v>13</v>
      </c>
      <c r="H1278" s="39">
        <v>6932</v>
      </c>
      <c r="I1278" s="40">
        <v>67.657241799999994</v>
      </c>
      <c r="J1278" s="39">
        <v>6497</v>
      </c>
      <c r="K1278" s="40">
        <v>89.333538599999997</v>
      </c>
    </row>
    <row r="1279" spans="1:11" ht="15" hidden="1" customHeight="1">
      <c r="A1279" s="7"/>
      <c r="B1279" s="36">
        <v>1272</v>
      </c>
      <c r="C1279" s="37" t="s">
        <v>19</v>
      </c>
      <c r="D1279" s="37" t="s">
        <v>401</v>
      </c>
      <c r="E1279" s="37" t="s">
        <v>406</v>
      </c>
      <c r="F1279" s="37" t="s">
        <v>407</v>
      </c>
      <c r="G1279" s="38" t="s">
        <v>14</v>
      </c>
      <c r="H1279" s="39">
        <v>5897</v>
      </c>
      <c r="I1279" s="40">
        <v>3.3915549999999999</v>
      </c>
      <c r="J1279" s="39">
        <v>4674</v>
      </c>
      <c r="K1279" s="40">
        <v>11.382113800000001</v>
      </c>
    </row>
    <row r="1280" spans="1:11" ht="15" customHeight="1">
      <c r="A1280" s="7"/>
      <c r="B1280" s="41">
        <v>1273</v>
      </c>
      <c r="C1280" s="42" t="s">
        <v>19</v>
      </c>
      <c r="D1280" s="47" t="s">
        <v>401</v>
      </c>
      <c r="E1280" s="47" t="s">
        <v>406</v>
      </c>
      <c r="F1280" s="47" t="s">
        <v>408</v>
      </c>
      <c r="G1280" s="48" t="s">
        <v>408</v>
      </c>
      <c r="H1280" s="43">
        <v>39630</v>
      </c>
      <c r="I1280" s="44">
        <v>45.8188241</v>
      </c>
      <c r="J1280" s="43">
        <v>44951</v>
      </c>
      <c r="K1280" s="44">
        <v>50.330359700000002</v>
      </c>
    </row>
    <row r="1281" spans="1:11" ht="15" hidden="1" customHeight="1">
      <c r="A1281" s="7"/>
      <c r="B1281" s="36">
        <v>1274</v>
      </c>
      <c r="C1281" s="37" t="s">
        <v>19</v>
      </c>
      <c r="D1281" s="37" t="s">
        <v>401</v>
      </c>
      <c r="E1281" s="37" t="s">
        <v>406</v>
      </c>
      <c r="F1281" s="37" t="s">
        <v>408</v>
      </c>
      <c r="G1281" s="38" t="s">
        <v>13</v>
      </c>
      <c r="H1281" s="39">
        <v>21423</v>
      </c>
      <c r="I1281" s="40">
        <v>78.975867100000002</v>
      </c>
      <c r="J1281" s="39">
        <v>21741</v>
      </c>
      <c r="K1281" s="40">
        <v>92.442849899999999</v>
      </c>
    </row>
    <row r="1282" spans="1:11" ht="15" hidden="1" customHeight="1">
      <c r="A1282" s="7"/>
      <c r="B1282" s="36">
        <v>1275</v>
      </c>
      <c r="C1282" s="37" t="s">
        <v>19</v>
      </c>
      <c r="D1282" s="37" t="s">
        <v>401</v>
      </c>
      <c r="E1282" s="37" t="s">
        <v>406</v>
      </c>
      <c r="F1282" s="37" t="s">
        <v>408</v>
      </c>
      <c r="G1282" s="38" t="s">
        <v>14</v>
      </c>
      <c r="H1282" s="39">
        <v>18207</v>
      </c>
      <c r="I1282" s="40">
        <v>6.8050750000000004</v>
      </c>
      <c r="J1282" s="39">
        <v>23210</v>
      </c>
      <c r="K1282" s="40">
        <v>10.883240000000001</v>
      </c>
    </row>
    <row r="1283" spans="1:11" ht="15" customHeight="1">
      <c r="A1283" s="7"/>
      <c r="B1283" s="41">
        <v>1276</v>
      </c>
      <c r="C1283" s="42" t="s">
        <v>19</v>
      </c>
      <c r="D1283" s="47" t="s">
        <v>401</v>
      </c>
      <c r="E1283" s="47" t="s">
        <v>406</v>
      </c>
      <c r="F1283" s="47" t="s">
        <v>356</v>
      </c>
      <c r="G1283" s="48" t="s">
        <v>356</v>
      </c>
      <c r="H1283" s="43">
        <v>9200</v>
      </c>
      <c r="I1283" s="44">
        <v>42.945652199999998</v>
      </c>
      <c r="J1283" s="43">
        <v>10818</v>
      </c>
      <c r="K1283" s="44">
        <v>65.853207600000005</v>
      </c>
    </row>
    <row r="1284" spans="1:11" ht="15" hidden="1" customHeight="1">
      <c r="A1284" s="7"/>
      <c r="B1284" s="36">
        <v>1277</v>
      </c>
      <c r="C1284" s="37" t="s">
        <v>19</v>
      </c>
      <c r="D1284" s="37" t="s">
        <v>401</v>
      </c>
      <c r="E1284" s="37" t="s">
        <v>406</v>
      </c>
      <c r="F1284" s="37" t="s">
        <v>356</v>
      </c>
      <c r="G1284" s="38" t="s">
        <v>13</v>
      </c>
      <c r="H1284" s="39">
        <v>4535</v>
      </c>
      <c r="I1284" s="40">
        <v>76.846747500000006</v>
      </c>
      <c r="J1284" s="39">
        <v>5358</v>
      </c>
      <c r="K1284" s="40">
        <v>93.934303799999995</v>
      </c>
    </row>
    <row r="1285" spans="1:11" ht="15" hidden="1" customHeight="1">
      <c r="A1285" s="7"/>
      <c r="B1285" s="36">
        <v>1278</v>
      </c>
      <c r="C1285" s="37" t="s">
        <v>19</v>
      </c>
      <c r="D1285" s="37" t="s">
        <v>401</v>
      </c>
      <c r="E1285" s="37" t="s">
        <v>406</v>
      </c>
      <c r="F1285" s="37" t="s">
        <v>356</v>
      </c>
      <c r="G1285" s="38" t="s">
        <v>14</v>
      </c>
      <c r="H1285" s="39">
        <v>4665</v>
      </c>
      <c r="I1285" s="40">
        <v>9.9892818999999999</v>
      </c>
      <c r="J1285" s="39">
        <v>5460</v>
      </c>
      <c r="K1285" s="40">
        <v>38.296703299999997</v>
      </c>
    </row>
    <row r="1286" spans="1:11" ht="15" customHeight="1">
      <c r="A1286" s="7"/>
      <c r="B1286" s="41">
        <v>1279</v>
      </c>
      <c r="C1286" s="42" t="s">
        <v>19</v>
      </c>
      <c r="D1286" s="47" t="s">
        <v>401</v>
      </c>
      <c r="E1286" s="47" t="s">
        <v>406</v>
      </c>
      <c r="F1286" s="47" t="s">
        <v>409</v>
      </c>
      <c r="G1286" s="48" t="s">
        <v>409</v>
      </c>
      <c r="H1286" s="43">
        <v>17969</v>
      </c>
      <c r="I1286" s="44">
        <v>64.088151800000006</v>
      </c>
      <c r="J1286" s="43">
        <v>20213</v>
      </c>
      <c r="K1286" s="44">
        <v>73.111363999999995</v>
      </c>
    </row>
    <row r="1287" spans="1:11" ht="15" hidden="1" customHeight="1">
      <c r="A1287" s="7"/>
      <c r="B1287" s="36">
        <v>1280</v>
      </c>
      <c r="C1287" s="37" t="s">
        <v>19</v>
      </c>
      <c r="D1287" s="37" t="s">
        <v>401</v>
      </c>
      <c r="E1287" s="37" t="s">
        <v>406</v>
      </c>
      <c r="F1287" s="37" t="s">
        <v>409</v>
      </c>
      <c r="G1287" s="38" t="s">
        <v>13</v>
      </c>
      <c r="H1287" s="39">
        <v>12501</v>
      </c>
      <c r="I1287" s="40">
        <v>84.9932005</v>
      </c>
      <c r="J1287" s="39">
        <v>13413</v>
      </c>
      <c r="K1287" s="40">
        <v>93.297547199999997</v>
      </c>
    </row>
    <row r="1288" spans="1:11" ht="15" hidden="1" customHeight="1">
      <c r="A1288" s="7"/>
      <c r="B1288" s="36">
        <v>1281</v>
      </c>
      <c r="C1288" s="37" t="s">
        <v>19</v>
      </c>
      <c r="D1288" s="37" t="s">
        <v>401</v>
      </c>
      <c r="E1288" s="37" t="s">
        <v>406</v>
      </c>
      <c r="F1288" s="37" t="s">
        <v>409</v>
      </c>
      <c r="G1288" s="38" t="s">
        <v>14</v>
      </c>
      <c r="H1288" s="39">
        <v>5468</v>
      </c>
      <c r="I1288" s="40">
        <v>16.294806099999999</v>
      </c>
      <c r="J1288" s="39">
        <v>6800</v>
      </c>
      <c r="K1288" s="40">
        <v>33.2941176</v>
      </c>
    </row>
    <row r="1289" spans="1:11" ht="15" hidden="1" customHeight="1">
      <c r="A1289" s="7"/>
      <c r="B1289" s="32">
        <v>1282</v>
      </c>
      <c r="C1289" s="33" t="s">
        <v>17</v>
      </c>
      <c r="D1289" s="46" t="s">
        <v>401</v>
      </c>
      <c r="E1289" s="46" t="s">
        <v>410</v>
      </c>
      <c r="F1289" s="46"/>
      <c r="G1289" s="33" t="s">
        <v>410</v>
      </c>
      <c r="H1289" s="34">
        <v>22396</v>
      </c>
      <c r="I1289" s="35">
        <v>48.062154</v>
      </c>
      <c r="J1289" s="34">
        <v>25453</v>
      </c>
      <c r="K1289" s="35">
        <v>59.812202900000003</v>
      </c>
    </row>
    <row r="1290" spans="1:11" ht="15" hidden="1" customHeight="1">
      <c r="A1290" s="7"/>
      <c r="B1290" s="36">
        <v>1283</v>
      </c>
      <c r="C1290" s="37" t="s">
        <v>17</v>
      </c>
      <c r="D1290" s="37" t="s">
        <v>401</v>
      </c>
      <c r="E1290" s="37" t="s">
        <v>410</v>
      </c>
      <c r="F1290" s="37"/>
      <c r="G1290" s="38" t="s">
        <v>13</v>
      </c>
      <c r="H1290" s="39">
        <v>11714</v>
      </c>
      <c r="I1290" s="40">
        <v>83.506914800000004</v>
      </c>
      <c r="J1290" s="39">
        <v>14640</v>
      </c>
      <c r="K1290" s="40">
        <v>93.155737700000003</v>
      </c>
    </row>
    <row r="1291" spans="1:11" ht="15" hidden="1" customHeight="1">
      <c r="A1291" s="7"/>
      <c r="B1291" s="36">
        <v>1284</v>
      </c>
      <c r="C1291" s="37" t="s">
        <v>17</v>
      </c>
      <c r="D1291" s="37" t="s">
        <v>401</v>
      </c>
      <c r="E1291" s="37" t="s">
        <v>410</v>
      </c>
      <c r="F1291" s="37"/>
      <c r="G1291" s="38" t="s">
        <v>14</v>
      </c>
      <c r="H1291" s="39">
        <v>10682</v>
      </c>
      <c r="I1291" s="40">
        <v>9.1930350000000001</v>
      </c>
      <c r="J1291" s="39">
        <v>10813</v>
      </c>
      <c r="K1291" s="40">
        <v>14.667529800000001</v>
      </c>
    </row>
    <row r="1292" spans="1:11" ht="15" customHeight="1">
      <c r="A1292" s="7"/>
      <c r="B1292" s="41">
        <v>1285</v>
      </c>
      <c r="C1292" s="42" t="s">
        <v>19</v>
      </c>
      <c r="D1292" s="47" t="s">
        <v>401</v>
      </c>
      <c r="E1292" s="47" t="s">
        <v>410</v>
      </c>
      <c r="F1292" s="47" t="s">
        <v>411</v>
      </c>
      <c r="G1292" s="48" t="s">
        <v>411</v>
      </c>
      <c r="H1292" s="43">
        <v>16415</v>
      </c>
      <c r="I1292" s="44">
        <v>62.1626561</v>
      </c>
      <c r="J1292" s="43">
        <v>17711</v>
      </c>
      <c r="K1292" s="44">
        <v>73.045000299999998</v>
      </c>
    </row>
    <row r="1293" spans="1:11" ht="15" hidden="1" customHeight="1">
      <c r="A1293" s="7"/>
      <c r="B1293" s="36">
        <v>1286</v>
      </c>
      <c r="C1293" s="37" t="s">
        <v>19</v>
      </c>
      <c r="D1293" s="37" t="s">
        <v>401</v>
      </c>
      <c r="E1293" s="37" t="s">
        <v>410</v>
      </c>
      <c r="F1293" s="37" t="s">
        <v>411</v>
      </c>
      <c r="G1293" s="38" t="s">
        <v>13</v>
      </c>
      <c r="H1293" s="39">
        <v>11714</v>
      </c>
      <c r="I1293" s="40">
        <v>83.506914800000004</v>
      </c>
      <c r="J1293" s="39">
        <v>12682</v>
      </c>
      <c r="K1293" s="40">
        <v>94.969247800000005</v>
      </c>
    </row>
    <row r="1294" spans="1:11" ht="15" hidden="1" customHeight="1">
      <c r="A1294" s="7"/>
      <c r="B1294" s="36">
        <v>1287</v>
      </c>
      <c r="C1294" s="37" t="s">
        <v>19</v>
      </c>
      <c r="D1294" s="37" t="s">
        <v>401</v>
      </c>
      <c r="E1294" s="37" t="s">
        <v>410</v>
      </c>
      <c r="F1294" s="37" t="s">
        <v>411</v>
      </c>
      <c r="G1294" s="38" t="s">
        <v>14</v>
      </c>
      <c r="H1294" s="39">
        <v>4701</v>
      </c>
      <c r="I1294" s="40">
        <v>8.9768133999999993</v>
      </c>
      <c r="J1294" s="39">
        <v>5029</v>
      </c>
      <c r="K1294" s="40">
        <v>17.7570093</v>
      </c>
    </row>
    <row r="1295" spans="1:11" ht="15" customHeight="1">
      <c r="A1295" s="7"/>
      <c r="B1295" s="41">
        <v>1288</v>
      </c>
      <c r="C1295" s="42" t="s">
        <v>19</v>
      </c>
      <c r="D1295" s="47" t="s">
        <v>401</v>
      </c>
      <c r="E1295" s="47" t="s">
        <v>410</v>
      </c>
      <c r="F1295" s="47" t="s">
        <v>412</v>
      </c>
      <c r="G1295" s="48" t="s">
        <v>412</v>
      </c>
      <c r="H1295" s="43">
        <v>5981</v>
      </c>
      <c r="I1295" s="44">
        <v>9.3629827999999993</v>
      </c>
      <c r="J1295" s="43">
        <v>7742</v>
      </c>
      <c r="K1295" s="44">
        <v>29.540170499999999</v>
      </c>
    </row>
    <row r="1296" spans="1:11" ht="15" hidden="1" customHeight="1">
      <c r="A1296" s="7"/>
      <c r="B1296" s="36">
        <v>1289</v>
      </c>
      <c r="C1296" s="37" t="s">
        <v>19</v>
      </c>
      <c r="D1296" s="37" t="s">
        <v>401</v>
      </c>
      <c r="E1296" s="37" t="s">
        <v>410</v>
      </c>
      <c r="F1296" s="37" t="s">
        <v>412</v>
      </c>
      <c r="G1296" s="38" t="s">
        <v>13</v>
      </c>
      <c r="H1296" s="39"/>
      <c r="I1296" s="40"/>
      <c r="J1296" s="39">
        <v>1958</v>
      </c>
      <c r="K1296" s="40">
        <v>81.409601600000002</v>
      </c>
    </row>
    <row r="1297" spans="1:11" ht="15" hidden="1" customHeight="1">
      <c r="A1297" s="7"/>
      <c r="B1297" s="36">
        <v>1290</v>
      </c>
      <c r="C1297" s="37" t="s">
        <v>19</v>
      </c>
      <c r="D1297" s="37" t="s">
        <v>401</v>
      </c>
      <c r="E1297" s="37" t="s">
        <v>410</v>
      </c>
      <c r="F1297" s="37" t="s">
        <v>412</v>
      </c>
      <c r="G1297" s="38" t="s">
        <v>14</v>
      </c>
      <c r="H1297" s="39">
        <v>5981</v>
      </c>
      <c r="I1297" s="40">
        <v>9.3629827999999993</v>
      </c>
      <c r="J1297" s="39">
        <v>5784</v>
      </c>
      <c r="K1297" s="40">
        <v>11.981327800000001</v>
      </c>
    </row>
    <row r="1298" spans="1:11" ht="15" hidden="1" customHeight="1">
      <c r="A1298" s="7"/>
      <c r="B1298" s="32">
        <v>1291</v>
      </c>
      <c r="C1298" s="33" t="s">
        <v>17</v>
      </c>
      <c r="D1298" s="46" t="s">
        <v>401</v>
      </c>
      <c r="E1298" s="46" t="s">
        <v>413</v>
      </c>
      <c r="F1298" s="46"/>
      <c r="G1298" s="33" t="s">
        <v>413</v>
      </c>
      <c r="H1298" s="34">
        <v>18553</v>
      </c>
      <c r="I1298" s="35">
        <v>38.3064733</v>
      </c>
      <c r="J1298" s="34">
        <v>20956</v>
      </c>
      <c r="K1298" s="35">
        <v>55.105936200000002</v>
      </c>
    </row>
    <row r="1299" spans="1:11" ht="15" hidden="1" customHeight="1">
      <c r="A1299" s="7"/>
      <c r="B1299" s="36">
        <v>1292</v>
      </c>
      <c r="C1299" s="37" t="s">
        <v>17</v>
      </c>
      <c r="D1299" s="37" t="s">
        <v>401</v>
      </c>
      <c r="E1299" s="37" t="s">
        <v>413</v>
      </c>
      <c r="F1299" s="37"/>
      <c r="G1299" s="38" t="s">
        <v>13</v>
      </c>
      <c r="H1299" s="39">
        <v>9772</v>
      </c>
      <c r="I1299" s="40">
        <v>64.019648000000004</v>
      </c>
      <c r="J1299" s="39">
        <v>10027</v>
      </c>
      <c r="K1299" s="40">
        <v>89.0695123</v>
      </c>
    </row>
    <row r="1300" spans="1:11" ht="15" hidden="1" customHeight="1">
      <c r="A1300" s="7"/>
      <c r="B1300" s="36">
        <v>1293</v>
      </c>
      <c r="C1300" s="37" t="s">
        <v>17</v>
      </c>
      <c r="D1300" s="37" t="s">
        <v>401</v>
      </c>
      <c r="E1300" s="37" t="s">
        <v>413</v>
      </c>
      <c r="F1300" s="37"/>
      <c r="G1300" s="38" t="s">
        <v>14</v>
      </c>
      <c r="H1300" s="39">
        <v>8781</v>
      </c>
      <c r="I1300" s="40">
        <v>9.6913791000000007</v>
      </c>
      <c r="J1300" s="39">
        <v>10929</v>
      </c>
      <c r="K1300" s="40">
        <v>23.945466199999998</v>
      </c>
    </row>
    <row r="1301" spans="1:11" ht="15" customHeight="1">
      <c r="A1301" s="7"/>
      <c r="B1301" s="41">
        <v>1294</v>
      </c>
      <c r="C1301" s="42" t="s">
        <v>19</v>
      </c>
      <c r="D1301" s="47" t="s">
        <v>401</v>
      </c>
      <c r="E1301" s="47" t="s">
        <v>413</v>
      </c>
      <c r="F1301" s="47" t="s">
        <v>342</v>
      </c>
      <c r="G1301" s="48" t="s">
        <v>342</v>
      </c>
      <c r="H1301" s="43">
        <v>18553</v>
      </c>
      <c r="I1301" s="44">
        <v>38.3064733</v>
      </c>
      <c r="J1301" s="43">
        <v>20956</v>
      </c>
      <c r="K1301" s="44">
        <v>55.105936200000002</v>
      </c>
    </row>
    <row r="1302" spans="1:11" ht="15" hidden="1" customHeight="1">
      <c r="A1302" s="7"/>
      <c r="B1302" s="36">
        <v>1295</v>
      </c>
      <c r="C1302" s="37" t="s">
        <v>19</v>
      </c>
      <c r="D1302" s="37" t="s">
        <v>401</v>
      </c>
      <c r="E1302" s="37" t="s">
        <v>413</v>
      </c>
      <c r="F1302" s="37" t="s">
        <v>342</v>
      </c>
      <c r="G1302" s="38" t="s">
        <v>13</v>
      </c>
      <c r="H1302" s="39">
        <v>9772</v>
      </c>
      <c r="I1302" s="40">
        <v>64.019648000000004</v>
      </c>
      <c r="J1302" s="39">
        <v>10027</v>
      </c>
      <c r="K1302" s="40">
        <v>89.0695123</v>
      </c>
    </row>
    <row r="1303" spans="1:11" ht="15" hidden="1" customHeight="1">
      <c r="A1303" s="7"/>
      <c r="B1303" s="36">
        <v>1296</v>
      </c>
      <c r="C1303" s="37" t="s">
        <v>19</v>
      </c>
      <c r="D1303" s="37" t="s">
        <v>401</v>
      </c>
      <c r="E1303" s="37" t="s">
        <v>413</v>
      </c>
      <c r="F1303" s="37" t="s">
        <v>342</v>
      </c>
      <c r="G1303" s="38" t="s">
        <v>14</v>
      </c>
      <c r="H1303" s="39">
        <v>8781</v>
      </c>
      <c r="I1303" s="40">
        <v>9.6913791000000007</v>
      </c>
      <c r="J1303" s="39">
        <v>10929</v>
      </c>
      <c r="K1303" s="40">
        <v>23.945466199999998</v>
      </c>
    </row>
    <row r="1304" spans="1:11" ht="15" hidden="1" customHeight="1">
      <c r="A1304" s="7"/>
      <c r="B1304" s="32">
        <v>1297</v>
      </c>
      <c r="C1304" s="33" t="s">
        <v>17</v>
      </c>
      <c r="D1304" s="46" t="s">
        <v>401</v>
      </c>
      <c r="E1304" s="46" t="s">
        <v>414</v>
      </c>
      <c r="F1304" s="46"/>
      <c r="G1304" s="33" t="s">
        <v>414</v>
      </c>
      <c r="H1304" s="34">
        <v>15438</v>
      </c>
      <c r="I1304" s="35">
        <v>25.333592400000001</v>
      </c>
      <c r="J1304" s="34">
        <v>19081</v>
      </c>
      <c r="K1304" s="35">
        <v>45.170588500000001</v>
      </c>
    </row>
    <row r="1305" spans="1:11" ht="15" hidden="1" customHeight="1">
      <c r="A1305" s="7"/>
      <c r="B1305" s="36">
        <v>1298</v>
      </c>
      <c r="C1305" s="37" t="s">
        <v>17</v>
      </c>
      <c r="D1305" s="37" t="s">
        <v>401</v>
      </c>
      <c r="E1305" s="37" t="s">
        <v>414</v>
      </c>
      <c r="F1305" s="37"/>
      <c r="G1305" s="38" t="s">
        <v>13</v>
      </c>
      <c r="H1305" s="39">
        <v>2264</v>
      </c>
      <c r="I1305" s="40">
        <v>64.134275599999995</v>
      </c>
      <c r="J1305" s="39">
        <v>2403</v>
      </c>
      <c r="K1305" s="40">
        <v>94.382022500000005</v>
      </c>
    </row>
    <row r="1306" spans="1:11" ht="15" hidden="1" customHeight="1">
      <c r="A1306" s="7"/>
      <c r="B1306" s="36">
        <v>1299</v>
      </c>
      <c r="C1306" s="37" t="s">
        <v>17</v>
      </c>
      <c r="D1306" s="37" t="s">
        <v>401</v>
      </c>
      <c r="E1306" s="37" t="s">
        <v>414</v>
      </c>
      <c r="F1306" s="37"/>
      <c r="G1306" s="38" t="s">
        <v>14</v>
      </c>
      <c r="H1306" s="39">
        <v>13174</v>
      </c>
      <c r="I1306" s="40">
        <v>18.6655534</v>
      </c>
      <c r="J1306" s="39">
        <v>16678</v>
      </c>
      <c r="K1306" s="40">
        <v>38.080105500000002</v>
      </c>
    </row>
    <row r="1307" spans="1:11" ht="15" customHeight="1">
      <c r="A1307" s="7"/>
      <c r="B1307" s="41">
        <v>1300</v>
      </c>
      <c r="C1307" s="42" t="s">
        <v>19</v>
      </c>
      <c r="D1307" s="47" t="s">
        <v>401</v>
      </c>
      <c r="E1307" s="47" t="s">
        <v>414</v>
      </c>
      <c r="F1307" s="47" t="s">
        <v>415</v>
      </c>
      <c r="G1307" s="48" t="s">
        <v>415</v>
      </c>
      <c r="H1307" s="43">
        <v>3706</v>
      </c>
      <c r="I1307" s="44">
        <v>14.220183499999999</v>
      </c>
      <c r="J1307" s="43">
        <v>4217</v>
      </c>
      <c r="K1307" s="44">
        <v>36.376570999999998</v>
      </c>
    </row>
    <row r="1308" spans="1:11" ht="15" hidden="1" customHeight="1">
      <c r="A1308" s="7"/>
      <c r="B1308" s="36">
        <v>1301</v>
      </c>
      <c r="C1308" s="37" t="s">
        <v>19</v>
      </c>
      <c r="D1308" s="37" t="s">
        <v>401</v>
      </c>
      <c r="E1308" s="37" t="s">
        <v>414</v>
      </c>
      <c r="F1308" s="37" t="s">
        <v>415</v>
      </c>
      <c r="G1308" s="38" t="s">
        <v>13</v>
      </c>
      <c r="H1308" s="39"/>
      <c r="I1308" s="40"/>
      <c r="J1308" s="39"/>
      <c r="K1308" s="40"/>
    </row>
    <row r="1309" spans="1:11" ht="15" hidden="1" customHeight="1">
      <c r="A1309" s="7"/>
      <c r="B1309" s="36">
        <v>1302</v>
      </c>
      <c r="C1309" s="37" t="s">
        <v>19</v>
      </c>
      <c r="D1309" s="37" t="s">
        <v>401</v>
      </c>
      <c r="E1309" s="37" t="s">
        <v>414</v>
      </c>
      <c r="F1309" s="37" t="s">
        <v>415</v>
      </c>
      <c r="G1309" s="38" t="s">
        <v>14</v>
      </c>
      <c r="H1309" s="39">
        <v>3706</v>
      </c>
      <c r="I1309" s="40">
        <v>14.220183499999999</v>
      </c>
      <c r="J1309" s="39">
        <v>4217</v>
      </c>
      <c r="K1309" s="40">
        <v>36.376570999999998</v>
      </c>
    </row>
    <row r="1310" spans="1:11" ht="15" customHeight="1">
      <c r="A1310" s="7"/>
      <c r="B1310" s="41">
        <v>1303</v>
      </c>
      <c r="C1310" s="42" t="s">
        <v>19</v>
      </c>
      <c r="D1310" s="47" t="s">
        <v>401</v>
      </c>
      <c r="E1310" s="47" t="s">
        <v>414</v>
      </c>
      <c r="F1310" s="47" t="s">
        <v>416</v>
      </c>
      <c r="G1310" s="48" t="s">
        <v>416</v>
      </c>
      <c r="H1310" s="43">
        <v>11732</v>
      </c>
      <c r="I1310" s="44">
        <v>28.844186799999999</v>
      </c>
      <c r="J1310" s="43">
        <v>14864</v>
      </c>
      <c r="K1310" s="44">
        <v>47.6655005</v>
      </c>
    </row>
    <row r="1311" spans="1:11" ht="15" hidden="1" customHeight="1">
      <c r="A1311" s="7"/>
      <c r="B1311" s="36">
        <v>1304</v>
      </c>
      <c r="C1311" s="37" t="s">
        <v>19</v>
      </c>
      <c r="D1311" s="37" t="s">
        <v>401</v>
      </c>
      <c r="E1311" s="37" t="s">
        <v>414</v>
      </c>
      <c r="F1311" s="37" t="s">
        <v>416</v>
      </c>
      <c r="G1311" s="38" t="s">
        <v>13</v>
      </c>
      <c r="H1311" s="39">
        <v>2264</v>
      </c>
      <c r="I1311" s="40">
        <v>64.134275599999995</v>
      </c>
      <c r="J1311" s="39">
        <v>2403</v>
      </c>
      <c r="K1311" s="40">
        <v>94.382022500000005</v>
      </c>
    </row>
    <row r="1312" spans="1:11" ht="15" hidden="1" customHeight="1">
      <c r="A1312" s="7"/>
      <c r="B1312" s="36">
        <v>1305</v>
      </c>
      <c r="C1312" s="37" t="s">
        <v>19</v>
      </c>
      <c r="D1312" s="37" t="s">
        <v>401</v>
      </c>
      <c r="E1312" s="37" t="s">
        <v>414</v>
      </c>
      <c r="F1312" s="37" t="s">
        <v>416</v>
      </c>
      <c r="G1312" s="38" t="s">
        <v>14</v>
      </c>
      <c r="H1312" s="39">
        <v>9468</v>
      </c>
      <c r="I1312" s="40">
        <v>20.405576700000001</v>
      </c>
      <c r="J1312" s="39">
        <v>12461</v>
      </c>
      <c r="K1312" s="40">
        <v>38.656608599999998</v>
      </c>
    </row>
    <row r="1313" spans="1:11" ht="15" hidden="1" customHeight="1">
      <c r="A1313" s="7"/>
      <c r="B1313" s="32">
        <v>1306</v>
      </c>
      <c r="C1313" s="33" t="s">
        <v>17</v>
      </c>
      <c r="D1313" s="46" t="s">
        <v>401</v>
      </c>
      <c r="E1313" s="46" t="s">
        <v>417</v>
      </c>
      <c r="F1313" s="46"/>
      <c r="G1313" s="33" t="s">
        <v>417</v>
      </c>
      <c r="H1313" s="34">
        <v>12026</v>
      </c>
      <c r="I1313" s="35">
        <v>42.275070700000001</v>
      </c>
      <c r="J1313" s="34">
        <v>12576</v>
      </c>
      <c r="K1313" s="35">
        <v>70.737913500000005</v>
      </c>
    </row>
    <row r="1314" spans="1:11" ht="15" hidden="1" customHeight="1">
      <c r="A1314" s="7"/>
      <c r="B1314" s="36">
        <v>1307</v>
      </c>
      <c r="C1314" s="37" t="s">
        <v>17</v>
      </c>
      <c r="D1314" s="37" t="s">
        <v>401</v>
      </c>
      <c r="E1314" s="37" t="s">
        <v>417</v>
      </c>
      <c r="F1314" s="37"/>
      <c r="G1314" s="38" t="s">
        <v>13</v>
      </c>
      <c r="H1314" s="39">
        <v>7589</v>
      </c>
      <c r="I1314" s="40">
        <v>61.5627882</v>
      </c>
      <c r="J1314" s="39">
        <v>8110</v>
      </c>
      <c r="K1314" s="40">
        <v>88.939580800000002</v>
      </c>
    </row>
    <row r="1315" spans="1:11" ht="15" hidden="1" customHeight="1">
      <c r="A1315" s="7"/>
      <c r="B1315" s="36">
        <v>1308</v>
      </c>
      <c r="C1315" s="37" t="s">
        <v>17</v>
      </c>
      <c r="D1315" s="37" t="s">
        <v>401</v>
      </c>
      <c r="E1315" s="37" t="s">
        <v>417</v>
      </c>
      <c r="F1315" s="37"/>
      <c r="G1315" s="38" t="s">
        <v>14</v>
      </c>
      <c r="H1315" s="39">
        <v>4437</v>
      </c>
      <c r="I1315" s="40">
        <v>9.2855533000000001</v>
      </c>
      <c r="J1315" s="39">
        <v>4466</v>
      </c>
      <c r="K1315" s="40">
        <v>37.684729099999998</v>
      </c>
    </row>
    <row r="1316" spans="1:11" ht="15" customHeight="1">
      <c r="A1316" s="7"/>
      <c r="B1316" s="41">
        <v>1309</v>
      </c>
      <c r="C1316" s="42" t="s">
        <v>19</v>
      </c>
      <c r="D1316" s="47" t="s">
        <v>401</v>
      </c>
      <c r="E1316" s="47" t="s">
        <v>417</v>
      </c>
      <c r="F1316" s="47" t="s">
        <v>418</v>
      </c>
      <c r="G1316" s="48" t="s">
        <v>418</v>
      </c>
      <c r="H1316" s="43">
        <v>6490</v>
      </c>
      <c r="I1316" s="44">
        <v>45.96302</v>
      </c>
      <c r="J1316" s="43">
        <v>6201</v>
      </c>
      <c r="K1316" s="44">
        <v>75.874858900000007</v>
      </c>
    </row>
    <row r="1317" spans="1:11" ht="15" hidden="1" customHeight="1">
      <c r="A1317" s="7"/>
      <c r="B1317" s="36">
        <v>1310</v>
      </c>
      <c r="C1317" s="37" t="s">
        <v>19</v>
      </c>
      <c r="D1317" s="37" t="s">
        <v>401</v>
      </c>
      <c r="E1317" s="37" t="s">
        <v>417</v>
      </c>
      <c r="F1317" s="37" t="s">
        <v>418</v>
      </c>
      <c r="G1317" s="38" t="s">
        <v>13</v>
      </c>
      <c r="H1317" s="39">
        <v>4209</v>
      </c>
      <c r="I1317" s="40">
        <v>65.264908500000004</v>
      </c>
      <c r="J1317" s="39">
        <v>4353</v>
      </c>
      <c r="K1317" s="40">
        <v>91.1784976</v>
      </c>
    </row>
    <row r="1318" spans="1:11" ht="15" hidden="1" customHeight="1">
      <c r="A1318" s="7"/>
      <c r="B1318" s="36">
        <v>1311</v>
      </c>
      <c r="C1318" s="37" t="s">
        <v>19</v>
      </c>
      <c r="D1318" s="37" t="s">
        <v>401</v>
      </c>
      <c r="E1318" s="37" t="s">
        <v>417</v>
      </c>
      <c r="F1318" s="37" t="s">
        <v>418</v>
      </c>
      <c r="G1318" s="38" t="s">
        <v>14</v>
      </c>
      <c r="H1318" s="39">
        <v>2281</v>
      </c>
      <c r="I1318" s="40">
        <v>10.3463393</v>
      </c>
      <c r="J1318" s="39">
        <v>1848</v>
      </c>
      <c r="K1318" s="40">
        <v>39.826839800000002</v>
      </c>
    </row>
    <row r="1319" spans="1:11" ht="15" customHeight="1">
      <c r="A1319" s="7"/>
      <c r="B1319" s="41">
        <v>1312</v>
      </c>
      <c r="C1319" s="42" t="s">
        <v>19</v>
      </c>
      <c r="D1319" s="47" t="s">
        <v>401</v>
      </c>
      <c r="E1319" s="47" t="s">
        <v>417</v>
      </c>
      <c r="F1319" s="47" t="s">
        <v>387</v>
      </c>
      <c r="G1319" s="48" t="s">
        <v>387</v>
      </c>
      <c r="H1319" s="43">
        <v>4704</v>
      </c>
      <c r="I1319" s="44">
        <v>41.879251699999998</v>
      </c>
      <c r="J1319" s="43">
        <v>5324</v>
      </c>
      <c r="K1319" s="44">
        <v>65.570999200000003</v>
      </c>
    </row>
    <row r="1320" spans="1:11" ht="15" hidden="1" customHeight="1">
      <c r="A1320" s="7"/>
      <c r="B1320" s="36">
        <v>1313</v>
      </c>
      <c r="C1320" s="37" t="s">
        <v>19</v>
      </c>
      <c r="D1320" s="37" t="s">
        <v>401</v>
      </c>
      <c r="E1320" s="37" t="s">
        <v>417</v>
      </c>
      <c r="F1320" s="37" t="s">
        <v>387</v>
      </c>
      <c r="G1320" s="38" t="s">
        <v>13</v>
      </c>
      <c r="H1320" s="39">
        <v>3380</v>
      </c>
      <c r="I1320" s="40">
        <v>56.952662699999998</v>
      </c>
      <c r="J1320" s="39">
        <v>3757</v>
      </c>
      <c r="K1320" s="40">
        <v>86.345488399999994</v>
      </c>
    </row>
    <row r="1321" spans="1:11" ht="15" hidden="1" customHeight="1">
      <c r="A1321" s="7"/>
      <c r="B1321" s="36">
        <v>1314</v>
      </c>
      <c r="C1321" s="37" t="s">
        <v>19</v>
      </c>
      <c r="D1321" s="37" t="s">
        <v>401</v>
      </c>
      <c r="E1321" s="37" t="s">
        <v>417</v>
      </c>
      <c r="F1321" s="37" t="s">
        <v>387</v>
      </c>
      <c r="G1321" s="38" t="s">
        <v>14</v>
      </c>
      <c r="H1321" s="39">
        <v>1324</v>
      </c>
      <c r="I1321" s="40">
        <v>3.3987915000000002</v>
      </c>
      <c r="J1321" s="39">
        <v>1567</v>
      </c>
      <c r="K1321" s="40">
        <v>15.7626037</v>
      </c>
    </row>
    <row r="1322" spans="1:11" ht="15" customHeight="1">
      <c r="A1322" s="7"/>
      <c r="B1322" s="41">
        <v>1315</v>
      </c>
      <c r="C1322" s="42" t="s">
        <v>19</v>
      </c>
      <c r="D1322" s="47" t="s">
        <v>401</v>
      </c>
      <c r="E1322" s="47" t="s">
        <v>417</v>
      </c>
      <c r="F1322" s="47" t="s">
        <v>419</v>
      </c>
      <c r="G1322" s="48" t="s">
        <v>419</v>
      </c>
      <c r="H1322" s="43">
        <v>832</v>
      </c>
      <c r="I1322" s="44">
        <v>15.745192299999999</v>
      </c>
      <c r="J1322" s="43">
        <v>1051</v>
      </c>
      <c r="K1322" s="44">
        <v>66.603234999999998</v>
      </c>
    </row>
    <row r="1323" spans="1:11" ht="15" hidden="1" customHeight="1">
      <c r="A1323" s="7"/>
      <c r="B1323" s="36">
        <v>1316</v>
      </c>
      <c r="C1323" s="37" t="s">
        <v>19</v>
      </c>
      <c r="D1323" s="37" t="s">
        <v>401</v>
      </c>
      <c r="E1323" s="37" t="s">
        <v>417</v>
      </c>
      <c r="F1323" s="37" t="s">
        <v>419</v>
      </c>
      <c r="G1323" s="38" t="s">
        <v>13</v>
      </c>
      <c r="H1323" s="39"/>
      <c r="I1323" s="40"/>
      <c r="J1323" s="39"/>
      <c r="K1323" s="40"/>
    </row>
    <row r="1324" spans="1:11" ht="15" hidden="1" customHeight="1">
      <c r="A1324" s="7"/>
      <c r="B1324" s="36">
        <v>1317</v>
      </c>
      <c r="C1324" s="37" t="s">
        <v>19</v>
      </c>
      <c r="D1324" s="37" t="s">
        <v>401</v>
      </c>
      <c r="E1324" s="37" t="s">
        <v>417</v>
      </c>
      <c r="F1324" s="37" t="s">
        <v>419</v>
      </c>
      <c r="G1324" s="38" t="s">
        <v>14</v>
      </c>
      <c r="H1324" s="39">
        <v>832</v>
      </c>
      <c r="I1324" s="40">
        <v>15.745192299999999</v>
      </c>
      <c r="J1324" s="39">
        <v>1051</v>
      </c>
      <c r="K1324" s="40">
        <v>66.603234999999998</v>
      </c>
    </row>
    <row r="1325" spans="1:11" ht="15" hidden="1" customHeight="1">
      <c r="A1325" s="7"/>
      <c r="B1325" s="32">
        <v>1318</v>
      </c>
      <c r="C1325" s="33" t="s">
        <v>17</v>
      </c>
      <c r="D1325" s="46" t="s">
        <v>401</v>
      </c>
      <c r="E1325" s="46" t="s">
        <v>420</v>
      </c>
      <c r="F1325" s="46"/>
      <c r="G1325" s="33" t="s">
        <v>420</v>
      </c>
      <c r="H1325" s="34">
        <v>20389</v>
      </c>
      <c r="I1325" s="35">
        <v>38.2853499</v>
      </c>
      <c r="J1325" s="34">
        <v>24112</v>
      </c>
      <c r="K1325" s="35">
        <v>59.9618447</v>
      </c>
    </row>
    <row r="1326" spans="1:11" ht="15" hidden="1" customHeight="1">
      <c r="A1326" s="7"/>
      <c r="B1326" s="36">
        <v>1319</v>
      </c>
      <c r="C1326" s="37" t="s">
        <v>17</v>
      </c>
      <c r="D1326" s="37" t="s">
        <v>401</v>
      </c>
      <c r="E1326" s="37" t="s">
        <v>420</v>
      </c>
      <c r="F1326" s="37"/>
      <c r="G1326" s="38" t="s">
        <v>13</v>
      </c>
      <c r="H1326" s="39">
        <v>11939</v>
      </c>
      <c r="I1326" s="40">
        <v>51.268950500000003</v>
      </c>
      <c r="J1326" s="39">
        <v>13883</v>
      </c>
      <c r="K1326" s="40">
        <v>76.0930635</v>
      </c>
    </row>
    <row r="1327" spans="1:11" ht="15" hidden="1" customHeight="1">
      <c r="A1327" s="7"/>
      <c r="B1327" s="36">
        <v>1320</v>
      </c>
      <c r="C1327" s="37" t="s">
        <v>17</v>
      </c>
      <c r="D1327" s="37" t="s">
        <v>401</v>
      </c>
      <c r="E1327" s="37" t="s">
        <v>420</v>
      </c>
      <c r="F1327" s="37"/>
      <c r="G1327" s="38" t="s">
        <v>14</v>
      </c>
      <c r="H1327" s="39">
        <v>8450</v>
      </c>
      <c r="I1327" s="40">
        <v>19.940828400000001</v>
      </c>
      <c r="J1327" s="39">
        <v>10229</v>
      </c>
      <c r="K1327" s="40">
        <v>38.068237400000001</v>
      </c>
    </row>
    <row r="1328" spans="1:11" ht="15" customHeight="1">
      <c r="A1328" s="7"/>
      <c r="B1328" s="41">
        <v>1321</v>
      </c>
      <c r="C1328" s="42" t="s">
        <v>19</v>
      </c>
      <c r="D1328" s="47" t="s">
        <v>401</v>
      </c>
      <c r="E1328" s="47" t="s">
        <v>420</v>
      </c>
      <c r="F1328" s="47" t="s">
        <v>421</v>
      </c>
      <c r="G1328" s="48" t="s">
        <v>421</v>
      </c>
      <c r="H1328" s="43">
        <v>10967</v>
      </c>
      <c r="I1328" s="44">
        <v>43.548828299999997</v>
      </c>
      <c r="J1328" s="43">
        <v>12465</v>
      </c>
      <c r="K1328" s="44">
        <v>65.527476899999996</v>
      </c>
    </row>
    <row r="1329" spans="1:11" ht="15" hidden="1" customHeight="1">
      <c r="A1329" s="7"/>
      <c r="B1329" s="36">
        <v>1322</v>
      </c>
      <c r="C1329" s="37" t="s">
        <v>19</v>
      </c>
      <c r="D1329" s="37" t="s">
        <v>401</v>
      </c>
      <c r="E1329" s="37" t="s">
        <v>420</v>
      </c>
      <c r="F1329" s="37" t="s">
        <v>421</v>
      </c>
      <c r="G1329" s="38" t="s">
        <v>13</v>
      </c>
      <c r="H1329" s="39">
        <v>7856</v>
      </c>
      <c r="I1329" s="40">
        <v>55.397148700000002</v>
      </c>
      <c r="J1329" s="39">
        <v>9587</v>
      </c>
      <c r="K1329" s="40">
        <v>76.541149500000003</v>
      </c>
    </row>
    <row r="1330" spans="1:11" ht="15" hidden="1" customHeight="1">
      <c r="A1330" s="7"/>
      <c r="B1330" s="36">
        <v>1323</v>
      </c>
      <c r="C1330" s="37" t="s">
        <v>19</v>
      </c>
      <c r="D1330" s="37" t="s">
        <v>401</v>
      </c>
      <c r="E1330" s="37" t="s">
        <v>420</v>
      </c>
      <c r="F1330" s="37" t="s">
        <v>421</v>
      </c>
      <c r="G1330" s="38" t="s">
        <v>14</v>
      </c>
      <c r="H1330" s="39">
        <v>3111</v>
      </c>
      <c r="I1330" s="40">
        <v>13.629058199999999</v>
      </c>
      <c r="J1330" s="39">
        <v>2878</v>
      </c>
      <c r="K1330" s="40">
        <v>28.839471899999999</v>
      </c>
    </row>
    <row r="1331" spans="1:11" ht="15" customHeight="1">
      <c r="A1331" s="7"/>
      <c r="B1331" s="41">
        <v>1324</v>
      </c>
      <c r="C1331" s="42" t="s">
        <v>19</v>
      </c>
      <c r="D1331" s="47" t="s">
        <v>401</v>
      </c>
      <c r="E1331" s="47" t="s">
        <v>420</v>
      </c>
      <c r="F1331" s="47" t="s">
        <v>422</v>
      </c>
      <c r="G1331" s="48" t="s">
        <v>422</v>
      </c>
      <c r="H1331" s="43">
        <v>5439</v>
      </c>
      <c r="I1331" s="44">
        <v>36.109578999999997</v>
      </c>
      <c r="J1331" s="43">
        <v>7084</v>
      </c>
      <c r="K1331" s="44">
        <v>51.298701299999998</v>
      </c>
    </row>
    <row r="1332" spans="1:11" ht="15" hidden="1" customHeight="1">
      <c r="A1332" s="7"/>
      <c r="B1332" s="36">
        <v>1325</v>
      </c>
      <c r="C1332" s="37" t="s">
        <v>19</v>
      </c>
      <c r="D1332" s="37" t="s">
        <v>401</v>
      </c>
      <c r="E1332" s="37" t="s">
        <v>420</v>
      </c>
      <c r="F1332" s="37" t="s">
        <v>422</v>
      </c>
      <c r="G1332" s="38" t="s">
        <v>13</v>
      </c>
      <c r="H1332" s="39">
        <v>2072</v>
      </c>
      <c r="I1332" s="40">
        <v>50.289575300000003</v>
      </c>
      <c r="J1332" s="39">
        <v>2097</v>
      </c>
      <c r="K1332" s="40">
        <v>76.728660000000005</v>
      </c>
    </row>
    <row r="1333" spans="1:11" ht="15" hidden="1" customHeight="1">
      <c r="A1333" s="7"/>
      <c r="B1333" s="36">
        <v>1326</v>
      </c>
      <c r="C1333" s="37" t="s">
        <v>19</v>
      </c>
      <c r="D1333" s="37" t="s">
        <v>401</v>
      </c>
      <c r="E1333" s="37" t="s">
        <v>420</v>
      </c>
      <c r="F1333" s="37" t="s">
        <v>422</v>
      </c>
      <c r="G1333" s="38" t="s">
        <v>14</v>
      </c>
      <c r="H1333" s="39">
        <v>3367</v>
      </c>
      <c r="I1333" s="40">
        <v>27.383427399999999</v>
      </c>
      <c r="J1333" s="39">
        <v>4987</v>
      </c>
      <c r="K1333" s="40">
        <v>40.605574500000003</v>
      </c>
    </row>
    <row r="1334" spans="1:11" ht="15" customHeight="1">
      <c r="A1334" s="7"/>
      <c r="B1334" s="41">
        <v>1327</v>
      </c>
      <c r="C1334" s="42" t="s">
        <v>19</v>
      </c>
      <c r="D1334" s="47" t="s">
        <v>401</v>
      </c>
      <c r="E1334" s="47" t="s">
        <v>420</v>
      </c>
      <c r="F1334" s="47" t="s">
        <v>423</v>
      </c>
      <c r="G1334" s="48" t="s">
        <v>423</v>
      </c>
      <c r="H1334" s="43">
        <v>3983</v>
      </c>
      <c r="I1334" s="44">
        <v>26.7637459</v>
      </c>
      <c r="J1334" s="43">
        <v>4563</v>
      </c>
      <c r="K1334" s="44">
        <v>58.207319699999999</v>
      </c>
    </row>
    <row r="1335" spans="1:11" ht="15" hidden="1" customHeight="1">
      <c r="A1335" s="7"/>
      <c r="B1335" s="36">
        <v>1328</v>
      </c>
      <c r="C1335" s="37" t="s">
        <v>19</v>
      </c>
      <c r="D1335" s="37" t="s">
        <v>401</v>
      </c>
      <c r="E1335" s="37" t="s">
        <v>420</v>
      </c>
      <c r="F1335" s="37" t="s">
        <v>423</v>
      </c>
      <c r="G1335" s="38" t="s">
        <v>13</v>
      </c>
      <c r="H1335" s="39">
        <v>2011</v>
      </c>
      <c r="I1335" s="40">
        <v>36.151168599999998</v>
      </c>
      <c r="J1335" s="39">
        <v>2199</v>
      </c>
      <c r="K1335" s="40">
        <v>73.533424299999993</v>
      </c>
    </row>
    <row r="1336" spans="1:11" ht="15" hidden="1" customHeight="1">
      <c r="A1336" s="7"/>
      <c r="B1336" s="36">
        <v>1329</v>
      </c>
      <c r="C1336" s="37" t="s">
        <v>19</v>
      </c>
      <c r="D1336" s="37" t="s">
        <v>401</v>
      </c>
      <c r="E1336" s="37" t="s">
        <v>420</v>
      </c>
      <c r="F1336" s="37" t="s">
        <v>423</v>
      </c>
      <c r="G1336" s="38" t="s">
        <v>14</v>
      </c>
      <c r="H1336" s="39">
        <v>1972</v>
      </c>
      <c r="I1336" s="40">
        <v>17.190669400000001</v>
      </c>
      <c r="J1336" s="39">
        <v>2364</v>
      </c>
      <c r="K1336" s="40">
        <v>43.9509306</v>
      </c>
    </row>
    <row r="1337" spans="1:11" ht="15" hidden="1" customHeight="1">
      <c r="A1337" s="7"/>
      <c r="B1337" s="32">
        <v>1330</v>
      </c>
      <c r="C1337" s="33" t="s">
        <v>17</v>
      </c>
      <c r="D1337" s="46" t="s">
        <v>401</v>
      </c>
      <c r="E1337" s="46" t="s">
        <v>424</v>
      </c>
      <c r="F1337" s="46"/>
      <c r="G1337" s="33" t="s">
        <v>424</v>
      </c>
      <c r="H1337" s="34">
        <v>3122</v>
      </c>
      <c r="I1337" s="35">
        <v>1.7296605</v>
      </c>
      <c r="J1337" s="34">
        <v>3939</v>
      </c>
      <c r="K1337" s="35">
        <v>9.0886011999999994</v>
      </c>
    </row>
    <row r="1338" spans="1:11" ht="15" hidden="1" customHeight="1">
      <c r="A1338" s="7"/>
      <c r="B1338" s="36">
        <v>1331</v>
      </c>
      <c r="C1338" s="37" t="s">
        <v>17</v>
      </c>
      <c r="D1338" s="37" t="s">
        <v>401</v>
      </c>
      <c r="E1338" s="37" t="s">
        <v>424</v>
      </c>
      <c r="F1338" s="37"/>
      <c r="G1338" s="38" t="s">
        <v>13</v>
      </c>
      <c r="H1338" s="39"/>
      <c r="I1338" s="40"/>
      <c r="J1338" s="39"/>
      <c r="K1338" s="40"/>
    </row>
    <row r="1339" spans="1:11" ht="15" hidden="1" customHeight="1">
      <c r="A1339" s="7"/>
      <c r="B1339" s="36">
        <v>1332</v>
      </c>
      <c r="C1339" s="37" t="s">
        <v>17</v>
      </c>
      <c r="D1339" s="37" t="s">
        <v>401</v>
      </c>
      <c r="E1339" s="37" t="s">
        <v>424</v>
      </c>
      <c r="F1339" s="37"/>
      <c r="G1339" s="38" t="s">
        <v>14</v>
      </c>
      <c r="H1339" s="39">
        <v>3122</v>
      </c>
      <c r="I1339" s="40">
        <v>1.7296605</v>
      </c>
      <c r="J1339" s="39">
        <v>3939</v>
      </c>
      <c r="K1339" s="40">
        <v>9.0886011999999994</v>
      </c>
    </row>
    <row r="1340" spans="1:11" ht="15" customHeight="1">
      <c r="A1340" s="7"/>
      <c r="B1340" s="41">
        <v>1333</v>
      </c>
      <c r="C1340" s="42" t="s">
        <v>19</v>
      </c>
      <c r="D1340" s="47" t="s">
        <v>401</v>
      </c>
      <c r="E1340" s="47" t="s">
        <v>424</v>
      </c>
      <c r="F1340" s="47" t="s">
        <v>425</v>
      </c>
      <c r="G1340" s="48" t="s">
        <v>425</v>
      </c>
      <c r="H1340" s="43">
        <v>3122</v>
      </c>
      <c r="I1340" s="44">
        <v>1.7296605</v>
      </c>
      <c r="J1340" s="43">
        <v>3939</v>
      </c>
      <c r="K1340" s="44">
        <v>9.0886011999999994</v>
      </c>
    </row>
    <row r="1341" spans="1:11" ht="15" hidden="1" customHeight="1">
      <c r="A1341" s="7"/>
      <c r="B1341" s="36">
        <v>1334</v>
      </c>
      <c r="C1341" s="37" t="s">
        <v>19</v>
      </c>
      <c r="D1341" s="37" t="s">
        <v>401</v>
      </c>
      <c r="E1341" s="37" t="s">
        <v>424</v>
      </c>
      <c r="F1341" s="37" t="s">
        <v>425</v>
      </c>
      <c r="G1341" s="38" t="s">
        <v>13</v>
      </c>
      <c r="H1341" s="39"/>
      <c r="I1341" s="40"/>
      <c r="J1341" s="39"/>
      <c r="K1341" s="40"/>
    </row>
    <row r="1342" spans="1:11" ht="15" hidden="1" customHeight="1">
      <c r="A1342" s="7"/>
      <c r="B1342" s="36">
        <v>1335</v>
      </c>
      <c r="C1342" s="37" t="s">
        <v>19</v>
      </c>
      <c r="D1342" s="37" t="s">
        <v>401</v>
      </c>
      <c r="E1342" s="37" t="s">
        <v>424</v>
      </c>
      <c r="F1342" s="37" t="s">
        <v>425</v>
      </c>
      <c r="G1342" s="38" t="s">
        <v>14</v>
      </c>
      <c r="H1342" s="39">
        <v>3122</v>
      </c>
      <c r="I1342" s="40">
        <v>1.7296605</v>
      </c>
      <c r="J1342" s="39">
        <v>3939</v>
      </c>
      <c r="K1342" s="40">
        <v>9.0886011999999994</v>
      </c>
    </row>
    <row r="1343" spans="1:11" ht="15" hidden="1" customHeight="1">
      <c r="A1343" s="7"/>
      <c r="B1343" s="24">
        <v>1336</v>
      </c>
      <c r="C1343" s="25" t="s">
        <v>15</v>
      </c>
      <c r="D1343" s="25" t="s">
        <v>426</v>
      </c>
      <c r="E1343" s="25"/>
      <c r="F1343" s="25"/>
      <c r="G1343" s="25" t="s">
        <v>426</v>
      </c>
      <c r="H1343" s="26">
        <v>102407</v>
      </c>
      <c r="I1343" s="27">
        <v>54.768717000000002</v>
      </c>
      <c r="J1343" s="26">
        <v>126967</v>
      </c>
      <c r="K1343" s="27">
        <v>76.752227000000005</v>
      </c>
    </row>
    <row r="1344" spans="1:11" ht="15" hidden="1" customHeight="1">
      <c r="A1344" s="7"/>
      <c r="B1344" s="28">
        <v>1337</v>
      </c>
      <c r="C1344" s="29" t="s">
        <v>15</v>
      </c>
      <c r="D1344" s="45" t="s">
        <v>426</v>
      </c>
      <c r="E1344" s="45"/>
      <c r="F1344" s="45"/>
      <c r="G1344" s="29" t="s">
        <v>13</v>
      </c>
      <c r="H1344" s="30">
        <v>49420</v>
      </c>
      <c r="I1344" s="31">
        <v>91.989073200000007</v>
      </c>
      <c r="J1344" s="30">
        <v>65929</v>
      </c>
      <c r="K1344" s="31">
        <v>97.143897199999998</v>
      </c>
    </row>
    <row r="1345" spans="1:11" ht="15" hidden="1" customHeight="1">
      <c r="A1345" s="7"/>
      <c r="B1345" s="28">
        <v>1338</v>
      </c>
      <c r="C1345" s="29" t="s">
        <v>15</v>
      </c>
      <c r="D1345" s="45" t="s">
        <v>426</v>
      </c>
      <c r="E1345" s="45"/>
      <c r="F1345" s="45"/>
      <c r="G1345" s="29" t="s">
        <v>14</v>
      </c>
      <c r="H1345" s="30">
        <v>52987</v>
      </c>
      <c r="I1345" s="31">
        <v>20.0539755</v>
      </c>
      <c r="J1345" s="30">
        <v>61038</v>
      </c>
      <c r="K1345" s="31">
        <v>54.726563800000001</v>
      </c>
    </row>
    <row r="1346" spans="1:11" ht="15" hidden="1" customHeight="1">
      <c r="A1346" s="7"/>
      <c r="B1346" s="32">
        <v>1339</v>
      </c>
      <c r="C1346" s="33" t="s">
        <v>17</v>
      </c>
      <c r="D1346" s="46" t="s">
        <v>426</v>
      </c>
      <c r="E1346" s="46" t="s">
        <v>427</v>
      </c>
      <c r="F1346" s="46"/>
      <c r="G1346" s="33" t="s">
        <v>427</v>
      </c>
      <c r="H1346" s="34">
        <v>55444</v>
      </c>
      <c r="I1346" s="35">
        <v>85.148979199999999</v>
      </c>
      <c r="J1346" s="34">
        <v>65972</v>
      </c>
      <c r="K1346" s="35">
        <v>94.715940099999997</v>
      </c>
    </row>
    <row r="1347" spans="1:11" ht="15" hidden="1" customHeight="1">
      <c r="A1347" s="7"/>
      <c r="B1347" s="36">
        <v>1340</v>
      </c>
      <c r="C1347" s="37" t="s">
        <v>17</v>
      </c>
      <c r="D1347" s="37" t="s">
        <v>426</v>
      </c>
      <c r="E1347" s="37" t="s">
        <v>427</v>
      </c>
      <c r="F1347" s="37"/>
      <c r="G1347" s="38" t="s">
        <v>13</v>
      </c>
      <c r="H1347" s="39">
        <v>44677</v>
      </c>
      <c r="I1347" s="40">
        <v>95.180965599999993</v>
      </c>
      <c r="J1347" s="39">
        <v>56749</v>
      </c>
      <c r="K1347" s="40">
        <v>98.526846300000003</v>
      </c>
    </row>
    <row r="1348" spans="1:11" ht="15" hidden="1" customHeight="1">
      <c r="A1348" s="7"/>
      <c r="B1348" s="36">
        <v>1341</v>
      </c>
      <c r="C1348" s="37" t="s">
        <v>17</v>
      </c>
      <c r="D1348" s="37" t="s">
        <v>426</v>
      </c>
      <c r="E1348" s="37" t="s">
        <v>427</v>
      </c>
      <c r="F1348" s="37"/>
      <c r="G1348" s="38" t="s">
        <v>14</v>
      </c>
      <c r="H1348" s="39">
        <v>10767</v>
      </c>
      <c r="I1348" s="40">
        <v>43.521872399999999</v>
      </c>
      <c r="J1348" s="39">
        <v>9223</v>
      </c>
      <c r="K1348" s="40">
        <v>71.267483499999997</v>
      </c>
    </row>
    <row r="1349" spans="1:11" ht="15" customHeight="1">
      <c r="A1349" s="7"/>
      <c r="B1349" s="41">
        <v>1342</v>
      </c>
      <c r="C1349" s="42" t="s">
        <v>19</v>
      </c>
      <c r="D1349" s="47" t="s">
        <v>426</v>
      </c>
      <c r="E1349" s="47" t="s">
        <v>427</v>
      </c>
      <c r="F1349" s="47" t="s">
        <v>428</v>
      </c>
      <c r="G1349" s="48" t="s">
        <v>428</v>
      </c>
      <c r="H1349" s="43">
        <v>42341</v>
      </c>
      <c r="I1349" s="44">
        <v>94.364800099999997</v>
      </c>
      <c r="J1349" s="43">
        <v>51248</v>
      </c>
      <c r="K1349" s="44">
        <v>98.378473299999996</v>
      </c>
    </row>
    <row r="1350" spans="1:11" ht="15" hidden="1" customHeight="1">
      <c r="A1350" s="7"/>
      <c r="B1350" s="36">
        <v>1343</v>
      </c>
      <c r="C1350" s="37" t="s">
        <v>19</v>
      </c>
      <c r="D1350" s="37" t="s">
        <v>426</v>
      </c>
      <c r="E1350" s="37" t="s">
        <v>427</v>
      </c>
      <c r="F1350" s="37" t="s">
        <v>428</v>
      </c>
      <c r="G1350" s="38" t="s">
        <v>13</v>
      </c>
      <c r="H1350" s="39">
        <v>40516</v>
      </c>
      <c r="I1350" s="40">
        <v>95.762168000000003</v>
      </c>
      <c r="J1350" s="39">
        <v>49688</v>
      </c>
      <c r="K1350" s="40">
        <v>98.927306400000006</v>
      </c>
    </row>
    <row r="1351" spans="1:11" ht="15" hidden="1" customHeight="1">
      <c r="A1351" s="7"/>
      <c r="B1351" s="36">
        <v>1344</v>
      </c>
      <c r="C1351" s="37" t="s">
        <v>19</v>
      </c>
      <c r="D1351" s="37" t="s">
        <v>426</v>
      </c>
      <c r="E1351" s="37" t="s">
        <v>427</v>
      </c>
      <c r="F1351" s="37" t="s">
        <v>428</v>
      </c>
      <c r="G1351" s="38" t="s">
        <v>14</v>
      </c>
      <c r="H1351" s="39">
        <v>1825</v>
      </c>
      <c r="I1351" s="40">
        <v>63.342465799999999</v>
      </c>
      <c r="J1351" s="39">
        <v>1560</v>
      </c>
      <c r="K1351" s="40">
        <v>80.897435900000005</v>
      </c>
    </row>
    <row r="1352" spans="1:11" ht="15" customHeight="1">
      <c r="A1352" s="7"/>
      <c r="B1352" s="41">
        <v>1345</v>
      </c>
      <c r="C1352" s="42" t="s">
        <v>19</v>
      </c>
      <c r="D1352" s="47" t="s">
        <v>426</v>
      </c>
      <c r="E1352" s="47" t="s">
        <v>427</v>
      </c>
      <c r="F1352" s="47" t="s">
        <v>429</v>
      </c>
      <c r="G1352" s="48" t="s">
        <v>429</v>
      </c>
      <c r="H1352" s="43">
        <v>7525</v>
      </c>
      <c r="I1352" s="44">
        <v>69.382059799999993</v>
      </c>
      <c r="J1352" s="43">
        <v>8998</v>
      </c>
      <c r="K1352" s="44">
        <v>90.686819299999996</v>
      </c>
    </row>
    <row r="1353" spans="1:11" ht="15" hidden="1" customHeight="1">
      <c r="A1353" s="7"/>
      <c r="B1353" s="36">
        <v>1346</v>
      </c>
      <c r="C1353" s="37" t="s">
        <v>19</v>
      </c>
      <c r="D1353" s="37" t="s">
        <v>426</v>
      </c>
      <c r="E1353" s="37" t="s">
        <v>427</v>
      </c>
      <c r="F1353" s="37" t="s">
        <v>429</v>
      </c>
      <c r="G1353" s="38" t="s">
        <v>13</v>
      </c>
      <c r="H1353" s="39">
        <v>4161</v>
      </c>
      <c r="I1353" s="40">
        <v>89.521749600000007</v>
      </c>
      <c r="J1353" s="39">
        <v>7061</v>
      </c>
      <c r="K1353" s="40">
        <v>95.708823100000004</v>
      </c>
    </row>
    <row r="1354" spans="1:11" ht="15" hidden="1" customHeight="1">
      <c r="A1354" s="7"/>
      <c r="B1354" s="36">
        <v>1347</v>
      </c>
      <c r="C1354" s="37" t="s">
        <v>19</v>
      </c>
      <c r="D1354" s="37" t="s">
        <v>426</v>
      </c>
      <c r="E1354" s="37" t="s">
        <v>427</v>
      </c>
      <c r="F1354" s="37" t="s">
        <v>429</v>
      </c>
      <c r="G1354" s="38" t="s">
        <v>14</v>
      </c>
      <c r="H1354" s="39">
        <v>3364</v>
      </c>
      <c r="I1354" s="40">
        <v>44.470868000000003</v>
      </c>
      <c r="J1354" s="39">
        <v>1937</v>
      </c>
      <c r="K1354" s="40">
        <v>72.379969000000003</v>
      </c>
    </row>
    <row r="1355" spans="1:11" ht="15" customHeight="1">
      <c r="A1355" s="7"/>
      <c r="B1355" s="41">
        <v>1348</v>
      </c>
      <c r="C1355" s="42" t="s">
        <v>19</v>
      </c>
      <c r="D1355" s="47" t="s">
        <v>426</v>
      </c>
      <c r="E1355" s="47" t="s">
        <v>427</v>
      </c>
      <c r="F1355" s="47" t="s">
        <v>430</v>
      </c>
      <c r="G1355" s="48" t="s">
        <v>430</v>
      </c>
      <c r="H1355" s="43">
        <v>2055</v>
      </c>
      <c r="I1355" s="44">
        <v>22.481751800000001</v>
      </c>
      <c r="J1355" s="43">
        <v>2324</v>
      </c>
      <c r="K1355" s="44">
        <v>59.595525000000002</v>
      </c>
    </row>
    <row r="1356" spans="1:11" ht="15" hidden="1" customHeight="1">
      <c r="A1356" s="7"/>
      <c r="B1356" s="36">
        <v>1349</v>
      </c>
      <c r="C1356" s="37" t="s">
        <v>19</v>
      </c>
      <c r="D1356" s="37" t="s">
        <v>426</v>
      </c>
      <c r="E1356" s="37" t="s">
        <v>427</v>
      </c>
      <c r="F1356" s="37" t="s">
        <v>430</v>
      </c>
      <c r="G1356" s="38" t="s">
        <v>13</v>
      </c>
      <c r="H1356" s="39"/>
      <c r="I1356" s="40"/>
      <c r="J1356" s="39"/>
      <c r="K1356" s="40"/>
    </row>
    <row r="1357" spans="1:11" ht="15" hidden="1" customHeight="1">
      <c r="A1357" s="7"/>
      <c r="B1357" s="36">
        <v>1350</v>
      </c>
      <c r="C1357" s="37" t="s">
        <v>19</v>
      </c>
      <c r="D1357" s="37" t="s">
        <v>426</v>
      </c>
      <c r="E1357" s="37" t="s">
        <v>427</v>
      </c>
      <c r="F1357" s="37" t="s">
        <v>430</v>
      </c>
      <c r="G1357" s="38" t="s">
        <v>14</v>
      </c>
      <c r="H1357" s="39">
        <v>2055</v>
      </c>
      <c r="I1357" s="40">
        <v>22.481751800000001</v>
      </c>
      <c r="J1357" s="39">
        <v>2324</v>
      </c>
      <c r="K1357" s="40">
        <v>59.595525000000002</v>
      </c>
    </row>
    <row r="1358" spans="1:11" ht="15" customHeight="1">
      <c r="A1358" s="7"/>
      <c r="B1358" s="41">
        <v>1351</v>
      </c>
      <c r="C1358" s="42" t="s">
        <v>19</v>
      </c>
      <c r="D1358" s="47" t="s">
        <v>426</v>
      </c>
      <c r="E1358" s="47" t="s">
        <v>427</v>
      </c>
      <c r="F1358" s="47" t="s">
        <v>431</v>
      </c>
      <c r="G1358" s="48" t="s">
        <v>431</v>
      </c>
      <c r="H1358" s="43">
        <v>3523</v>
      </c>
      <c r="I1358" s="44">
        <v>44.621061599999997</v>
      </c>
      <c r="J1358" s="43">
        <v>3402</v>
      </c>
      <c r="K1358" s="44">
        <v>74.191652000000005</v>
      </c>
    </row>
    <row r="1359" spans="1:11" ht="15" hidden="1" customHeight="1">
      <c r="A1359" s="7"/>
      <c r="B1359" s="36">
        <v>1352</v>
      </c>
      <c r="C1359" s="37" t="s">
        <v>19</v>
      </c>
      <c r="D1359" s="37" t="s">
        <v>426</v>
      </c>
      <c r="E1359" s="37" t="s">
        <v>427</v>
      </c>
      <c r="F1359" s="37" t="s">
        <v>431</v>
      </c>
      <c r="G1359" s="38" t="s">
        <v>13</v>
      </c>
      <c r="H1359" s="39"/>
      <c r="I1359" s="40"/>
      <c r="J1359" s="39"/>
      <c r="K1359" s="40"/>
    </row>
    <row r="1360" spans="1:11" ht="15" hidden="1" customHeight="1">
      <c r="A1360" s="7"/>
      <c r="B1360" s="36">
        <v>1353</v>
      </c>
      <c r="C1360" s="37" t="s">
        <v>19</v>
      </c>
      <c r="D1360" s="37" t="s">
        <v>426</v>
      </c>
      <c r="E1360" s="37" t="s">
        <v>427</v>
      </c>
      <c r="F1360" s="37" t="s">
        <v>431</v>
      </c>
      <c r="G1360" s="38" t="s">
        <v>14</v>
      </c>
      <c r="H1360" s="39">
        <v>3523</v>
      </c>
      <c r="I1360" s="40">
        <v>44.621061599999997</v>
      </c>
      <c r="J1360" s="39">
        <v>3402</v>
      </c>
      <c r="K1360" s="40">
        <v>74.191652000000005</v>
      </c>
    </row>
    <row r="1361" spans="1:11" ht="15" hidden="1" customHeight="1">
      <c r="A1361" s="7"/>
      <c r="B1361" s="32">
        <v>1354</v>
      </c>
      <c r="C1361" s="33" t="s">
        <v>17</v>
      </c>
      <c r="D1361" s="46" t="s">
        <v>426</v>
      </c>
      <c r="E1361" s="46" t="s">
        <v>432</v>
      </c>
      <c r="F1361" s="46"/>
      <c r="G1361" s="33" t="s">
        <v>432</v>
      </c>
      <c r="H1361" s="34">
        <v>14050</v>
      </c>
      <c r="I1361" s="35">
        <v>28.469750900000001</v>
      </c>
      <c r="J1361" s="34">
        <v>17984</v>
      </c>
      <c r="K1361" s="35">
        <v>66.225533799999994</v>
      </c>
    </row>
    <row r="1362" spans="1:11" ht="15" hidden="1" customHeight="1">
      <c r="A1362" s="7"/>
      <c r="B1362" s="36">
        <v>1355</v>
      </c>
      <c r="C1362" s="37" t="s">
        <v>17</v>
      </c>
      <c r="D1362" s="37" t="s">
        <v>426</v>
      </c>
      <c r="E1362" s="37" t="s">
        <v>432</v>
      </c>
      <c r="F1362" s="37"/>
      <c r="G1362" s="38" t="s">
        <v>13</v>
      </c>
      <c r="H1362" s="39">
        <v>2257</v>
      </c>
      <c r="I1362" s="40">
        <v>79.4860434</v>
      </c>
      <c r="J1362" s="39">
        <v>3098</v>
      </c>
      <c r="K1362" s="40">
        <v>94.448031</v>
      </c>
    </row>
    <row r="1363" spans="1:11" ht="15" hidden="1" customHeight="1">
      <c r="A1363" s="7"/>
      <c r="B1363" s="36">
        <v>1356</v>
      </c>
      <c r="C1363" s="37" t="s">
        <v>17</v>
      </c>
      <c r="D1363" s="37" t="s">
        <v>426</v>
      </c>
      <c r="E1363" s="37" t="s">
        <v>432</v>
      </c>
      <c r="F1363" s="37"/>
      <c r="G1363" s="38" t="s">
        <v>14</v>
      </c>
      <c r="H1363" s="39">
        <v>11793</v>
      </c>
      <c r="I1363" s="40">
        <v>18.706012000000001</v>
      </c>
      <c r="J1363" s="39">
        <v>14886</v>
      </c>
      <c r="K1363" s="40">
        <v>60.352008599999998</v>
      </c>
    </row>
    <row r="1364" spans="1:11" ht="15" customHeight="1">
      <c r="A1364" s="7"/>
      <c r="B1364" s="41">
        <v>1357</v>
      </c>
      <c r="C1364" s="42" t="s">
        <v>19</v>
      </c>
      <c r="D1364" s="47" t="s">
        <v>426</v>
      </c>
      <c r="E1364" s="47" t="s">
        <v>432</v>
      </c>
      <c r="F1364" s="47" t="s">
        <v>433</v>
      </c>
      <c r="G1364" s="48" t="s">
        <v>433</v>
      </c>
      <c r="H1364" s="43">
        <v>5584</v>
      </c>
      <c r="I1364" s="44">
        <v>48.334527199999997</v>
      </c>
      <c r="J1364" s="43">
        <v>6803</v>
      </c>
      <c r="K1364" s="44">
        <v>78.2007938</v>
      </c>
    </row>
    <row r="1365" spans="1:11" ht="15" hidden="1" customHeight="1">
      <c r="A1365" s="7"/>
      <c r="B1365" s="36">
        <v>1358</v>
      </c>
      <c r="C1365" s="37" t="s">
        <v>19</v>
      </c>
      <c r="D1365" s="37" t="s">
        <v>426</v>
      </c>
      <c r="E1365" s="37" t="s">
        <v>432</v>
      </c>
      <c r="F1365" s="37" t="s">
        <v>433</v>
      </c>
      <c r="G1365" s="38" t="s">
        <v>13</v>
      </c>
      <c r="H1365" s="39">
        <v>2257</v>
      </c>
      <c r="I1365" s="40">
        <v>79.4860434</v>
      </c>
      <c r="J1365" s="39">
        <v>3098</v>
      </c>
      <c r="K1365" s="40">
        <v>94.448031</v>
      </c>
    </row>
    <row r="1366" spans="1:11" ht="15" hidden="1" customHeight="1">
      <c r="A1366" s="7"/>
      <c r="B1366" s="36">
        <v>1359</v>
      </c>
      <c r="C1366" s="37" t="s">
        <v>19</v>
      </c>
      <c r="D1366" s="37" t="s">
        <v>426</v>
      </c>
      <c r="E1366" s="37" t="s">
        <v>432</v>
      </c>
      <c r="F1366" s="37" t="s">
        <v>433</v>
      </c>
      <c r="G1366" s="38" t="s">
        <v>14</v>
      </c>
      <c r="H1366" s="39">
        <v>3327</v>
      </c>
      <c r="I1366" s="40">
        <v>27.201683200000002</v>
      </c>
      <c r="J1366" s="39">
        <v>3705</v>
      </c>
      <c r="K1366" s="40">
        <v>64.615384599999999</v>
      </c>
    </row>
    <row r="1367" spans="1:11" ht="15" customHeight="1">
      <c r="A1367" s="7"/>
      <c r="B1367" s="41">
        <v>1360</v>
      </c>
      <c r="C1367" s="42" t="s">
        <v>19</v>
      </c>
      <c r="D1367" s="47" t="s">
        <v>426</v>
      </c>
      <c r="E1367" s="47" t="s">
        <v>432</v>
      </c>
      <c r="F1367" s="47" t="s">
        <v>280</v>
      </c>
      <c r="G1367" s="48" t="s">
        <v>280</v>
      </c>
      <c r="H1367" s="43">
        <v>2974</v>
      </c>
      <c r="I1367" s="44">
        <v>4.0685944999999997</v>
      </c>
      <c r="J1367" s="43">
        <v>3245</v>
      </c>
      <c r="K1367" s="44">
        <v>11.001540800000001</v>
      </c>
    </row>
    <row r="1368" spans="1:11" ht="15" hidden="1" customHeight="1">
      <c r="A1368" s="7"/>
      <c r="B1368" s="36">
        <v>1361</v>
      </c>
      <c r="C1368" s="37" t="s">
        <v>19</v>
      </c>
      <c r="D1368" s="37" t="s">
        <v>426</v>
      </c>
      <c r="E1368" s="37" t="s">
        <v>432</v>
      </c>
      <c r="F1368" s="37" t="s">
        <v>280</v>
      </c>
      <c r="G1368" s="38" t="s">
        <v>13</v>
      </c>
      <c r="H1368" s="39"/>
      <c r="I1368" s="40"/>
      <c r="J1368" s="39"/>
      <c r="K1368" s="40"/>
    </row>
    <row r="1369" spans="1:11" ht="15" hidden="1" customHeight="1">
      <c r="A1369" s="7"/>
      <c r="B1369" s="36">
        <v>1362</v>
      </c>
      <c r="C1369" s="37" t="s">
        <v>19</v>
      </c>
      <c r="D1369" s="37" t="s">
        <v>426</v>
      </c>
      <c r="E1369" s="37" t="s">
        <v>432</v>
      </c>
      <c r="F1369" s="37" t="s">
        <v>280</v>
      </c>
      <c r="G1369" s="38" t="s">
        <v>14</v>
      </c>
      <c r="H1369" s="39">
        <v>2974</v>
      </c>
      <c r="I1369" s="40">
        <v>4.0685944999999997</v>
      </c>
      <c r="J1369" s="39">
        <v>3245</v>
      </c>
      <c r="K1369" s="40">
        <v>11.001540800000001</v>
      </c>
    </row>
    <row r="1370" spans="1:11" ht="15" customHeight="1">
      <c r="A1370" s="7"/>
      <c r="B1370" s="41">
        <v>1363</v>
      </c>
      <c r="C1370" s="42" t="s">
        <v>19</v>
      </c>
      <c r="D1370" s="47" t="s">
        <v>426</v>
      </c>
      <c r="E1370" s="47" t="s">
        <v>432</v>
      </c>
      <c r="F1370" s="47" t="s">
        <v>434</v>
      </c>
      <c r="G1370" s="48" t="s">
        <v>434</v>
      </c>
      <c r="H1370" s="43">
        <v>5492</v>
      </c>
      <c r="I1370" s="44">
        <v>21.4857975</v>
      </c>
      <c r="J1370" s="43">
        <v>7936</v>
      </c>
      <c r="K1370" s="44">
        <v>78.540826600000003</v>
      </c>
    </row>
    <row r="1371" spans="1:11" ht="15" hidden="1" customHeight="1">
      <c r="A1371" s="7"/>
      <c r="B1371" s="36">
        <v>1364</v>
      </c>
      <c r="C1371" s="37" t="s">
        <v>19</v>
      </c>
      <c r="D1371" s="37" t="s">
        <v>426</v>
      </c>
      <c r="E1371" s="37" t="s">
        <v>432</v>
      </c>
      <c r="F1371" s="37" t="s">
        <v>434</v>
      </c>
      <c r="G1371" s="38" t="s">
        <v>13</v>
      </c>
      <c r="H1371" s="39"/>
      <c r="I1371" s="40"/>
      <c r="J1371" s="39"/>
      <c r="K1371" s="40"/>
    </row>
    <row r="1372" spans="1:11" ht="15" hidden="1" customHeight="1">
      <c r="A1372" s="7"/>
      <c r="B1372" s="36">
        <v>1365</v>
      </c>
      <c r="C1372" s="37" t="s">
        <v>19</v>
      </c>
      <c r="D1372" s="37" t="s">
        <v>426</v>
      </c>
      <c r="E1372" s="37" t="s">
        <v>432</v>
      </c>
      <c r="F1372" s="37" t="s">
        <v>434</v>
      </c>
      <c r="G1372" s="38" t="s">
        <v>14</v>
      </c>
      <c r="H1372" s="39">
        <v>5492</v>
      </c>
      <c r="I1372" s="40">
        <v>21.4857975</v>
      </c>
      <c r="J1372" s="39">
        <v>7936</v>
      </c>
      <c r="K1372" s="40">
        <v>78.540826600000003</v>
      </c>
    </row>
    <row r="1373" spans="1:11" ht="15" hidden="1" customHeight="1">
      <c r="A1373" s="7"/>
      <c r="B1373" s="32">
        <v>1366</v>
      </c>
      <c r="C1373" s="33" t="s">
        <v>17</v>
      </c>
      <c r="D1373" s="46" t="s">
        <v>426</v>
      </c>
      <c r="E1373" s="46" t="s">
        <v>435</v>
      </c>
      <c r="F1373" s="46"/>
      <c r="G1373" s="33" t="s">
        <v>435</v>
      </c>
      <c r="H1373" s="34">
        <v>22649</v>
      </c>
      <c r="I1373" s="35">
        <v>14.596670899999999</v>
      </c>
      <c r="J1373" s="34">
        <v>31338</v>
      </c>
      <c r="K1373" s="35">
        <v>53.4782054</v>
      </c>
    </row>
    <row r="1374" spans="1:11" ht="15" hidden="1" customHeight="1">
      <c r="A1374" s="7"/>
      <c r="B1374" s="36">
        <v>1367</v>
      </c>
      <c r="C1374" s="37" t="s">
        <v>17</v>
      </c>
      <c r="D1374" s="37" t="s">
        <v>426</v>
      </c>
      <c r="E1374" s="37" t="s">
        <v>435</v>
      </c>
      <c r="F1374" s="37"/>
      <c r="G1374" s="38" t="s">
        <v>13</v>
      </c>
      <c r="H1374" s="39">
        <v>2486</v>
      </c>
      <c r="I1374" s="40">
        <v>45.9774739</v>
      </c>
      <c r="J1374" s="39">
        <v>6082</v>
      </c>
      <c r="K1374" s="40">
        <v>85.613285099999999</v>
      </c>
    </row>
    <row r="1375" spans="1:11" ht="15" hidden="1" customHeight="1">
      <c r="A1375" s="7"/>
      <c r="B1375" s="36">
        <v>1368</v>
      </c>
      <c r="C1375" s="37" t="s">
        <v>17</v>
      </c>
      <c r="D1375" s="37" t="s">
        <v>426</v>
      </c>
      <c r="E1375" s="37" t="s">
        <v>435</v>
      </c>
      <c r="F1375" s="37"/>
      <c r="G1375" s="38" t="s">
        <v>14</v>
      </c>
      <c r="H1375" s="39">
        <v>20163</v>
      </c>
      <c r="I1375" s="40">
        <v>10.7275703</v>
      </c>
      <c r="J1375" s="39">
        <v>25256</v>
      </c>
      <c r="K1375" s="40">
        <v>45.739626199999996</v>
      </c>
    </row>
    <row r="1376" spans="1:11" ht="15" customHeight="1">
      <c r="A1376" s="7"/>
      <c r="B1376" s="41">
        <v>1369</v>
      </c>
      <c r="C1376" s="42" t="s">
        <v>19</v>
      </c>
      <c r="D1376" s="47" t="s">
        <v>426</v>
      </c>
      <c r="E1376" s="47" t="s">
        <v>435</v>
      </c>
      <c r="F1376" s="47" t="s">
        <v>436</v>
      </c>
      <c r="G1376" s="48" t="s">
        <v>436</v>
      </c>
      <c r="H1376" s="43">
        <v>7516</v>
      </c>
      <c r="I1376" s="44">
        <v>14.3826503</v>
      </c>
      <c r="J1376" s="43">
        <v>11675</v>
      </c>
      <c r="K1376" s="44">
        <v>49.293361900000001</v>
      </c>
    </row>
    <row r="1377" spans="1:11" ht="15" hidden="1" customHeight="1">
      <c r="A1377" s="7"/>
      <c r="B1377" s="36">
        <v>1370</v>
      </c>
      <c r="C1377" s="37" t="s">
        <v>19</v>
      </c>
      <c r="D1377" s="37" t="s">
        <v>426</v>
      </c>
      <c r="E1377" s="37" t="s">
        <v>435</v>
      </c>
      <c r="F1377" s="37" t="s">
        <v>436</v>
      </c>
      <c r="G1377" s="38" t="s">
        <v>13</v>
      </c>
      <c r="H1377" s="39"/>
      <c r="I1377" s="40"/>
      <c r="J1377" s="39">
        <v>1858</v>
      </c>
      <c r="K1377" s="40">
        <v>68.406889100000001</v>
      </c>
    </row>
    <row r="1378" spans="1:11" ht="15" hidden="1" customHeight="1">
      <c r="A1378" s="7"/>
      <c r="B1378" s="36">
        <v>1371</v>
      </c>
      <c r="C1378" s="37" t="s">
        <v>19</v>
      </c>
      <c r="D1378" s="37" t="s">
        <v>426</v>
      </c>
      <c r="E1378" s="37" t="s">
        <v>435</v>
      </c>
      <c r="F1378" s="37" t="s">
        <v>436</v>
      </c>
      <c r="G1378" s="38" t="s">
        <v>14</v>
      </c>
      <c r="H1378" s="39">
        <v>7516</v>
      </c>
      <c r="I1378" s="40">
        <v>14.3826503</v>
      </c>
      <c r="J1378" s="39">
        <v>9817</v>
      </c>
      <c r="K1378" s="40">
        <v>45.675868399999999</v>
      </c>
    </row>
    <row r="1379" spans="1:11" ht="15" customHeight="1">
      <c r="A1379" s="7"/>
      <c r="B1379" s="41">
        <v>1372</v>
      </c>
      <c r="C1379" s="42" t="s">
        <v>19</v>
      </c>
      <c r="D1379" s="47" t="s">
        <v>426</v>
      </c>
      <c r="E1379" s="47" t="s">
        <v>435</v>
      </c>
      <c r="F1379" s="47" t="s">
        <v>329</v>
      </c>
      <c r="G1379" s="48" t="s">
        <v>329</v>
      </c>
      <c r="H1379" s="43">
        <v>7030</v>
      </c>
      <c r="I1379" s="44">
        <v>13.385490799999999</v>
      </c>
      <c r="J1379" s="43">
        <v>9498</v>
      </c>
      <c r="K1379" s="44">
        <v>56.096020199999998</v>
      </c>
    </row>
    <row r="1380" spans="1:11" ht="15" hidden="1" customHeight="1">
      <c r="A1380" s="7"/>
      <c r="B1380" s="36">
        <v>1373</v>
      </c>
      <c r="C1380" s="37" t="s">
        <v>19</v>
      </c>
      <c r="D1380" s="37" t="s">
        <v>426</v>
      </c>
      <c r="E1380" s="37" t="s">
        <v>435</v>
      </c>
      <c r="F1380" s="37" t="s">
        <v>329</v>
      </c>
      <c r="G1380" s="38" t="s">
        <v>13</v>
      </c>
      <c r="H1380" s="39"/>
      <c r="I1380" s="40"/>
      <c r="J1380" s="39"/>
      <c r="K1380" s="40"/>
    </row>
    <row r="1381" spans="1:11" ht="15" hidden="1" customHeight="1">
      <c r="A1381" s="7"/>
      <c r="B1381" s="36">
        <v>1374</v>
      </c>
      <c r="C1381" s="37" t="s">
        <v>19</v>
      </c>
      <c r="D1381" s="37" t="s">
        <v>426</v>
      </c>
      <c r="E1381" s="37" t="s">
        <v>435</v>
      </c>
      <c r="F1381" s="37" t="s">
        <v>329</v>
      </c>
      <c r="G1381" s="38" t="s">
        <v>14</v>
      </c>
      <c r="H1381" s="39">
        <v>7030</v>
      </c>
      <c r="I1381" s="40">
        <v>13.385490799999999</v>
      </c>
      <c r="J1381" s="39">
        <v>9498</v>
      </c>
      <c r="K1381" s="40">
        <v>56.096020199999998</v>
      </c>
    </row>
    <row r="1382" spans="1:11" ht="15" customHeight="1">
      <c r="A1382" s="7"/>
      <c r="B1382" s="41">
        <v>1375</v>
      </c>
      <c r="C1382" s="42" t="s">
        <v>19</v>
      </c>
      <c r="D1382" s="47" t="s">
        <v>426</v>
      </c>
      <c r="E1382" s="47" t="s">
        <v>435</v>
      </c>
      <c r="F1382" s="47" t="s">
        <v>437</v>
      </c>
      <c r="G1382" s="48" t="s">
        <v>437</v>
      </c>
      <c r="H1382" s="43">
        <v>8103</v>
      </c>
      <c r="I1382" s="44">
        <v>15.845983</v>
      </c>
      <c r="J1382" s="43">
        <v>10165</v>
      </c>
      <c r="K1382" s="44">
        <v>55.838662100000001</v>
      </c>
    </row>
    <row r="1383" spans="1:11" ht="15" hidden="1" customHeight="1">
      <c r="A1383" s="7"/>
      <c r="B1383" s="36">
        <v>1376</v>
      </c>
      <c r="C1383" s="37" t="s">
        <v>19</v>
      </c>
      <c r="D1383" s="37" t="s">
        <v>426</v>
      </c>
      <c r="E1383" s="37" t="s">
        <v>435</v>
      </c>
      <c r="F1383" s="37" t="s">
        <v>437</v>
      </c>
      <c r="G1383" s="38" t="s">
        <v>13</v>
      </c>
      <c r="H1383" s="39">
        <v>2486</v>
      </c>
      <c r="I1383" s="40">
        <v>45.9774739</v>
      </c>
      <c r="J1383" s="39">
        <v>4224</v>
      </c>
      <c r="K1383" s="40">
        <v>93.181818199999995</v>
      </c>
    </row>
    <row r="1384" spans="1:11" ht="15" hidden="1" customHeight="1">
      <c r="A1384" s="7"/>
      <c r="B1384" s="36">
        <v>1377</v>
      </c>
      <c r="C1384" s="37" t="s">
        <v>19</v>
      </c>
      <c r="D1384" s="37" t="s">
        <v>426</v>
      </c>
      <c r="E1384" s="37" t="s">
        <v>435</v>
      </c>
      <c r="F1384" s="37" t="s">
        <v>437</v>
      </c>
      <c r="G1384" s="38" t="s">
        <v>14</v>
      </c>
      <c r="H1384" s="39">
        <v>5617</v>
      </c>
      <c r="I1384" s="40">
        <v>2.5102367999999999</v>
      </c>
      <c r="J1384" s="39">
        <v>5941</v>
      </c>
      <c r="K1384" s="40">
        <v>29.287998699999999</v>
      </c>
    </row>
    <row r="1385" spans="1:11" ht="15" hidden="1" customHeight="1">
      <c r="A1385" s="7"/>
      <c r="B1385" s="32">
        <v>1378</v>
      </c>
      <c r="C1385" s="33" t="s">
        <v>17</v>
      </c>
      <c r="D1385" s="46" t="s">
        <v>426</v>
      </c>
      <c r="E1385" s="46" t="s">
        <v>438</v>
      </c>
      <c r="F1385" s="46"/>
      <c r="G1385" s="33" t="s">
        <v>438</v>
      </c>
      <c r="H1385" s="34">
        <v>3762</v>
      </c>
      <c r="I1385" s="35">
        <v>18.102073399999998</v>
      </c>
      <c r="J1385" s="34">
        <v>5355</v>
      </c>
      <c r="K1385" s="35">
        <v>62.091503299999999</v>
      </c>
    </row>
    <row r="1386" spans="1:11" ht="15" hidden="1" customHeight="1">
      <c r="A1386" s="7"/>
      <c r="B1386" s="36">
        <v>1379</v>
      </c>
      <c r="C1386" s="37" t="s">
        <v>17</v>
      </c>
      <c r="D1386" s="37" t="s">
        <v>426</v>
      </c>
      <c r="E1386" s="37" t="s">
        <v>438</v>
      </c>
      <c r="F1386" s="37"/>
      <c r="G1386" s="38" t="s">
        <v>13</v>
      </c>
      <c r="H1386" s="39"/>
      <c r="I1386" s="40"/>
      <c r="J1386" s="39"/>
      <c r="K1386" s="40"/>
    </row>
    <row r="1387" spans="1:11" ht="15" hidden="1" customHeight="1">
      <c r="A1387" s="7"/>
      <c r="B1387" s="36">
        <v>1380</v>
      </c>
      <c r="C1387" s="37" t="s">
        <v>17</v>
      </c>
      <c r="D1387" s="37" t="s">
        <v>426</v>
      </c>
      <c r="E1387" s="37" t="s">
        <v>438</v>
      </c>
      <c r="F1387" s="37"/>
      <c r="G1387" s="38" t="s">
        <v>14</v>
      </c>
      <c r="H1387" s="39">
        <v>3762</v>
      </c>
      <c r="I1387" s="40">
        <v>18.102073399999998</v>
      </c>
      <c r="J1387" s="39">
        <v>5355</v>
      </c>
      <c r="K1387" s="40">
        <v>62.091503299999999</v>
      </c>
    </row>
    <row r="1388" spans="1:11" ht="15" customHeight="1">
      <c r="A1388" s="7"/>
      <c r="B1388" s="41">
        <v>1381</v>
      </c>
      <c r="C1388" s="42" t="s">
        <v>19</v>
      </c>
      <c r="D1388" s="47" t="s">
        <v>426</v>
      </c>
      <c r="E1388" s="47" t="s">
        <v>438</v>
      </c>
      <c r="F1388" s="47" t="s">
        <v>356</v>
      </c>
      <c r="G1388" s="48" t="s">
        <v>356</v>
      </c>
      <c r="H1388" s="43">
        <v>2168</v>
      </c>
      <c r="I1388" s="44">
        <v>23.9852399</v>
      </c>
      <c r="J1388" s="43">
        <v>2820</v>
      </c>
      <c r="K1388" s="44">
        <v>74.148936199999994</v>
      </c>
    </row>
    <row r="1389" spans="1:11" ht="15" hidden="1" customHeight="1">
      <c r="A1389" s="7"/>
      <c r="B1389" s="36">
        <v>1382</v>
      </c>
      <c r="C1389" s="37" t="s">
        <v>19</v>
      </c>
      <c r="D1389" s="37" t="s">
        <v>426</v>
      </c>
      <c r="E1389" s="37" t="s">
        <v>438</v>
      </c>
      <c r="F1389" s="37" t="s">
        <v>356</v>
      </c>
      <c r="G1389" s="38" t="s">
        <v>13</v>
      </c>
      <c r="H1389" s="39"/>
      <c r="I1389" s="40"/>
      <c r="J1389" s="39"/>
      <c r="K1389" s="40"/>
    </row>
    <row r="1390" spans="1:11" ht="15" hidden="1" customHeight="1">
      <c r="A1390" s="7"/>
      <c r="B1390" s="36">
        <v>1383</v>
      </c>
      <c r="C1390" s="37" t="s">
        <v>19</v>
      </c>
      <c r="D1390" s="37" t="s">
        <v>426</v>
      </c>
      <c r="E1390" s="37" t="s">
        <v>438</v>
      </c>
      <c r="F1390" s="37" t="s">
        <v>356</v>
      </c>
      <c r="G1390" s="38" t="s">
        <v>14</v>
      </c>
      <c r="H1390" s="39">
        <v>2168</v>
      </c>
      <c r="I1390" s="40">
        <v>23.9852399</v>
      </c>
      <c r="J1390" s="39">
        <v>2820</v>
      </c>
      <c r="K1390" s="40">
        <v>74.148936199999994</v>
      </c>
    </row>
    <row r="1391" spans="1:11" ht="15" customHeight="1">
      <c r="A1391" s="7"/>
      <c r="B1391" s="41">
        <v>1384</v>
      </c>
      <c r="C1391" s="42" t="s">
        <v>19</v>
      </c>
      <c r="D1391" s="47" t="s">
        <v>426</v>
      </c>
      <c r="E1391" s="47" t="s">
        <v>438</v>
      </c>
      <c r="F1391" s="47" t="s">
        <v>99</v>
      </c>
      <c r="G1391" s="48" t="s">
        <v>99</v>
      </c>
      <c r="H1391" s="43">
        <v>1594</v>
      </c>
      <c r="I1391" s="44">
        <v>10.1003764</v>
      </c>
      <c r="J1391" s="43">
        <v>2535</v>
      </c>
      <c r="K1391" s="44">
        <v>48.678500999999997</v>
      </c>
    </row>
    <row r="1392" spans="1:11" ht="15" hidden="1" customHeight="1">
      <c r="A1392" s="7"/>
      <c r="B1392" s="36">
        <v>1385</v>
      </c>
      <c r="C1392" s="37" t="s">
        <v>19</v>
      </c>
      <c r="D1392" s="37" t="s">
        <v>426</v>
      </c>
      <c r="E1392" s="37" t="s">
        <v>438</v>
      </c>
      <c r="F1392" s="37" t="s">
        <v>99</v>
      </c>
      <c r="G1392" s="38" t="s">
        <v>13</v>
      </c>
      <c r="H1392" s="39"/>
      <c r="I1392" s="40"/>
      <c r="J1392" s="39"/>
      <c r="K1392" s="40"/>
    </row>
    <row r="1393" spans="1:11" ht="15" hidden="1" customHeight="1">
      <c r="A1393" s="7"/>
      <c r="B1393" s="36">
        <v>1386</v>
      </c>
      <c r="C1393" s="37" t="s">
        <v>19</v>
      </c>
      <c r="D1393" s="37" t="s">
        <v>426</v>
      </c>
      <c r="E1393" s="37" t="s">
        <v>438</v>
      </c>
      <c r="F1393" s="37" t="s">
        <v>99</v>
      </c>
      <c r="G1393" s="38" t="s">
        <v>14</v>
      </c>
      <c r="H1393" s="39">
        <v>1594</v>
      </c>
      <c r="I1393" s="40">
        <v>10.1003764</v>
      </c>
      <c r="J1393" s="39">
        <v>2535</v>
      </c>
      <c r="K1393" s="40">
        <v>48.678500999999997</v>
      </c>
    </row>
    <row r="1394" spans="1:11" ht="15" hidden="1" customHeight="1">
      <c r="A1394" s="7"/>
      <c r="B1394" s="32">
        <v>1387</v>
      </c>
      <c r="C1394" s="33" t="s">
        <v>17</v>
      </c>
      <c r="D1394" s="46" t="s">
        <v>426</v>
      </c>
      <c r="E1394" s="46" t="s">
        <v>439</v>
      </c>
      <c r="F1394" s="46"/>
      <c r="G1394" s="33" t="s">
        <v>439</v>
      </c>
      <c r="H1394" s="34">
        <v>6502</v>
      </c>
      <c r="I1394" s="35">
        <v>13.688096</v>
      </c>
      <c r="J1394" s="34">
        <v>6318</v>
      </c>
      <c r="K1394" s="35">
        <v>47.008547</v>
      </c>
    </row>
    <row r="1395" spans="1:11" ht="15" hidden="1" customHeight="1">
      <c r="A1395" s="7"/>
      <c r="B1395" s="36">
        <v>1388</v>
      </c>
      <c r="C1395" s="37" t="s">
        <v>17</v>
      </c>
      <c r="D1395" s="37" t="s">
        <v>426</v>
      </c>
      <c r="E1395" s="37" t="s">
        <v>439</v>
      </c>
      <c r="F1395" s="37"/>
      <c r="G1395" s="38" t="s">
        <v>13</v>
      </c>
      <c r="H1395" s="39"/>
      <c r="I1395" s="40"/>
      <c r="J1395" s="39"/>
      <c r="K1395" s="40"/>
    </row>
    <row r="1396" spans="1:11" ht="15" hidden="1" customHeight="1">
      <c r="A1396" s="7"/>
      <c r="B1396" s="36">
        <v>1389</v>
      </c>
      <c r="C1396" s="37" t="s">
        <v>17</v>
      </c>
      <c r="D1396" s="37" t="s">
        <v>426</v>
      </c>
      <c r="E1396" s="37" t="s">
        <v>439</v>
      </c>
      <c r="F1396" s="37"/>
      <c r="G1396" s="38" t="s">
        <v>14</v>
      </c>
      <c r="H1396" s="39">
        <v>6502</v>
      </c>
      <c r="I1396" s="40">
        <v>13.688096</v>
      </c>
      <c r="J1396" s="39">
        <v>6318</v>
      </c>
      <c r="K1396" s="40">
        <v>47.008547</v>
      </c>
    </row>
    <row r="1397" spans="1:11" ht="15" customHeight="1">
      <c r="A1397" s="7"/>
      <c r="B1397" s="41">
        <v>1390</v>
      </c>
      <c r="C1397" s="42" t="s">
        <v>19</v>
      </c>
      <c r="D1397" s="47" t="s">
        <v>426</v>
      </c>
      <c r="E1397" s="47" t="s">
        <v>439</v>
      </c>
      <c r="F1397" s="47" t="s">
        <v>440</v>
      </c>
      <c r="G1397" s="48" t="s">
        <v>440</v>
      </c>
      <c r="H1397" s="43">
        <v>1769</v>
      </c>
      <c r="I1397" s="44">
        <v>20.293951400000001</v>
      </c>
      <c r="J1397" s="43">
        <v>1571</v>
      </c>
      <c r="K1397" s="44">
        <v>59.325270500000002</v>
      </c>
    </row>
    <row r="1398" spans="1:11" ht="15" hidden="1" customHeight="1">
      <c r="A1398" s="7"/>
      <c r="B1398" s="36">
        <v>1391</v>
      </c>
      <c r="C1398" s="37" t="s">
        <v>19</v>
      </c>
      <c r="D1398" s="37" t="s">
        <v>426</v>
      </c>
      <c r="E1398" s="37" t="s">
        <v>439</v>
      </c>
      <c r="F1398" s="37" t="s">
        <v>440</v>
      </c>
      <c r="G1398" s="38" t="s">
        <v>13</v>
      </c>
      <c r="H1398" s="39"/>
      <c r="I1398" s="40"/>
      <c r="J1398" s="39"/>
      <c r="K1398" s="40"/>
    </row>
    <row r="1399" spans="1:11" ht="15" hidden="1" customHeight="1">
      <c r="A1399" s="7"/>
      <c r="B1399" s="36">
        <v>1392</v>
      </c>
      <c r="C1399" s="37" t="s">
        <v>19</v>
      </c>
      <c r="D1399" s="37" t="s">
        <v>426</v>
      </c>
      <c r="E1399" s="37" t="s">
        <v>439</v>
      </c>
      <c r="F1399" s="37" t="s">
        <v>440</v>
      </c>
      <c r="G1399" s="38" t="s">
        <v>14</v>
      </c>
      <c r="H1399" s="39">
        <v>1769</v>
      </c>
      <c r="I1399" s="40">
        <v>20.293951400000001</v>
      </c>
      <c r="J1399" s="39">
        <v>1571</v>
      </c>
      <c r="K1399" s="40">
        <v>59.325270500000002</v>
      </c>
    </row>
    <row r="1400" spans="1:11" ht="15" customHeight="1">
      <c r="A1400" s="7"/>
      <c r="B1400" s="41">
        <v>1393</v>
      </c>
      <c r="C1400" s="42" t="s">
        <v>19</v>
      </c>
      <c r="D1400" s="47" t="s">
        <v>426</v>
      </c>
      <c r="E1400" s="47" t="s">
        <v>439</v>
      </c>
      <c r="F1400" s="47" t="s">
        <v>441</v>
      </c>
      <c r="G1400" s="48" t="s">
        <v>441</v>
      </c>
      <c r="H1400" s="43">
        <v>2777</v>
      </c>
      <c r="I1400" s="44">
        <v>15.412315400000001</v>
      </c>
      <c r="J1400" s="43">
        <v>2477</v>
      </c>
      <c r="K1400" s="44">
        <v>43.237787599999997</v>
      </c>
    </row>
    <row r="1401" spans="1:11" ht="15" hidden="1" customHeight="1">
      <c r="A1401" s="7"/>
      <c r="B1401" s="36">
        <v>1394</v>
      </c>
      <c r="C1401" s="37" t="s">
        <v>19</v>
      </c>
      <c r="D1401" s="37" t="s">
        <v>426</v>
      </c>
      <c r="E1401" s="37" t="s">
        <v>439</v>
      </c>
      <c r="F1401" s="37" t="s">
        <v>441</v>
      </c>
      <c r="G1401" s="38" t="s">
        <v>13</v>
      </c>
      <c r="H1401" s="39"/>
      <c r="I1401" s="40"/>
      <c r="J1401" s="39"/>
      <c r="K1401" s="40"/>
    </row>
    <row r="1402" spans="1:11" ht="15" hidden="1" customHeight="1">
      <c r="A1402" s="7"/>
      <c r="B1402" s="36">
        <v>1395</v>
      </c>
      <c r="C1402" s="37" t="s">
        <v>19</v>
      </c>
      <c r="D1402" s="37" t="s">
        <v>426</v>
      </c>
      <c r="E1402" s="37" t="s">
        <v>439</v>
      </c>
      <c r="F1402" s="37" t="s">
        <v>441</v>
      </c>
      <c r="G1402" s="38" t="s">
        <v>14</v>
      </c>
      <c r="H1402" s="39">
        <v>2777</v>
      </c>
      <c r="I1402" s="40">
        <v>15.412315400000001</v>
      </c>
      <c r="J1402" s="39">
        <v>2477</v>
      </c>
      <c r="K1402" s="40">
        <v>43.237787599999997</v>
      </c>
    </row>
    <row r="1403" spans="1:11" ht="15" customHeight="1">
      <c r="A1403" s="7"/>
      <c r="B1403" s="41">
        <v>1396</v>
      </c>
      <c r="C1403" s="42" t="s">
        <v>19</v>
      </c>
      <c r="D1403" s="47" t="s">
        <v>426</v>
      </c>
      <c r="E1403" s="47" t="s">
        <v>439</v>
      </c>
      <c r="F1403" s="47" t="s">
        <v>442</v>
      </c>
      <c r="G1403" s="48" t="s">
        <v>442</v>
      </c>
      <c r="H1403" s="43">
        <v>1956</v>
      </c>
      <c r="I1403" s="44">
        <v>5.2658487000000003</v>
      </c>
      <c r="J1403" s="43">
        <v>2270</v>
      </c>
      <c r="K1403" s="44">
        <v>42.599118900000001</v>
      </c>
    </row>
    <row r="1404" spans="1:11" ht="15" hidden="1" customHeight="1">
      <c r="A1404" s="7"/>
      <c r="B1404" s="36">
        <v>1397</v>
      </c>
      <c r="C1404" s="37" t="s">
        <v>19</v>
      </c>
      <c r="D1404" s="37" t="s">
        <v>426</v>
      </c>
      <c r="E1404" s="37" t="s">
        <v>439</v>
      </c>
      <c r="F1404" s="37" t="s">
        <v>442</v>
      </c>
      <c r="G1404" s="38" t="s">
        <v>13</v>
      </c>
      <c r="H1404" s="39"/>
      <c r="I1404" s="40"/>
      <c r="J1404" s="39"/>
      <c r="K1404" s="40"/>
    </row>
    <row r="1405" spans="1:11" ht="15" hidden="1" customHeight="1">
      <c r="A1405" s="7"/>
      <c r="B1405" s="49">
        <v>1398</v>
      </c>
      <c r="C1405" s="50" t="s">
        <v>19</v>
      </c>
      <c r="D1405" s="50" t="s">
        <v>426</v>
      </c>
      <c r="E1405" s="50" t="s">
        <v>439</v>
      </c>
      <c r="F1405" s="50" t="s">
        <v>442</v>
      </c>
      <c r="G1405" s="51" t="s">
        <v>14</v>
      </c>
      <c r="H1405" s="52">
        <v>1956</v>
      </c>
      <c r="I1405" s="53">
        <v>5.2658487000000003</v>
      </c>
      <c r="J1405" s="52">
        <v>2270</v>
      </c>
      <c r="K1405" s="53">
        <v>42.599118900000001</v>
      </c>
    </row>
    <row r="1406" spans="1:11" ht="15" hidden="1" customHeight="1">
      <c r="A1406" s="54"/>
      <c r="B1406" s="55" t="s">
        <v>443</v>
      </c>
      <c r="C1406" s="56"/>
      <c r="D1406" s="54"/>
      <c r="E1406" s="56"/>
      <c r="F1406" s="56"/>
      <c r="G1406" s="7"/>
      <c r="H1406" s="57"/>
      <c r="I1406" s="58"/>
      <c r="J1406" s="57"/>
      <c r="K1406" s="58"/>
    </row>
    <row r="1407" spans="1:11" ht="15" hidden="1" customHeight="1">
      <c r="A1407" s="54"/>
      <c r="B1407" s="59" t="s">
        <v>444</v>
      </c>
      <c r="C1407" s="59"/>
      <c r="D1407" s="59"/>
      <c r="E1407" s="59"/>
      <c r="F1407" s="59"/>
      <c r="G1407" s="59"/>
      <c r="H1407" s="7"/>
      <c r="I1407" s="60"/>
      <c r="J1407" s="57"/>
      <c r="K1407" s="60"/>
    </row>
    <row r="1408" spans="1:11" ht="15" hidden="1" customHeight="1">
      <c r="A1408" s="54"/>
      <c r="B1408" s="59" t="s">
        <v>445</v>
      </c>
      <c r="C1408" s="59"/>
      <c r="D1408" s="59"/>
      <c r="E1408" s="59"/>
      <c r="F1408" s="59"/>
      <c r="G1408" s="59"/>
      <c r="H1408" s="7"/>
      <c r="I1408" s="60"/>
      <c r="J1408" s="57"/>
      <c r="K1408" s="60"/>
    </row>
    <row r="1409" spans="1:11" ht="15" hidden="1" customHeight="1">
      <c r="A1409" s="54"/>
      <c r="B1409" s="59" t="s">
        <v>446</v>
      </c>
      <c r="C1409" s="59"/>
      <c r="D1409" s="59"/>
      <c r="E1409" s="59"/>
      <c r="F1409" s="59"/>
      <c r="G1409" s="59"/>
      <c r="H1409" s="7"/>
      <c r="I1409" s="15"/>
      <c r="J1409" s="61"/>
      <c r="K1409" s="15"/>
    </row>
    <row r="1410" spans="1:11" ht="15" hidden="1" customHeight="1">
      <c r="A1410" s="54"/>
      <c r="B1410" s="59" t="s">
        <v>447</v>
      </c>
      <c r="C1410" s="59"/>
      <c r="D1410" s="59"/>
      <c r="E1410" s="59"/>
      <c r="F1410" s="59"/>
      <c r="G1410" s="59"/>
      <c r="H1410" s="7"/>
      <c r="I1410" s="15"/>
      <c r="J1410" s="61"/>
      <c r="K1410" s="15"/>
    </row>
    <row r="1411" spans="1:11" ht="15" hidden="1" customHeight="1">
      <c r="A1411" s="54"/>
      <c r="B1411" s="59" t="s">
        <v>448</v>
      </c>
      <c r="C1411" s="59"/>
      <c r="D1411" s="59"/>
      <c r="E1411" s="59"/>
      <c r="F1411" s="59"/>
      <c r="G1411" s="59"/>
      <c r="H1411" s="15"/>
      <c r="I1411" s="15"/>
      <c r="J1411" s="15"/>
      <c r="K1411" s="17"/>
    </row>
    <row r="1412" spans="1:11" ht="15.75" customHeight="1">
      <c r="A1412" s="7"/>
      <c r="B1412" s="62"/>
      <c r="C1412" s="7"/>
      <c r="D1412" s="7"/>
      <c r="E1412" s="7"/>
      <c r="F1412" s="7"/>
      <c r="G1412" s="7"/>
      <c r="H1412" s="7"/>
      <c r="I1412" s="7"/>
      <c r="J1412" s="7"/>
      <c r="K1412" s="7"/>
    </row>
  </sheetData>
  <autoFilter ref="A7:K1411" xr:uid="{00000000-0009-0000-0000-000000000000}">
    <filterColumn colId="2">
      <filters>
        <filter val="Municipio/TIOC"/>
        <filter val="País"/>
      </filters>
    </filterColumn>
    <filterColumn colId="6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2">
    <mergeCell ref="H5:I5"/>
    <mergeCell ref="J5:K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workbookViewId="0"/>
  </sheetViews>
  <sheetFormatPr baseColWidth="10" defaultColWidth="14.42578125" defaultRowHeight="15" customHeight="1"/>
  <cols>
    <col min="3" max="8" width="25.5703125" customWidth="1"/>
    <col min="11" max="16" width="20.140625" customWidth="1"/>
  </cols>
  <sheetData>
    <row r="1" spans="1:30">
      <c r="A1" s="63"/>
      <c r="B1" s="64"/>
      <c r="C1" s="106">
        <v>2012</v>
      </c>
      <c r="D1" s="107"/>
      <c r="E1" s="107"/>
      <c r="F1" s="106">
        <v>2024</v>
      </c>
      <c r="G1" s="107"/>
      <c r="H1" s="107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 ht="45" customHeight="1">
      <c r="A2" s="66" t="s">
        <v>449</v>
      </c>
      <c r="B2" s="67" t="s">
        <v>450</v>
      </c>
      <c r="C2" s="67" t="s">
        <v>451</v>
      </c>
      <c r="D2" s="67" t="s">
        <v>452</v>
      </c>
      <c r="E2" s="68" t="s">
        <v>453</v>
      </c>
      <c r="F2" s="67" t="s">
        <v>454</v>
      </c>
      <c r="G2" s="67" t="s">
        <v>455</v>
      </c>
      <c r="H2" s="68" t="s">
        <v>456</v>
      </c>
      <c r="I2" s="69"/>
      <c r="J2" s="67" t="s">
        <v>15</v>
      </c>
      <c r="K2" s="67" t="s">
        <v>451</v>
      </c>
      <c r="L2" s="67" t="s">
        <v>452</v>
      </c>
      <c r="M2" s="68" t="s">
        <v>453</v>
      </c>
      <c r="N2" s="67" t="s">
        <v>454</v>
      </c>
      <c r="O2" s="67" t="s">
        <v>455</v>
      </c>
      <c r="P2" s="68" t="s">
        <v>456</v>
      </c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</row>
    <row r="3" spans="1:30">
      <c r="A3" s="70">
        <v>10101</v>
      </c>
      <c r="B3" s="71" t="s">
        <v>20</v>
      </c>
      <c r="C3" s="72">
        <v>252503</v>
      </c>
      <c r="D3" s="73">
        <v>92.192567999999994</v>
      </c>
      <c r="E3" s="72">
        <f t="shared" ref="E3:E257" si="0">C3-(C3*(D3/100))</f>
        <v>19714.000022960012</v>
      </c>
      <c r="F3" s="72">
        <v>288058</v>
      </c>
      <c r="G3" s="73">
        <v>94.741684000000006</v>
      </c>
      <c r="H3" s="72">
        <f t="shared" ref="H3:H257" si="1">F3-(F3*(G3/100))</f>
        <v>15146.999903279997</v>
      </c>
      <c r="J3" s="71" t="s">
        <v>16</v>
      </c>
      <c r="K3" s="72">
        <v>562160</v>
      </c>
      <c r="L3" s="73">
        <v>56.840401300000003</v>
      </c>
      <c r="M3" s="72">
        <f t="shared" ref="M3:M12" si="2">K3-(K3*(L3/100))</f>
        <v>242626.00005192001</v>
      </c>
      <c r="N3" s="72">
        <v>589329</v>
      </c>
      <c r="O3" s="73">
        <v>68.431215800000004</v>
      </c>
      <c r="P3" s="72">
        <f>N3-(N3*(O3/100))</f>
        <v>186044.00023801799</v>
      </c>
      <c r="Q3" s="112"/>
    </row>
    <row r="4" spans="1:30">
      <c r="A4" s="70">
        <v>10102</v>
      </c>
      <c r="B4" s="71" t="s">
        <v>21</v>
      </c>
      <c r="C4" s="72">
        <v>9025</v>
      </c>
      <c r="D4" s="73">
        <v>53.3185596</v>
      </c>
      <c r="E4" s="72">
        <f t="shared" si="0"/>
        <v>4212.9999960999994</v>
      </c>
      <c r="F4" s="72">
        <v>8903</v>
      </c>
      <c r="G4" s="73">
        <v>74.312029699999997</v>
      </c>
      <c r="H4" s="72">
        <f t="shared" si="1"/>
        <v>2286.9999958090002</v>
      </c>
      <c r="J4" s="71" t="s">
        <v>54</v>
      </c>
      <c r="K4" s="72">
        <v>2653413</v>
      </c>
      <c r="L4" s="73">
        <v>76.458470700000007</v>
      </c>
      <c r="M4" s="72">
        <f>K4-(K4*(L4/100))</f>
        <v>624653.9988450089</v>
      </c>
      <c r="N4" s="72">
        <v>2947200</v>
      </c>
      <c r="O4" s="73">
        <v>83.640404500000002</v>
      </c>
      <c r="P4" s="72">
        <f t="shared" ref="P3:P12" si="3">N4-(N4*(O4/100))</f>
        <v>482149.99857599987</v>
      </c>
    </row>
    <row r="5" spans="1:30">
      <c r="A5" s="70">
        <v>10103</v>
      </c>
      <c r="B5" s="71" t="s">
        <v>22</v>
      </c>
      <c r="C5" s="72">
        <v>16275</v>
      </c>
      <c r="D5" s="73">
        <v>3.9016896999999999</v>
      </c>
      <c r="E5" s="72">
        <f t="shared" si="0"/>
        <v>15640.000001324999</v>
      </c>
      <c r="F5" s="72">
        <v>13555</v>
      </c>
      <c r="G5" s="73">
        <v>8.8749538999999995</v>
      </c>
      <c r="H5" s="72">
        <f t="shared" si="1"/>
        <v>12351.999998855001</v>
      </c>
      <c r="J5" s="71" t="s">
        <v>160</v>
      </c>
      <c r="K5" s="72">
        <v>1720331</v>
      </c>
      <c r="L5" s="73">
        <v>77.134574700000002</v>
      </c>
      <c r="M5" s="72">
        <f t="shared" si="2"/>
        <v>393360.9997177429</v>
      </c>
      <c r="N5" s="72">
        <v>1968192</v>
      </c>
      <c r="O5" s="73">
        <v>85.508629200000001</v>
      </c>
      <c r="P5" s="72">
        <f t="shared" si="3"/>
        <v>285218.00077593606</v>
      </c>
    </row>
    <row r="6" spans="1:30">
      <c r="A6" s="70">
        <v>10201</v>
      </c>
      <c r="B6" s="71" t="s">
        <v>23</v>
      </c>
      <c r="C6" s="72">
        <v>10335</v>
      </c>
      <c r="D6" s="73">
        <v>10.333817099999999</v>
      </c>
      <c r="E6" s="72">
        <f t="shared" si="0"/>
        <v>9267.0000027149999</v>
      </c>
      <c r="F6" s="72">
        <v>7808</v>
      </c>
      <c r="G6" s="73">
        <v>19.851434399999999</v>
      </c>
      <c r="H6" s="72">
        <f t="shared" si="1"/>
        <v>6258.0000020480002</v>
      </c>
      <c r="J6" s="71" t="s">
        <v>214</v>
      </c>
      <c r="K6" s="72">
        <v>483358</v>
      </c>
      <c r="L6" s="73">
        <v>74.175662799999998</v>
      </c>
      <c r="M6" s="72">
        <f t="shared" si="2"/>
        <v>124823.99980317603</v>
      </c>
      <c r="N6" s="72">
        <v>557463</v>
      </c>
      <c r="O6" s="73">
        <v>81.835565799999998</v>
      </c>
      <c r="P6" s="72">
        <f t="shared" si="3"/>
        <v>101259.99982434598</v>
      </c>
    </row>
    <row r="7" spans="1:30">
      <c r="A7" s="70">
        <v>10202</v>
      </c>
      <c r="B7" s="71" t="s">
        <v>24</v>
      </c>
      <c r="C7" s="72">
        <v>14063</v>
      </c>
      <c r="D7" s="73">
        <v>12.6502169</v>
      </c>
      <c r="E7" s="72">
        <f t="shared" si="0"/>
        <v>12283.999997352999</v>
      </c>
      <c r="F7" s="72">
        <v>16671</v>
      </c>
      <c r="G7" s="73">
        <v>31.761741900000001</v>
      </c>
      <c r="H7" s="72">
        <f t="shared" si="1"/>
        <v>11376.000007851</v>
      </c>
      <c r="J7" s="71" t="s">
        <v>260</v>
      </c>
      <c r="K7" s="72">
        <v>810141</v>
      </c>
      <c r="L7" s="73">
        <v>53.356761400000003</v>
      </c>
      <c r="M7" s="72">
        <f t="shared" si="2"/>
        <v>377875.99962642591</v>
      </c>
      <c r="N7" s="72">
        <v>841628</v>
      </c>
      <c r="O7" s="73">
        <v>64.2048506</v>
      </c>
      <c r="P7" s="72">
        <f t="shared" si="3"/>
        <v>301261.99999223207</v>
      </c>
    </row>
    <row r="8" spans="1:30">
      <c r="A8" s="70">
        <v>10301</v>
      </c>
      <c r="B8" s="71" t="s">
        <v>25</v>
      </c>
      <c r="C8" s="72">
        <v>10894</v>
      </c>
      <c r="D8" s="73">
        <v>32.274646599999997</v>
      </c>
      <c r="E8" s="72">
        <f t="shared" si="0"/>
        <v>7377.9999993960009</v>
      </c>
      <c r="F8" s="72">
        <v>13446</v>
      </c>
      <c r="G8" s="73">
        <v>36.501561799999998</v>
      </c>
      <c r="H8" s="72">
        <f t="shared" si="1"/>
        <v>8538.0000003720015</v>
      </c>
      <c r="J8" s="71" t="s">
        <v>317</v>
      </c>
      <c r="K8" s="72">
        <v>458961</v>
      </c>
      <c r="L8" s="73">
        <v>77.919038900000004</v>
      </c>
      <c r="M8" s="72">
        <f t="shared" si="2"/>
        <v>101342.99987417099</v>
      </c>
      <c r="N8" s="72">
        <v>519512</v>
      </c>
      <c r="O8" s="73">
        <v>87.491145500000002</v>
      </c>
      <c r="P8" s="72">
        <f t="shared" si="3"/>
        <v>64985.00019003998</v>
      </c>
    </row>
    <row r="9" spans="1:30">
      <c r="A9" s="70">
        <v>10302</v>
      </c>
      <c r="B9" s="71" t="s">
        <v>26</v>
      </c>
      <c r="C9" s="72">
        <v>11791</v>
      </c>
      <c r="D9" s="73">
        <v>18.607412400000001</v>
      </c>
      <c r="E9" s="72">
        <f t="shared" si="0"/>
        <v>9597.0000039160004</v>
      </c>
      <c r="F9" s="72">
        <v>12443</v>
      </c>
      <c r="G9" s="73">
        <v>31.8572691</v>
      </c>
      <c r="H9" s="72">
        <f t="shared" si="1"/>
        <v>8479.0000058869991</v>
      </c>
      <c r="J9" s="71" t="s">
        <v>332</v>
      </c>
      <c r="K9" s="72">
        <v>2556717</v>
      </c>
      <c r="L9" s="73">
        <v>86.780703500000001</v>
      </c>
      <c r="M9" s="72">
        <f t="shared" si="2"/>
        <v>337980.00089590484</v>
      </c>
      <c r="N9" s="72">
        <v>3029443</v>
      </c>
      <c r="O9" s="73">
        <v>92.338426600000005</v>
      </c>
      <c r="P9" s="72">
        <f t="shared" si="3"/>
        <v>232102.99905616185</v>
      </c>
    </row>
    <row r="10" spans="1:30">
      <c r="A10" s="70">
        <v>10303</v>
      </c>
      <c r="B10" s="71" t="s">
        <v>27</v>
      </c>
      <c r="C10" s="72">
        <v>7922</v>
      </c>
      <c r="D10" s="73">
        <v>31.305226000000001</v>
      </c>
      <c r="E10" s="72">
        <f t="shared" si="0"/>
        <v>5441.9999962799993</v>
      </c>
      <c r="F10" s="72">
        <v>8995</v>
      </c>
      <c r="G10" s="73">
        <v>49.9610895</v>
      </c>
      <c r="H10" s="72">
        <f t="shared" si="1"/>
        <v>4500.9999994749996</v>
      </c>
      <c r="J10" s="71" t="s">
        <v>401</v>
      </c>
      <c r="K10" s="72">
        <v>403141</v>
      </c>
      <c r="L10" s="73">
        <v>64.579638399999993</v>
      </c>
      <c r="M10" s="72">
        <f t="shared" si="2"/>
        <v>142793.99995785602</v>
      </c>
      <c r="N10" s="72">
        <v>469834</v>
      </c>
      <c r="O10" s="73">
        <v>76.139444999999995</v>
      </c>
      <c r="P10" s="72">
        <f t="shared" si="3"/>
        <v>112104.99997870001</v>
      </c>
    </row>
    <row r="11" spans="1:30">
      <c r="A11" s="70">
        <v>10304</v>
      </c>
      <c r="B11" s="71" t="s">
        <v>28</v>
      </c>
      <c r="C11" s="72">
        <v>7580</v>
      </c>
      <c r="D11" s="73">
        <v>15.0395778</v>
      </c>
      <c r="E11" s="72">
        <f t="shared" si="0"/>
        <v>6440.0000027599999</v>
      </c>
      <c r="F11" s="72">
        <v>9038</v>
      </c>
      <c r="G11" s="73">
        <v>26.311130800000001</v>
      </c>
      <c r="H11" s="72">
        <f t="shared" si="1"/>
        <v>6659.9999982959998</v>
      </c>
      <c r="J11" s="71" t="s">
        <v>426</v>
      </c>
      <c r="K11" s="72">
        <v>102407</v>
      </c>
      <c r="L11" s="73">
        <v>54.768717000000002</v>
      </c>
      <c r="M11" s="72">
        <f t="shared" si="2"/>
        <v>46319.999981809997</v>
      </c>
      <c r="N11" s="72">
        <v>126967</v>
      </c>
      <c r="O11" s="73">
        <v>76.752227000000005</v>
      </c>
      <c r="P11" s="72">
        <f t="shared" si="3"/>
        <v>29516.999944909985</v>
      </c>
    </row>
    <row r="12" spans="1:30">
      <c r="A12" s="70">
        <v>10401</v>
      </c>
      <c r="B12" s="71" t="s">
        <v>30</v>
      </c>
      <c r="C12" s="72">
        <v>10039</v>
      </c>
      <c r="D12" s="73">
        <v>32.821994199999999</v>
      </c>
      <c r="E12" s="72">
        <f t="shared" si="0"/>
        <v>6744.0000022620006</v>
      </c>
      <c r="F12" s="72">
        <v>8989</v>
      </c>
      <c r="G12" s="73">
        <v>49.404828100000003</v>
      </c>
      <c r="H12" s="72">
        <f t="shared" si="1"/>
        <v>4548.0000020909993</v>
      </c>
      <c r="J12" s="113" t="s">
        <v>12</v>
      </c>
      <c r="K12" s="114">
        <v>9750629</v>
      </c>
      <c r="L12" s="115">
        <v>75.470526100000001</v>
      </c>
      <c r="M12" s="114">
        <f t="shared" si="2"/>
        <v>2391777.9956408311</v>
      </c>
      <c r="N12" s="114">
        <v>11049568</v>
      </c>
      <c r="O12" s="115">
        <v>83.758242899999999</v>
      </c>
      <c r="P12" s="114">
        <f t="shared" si="3"/>
        <v>1794643.995159328</v>
      </c>
    </row>
    <row r="13" spans="1:30">
      <c r="A13" s="70">
        <v>10402</v>
      </c>
      <c r="B13" s="71" t="s">
        <v>29</v>
      </c>
      <c r="C13" s="72">
        <v>8273</v>
      </c>
      <c r="D13" s="73">
        <v>20.971836100000001</v>
      </c>
      <c r="E13" s="72">
        <f t="shared" si="0"/>
        <v>6537.9999994469999</v>
      </c>
      <c r="F13" s="72">
        <v>8428</v>
      </c>
      <c r="G13" s="73">
        <v>33.068343599999999</v>
      </c>
      <c r="H13" s="72">
        <f t="shared" si="1"/>
        <v>5641.0000013919998</v>
      </c>
      <c r="J13" s="116" t="s">
        <v>321</v>
      </c>
      <c r="K13" s="117">
        <f>SUM(C247:C249)</f>
        <v>137374</v>
      </c>
      <c r="L13" s="118">
        <f>100-((M13/K13)*100)</f>
        <v>78.090468387355699</v>
      </c>
      <c r="M13" s="117">
        <f t="shared" ref="L13:P13" si="4">SUM(E247:E249)</f>
        <v>30097.999957553984</v>
      </c>
      <c r="N13" s="117">
        <f t="shared" si="4"/>
        <v>153712</v>
      </c>
      <c r="O13" s="118">
        <f>100-((P13/N13)*100)</f>
        <v>86.78502651232435</v>
      </c>
      <c r="P13" s="117">
        <f t="shared" si="4"/>
        <v>20313.000047376001</v>
      </c>
    </row>
    <row r="14" spans="1:30">
      <c r="A14" s="70">
        <v>10403</v>
      </c>
      <c r="B14" s="71" t="s">
        <v>31</v>
      </c>
      <c r="C14" s="72">
        <v>7146</v>
      </c>
      <c r="D14" s="73">
        <v>23.467674200000001</v>
      </c>
      <c r="E14" s="72">
        <f t="shared" si="0"/>
        <v>5469.0000016679996</v>
      </c>
      <c r="F14" s="72">
        <v>6872</v>
      </c>
      <c r="G14" s="73">
        <v>31.388242099999999</v>
      </c>
      <c r="H14" s="72">
        <f t="shared" si="1"/>
        <v>4715.0000028880004</v>
      </c>
    </row>
    <row r="15" spans="1:30">
      <c r="A15" s="70">
        <v>10404</v>
      </c>
      <c r="B15" s="71" t="s">
        <v>32</v>
      </c>
      <c r="C15" s="72">
        <v>4829</v>
      </c>
      <c r="D15" s="73">
        <v>30.2340029</v>
      </c>
      <c r="E15" s="72">
        <f t="shared" si="0"/>
        <v>3368.999999959</v>
      </c>
      <c r="F15" s="72">
        <v>3743</v>
      </c>
      <c r="G15" s="73">
        <v>43.521239600000001</v>
      </c>
      <c r="H15" s="72">
        <f t="shared" si="1"/>
        <v>2114.0000017719999</v>
      </c>
    </row>
    <row r="16" spans="1:30">
      <c r="A16" s="70">
        <v>10405</v>
      </c>
      <c r="B16" s="71" t="s">
        <v>33</v>
      </c>
      <c r="C16" s="72">
        <v>4283</v>
      </c>
      <c r="D16" s="73">
        <v>18.9586738</v>
      </c>
      <c r="E16" s="72">
        <f t="shared" si="0"/>
        <v>3471.0000011459997</v>
      </c>
      <c r="F16" s="72">
        <v>5624</v>
      </c>
      <c r="G16" s="73">
        <v>23.275248900000001</v>
      </c>
      <c r="H16" s="72">
        <f t="shared" si="1"/>
        <v>4315.0000018640003</v>
      </c>
    </row>
    <row r="17" spans="1:8">
      <c r="A17" s="70">
        <v>10501</v>
      </c>
      <c r="B17" s="71" t="s">
        <v>35</v>
      </c>
      <c r="C17" s="72">
        <v>23158</v>
      </c>
      <c r="D17" s="73">
        <v>51.787719099999997</v>
      </c>
      <c r="E17" s="72">
        <f t="shared" si="0"/>
        <v>11165.000010822001</v>
      </c>
      <c r="F17" s="72">
        <v>24007</v>
      </c>
      <c r="G17" s="73">
        <v>67.513641899999996</v>
      </c>
      <c r="H17" s="72">
        <f t="shared" si="1"/>
        <v>7798.9999890670006</v>
      </c>
    </row>
    <row r="18" spans="1:8">
      <c r="A18" s="70">
        <v>10502</v>
      </c>
      <c r="B18" s="71" t="s">
        <v>36</v>
      </c>
      <c r="C18" s="72">
        <v>7965</v>
      </c>
      <c r="D18" s="73">
        <v>24.9843063</v>
      </c>
      <c r="E18" s="72">
        <f t="shared" si="0"/>
        <v>5975.0000032050002</v>
      </c>
      <c r="F18" s="72">
        <v>7016</v>
      </c>
      <c r="G18" s="73">
        <v>37.742303300000003</v>
      </c>
      <c r="H18" s="72">
        <f t="shared" si="1"/>
        <v>4368.0000004720005</v>
      </c>
    </row>
    <row r="19" spans="1:8">
      <c r="A19" s="70">
        <v>10601</v>
      </c>
      <c r="B19" s="71" t="s">
        <v>38</v>
      </c>
      <c r="C19" s="72">
        <v>16671</v>
      </c>
      <c r="D19" s="73">
        <v>27.388878900000002</v>
      </c>
      <c r="E19" s="72">
        <f t="shared" si="0"/>
        <v>12104.999998580999</v>
      </c>
      <c r="F19" s="72">
        <v>13110</v>
      </c>
      <c r="G19" s="73">
        <v>45.5148741</v>
      </c>
      <c r="H19" s="72">
        <f t="shared" si="1"/>
        <v>7143.0000054899992</v>
      </c>
    </row>
    <row r="20" spans="1:8">
      <c r="A20" s="70">
        <v>10602</v>
      </c>
      <c r="B20" s="71" t="s">
        <v>37</v>
      </c>
      <c r="C20" s="72">
        <v>9838</v>
      </c>
      <c r="D20" s="73">
        <v>30.3516975</v>
      </c>
      <c r="E20" s="72">
        <f t="shared" si="0"/>
        <v>6851.9999999499996</v>
      </c>
      <c r="F20" s="72">
        <v>8359</v>
      </c>
      <c r="G20" s="73">
        <v>54.1930853</v>
      </c>
      <c r="H20" s="72">
        <f t="shared" si="1"/>
        <v>3828.9999997730001</v>
      </c>
    </row>
    <row r="21" spans="1:8">
      <c r="A21" s="70">
        <v>10701</v>
      </c>
      <c r="B21" s="71" t="s">
        <v>40</v>
      </c>
      <c r="C21" s="72">
        <v>14936</v>
      </c>
      <c r="D21" s="73">
        <v>46.411355100000002</v>
      </c>
      <c r="E21" s="72">
        <f t="shared" si="0"/>
        <v>8004.0000022639997</v>
      </c>
      <c r="F21" s="72">
        <v>14219</v>
      </c>
      <c r="G21" s="73">
        <v>60.292566299999997</v>
      </c>
      <c r="H21" s="72">
        <f t="shared" si="1"/>
        <v>5645.999997803001</v>
      </c>
    </row>
    <row r="22" spans="1:8">
      <c r="A22" s="70">
        <v>10702</v>
      </c>
      <c r="B22" s="71" t="s">
        <v>41</v>
      </c>
      <c r="C22" s="72">
        <v>32142</v>
      </c>
      <c r="D22" s="73">
        <v>24.463318999999998</v>
      </c>
      <c r="E22" s="72">
        <f t="shared" si="0"/>
        <v>24279.00000702</v>
      </c>
      <c r="F22" s="72">
        <v>26515</v>
      </c>
      <c r="G22" s="73">
        <v>43.809164600000003</v>
      </c>
      <c r="H22" s="72">
        <f t="shared" si="1"/>
        <v>14899.00000631</v>
      </c>
    </row>
    <row r="23" spans="1:8">
      <c r="A23" s="70">
        <v>10703</v>
      </c>
      <c r="B23" s="71" t="s">
        <v>42</v>
      </c>
      <c r="C23" s="72">
        <v>12849</v>
      </c>
      <c r="D23" s="73">
        <v>20.281734</v>
      </c>
      <c r="E23" s="72">
        <f t="shared" si="0"/>
        <v>10242.999998339999</v>
      </c>
      <c r="F23" s="72">
        <v>15967</v>
      </c>
      <c r="G23" s="73">
        <v>37.220517299999997</v>
      </c>
      <c r="H23" s="72">
        <f t="shared" si="1"/>
        <v>10024.000002708999</v>
      </c>
    </row>
    <row r="24" spans="1:8">
      <c r="A24" s="70">
        <v>10704</v>
      </c>
      <c r="B24" s="71" t="s">
        <v>43</v>
      </c>
      <c r="C24" s="72">
        <v>15656</v>
      </c>
      <c r="D24" s="73">
        <v>31.432038800000001</v>
      </c>
      <c r="E24" s="72">
        <f t="shared" si="0"/>
        <v>10735.000005472</v>
      </c>
      <c r="F24" s="72">
        <v>14145</v>
      </c>
      <c r="G24" s="73">
        <v>49.848002800000003</v>
      </c>
      <c r="H24" s="72">
        <f t="shared" si="1"/>
        <v>7094.0000039400002</v>
      </c>
    </row>
    <row r="25" spans="1:8">
      <c r="A25" s="70">
        <v>10801</v>
      </c>
      <c r="B25" s="71" t="s">
        <v>45</v>
      </c>
      <c r="C25" s="72">
        <v>10876</v>
      </c>
      <c r="D25" s="73">
        <v>31.463773400000001</v>
      </c>
      <c r="E25" s="72">
        <f t="shared" si="0"/>
        <v>7454.0000050159997</v>
      </c>
      <c r="F25" s="72">
        <v>8941</v>
      </c>
      <c r="G25" s="73">
        <v>44.838385000000002</v>
      </c>
      <c r="H25" s="72">
        <f t="shared" si="1"/>
        <v>4931.9999971500001</v>
      </c>
    </row>
    <row r="26" spans="1:8">
      <c r="A26" s="70">
        <v>10901</v>
      </c>
      <c r="B26" s="71" t="s">
        <v>47</v>
      </c>
      <c r="C26" s="72">
        <v>3359</v>
      </c>
      <c r="D26" s="73">
        <v>27.240250100000001</v>
      </c>
      <c r="E26" s="72">
        <f t="shared" si="0"/>
        <v>2443.999999141</v>
      </c>
      <c r="F26" s="72">
        <v>5260</v>
      </c>
      <c r="G26" s="73">
        <v>50.304182500000003</v>
      </c>
      <c r="H26" s="72">
        <f t="shared" si="1"/>
        <v>2614.0000004999997</v>
      </c>
    </row>
    <row r="27" spans="1:8">
      <c r="A27" s="70">
        <v>10902</v>
      </c>
      <c r="B27" s="71" t="s">
        <v>48</v>
      </c>
      <c r="C27" s="72">
        <v>17511</v>
      </c>
      <c r="D27" s="73">
        <v>29.878362200000002</v>
      </c>
      <c r="E27" s="72">
        <f t="shared" si="0"/>
        <v>12278.999995157999</v>
      </c>
      <c r="F27" s="72">
        <v>14775</v>
      </c>
      <c r="G27" s="73">
        <v>49.143824000000002</v>
      </c>
      <c r="H27" s="72">
        <f t="shared" si="1"/>
        <v>7514.0000039999995</v>
      </c>
    </row>
    <row r="28" spans="1:8">
      <c r="A28" s="70">
        <v>10903</v>
      </c>
      <c r="B28" s="71" t="s">
        <v>49</v>
      </c>
      <c r="C28" s="72">
        <v>3925</v>
      </c>
      <c r="D28" s="73">
        <v>25.019108299999999</v>
      </c>
      <c r="E28" s="72">
        <f t="shared" si="0"/>
        <v>2942.999999225</v>
      </c>
      <c r="F28" s="72">
        <v>4931</v>
      </c>
      <c r="G28" s="73">
        <v>40.721963100000004</v>
      </c>
      <c r="H28" s="72">
        <f t="shared" si="1"/>
        <v>2922.9999995389999</v>
      </c>
    </row>
    <row r="29" spans="1:8">
      <c r="A29" s="70">
        <v>11001</v>
      </c>
      <c r="B29" s="71" t="s">
        <v>51</v>
      </c>
      <c r="C29" s="72">
        <v>9204</v>
      </c>
      <c r="D29" s="73">
        <v>36.6905693</v>
      </c>
      <c r="E29" s="72">
        <f t="shared" si="0"/>
        <v>5827.0000016280001</v>
      </c>
      <c r="F29" s="72">
        <v>10494</v>
      </c>
      <c r="G29" s="73">
        <v>47.160282100000003</v>
      </c>
      <c r="H29" s="72">
        <f t="shared" si="1"/>
        <v>5544.9999964259996</v>
      </c>
    </row>
    <row r="30" spans="1:8">
      <c r="A30" s="70">
        <v>11002</v>
      </c>
      <c r="B30" s="71" t="s">
        <v>52</v>
      </c>
      <c r="C30" s="72">
        <v>2414</v>
      </c>
      <c r="D30" s="73">
        <v>10.8947804</v>
      </c>
      <c r="E30" s="72">
        <f t="shared" si="0"/>
        <v>2151.0000011440002</v>
      </c>
      <c r="F30" s="72">
        <v>2529</v>
      </c>
      <c r="G30" s="73">
        <v>33.4914986</v>
      </c>
      <c r="H30" s="72">
        <f t="shared" si="1"/>
        <v>1682.0000004059998</v>
      </c>
    </row>
    <row r="31" spans="1:8">
      <c r="A31" s="70">
        <v>11003</v>
      </c>
      <c r="B31" s="71" t="s">
        <v>53</v>
      </c>
      <c r="C31" s="72">
        <v>6698</v>
      </c>
      <c r="D31" s="73">
        <v>31.263063599999999</v>
      </c>
      <c r="E31" s="72">
        <f t="shared" si="0"/>
        <v>4604.0000000720001</v>
      </c>
      <c r="F31" s="72">
        <v>6488</v>
      </c>
      <c r="G31" s="73">
        <v>52.204069099999998</v>
      </c>
      <c r="H31" s="72">
        <f t="shared" si="1"/>
        <v>3100.9999967920003</v>
      </c>
    </row>
    <row r="32" spans="1:8">
      <c r="A32" s="70">
        <v>20101</v>
      </c>
      <c r="B32" s="71" t="s">
        <v>56</v>
      </c>
      <c r="C32" s="72">
        <v>743707</v>
      </c>
      <c r="D32" s="73">
        <v>99.174540500000006</v>
      </c>
      <c r="E32" s="72">
        <f t="shared" si="0"/>
        <v>6139.0000836648978</v>
      </c>
      <c r="F32" s="72">
        <v>727154</v>
      </c>
      <c r="G32" s="73">
        <v>99.329853099999994</v>
      </c>
      <c r="H32" s="72">
        <f t="shared" si="1"/>
        <v>4872.9999892259948</v>
      </c>
    </row>
    <row r="33" spans="1:8">
      <c r="A33" s="70">
        <v>20102</v>
      </c>
      <c r="B33" s="74" t="s">
        <v>57</v>
      </c>
      <c r="C33" s="72">
        <v>16449</v>
      </c>
      <c r="D33" s="73">
        <v>34.950452900000002</v>
      </c>
      <c r="E33" s="72">
        <f t="shared" si="0"/>
        <v>10700.000002478999</v>
      </c>
      <c r="F33" s="72">
        <v>21481</v>
      </c>
      <c r="G33" s="73">
        <v>67.669102899999999</v>
      </c>
      <c r="H33" s="72">
        <f t="shared" si="1"/>
        <v>6945.0000060509992</v>
      </c>
    </row>
    <row r="34" spans="1:8">
      <c r="A34" s="70">
        <v>20103</v>
      </c>
      <c r="B34" s="74" t="s">
        <v>58</v>
      </c>
      <c r="C34" s="72">
        <v>15692</v>
      </c>
      <c r="D34" s="73">
        <v>67.416517999999996</v>
      </c>
      <c r="E34" s="72">
        <f t="shared" si="0"/>
        <v>5112.9999954400009</v>
      </c>
      <c r="F34" s="72">
        <v>20230</v>
      </c>
      <c r="G34" s="73">
        <v>80.098863100000003</v>
      </c>
      <c r="H34" s="72">
        <f t="shared" si="1"/>
        <v>4025.9999948699988</v>
      </c>
    </row>
    <row r="35" spans="1:8">
      <c r="A35" s="70">
        <v>20104</v>
      </c>
      <c r="B35" s="74" t="s">
        <v>59</v>
      </c>
      <c r="C35" s="72">
        <v>21947</v>
      </c>
      <c r="D35" s="73">
        <v>85.688248999999999</v>
      </c>
      <c r="E35" s="72">
        <f t="shared" si="0"/>
        <v>3140.9999919700022</v>
      </c>
      <c r="F35" s="72">
        <v>43701</v>
      </c>
      <c r="G35" s="73">
        <v>94.579071400000004</v>
      </c>
      <c r="H35" s="72">
        <f t="shared" si="1"/>
        <v>2369.000007486</v>
      </c>
    </row>
    <row r="36" spans="1:8">
      <c r="A36" s="70">
        <v>20105</v>
      </c>
      <c r="B36" s="74" t="s">
        <v>60</v>
      </c>
      <c r="C36" s="72">
        <v>832655</v>
      </c>
      <c r="D36" s="73">
        <v>99.238099800000001</v>
      </c>
      <c r="E36" s="72">
        <f t="shared" si="0"/>
        <v>6344.0001103100367</v>
      </c>
      <c r="F36" s="72">
        <v>873006</v>
      </c>
      <c r="G36" s="73">
        <v>99.650861500000005</v>
      </c>
      <c r="H36" s="72">
        <f t="shared" si="1"/>
        <v>3048.0000533099519</v>
      </c>
    </row>
    <row r="37" spans="1:8">
      <c r="A37" s="70">
        <v>20201</v>
      </c>
      <c r="B37" s="74" t="s">
        <v>62</v>
      </c>
      <c r="C37" s="72">
        <v>45272</v>
      </c>
      <c r="D37" s="73">
        <v>55.707722199999999</v>
      </c>
      <c r="E37" s="72">
        <f t="shared" si="0"/>
        <v>20052.000005616002</v>
      </c>
      <c r="F37" s="72">
        <v>46202</v>
      </c>
      <c r="G37" s="73">
        <v>79.968399599999998</v>
      </c>
      <c r="H37" s="72">
        <f t="shared" si="1"/>
        <v>9255.0000168080005</v>
      </c>
    </row>
    <row r="38" spans="1:8">
      <c r="A38" s="70">
        <v>20202</v>
      </c>
      <c r="B38" s="74" t="s">
        <v>63</v>
      </c>
      <c r="C38" s="72">
        <v>13012</v>
      </c>
      <c r="D38" s="73">
        <v>17.291730699999999</v>
      </c>
      <c r="E38" s="72">
        <f t="shared" si="0"/>
        <v>10762.000001316001</v>
      </c>
      <c r="F38" s="72">
        <v>16632</v>
      </c>
      <c r="G38" s="73">
        <v>42.989418000000001</v>
      </c>
      <c r="H38" s="72">
        <f t="shared" si="1"/>
        <v>9481.9999982400004</v>
      </c>
    </row>
    <row r="39" spans="1:8">
      <c r="A39" s="70">
        <v>20203</v>
      </c>
      <c r="B39" s="74" t="s">
        <v>67</v>
      </c>
      <c r="C39" s="72">
        <v>4826</v>
      </c>
      <c r="D39" s="73">
        <v>52.652299999999997</v>
      </c>
      <c r="E39" s="72">
        <f t="shared" si="0"/>
        <v>2285.0000020000002</v>
      </c>
      <c r="F39" s="72">
        <v>6785</v>
      </c>
      <c r="G39" s="73">
        <v>71.864406799999998</v>
      </c>
      <c r="H39" s="72">
        <f t="shared" si="1"/>
        <v>1908.99999862</v>
      </c>
    </row>
    <row r="40" spans="1:8">
      <c r="A40" s="70">
        <v>20204</v>
      </c>
      <c r="B40" s="74" t="s">
        <v>64</v>
      </c>
      <c r="C40" s="72">
        <v>7859</v>
      </c>
      <c r="D40" s="73">
        <v>50.159053299999997</v>
      </c>
      <c r="E40" s="72">
        <f t="shared" si="0"/>
        <v>3917.0000011530001</v>
      </c>
      <c r="F40" s="72">
        <v>8467</v>
      </c>
      <c r="G40" s="73">
        <v>78.067792600000004</v>
      </c>
      <c r="H40" s="72">
        <f t="shared" si="1"/>
        <v>1857.0000005579996</v>
      </c>
    </row>
    <row r="41" spans="1:8">
      <c r="A41" s="70">
        <v>20205</v>
      </c>
      <c r="B41" s="74" t="s">
        <v>65</v>
      </c>
      <c r="C41" s="72">
        <v>8452</v>
      </c>
      <c r="D41" s="73">
        <v>21.178419300000002</v>
      </c>
      <c r="E41" s="72">
        <f t="shared" si="0"/>
        <v>6662.0000007640001</v>
      </c>
      <c r="F41" s="72">
        <v>9125</v>
      </c>
      <c r="G41" s="73">
        <v>49.490411000000002</v>
      </c>
      <c r="H41" s="72">
        <f t="shared" si="1"/>
        <v>4608.9999962499996</v>
      </c>
    </row>
    <row r="42" spans="1:8">
      <c r="A42" s="70">
        <v>20206</v>
      </c>
      <c r="B42" s="74" t="s">
        <v>66</v>
      </c>
      <c r="C42" s="72">
        <v>3856</v>
      </c>
      <c r="D42" s="73">
        <v>76.115145200000001</v>
      </c>
      <c r="E42" s="72">
        <f t="shared" si="0"/>
        <v>921.00000108799986</v>
      </c>
      <c r="F42" s="72">
        <v>4922</v>
      </c>
      <c r="G42" s="73">
        <v>84.376269800000003</v>
      </c>
      <c r="H42" s="72">
        <f t="shared" si="1"/>
        <v>769.00000044399985</v>
      </c>
    </row>
    <row r="43" spans="1:8">
      <c r="A43" s="70">
        <v>20301</v>
      </c>
      <c r="B43" s="74" t="s">
        <v>69</v>
      </c>
      <c r="C43" s="72">
        <v>10288</v>
      </c>
      <c r="D43" s="73">
        <v>30.034992200000001</v>
      </c>
      <c r="E43" s="72">
        <f t="shared" si="0"/>
        <v>7198.0000024639994</v>
      </c>
      <c r="F43" s="72">
        <v>13051</v>
      </c>
      <c r="G43" s="73">
        <v>49.0077389</v>
      </c>
      <c r="H43" s="72">
        <f t="shared" si="1"/>
        <v>6654.9999961610001</v>
      </c>
    </row>
    <row r="44" spans="1:8">
      <c r="A44" s="70">
        <v>20302</v>
      </c>
      <c r="B44" s="74" t="s">
        <v>70</v>
      </c>
      <c r="C44" s="72">
        <v>14570</v>
      </c>
      <c r="D44" s="73">
        <v>12.958133200000001</v>
      </c>
      <c r="E44" s="72">
        <f t="shared" si="0"/>
        <v>12681.99999276</v>
      </c>
      <c r="F44" s="72">
        <v>15340</v>
      </c>
      <c r="G44" s="73">
        <v>33.859191699999997</v>
      </c>
      <c r="H44" s="72">
        <f t="shared" si="1"/>
        <v>10145.999993220001</v>
      </c>
    </row>
    <row r="45" spans="1:8">
      <c r="A45" s="70">
        <v>20303</v>
      </c>
      <c r="B45" s="74" t="s">
        <v>71</v>
      </c>
      <c r="C45" s="72">
        <v>9788</v>
      </c>
      <c r="D45" s="73">
        <v>4.6587658000000003</v>
      </c>
      <c r="E45" s="72">
        <f t="shared" si="0"/>
        <v>9332.0000034959994</v>
      </c>
      <c r="F45" s="72">
        <v>12156</v>
      </c>
      <c r="G45" s="73">
        <v>16.971043099999999</v>
      </c>
      <c r="H45" s="72">
        <f t="shared" si="1"/>
        <v>10093.000000764001</v>
      </c>
    </row>
    <row r="46" spans="1:8">
      <c r="A46" s="70">
        <v>20304</v>
      </c>
      <c r="B46" s="74" t="s">
        <v>72</v>
      </c>
      <c r="C46" s="72">
        <v>3822</v>
      </c>
      <c r="D46" s="73">
        <v>15.384615399999999</v>
      </c>
      <c r="E46" s="72">
        <f t="shared" si="0"/>
        <v>3233.9999994119999</v>
      </c>
      <c r="F46" s="72">
        <v>5144</v>
      </c>
      <c r="G46" s="73">
        <v>41.660186600000003</v>
      </c>
      <c r="H46" s="72">
        <f t="shared" si="1"/>
        <v>3001.0000012959999</v>
      </c>
    </row>
    <row r="47" spans="1:8">
      <c r="A47" s="70">
        <v>20305</v>
      </c>
      <c r="B47" s="74" t="s">
        <v>73</v>
      </c>
      <c r="C47" s="72">
        <v>3017</v>
      </c>
      <c r="D47" s="73">
        <v>24.859131600000001</v>
      </c>
      <c r="E47" s="72">
        <f t="shared" si="0"/>
        <v>2266.9999996279998</v>
      </c>
      <c r="F47" s="72">
        <v>4113</v>
      </c>
      <c r="G47" s="73">
        <v>37.053245799999999</v>
      </c>
      <c r="H47" s="72">
        <f t="shared" si="1"/>
        <v>2589.0000002460001</v>
      </c>
    </row>
    <row r="48" spans="1:8">
      <c r="A48" s="70">
        <v>20306</v>
      </c>
      <c r="B48" s="74" t="s">
        <v>74</v>
      </c>
      <c r="C48" s="72">
        <v>4982</v>
      </c>
      <c r="D48" s="73">
        <v>33.861902899999997</v>
      </c>
      <c r="E48" s="72">
        <f t="shared" si="0"/>
        <v>3294.9999975220003</v>
      </c>
      <c r="F48" s="72">
        <v>6018</v>
      </c>
      <c r="G48" s="73">
        <v>80.259222300000005</v>
      </c>
      <c r="H48" s="72">
        <f t="shared" si="1"/>
        <v>1188.0000019859999</v>
      </c>
    </row>
    <row r="49" spans="1:8">
      <c r="A49" s="70">
        <v>20307</v>
      </c>
      <c r="B49" s="74" t="s">
        <v>75</v>
      </c>
      <c r="C49" s="72">
        <v>596</v>
      </c>
      <c r="D49" s="73">
        <v>38.758389299999997</v>
      </c>
      <c r="E49" s="72">
        <f t="shared" si="0"/>
        <v>364.99999977200002</v>
      </c>
      <c r="F49" s="72">
        <v>3914</v>
      </c>
      <c r="G49" s="73">
        <v>42.769545200000003</v>
      </c>
      <c r="H49" s="72">
        <f t="shared" si="1"/>
        <v>2240.0000008719999</v>
      </c>
    </row>
    <row r="50" spans="1:8">
      <c r="A50" s="70">
        <v>20308</v>
      </c>
      <c r="B50" s="74" t="s">
        <v>76</v>
      </c>
      <c r="C50" s="72">
        <v>7227</v>
      </c>
      <c r="D50" s="73">
        <v>5.2303860999999996</v>
      </c>
      <c r="E50" s="72">
        <f t="shared" si="0"/>
        <v>6848.9999965530005</v>
      </c>
      <c r="F50" s="72">
        <v>7981</v>
      </c>
      <c r="G50" s="73">
        <v>16.175917800000001</v>
      </c>
      <c r="H50" s="72">
        <f t="shared" si="1"/>
        <v>6690.0000003820005</v>
      </c>
    </row>
    <row r="51" spans="1:8">
      <c r="A51" s="70">
        <v>20401</v>
      </c>
      <c r="B51" s="74" t="s">
        <v>78</v>
      </c>
      <c r="C51" s="72">
        <v>11171</v>
      </c>
      <c r="D51" s="73">
        <v>22.379375199999998</v>
      </c>
      <c r="E51" s="72">
        <f t="shared" si="0"/>
        <v>8670.9999964079998</v>
      </c>
      <c r="F51" s="72">
        <v>13773</v>
      </c>
      <c r="G51" s="73">
        <v>33.638277799999997</v>
      </c>
      <c r="H51" s="72">
        <f t="shared" si="1"/>
        <v>9139.9999986059993</v>
      </c>
    </row>
    <row r="52" spans="1:8">
      <c r="A52" s="70">
        <v>20402</v>
      </c>
      <c r="B52" s="74" t="s">
        <v>79</v>
      </c>
      <c r="C52" s="72">
        <v>15504</v>
      </c>
      <c r="D52" s="73">
        <v>12.7063983</v>
      </c>
      <c r="E52" s="72">
        <f t="shared" si="0"/>
        <v>13534.000007568</v>
      </c>
      <c r="F52" s="72">
        <v>17575</v>
      </c>
      <c r="G52" s="73">
        <v>26.372688499999999</v>
      </c>
      <c r="H52" s="72">
        <f t="shared" si="1"/>
        <v>12939.999996125</v>
      </c>
    </row>
    <row r="53" spans="1:8">
      <c r="A53" s="70">
        <v>20403</v>
      </c>
      <c r="B53" s="74" t="s">
        <v>80</v>
      </c>
      <c r="C53" s="72">
        <v>14247</v>
      </c>
      <c r="D53" s="73">
        <v>16.9649751</v>
      </c>
      <c r="E53" s="72">
        <f t="shared" si="0"/>
        <v>11829.999997503</v>
      </c>
      <c r="F53" s="72">
        <v>16879</v>
      </c>
      <c r="G53" s="73">
        <v>34.498489200000002</v>
      </c>
      <c r="H53" s="72">
        <f t="shared" si="1"/>
        <v>11056.000007931998</v>
      </c>
    </row>
    <row r="54" spans="1:8">
      <c r="A54" s="70">
        <v>20404</v>
      </c>
      <c r="B54" s="74" t="s">
        <v>81</v>
      </c>
      <c r="C54" s="72">
        <v>5285</v>
      </c>
      <c r="D54" s="73">
        <v>11.844843900000001</v>
      </c>
      <c r="E54" s="72">
        <f t="shared" si="0"/>
        <v>4658.9999998849999</v>
      </c>
      <c r="F54" s="72">
        <v>5584</v>
      </c>
      <c r="G54" s="73">
        <v>33.703438400000003</v>
      </c>
      <c r="H54" s="72">
        <f t="shared" si="1"/>
        <v>3701.999999744</v>
      </c>
    </row>
    <row r="55" spans="1:8">
      <c r="A55" s="70">
        <v>20405</v>
      </c>
      <c r="B55" s="74" t="s">
        <v>82</v>
      </c>
      <c r="C55" s="72">
        <v>7104</v>
      </c>
      <c r="D55" s="73">
        <v>25.591216200000002</v>
      </c>
      <c r="E55" s="72">
        <f t="shared" si="0"/>
        <v>5286.0000011520006</v>
      </c>
      <c r="F55" s="72">
        <v>8603</v>
      </c>
      <c r="G55" s="73">
        <v>49.064279900000002</v>
      </c>
      <c r="H55" s="72">
        <f t="shared" si="1"/>
        <v>4382.0000002030001</v>
      </c>
    </row>
    <row r="56" spans="1:8">
      <c r="A56" s="70">
        <v>20501</v>
      </c>
      <c r="B56" s="74" t="s">
        <v>84</v>
      </c>
      <c r="C56" s="72">
        <v>11399</v>
      </c>
      <c r="D56" s="73">
        <v>7.6147030000000004</v>
      </c>
      <c r="E56" s="72">
        <f t="shared" si="0"/>
        <v>10531.00000503</v>
      </c>
      <c r="F56" s="72">
        <v>17594</v>
      </c>
      <c r="G56" s="73">
        <v>19.824940300000002</v>
      </c>
      <c r="H56" s="72">
        <f t="shared" si="1"/>
        <v>14106.000003617999</v>
      </c>
    </row>
    <row r="57" spans="1:8">
      <c r="A57" s="70">
        <v>20502</v>
      </c>
      <c r="B57" s="74" t="s">
        <v>85</v>
      </c>
      <c r="C57" s="72">
        <v>8223</v>
      </c>
      <c r="D57" s="73">
        <v>6.3115651000000002</v>
      </c>
      <c r="E57" s="72">
        <f t="shared" si="0"/>
        <v>7704.0000018270002</v>
      </c>
      <c r="F57" s="72">
        <v>8939</v>
      </c>
      <c r="G57" s="73">
        <v>19.308647499999999</v>
      </c>
      <c r="H57" s="72">
        <f t="shared" si="1"/>
        <v>7212.9999999749998</v>
      </c>
    </row>
    <row r="58" spans="1:8">
      <c r="A58" s="70">
        <v>20503</v>
      </c>
      <c r="B58" s="74" t="s">
        <v>86</v>
      </c>
      <c r="C58" s="72">
        <v>5398</v>
      </c>
      <c r="D58" s="73">
        <v>19.303445700000001</v>
      </c>
      <c r="E58" s="72">
        <f t="shared" si="0"/>
        <v>4356.000001114</v>
      </c>
      <c r="F58" s="72">
        <v>6379</v>
      </c>
      <c r="G58" s="73">
        <v>43.000470300000003</v>
      </c>
      <c r="H58" s="72">
        <f t="shared" si="1"/>
        <v>3635.9999995629996</v>
      </c>
    </row>
    <row r="59" spans="1:8">
      <c r="A59" s="70">
        <v>20601</v>
      </c>
      <c r="B59" s="74" t="s">
        <v>88</v>
      </c>
      <c r="C59" s="72">
        <v>23130</v>
      </c>
      <c r="D59" s="73">
        <v>32.520536100000001</v>
      </c>
      <c r="E59" s="72">
        <f t="shared" si="0"/>
        <v>15608.000000069998</v>
      </c>
      <c r="F59" s="72">
        <v>29483</v>
      </c>
      <c r="G59" s="73">
        <v>46.813417899999997</v>
      </c>
      <c r="H59" s="72">
        <f t="shared" si="1"/>
        <v>15681.000000543001</v>
      </c>
    </row>
    <row r="60" spans="1:8">
      <c r="A60" s="70">
        <v>20602</v>
      </c>
      <c r="B60" s="74" t="s">
        <v>89</v>
      </c>
      <c r="C60" s="72">
        <v>14263</v>
      </c>
      <c r="D60" s="73">
        <v>60.905840300000001</v>
      </c>
      <c r="E60" s="72">
        <f t="shared" si="0"/>
        <v>5575.9999980109988</v>
      </c>
      <c r="F60" s="72">
        <v>15828</v>
      </c>
      <c r="G60" s="73">
        <v>81.115744300000003</v>
      </c>
      <c r="H60" s="72">
        <f t="shared" si="1"/>
        <v>2988.9999921959989</v>
      </c>
    </row>
    <row r="61" spans="1:8">
      <c r="A61" s="70">
        <v>20603</v>
      </c>
      <c r="B61" s="74" t="s">
        <v>90</v>
      </c>
      <c r="C61" s="72">
        <v>7822</v>
      </c>
      <c r="D61" s="73">
        <v>37.547941700000003</v>
      </c>
      <c r="E61" s="72">
        <f t="shared" si="0"/>
        <v>4885.0000002260003</v>
      </c>
      <c r="F61" s="72">
        <v>9428</v>
      </c>
      <c r="G61" s="73">
        <v>47.677131899999999</v>
      </c>
      <c r="H61" s="72">
        <f t="shared" si="1"/>
        <v>4933.000004468</v>
      </c>
    </row>
    <row r="62" spans="1:8">
      <c r="A62" s="70">
        <v>20604</v>
      </c>
      <c r="B62" s="74" t="s">
        <v>91</v>
      </c>
      <c r="C62" s="72">
        <v>2580</v>
      </c>
      <c r="D62" s="73">
        <v>18.100775200000001</v>
      </c>
      <c r="E62" s="72">
        <f t="shared" si="0"/>
        <v>2112.9999998399999</v>
      </c>
      <c r="F62" s="72">
        <v>4071</v>
      </c>
      <c r="G62" s="73">
        <v>19.503807399999999</v>
      </c>
      <c r="H62" s="72">
        <f t="shared" si="1"/>
        <v>3277.0000007459998</v>
      </c>
    </row>
    <row r="63" spans="1:8">
      <c r="A63" s="70">
        <v>20605</v>
      </c>
      <c r="B63" s="74" t="s">
        <v>92</v>
      </c>
      <c r="C63" s="72">
        <v>3673</v>
      </c>
      <c r="D63" s="73">
        <v>13.2589164</v>
      </c>
      <c r="E63" s="72">
        <f t="shared" si="0"/>
        <v>3186.0000006279997</v>
      </c>
      <c r="F63" s="72">
        <v>3476</v>
      </c>
      <c r="G63" s="73">
        <v>28.970080599999999</v>
      </c>
      <c r="H63" s="72">
        <f t="shared" si="1"/>
        <v>2468.9999983440002</v>
      </c>
    </row>
    <row r="64" spans="1:8">
      <c r="A64" s="70">
        <v>20606</v>
      </c>
      <c r="B64" s="74" t="s">
        <v>93</v>
      </c>
      <c r="C64" s="72">
        <v>9477</v>
      </c>
      <c r="D64" s="73">
        <v>92.223277400000001</v>
      </c>
      <c r="E64" s="72">
        <f t="shared" si="0"/>
        <v>737.0000008019997</v>
      </c>
      <c r="F64" s="72">
        <v>7369</v>
      </c>
      <c r="G64" s="73">
        <v>95.196091699999997</v>
      </c>
      <c r="H64" s="72">
        <f t="shared" si="1"/>
        <v>354.00000262699996</v>
      </c>
    </row>
    <row r="65" spans="1:8">
      <c r="A65" s="70">
        <v>20607</v>
      </c>
      <c r="B65" s="74" t="s">
        <v>94</v>
      </c>
      <c r="C65" s="72">
        <v>12928</v>
      </c>
      <c r="D65" s="73">
        <v>83.245668300000006</v>
      </c>
      <c r="E65" s="72">
        <f t="shared" si="0"/>
        <v>2166.0000021759988</v>
      </c>
      <c r="F65" s="72">
        <v>19688</v>
      </c>
      <c r="G65" s="73">
        <v>93.965867500000002</v>
      </c>
      <c r="H65" s="72">
        <f t="shared" si="1"/>
        <v>1188.0000065999993</v>
      </c>
    </row>
    <row r="66" spans="1:8">
      <c r="A66" s="70">
        <v>20608</v>
      </c>
      <c r="B66" s="74" t="s">
        <v>95</v>
      </c>
      <c r="C66" s="72">
        <v>8976</v>
      </c>
      <c r="D66" s="73">
        <v>43.5494652</v>
      </c>
      <c r="E66" s="72">
        <f t="shared" si="0"/>
        <v>5067.0000036479996</v>
      </c>
      <c r="F66" s="72">
        <v>12850</v>
      </c>
      <c r="G66" s="73">
        <v>61.9066148</v>
      </c>
      <c r="H66" s="72">
        <f t="shared" si="1"/>
        <v>4894.9999981999999</v>
      </c>
    </row>
    <row r="67" spans="1:8">
      <c r="A67" s="70">
        <v>20701</v>
      </c>
      <c r="B67" s="74" t="s">
        <v>97</v>
      </c>
      <c r="C67" s="72">
        <v>18386</v>
      </c>
      <c r="D67" s="73">
        <v>34.602414899999999</v>
      </c>
      <c r="E67" s="72">
        <f t="shared" si="0"/>
        <v>12023.999996486</v>
      </c>
      <c r="F67" s="72">
        <v>18369</v>
      </c>
      <c r="G67" s="73">
        <v>44.841853100000002</v>
      </c>
      <c r="H67" s="72">
        <f t="shared" si="1"/>
        <v>10132.000004060999</v>
      </c>
    </row>
    <row r="68" spans="1:8">
      <c r="A68" s="70">
        <v>20702</v>
      </c>
      <c r="B68" s="74" t="s">
        <v>98</v>
      </c>
      <c r="C68" s="72">
        <v>5976</v>
      </c>
      <c r="D68" s="73">
        <v>49.263721599999997</v>
      </c>
      <c r="E68" s="72">
        <f t="shared" si="0"/>
        <v>3031.9999971840002</v>
      </c>
      <c r="F68" s="72">
        <v>8424</v>
      </c>
      <c r="G68" s="73">
        <v>85.173314300000001</v>
      </c>
      <c r="H68" s="72">
        <f t="shared" si="1"/>
        <v>1249.0000033679999</v>
      </c>
    </row>
    <row r="69" spans="1:8">
      <c r="A69" s="70">
        <v>20801</v>
      </c>
      <c r="B69" s="74" t="s">
        <v>100</v>
      </c>
      <c r="C69" s="72">
        <v>77736</v>
      </c>
      <c r="D69" s="73">
        <v>86.117114299999997</v>
      </c>
      <c r="E69" s="72">
        <f t="shared" si="0"/>
        <v>10792.000027752001</v>
      </c>
      <c r="F69" s="72">
        <v>109219</v>
      </c>
      <c r="G69" s="73">
        <v>95.030168700000004</v>
      </c>
      <c r="H69" s="72">
        <f t="shared" si="1"/>
        <v>5428.000047546986</v>
      </c>
    </row>
    <row r="70" spans="1:8">
      <c r="A70" s="70">
        <v>20802</v>
      </c>
      <c r="B70" s="74" t="s">
        <v>101</v>
      </c>
      <c r="C70" s="72">
        <v>6970</v>
      </c>
      <c r="D70" s="73">
        <v>52.912482099999998</v>
      </c>
      <c r="E70" s="72">
        <f t="shared" si="0"/>
        <v>3281.9999976300001</v>
      </c>
      <c r="F70" s="72">
        <v>8070</v>
      </c>
      <c r="G70" s="73">
        <v>86.505576199999993</v>
      </c>
      <c r="H70" s="72">
        <f t="shared" si="1"/>
        <v>1089.0000006600012</v>
      </c>
    </row>
    <row r="71" spans="1:8">
      <c r="A71" s="70">
        <v>20803</v>
      </c>
      <c r="B71" s="74" t="s">
        <v>102</v>
      </c>
      <c r="C71" s="72">
        <v>12059</v>
      </c>
      <c r="D71" s="73">
        <v>32.672692599999998</v>
      </c>
      <c r="E71" s="72">
        <f t="shared" si="0"/>
        <v>8118.9999993660003</v>
      </c>
      <c r="F71" s="72">
        <v>13339</v>
      </c>
      <c r="G71" s="73">
        <v>68.243496500000006</v>
      </c>
      <c r="H71" s="72">
        <f t="shared" si="1"/>
        <v>4236.0000018649989</v>
      </c>
    </row>
    <row r="72" spans="1:8">
      <c r="A72" s="70">
        <v>20804</v>
      </c>
      <c r="B72" s="74" t="s">
        <v>103</v>
      </c>
      <c r="C72" s="72">
        <v>6690</v>
      </c>
      <c r="D72" s="73">
        <v>75.4110613</v>
      </c>
      <c r="E72" s="72">
        <f t="shared" si="0"/>
        <v>1644.9999990299993</v>
      </c>
      <c r="F72" s="72">
        <v>7684</v>
      </c>
      <c r="G72" s="73">
        <v>91.319625200000004</v>
      </c>
      <c r="H72" s="72">
        <f t="shared" si="1"/>
        <v>666.99999963199934</v>
      </c>
    </row>
    <row r="73" spans="1:8">
      <c r="A73" s="70">
        <v>20805</v>
      </c>
      <c r="B73" s="74" t="s">
        <v>104</v>
      </c>
      <c r="C73" s="72">
        <v>6066</v>
      </c>
      <c r="D73" s="73">
        <v>14.754368599999999</v>
      </c>
      <c r="E73" s="72">
        <f t="shared" si="0"/>
        <v>5171.0000007239996</v>
      </c>
      <c r="F73" s="72">
        <v>7824</v>
      </c>
      <c r="G73" s="73">
        <v>40.465235200000002</v>
      </c>
      <c r="H73" s="72">
        <f t="shared" si="1"/>
        <v>4657.9999979519998</v>
      </c>
    </row>
    <row r="74" spans="1:8">
      <c r="A74" s="70">
        <v>20806</v>
      </c>
      <c r="B74" s="74" t="s">
        <v>105</v>
      </c>
      <c r="C74" s="72">
        <v>14938</v>
      </c>
      <c r="D74" s="73">
        <v>20.464587000000002</v>
      </c>
      <c r="E74" s="72">
        <f t="shared" si="0"/>
        <v>11880.99999394</v>
      </c>
      <c r="F74" s="72">
        <v>16750</v>
      </c>
      <c r="G74" s="73">
        <v>48.973134299999998</v>
      </c>
      <c r="H74" s="72">
        <f t="shared" si="1"/>
        <v>8547.0000047499998</v>
      </c>
    </row>
    <row r="75" spans="1:8">
      <c r="A75" s="70">
        <v>20807</v>
      </c>
      <c r="B75" s="74" t="s">
        <v>106</v>
      </c>
      <c r="C75" s="72">
        <v>6546</v>
      </c>
      <c r="D75" s="73">
        <v>59.883898600000002</v>
      </c>
      <c r="E75" s="72">
        <f t="shared" si="0"/>
        <v>2625.9999976439994</v>
      </c>
      <c r="F75" s="72">
        <v>7420</v>
      </c>
      <c r="G75" s="73">
        <v>90.754716999999999</v>
      </c>
      <c r="H75" s="72">
        <f t="shared" si="1"/>
        <v>685.99999860000025</v>
      </c>
    </row>
    <row r="76" spans="1:8">
      <c r="A76" s="70">
        <v>20901</v>
      </c>
      <c r="B76" s="74" t="s">
        <v>108</v>
      </c>
      <c r="C76" s="72">
        <v>11018</v>
      </c>
      <c r="D76" s="73">
        <v>27.7001271</v>
      </c>
      <c r="E76" s="72">
        <f t="shared" si="0"/>
        <v>7965.9999961220001</v>
      </c>
      <c r="F76" s="72">
        <v>10553</v>
      </c>
      <c r="G76" s="73">
        <v>52.496920299999999</v>
      </c>
      <c r="H76" s="72">
        <f t="shared" si="1"/>
        <v>5013.0000007410008</v>
      </c>
    </row>
    <row r="77" spans="1:8">
      <c r="A77" s="70">
        <v>20902</v>
      </c>
      <c r="B77" s="74" t="s">
        <v>109</v>
      </c>
      <c r="C77" s="72">
        <v>12368</v>
      </c>
      <c r="D77" s="73">
        <v>18.272962499999998</v>
      </c>
      <c r="E77" s="72">
        <f t="shared" si="0"/>
        <v>10107.999997999999</v>
      </c>
      <c r="F77" s="72">
        <v>16377</v>
      </c>
      <c r="G77" s="73">
        <v>48.391036200000002</v>
      </c>
      <c r="H77" s="72">
        <f t="shared" si="1"/>
        <v>8452.0000015259993</v>
      </c>
    </row>
    <row r="78" spans="1:8">
      <c r="A78" s="70">
        <v>20903</v>
      </c>
      <c r="B78" s="74" t="s">
        <v>110</v>
      </c>
      <c r="C78" s="72">
        <v>7189</v>
      </c>
      <c r="D78" s="73">
        <v>23.8837112</v>
      </c>
      <c r="E78" s="72">
        <f t="shared" si="0"/>
        <v>5472.0000018319997</v>
      </c>
      <c r="F78" s="72">
        <v>12082</v>
      </c>
      <c r="G78" s="73">
        <v>50.902168500000002</v>
      </c>
      <c r="H78" s="72">
        <f t="shared" si="1"/>
        <v>5932.0000018299997</v>
      </c>
    </row>
    <row r="79" spans="1:8">
      <c r="A79" s="70">
        <v>20904</v>
      </c>
      <c r="B79" s="74" t="s">
        <v>111</v>
      </c>
      <c r="C79" s="72">
        <v>4963</v>
      </c>
      <c r="D79" s="73">
        <v>48.4585936</v>
      </c>
      <c r="E79" s="72">
        <f t="shared" si="0"/>
        <v>2557.9999996319998</v>
      </c>
      <c r="F79" s="72">
        <v>5156</v>
      </c>
      <c r="G79" s="73">
        <v>60.415050399999998</v>
      </c>
      <c r="H79" s="72">
        <f t="shared" si="1"/>
        <v>2041.000001376</v>
      </c>
    </row>
    <row r="80" spans="1:8">
      <c r="A80" s="70">
        <v>20905</v>
      </c>
      <c r="B80" s="74" t="s">
        <v>112</v>
      </c>
      <c r="C80" s="72">
        <v>11219</v>
      </c>
      <c r="D80" s="73">
        <v>37.9623852</v>
      </c>
      <c r="E80" s="72">
        <f t="shared" si="0"/>
        <v>6960.0000044120006</v>
      </c>
      <c r="F80" s="72">
        <v>13498</v>
      </c>
      <c r="G80" s="73">
        <v>63.127870799999997</v>
      </c>
      <c r="H80" s="72">
        <f t="shared" si="1"/>
        <v>4976.9999994160007</v>
      </c>
    </row>
    <row r="81" spans="1:8">
      <c r="A81" s="70">
        <v>21001</v>
      </c>
      <c r="B81" s="74" t="s">
        <v>113</v>
      </c>
      <c r="C81" s="72">
        <v>14582</v>
      </c>
      <c r="D81" s="73">
        <v>8.4213413999999993</v>
      </c>
      <c r="E81" s="72">
        <f t="shared" si="0"/>
        <v>13353.999997052</v>
      </c>
      <c r="F81" s="72">
        <v>18522</v>
      </c>
      <c r="G81" s="73">
        <v>23.134650700000002</v>
      </c>
      <c r="H81" s="72">
        <f t="shared" si="1"/>
        <v>14236.999997346</v>
      </c>
    </row>
    <row r="82" spans="1:8">
      <c r="A82" s="70">
        <v>21002</v>
      </c>
      <c r="B82" s="74" t="s">
        <v>114</v>
      </c>
      <c r="C82" s="72">
        <v>8026</v>
      </c>
      <c r="D82" s="73">
        <v>61.6247197</v>
      </c>
      <c r="E82" s="72">
        <f t="shared" si="0"/>
        <v>3079.9999968780003</v>
      </c>
      <c r="F82" s="72">
        <v>9970</v>
      </c>
      <c r="G82" s="73">
        <v>69.428284899999994</v>
      </c>
      <c r="H82" s="72">
        <f t="shared" si="1"/>
        <v>3047.9999954700006</v>
      </c>
    </row>
    <row r="83" spans="1:8">
      <c r="A83" s="70">
        <v>21003</v>
      </c>
      <c r="B83" s="74" t="s">
        <v>115</v>
      </c>
      <c r="C83" s="72">
        <v>10184</v>
      </c>
      <c r="D83" s="73">
        <v>48.311076200000002</v>
      </c>
      <c r="E83" s="72">
        <f t="shared" si="0"/>
        <v>5263.9999997919995</v>
      </c>
      <c r="F83" s="72">
        <v>15304</v>
      </c>
      <c r="G83" s="73">
        <v>81.070308400000002</v>
      </c>
      <c r="H83" s="72">
        <f t="shared" si="1"/>
        <v>2897.0000024639994</v>
      </c>
    </row>
    <row r="84" spans="1:8">
      <c r="A84" s="70">
        <v>21004</v>
      </c>
      <c r="B84" s="74" t="s">
        <v>116</v>
      </c>
      <c r="C84" s="72">
        <v>19255</v>
      </c>
      <c r="D84" s="73">
        <v>36.831991700000003</v>
      </c>
      <c r="E84" s="72">
        <f t="shared" si="0"/>
        <v>12162.999998165</v>
      </c>
      <c r="F84" s="72">
        <v>22958</v>
      </c>
      <c r="G84" s="73">
        <v>44.751285000000003</v>
      </c>
      <c r="H84" s="72">
        <f t="shared" si="1"/>
        <v>12683.9999897</v>
      </c>
    </row>
    <row r="85" spans="1:8">
      <c r="A85" s="70">
        <v>21005</v>
      </c>
      <c r="B85" s="74" t="s">
        <v>117</v>
      </c>
      <c r="C85" s="72">
        <v>7728</v>
      </c>
      <c r="D85" s="73">
        <v>18.090062100000001</v>
      </c>
      <c r="E85" s="72">
        <f t="shared" si="0"/>
        <v>6330.0000009119995</v>
      </c>
      <c r="F85" s="72">
        <v>9430</v>
      </c>
      <c r="G85" s="73">
        <v>34.294803799999997</v>
      </c>
      <c r="H85" s="72">
        <f t="shared" si="1"/>
        <v>6196.0000016600006</v>
      </c>
    </row>
    <row r="86" spans="1:8">
      <c r="A86" s="70">
        <v>21006</v>
      </c>
      <c r="B86" s="74" t="s">
        <v>118</v>
      </c>
      <c r="C86" s="72">
        <v>5456</v>
      </c>
      <c r="D86" s="73">
        <v>34.109237499999999</v>
      </c>
      <c r="E86" s="72">
        <f t="shared" si="0"/>
        <v>3595.0000019999998</v>
      </c>
      <c r="F86" s="72">
        <v>7780</v>
      </c>
      <c r="G86" s="73">
        <v>55.989717200000001</v>
      </c>
      <c r="H86" s="72">
        <f t="shared" si="1"/>
        <v>3424.0000018399996</v>
      </c>
    </row>
    <row r="87" spans="1:8">
      <c r="A87" s="70">
        <v>21101</v>
      </c>
      <c r="B87" s="74" t="s">
        <v>120</v>
      </c>
      <c r="C87" s="72">
        <v>17400</v>
      </c>
      <c r="D87" s="73">
        <v>59.603448299999997</v>
      </c>
      <c r="E87" s="72">
        <f t="shared" si="0"/>
        <v>7028.9999958000008</v>
      </c>
      <c r="F87" s="72">
        <v>17959</v>
      </c>
      <c r="G87" s="73">
        <v>80.895372800000004</v>
      </c>
      <c r="H87" s="72">
        <f t="shared" si="1"/>
        <v>3430.9999988479976</v>
      </c>
    </row>
    <row r="88" spans="1:8">
      <c r="A88" s="70">
        <v>21102</v>
      </c>
      <c r="B88" s="74" t="s">
        <v>121</v>
      </c>
      <c r="C88" s="72">
        <v>16614</v>
      </c>
      <c r="D88" s="73">
        <v>41.4830866</v>
      </c>
      <c r="E88" s="72">
        <f t="shared" si="0"/>
        <v>9721.9999922759998</v>
      </c>
      <c r="F88" s="72">
        <v>21869</v>
      </c>
      <c r="G88" s="73">
        <v>64.877223499999999</v>
      </c>
      <c r="H88" s="72">
        <f t="shared" si="1"/>
        <v>7680.9999927849985</v>
      </c>
    </row>
    <row r="89" spans="1:8">
      <c r="A89" s="70">
        <v>21103</v>
      </c>
      <c r="B89" s="74" t="s">
        <v>122</v>
      </c>
      <c r="C89" s="72">
        <v>6131</v>
      </c>
      <c r="D89" s="73">
        <v>55.374327200000003</v>
      </c>
      <c r="E89" s="72">
        <f t="shared" si="0"/>
        <v>2735.9999993679994</v>
      </c>
      <c r="F89" s="72">
        <v>7339</v>
      </c>
      <c r="G89" s="73">
        <v>72.121542399999996</v>
      </c>
      <c r="H89" s="72">
        <f t="shared" si="1"/>
        <v>2046.000003264</v>
      </c>
    </row>
    <row r="90" spans="1:8">
      <c r="A90" s="70">
        <v>21104</v>
      </c>
      <c r="B90" s="74" t="s">
        <v>123</v>
      </c>
      <c r="C90" s="72">
        <v>23766</v>
      </c>
      <c r="D90" s="73">
        <v>39.956240000000001</v>
      </c>
      <c r="E90" s="72">
        <f t="shared" si="0"/>
        <v>14270.000001600001</v>
      </c>
      <c r="F90" s="72">
        <v>26542</v>
      </c>
      <c r="G90" s="73">
        <v>63.514429999999997</v>
      </c>
      <c r="H90" s="72">
        <f t="shared" si="1"/>
        <v>9683.9999893999993</v>
      </c>
    </row>
    <row r="91" spans="1:8">
      <c r="A91" s="70">
        <v>21105</v>
      </c>
      <c r="B91" s="74" t="s">
        <v>124</v>
      </c>
      <c r="C91" s="72">
        <v>39402</v>
      </c>
      <c r="D91" s="73">
        <v>31.696360599999998</v>
      </c>
      <c r="E91" s="72">
        <f t="shared" si="0"/>
        <v>26912.999996388</v>
      </c>
      <c r="F91" s="72">
        <v>44890</v>
      </c>
      <c r="G91" s="73">
        <v>59.7237692</v>
      </c>
      <c r="H91" s="72">
        <f t="shared" si="1"/>
        <v>18080.000006120001</v>
      </c>
    </row>
    <row r="92" spans="1:8">
      <c r="A92" s="70">
        <v>21201</v>
      </c>
      <c r="B92" s="74" t="s">
        <v>126</v>
      </c>
      <c r="C92" s="72">
        <v>29595</v>
      </c>
      <c r="D92" s="73">
        <v>47.859435699999999</v>
      </c>
      <c r="E92" s="72">
        <f t="shared" si="0"/>
        <v>15431.000004585001</v>
      </c>
      <c r="F92" s="72">
        <v>48648</v>
      </c>
      <c r="G92" s="73">
        <v>85.586252299999998</v>
      </c>
      <c r="H92" s="72">
        <f t="shared" si="1"/>
        <v>7011.9999810959998</v>
      </c>
    </row>
    <row r="93" spans="1:8">
      <c r="A93" s="70">
        <v>21202</v>
      </c>
      <c r="B93" s="74" t="s">
        <v>127</v>
      </c>
      <c r="C93" s="72">
        <v>24283</v>
      </c>
      <c r="D93" s="73">
        <v>40.4109871</v>
      </c>
      <c r="E93" s="72">
        <f t="shared" si="0"/>
        <v>14470.000002507</v>
      </c>
      <c r="F93" s="72">
        <v>37896</v>
      </c>
      <c r="G93" s="73">
        <v>73.092146900000003</v>
      </c>
      <c r="H93" s="72">
        <f t="shared" si="1"/>
        <v>10197.000010775999</v>
      </c>
    </row>
    <row r="94" spans="1:8">
      <c r="A94" s="70">
        <v>21203</v>
      </c>
      <c r="B94" s="74" t="s">
        <v>128</v>
      </c>
      <c r="C94" s="72">
        <v>17281</v>
      </c>
      <c r="D94" s="73">
        <v>50.4484694</v>
      </c>
      <c r="E94" s="72">
        <f t="shared" si="0"/>
        <v>8563.0000029860003</v>
      </c>
      <c r="F94" s="72">
        <v>20218</v>
      </c>
      <c r="G94" s="73">
        <v>83.044811600000003</v>
      </c>
      <c r="H94" s="72">
        <f t="shared" si="1"/>
        <v>3427.999990712</v>
      </c>
    </row>
    <row r="95" spans="1:8">
      <c r="A95" s="70">
        <v>21204</v>
      </c>
      <c r="B95" s="74" t="s">
        <v>129</v>
      </c>
      <c r="C95" s="72">
        <v>6415</v>
      </c>
      <c r="D95" s="73">
        <v>52.143413899999999</v>
      </c>
      <c r="E95" s="72">
        <f t="shared" si="0"/>
        <v>3069.9999983150001</v>
      </c>
      <c r="F95" s="72">
        <v>7692</v>
      </c>
      <c r="G95" s="73">
        <v>79.407176300000003</v>
      </c>
      <c r="H95" s="72">
        <f t="shared" si="1"/>
        <v>1583.9999990039996</v>
      </c>
    </row>
    <row r="96" spans="1:8">
      <c r="A96" s="70">
        <v>21301</v>
      </c>
      <c r="B96" s="74" t="s">
        <v>131</v>
      </c>
      <c r="C96" s="72">
        <v>31030</v>
      </c>
      <c r="D96" s="73">
        <v>48.588462800000002</v>
      </c>
      <c r="E96" s="72">
        <f t="shared" si="0"/>
        <v>15952.99999316</v>
      </c>
      <c r="F96" s="72">
        <v>33365</v>
      </c>
      <c r="G96" s="73">
        <v>70.813727</v>
      </c>
      <c r="H96" s="72">
        <f t="shared" si="1"/>
        <v>9737.9999864499987</v>
      </c>
    </row>
    <row r="97" spans="1:8">
      <c r="A97" s="70">
        <v>21302</v>
      </c>
      <c r="B97" s="74" t="s">
        <v>132</v>
      </c>
      <c r="C97" s="72">
        <v>8854</v>
      </c>
      <c r="D97" s="73">
        <v>35.136661400000001</v>
      </c>
      <c r="E97" s="72">
        <f t="shared" si="0"/>
        <v>5742.9999996440001</v>
      </c>
      <c r="F97" s="72">
        <v>9041</v>
      </c>
      <c r="G97" s="73">
        <v>65.191903600000003</v>
      </c>
      <c r="H97" s="72">
        <f t="shared" si="1"/>
        <v>3146.999995524</v>
      </c>
    </row>
    <row r="98" spans="1:8">
      <c r="A98" s="70">
        <v>21303</v>
      </c>
      <c r="B98" s="74" t="s">
        <v>133</v>
      </c>
      <c r="C98" s="72">
        <v>7757</v>
      </c>
      <c r="D98" s="73">
        <v>42.129689300000003</v>
      </c>
      <c r="E98" s="72">
        <f t="shared" si="0"/>
        <v>4489.0000009989999</v>
      </c>
      <c r="F98" s="72">
        <v>10903</v>
      </c>
      <c r="G98" s="73">
        <v>71.989360700000006</v>
      </c>
      <c r="H98" s="72">
        <f t="shared" si="1"/>
        <v>3054.0000028789991</v>
      </c>
    </row>
    <row r="99" spans="1:8">
      <c r="A99" s="70">
        <v>21304</v>
      </c>
      <c r="B99" s="74" t="s">
        <v>134</v>
      </c>
      <c r="C99" s="72">
        <v>12251</v>
      </c>
      <c r="D99" s="73">
        <v>50.820341200000001</v>
      </c>
      <c r="E99" s="72">
        <f t="shared" si="0"/>
        <v>6024.9999995880007</v>
      </c>
      <c r="F99" s="72">
        <v>15087</v>
      </c>
      <c r="G99" s="73">
        <v>82.011002899999994</v>
      </c>
      <c r="H99" s="72">
        <f t="shared" si="1"/>
        <v>2713.999992477</v>
      </c>
    </row>
    <row r="100" spans="1:8">
      <c r="A100" s="70">
        <v>21305</v>
      </c>
      <c r="B100" s="74" t="s">
        <v>135</v>
      </c>
      <c r="C100" s="72">
        <v>22156</v>
      </c>
      <c r="D100" s="73">
        <v>75.988445600000006</v>
      </c>
      <c r="E100" s="72">
        <f t="shared" si="0"/>
        <v>5319.9999928639991</v>
      </c>
      <c r="F100" s="72">
        <v>24167</v>
      </c>
      <c r="G100" s="73">
        <v>87.598791700000007</v>
      </c>
      <c r="H100" s="72">
        <f t="shared" si="1"/>
        <v>2997.0000098609962</v>
      </c>
    </row>
    <row r="101" spans="1:8">
      <c r="A101" s="70">
        <v>21306</v>
      </c>
      <c r="B101" s="74" t="s">
        <v>136</v>
      </c>
      <c r="C101" s="72">
        <v>9790</v>
      </c>
      <c r="D101" s="73">
        <v>58.365679299999996</v>
      </c>
      <c r="E101" s="72">
        <f t="shared" si="0"/>
        <v>4075.9999965300003</v>
      </c>
      <c r="F101" s="72">
        <v>12375</v>
      </c>
      <c r="G101" s="73">
        <v>87.652525299999994</v>
      </c>
      <c r="H101" s="72">
        <f t="shared" si="1"/>
        <v>1527.9999941250007</v>
      </c>
    </row>
    <row r="102" spans="1:8">
      <c r="A102" s="70">
        <v>21307</v>
      </c>
      <c r="B102" s="74" t="s">
        <v>137</v>
      </c>
      <c r="C102" s="72">
        <v>4961</v>
      </c>
      <c r="D102" s="73">
        <v>72.364442699999998</v>
      </c>
      <c r="E102" s="72">
        <f t="shared" si="0"/>
        <v>1370.9999976530003</v>
      </c>
      <c r="F102" s="72">
        <v>5450</v>
      </c>
      <c r="G102" s="73">
        <v>90.440366999999995</v>
      </c>
      <c r="H102" s="72">
        <f t="shared" si="1"/>
        <v>520.9999985000004</v>
      </c>
    </row>
    <row r="103" spans="1:8">
      <c r="A103" s="70">
        <v>21401</v>
      </c>
      <c r="B103" s="74" t="s">
        <v>139</v>
      </c>
      <c r="C103" s="72">
        <v>18614</v>
      </c>
      <c r="D103" s="73">
        <v>45.874073299999999</v>
      </c>
      <c r="E103" s="72">
        <f t="shared" si="0"/>
        <v>10074.999995938</v>
      </c>
      <c r="F103" s="72">
        <v>26339</v>
      </c>
      <c r="G103" s="73">
        <v>67.132389200000006</v>
      </c>
      <c r="H103" s="72">
        <f t="shared" si="1"/>
        <v>8657.0000086119981</v>
      </c>
    </row>
    <row r="104" spans="1:8">
      <c r="A104" s="70">
        <v>21402</v>
      </c>
      <c r="B104" s="74" t="s">
        <v>140</v>
      </c>
      <c r="C104" s="72">
        <v>16685</v>
      </c>
      <c r="D104" s="73">
        <v>64.399160899999998</v>
      </c>
      <c r="E104" s="72">
        <f t="shared" si="0"/>
        <v>5940.0000038350008</v>
      </c>
      <c r="F104" s="72">
        <v>22780</v>
      </c>
      <c r="G104" s="73">
        <v>84.7717296</v>
      </c>
      <c r="H104" s="72">
        <f t="shared" si="1"/>
        <v>3468.9999971200014</v>
      </c>
    </row>
    <row r="105" spans="1:8">
      <c r="A105" s="70">
        <v>21501</v>
      </c>
      <c r="B105" s="74" t="s">
        <v>142</v>
      </c>
      <c r="C105" s="72">
        <v>8275</v>
      </c>
      <c r="D105" s="73">
        <v>33.933534700000003</v>
      </c>
      <c r="E105" s="72">
        <f t="shared" si="0"/>
        <v>5467.0000035749999</v>
      </c>
      <c r="F105" s="72">
        <v>11181</v>
      </c>
      <c r="G105" s="73">
        <v>51.784276900000002</v>
      </c>
      <c r="H105" s="72">
        <f t="shared" si="1"/>
        <v>5390.9999998109997</v>
      </c>
    </row>
    <row r="106" spans="1:8">
      <c r="A106" s="70">
        <v>21502</v>
      </c>
      <c r="B106" s="74" t="s">
        <v>143</v>
      </c>
      <c r="C106" s="72">
        <v>8164</v>
      </c>
      <c r="D106" s="73">
        <v>42.087212200000003</v>
      </c>
      <c r="E106" s="72">
        <f t="shared" si="0"/>
        <v>4727.9999959920005</v>
      </c>
      <c r="F106" s="72">
        <v>9539</v>
      </c>
      <c r="G106" s="73">
        <v>71.495963900000007</v>
      </c>
      <c r="H106" s="72">
        <f t="shared" si="1"/>
        <v>2719.0000035789999</v>
      </c>
    </row>
    <row r="107" spans="1:8">
      <c r="A107" s="70">
        <v>21601</v>
      </c>
      <c r="B107" s="74" t="s">
        <v>145</v>
      </c>
      <c r="C107" s="72">
        <v>12893</v>
      </c>
      <c r="D107" s="73">
        <v>10.2148453</v>
      </c>
      <c r="E107" s="72">
        <f t="shared" si="0"/>
        <v>11575.999995471</v>
      </c>
      <c r="F107" s="72">
        <v>15535</v>
      </c>
      <c r="G107" s="73">
        <v>30.363694899999999</v>
      </c>
      <c r="H107" s="72">
        <f t="shared" si="1"/>
        <v>10817.999997285</v>
      </c>
    </row>
    <row r="108" spans="1:8">
      <c r="A108" s="70">
        <v>21602</v>
      </c>
      <c r="B108" s="74" t="s">
        <v>146</v>
      </c>
      <c r="C108" s="72">
        <v>3249</v>
      </c>
      <c r="D108" s="73">
        <v>7.8793474999999997</v>
      </c>
      <c r="E108" s="72">
        <f t="shared" si="0"/>
        <v>2992.9999997250002</v>
      </c>
      <c r="F108" s="72">
        <v>6526</v>
      </c>
      <c r="G108" s="73">
        <v>45.0658903</v>
      </c>
      <c r="H108" s="72">
        <f t="shared" si="1"/>
        <v>3584.9999990219999</v>
      </c>
    </row>
    <row r="109" spans="1:8">
      <c r="A109" s="70">
        <v>21701</v>
      </c>
      <c r="B109" s="74" t="s">
        <v>148</v>
      </c>
      <c r="C109" s="72">
        <v>14385</v>
      </c>
      <c r="D109" s="73">
        <v>57.56691</v>
      </c>
      <c r="E109" s="72">
        <f t="shared" si="0"/>
        <v>6103.9999964999988</v>
      </c>
      <c r="F109" s="72">
        <v>16894</v>
      </c>
      <c r="G109" s="73">
        <v>65.419675600000005</v>
      </c>
      <c r="H109" s="72">
        <f t="shared" si="1"/>
        <v>5842.0000041359999</v>
      </c>
    </row>
    <row r="110" spans="1:8">
      <c r="A110" s="70">
        <v>21702</v>
      </c>
      <c r="B110" s="74" t="s">
        <v>149</v>
      </c>
      <c r="C110" s="72">
        <v>5912</v>
      </c>
      <c r="D110" s="73">
        <v>37.212449300000003</v>
      </c>
      <c r="E110" s="72">
        <f t="shared" si="0"/>
        <v>3711.9999973839995</v>
      </c>
      <c r="F110" s="72">
        <v>8735</v>
      </c>
      <c r="G110" s="73">
        <v>59.427590199999997</v>
      </c>
      <c r="H110" s="72">
        <f t="shared" si="1"/>
        <v>3543.9999960300001</v>
      </c>
    </row>
    <row r="111" spans="1:8">
      <c r="A111" s="70">
        <v>21703</v>
      </c>
      <c r="B111" s="74" t="s">
        <v>150</v>
      </c>
      <c r="C111" s="72">
        <v>6233</v>
      </c>
      <c r="D111" s="73">
        <v>30.2101717</v>
      </c>
      <c r="E111" s="72">
        <f t="shared" si="0"/>
        <v>4349.9999979389995</v>
      </c>
      <c r="F111" s="72">
        <v>7166</v>
      </c>
      <c r="G111" s="73">
        <v>48.604521400000003</v>
      </c>
      <c r="H111" s="72">
        <f t="shared" si="1"/>
        <v>3682.999996476</v>
      </c>
    </row>
    <row r="112" spans="1:8">
      <c r="A112" s="70">
        <v>21801</v>
      </c>
      <c r="B112" s="74" t="s">
        <v>152</v>
      </c>
      <c r="C112" s="72">
        <v>8766</v>
      </c>
      <c r="D112" s="73">
        <v>20.8304814</v>
      </c>
      <c r="E112" s="72">
        <f t="shared" si="0"/>
        <v>6940.0000004760004</v>
      </c>
      <c r="F112" s="72">
        <v>9192</v>
      </c>
      <c r="G112" s="73">
        <v>45.267623999999998</v>
      </c>
      <c r="H112" s="72">
        <f t="shared" si="1"/>
        <v>5031.0000019200006</v>
      </c>
    </row>
    <row r="113" spans="1:8">
      <c r="A113" s="70">
        <v>21802</v>
      </c>
      <c r="B113" s="74" t="s">
        <v>153</v>
      </c>
      <c r="C113" s="72">
        <v>6978</v>
      </c>
      <c r="D113" s="73">
        <v>16.6093437</v>
      </c>
      <c r="E113" s="72">
        <f t="shared" si="0"/>
        <v>5818.9999966140003</v>
      </c>
      <c r="F113" s="72">
        <v>6627</v>
      </c>
      <c r="G113" s="73">
        <v>43.503847899999997</v>
      </c>
      <c r="H113" s="72">
        <f t="shared" si="1"/>
        <v>3743.9999996670003</v>
      </c>
    </row>
    <row r="114" spans="1:8">
      <c r="A114" s="70">
        <v>21803</v>
      </c>
      <c r="B114" s="74" t="s">
        <v>154</v>
      </c>
      <c r="C114" s="72">
        <v>2000</v>
      </c>
      <c r="D114" s="73">
        <v>9.9</v>
      </c>
      <c r="E114" s="72">
        <f t="shared" si="0"/>
        <v>1802</v>
      </c>
      <c r="F114" s="72">
        <v>2040</v>
      </c>
      <c r="G114" s="73">
        <v>32.107843099999997</v>
      </c>
      <c r="H114" s="72">
        <f t="shared" si="1"/>
        <v>1385.0000007600001</v>
      </c>
    </row>
    <row r="115" spans="1:8">
      <c r="A115" s="70">
        <v>21901</v>
      </c>
      <c r="B115" s="74" t="s">
        <v>156</v>
      </c>
      <c r="C115" s="72">
        <v>4531</v>
      </c>
      <c r="D115" s="73">
        <v>14.433899800000001</v>
      </c>
      <c r="E115" s="72">
        <f t="shared" si="0"/>
        <v>3877.0000000620003</v>
      </c>
      <c r="F115" s="72">
        <v>6719</v>
      </c>
      <c r="G115" s="73">
        <v>35.511236799999999</v>
      </c>
      <c r="H115" s="72">
        <f t="shared" si="1"/>
        <v>4332.9999994079999</v>
      </c>
    </row>
    <row r="116" spans="1:8">
      <c r="A116" s="70">
        <v>21902</v>
      </c>
      <c r="B116" s="74" t="s">
        <v>157</v>
      </c>
      <c r="C116" s="72">
        <v>2852</v>
      </c>
      <c r="D116" s="73">
        <v>24.7896213</v>
      </c>
      <c r="E116" s="72">
        <f t="shared" si="0"/>
        <v>2145.0000005239999</v>
      </c>
      <c r="F116" s="72">
        <v>5317</v>
      </c>
      <c r="G116" s="73">
        <v>63.682527700000001</v>
      </c>
      <c r="H116" s="72">
        <f t="shared" si="1"/>
        <v>1931.000002191</v>
      </c>
    </row>
    <row r="117" spans="1:8">
      <c r="A117" s="70">
        <v>22001</v>
      </c>
      <c r="B117" s="74" t="s">
        <v>158</v>
      </c>
      <c r="C117" s="72">
        <v>48811</v>
      </c>
      <c r="D117" s="73">
        <v>31.283931899999999</v>
      </c>
      <c r="E117" s="72">
        <f t="shared" si="0"/>
        <v>33541.000000291002</v>
      </c>
      <c r="F117" s="72">
        <v>57197</v>
      </c>
      <c r="G117" s="73">
        <v>53.086700399999998</v>
      </c>
      <c r="H117" s="72">
        <f t="shared" si="1"/>
        <v>26832.999972212001</v>
      </c>
    </row>
    <row r="118" spans="1:8">
      <c r="A118" s="70">
        <v>22002</v>
      </c>
      <c r="B118" s="74" t="s">
        <v>159</v>
      </c>
      <c r="C118" s="72">
        <v>10827</v>
      </c>
      <c r="D118" s="73">
        <v>27.819340499999999</v>
      </c>
      <c r="E118" s="72">
        <f t="shared" si="0"/>
        <v>7815.0000040649993</v>
      </c>
      <c r="F118" s="72">
        <v>10302</v>
      </c>
      <c r="G118" s="73">
        <v>51.028926400000003</v>
      </c>
      <c r="H118" s="72">
        <f t="shared" si="1"/>
        <v>5045.0000022719996</v>
      </c>
    </row>
    <row r="119" spans="1:8">
      <c r="A119" s="70">
        <v>30101</v>
      </c>
      <c r="B119" s="74" t="s">
        <v>160</v>
      </c>
      <c r="C119" s="72">
        <v>616249</v>
      </c>
      <c r="D119" s="73">
        <v>98.088272799999999</v>
      </c>
      <c r="E119" s="72">
        <f t="shared" si="0"/>
        <v>11780.999752728036</v>
      </c>
      <c r="F119" s="72">
        <v>647988</v>
      </c>
      <c r="G119" s="73">
        <v>99.252918300000005</v>
      </c>
      <c r="H119" s="72">
        <f t="shared" si="1"/>
        <v>4840.9997661960078</v>
      </c>
    </row>
    <row r="120" spans="1:8">
      <c r="A120" s="70">
        <v>30201</v>
      </c>
      <c r="B120" s="74" t="s">
        <v>163</v>
      </c>
      <c r="C120" s="72">
        <v>22949</v>
      </c>
      <c r="D120" s="73">
        <v>38.3197525</v>
      </c>
      <c r="E120" s="72">
        <f t="shared" si="0"/>
        <v>14154.999998775</v>
      </c>
      <c r="F120" s="72">
        <v>22777</v>
      </c>
      <c r="G120" s="73">
        <v>56.082890599999999</v>
      </c>
      <c r="H120" s="72">
        <f t="shared" si="1"/>
        <v>10003.000008038</v>
      </c>
    </row>
    <row r="121" spans="1:8">
      <c r="A121" s="70">
        <v>30202</v>
      </c>
      <c r="B121" s="74" t="s">
        <v>164</v>
      </c>
      <c r="C121" s="72">
        <v>6759</v>
      </c>
      <c r="D121" s="73">
        <v>35.345465300000001</v>
      </c>
      <c r="E121" s="72">
        <f t="shared" si="0"/>
        <v>4370.0000003730001</v>
      </c>
      <c r="F121" s="72">
        <v>6387</v>
      </c>
      <c r="G121" s="73">
        <v>42.226397400000003</v>
      </c>
      <c r="H121" s="72">
        <f t="shared" si="1"/>
        <v>3689.9999980619996</v>
      </c>
    </row>
    <row r="122" spans="1:8">
      <c r="A122" s="70">
        <v>30203</v>
      </c>
      <c r="B122" s="74" t="s">
        <v>165</v>
      </c>
      <c r="C122" s="72">
        <v>5559</v>
      </c>
      <c r="D122" s="73">
        <v>42.561611800000001</v>
      </c>
      <c r="E122" s="72">
        <f t="shared" si="0"/>
        <v>3193.0000000380001</v>
      </c>
      <c r="F122" s="72">
        <v>6654</v>
      </c>
      <c r="G122" s="73">
        <v>65.960324600000007</v>
      </c>
      <c r="H122" s="72">
        <f t="shared" si="1"/>
        <v>2265.0000011159991</v>
      </c>
    </row>
    <row r="123" spans="1:8">
      <c r="A123" s="70">
        <v>30301</v>
      </c>
      <c r="B123" s="74" t="s">
        <v>166</v>
      </c>
      <c r="C123" s="72">
        <v>23344</v>
      </c>
      <c r="D123" s="73">
        <v>24.4088417</v>
      </c>
      <c r="E123" s="72">
        <f t="shared" si="0"/>
        <v>17645.999993551999</v>
      </c>
      <c r="F123" s="72">
        <v>21587</v>
      </c>
      <c r="G123" s="73">
        <v>31.3614675</v>
      </c>
      <c r="H123" s="72">
        <f t="shared" si="1"/>
        <v>14817.000010775</v>
      </c>
    </row>
    <row r="124" spans="1:8">
      <c r="A124" s="70">
        <v>30302</v>
      </c>
      <c r="B124" s="74" t="s">
        <v>167</v>
      </c>
      <c r="C124" s="72">
        <v>12683</v>
      </c>
      <c r="D124" s="73">
        <v>14.373570900000001</v>
      </c>
      <c r="E124" s="72">
        <f t="shared" si="0"/>
        <v>10860.000002753</v>
      </c>
      <c r="F124" s="72">
        <v>14614</v>
      </c>
      <c r="G124" s="73">
        <v>22.006295300000001</v>
      </c>
      <c r="H124" s="72">
        <f t="shared" si="1"/>
        <v>11398.000004858</v>
      </c>
    </row>
    <row r="125" spans="1:8">
      <c r="A125" s="70">
        <v>30303</v>
      </c>
      <c r="B125" s="74" t="s">
        <v>168</v>
      </c>
      <c r="C125" s="72">
        <v>17532</v>
      </c>
      <c r="D125" s="73">
        <v>9.7421857000000003</v>
      </c>
      <c r="E125" s="72">
        <f t="shared" si="0"/>
        <v>15824.000003076</v>
      </c>
      <c r="F125" s="72">
        <v>19478</v>
      </c>
      <c r="G125" s="73">
        <v>29.9876784</v>
      </c>
      <c r="H125" s="72">
        <f t="shared" si="1"/>
        <v>13637.000001248</v>
      </c>
    </row>
    <row r="126" spans="1:8">
      <c r="A126" s="70">
        <v>30401</v>
      </c>
      <c r="B126" s="74" t="s">
        <v>170</v>
      </c>
      <c r="C126" s="72">
        <v>7758</v>
      </c>
      <c r="D126" s="73">
        <v>56.844547599999999</v>
      </c>
      <c r="E126" s="72">
        <f t="shared" si="0"/>
        <v>3347.9999971920006</v>
      </c>
      <c r="F126" s="72">
        <v>10686</v>
      </c>
      <c r="G126" s="73">
        <v>67.1532847</v>
      </c>
      <c r="H126" s="72">
        <f t="shared" si="1"/>
        <v>3509.9999969579994</v>
      </c>
    </row>
    <row r="127" spans="1:8">
      <c r="A127" s="70">
        <v>30402</v>
      </c>
      <c r="B127" s="74" t="s">
        <v>171</v>
      </c>
      <c r="C127" s="72">
        <v>7127</v>
      </c>
      <c r="D127" s="73">
        <v>20.078574400000001</v>
      </c>
      <c r="E127" s="72">
        <f t="shared" si="0"/>
        <v>5696.0000025119998</v>
      </c>
      <c r="F127" s="72">
        <v>7248</v>
      </c>
      <c r="G127" s="73">
        <v>29.525386300000001</v>
      </c>
      <c r="H127" s="72">
        <f t="shared" si="1"/>
        <v>5108.0000009760006</v>
      </c>
    </row>
    <row r="128" spans="1:8">
      <c r="A128" s="70">
        <v>30403</v>
      </c>
      <c r="B128" s="74" t="s">
        <v>172</v>
      </c>
      <c r="C128" s="72">
        <v>16919</v>
      </c>
      <c r="D128" s="73">
        <v>69.909569099999999</v>
      </c>
      <c r="E128" s="72">
        <f t="shared" si="0"/>
        <v>5091.0000039709994</v>
      </c>
      <c r="F128" s="72">
        <v>28695</v>
      </c>
      <c r="G128" s="73">
        <v>81.690189899999993</v>
      </c>
      <c r="H128" s="72">
        <f t="shared" si="1"/>
        <v>5254.000008195002</v>
      </c>
    </row>
    <row r="129" spans="1:8">
      <c r="A129" s="70">
        <v>30404</v>
      </c>
      <c r="B129" s="74" t="s">
        <v>173</v>
      </c>
      <c r="C129" s="72">
        <v>4295</v>
      </c>
      <c r="D129" s="73">
        <v>15.413271200000001</v>
      </c>
      <c r="E129" s="72">
        <f t="shared" si="0"/>
        <v>3633.0000019600002</v>
      </c>
      <c r="F129" s="72">
        <v>4919</v>
      </c>
      <c r="G129" s="73">
        <v>30.5753202</v>
      </c>
      <c r="H129" s="72">
        <f t="shared" si="1"/>
        <v>3414.9999993619999</v>
      </c>
    </row>
    <row r="130" spans="1:8">
      <c r="A130" s="70">
        <v>30501</v>
      </c>
      <c r="B130" s="74" t="s">
        <v>174</v>
      </c>
      <c r="C130" s="72">
        <v>9303</v>
      </c>
      <c r="D130" s="73">
        <v>68.934752200000005</v>
      </c>
      <c r="E130" s="72">
        <f t="shared" si="0"/>
        <v>2890.0000028339991</v>
      </c>
      <c r="F130" s="72">
        <v>10952</v>
      </c>
      <c r="G130" s="73">
        <v>85.126004399999999</v>
      </c>
      <c r="H130" s="72">
        <f t="shared" si="1"/>
        <v>1628.999998112</v>
      </c>
    </row>
    <row r="131" spans="1:8">
      <c r="A131" s="70">
        <v>30502</v>
      </c>
      <c r="B131" s="74" t="s">
        <v>175</v>
      </c>
      <c r="C131" s="72">
        <v>8875</v>
      </c>
      <c r="D131" s="73">
        <v>22.490140799999999</v>
      </c>
      <c r="E131" s="72">
        <f t="shared" si="0"/>
        <v>6879.0000039999995</v>
      </c>
      <c r="F131" s="72">
        <v>8177</v>
      </c>
      <c r="G131" s="73">
        <v>39.1096979</v>
      </c>
      <c r="H131" s="72">
        <f t="shared" si="1"/>
        <v>4979.0000027169999</v>
      </c>
    </row>
    <row r="132" spans="1:8">
      <c r="A132" s="70">
        <v>30601</v>
      </c>
      <c r="B132" s="74" t="s">
        <v>176</v>
      </c>
      <c r="C132" s="72">
        <v>10440</v>
      </c>
      <c r="D132" s="73">
        <v>9.2911877</v>
      </c>
      <c r="E132" s="72">
        <f t="shared" si="0"/>
        <v>9470.0000041200001</v>
      </c>
      <c r="F132" s="72">
        <v>10562</v>
      </c>
      <c r="G132" s="73">
        <v>16.796061399999999</v>
      </c>
      <c r="H132" s="72">
        <f t="shared" si="1"/>
        <v>8787.9999949320008</v>
      </c>
    </row>
    <row r="133" spans="1:8">
      <c r="A133" s="70">
        <v>30602</v>
      </c>
      <c r="B133" s="74" t="s">
        <v>177</v>
      </c>
      <c r="C133" s="72">
        <v>10094</v>
      </c>
      <c r="D133" s="73">
        <v>5.0921339000000003</v>
      </c>
      <c r="E133" s="72">
        <f t="shared" si="0"/>
        <v>9580.000004133999</v>
      </c>
      <c r="F133" s="72">
        <v>10651</v>
      </c>
      <c r="G133" s="73">
        <v>12.9565299</v>
      </c>
      <c r="H133" s="72">
        <f t="shared" si="1"/>
        <v>9271.0000003509995</v>
      </c>
    </row>
    <row r="134" spans="1:8">
      <c r="A134" s="70">
        <v>30701</v>
      </c>
      <c r="B134" s="74" t="s">
        <v>178</v>
      </c>
      <c r="C134" s="72">
        <v>19112</v>
      </c>
      <c r="D134" s="73">
        <v>64.974884900000006</v>
      </c>
      <c r="E134" s="72">
        <f t="shared" si="0"/>
        <v>6693.9999979119984</v>
      </c>
      <c r="F134" s="72">
        <v>19217</v>
      </c>
      <c r="G134" s="73">
        <v>78.040276800000001</v>
      </c>
      <c r="H134" s="72">
        <f t="shared" si="1"/>
        <v>4220.0000073440006</v>
      </c>
    </row>
    <row r="135" spans="1:8">
      <c r="A135" s="70">
        <v>30702</v>
      </c>
      <c r="B135" s="74" t="s">
        <v>179</v>
      </c>
      <c r="C135" s="72">
        <v>6317</v>
      </c>
      <c r="D135" s="73">
        <v>41.127117300000002</v>
      </c>
      <c r="E135" s="72">
        <f t="shared" si="0"/>
        <v>3719.0000001589997</v>
      </c>
      <c r="F135" s="72">
        <v>7617</v>
      </c>
      <c r="G135" s="73">
        <v>76.893790199999998</v>
      </c>
      <c r="H135" s="72">
        <f t="shared" si="1"/>
        <v>1760.0000004659996</v>
      </c>
    </row>
    <row r="136" spans="1:8">
      <c r="A136" s="70">
        <v>30703</v>
      </c>
      <c r="B136" s="74" t="s">
        <v>180</v>
      </c>
      <c r="C136" s="72">
        <v>3710</v>
      </c>
      <c r="D136" s="73">
        <v>21.401617300000002</v>
      </c>
      <c r="E136" s="72">
        <f t="shared" si="0"/>
        <v>2915.9999981700003</v>
      </c>
      <c r="F136" s="72">
        <v>3911</v>
      </c>
      <c r="G136" s="73">
        <v>56.4561493</v>
      </c>
      <c r="H136" s="72">
        <f t="shared" si="1"/>
        <v>1703.0000008769998</v>
      </c>
    </row>
    <row r="137" spans="1:8">
      <c r="A137" s="70">
        <v>30801</v>
      </c>
      <c r="B137" s="74" t="s">
        <v>182</v>
      </c>
      <c r="C137" s="72">
        <v>21663</v>
      </c>
      <c r="D137" s="73">
        <v>86.940866900000003</v>
      </c>
      <c r="E137" s="72">
        <f t="shared" si="0"/>
        <v>2829.0000034529985</v>
      </c>
      <c r="F137" s="72">
        <v>20953</v>
      </c>
      <c r="G137" s="73">
        <v>97.437121200000007</v>
      </c>
      <c r="H137" s="72">
        <f t="shared" si="1"/>
        <v>536.99999496399687</v>
      </c>
    </row>
    <row r="138" spans="1:8">
      <c r="A138" s="70">
        <v>30802</v>
      </c>
      <c r="B138" s="74" t="s">
        <v>183</v>
      </c>
      <c r="C138" s="72">
        <v>7010</v>
      </c>
      <c r="D138" s="73">
        <v>48.259629099999998</v>
      </c>
      <c r="E138" s="72">
        <f t="shared" si="0"/>
        <v>3627.0000000900004</v>
      </c>
      <c r="F138" s="72">
        <v>7308</v>
      </c>
      <c r="G138" s="73">
        <v>73.823207400000001</v>
      </c>
      <c r="H138" s="72">
        <f t="shared" si="1"/>
        <v>1913.0000032079997</v>
      </c>
    </row>
    <row r="139" spans="1:8">
      <c r="A139" s="70">
        <v>30803</v>
      </c>
      <c r="B139" s="74" t="s">
        <v>184</v>
      </c>
      <c r="C139" s="72">
        <v>5110</v>
      </c>
      <c r="D139" s="73">
        <v>86.046966699999999</v>
      </c>
      <c r="E139" s="72">
        <f t="shared" si="0"/>
        <v>713.00000163000004</v>
      </c>
      <c r="F139" s="72">
        <v>7502</v>
      </c>
      <c r="G139" s="73">
        <v>85.057317999999995</v>
      </c>
      <c r="H139" s="72">
        <f t="shared" si="1"/>
        <v>1121.0000036400006</v>
      </c>
    </row>
    <row r="140" spans="1:8">
      <c r="A140" s="70">
        <v>30901</v>
      </c>
      <c r="B140" s="74" t="s">
        <v>185</v>
      </c>
      <c r="C140" s="72">
        <v>134281</v>
      </c>
      <c r="D140" s="73">
        <v>94.8421594</v>
      </c>
      <c r="E140" s="72">
        <f t="shared" si="0"/>
        <v>6925.9999360859947</v>
      </c>
      <c r="F140" s="72">
        <v>163818</v>
      </c>
      <c r="G140" s="73">
        <v>98.176635000000005</v>
      </c>
      <c r="H140" s="72">
        <f t="shared" si="1"/>
        <v>2987.0000756999943</v>
      </c>
    </row>
    <row r="141" spans="1:8">
      <c r="A141" s="70">
        <v>30902</v>
      </c>
      <c r="B141" s="74" t="s">
        <v>186</v>
      </c>
      <c r="C141" s="72">
        <v>40761</v>
      </c>
      <c r="D141" s="73">
        <v>80.991634199999993</v>
      </c>
      <c r="E141" s="72">
        <f t="shared" si="0"/>
        <v>7747.9999837380019</v>
      </c>
      <c r="F141" s="72">
        <v>55440</v>
      </c>
      <c r="G141" s="73">
        <v>92.433261200000004</v>
      </c>
      <c r="H141" s="72">
        <f t="shared" si="1"/>
        <v>4194.9999907199963</v>
      </c>
    </row>
    <row r="142" spans="1:8">
      <c r="A142" s="70">
        <v>30903</v>
      </c>
      <c r="B142" s="74" t="s">
        <v>187</v>
      </c>
      <c r="C142" s="72">
        <v>52595</v>
      </c>
      <c r="D142" s="73">
        <v>88.8031182</v>
      </c>
      <c r="E142" s="72">
        <f t="shared" si="0"/>
        <v>5888.9999827100037</v>
      </c>
      <c r="F142" s="72">
        <v>60789</v>
      </c>
      <c r="G142" s="73">
        <v>94.832946800000002</v>
      </c>
      <c r="H142" s="72">
        <f t="shared" si="1"/>
        <v>3140.9999697479943</v>
      </c>
    </row>
    <row r="143" spans="1:8">
      <c r="A143" s="70">
        <v>30904</v>
      </c>
      <c r="B143" s="74" t="s">
        <v>188</v>
      </c>
      <c r="C143" s="72">
        <v>51162</v>
      </c>
      <c r="D143" s="73">
        <v>89.081740400000001</v>
      </c>
      <c r="E143" s="72">
        <f t="shared" si="0"/>
        <v>5585.9999765520042</v>
      </c>
      <c r="F143" s="72">
        <v>55047</v>
      </c>
      <c r="G143" s="73">
        <v>96.604719599999996</v>
      </c>
      <c r="H143" s="72">
        <f t="shared" si="1"/>
        <v>1869.0000017880011</v>
      </c>
    </row>
    <row r="144" spans="1:8">
      <c r="A144" s="70">
        <v>30905</v>
      </c>
      <c r="B144" s="74" t="s">
        <v>189</v>
      </c>
      <c r="C144" s="72">
        <v>51107</v>
      </c>
      <c r="D144" s="73">
        <v>97.927876800000007</v>
      </c>
      <c r="E144" s="72">
        <f t="shared" si="0"/>
        <v>1059.0000038239959</v>
      </c>
      <c r="F144" s="72">
        <v>65584</v>
      </c>
      <c r="G144" s="73">
        <v>99.487679900000003</v>
      </c>
      <c r="H144" s="72">
        <f t="shared" si="1"/>
        <v>336.00001438400068</v>
      </c>
    </row>
    <row r="145" spans="1:8">
      <c r="A145" s="70">
        <v>31001</v>
      </c>
      <c r="B145" s="74" t="s">
        <v>191</v>
      </c>
      <c r="C145" s="72">
        <v>168840</v>
      </c>
      <c r="D145" s="73">
        <v>88.897180800000001</v>
      </c>
      <c r="E145" s="72">
        <f t="shared" si="0"/>
        <v>18745.999937279994</v>
      </c>
      <c r="F145" s="72">
        <v>213855</v>
      </c>
      <c r="G145" s="73">
        <v>94.556592100000003</v>
      </c>
      <c r="H145" s="72">
        <f t="shared" si="1"/>
        <v>11640.999964544986</v>
      </c>
    </row>
    <row r="146" spans="1:8">
      <c r="A146" s="70">
        <v>31002</v>
      </c>
      <c r="B146" s="74" t="s">
        <v>192</v>
      </c>
      <c r="C146" s="72">
        <v>18675</v>
      </c>
      <c r="D146" s="73">
        <v>46.425702800000003</v>
      </c>
      <c r="E146" s="72">
        <f t="shared" si="0"/>
        <v>10005.0000021</v>
      </c>
      <c r="F146" s="72">
        <v>21248</v>
      </c>
      <c r="G146" s="73">
        <v>67.686370499999995</v>
      </c>
      <c r="H146" s="72">
        <f t="shared" si="1"/>
        <v>6865.9999961600024</v>
      </c>
    </row>
    <row r="147" spans="1:8">
      <c r="A147" s="70">
        <v>31003</v>
      </c>
      <c r="B147" s="74" t="s">
        <v>193</v>
      </c>
      <c r="C147" s="72">
        <v>68727</v>
      </c>
      <c r="D147" s="73">
        <v>45.704017299999997</v>
      </c>
      <c r="E147" s="72">
        <f t="shared" si="0"/>
        <v>37316.000030228999</v>
      </c>
      <c r="F147" s="72">
        <v>90928</v>
      </c>
      <c r="G147" s="73">
        <v>68.973253600000007</v>
      </c>
      <c r="H147" s="72">
        <f t="shared" si="1"/>
        <v>28211.999966591997</v>
      </c>
    </row>
    <row r="148" spans="1:8">
      <c r="A148" s="70">
        <v>31101</v>
      </c>
      <c r="B148" s="74" t="s">
        <v>194</v>
      </c>
      <c r="C148" s="72">
        <v>24344</v>
      </c>
      <c r="D148" s="73">
        <v>11.477160700000001</v>
      </c>
      <c r="E148" s="72">
        <f t="shared" si="0"/>
        <v>21549.999999192001</v>
      </c>
      <c r="F148" s="72">
        <v>24518</v>
      </c>
      <c r="G148" s="73">
        <v>23.1462599</v>
      </c>
      <c r="H148" s="72">
        <f t="shared" si="1"/>
        <v>18842.999997718001</v>
      </c>
    </row>
    <row r="149" spans="1:8">
      <c r="A149" s="70">
        <v>31201</v>
      </c>
      <c r="B149" s="74" t="s">
        <v>196</v>
      </c>
      <c r="C149" s="72">
        <v>14481</v>
      </c>
      <c r="D149" s="73">
        <v>22.8437263</v>
      </c>
      <c r="E149" s="72">
        <f t="shared" si="0"/>
        <v>11172.999994497</v>
      </c>
      <c r="F149" s="72">
        <v>14431</v>
      </c>
      <c r="G149" s="73">
        <v>44.127226100000001</v>
      </c>
      <c r="H149" s="72">
        <f t="shared" si="1"/>
        <v>8063.000001509</v>
      </c>
    </row>
    <row r="150" spans="1:8">
      <c r="A150" s="70">
        <v>31202</v>
      </c>
      <c r="B150" s="74" t="s">
        <v>197</v>
      </c>
      <c r="C150" s="72">
        <v>10047</v>
      </c>
      <c r="D150" s="73">
        <v>20.921668199999999</v>
      </c>
      <c r="E150" s="72">
        <f t="shared" si="0"/>
        <v>7944.9999959460001</v>
      </c>
      <c r="F150" s="72">
        <v>11593</v>
      </c>
      <c r="G150" s="73">
        <v>56.827395799999998</v>
      </c>
      <c r="H150" s="72">
        <f t="shared" si="1"/>
        <v>5005.000004906</v>
      </c>
    </row>
    <row r="151" spans="1:8">
      <c r="A151" s="70">
        <v>31203</v>
      </c>
      <c r="B151" s="74" t="s">
        <v>198</v>
      </c>
      <c r="C151" s="72">
        <v>10514</v>
      </c>
      <c r="D151" s="73">
        <v>22.370173099999999</v>
      </c>
      <c r="E151" s="72">
        <f t="shared" si="0"/>
        <v>8162.0000002659999</v>
      </c>
      <c r="F151" s="72">
        <v>11973</v>
      </c>
      <c r="G151" s="73">
        <v>53.963083599999997</v>
      </c>
      <c r="H151" s="72">
        <f t="shared" si="1"/>
        <v>5512.0000005720003</v>
      </c>
    </row>
    <row r="152" spans="1:8">
      <c r="A152" s="70">
        <v>31204</v>
      </c>
      <c r="B152" s="74" t="s">
        <v>199</v>
      </c>
      <c r="C152" s="72">
        <v>20344</v>
      </c>
      <c r="D152" s="73">
        <v>59.806331100000001</v>
      </c>
      <c r="E152" s="72">
        <f t="shared" si="0"/>
        <v>8177.0000010160002</v>
      </c>
      <c r="F152" s="72">
        <v>25823</v>
      </c>
      <c r="G152" s="73">
        <v>76.164659400000005</v>
      </c>
      <c r="H152" s="72">
        <f t="shared" si="1"/>
        <v>6155.0000031380005</v>
      </c>
    </row>
    <row r="153" spans="1:8">
      <c r="A153" s="70">
        <v>31205</v>
      </c>
      <c r="B153" s="74" t="s">
        <v>200</v>
      </c>
      <c r="C153" s="72">
        <v>44974</v>
      </c>
      <c r="D153" s="73">
        <v>54.796104399999997</v>
      </c>
      <c r="E153" s="72">
        <f t="shared" si="0"/>
        <v>20330.000007144001</v>
      </c>
      <c r="F153" s="72">
        <v>62262</v>
      </c>
      <c r="G153" s="73">
        <v>78.895634599999994</v>
      </c>
      <c r="H153" s="72">
        <f t="shared" si="1"/>
        <v>13139.999985348004</v>
      </c>
    </row>
    <row r="154" spans="1:8">
      <c r="A154" s="70">
        <v>31206</v>
      </c>
      <c r="B154" s="74" t="s">
        <v>201</v>
      </c>
      <c r="C154" s="72">
        <v>29114</v>
      </c>
      <c r="D154" s="73">
        <v>59.583018500000001</v>
      </c>
      <c r="E154" s="72">
        <f t="shared" si="0"/>
        <v>11766.999993909998</v>
      </c>
      <c r="F154" s="72">
        <v>43375</v>
      </c>
      <c r="G154" s="73">
        <v>78.974063400000006</v>
      </c>
      <c r="H154" s="72">
        <f t="shared" si="1"/>
        <v>9120.0000002499946</v>
      </c>
    </row>
    <row r="155" spans="1:8">
      <c r="A155" s="70">
        <v>31301</v>
      </c>
      <c r="B155" s="74" t="s">
        <v>202</v>
      </c>
      <c r="C155" s="72">
        <v>19466</v>
      </c>
      <c r="D155" s="73">
        <v>39.756498499999999</v>
      </c>
      <c r="E155" s="72">
        <f t="shared" si="0"/>
        <v>11727.00000199</v>
      </c>
      <c r="F155" s="72">
        <v>19421</v>
      </c>
      <c r="G155" s="73">
        <v>61.407754500000003</v>
      </c>
      <c r="H155" s="72">
        <f t="shared" si="1"/>
        <v>7494.9999985550003</v>
      </c>
    </row>
    <row r="156" spans="1:8">
      <c r="A156" s="70">
        <v>31302</v>
      </c>
      <c r="B156" s="74" t="s">
        <v>203</v>
      </c>
      <c r="C156" s="72">
        <v>5399</v>
      </c>
      <c r="D156" s="73">
        <v>7.9644379000000001</v>
      </c>
      <c r="E156" s="72">
        <f t="shared" si="0"/>
        <v>4968.9999977790003</v>
      </c>
      <c r="F156" s="72">
        <v>5169</v>
      </c>
      <c r="G156" s="73">
        <v>16.734378</v>
      </c>
      <c r="H156" s="72">
        <f t="shared" si="1"/>
        <v>4304.0000011800003</v>
      </c>
    </row>
    <row r="157" spans="1:8">
      <c r="A157" s="70">
        <v>31303</v>
      </c>
      <c r="B157" s="74" t="s">
        <v>204</v>
      </c>
      <c r="C157" s="72">
        <v>3415</v>
      </c>
      <c r="D157" s="73">
        <v>4.1288432999999998</v>
      </c>
      <c r="E157" s="72">
        <f t="shared" si="0"/>
        <v>3274.0000013049998</v>
      </c>
      <c r="F157" s="72">
        <v>3473</v>
      </c>
      <c r="G157" s="73">
        <v>14.1376332</v>
      </c>
      <c r="H157" s="72">
        <f t="shared" si="1"/>
        <v>2981.999998964</v>
      </c>
    </row>
    <row r="158" spans="1:8">
      <c r="A158" s="70">
        <v>31304</v>
      </c>
      <c r="B158" s="74" t="s">
        <v>205</v>
      </c>
      <c r="C158" s="72">
        <v>7011</v>
      </c>
      <c r="D158" s="73">
        <v>4.9493653000000002</v>
      </c>
      <c r="E158" s="72">
        <f t="shared" si="0"/>
        <v>6663.9999988170002</v>
      </c>
      <c r="F158" s="72">
        <v>7992</v>
      </c>
      <c r="G158" s="73">
        <v>11.0610611</v>
      </c>
      <c r="H158" s="72">
        <f t="shared" si="1"/>
        <v>7107.9999968880002</v>
      </c>
    </row>
    <row r="159" spans="1:8">
      <c r="A159" s="70">
        <v>31401</v>
      </c>
      <c r="B159" s="74" t="s">
        <v>206</v>
      </c>
      <c r="C159" s="72">
        <v>28564</v>
      </c>
      <c r="D159" s="73">
        <v>91.485786300000001</v>
      </c>
      <c r="E159" s="72">
        <f t="shared" si="0"/>
        <v>2432.0000012679993</v>
      </c>
      <c r="F159" s="72">
        <v>34432</v>
      </c>
      <c r="G159" s="73">
        <v>97.243842900000004</v>
      </c>
      <c r="H159" s="72">
        <f t="shared" si="1"/>
        <v>949.00001267199696</v>
      </c>
    </row>
    <row r="160" spans="1:8">
      <c r="A160" s="70">
        <v>31402</v>
      </c>
      <c r="B160" s="74" t="s">
        <v>207</v>
      </c>
      <c r="C160" s="72">
        <v>8060</v>
      </c>
      <c r="D160" s="73">
        <v>70.5831266</v>
      </c>
      <c r="E160" s="72">
        <f t="shared" si="0"/>
        <v>2370.99999604</v>
      </c>
      <c r="F160" s="72">
        <v>8454</v>
      </c>
      <c r="G160" s="73">
        <v>84.882895700000006</v>
      </c>
      <c r="H160" s="72">
        <f t="shared" si="1"/>
        <v>1277.9999975219998</v>
      </c>
    </row>
    <row r="161" spans="1:8">
      <c r="A161" s="70">
        <v>31403</v>
      </c>
      <c r="B161" s="74" t="s">
        <v>208</v>
      </c>
      <c r="C161" s="72">
        <v>13318</v>
      </c>
      <c r="D161" s="73">
        <v>80.943084499999998</v>
      </c>
      <c r="E161" s="72">
        <f t="shared" si="0"/>
        <v>2538.0000062899999</v>
      </c>
      <c r="F161" s="72">
        <v>12985</v>
      </c>
      <c r="G161" s="73">
        <v>92.891798199999997</v>
      </c>
      <c r="H161" s="72">
        <f t="shared" si="1"/>
        <v>923.00000372999966</v>
      </c>
    </row>
    <row r="162" spans="1:8">
      <c r="A162" s="70">
        <v>31404</v>
      </c>
      <c r="B162" s="74" t="s">
        <v>209</v>
      </c>
      <c r="C162" s="72">
        <v>1296</v>
      </c>
      <c r="D162" s="73">
        <v>34.645061699999999</v>
      </c>
      <c r="E162" s="72">
        <f t="shared" si="0"/>
        <v>847.00000036799997</v>
      </c>
      <c r="F162" s="72">
        <v>1260</v>
      </c>
      <c r="G162" s="73">
        <v>70.396825399999997</v>
      </c>
      <c r="H162" s="72">
        <f t="shared" si="1"/>
        <v>372.99999996000008</v>
      </c>
    </row>
    <row r="163" spans="1:8">
      <c r="A163" s="70">
        <v>31405</v>
      </c>
      <c r="B163" s="74" t="s">
        <v>210</v>
      </c>
      <c r="C163" s="72">
        <v>2737</v>
      </c>
      <c r="D163" s="73">
        <v>20.2411399</v>
      </c>
      <c r="E163" s="72">
        <f t="shared" si="0"/>
        <v>2183.0000009370001</v>
      </c>
      <c r="F163" s="72">
        <v>3803</v>
      </c>
      <c r="G163" s="73">
        <v>52.8530108</v>
      </c>
      <c r="H163" s="72">
        <f t="shared" si="1"/>
        <v>1792.9999992759999</v>
      </c>
    </row>
    <row r="164" spans="1:8">
      <c r="A164" s="70">
        <v>31501</v>
      </c>
      <c r="B164" s="74" t="s">
        <v>211</v>
      </c>
      <c r="C164" s="72">
        <v>7153</v>
      </c>
      <c r="D164" s="73">
        <v>14.2317909</v>
      </c>
      <c r="E164" s="72">
        <f t="shared" si="0"/>
        <v>6134.9999969230003</v>
      </c>
      <c r="F164" s="72">
        <v>8248</v>
      </c>
      <c r="G164" s="73">
        <v>20.6231814</v>
      </c>
      <c r="H164" s="72">
        <f t="shared" si="1"/>
        <v>6546.9999981279998</v>
      </c>
    </row>
    <row r="165" spans="1:8">
      <c r="A165" s="70">
        <v>31601</v>
      </c>
      <c r="B165" s="74" t="s">
        <v>212</v>
      </c>
      <c r="C165" s="72">
        <v>21025</v>
      </c>
      <c r="D165" s="73">
        <v>30.544589800000001</v>
      </c>
      <c r="E165" s="72">
        <f t="shared" si="0"/>
        <v>14602.99999455</v>
      </c>
      <c r="F165" s="72">
        <v>18306</v>
      </c>
      <c r="G165" s="73">
        <v>59.832841700000003</v>
      </c>
      <c r="H165" s="72">
        <f t="shared" si="1"/>
        <v>7352.9999983979997</v>
      </c>
    </row>
    <row r="166" spans="1:8">
      <c r="A166" s="70">
        <v>31602</v>
      </c>
      <c r="B166" s="74" t="s">
        <v>213</v>
      </c>
      <c r="C166" s="72">
        <v>20113</v>
      </c>
      <c r="D166" s="73">
        <v>58.608859899999999</v>
      </c>
      <c r="E166" s="72">
        <f t="shared" si="0"/>
        <v>8325.0000083129999</v>
      </c>
      <c r="F166" s="72">
        <v>26082</v>
      </c>
      <c r="G166" s="73">
        <v>80.181734500000005</v>
      </c>
      <c r="H166" s="72">
        <f t="shared" si="1"/>
        <v>5169.0000077100012</v>
      </c>
    </row>
    <row r="167" spans="1:8">
      <c r="A167" s="70">
        <v>40101</v>
      </c>
      <c r="B167" s="74" t="s">
        <v>214</v>
      </c>
      <c r="C167" s="72">
        <v>258733</v>
      </c>
      <c r="D167" s="73">
        <v>99.385466899999997</v>
      </c>
      <c r="E167" s="72">
        <f t="shared" si="0"/>
        <v>1589.9999256230076</v>
      </c>
      <c r="F167" s="72">
        <v>289903</v>
      </c>
      <c r="G167" s="73">
        <v>99.718181599999994</v>
      </c>
      <c r="H167" s="72">
        <f t="shared" si="1"/>
        <v>816.99999615200795</v>
      </c>
    </row>
    <row r="168" spans="1:8">
      <c r="A168" s="70">
        <v>40102</v>
      </c>
      <c r="B168" s="74" t="s">
        <v>215</v>
      </c>
      <c r="C168" s="72">
        <v>22841</v>
      </c>
      <c r="D168" s="73">
        <v>47.839411599999998</v>
      </c>
      <c r="E168" s="72">
        <f t="shared" si="0"/>
        <v>11913.999996444001</v>
      </c>
      <c r="F168" s="72">
        <v>22245</v>
      </c>
      <c r="G168" s="73">
        <v>70.0966509</v>
      </c>
      <c r="H168" s="72">
        <f t="shared" si="1"/>
        <v>6652.0000072949988</v>
      </c>
    </row>
    <row r="169" spans="1:8">
      <c r="A169" s="70">
        <v>40103</v>
      </c>
      <c r="B169" s="74" t="s">
        <v>216</v>
      </c>
      <c r="C169" s="72">
        <v>8658</v>
      </c>
      <c r="D169" s="73">
        <v>11.018711</v>
      </c>
      <c r="E169" s="72">
        <f t="shared" si="0"/>
        <v>7704.0000016200001</v>
      </c>
      <c r="F169" s="72">
        <v>9891</v>
      </c>
      <c r="G169" s="73">
        <v>34.839753299999998</v>
      </c>
      <c r="H169" s="72">
        <f t="shared" si="1"/>
        <v>6445.0000010969998</v>
      </c>
    </row>
    <row r="170" spans="1:8">
      <c r="A170" s="70">
        <v>40104</v>
      </c>
      <c r="B170" s="74" t="s">
        <v>217</v>
      </c>
      <c r="C170" s="72">
        <v>12746</v>
      </c>
      <c r="D170" s="73">
        <v>49.968617600000002</v>
      </c>
      <c r="E170" s="72">
        <f t="shared" si="0"/>
        <v>6377.0000007039998</v>
      </c>
      <c r="F170" s="72">
        <v>15598</v>
      </c>
      <c r="G170" s="73">
        <v>74.080010299999998</v>
      </c>
      <c r="H170" s="72">
        <f t="shared" si="1"/>
        <v>4042.9999934059997</v>
      </c>
    </row>
    <row r="171" spans="1:8">
      <c r="A171" s="70">
        <v>40201</v>
      </c>
      <c r="B171" s="74" t="s">
        <v>219</v>
      </c>
      <c r="C171" s="72">
        <v>27986</v>
      </c>
      <c r="D171" s="73">
        <v>53.205174</v>
      </c>
      <c r="E171" s="72">
        <f t="shared" si="0"/>
        <v>13096.000004359999</v>
      </c>
      <c r="F171" s="72">
        <v>34774</v>
      </c>
      <c r="G171" s="73">
        <v>62.523724600000001</v>
      </c>
      <c r="H171" s="72">
        <f t="shared" si="1"/>
        <v>13032.000007596002</v>
      </c>
    </row>
    <row r="172" spans="1:8">
      <c r="A172" s="70">
        <v>40202</v>
      </c>
      <c r="B172" s="74" t="s">
        <v>220</v>
      </c>
      <c r="C172" s="72">
        <v>3951</v>
      </c>
      <c r="D172" s="73">
        <v>46.494558300000001</v>
      </c>
      <c r="E172" s="72">
        <f t="shared" si="0"/>
        <v>2114.0000015670003</v>
      </c>
      <c r="F172" s="72">
        <v>5121</v>
      </c>
      <c r="G172" s="73">
        <v>62.2729936</v>
      </c>
      <c r="H172" s="72">
        <f t="shared" si="1"/>
        <v>1931.9999977439998</v>
      </c>
    </row>
    <row r="173" spans="1:8">
      <c r="A173" s="70">
        <v>40301</v>
      </c>
      <c r="B173" s="74" t="s">
        <v>222</v>
      </c>
      <c r="C173" s="72">
        <v>8953</v>
      </c>
      <c r="D173" s="73">
        <v>14.4755948</v>
      </c>
      <c r="E173" s="72">
        <f t="shared" si="0"/>
        <v>7656.9999975560004</v>
      </c>
      <c r="F173" s="72">
        <v>15863</v>
      </c>
      <c r="G173" s="73">
        <v>33.0643636</v>
      </c>
      <c r="H173" s="72">
        <f t="shared" si="1"/>
        <v>10618.000002131999</v>
      </c>
    </row>
    <row r="174" spans="1:8">
      <c r="A174" s="70">
        <v>40302</v>
      </c>
      <c r="B174" s="74" t="s">
        <v>223</v>
      </c>
      <c r="C174" s="72">
        <v>1812</v>
      </c>
      <c r="D174" s="73">
        <v>12.4724062</v>
      </c>
      <c r="E174" s="72">
        <f t="shared" si="0"/>
        <v>1585.999999656</v>
      </c>
      <c r="F174" s="72">
        <v>2496</v>
      </c>
      <c r="G174" s="73">
        <v>30.889423099999998</v>
      </c>
      <c r="H174" s="72">
        <f t="shared" si="1"/>
        <v>1724.9999994240002</v>
      </c>
    </row>
    <row r="175" spans="1:8">
      <c r="A175" s="70">
        <v>40401</v>
      </c>
      <c r="B175" s="74" t="s">
        <v>225</v>
      </c>
      <c r="C175" s="72">
        <v>3907</v>
      </c>
      <c r="D175" s="73">
        <v>40.389045299999999</v>
      </c>
      <c r="E175" s="72">
        <f t="shared" si="0"/>
        <v>2329.000000129</v>
      </c>
      <c r="F175" s="72">
        <v>6348</v>
      </c>
      <c r="G175" s="73">
        <v>34.814114699999998</v>
      </c>
      <c r="H175" s="72">
        <f t="shared" si="1"/>
        <v>4137.9999988439995</v>
      </c>
    </row>
    <row r="176" spans="1:8">
      <c r="A176" s="70">
        <v>40402</v>
      </c>
      <c r="B176" s="74" t="s">
        <v>226</v>
      </c>
      <c r="C176" s="72">
        <v>5125</v>
      </c>
      <c r="D176" s="73">
        <v>23.297561000000002</v>
      </c>
      <c r="E176" s="72">
        <f t="shared" si="0"/>
        <v>3930.9999987499996</v>
      </c>
      <c r="F176" s="72">
        <v>5559</v>
      </c>
      <c r="G176" s="73">
        <v>33.027522900000001</v>
      </c>
      <c r="H176" s="72">
        <f t="shared" si="1"/>
        <v>3723.0000019889999</v>
      </c>
    </row>
    <row r="177" spans="1:8">
      <c r="A177" s="70">
        <v>40501</v>
      </c>
      <c r="B177" s="74" t="s">
        <v>228</v>
      </c>
      <c r="C177" s="72">
        <v>646</v>
      </c>
      <c r="D177" s="73">
        <v>94.117647099999999</v>
      </c>
      <c r="E177" s="72">
        <f t="shared" si="0"/>
        <v>37.999999733999971</v>
      </c>
      <c r="F177" s="72">
        <v>3778</v>
      </c>
      <c r="G177" s="73">
        <v>97.2736898</v>
      </c>
      <c r="H177" s="72">
        <f t="shared" si="1"/>
        <v>102.99999935599999</v>
      </c>
    </row>
    <row r="178" spans="1:8">
      <c r="A178" s="70">
        <v>40502</v>
      </c>
      <c r="B178" s="74" t="s">
        <v>229</v>
      </c>
      <c r="C178" s="72">
        <v>4193</v>
      </c>
      <c r="D178" s="73">
        <v>14.548056300000001</v>
      </c>
      <c r="E178" s="72">
        <f t="shared" si="0"/>
        <v>3582.9999993410001</v>
      </c>
      <c r="F178" s="72">
        <v>4130</v>
      </c>
      <c r="G178" s="73">
        <v>67.941888599999999</v>
      </c>
      <c r="H178" s="72">
        <f t="shared" si="1"/>
        <v>1324.00000082</v>
      </c>
    </row>
    <row r="179" spans="1:8">
      <c r="A179" s="70">
        <v>40503</v>
      </c>
      <c r="B179" s="74" t="s">
        <v>230</v>
      </c>
      <c r="C179" s="72">
        <v>1941</v>
      </c>
      <c r="D179" s="73">
        <v>25.296239100000001</v>
      </c>
      <c r="E179" s="72">
        <f t="shared" si="0"/>
        <v>1449.9999990689998</v>
      </c>
      <c r="F179" s="72">
        <v>1491</v>
      </c>
      <c r="G179" s="73">
        <v>78.470824899999997</v>
      </c>
      <c r="H179" s="72">
        <f t="shared" si="1"/>
        <v>321.00000074100012</v>
      </c>
    </row>
    <row r="180" spans="1:8">
      <c r="A180" s="70">
        <v>40504</v>
      </c>
      <c r="B180" s="74" t="s">
        <v>231</v>
      </c>
      <c r="C180" s="72">
        <v>513</v>
      </c>
      <c r="D180" s="73">
        <v>7.0175438999999997</v>
      </c>
      <c r="E180" s="72">
        <f t="shared" si="0"/>
        <v>476.99999979300003</v>
      </c>
      <c r="F180" s="72">
        <v>872</v>
      </c>
      <c r="G180" s="73">
        <v>74.885321099999999</v>
      </c>
      <c r="H180" s="72">
        <f t="shared" si="1"/>
        <v>219.00000000800003</v>
      </c>
    </row>
    <row r="181" spans="1:8">
      <c r="A181" s="70">
        <v>40505</v>
      </c>
      <c r="B181" s="74" t="s">
        <v>232</v>
      </c>
      <c r="C181" s="72">
        <v>2688</v>
      </c>
      <c r="D181" s="73">
        <v>43.415178599999997</v>
      </c>
      <c r="E181" s="72">
        <f t="shared" si="0"/>
        <v>1520.9999992319999</v>
      </c>
      <c r="F181" s="72">
        <v>3843</v>
      </c>
      <c r="G181" s="73">
        <v>76.372625600000006</v>
      </c>
      <c r="H181" s="72">
        <f t="shared" si="1"/>
        <v>907.99999819199957</v>
      </c>
    </row>
    <row r="182" spans="1:8">
      <c r="A182" s="70">
        <v>40601</v>
      </c>
      <c r="B182" s="74" t="s">
        <v>233</v>
      </c>
      <c r="C182" s="72">
        <v>7173</v>
      </c>
      <c r="D182" s="73">
        <v>58.176495199999998</v>
      </c>
      <c r="E182" s="72">
        <f t="shared" si="0"/>
        <v>2999.9999993040001</v>
      </c>
      <c r="F182" s="72">
        <v>9040</v>
      </c>
      <c r="G182" s="73">
        <v>76.703539800000001</v>
      </c>
      <c r="H182" s="72">
        <f t="shared" si="1"/>
        <v>2106.0000020799998</v>
      </c>
    </row>
    <row r="183" spans="1:8">
      <c r="A183" s="70">
        <v>40602</v>
      </c>
      <c r="B183" s="74" t="s">
        <v>234</v>
      </c>
      <c r="C183" s="72">
        <v>5910</v>
      </c>
      <c r="D183" s="73">
        <v>69.475465299999996</v>
      </c>
      <c r="E183" s="72">
        <f t="shared" si="0"/>
        <v>1804.00000077</v>
      </c>
      <c r="F183" s="72">
        <v>4129</v>
      </c>
      <c r="G183" s="73">
        <v>81.666263000000001</v>
      </c>
      <c r="H183" s="72">
        <f t="shared" si="1"/>
        <v>757.00000072999956</v>
      </c>
    </row>
    <row r="184" spans="1:8">
      <c r="A184" s="70">
        <v>40603</v>
      </c>
      <c r="B184" s="74" t="s">
        <v>235</v>
      </c>
      <c r="C184" s="72">
        <v>3179</v>
      </c>
      <c r="D184" s="73">
        <v>65.743944600000006</v>
      </c>
      <c r="E184" s="72">
        <f t="shared" si="0"/>
        <v>1089.0000011659999</v>
      </c>
      <c r="F184" s="72">
        <v>3517</v>
      </c>
      <c r="G184" s="73">
        <v>82.9400057</v>
      </c>
      <c r="H184" s="72">
        <f t="shared" si="1"/>
        <v>599.99999953099996</v>
      </c>
    </row>
    <row r="185" spans="1:8">
      <c r="A185" s="70">
        <v>40701</v>
      </c>
      <c r="B185" s="74" t="s">
        <v>237</v>
      </c>
      <c r="C185" s="72">
        <v>24097</v>
      </c>
      <c r="D185" s="73">
        <v>89.629414400000002</v>
      </c>
      <c r="E185" s="72">
        <f t="shared" si="0"/>
        <v>2499.0000120320001</v>
      </c>
      <c r="F185" s="72">
        <v>19368</v>
      </c>
      <c r="G185" s="73">
        <v>93.757744700000003</v>
      </c>
      <c r="H185" s="72">
        <f t="shared" si="1"/>
        <v>1209.0000065040003</v>
      </c>
    </row>
    <row r="186" spans="1:8">
      <c r="A186" s="70">
        <v>40702</v>
      </c>
      <c r="B186" s="74" t="s">
        <v>238</v>
      </c>
      <c r="C186" s="72">
        <v>4721</v>
      </c>
      <c r="D186" s="73">
        <v>73.416649000000007</v>
      </c>
      <c r="E186" s="72">
        <f t="shared" si="0"/>
        <v>1255.0000007099993</v>
      </c>
      <c r="F186" s="72">
        <v>6058</v>
      </c>
      <c r="G186" s="73">
        <v>88.445031400000005</v>
      </c>
      <c r="H186" s="72">
        <f t="shared" si="1"/>
        <v>699.99999778799975</v>
      </c>
    </row>
    <row r="187" spans="1:8">
      <c r="A187" s="70">
        <v>40801</v>
      </c>
      <c r="B187" s="74" t="s">
        <v>240</v>
      </c>
      <c r="C187" s="72">
        <v>11685</v>
      </c>
      <c r="D187" s="73">
        <v>38.981600299999997</v>
      </c>
      <c r="E187" s="72">
        <f t="shared" si="0"/>
        <v>7130.000004945</v>
      </c>
      <c r="F187" s="72">
        <v>15794</v>
      </c>
      <c r="G187" s="73">
        <v>64.290236800000002</v>
      </c>
      <c r="H187" s="72">
        <f t="shared" si="1"/>
        <v>5639.9999998080002</v>
      </c>
    </row>
    <row r="188" spans="1:8">
      <c r="A188" s="70">
        <v>40802</v>
      </c>
      <c r="B188" s="74" t="s">
        <v>241</v>
      </c>
      <c r="C188" s="72">
        <v>2927</v>
      </c>
      <c r="D188" s="73">
        <v>37.137000299999997</v>
      </c>
      <c r="E188" s="72">
        <f t="shared" si="0"/>
        <v>1840.0000012190001</v>
      </c>
      <c r="F188" s="72">
        <v>3188</v>
      </c>
      <c r="G188" s="73">
        <v>66.813048899999998</v>
      </c>
      <c r="H188" s="72">
        <f t="shared" si="1"/>
        <v>1058.0000010680001</v>
      </c>
    </row>
    <row r="189" spans="1:8">
      <c r="A189" s="70">
        <v>40901</v>
      </c>
      <c r="B189" s="74" t="s">
        <v>242</v>
      </c>
      <c r="C189" s="72">
        <v>7792</v>
      </c>
      <c r="D189" s="73">
        <v>31.6991786</v>
      </c>
      <c r="E189" s="72">
        <f t="shared" si="0"/>
        <v>5322.0000034879995</v>
      </c>
      <c r="F189" s="72">
        <v>14592</v>
      </c>
      <c r="G189" s="73">
        <v>74.958881599999998</v>
      </c>
      <c r="H189" s="72">
        <f t="shared" si="1"/>
        <v>3653.9999969280016</v>
      </c>
    </row>
    <row r="190" spans="1:8">
      <c r="A190" s="70">
        <v>40902</v>
      </c>
      <c r="B190" s="74" t="s">
        <v>243</v>
      </c>
      <c r="C190" s="72">
        <v>873</v>
      </c>
      <c r="D190" s="73">
        <v>71.019473099999999</v>
      </c>
      <c r="E190" s="72">
        <f t="shared" si="0"/>
        <v>252.99999983700002</v>
      </c>
      <c r="F190" s="72">
        <v>1378</v>
      </c>
      <c r="G190" s="73">
        <v>94.049346900000003</v>
      </c>
      <c r="H190" s="72">
        <f t="shared" si="1"/>
        <v>81.999999717999799</v>
      </c>
    </row>
    <row r="191" spans="1:8">
      <c r="A191" s="70">
        <v>40903</v>
      </c>
      <c r="B191" s="74" t="s">
        <v>244</v>
      </c>
      <c r="C191" s="72">
        <v>1978</v>
      </c>
      <c r="D191" s="73">
        <v>46.966633000000002</v>
      </c>
      <c r="E191" s="72">
        <f t="shared" si="0"/>
        <v>1048.9999992600001</v>
      </c>
      <c r="F191" s="72">
        <v>2337</v>
      </c>
      <c r="G191" s="73">
        <v>63.457424000000003</v>
      </c>
      <c r="H191" s="72">
        <f t="shared" si="1"/>
        <v>854.00000111999975</v>
      </c>
    </row>
    <row r="192" spans="1:8">
      <c r="A192" s="70">
        <v>41001</v>
      </c>
      <c r="B192" s="74" t="s">
        <v>246</v>
      </c>
      <c r="C192" s="72">
        <v>9993</v>
      </c>
      <c r="D192" s="73">
        <v>20.884619199999999</v>
      </c>
      <c r="E192" s="72">
        <f t="shared" si="0"/>
        <v>7906.0000033440001</v>
      </c>
      <c r="F192" s="72">
        <v>12084</v>
      </c>
      <c r="G192" s="73">
        <v>36.6683217</v>
      </c>
      <c r="H192" s="72">
        <f t="shared" si="1"/>
        <v>7653.0000057719999</v>
      </c>
    </row>
    <row r="193" spans="1:8">
      <c r="A193" s="70">
        <v>41101</v>
      </c>
      <c r="B193" s="74" t="s">
        <v>248</v>
      </c>
      <c r="C193" s="72">
        <v>5188</v>
      </c>
      <c r="D193" s="73">
        <v>62.1048574</v>
      </c>
      <c r="E193" s="72">
        <f t="shared" si="0"/>
        <v>1965.9999980879998</v>
      </c>
      <c r="F193" s="72">
        <v>5309</v>
      </c>
      <c r="G193" s="73">
        <v>82.539084599999995</v>
      </c>
      <c r="H193" s="72">
        <f t="shared" si="1"/>
        <v>926.9999985860004</v>
      </c>
    </row>
    <row r="194" spans="1:8">
      <c r="A194" s="70">
        <v>41201</v>
      </c>
      <c r="B194" s="74" t="s">
        <v>250</v>
      </c>
      <c r="C194" s="72">
        <v>5177</v>
      </c>
      <c r="D194" s="73">
        <v>19.123044199999999</v>
      </c>
      <c r="E194" s="72">
        <f t="shared" si="0"/>
        <v>4187.0000017660004</v>
      </c>
      <c r="F194" s="72">
        <v>6288</v>
      </c>
      <c r="G194" s="73">
        <v>37.659033100000002</v>
      </c>
      <c r="H194" s="72">
        <f t="shared" si="1"/>
        <v>3919.9999986719999</v>
      </c>
    </row>
    <row r="195" spans="1:8">
      <c r="A195" s="70">
        <v>41202</v>
      </c>
      <c r="B195" s="74" t="s">
        <v>251</v>
      </c>
      <c r="C195" s="72">
        <v>1993</v>
      </c>
      <c r="D195" s="73">
        <v>12.493728000000001</v>
      </c>
      <c r="E195" s="72">
        <f t="shared" si="0"/>
        <v>1744.0000009599999</v>
      </c>
      <c r="F195" s="72">
        <v>3031</v>
      </c>
      <c r="G195" s="73">
        <v>52.952820899999999</v>
      </c>
      <c r="H195" s="72">
        <f t="shared" si="1"/>
        <v>1425.9999985210002</v>
      </c>
    </row>
    <row r="196" spans="1:8">
      <c r="A196" s="70">
        <v>41301</v>
      </c>
      <c r="B196" s="74" t="s">
        <v>196</v>
      </c>
      <c r="C196" s="72">
        <v>5485</v>
      </c>
      <c r="D196" s="73">
        <v>10.0820419</v>
      </c>
      <c r="E196" s="72">
        <f t="shared" si="0"/>
        <v>4932.0000017849998</v>
      </c>
      <c r="F196" s="72">
        <v>6593</v>
      </c>
      <c r="G196" s="73">
        <v>27.589867999999999</v>
      </c>
      <c r="H196" s="72">
        <f t="shared" si="1"/>
        <v>4774.0000027599999</v>
      </c>
    </row>
    <row r="197" spans="1:8">
      <c r="A197" s="70">
        <v>41401</v>
      </c>
      <c r="B197" s="74" t="s">
        <v>254</v>
      </c>
      <c r="C197" s="72">
        <v>13042</v>
      </c>
      <c r="D197" s="73">
        <v>44.970096599999998</v>
      </c>
      <c r="E197" s="72">
        <f t="shared" si="0"/>
        <v>7177.0000014280004</v>
      </c>
      <c r="F197" s="72">
        <v>13427</v>
      </c>
      <c r="G197" s="73">
        <v>65.316153999999997</v>
      </c>
      <c r="H197" s="72">
        <f t="shared" si="1"/>
        <v>4657.0000024200017</v>
      </c>
    </row>
    <row r="198" spans="1:8">
      <c r="A198" s="70">
        <v>41501</v>
      </c>
      <c r="B198" s="74" t="s">
        <v>256</v>
      </c>
      <c r="C198" s="72">
        <v>507</v>
      </c>
      <c r="D198" s="73">
        <v>23.274161700000001</v>
      </c>
      <c r="E198" s="72">
        <f t="shared" si="0"/>
        <v>389.00000018100002</v>
      </c>
      <c r="F198" s="72">
        <v>1251</v>
      </c>
      <c r="G198" s="73">
        <v>58.992805799999999</v>
      </c>
      <c r="H198" s="72">
        <f t="shared" si="1"/>
        <v>512.99999944199999</v>
      </c>
    </row>
    <row r="199" spans="1:8">
      <c r="A199" s="70">
        <v>41502</v>
      </c>
      <c r="B199" s="74" t="s">
        <v>257</v>
      </c>
      <c r="C199" s="72">
        <v>661</v>
      </c>
      <c r="D199" s="73">
        <v>10.2874433</v>
      </c>
      <c r="E199" s="72">
        <f t="shared" si="0"/>
        <v>592.99999978699998</v>
      </c>
      <c r="F199" s="72">
        <v>1077</v>
      </c>
      <c r="G199" s="73">
        <v>67.873723299999995</v>
      </c>
      <c r="H199" s="72">
        <f t="shared" si="1"/>
        <v>346.00000005900006</v>
      </c>
    </row>
    <row r="200" spans="1:8">
      <c r="A200" s="70">
        <v>41503</v>
      </c>
      <c r="B200" s="74" t="s">
        <v>221</v>
      </c>
      <c r="C200" s="72">
        <v>838</v>
      </c>
      <c r="D200" s="73">
        <v>12.171837699999999</v>
      </c>
      <c r="E200" s="72">
        <f t="shared" si="0"/>
        <v>736.00000007400001</v>
      </c>
      <c r="F200" s="72">
        <v>1119</v>
      </c>
      <c r="G200" s="73">
        <v>50.312779300000003</v>
      </c>
      <c r="H200" s="72">
        <f t="shared" si="1"/>
        <v>555.99999963300002</v>
      </c>
    </row>
    <row r="201" spans="1:8">
      <c r="A201" s="70">
        <v>41601</v>
      </c>
      <c r="B201" s="74" t="s">
        <v>259</v>
      </c>
      <c r="C201" s="72">
        <v>5446</v>
      </c>
      <c r="D201" s="73">
        <v>15.791406500000001</v>
      </c>
      <c r="E201" s="72">
        <f t="shared" si="0"/>
        <v>4586.0000020099997</v>
      </c>
      <c r="F201" s="72">
        <v>5971</v>
      </c>
      <c r="G201" s="73">
        <v>35.890135700000002</v>
      </c>
      <c r="H201" s="72">
        <f t="shared" si="1"/>
        <v>3827.9999973529998</v>
      </c>
    </row>
    <row r="202" spans="1:8">
      <c r="A202" s="70">
        <v>50101</v>
      </c>
      <c r="B202" s="74" t="s">
        <v>260</v>
      </c>
      <c r="C202" s="72">
        <v>186908</v>
      </c>
      <c r="D202" s="73">
        <v>93.983671099999995</v>
      </c>
      <c r="E202" s="72">
        <f t="shared" si="0"/>
        <v>11245.000020412001</v>
      </c>
      <c r="F202" s="72">
        <v>212998</v>
      </c>
      <c r="G202" s="73">
        <v>95.475544400000004</v>
      </c>
      <c r="H202" s="72">
        <f t="shared" si="1"/>
        <v>9636.9999388880096</v>
      </c>
    </row>
    <row r="203" spans="1:8">
      <c r="A203" s="70">
        <v>50102</v>
      </c>
      <c r="B203" s="74" t="s">
        <v>262</v>
      </c>
      <c r="C203" s="72">
        <v>27064</v>
      </c>
      <c r="D203" s="73">
        <v>7.7852497999999999</v>
      </c>
      <c r="E203" s="72">
        <f t="shared" si="0"/>
        <v>24956.999994128</v>
      </c>
      <c r="F203" s="72">
        <v>28820</v>
      </c>
      <c r="G203" s="73">
        <v>14.247050700000001</v>
      </c>
      <c r="H203" s="72">
        <f t="shared" si="1"/>
        <v>24713.999988260002</v>
      </c>
    </row>
    <row r="204" spans="1:8">
      <c r="A204" s="70">
        <v>50103</v>
      </c>
      <c r="B204" s="74" t="s">
        <v>263</v>
      </c>
      <c r="C204" s="72">
        <v>8762</v>
      </c>
      <c r="D204" s="73">
        <v>46.279388300000001</v>
      </c>
      <c r="E204" s="72">
        <f t="shared" si="0"/>
        <v>4706.9999971540001</v>
      </c>
      <c r="F204" s="72">
        <v>12100</v>
      </c>
      <c r="G204" s="73">
        <v>64.256198299999994</v>
      </c>
      <c r="H204" s="72">
        <f t="shared" si="1"/>
        <v>4325.0000057000016</v>
      </c>
    </row>
    <row r="205" spans="1:8">
      <c r="A205" s="70">
        <v>50104</v>
      </c>
      <c r="B205" s="74" t="s">
        <v>264</v>
      </c>
      <c r="C205" s="72">
        <v>2747</v>
      </c>
      <c r="D205" s="73">
        <v>16.709137200000001</v>
      </c>
      <c r="E205" s="72">
        <f t="shared" si="0"/>
        <v>2288.000001116</v>
      </c>
      <c r="F205" s="72">
        <v>3108</v>
      </c>
      <c r="G205" s="73">
        <v>32.561132600000001</v>
      </c>
      <c r="H205" s="72">
        <f t="shared" si="1"/>
        <v>2095.999998792</v>
      </c>
    </row>
    <row r="206" spans="1:8">
      <c r="A206" s="70">
        <v>50201</v>
      </c>
      <c r="B206" s="74" t="s">
        <v>266</v>
      </c>
      <c r="C206" s="72">
        <v>21492</v>
      </c>
      <c r="D206" s="73">
        <v>61.3391029</v>
      </c>
      <c r="E206" s="72">
        <f t="shared" si="0"/>
        <v>8309.0000047320009</v>
      </c>
      <c r="F206" s="72">
        <v>21997</v>
      </c>
      <c r="G206" s="73">
        <v>71.314270100000002</v>
      </c>
      <c r="H206" s="72">
        <f t="shared" si="1"/>
        <v>6310.0000061030005</v>
      </c>
    </row>
    <row r="207" spans="1:8">
      <c r="A207" s="70">
        <v>50202</v>
      </c>
      <c r="B207" s="74" t="s">
        <v>267</v>
      </c>
      <c r="C207" s="72">
        <v>15865</v>
      </c>
      <c r="D207" s="73">
        <v>43.000315200000003</v>
      </c>
      <c r="E207" s="72">
        <f t="shared" si="0"/>
        <v>9042.9999935199994</v>
      </c>
      <c r="F207" s="72">
        <v>15571</v>
      </c>
      <c r="G207" s="73">
        <v>58.339220300000001</v>
      </c>
      <c r="H207" s="72">
        <f t="shared" si="1"/>
        <v>6487.0000070869992</v>
      </c>
    </row>
    <row r="208" spans="1:8">
      <c r="A208" s="70">
        <v>50203</v>
      </c>
      <c r="B208" s="74" t="s">
        <v>268</v>
      </c>
      <c r="C208" s="72">
        <v>39995</v>
      </c>
      <c r="D208" s="73">
        <v>87.3459182</v>
      </c>
      <c r="E208" s="72">
        <f t="shared" si="0"/>
        <v>5061.0000159100018</v>
      </c>
      <c r="F208" s="72">
        <v>40637</v>
      </c>
      <c r="G208" s="73">
        <v>92.004823200000004</v>
      </c>
      <c r="H208" s="72">
        <f t="shared" si="1"/>
        <v>3248.999996216</v>
      </c>
    </row>
    <row r="209" spans="1:8">
      <c r="A209" s="70">
        <v>50204</v>
      </c>
      <c r="B209" s="74" t="s">
        <v>269</v>
      </c>
      <c r="C209" s="72">
        <v>7908</v>
      </c>
      <c r="D209" s="73">
        <v>38.973191700000001</v>
      </c>
      <c r="E209" s="72">
        <f t="shared" si="0"/>
        <v>4826.0000003639998</v>
      </c>
      <c r="F209" s="72">
        <v>8172</v>
      </c>
      <c r="G209" s="73">
        <v>58.259911899999999</v>
      </c>
      <c r="H209" s="72">
        <f t="shared" si="1"/>
        <v>3410.9999995320004</v>
      </c>
    </row>
    <row r="210" spans="1:8">
      <c r="A210" s="70">
        <v>50301</v>
      </c>
      <c r="B210" s="74" t="s">
        <v>271</v>
      </c>
      <c r="C210" s="72">
        <v>33563</v>
      </c>
      <c r="D210" s="73">
        <v>37.672436900000001</v>
      </c>
      <c r="E210" s="72">
        <f t="shared" si="0"/>
        <v>20919.000003253001</v>
      </c>
      <c r="F210" s="72">
        <v>31595</v>
      </c>
      <c r="G210" s="73">
        <v>53.517961700000001</v>
      </c>
      <c r="H210" s="72">
        <f t="shared" si="1"/>
        <v>14686.000000884997</v>
      </c>
    </row>
    <row r="211" spans="1:8">
      <c r="A211" s="70">
        <v>50302</v>
      </c>
      <c r="B211" s="74" t="s">
        <v>272</v>
      </c>
      <c r="C211" s="72">
        <v>9762</v>
      </c>
      <c r="D211" s="73">
        <v>24.626101200000001</v>
      </c>
      <c r="E211" s="72">
        <f t="shared" si="0"/>
        <v>7358.000000856</v>
      </c>
      <c r="F211" s="72">
        <v>9115</v>
      </c>
      <c r="G211" s="73">
        <v>44.530992900000001</v>
      </c>
      <c r="H211" s="72">
        <f t="shared" si="1"/>
        <v>5055.9999971649995</v>
      </c>
    </row>
    <row r="212" spans="1:8">
      <c r="A212" s="70">
        <v>50303</v>
      </c>
      <c r="B212" s="74" t="s">
        <v>273</v>
      </c>
      <c r="C212" s="72">
        <v>11671</v>
      </c>
      <c r="D212" s="73">
        <v>8.7653157000000004</v>
      </c>
      <c r="E212" s="72">
        <f t="shared" si="0"/>
        <v>10648.000004653</v>
      </c>
      <c r="F212" s="72">
        <v>14287</v>
      </c>
      <c r="G212" s="73">
        <v>13.599776</v>
      </c>
      <c r="H212" s="72">
        <f t="shared" si="1"/>
        <v>12344.00000288</v>
      </c>
    </row>
    <row r="213" spans="1:8">
      <c r="A213" s="70">
        <v>50401</v>
      </c>
      <c r="B213" s="74" t="s">
        <v>274</v>
      </c>
      <c r="C213" s="72">
        <v>15006</v>
      </c>
      <c r="D213" s="73">
        <v>33.180061299999998</v>
      </c>
      <c r="E213" s="72">
        <f t="shared" si="0"/>
        <v>10027.000001322001</v>
      </c>
      <c r="F213" s="72">
        <v>15920</v>
      </c>
      <c r="G213" s="73">
        <v>40.527638199999998</v>
      </c>
      <c r="H213" s="72">
        <f t="shared" si="1"/>
        <v>9467.9999985600007</v>
      </c>
    </row>
    <row r="214" spans="1:8">
      <c r="A214" s="70">
        <v>50402</v>
      </c>
      <c r="B214" s="74" t="s">
        <v>275</v>
      </c>
      <c r="C214" s="72">
        <v>20962</v>
      </c>
      <c r="D214" s="73">
        <v>10.256654899999999</v>
      </c>
      <c r="E214" s="72">
        <f t="shared" si="0"/>
        <v>18811.999999862001</v>
      </c>
      <c r="F214" s="72">
        <v>16774</v>
      </c>
      <c r="G214" s="73">
        <v>13.4553476</v>
      </c>
      <c r="H214" s="72">
        <f t="shared" si="1"/>
        <v>14516.999993575999</v>
      </c>
    </row>
    <row r="215" spans="1:8">
      <c r="A215" s="70">
        <v>50403</v>
      </c>
      <c r="B215" s="74" t="s">
        <v>276</v>
      </c>
      <c r="C215" s="72">
        <v>26113</v>
      </c>
      <c r="D215" s="73">
        <v>14.272584500000001</v>
      </c>
      <c r="E215" s="72">
        <f t="shared" si="0"/>
        <v>22386.000009514999</v>
      </c>
      <c r="F215" s="72">
        <v>32403</v>
      </c>
      <c r="G215" s="73">
        <v>25.8000802</v>
      </c>
      <c r="H215" s="72">
        <f t="shared" si="1"/>
        <v>24043.000012794</v>
      </c>
    </row>
    <row r="216" spans="1:8">
      <c r="A216" s="70">
        <v>50404</v>
      </c>
      <c r="B216" s="74" t="s">
        <v>277</v>
      </c>
      <c r="C216" s="72">
        <v>15990</v>
      </c>
      <c r="D216" s="73">
        <v>13.158223899999999</v>
      </c>
      <c r="E216" s="72">
        <f t="shared" si="0"/>
        <v>13885.99999839</v>
      </c>
      <c r="F216" s="72">
        <v>14405</v>
      </c>
      <c r="G216" s="73">
        <v>16.2096494</v>
      </c>
      <c r="H216" s="72">
        <f t="shared" si="1"/>
        <v>12070.000003929999</v>
      </c>
    </row>
    <row r="217" spans="1:8">
      <c r="A217" s="70">
        <v>50405</v>
      </c>
      <c r="B217" s="74" t="s">
        <v>278</v>
      </c>
      <c r="C217" s="72">
        <v>19762</v>
      </c>
      <c r="D217" s="73">
        <v>15.6866714</v>
      </c>
      <c r="E217" s="72">
        <f t="shared" si="0"/>
        <v>16661.999997931998</v>
      </c>
      <c r="F217" s="72">
        <v>20850</v>
      </c>
      <c r="G217" s="73">
        <v>34.0815348</v>
      </c>
      <c r="H217" s="72">
        <f t="shared" si="1"/>
        <v>13743.999994199999</v>
      </c>
    </row>
    <row r="218" spans="1:8">
      <c r="A218" s="70">
        <v>50501</v>
      </c>
      <c r="B218" s="74" t="s">
        <v>280</v>
      </c>
      <c r="C218" s="72">
        <v>29744</v>
      </c>
      <c r="D218" s="73">
        <v>10.906401300000001</v>
      </c>
      <c r="E218" s="72">
        <f t="shared" si="0"/>
        <v>26499.999997327999</v>
      </c>
      <c r="F218" s="72">
        <v>28240</v>
      </c>
      <c r="G218" s="73">
        <v>17.046742200000001</v>
      </c>
      <c r="H218" s="72">
        <f t="shared" si="1"/>
        <v>23426.00000272</v>
      </c>
    </row>
    <row r="219" spans="1:8">
      <c r="A219" s="70">
        <v>50502</v>
      </c>
      <c r="B219" s="74" t="s">
        <v>281</v>
      </c>
      <c r="C219" s="72">
        <v>10677</v>
      </c>
      <c r="D219" s="73">
        <v>14.6202117</v>
      </c>
      <c r="E219" s="72">
        <f t="shared" si="0"/>
        <v>9115.9999967910007</v>
      </c>
      <c r="F219" s="72">
        <v>10552</v>
      </c>
      <c r="G219" s="73">
        <v>28.506444299999998</v>
      </c>
      <c r="H219" s="72">
        <f t="shared" si="1"/>
        <v>7543.9999974639995</v>
      </c>
    </row>
    <row r="220" spans="1:8">
      <c r="A220" s="70">
        <v>50601</v>
      </c>
      <c r="B220" s="74" t="s">
        <v>283</v>
      </c>
      <c r="C220" s="72">
        <v>31296</v>
      </c>
      <c r="D220" s="73">
        <v>33.7359407</v>
      </c>
      <c r="E220" s="72">
        <f t="shared" si="0"/>
        <v>20737.999998528001</v>
      </c>
      <c r="F220" s="72">
        <v>28940</v>
      </c>
      <c r="G220" s="73">
        <v>40.870767100000002</v>
      </c>
      <c r="H220" s="72">
        <f t="shared" si="1"/>
        <v>17112.000001259999</v>
      </c>
    </row>
    <row r="221" spans="1:8">
      <c r="A221" s="70">
        <v>50602</v>
      </c>
      <c r="B221" s="74" t="s">
        <v>284</v>
      </c>
      <c r="C221" s="72">
        <v>10474</v>
      </c>
      <c r="D221" s="73">
        <v>17.242696200000001</v>
      </c>
      <c r="E221" s="72">
        <f t="shared" si="0"/>
        <v>8668.0000000119999</v>
      </c>
      <c r="F221" s="72">
        <v>10051</v>
      </c>
      <c r="G221" s="73">
        <v>30.4248333</v>
      </c>
      <c r="H221" s="72">
        <f t="shared" si="1"/>
        <v>6993.0000050170001</v>
      </c>
    </row>
    <row r="222" spans="1:8">
      <c r="A222" s="70">
        <v>50701</v>
      </c>
      <c r="B222" s="74" t="s">
        <v>286</v>
      </c>
      <c r="C222" s="72">
        <v>19320</v>
      </c>
      <c r="D222" s="73">
        <v>15.967908899999999</v>
      </c>
      <c r="E222" s="72">
        <f t="shared" si="0"/>
        <v>16235.00000052</v>
      </c>
      <c r="F222" s="72">
        <v>17091</v>
      </c>
      <c r="G222" s="73">
        <v>30.045052999999999</v>
      </c>
      <c r="H222" s="72">
        <f t="shared" si="1"/>
        <v>11955.999991770001</v>
      </c>
    </row>
    <row r="223" spans="1:8">
      <c r="A223" s="70">
        <v>50702</v>
      </c>
      <c r="B223" s="74" t="s">
        <v>287</v>
      </c>
      <c r="C223" s="72">
        <v>8635</v>
      </c>
      <c r="D223" s="73">
        <v>12.0787493</v>
      </c>
      <c r="E223" s="72">
        <f t="shared" si="0"/>
        <v>7591.9999979450004</v>
      </c>
      <c r="F223" s="72">
        <v>8392</v>
      </c>
      <c r="G223" s="73">
        <v>18.779790299999998</v>
      </c>
      <c r="H223" s="72">
        <f t="shared" si="1"/>
        <v>6815.999998024</v>
      </c>
    </row>
    <row r="224" spans="1:8">
      <c r="A224" s="70">
        <v>50801</v>
      </c>
      <c r="B224" s="74" t="s">
        <v>289</v>
      </c>
      <c r="C224" s="72">
        <v>43474</v>
      </c>
      <c r="D224" s="73">
        <v>73.499102899999997</v>
      </c>
      <c r="E224" s="72">
        <f t="shared" si="0"/>
        <v>11521.000005253998</v>
      </c>
      <c r="F224" s="72">
        <v>44192</v>
      </c>
      <c r="G224" s="73">
        <v>82.886042700000004</v>
      </c>
      <c r="H224" s="72">
        <f t="shared" si="1"/>
        <v>7563.0000100159959</v>
      </c>
    </row>
    <row r="225" spans="1:8">
      <c r="A225" s="70">
        <v>50802</v>
      </c>
      <c r="B225" s="74" t="s">
        <v>290</v>
      </c>
      <c r="C225" s="72">
        <v>10865</v>
      </c>
      <c r="D225" s="73">
        <v>94.578923099999997</v>
      </c>
      <c r="E225" s="72">
        <f t="shared" si="0"/>
        <v>589.00000518500019</v>
      </c>
      <c r="F225" s="72">
        <v>9361</v>
      </c>
      <c r="G225" s="73">
        <v>95.812413199999995</v>
      </c>
      <c r="H225" s="72">
        <f t="shared" si="1"/>
        <v>392.00000034800178</v>
      </c>
    </row>
    <row r="226" spans="1:8">
      <c r="A226" s="70">
        <v>50901</v>
      </c>
      <c r="B226" s="74" t="s">
        <v>292</v>
      </c>
      <c r="C226" s="72">
        <v>11068</v>
      </c>
      <c r="D226" s="73">
        <v>50.777014800000003</v>
      </c>
      <c r="E226" s="72">
        <f t="shared" si="0"/>
        <v>5448.0000019359986</v>
      </c>
      <c r="F226" s="72">
        <v>10906</v>
      </c>
      <c r="G226" s="73">
        <v>82.450027500000004</v>
      </c>
      <c r="H226" s="72">
        <f t="shared" si="1"/>
        <v>1914.0000008499992</v>
      </c>
    </row>
    <row r="227" spans="1:8">
      <c r="A227" s="70">
        <v>50902</v>
      </c>
      <c r="B227" s="74" t="s">
        <v>293</v>
      </c>
      <c r="C227" s="72">
        <v>995</v>
      </c>
      <c r="D227" s="73">
        <v>40.3015075</v>
      </c>
      <c r="E227" s="72">
        <f t="shared" si="0"/>
        <v>594.00000037500001</v>
      </c>
      <c r="F227" s="72">
        <v>1501</v>
      </c>
      <c r="G227" s="73">
        <v>75.616255800000005</v>
      </c>
      <c r="H227" s="72">
        <f t="shared" si="1"/>
        <v>366.00000044199987</v>
      </c>
    </row>
    <row r="228" spans="1:8">
      <c r="A228" s="70">
        <v>51001</v>
      </c>
      <c r="B228" s="74" t="s">
        <v>295</v>
      </c>
      <c r="C228" s="72">
        <v>2951</v>
      </c>
      <c r="D228" s="73">
        <v>21.1792613</v>
      </c>
      <c r="E228" s="72">
        <f t="shared" si="0"/>
        <v>2325.9999990370002</v>
      </c>
      <c r="F228" s="72">
        <v>2885</v>
      </c>
      <c r="G228" s="73">
        <v>47.764298099999998</v>
      </c>
      <c r="H228" s="72">
        <f t="shared" si="1"/>
        <v>1506.9999998150001</v>
      </c>
    </row>
    <row r="229" spans="1:8">
      <c r="A229" s="70">
        <v>51002</v>
      </c>
      <c r="B229" s="74" t="s">
        <v>296</v>
      </c>
      <c r="C229" s="72">
        <v>1175</v>
      </c>
      <c r="D229" s="73">
        <v>5.7021277000000001</v>
      </c>
      <c r="E229" s="72">
        <f t="shared" si="0"/>
        <v>1107.999999525</v>
      </c>
      <c r="F229" s="72">
        <v>960</v>
      </c>
      <c r="G229" s="73">
        <v>31.4583333</v>
      </c>
      <c r="H229" s="72">
        <f t="shared" si="1"/>
        <v>658.00000032000003</v>
      </c>
    </row>
    <row r="230" spans="1:8">
      <c r="A230" s="70">
        <v>51003</v>
      </c>
      <c r="B230" s="74" t="s">
        <v>297</v>
      </c>
      <c r="C230" s="72">
        <v>2231</v>
      </c>
      <c r="D230" s="73">
        <v>26.221425400000001</v>
      </c>
      <c r="E230" s="72">
        <f t="shared" si="0"/>
        <v>1645.9999993259999</v>
      </c>
      <c r="F230" s="72">
        <v>1870</v>
      </c>
      <c r="G230" s="73">
        <v>44.759358300000002</v>
      </c>
      <c r="H230" s="72">
        <f t="shared" si="1"/>
        <v>1032.9999997899999</v>
      </c>
    </row>
    <row r="231" spans="1:8">
      <c r="A231" s="70">
        <v>51101</v>
      </c>
      <c r="B231" s="74" t="s">
        <v>299</v>
      </c>
      <c r="C231" s="72">
        <v>21710</v>
      </c>
      <c r="D231" s="73">
        <v>28.604329799999999</v>
      </c>
      <c r="E231" s="72">
        <f t="shared" si="0"/>
        <v>15500.000000420001</v>
      </c>
      <c r="F231" s="72">
        <v>16167</v>
      </c>
      <c r="G231" s="73">
        <v>46.799035099999998</v>
      </c>
      <c r="H231" s="72">
        <f t="shared" si="1"/>
        <v>8600.9999953830011</v>
      </c>
    </row>
    <row r="232" spans="1:8">
      <c r="A232" s="70">
        <v>51102</v>
      </c>
      <c r="B232" s="74" t="s">
        <v>300</v>
      </c>
      <c r="C232" s="72">
        <v>11704</v>
      </c>
      <c r="D232" s="73">
        <v>45.104237900000001</v>
      </c>
      <c r="E232" s="72">
        <f t="shared" si="0"/>
        <v>6424.9999961840003</v>
      </c>
      <c r="F232" s="72">
        <v>12535</v>
      </c>
      <c r="G232" s="73">
        <v>66.820901500000005</v>
      </c>
      <c r="H232" s="72">
        <f t="shared" si="1"/>
        <v>4158.9999969749988</v>
      </c>
    </row>
    <row r="233" spans="1:8">
      <c r="A233" s="70">
        <v>51103</v>
      </c>
      <c r="B233" s="74" t="s">
        <v>301</v>
      </c>
      <c r="C233" s="72">
        <v>15658</v>
      </c>
      <c r="D233" s="73">
        <v>12.0768936</v>
      </c>
      <c r="E233" s="72">
        <f t="shared" si="0"/>
        <v>13767.000000112001</v>
      </c>
      <c r="F233" s="72">
        <v>14258</v>
      </c>
      <c r="G233" s="73">
        <v>17.8636555</v>
      </c>
      <c r="H233" s="72">
        <f t="shared" si="1"/>
        <v>11710.999998809999</v>
      </c>
    </row>
    <row r="234" spans="1:8">
      <c r="A234" s="70">
        <v>51201</v>
      </c>
      <c r="B234" s="74" t="s">
        <v>303</v>
      </c>
      <c r="C234" s="72">
        <v>28477</v>
      </c>
      <c r="D234" s="73">
        <v>78.659971200000001</v>
      </c>
      <c r="E234" s="72">
        <f t="shared" si="0"/>
        <v>6077.000001376</v>
      </c>
      <c r="F234" s="72">
        <v>33598</v>
      </c>
      <c r="G234" s="73">
        <v>92.5471754</v>
      </c>
      <c r="H234" s="72">
        <f t="shared" si="1"/>
        <v>2504.0000091080001</v>
      </c>
    </row>
    <row r="235" spans="1:8">
      <c r="A235" s="70">
        <v>51202</v>
      </c>
      <c r="B235" s="74" t="s">
        <v>304</v>
      </c>
      <c r="C235" s="72">
        <v>8705</v>
      </c>
      <c r="D235" s="73">
        <v>30.3159104</v>
      </c>
      <c r="E235" s="72">
        <f t="shared" si="0"/>
        <v>6065.9999996799997</v>
      </c>
      <c r="F235" s="72">
        <v>7759</v>
      </c>
      <c r="G235" s="73">
        <v>56.038149199999999</v>
      </c>
      <c r="H235" s="72">
        <f t="shared" si="1"/>
        <v>3411.0000035720004</v>
      </c>
    </row>
    <row r="236" spans="1:8">
      <c r="A236" s="70">
        <v>51203</v>
      </c>
      <c r="B236" s="74" t="s">
        <v>305</v>
      </c>
      <c r="C236" s="72">
        <v>10640</v>
      </c>
      <c r="D236" s="73">
        <v>79.135338300000001</v>
      </c>
      <c r="E236" s="72">
        <f t="shared" si="0"/>
        <v>2220.0000048799993</v>
      </c>
      <c r="F236" s="72">
        <v>14321</v>
      </c>
      <c r="G236" s="73">
        <v>86.006563799999995</v>
      </c>
      <c r="H236" s="72">
        <f t="shared" si="1"/>
        <v>2003.9999982020017</v>
      </c>
    </row>
    <row r="237" spans="1:8">
      <c r="A237" s="70">
        <v>51204</v>
      </c>
      <c r="B237" s="74" t="s">
        <v>306</v>
      </c>
      <c r="C237" s="72">
        <v>5846</v>
      </c>
      <c r="D237" s="73">
        <v>32.535066700000002</v>
      </c>
      <c r="E237" s="72">
        <f t="shared" si="0"/>
        <v>3944.0000007179997</v>
      </c>
      <c r="F237" s="72">
        <v>5721</v>
      </c>
      <c r="G237" s="73">
        <v>48.505505999999997</v>
      </c>
      <c r="H237" s="72">
        <f t="shared" si="1"/>
        <v>2946.0000017400002</v>
      </c>
    </row>
    <row r="238" spans="1:8">
      <c r="A238" s="70">
        <v>51301</v>
      </c>
      <c r="B238" s="74" t="s">
        <v>308</v>
      </c>
      <c r="C238" s="72">
        <v>4107</v>
      </c>
      <c r="D238" s="73">
        <v>11.468225</v>
      </c>
      <c r="E238" s="72">
        <f t="shared" si="0"/>
        <v>3635.9999992500002</v>
      </c>
      <c r="F238" s="72">
        <v>3652</v>
      </c>
      <c r="G238" s="73">
        <v>16.730558599999998</v>
      </c>
      <c r="H238" s="72">
        <f t="shared" si="1"/>
        <v>3040.9999999279999</v>
      </c>
    </row>
    <row r="239" spans="1:8">
      <c r="A239" s="70">
        <v>51302</v>
      </c>
      <c r="B239" s="74" t="s">
        <v>309</v>
      </c>
      <c r="C239" s="72">
        <v>6088</v>
      </c>
      <c r="D239" s="73">
        <v>17.920499299999999</v>
      </c>
      <c r="E239" s="72">
        <f t="shared" si="0"/>
        <v>4997.0000026159996</v>
      </c>
      <c r="F239" s="72">
        <v>4385</v>
      </c>
      <c r="G239" s="73">
        <v>24.583808399999999</v>
      </c>
      <c r="H239" s="72">
        <f t="shared" si="1"/>
        <v>3307.0000016600002</v>
      </c>
    </row>
    <row r="240" spans="1:8">
      <c r="A240" s="70">
        <v>51401</v>
      </c>
      <c r="B240" s="74" t="s">
        <v>311</v>
      </c>
      <c r="C240" s="72">
        <v>3980</v>
      </c>
      <c r="D240" s="73">
        <v>34.045226100000001</v>
      </c>
      <c r="E240" s="72">
        <f t="shared" si="0"/>
        <v>2625.0000012199998</v>
      </c>
      <c r="F240" s="72">
        <v>4036</v>
      </c>
      <c r="G240" s="73">
        <v>75.891972199999998</v>
      </c>
      <c r="H240" s="72">
        <f t="shared" si="1"/>
        <v>973.00000200800014</v>
      </c>
    </row>
    <row r="241" spans="1:8">
      <c r="A241" s="70">
        <v>51402</v>
      </c>
      <c r="B241" s="74" t="s">
        <v>312</v>
      </c>
      <c r="C241" s="72">
        <v>1664</v>
      </c>
      <c r="D241" s="73">
        <v>48.137019199999997</v>
      </c>
      <c r="E241" s="72">
        <f t="shared" si="0"/>
        <v>863.00000051200004</v>
      </c>
      <c r="F241" s="72">
        <v>1529</v>
      </c>
      <c r="G241" s="73">
        <v>76.128188399999999</v>
      </c>
      <c r="H241" s="72">
        <f t="shared" si="1"/>
        <v>364.99999936400013</v>
      </c>
    </row>
    <row r="242" spans="1:8">
      <c r="A242" s="70">
        <v>51501</v>
      </c>
      <c r="B242" s="74" t="s">
        <v>314</v>
      </c>
      <c r="C242" s="72">
        <v>43444</v>
      </c>
      <c r="D242" s="73">
        <v>83.6893472</v>
      </c>
      <c r="E242" s="72">
        <f t="shared" si="0"/>
        <v>7086.0000024320034</v>
      </c>
      <c r="F242" s="72">
        <v>47942</v>
      </c>
      <c r="G242" s="73">
        <v>91.439656299999996</v>
      </c>
      <c r="H242" s="72">
        <f t="shared" si="1"/>
        <v>4103.9999766540059</v>
      </c>
    </row>
    <row r="243" spans="1:8">
      <c r="A243" s="70">
        <v>51601</v>
      </c>
      <c r="B243" s="74" t="s">
        <v>316</v>
      </c>
      <c r="C243" s="72">
        <v>1643</v>
      </c>
      <c r="D243" s="73">
        <v>11.442483299999999</v>
      </c>
      <c r="E243" s="72">
        <f t="shared" si="0"/>
        <v>1454.999999381</v>
      </c>
      <c r="F243" s="72">
        <v>2032</v>
      </c>
      <c r="G243" s="73">
        <v>65.600393699999998</v>
      </c>
      <c r="H243" s="72">
        <f t="shared" si="1"/>
        <v>699.00000001600006</v>
      </c>
    </row>
    <row r="244" spans="1:8">
      <c r="A244" s="70">
        <v>60101</v>
      </c>
      <c r="B244" s="74" t="s">
        <v>317</v>
      </c>
      <c r="C244" s="72">
        <v>197097</v>
      </c>
      <c r="D244" s="73">
        <v>91.996834000000007</v>
      </c>
      <c r="E244" s="72">
        <f t="shared" si="0"/>
        <v>15774.000091019989</v>
      </c>
      <c r="F244" s="72">
        <v>231979</v>
      </c>
      <c r="G244" s="73">
        <v>95.906525999999999</v>
      </c>
      <c r="H244" s="72">
        <f t="shared" si="1"/>
        <v>9496.0000504599884</v>
      </c>
    </row>
    <row r="245" spans="1:8">
      <c r="A245" s="70">
        <v>60201</v>
      </c>
      <c r="B245" s="74" t="s">
        <v>319</v>
      </c>
      <c r="C245" s="72">
        <v>18152</v>
      </c>
      <c r="D245" s="73">
        <v>32.106654900000002</v>
      </c>
      <c r="E245" s="72">
        <f t="shared" si="0"/>
        <v>12324.000002551998</v>
      </c>
      <c r="F245" s="72">
        <v>17547</v>
      </c>
      <c r="G245" s="73">
        <v>55.667635500000003</v>
      </c>
      <c r="H245" s="72">
        <f t="shared" si="1"/>
        <v>7778.9999988149993</v>
      </c>
    </row>
    <row r="246" spans="1:8">
      <c r="A246" s="70">
        <v>60202</v>
      </c>
      <c r="B246" s="74" t="s">
        <v>320</v>
      </c>
      <c r="C246" s="72">
        <v>32610</v>
      </c>
      <c r="D246" s="73">
        <v>91.343146300000001</v>
      </c>
      <c r="E246" s="72">
        <f t="shared" si="0"/>
        <v>2822.9999915699991</v>
      </c>
      <c r="F246" s="72">
        <v>35841</v>
      </c>
      <c r="G246" s="73">
        <v>97.120616100000007</v>
      </c>
      <c r="H246" s="72">
        <f t="shared" si="1"/>
        <v>1031.999983599002</v>
      </c>
    </row>
    <row r="247" spans="1:8">
      <c r="A247" s="70">
        <v>60301</v>
      </c>
      <c r="B247" s="74" t="s">
        <v>322</v>
      </c>
      <c r="C247" s="72">
        <v>87069</v>
      </c>
      <c r="D247" s="73">
        <v>83.555570900000006</v>
      </c>
      <c r="E247" s="72">
        <f t="shared" si="0"/>
        <v>14317.999973078986</v>
      </c>
      <c r="F247" s="72">
        <v>94320</v>
      </c>
      <c r="G247" s="73">
        <v>90.807888000000005</v>
      </c>
      <c r="H247" s="72">
        <f t="shared" si="1"/>
        <v>8670.0000384000014</v>
      </c>
    </row>
    <row r="248" spans="1:8">
      <c r="A248" s="70">
        <v>60302</v>
      </c>
      <c r="B248" s="74" t="s">
        <v>323</v>
      </c>
      <c r="C248" s="72">
        <v>13014</v>
      </c>
      <c r="D248" s="73">
        <v>47.571845699999997</v>
      </c>
      <c r="E248" s="72">
        <f t="shared" si="0"/>
        <v>6823.000000602</v>
      </c>
      <c r="F248" s="72">
        <v>15108</v>
      </c>
      <c r="G248" s="73">
        <v>78.991262899999995</v>
      </c>
      <c r="H248" s="72">
        <f t="shared" si="1"/>
        <v>3174.0000010680014</v>
      </c>
    </row>
    <row r="249" spans="1:8">
      <c r="A249" s="70">
        <v>60303</v>
      </c>
      <c r="B249" s="74" t="s">
        <v>324</v>
      </c>
      <c r="C249" s="72">
        <v>37291</v>
      </c>
      <c r="D249" s="73">
        <v>75.980799700000006</v>
      </c>
      <c r="E249" s="72">
        <f t="shared" si="0"/>
        <v>8956.999983873</v>
      </c>
      <c r="F249" s="72">
        <v>44284</v>
      </c>
      <c r="G249" s="73">
        <v>80.875711300000006</v>
      </c>
      <c r="H249" s="72">
        <f t="shared" si="1"/>
        <v>8469.0000079079982</v>
      </c>
    </row>
    <row r="250" spans="1:8">
      <c r="A250" s="70">
        <v>60401</v>
      </c>
      <c r="B250" s="74" t="s">
        <v>326</v>
      </c>
      <c r="C250" s="72">
        <v>14475</v>
      </c>
      <c r="D250" s="73">
        <v>47.274611399999998</v>
      </c>
      <c r="E250" s="72">
        <f t="shared" si="0"/>
        <v>7631.9999998499998</v>
      </c>
      <c r="F250" s="72">
        <v>15811</v>
      </c>
      <c r="G250" s="73">
        <v>68.970969600000004</v>
      </c>
      <c r="H250" s="72">
        <f t="shared" si="1"/>
        <v>4905.9999965440002</v>
      </c>
    </row>
    <row r="251" spans="1:8">
      <c r="A251" s="70">
        <v>60402</v>
      </c>
      <c r="B251" s="74" t="s">
        <v>327</v>
      </c>
      <c r="C251" s="72">
        <v>5186</v>
      </c>
      <c r="D251" s="73">
        <v>22.329348199999998</v>
      </c>
      <c r="E251" s="72">
        <f t="shared" si="0"/>
        <v>4028.0000023479997</v>
      </c>
      <c r="F251" s="72">
        <v>4714</v>
      </c>
      <c r="G251" s="73">
        <v>43.848112</v>
      </c>
      <c r="H251" s="72">
        <f t="shared" si="1"/>
        <v>2647.0000003199998</v>
      </c>
    </row>
    <row r="252" spans="1:8">
      <c r="A252" s="70">
        <v>60501</v>
      </c>
      <c r="B252" s="74" t="s">
        <v>329</v>
      </c>
      <c r="C252" s="72">
        <v>23156</v>
      </c>
      <c r="D252" s="73">
        <v>57.6913111</v>
      </c>
      <c r="E252" s="72">
        <f t="shared" si="0"/>
        <v>9797.0000016840004</v>
      </c>
      <c r="F252" s="72">
        <v>30113</v>
      </c>
      <c r="G252" s="73">
        <v>81.572742700000006</v>
      </c>
      <c r="H252" s="72">
        <f t="shared" si="1"/>
        <v>5548.9999907489982</v>
      </c>
    </row>
    <row r="253" spans="1:8">
      <c r="A253" s="70">
        <v>60502</v>
      </c>
      <c r="B253" s="74" t="s">
        <v>330</v>
      </c>
      <c r="C253" s="72">
        <v>10860</v>
      </c>
      <c r="D253" s="73">
        <v>44.668508299999999</v>
      </c>
      <c r="E253" s="72">
        <f t="shared" si="0"/>
        <v>6008.99999862</v>
      </c>
      <c r="F253" s="72">
        <v>9392</v>
      </c>
      <c r="G253" s="73">
        <v>68.600937000000002</v>
      </c>
      <c r="H253" s="72">
        <f t="shared" si="1"/>
        <v>2948.9999969599994</v>
      </c>
    </row>
    <row r="254" spans="1:8">
      <c r="A254" s="70">
        <v>60601</v>
      </c>
      <c r="B254" s="74" t="s">
        <v>201</v>
      </c>
      <c r="C254" s="72">
        <v>20051</v>
      </c>
      <c r="D254" s="73">
        <v>35.8735225</v>
      </c>
      <c r="E254" s="72">
        <f t="shared" si="0"/>
        <v>12858.000003525001</v>
      </c>
      <c r="F254" s="72">
        <v>20403</v>
      </c>
      <c r="G254" s="73">
        <v>49.448610500000001</v>
      </c>
      <c r="H254" s="72">
        <f t="shared" si="1"/>
        <v>10313.999999685</v>
      </c>
    </row>
    <row r="255" spans="1:8">
      <c r="A255" s="70">
        <v>70101</v>
      </c>
      <c r="B255" s="74" t="s">
        <v>334</v>
      </c>
      <c r="C255" s="72">
        <v>1392727</v>
      </c>
      <c r="D255" s="73">
        <v>98.738446199999998</v>
      </c>
      <c r="E255" s="72">
        <f t="shared" si="0"/>
        <v>17570.000392126152</v>
      </c>
      <c r="F255" s="72">
        <v>1563479</v>
      </c>
      <c r="G255" s="73">
        <v>99.380803999999998</v>
      </c>
      <c r="H255" s="72">
        <f t="shared" si="1"/>
        <v>9680.9994288398884</v>
      </c>
    </row>
    <row r="256" spans="1:8">
      <c r="A256" s="70">
        <v>70102</v>
      </c>
      <c r="B256" s="74" t="s">
        <v>335</v>
      </c>
      <c r="C256" s="72">
        <v>54321</v>
      </c>
      <c r="D256" s="73">
        <v>86.5024576</v>
      </c>
      <c r="E256" s="72">
        <f t="shared" si="0"/>
        <v>7332.0000071039976</v>
      </c>
      <c r="F256" s="72">
        <v>105028</v>
      </c>
      <c r="G256" s="73">
        <v>95.964885600000002</v>
      </c>
      <c r="H256" s="72">
        <f t="shared" si="1"/>
        <v>4237.999952031998</v>
      </c>
    </row>
    <row r="257" spans="1:8">
      <c r="A257" s="70">
        <v>70103</v>
      </c>
      <c r="B257" s="74" t="s">
        <v>336</v>
      </c>
      <c r="C257" s="72">
        <v>15190</v>
      </c>
      <c r="D257" s="73">
        <v>56.366030299999998</v>
      </c>
      <c r="E257" s="72">
        <f t="shared" si="0"/>
        <v>6627.999997429999</v>
      </c>
      <c r="F257" s="72">
        <v>22722</v>
      </c>
      <c r="G257" s="73">
        <v>86.911363399999999</v>
      </c>
      <c r="H257" s="72">
        <f t="shared" si="1"/>
        <v>2974.0000082520019</v>
      </c>
    </row>
    <row r="258" spans="1:8">
      <c r="A258" s="70">
        <v>70104</v>
      </c>
      <c r="B258" s="74" t="s">
        <v>337</v>
      </c>
      <c r="C258" s="72">
        <v>87737</v>
      </c>
      <c r="D258" s="73">
        <v>94.599769800000004</v>
      </c>
      <c r="E258" s="72">
        <f t="shared" ref="E258:E345" si="5">C258-(C258*(D258/100))</f>
        <v>4737.9999705740047</v>
      </c>
      <c r="F258" s="72">
        <v>145751</v>
      </c>
      <c r="G258" s="73">
        <v>98.384916700000005</v>
      </c>
      <c r="H258" s="72">
        <f t="shared" ref="H258:H345" si="6">F258-(F258*(G258/100))</f>
        <v>2354.0000605829991</v>
      </c>
    </row>
    <row r="259" spans="1:8">
      <c r="A259" s="70">
        <v>70105</v>
      </c>
      <c r="B259" s="74" t="s">
        <v>338</v>
      </c>
      <c r="C259" s="72">
        <v>48759</v>
      </c>
      <c r="D259" s="73">
        <v>73.912508500000001</v>
      </c>
      <c r="E259" s="72">
        <f t="shared" si="5"/>
        <v>12719.999980485001</v>
      </c>
      <c r="F259" s="72">
        <v>54561</v>
      </c>
      <c r="G259" s="73">
        <v>87.729330500000003</v>
      </c>
      <c r="H259" s="72">
        <f t="shared" si="6"/>
        <v>6694.9999858949959</v>
      </c>
    </row>
    <row r="260" spans="1:8">
      <c r="A260" s="70">
        <v>70201</v>
      </c>
      <c r="B260" s="74" t="s">
        <v>339</v>
      </c>
      <c r="C260" s="72">
        <v>94286</v>
      </c>
      <c r="D260" s="73">
        <v>92.2321448</v>
      </c>
      <c r="E260" s="72">
        <f t="shared" si="5"/>
        <v>7323.9999538720003</v>
      </c>
      <c r="F260" s="72">
        <v>148232</v>
      </c>
      <c r="G260" s="73">
        <v>97.481650400000007</v>
      </c>
      <c r="H260" s="72">
        <f t="shared" si="6"/>
        <v>3732.9999790719885</v>
      </c>
    </row>
    <row r="261" spans="1:8">
      <c r="A261" s="70">
        <v>70202</v>
      </c>
      <c r="B261" s="74" t="s">
        <v>340</v>
      </c>
      <c r="C261" s="72">
        <v>12069</v>
      </c>
      <c r="D261" s="73">
        <v>83.544618400000004</v>
      </c>
      <c r="E261" s="72">
        <f t="shared" si="5"/>
        <v>1986.0000053040003</v>
      </c>
      <c r="F261" s="72">
        <v>10320</v>
      </c>
      <c r="G261" s="73">
        <v>94.505814000000001</v>
      </c>
      <c r="H261" s="72">
        <f t="shared" si="6"/>
        <v>566.99999519999983</v>
      </c>
    </row>
    <row r="262" spans="1:8">
      <c r="A262" s="70">
        <v>70301</v>
      </c>
      <c r="B262" s="74" t="s">
        <v>342</v>
      </c>
      <c r="C262" s="72">
        <v>50813</v>
      </c>
      <c r="D262" s="73">
        <v>37.716726000000001</v>
      </c>
      <c r="E262" s="72">
        <f t="shared" si="5"/>
        <v>31648.000017620001</v>
      </c>
      <c r="F262" s="72">
        <v>64993</v>
      </c>
      <c r="G262" s="73">
        <v>61.235825400000003</v>
      </c>
      <c r="H262" s="72">
        <f t="shared" si="6"/>
        <v>25193.999997778003</v>
      </c>
    </row>
    <row r="263" spans="1:8">
      <c r="A263" s="70">
        <v>70302</v>
      </c>
      <c r="B263" s="74" t="s">
        <v>343</v>
      </c>
      <c r="C263" s="72">
        <v>11174</v>
      </c>
      <c r="D263" s="73">
        <v>26.051548199999999</v>
      </c>
      <c r="E263" s="72">
        <f t="shared" si="5"/>
        <v>8263.000004132</v>
      </c>
      <c r="F263" s="72">
        <v>15094</v>
      </c>
      <c r="G263" s="73">
        <v>46.1706638</v>
      </c>
      <c r="H263" s="72">
        <f t="shared" si="6"/>
        <v>8125.0000060279999</v>
      </c>
    </row>
    <row r="264" spans="1:8">
      <c r="A264" s="70">
        <v>70303</v>
      </c>
      <c r="B264" s="74" t="s">
        <v>344</v>
      </c>
      <c r="C264" s="72">
        <v>5606</v>
      </c>
      <c r="D264" s="73">
        <v>38.244737800000003</v>
      </c>
      <c r="E264" s="72">
        <f t="shared" si="5"/>
        <v>3461.9999989319999</v>
      </c>
      <c r="F264" s="72">
        <v>8601</v>
      </c>
      <c r="G264" s="73">
        <v>51.214975000000003</v>
      </c>
      <c r="H264" s="72">
        <f t="shared" si="6"/>
        <v>4196.0000002499992</v>
      </c>
    </row>
    <row r="265" spans="1:8">
      <c r="A265" s="70">
        <v>70401</v>
      </c>
      <c r="B265" s="74" t="s">
        <v>346</v>
      </c>
      <c r="C265" s="72">
        <v>12490</v>
      </c>
      <c r="D265" s="73">
        <v>57.245796599999998</v>
      </c>
      <c r="E265" s="72">
        <f t="shared" si="5"/>
        <v>5340.0000046599998</v>
      </c>
      <c r="F265" s="72">
        <v>12934</v>
      </c>
      <c r="G265" s="73">
        <v>80.269058299999998</v>
      </c>
      <c r="H265" s="72">
        <f t="shared" si="6"/>
        <v>2551.999999478001</v>
      </c>
    </row>
    <row r="266" spans="1:8">
      <c r="A266" s="70">
        <v>70402</v>
      </c>
      <c r="B266" s="74" t="s">
        <v>347</v>
      </c>
      <c r="C266" s="72">
        <v>19588</v>
      </c>
      <c r="D266" s="73">
        <v>72.243210099999999</v>
      </c>
      <c r="E266" s="72">
        <f t="shared" si="5"/>
        <v>5437.0000056120007</v>
      </c>
      <c r="F266" s="72">
        <v>18595</v>
      </c>
      <c r="G266" s="73">
        <v>89.481043299999996</v>
      </c>
      <c r="H266" s="72">
        <f t="shared" si="6"/>
        <v>1955.9999983650014</v>
      </c>
    </row>
    <row r="267" spans="1:8">
      <c r="A267" s="70">
        <v>70403</v>
      </c>
      <c r="B267" s="74" t="s">
        <v>348</v>
      </c>
      <c r="C267" s="72">
        <v>48929</v>
      </c>
      <c r="D267" s="73">
        <v>66.911238699999998</v>
      </c>
      <c r="E267" s="72">
        <f t="shared" si="5"/>
        <v>16190.000016477003</v>
      </c>
      <c r="F267" s="72">
        <v>56178</v>
      </c>
      <c r="G267" s="73">
        <v>81.257787699999994</v>
      </c>
      <c r="H267" s="72">
        <f t="shared" si="6"/>
        <v>10529.000025894005</v>
      </c>
    </row>
    <row r="268" spans="1:8">
      <c r="A268" s="70">
        <v>70404</v>
      </c>
      <c r="B268" s="74" t="s">
        <v>349</v>
      </c>
      <c r="C268" s="72">
        <v>8091</v>
      </c>
      <c r="D268" s="73">
        <v>76.133976000000004</v>
      </c>
      <c r="E268" s="72">
        <f t="shared" si="5"/>
        <v>1931.0000018399996</v>
      </c>
      <c r="F268" s="72">
        <v>10087</v>
      </c>
      <c r="G268" s="73">
        <v>88.787548299999997</v>
      </c>
      <c r="H268" s="72">
        <f t="shared" si="6"/>
        <v>1131.0000029790008</v>
      </c>
    </row>
    <row r="269" spans="1:8">
      <c r="A269" s="70">
        <v>70501</v>
      </c>
      <c r="B269" s="74" t="s">
        <v>351</v>
      </c>
      <c r="C269" s="72">
        <v>21743</v>
      </c>
      <c r="D269" s="73">
        <v>78.038909099999998</v>
      </c>
      <c r="E269" s="72">
        <f t="shared" si="5"/>
        <v>4774.9999943869989</v>
      </c>
      <c r="F269" s="72">
        <v>40128</v>
      </c>
      <c r="G269" s="73">
        <v>77.649023099999994</v>
      </c>
      <c r="H269" s="72">
        <f t="shared" si="6"/>
        <v>8969.0000104320025</v>
      </c>
    </row>
    <row r="270" spans="1:8">
      <c r="A270" s="70">
        <v>70502</v>
      </c>
      <c r="B270" s="74" t="s">
        <v>352</v>
      </c>
      <c r="C270" s="72">
        <v>36157</v>
      </c>
      <c r="D270" s="73">
        <v>89.271786899999995</v>
      </c>
      <c r="E270" s="72">
        <f t="shared" si="5"/>
        <v>3879.0000105670006</v>
      </c>
      <c r="F270" s="72">
        <v>52469</v>
      </c>
      <c r="G270" s="73">
        <v>90.506775399999995</v>
      </c>
      <c r="H270" s="72">
        <f t="shared" si="6"/>
        <v>4981.0000153740039</v>
      </c>
    </row>
    <row r="271" spans="1:8">
      <c r="A271" s="70">
        <v>70503</v>
      </c>
      <c r="B271" s="74" t="s">
        <v>353</v>
      </c>
      <c r="C271" s="72">
        <v>14624</v>
      </c>
      <c r="D271" s="73">
        <v>59.4980853</v>
      </c>
      <c r="E271" s="72">
        <f t="shared" si="5"/>
        <v>5923.0000057279995</v>
      </c>
      <c r="F271" s="72">
        <v>17539</v>
      </c>
      <c r="G271" s="73">
        <v>80.722960299999997</v>
      </c>
      <c r="H271" s="72">
        <f t="shared" si="6"/>
        <v>3380.9999929829992</v>
      </c>
    </row>
    <row r="272" spans="1:8">
      <c r="A272" s="70">
        <v>70601</v>
      </c>
      <c r="B272" s="74" t="s">
        <v>355</v>
      </c>
      <c r="C272" s="72">
        <v>17370</v>
      </c>
      <c r="D272" s="73">
        <v>82.705814599999997</v>
      </c>
      <c r="E272" s="72">
        <f t="shared" si="5"/>
        <v>3004.0000039800016</v>
      </c>
      <c r="F272" s="72">
        <v>20351</v>
      </c>
      <c r="G272" s="73">
        <v>93.941329699999997</v>
      </c>
      <c r="H272" s="72">
        <f t="shared" si="6"/>
        <v>1232.9999927530007</v>
      </c>
    </row>
    <row r="273" spans="1:8">
      <c r="A273" s="70">
        <v>70602</v>
      </c>
      <c r="B273" s="74" t="s">
        <v>356</v>
      </c>
      <c r="C273" s="72">
        <v>18886</v>
      </c>
      <c r="D273" s="73">
        <v>40.050831299999999</v>
      </c>
      <c r="E273" s="72">
        <f t="shared" si="5"/>
        <v>11322.000000682001</v>
      </c>
      <c r="F273" s="72">
        <v>17569</v>
      </c>
      <c r="G273" s="73">
        <v>74.9672719</v>
      </c>
      <c r="H273" s="72">
        <f t="shared" si="6"/>
        <v>4397.9999998889998</v>
      </c>
    </row>
    <row r="274" spans="1:8">
      <c r="A274" s="70">
        <v>70603</v>
      </c>
      <c r="B274" s="74" t="s">
        <v>357</v>
      </c>
      <c r="C274" s="72">
        <v>5955</v>
      </c>
      <c r="D274" s="73">
        <v>84.550797599999996</v>
      </c>
      <c r="E274" s="72">
        <f t="shared" si="5"/>
        <v>920.00000292000004</v>
      </c>
      <c r="F274" s="72">
        <v>5923</v>
      </c>
      <c r="G274" s="73">
        <v>92.942765499999993</v>
      </c>
      <c r="H274" s="72">
        <f t="shared" si="6"/>
        <v>417.99999943500097</v>
      </c>
    </row>
    <row r="275" spans="1:8">
      <c r="A275" s="70">
        <v>70701</v>
      </c>
      <c r="B275" s="74" t="s">
        <v>359</v>
      </c>
      <c r="C275" s="72">
        <v>5061</v>
      </c>
      <c r="D275" s="73">
        <v>23.888559600000001</v>
      </c>
      <c r="E275" s="72">
        <f t="shared" si="5"/>
        <v>3851.9999986439998</v>
      </c>
      <c r="F275" s="72">
        <v>5728</v>
      </c>
      <c r="G275" s="73">
        <v>41.969273700000002</v>
      </c>
      <c r="H275" s="72">
        <f t="shared" si="6"/>
        <v>3324.0000024639999</v>
      </c>
    </row>
    <row r="276" spans="1:8">
      <c r="A276" s="70">
        <v>70702</v>
      </c>
      <c r="B276" s="74" t="s">
        <v>360</v>
      </c>
      <c r="C276" s="72">
        <v>30923</v>
      </c>
      <c r="D276" s="73">
        <v>42.799857699999997</v>
      </c>
      <c r="E276" s="72">
        <f t="shared" si="5"/>
        <v>17688.000003428999</v>
      </c>
      <c r="F276" s="72">
        <v>37705</v>
      </c>
      <c r="G276" s="73">
        <v>50.523803200000003</v>
      </c>
      <c r="H276" s="72">
        <f t="shared" si="6"/>
        <v>18655.000003439996</v>
      </c>
    </row>
    <row r="277" spans="1:8">
      <c r="A277" s="70">
        <v>70703</v>
      </c>
      <c r="B277" s="74" t="s">
        <v>361</v>
      </c>
      <c r="C277" s="72">
        <v>24923</v>
      </c>
      <c r="D277" s="73">
        <v>66.320266399999994</v>
      </c>
      <c r="E277" s="72">
        <f t="shared" si="5"/>
        <v>8394.0000051280003</v>
      </c>
      <c r="F277" s="72">
        <v>31529</v>
      </c>
      <c r="G277" s="73">
        <v>82.451076799999996</v>
      </c>
      <c r="H277" s="72">
        <f t="shared" si="6"/>
        <v>5532.9999957280015</v>
      </c>
    </row>
    <row r="278" spans="1:8">
      <c r="A278" s="70">
        <v>70704</v>
      </c>
      <c r="B278" s="74" t="s">
        <v>362</v>
      </c>
      <c r="C278" s="72">
        <v>4763</v>
      </c>
      <c r="D278" s="73">
        <v>44.236825500000002</v>
      </c>
      <c r="E278" s="72">
        <f t="shared" si="5"/>
        <v>2656.0000014349998</v>
      </c>
      <c r="F278" s="72">
        <v>4986</v>
      </c>
      <c r="G278" s="73">
        <v>57.440834299999999</v>
      </c>
      <c r="H278" s="72">
        <f t="shared" si="6"/>
        <v>2122.000001802</v>
      </c>
    </row>
    <row r="279" spans="1:8">
      <c r="A279" s="70">
        <v>70705</v>
      </c>
      <c r="B279" s="74" t="s">
        <v>363</v>
      </c>
      <c r="C279" s="72">
        <v>11852</v>
      </c>
      <c r="D279" s="73">
        <v>13.8288896</v>
      </c>
      <c r="E279" s="72">
        <f t="shared" si="5"/>
        <v>10213.000004608</v>
      </c>
      <c r="F279" s="72">
        <v>14167</v>
      </c>
      <c r="G279" s="73">
        <v>30.182819200000001</v>
      </c>
      <c r="H279" s="72">
        <f t="shared" si="6"/>
        <v>9891.0000039360002</v>
      </c>
    </row>
    <row r="280" spans="1:8">
      <c r="A280" s="70">
        <v>70706</v>
      </c>
      <c r="B280" s="74" t="s">
        <v>364</v>
      </c>
      <c r="C280" s="72">
        <v>32607</v>
      </c>
      <c r="D280" s="73">
        <v>88.309258700000001</v>
      </c>
      <c r="E280" s="72">
        <f t="shared" si="5"/>
        <v>3812.0000156909991</v>
      </c>
      <c r="F280" s="72">
        <v>31301</v>
      </c>
      <c r="G280" s="73">
        <v>89.061052399999994</v>
      </c>
      <c r="H280" s="72">
        <f t="shared" si="6"/>
        <v>3423.9999882760021</v>
      </c>
    </row>
    <row r="281" spans="1:8">
      <c r="A281" s="70">
        <v>70707</v>
      </c>
      <c r="B281" s="74" t="s">
        <v>365</v>
      </c>
      <c r="C281" s="72">
        <v>4885</v>
      </c>
      <c r="D281" s="73">
        <v>48.884339799999999</v>
      </c>
      <c r="E281" s="72">
        <f t="shared" si="5"/>
        <v>2497.00000077</v>
      </c>
      <c r="F281" s="72">
        <v>5245</v>
      </c>
      <c r="G281" s="73">
        <v>79.199237400000001</v>
      </c>
      <c r="H281" s="72">
        <f t="shared" si="6"/>
        <v>1090.99999837</v>
      </c>
    </row>
    <row r="282" spans="1:8">
      <c r="A282" s="70">
        <v>70801</v>
      </c>
      <c r="B282" s="74" t="s">
        <v>367</v>
      </c>
      <c r="C282" s="72">
        <v>16707</v>
      </c>
      <c r="D282" s="73">
        <v>64.906925200000003</v>
      </c>
      <c r="E282" s="72">
        <f t="shared" si="5"/>
        <v>5863.0000068360005</v>
      </c>
      <c r="F282" s="72">
        <v>16728</v>
      </c>
      <c r="G282" s="73">
        <v>75.824964100000003</v>
      </c>
      <c r="H282" s="72">
        <f t="shared" si="6"/>
        <v>4044.0000053519998</v>
      </c>
    </row>
    <row r="283" spans="1:8">
      <c r="A283" s="70">
        <v>70802</v>
      </c>
      <c r="B283" s="74" t="s">
        <v>368</v>
      </c>
      <c r="C283" s="72">
        <v>2067</v>
      </c>
      <c r="D283" s="73">
        <v>47.701983599999998</v>
      </c>
      <c r="E283" s="72">
        <f t="shared" si="5"/>
        <v>1080.999998988</v>
      </c>
      <c r="F283" s="72">
        <v>2350</v>
      </c>
      <c r="G283" s="73">
        <v>79.276595700000001</v>
      </c>
      <c r="H283" s="72">
        <f t="shared" si="6"/>
        <v>487.00000105000004</v>
      </c>
    </row>
    <row r="284" spans="1:8">
      <c r="A284" s="70">
        <v>70803</v>
      </c>
      <c r="B284" s="74" t="s">
        <v>369</v>
      </c>
      <c r="C284" s="72">
        <v>2750</v>
      </c>
      <c r="D284" s="73">
        <v>36.1454545</v>
      </c>
      <c r="E284" s="72">
        <f t="shared" si="5"/>
        <v>1756.00000125</v>
      </c>
      <c r="F284" s="72">
        <v>2746</v>
      </c>
      <c r="G284" s="73">
        <v>61.034231599999998</v>
      </c>
      <c r="H284" s="72">
        <f t="shared" si="6"/>
        <v>1070.0000002639999</v>
      </c>
    </row>
    <row r="285" spans="1:8">
      <c r="A285" s="70">
        <v>70804</v>
      </c>
      <c r="B285" s="74" t="s">
        <v>370</v>
      </c>
      <c r="C285" s="72">
        <v>2263</v>
      </c>
      <c r="D285" s="73">
        <v>40.6539991</v>
      </c>
      <c r="E285" s="72">
        <f t="shared" si="5"/>
        <v>1343.000000367</v>
      </c>
      <c r="F285" s="72">
        <v>1760</v>
      </c>
      <c r="G285" s="73">
        <v>58.3522727</v>
      </c>
      <c r="H285" s="72">
        <f t="shared" si="6"/>
        <v>733.00000048000015</v>
      </c>
    </row>
    <row r="286" spans="1:8">
      <c r="A286" s="70">
        <v>70805</v>
      </c>
      <c r="B286" s="74" t="s">
        <v>371</v>
      </c>
      <c r="C286" s="72">
        <v>2048</v>
      </c>
      <c r="D286" s="73">
        <v>31.591796899999999</v>
      </c>
      <c r="E286" s="72">
        <f t="shared" si="5"/>
        <v>1400.999999488</v>
      </c>
      <c r="F286" s="72">
        <v>2005</v>
      </c>
      <c r="G286" s="73">
        <v>45.985037400000003</v>
      </c>
      <c r="H286" s="72">
        <f t="shared" si="6"/>
        <v>1083.00000013</v>
      </c>
    </row>
    <row r="287" spans="1:8">
      <c r="A287" s="70">
        <v>70901</v>
      </c>
      <c r="B287" s="74" t="s">
        <v>373</v>
      </c>
      <c r="C287" s="72">
        <v>10206</v>
      </c>
      <c r="D287" s="73">
        <v>69.713893799999994</v>
      </c>
      <c r="E287" s="72">
        <f t="shared" si="5"/>
        <v>3090.9999987720012</v>
      </c>
      <c r="F287" s="72">
        <v>11390</v>
      </c>
      <c r="G287" s="73">
        <v>83.336259900000002</v>
      </c>
      <c r="H287" s="72">
        <f t="shared" si="6"/>
        <v>1897.9999973899994</v>
      </c>
    </row>
    <row r="288" spans="1:8">
      <c r="A288" s="70">
        <v>70902</v>
      </c>
      <c r="B288" s="74" t="s">
        <v>374</v>
      </c>
      <c r="C288" s="72">
        <v>9011</v>
      </c>
      <c r="D288" s="73">
        <v>73.865275800000006</v>
      </c>
      <c r="E288" s="72">
        <f t="shared" si="5"/>
        <v>2354.9999976619993</v>
      </c>
      <c r="F288" s="72">
        <v>9524</v>
      </c>
      <c r="G288" s="73">
        <v>84.733305299999998</v>
      </c>
      <c r="H288" s="72">
        <f t="shared" si="6"/>
        <v>1454.0000032280004</v>
      </c>
    </row>
    <row r="289" spans="1:8">
      <c r="A289" s="70">
        <v>70903</v>
      </c>
      <c r="B289" s="74" t="s">
        <v>375</v>
      </c>
      <c r="C289" s="72">
        <v>9938</v>
      </c>
      <c r="D289" s="73">
        <v>87.170456799999997</v>
      </c>
      <c r="E289" s="72">
        <f t="shared" si="5"/>
        <v>1275.0000032160006</v>
      </c>
      <c r="F289" s="72">
        <v>12517</v>
      </c>
      <c r="G289" s="73">
        <v>86.714068900000001</v>
      </c>
      <c r="H289" s="72">
        <f t="shared" si="6"/>
        <v>1662.9999957870004</v>
      </c>
    </row>
    <row r="290" spans="1:8">
      <c r="A290" s="70">
        <v>70904</v>
      </c>
      <c r="B290" s="74" t="s">
        <v>376</v>
      </c>
      <c r="C290" s="72">
        <v>2900</v>
      </c>
      <c r="D290" s="73">
        <v>59.6206897</v>
      </c>
      <c r="E290" s="72">
        <f t="shared" si="5"/>
        <v>1170.9999987000001</v>
      </c>
      <c r="F290" s="72">
        <v>3041</v>
      </c>
      <c r="G290" s="73">
        <v>73.035185799999994</v>
      </c>
      <c r="H290" s="72">
        <f t="shared" si="6"/>
        <v>819.99999982200006</v>
      </c>
    </row>
    <row r="291" spans="1:8">
      <c r="A291" s="70">
        <v>71001</v>
      </c>
      <c r="B291" s="74" t="s">
        <v>378</v>
      </c>
      <c r="C291" s="72">
        <v>106092</v>
      </c>
      <c r="D291" s="73">
        <v>96.1872714</v>
      </c>
      <c r="E291" s="72">
        <f t="shared" si="5"/>
        <v>4045.0000263120019</v>
      </c>
      <c r="F291" s="72">
        <v>121655</v>
      </c>
      <c r="G291" s="73">
        <v>98.831120799999994</v>
      </c>
      <c r="H291" s="72">
        <f t="shared" si="6"/>
        <v>1421.999990760014</v>
      </c>
    </row>
    <row r="292" spans="1:8">
      <c r="A292" s="70">
        <v>71002</v>
      </c>
      <c r="B292" s="74" t="s">
        <v>379</v>
      </c>
      <c r="C292" s="72">
        <v>13841</v>
      </c>
      <c r="D292" s="73">
        <v>71.685571899999999</v>
      </c>
      <c r="E292" s="72">
        <f t="shared" si="5"/>
        <v>3918.9999933210001</v>
      </c>
      <c r="F292" s="72">
        <v>16359</v>
      </c>
      <c r="G292" s="73">
        <v>88.880738399999998</v>
      </c>
      <c r="H292" s="72">
        <f t="shared" si="6"/>
        <v>1819.0000051440002</v>
      </c>
    </row>
    <row r="293" spans="1:8">
      <c r="A293" s="70">
        <v>71003</v>
      </c>
      <c r="B293" s="74" t="s">
        <v>380</v>
      </c>
      <c r="C293" s="72">
        <v>22744</v>
      </c>
      <c r="D293" s="73">
        <v>84.338726699999995</v>
      </c>
      <c r="E293" s="72">
        <f t="shared" si="5"/>
        <v>3561.9999993519996</v>
      </c>
      <c r="F293" s="72">
        <v>22767</v>
      </c>
      <c r="G293" s="73">
        <v>94.461281700000001</v>
      </c>
      <c r="H293" s="72">
        <f t="shared" si="6"/>
        <v>1260.9999953609986</v>
      </c>
    </row>
    <row r="294" spans="1:8">
      <c r="A294" s="70">
        <v>71004</v>
      </c>
      <c r="B294" s="74" t="s">
        <v>381</v>
      </c>
      <c r="C294" s="72">
        <v>13703</v>
      </c>
      <c r="D294" s="73">
        <v>82.959935799999997</v>
      </c>
      <c r="E294" s="72">
        <f t="shared" si="5"/>
        <v>2334.9999973260001</v>
      </c>
      <c r="F294" s="72">
        <v>12614</v>
      </c>
      <c r="G294" s="73">
        <v>95.433645200000001</v>
      </c>
      <c r="H294" s="72">
        <f t="shared" si="6"/>
        <v>575.99999447199843</v>
      </c>
    </row>
    <row r="295" spans="1:8">
      <c r="A295" s="70">
        <v>71005</v>
      </c>
      <c r="B295" s="74" t="s">
        <v>280</v>
      </c>
      <c r="C295" s="72">
        <v>15806</v>
      </c>
      <c r="D295" s="73">
        <v>84.879159799999996</v>
      </c>
      <c r="E295" s="72">
        <f t="shared" si="5"/>
        <v>2390.0000020120006</v>
      </c>
      <c r="F295" s="72">
        <v>13156</v>
      </c>
      <c r="G295" s="73">
        <v>96.161447199999998</v>
      </c>
      <c r="H295" s="72">
        <f t="shared" si="6"/>
        <v>505.00000636799996</v>
      </c>
    </row>
    <row r="296" spans="1:8">
      <c r="A296" s="70">
        <v>71101</v>
      </c>
      <c r="B296" s="74" t="s">
        <v>383</v>
      </c>
      <c r="C296" s="72">
        <v>18331</v>
      </c>
      <c r="D296" s="73">
        <v>38.230320200000001</v>
      </c>
      <c r="E296" s="72">
        <f t="shared" si="5"/>
        <v>11323.000004138001</v>
      </c>
      <c r="F296" s="72">
        <v>29326</v>
      </c>
      <c r="G296" s="73">
        <v>53.048489400000001</v>
      </c>
      <c r="H296" s="72">
        <f t="shared" si="6"/>
        <v>13768.999998556001</v>
      </c>
    </row>
    <row r="297" spans="1:8">
      <c r="A297" s="70">
        <v>71102</v>
      </c>
      <c r="B297" s="74" t="s">
        <v>384</v>
      </c>
      <c r="C297" s="72">
        <v>13266</v>
      </c>
      <c r="D297" s="73">
        <v>53.912256900000003</v>
      </c>
      <c r="E297" s="72">
        <f t="shared" si="5"/>
        <v>6113.9999996460001</v>
      </c>
      <c r="F297" s="72">
        <v>14205</v>
      </c>
      <c r="G297" s="73">
        <v>74.466737100000003</v>
      </c>
      <c r="H297" s="72">
        <f t="shared" si="6"/>
        <v>3626.9999949449993</v>
      </c>
    </row>
    <row r="298" spans="1:8">
      <c r="A298" s="70">
        <v>71103</v>
      </c>
      <c r="B298" s="74" t="s">
        <v>387</v>
      </c>
      <c r="C298" s="72">
        <v>6887</v>
      </c>
      <c r="D298" s="73">
        <v>76.651662599999995</v>
      </c>
      <c r="E298" s="72">
        <f t="shared" si="5"/>
        <v>1607.9999967380008</v>
      </c>
      <c r="F298" s="72">
        <v>8311</v>
      </c>
      <c r="G298" s="73">
        <v>85.838046000000006</v>
      </c>
      <c r="H298" s="72">
        <f t="shared" si="6"/>
        <v>1176.9999969399996</v>
      </c>
    </row>
    <row r="299" spans="1:8">
      <c r="A299" s="70">
        <v>71104</v>
      </c>
      <c r="B299" s="74" t="s">
        <v>385</v>
      </c>
      <c r="C299" s="72">
        <v>45889</v>
      </c>
      <c r="D299" s="73">
        <v>60.225762199999998</v>
      </c>
      <c r="E299" s="72">
        <f t="shared" si="5"/>
        <v>18251.999984041999</v>
      </c>
      <c r="F299" s="72">
        <v>42102</v>
      </c>
      <c r="G299" s="73">
        <v>88.209586200000004</v>
      </c>
      <c r="H299" s="72">
        <f t="shared" si="6"/>
        <v>4964.0000180759962</v>
      </c>
    </row>
    <row r="300" spans="1:8">
      <c r="A300" s="70">
        <v>71105</v>
      </c>
      <c r="B300" s="74" t="s">
        <v>386</v>
      </c>
      <c r="C300" s="72">
        <v>6446</v>
      </c>
      <c r="D300" s="73">
        <v>14.6447409</v>
      </c>
      <c r="E300" s="72">
        <f t="shared" si="5"/>
        <v>5502.0000015859996</v>
      </c>
      <c r="F300" s="72">
        <v>6265</v>
      </c>
      <c r="G300" s="73">
        <v>26.767757400000001</v>
      </c>
      <c r="H300" s="72">
        <f t="shared" si="6"/>
        <v>4587.9999988899999</v>
      </c>
    </row>
    <row r="301" spans="1:8">
      <c r="A301" s="70">
        <v>71106</v>
      </c>
      <c r="B301" s="74" t="s">
        <v>388</v>
      </c>
      <c r="C301" s="72">
        <v>21240</v>
      </c>
      <c r="D301" s="73">
        <v>86.064030099999997</v>
      </c>
      <c r="E301" s="72">
        <f t="shared" si="5"/>
        <v>2960.0000067600013</v>
      </c>
      <c r="F301" s="72">
        <v>23769</v>
      </c>
      <c r="G301" s="73">
        <v>95.855946799999998</v>
      </c>
      <c r="H301" s="72">
        <f t="shared" si="6"/>
        <v>985.00000510799873</v>
      </c>
    </row>
    <row r="302" spans="1:8">
      <c r="A302" s="70">
        <v>71201</v>
      </c>
      <c r="B302" s="74" t="s">
        <v>390</v>
      </c>
      <c r="C302" s="72">
        <v>14000</v>
      </c>
      <c r="D302" s="73">
        <v>48.65</v>
      </c>
      <c r="E302" s="72">
        <f t="shared" si="5"/>
        <v>7189</v>
      </c>
      <c r="F302" s="72">
        <v>14782</v>
      </c>
      <c r="G302" s="73">
        <v>69.821404400000006</v>
      </c>
      <c r="H302" s="72">
        <f t="shared" si="6"/>
        <v>4461.0000015919995</v>
      </c>
    </row>
    <row r="303" spans="1:8">
      <c r="A303" s="70">
        <v>71301</v>
      </c>
      <c r="B303" s="74" t="s">
        <v>392</v>
      </c>
      <c r="C303" s="72">
        <v>15641</v>
      </c>
      <c r="D303" s="73">
        <v>64.778466800000004</v>
      </c>
      <c r="E303" s="72">
        <f t="shared" si="5"/>
        <v>5509.0000078119992</v>
      </c>
      <c r="F303" s="72">
        <v>16865</v>
      </c>
      <c r="G303" s="73">
        <v>82.881707700000007</v>
      </c>
      <c r="H303" s="72">
        <f t="shared" si="6"/>
        <v>2886.9999963949995</v>
      </c>
    </row>
    <row r="304" spans="1:8">
      <c r="A304" s="70">
        <v>71302</v>
      </c>
      <c r="B304" s="74" t="s">
        <v>393</v>
      </c>
      <c r="C304" s="72">
        <v>6964</v>
      </c>
      <c r="D304" s="73">
        <v>77.125215400000002</v>
      </c>
      <c r="E304" s="72">
        <f t="shared" si="5"/>
        <v>1592.9999995440003</v>
      </c>
      <c r="F304" s="72">
        <v>5895</v>
      </c>
      <c r="G304" s="73">
        <v>89.041560599999997</v>
      </c>
      <c r="H304" s="72">
        <f t="shared" si="6"/>
        <v>646.00000263000038</v>
      </c>
    </row>
    <row r="305" spans="1:8">
      <c r="A305" s="70">
        <v>71401</v>
      </c>
      <c r="B305" s="74" t="s">
        <v>395</v>
      </c>
      <c r="C305" s="72">
        <v>18305</v>
      </c>
      <c r="D305" s="73">
        <v>78.983884200000006</v>
      </c>
      <c r="E305" s="72">
        <f t="shared" si="5"/>
        <v>3846.9999971899979</v>
      </c>
      <c r="F305" s="72">
        <v>16129</v>
      </c>
      <c r="G305" s="73">
        <v>91.016182000000001</v>
      </c>
      <c r="H305" s="72">
        <f t="shared" si="6"/>
        <v>1449.0000052199994</v>
      </c>
    </row>
    <row r="306" spans="1:8">
      <c r="A306" s="70">
        <v>71402</v>
      </c>
      <c r="B306" s="74" t="s">
        <v>396</v>
      </c>
      <c r="C306" s="72">
        <v>15537</v>
      </c>
      <c r="D306" s="73">
        <v>91.420480100000006</v>
      </c>
      <c r="E306" s="72">
        <f t="shared" si="5"/>
        <v>1333.0000068629997</v>
      </c>
      <c r="F306" s="72">
        <v>16963</v>
      </c>
      <c r="G306" s="73">
        <v>96.840181599999994</v>
      </c>
      <c r="H306" s="72">
        <f t="shared" si="6"/>
        <v>535.99999519199991</v>
      </c>
    </row>
    <row r="307" spans="1:8">
      <c r="A307" s="70">
        <v>71403</v>
      </c>
      <c r="B307" s="74" t="s">
        <v>397</v>
      </c>
      <c r="C307" s="72">
        <v>6054</v>
      </c>
      <c r="D307" s="73">
        <v>20.052857599999999</v>
      </c>
      <c r="E307" s="72">
        <f t="shared" si="5"/>
        <v>4840.0000008959996</v>
      </c>
      <c r="F307" s="72">
        <v>8466</v>
      </c>
      <c r="G307" s="73">
        <v>62.024568899999998</v>
      </c>
      <c r="H307" s="72">
        <f t="shared" si="6"/>
        <v>3214.9999969259998</v>
      </c>
    </row>
    <row r="308" spans="1:8">
      <c r="A308" s="70">
        <v>71501</v>
      </c>
      <c r="B308" s="74" t="s">
        <v>399</v>
      </c>
      <c r="C308" s="72">
        <v>25937</v>
      </c>
      <c r="D308" s="73">
        <v>61.942398900000001</v>
      </c>
      <c r="E308" s="72">
        <f t="shared" si="5"/>
        <v>9870.9999973070007</v>
      </c>
      <c r="F308" s="72">
        <v>33430</v>
      </c>
      <c r="G308" s="73">
        <v>70.885432199999997</v>
      </c>
      <c r="H308" s="72">
        <f t="shared" si="6"/>
        <v>9733.0000155400012</v>
      </c>
    </row>
    <row r="309" spans="1:8">
      <c r="A309" s="70">
        <v>71502</v>
      </c>
      <c r="B309" s="74" t="s">
        <v>400</v>
      </c>
      <c r="C309" s="72">
        <v>6782</v>
      </c>
      <c r="D309" s="73">
        <v>35.343556499999998</v>
      </c>
      <c r="E309" s="72">
        <f t="shared" si="5"/>
        <v>4384.9999981700003</v>
      </c>
      <c r="F309" s="72">
        <v>6369</v>
      </c>
      <c r="G309" s="73">
        <v>51.138326300000003</v>
      </c>
      <c r="H309" s="72">
        <f t="shared" si="6"/>
        <v>3111.9999979529998</v>
      </c>
    </row>
    <row r="310" spans="1:8">
      <c r="A310" s="70">
        <v>71503</v>
      </c>
      <c r="B310" s="74" t="s">
        <v>330</v>
      </c>
      <c r="C310" s="72">
        <v>13833</v>
      </c>
      <c r="D310" s="73">
        <v>38.097303500000002</v>
      </c>
      <c r="E310" s="72">
        <f t="shared" si="5"/>
        <v>8563.000006844999</v>
      </c>
      <c r="F310" s="72">
        <v>16739</v>
      </c>
      <c r="G310" s="73">
        <v>59.531632700000003</v>
      </c>
      <c r="H310" s="72">
        <f t="shared" si="6"/>
        <v>6774.0000023470002</v>
      </c>
    </row>
    <row r="311" spans="1:8">
      <c r="A311" s="70">
        <v>80101</v>
      </c>
      <c r="B311" s="74" t="s">
        <v>402</v>
      </c>
      <c r="C311" s="72">
        <v>100502</v>
      </c>
      <c r="D311" s="73">
        <v>93.926489000000004</v>
      </c>
      <c r="E311" s="72">
        <f t="shared" si="5"/>
        <v>6104.000025219997</v>
      </c>
      <c r="F311" s="72">
        <v>122081</v>
      </c>
      <c r="G311" s="73">
        <v>97.395172099999996</v>
      </c>
      <c r="H311" s="72">
        <f t="shared" si="6"/>
        <v>3179.999948599012</v>
      </c>
    </row>
    <row r="312" spans="1:8">
      <c r="A312" s="70">
        <v>80102</v>
      </c>
      <c r="B312" s="74" t="s">
        <v>384</v>
      </c>
      <c r="C312" s="72">
        <v>5202</v>
      </c>
      <c r="D312" s="73">
        <v>27.912341399999999</v>
      </c>
      <c r="E312" s="72">
        <f t="shared" si="5"/>
        <v>3750.0000003719997</v>
      </c>
      <c r="F312" s="72">
        <v>7737</v>
      </c>
      <c r="G312" s="73">
        <v>46.852785300000001</v>
      </c>
      <c r="H312" s="72">
        <f t="shared" si="6"/>
        <v>4112.0000013389999</v>
      </c>
    </row>
    <row r="313" spans="1:8">
      <c r="A313" s="70">
        <v>80201</v>
      </c>
      <c r="B313" s="74" t="s">
        <v>404</v>
      </c>
      <c r="C313" s="72">
        <v>86123</v>
      </c>
      <c r="D313" s="73">
        <v>69.235860299999999</v>
      </c>
      <c r="E313" s="72">
        <f t="shared" si="5"/>
        <v>26495.000033831006</v>
      </c>
      <c r="F313" s="72">
        <v>106974</v>
      </c>
      <c r="G313" s="73">
        <v>84.836502300000006</v>
      </c>
      <c r="H313" s="72">
        <f t="shared" si="6"/>
        <v>16221.000029597999</v>
      </c>
    </row>
    <row r="314" spans="1:8">
      <c r="A314" s="70">
        <v>80202</v>
      </c>
      <c r="B314" s="74" t="s">
        <v>405</v>
      </c>
      <c r="C314" s="72">
        <v>39762</v>
      </c>
      <c r="D314" s="73">
        <v>79.543282500000004</v>
      </c>
      <c r="E314" s="72">
        <f t="shared" si="5"/>
        <v>8134.0000123499995</v>
      </c>
      <c r="F314" s="72">
        <v>39772</v>
      </c>
      <c r="G314" s="73">
        <v>86.706728400000003</v>
      </c>
      <c r="H314" s="72">
        <f t="shared" si="6"/>
        <v>5286.9999807519998</v>
      </c>
    </row>
    <row r="315" spans="1:8">
      <c r="A315" s="70">
        <v>80301</v>
      </c>
      <c r="B315" s="74" t="s">
        <v>407</v>
      </c>
      <c r="C315" s="72">
        <v>12829</v>
      </c>
      <c r="D315" s="73">
        <v>38.116766699999999</v>
      </c>
      <c r="E315" s="72">
        <f t="shared" si="5"/>
        <v>7939.0000000569999</v>
      </c>
      <c r="F315" s="72">
        <v>11171</v>
      </c>
      <c r="G315" s="73">
        <v>56.718288399999999</v>
      </c>
      <c r="H315" s="72">
        <f t="shared" si="6"/>
        <v>4835.0000028360009</v>
      </c>
    </row>
    <row r="316" spans="1:8">
      <c r="A316" s="70">
        <v>80302</v>
      </c>
      <c r="B316" s="74" t="s">
        <v>408</v>
      </c>
      <c r="C316" s="72">
        <v>39630</v>
      </c>
      <c r="D316" s="73">
        <v>45.8188241</v>
      </c>
      <c r="E316" s="72">
        <f t="shared" si="5"/>
        <v>21472.000009169999</v>
      </c>
      <c r="F316" s="72">
        <v>44951</v>
      </c>
      <c r="G316" s="73">
        <v>50.330359700000002</v>
      </c>
      <c r="H316" s="72">
        <f t="shared" si="6"/>
        <v>22327.000011253</v>
      </c>
    </row>
    <row r="317" spans="1:8">
      <c r="A317" s="70">
        <v>80303</v>
      </c>
      <c r="B317" s="74" t="s">
        <v>356</v>
      </c>
      <c r="C317" s="72">
        <v>9200</v>
      </c>
      <c r="D317" s="73">
        <v>42.945652199999998</v>
      </c>
      <c r="E317" s="72">
        <f t="shared" si="5"/>
        <v>5248.9999975999999</v>
      </c>
      <c r="F317" s="72">
        <v>10818</v>
      </c>
      <c r="G317" s="73">
        <v>65.853207600000005</v>
      </c>
      <c r="H317" s="72">
        <f t="shared" si="6"/>
        <v>3694.0000018319988</v>
      </c>
    </row>
    <row r="318" spans="1:8">
      <c r="A318" s="70">
        <v>80304</v>
      </c>
      <c r="B318" s="74" t="s">
        <v>409</v>
      </c>
      <c r="C318" s="72">
        <v>17969</v>
      </c>
      <c r="D318" s="73">
        <v>64.088151800000006</v>
      </c>
      <c r="E318" s="72">
        <f t="shared" si="5"/>
        <v>6453.0000030579995</v>
      </c>
      <c r="F318" s="72">
        <v>20213</v>
      </c>
      <c r="G318" s="73">
        <v>73.111363999999995</v>
      </c>
      <c r="H318" s="72">
        <f t="shared" si="6"/>
        <v>5434.9999946800017</v>
      </c>
    </row>
    <row r="319" spans="1:8">
      <c r="A319" s="70">
        <v>80401</v>
      </c>
      <c r="B319" s="74" t="s">
        <v>411</v>
      </c>
      <c r="C319" s="72">
        <v>16415</v>
      </c>
      <c r="D319" s="73">
        <v>62.1626561</v>
      </c>
      <c r="E319" s="72">
        <f t="shared" si="5"/>
        <v>6211.0000011849988</v>
      </c>
      <c r="F319" s="72">
        <v>17711</v>
      </c>
      <c r="G319" s="73">
        <v>73.045000299999998</v>
      </c>
      <c r="H319" s="72">
        <f t="shared" si="6"/>
        <v>4773.9999968669999</v>
      </c>
    </row>
    <row r="320" spans="1:8">
      <c r="A320" s="70">
        <v>80402</v>
      </c>
      <c r="B320" s="74" t="s">
        <v>412</v>
      </c>
      <c r="C320" s="72">
        <v>5981</v>
      </c>
      <c r="D320" s="73">
        <v>9.3629827999999993</v>
      </c>
      <c r="E320" s="72">
        <f t="shared" si="5"/>
        <v>5420.9999987319998</v>
      </c>
      <c r="F320" s="72">
        <v>7742</v>
      </c>
      <c r="G320" s="73">
        <v>29.540170499999999</v>
      </c>
      <c r="H320" s="72">
        <f t="shared" si="6"/>
        <v>5454.9999998900003</v>
      </c>
    </row>
    <row r="321" spans="1:8">
      <c r="A321" s="70">
        <v>80501</v>
      </c>
      <c r="B321" s="74" t="s">
        <v>342</v>
      </c>
      <c r="C321" s="72">
        <v>18553</v>
      </c>
      <c r="D321" s="73">
        <v>38.3064733</v>
      </c>
      <c r="E321" s="72">
        <f t="shared" si="5"/>
        <v>11446.000008651001</v>
      </c>
      <c r="F321" s="72">
        <v>20956</v>
      </c>
      <c r="G321" s="73">
        <v>55.105936200000002</v>
      </c>
      <c r="H321" s="72">
        <f t="shared" si="6"/>
        <v>9408.0000099279987</v>
      </c>
    </row>
    <row r="322" spans="1:8">
      <c r="A322" s="70">
        <v>80601</v>
      </c>
      <c r="B322" s="74" t="s">
        <v>415</v>
      </c>
      <c r="C322" s="72">
        <v>3706</v>
      </c>
      <c r="D322" s="73">
        <v>14.220183499999999</v>
      </c>
      <c r="E322" s="72">
        <f t="shared" si="5"/>
        <v>3178.9999994899999</v>
      </c>
      <c r="F322" s="72">
        <v>4217</v>
      </c>
      <c r="G322" s="73">
        <v>36.376570999999998</v>
      </c>
      <c r="H322" s="72">
        <f t="shared" si="6"/>
        <v>2683.0000009300002</v>
      </c>
    </row>
    <row r="323" spans="1:8">
      <c r="A323" s="70">
        <v>80602</v>
      </c>
      <c r="B323" s="74" t="s">
        <v>416</v>
      </c>
      <c r="C323" s="72">
        <v>11732</v>
      </c>
      <c r="D323" s="73">
        <v>28.844186799999999</v>
      </c>
      <c r="E323" s="72">
        <f t="shared" si="5"/>
        <v>8348.0000046240002</v>
      </c>
      <c r="F323" s="72">
        <v>14864</v>
      </c>
      <c r="G323" s="73">
        <v>47.6655005</v>
      </c>
      <c r="H323" s="72">
        <f t="shared" si="6"/>
        <v>7779.00000568</v>
      </c>
    </row>
    <row r="324" spans="1:8">
      <c r="A324" s="70">
        <v>80701</v>
      </c>
      <c r="B324" s="74" t="s">
        <v>418</v>
      </c>
      <c r="C324" s="72">
        <v>6490</v>
      </c>
      <c r="D324" s="73">
        <v>45.96302</v>
      </c>
      <c r="E324" s="72">
        <f t="shared" si="5"/>
        <v>3507.0000020000002</v>
      </c>
      <c r="F324" s="72">
        <v>6201</v>
      </c>
      <c r="G324" s="73">
        <v>75.874858900000007</v>
      </c>
      <c r="H324" s="72">
        <f t="shared" si="6"/>
        <v>1495.9999996109991</v>
      </c>
    </row>
    <row r="325" spans="1:8">
      <c r="A325" s="70">
        <v>80702</v>
      </c>
      <c r="B325" s="74" t="s">
        <v>387</v>
      </c>
      <c r="C325" s="72">
        <v>4704</v>
      </c>
      <c r="D325" s="73">
        <v>41.879251699999998</v>
      </c>
      <c r="E325" s="72">
        <f t="shared" si="5"/>
        <v>2734.0000000320001</v>
      </c>
      <c r="F325" s="72">
        <v>5324</v>
      </c>
      <c r="G325" s="73">
        <v>65.570999200000003</v>
      </c>
      <c r="H325" s="72">
        <f t="shared" si="6"/>
        <v>1833.0000025919999</v>
      </c>
    </row>
    <row r="326" spans="1:8">
      <c r="A326" s="70">
        <v>80703</v>
      </c>
      <c r="B326" s="74" t="s">
        <v>419</v>
      </c>
      <c r="C326" s="72">
        <v>832</v>
      </c>
      <c r="D326" s="73">
        <v>15.745192299999999</v>
      </c>
      <c r="E326" s="72">
        <f t="shared" si="5"/>
        <v>701.00000006400001</v>
      </c>
      <c r="F326" s="72">
        <v>1051</v>
      </c>
      <c r="G326" s="73">
        <v>66.603234999999998</v>
      </c>
      <c r="H326" s="72">
        <f t="shared" si="6"/>
        <v>351.00000015000012</v>
      </c>
    </row>
    <row r="327" spans="1:8">
      <c r="A327" s="70">
        <v>80801</v>
      </c>
      <c r="B327" s="74" t="s">
        <v>421</v>
      </c>
      <c r="C327" s="72">
        <v>10967</v>
      </c>
      <c r="D327" s="73">
        <v>43.548828299999997</v>
      </c>
      <c r="E327" s="72">
        <f t="shared" si="5"/>
        <v>6191.0000003390005</v>
      </c>
      <c r="F327" s="72">
        <v>12465</v>
      </c>
      <c r="G327" s="73">
        <v>65.527476899999996</v>
      </c>
      <c r="H327" s="72">
        <f t="shared" si="6"/>
        <v>4297.0000044150011</v>
      </c>
    </row>
    <row r="328" spans="1:8">
      <c r="A328" s="70">
        <v>80802</v>
      </c>
      <c r="B328" s="74" t="s">
        <v>422</v>
      </c>
      <c r="C328" s="72">
        <v>5439</v>
      </c>
      <c r="D328" s="73">
        <v>36.109578999999997</v>
      </c>
      <c r="E328" s="72">
        <f t="shared" si="5"/>
        <v>3474.99999819</v>
      </c>
      <c r="F328" s="72">
        <v>7084</v>
      </c>
      <c r="G328" s="73">
        <v>51.298701299999998</v>
      </c>
      <c r="H328" s="72">
        <f t="shared" si="6"/>
        <v>3449.9999999080005</v>
      </c>
    </row>
    <row r="329" spans="1:8">
      <c r="A329" s="70">
        <v>80803</v>
      </c>
      <c r="B329" s="74" t="s">
        <v>423</v>
      </c>
      <c r="C329" s="72">
        <v>3983</v>
      </c>
      <c r="D329" s="73">
        <v>26.7637459</v>
      </c>
      <c r="E329" s="72">
        <f t="shared" si="5"/>
        <v>2917.0000008030001</v>
      </c>
      <c r="F329" s="72">
        <v>4563</v>
      </c>
      <c r="G329" s="73">
        <v>58.207319699999999</v>
      </c>
      <c r="H329" s="72">
        <f t="shared" si="6"/>
        <v>1907.0000020889997</v>
      </c>
    </row>
    <row r="330" spans="1:8">
      <c r="A330" s="70">
        <v>80901</v>
      </c>
      <c r="B330" s="74" t="s">
        <v>425</v>
      </c>
      <c r="C330" s="72">
        <v>3122</v>
      </c>
      <c r="D330" s="73">
        <v>1.7296605</v>
      </c>
      <c r="E330" s="72">
        <f t="shared" si="5"/>
        <v>3067.9999991899999</v>
      </c>
      <c r="F330" s="72">
        <v>3939</v>
      </c>
      <c r="G330" s="73">
        <v>9.0886011999999994</v>
      </c>
      <c r="H330" s="72">
        <f t="shared" si="6"/>
        <v>3580.9999987320002</v>
      </c>
    </row>
    <row r="331" spans="1:8">
      <c r="A331" s="70">
        <v>90101</v>
      </c>
      <c r="B331" s="74" t="s">
        <v>428</v>
      </c>
      <c r="C331" s="72">
        <v>42341</v>
      </c>
      <c r="D331" s="73">
        <v>94.364800099999997</v>
      </c>
      <c r="E331" s="72">
        <f t="shared" si="5"/>
        <v>2385.9999896590016</v>
      </c>
      <c r="F331" s="72">
        <v>51248</v>
      </c>
      <c r="G331" s="73">
        <v>98.378473299999996</v>
      </c>
      <c r="H331" s="72">
        <f t="shared" si="6"/>
        <v>831.00000321600237</v>
      </c>
    </row>
    <row r="332" spans="1:8">
      <c r="A332" s="70">
        <v>90102</v>
      </c>
      <c r="B332" s="74" t="s">
        <v>429</v>
      </c>
      <c r="C332" s="72">
        <v>7525</v>
      </c>
      <c r="D332" s="73">
        <v>69.382059799999993</v>
      </c>
      <c r="E332" s="72">
        <f t="shared" si="5"/>
        <v>2304.0000000500004</v>
      </c>
      <c r="F332" s="72">
        <v>8998</v>
      </c>
      <c r="G332" s="73">
        <v>90.686819299999996</v>
      </c>
      <c r="H332" s="72">
        <f t="shared" si="6"/>
        <v>837.99999938600013</v>
      </c>
    </row>
    <row r="333" spans="1:8">
      <c r="A333" s="70">
        <v>90103</v>
      </c>
      <c r="B333" s="74" t="s">
        <v>430</v>
      </c>
      <c r="C333" s="72">
        <v>2055</v>
      </c>
      <c r="D333" s="73">
        <v>22.481751800000001</v>
      </c>
      <c r="E333" s="72">
        <f t="shared" si="5"/>
        <v>1593.0000005100001</v>
      </c>
      <c r="F333" s="72">
        <v>2324</v>
      </c>
      <c r="G333" s="73">
        <v>59.595525000000002</v>
      </c>
      <c r="H333" s="72">
        <f t="shared" si="6"/>
        <v>938.99999899999989</v>
      </c>
    </row>
    <row r="334" spans="1:8">
      <c r="A334" s="70">
        <v>90104</v>
      </c>
      <c r="B334" s="74" t="s">
        <v>431</v>
      </c>
      <c r="C334" s="72">
        <v>3523</v>
      </c>
      <c r="D334" s="73">
        <v>44.621061599999997</v>
      </c>
      <c r="E334" s="72">
        <f t="shared" si="5"/>
        <v>1950.9999998320002</v>
      </c>
      <c r="F334" s="72">
        <v>3402</v>
      </c>
      <c r="G334" s="73">
        <v>74.191652000000005</v>
      </c>
      <c r="H334" s="72">
        <f t="shared" si="6"/>
        <v>877.99999895999963</v>
      </c>
    </row>
    <row r="335" spans="1:8">
      <c r="A335" s="70">
        <v>90201</v>
      </c>
      <c r="B335" s="74" t="s">
        <v>433</v>
      </c>
      <c r="C335" s="72">
        <v>5584</v>
      </c>
      <c r="D335" s="73">
        <v>48.334527199999997</v>
      </c>
      <c r="E335" s="72">
        <f t="shared" si="5"/>
        <v>2885.0000011520001</v>
      </c>
      <c r="F335" s="72">
        <v>6803</v>
      </c>
      <c r="G335" s="73">
        <v>78.2007938</v>
      </c>
      <c r="H335" s="72">
        <f t="shared" si="6"/>
        <v>1482.9999977859998</v>
      </c>
    </row>
    <row r="336" spans="1:8">
      <c r="A336" s="70">
        <v>90202</v>
      </c>
      <c r="B336" s="74" t="s">
        <v>280</v>
      </c>
      <c r="C336" s="72">
        <v>2974</v>
      </c>
      <c r="D336" s="73">
        <v>4.0685944999999997</v>
      </c>
      <c r="E336" s="72">
        <f t="shared" si="5"/>
        <v>2852.99999957</v>
      </c>
      <c r="F336" s="72">
        <v>3245</v>
      </c>
      <c r="G336" s="73">
        <v>11.001540800000001</v>
      </c>
      <c r="H336" s="72">
        <f t="shared" si="6"/>
        <v>2888.0000010399999</v>
      </c>
    </row>
    <row r="337" spans="1:8">
      <c r="A337" s="70">
        <v>90203</v>
      </c>
      <c r="B337" s="74" t="s">
        <v>434</v>
      </c>
      <c r="C337" s="72">
        <v>5492</v>
      </c>
      <c r="D337" s="73">
        <v>21.4857975</v>
      </c>
      <c r="E337" s="72">
        <f t="shared" si="5"/>
        <v>4312.0000012999999</v>
      </c>
      <c r="F337" s="72">
        <v>7936</v>
      </c>
      <c r="G337" s="73">
        <v>78.540826600000003</v>
      </c>
      <c r="H337" s="72">
        <f t="shared" si="6"/>
        <v>1703.0000010240001</v>
      </c>
    </row>
    <row r="338" spans="1:8">
      <c r="A338" s="70">
        <v>90301</v>
      </c>
      <c r="B338" s="74" t="s">
        <v>436</v>
      </c>
      <c r="C338" s="72">
        <v>7516</v>
      </c>
      <c r="D338" s="73">
        <v>14.3826503</v>
      </c>
      <c r="E338" s="72">
        <f t="shared" si="5"/>
        <v>6435.0000034519999</v>
      </c>
      <c r="F338" s="72">
        <v>11675</v>
      </c>
      <c r="G338" s="73">
        <v>49.293361900000001</v>
      </c>
      <c r="H338" s="72">
        <f t="shared" si="6"/>
        <v>5919.9999981749997</v>
      </c>
    </row>
    <row r="339" spans="1:8">
      <c r="A339" s="70">
        <v>90302</v>
      </c>
      <c r="B339" s="74" t="s">
        <v>329</v>
      </c>
      <c r="C339" s="72">
        <v>7030</v>
      </c>
      <c r="D339" s="73">
        <v>13.385490799999999</v>
      </c>
      <c r="E339" s="72">
        <f t="shared" si="5"/>
        <v>6088.9999967599997</v>
      </c>
      <c r="F339" s="72">
        <v>9498</v>
      </c>
      <c r="G339" s="73">
        <v>56.096020199999998</v>
      </c>
      <c r="H339" s="72">
        <f t="shared" si="6"/>
        <v>4170.0000014040006</v>
      </c>
    </row>
    <row r="340" spans="1:8">
      <c r="A340" s="70">
        <v>90303</v>
      </c>
      <c r="B340" s="74" t="s">
        <v>437</v>
      </c>
      <c r="C340" s="72">
        <v>8103</v>
      </c>
      <c r="D340" s="73">
        <v>15.845983</v>
      </c>
      <c r="E340" s="72">
        <f t="shared" si="5"/>
        <v>6818.99999751</v>
      </c>
      <c r="F340" s="72">
        <v>10165</v>
      </c>
      <c r="G340" s="73">
        <v>55.838662100000001</v>
      </c>
      <c r="H340" s="72">
        <f t="shared" si="6"/>
        <v>4488.9999975350001</v>
      </c>
    </row>
    <row r="341" spans="1:8">
      <c r="A341" s="70">
        <v>90401</v>
      </c>
      <c r="B341" s="74" t="s">
        <v>356</v>
      </c>
      <c r="C341" s="72">
        <v>2168</v>
      </c>
      <c r="D341" s="73">
        <v>23.9852399</v>
      </c>
      <c r="E341" s="72">
        <f t="shared" si="5"/>
        <v>1647.999998968</v>
      </c>
      <c r="F341" s="72">
        <v>2820</v>
      </c>
      <c r="G341" s="73">
        <v>74.148936199999994</v>
      </c>
      <c r="H341" s="72">
        <f t="shared" si="6"/>
        <v>728.99999916000024</v>
      </c>
    </row>
    <row r="342" spans="1:8">
      <c r="A342" s="70">
        <v>90402</v>
      </c>
      <c r="B342" s="74" t="s">
        <v>99</v>
      </c>
      <c r="C342" s="72">
        <v>1594</v>
      </c>
      <c r="D342" s="73">
        <v>10.1003764</v>
      </c>
      <c r="E342" s="72">
        <f t="shared" si="5"/>
        <v>1433.0000001840001</v>
      </c>
      <c r="F342" s="72">
        <v>2535</v>
      </c>
      <c r="G342" s="73">
        <v>48.678500999999997</v>
      </c>
      <c r="H342" s="72">
        <f t="shared" si="6"/>
        <v>1300.9999996500001</v>
      </c>
    </row>
    <row r="343" spans="1:8">
      <c r="A343" s="70">
        <v>90501</v>
      </c>
      <c r="B343" s="74" t="s">
        <v>440</v>
      </c>
      <c r="C343" s="72">
        <v>1769</v>
      </c>
      <c r="D343" s="73">
        <v>20.293951400000001</v>
      </c>
      <c r="E343" s="72">
        <f t="shared" si="5"/>
        <v>1409.9999997340001</v>
      </c>
      <c r="F343" s="72">
        <v>1571</v>
      </c>
      <c r="G343" s="73">
        <v>59.325270500000002</v>
      </c>
      <c r="H343" s="72">
        <f t="shared" si="6"/>
        <v>639.00000044499996</v>
      </c>
    </row>
    <row r="344" spans="1:8">
      <c r="A344" s="70">
        <v>90502</v>
      </c>
      <c r="B344" s="74" t="s">
        <v>441</v>
      </c>
      <c r="C344" s="72">
        <v>2777</v>
      </c>
      <c r="D344" s="73">
        <v>15.412315400000001</v>
      </c>
      <c r="E344" s="72">
        <f t="shared" si="5"/>
        <v>2349.0000013419999</v>
      </c>
      <c r="F344" s="72">
        <v>2477</v>
      </c>
      <c r="G344" s="73">
        <v>43.237787599999997</v>
      </c>
      <c r="H344" s="72">
        <f t="shared" si="6"/>
        <v>1406.0000011479999</v>
      </c>
    </row>
    <row r="345" spans="1:8">
      <c r="A345" s="70">
        <v>90503</v>
      </c>
      <c r="B345" s="74" t="s">
        <v>442</v>
      </c>
      <c r="C345" s="72">
        <v>1956</v>
      </c>
      <c r="D345" s="73">
        <v>5.2658487000000003</v>
      </c>
      <c r="E345" s="72">
        <f t="shared" si="5"/>
        <v>1852.9999994279999</v>
      </c>
      <c r="F345" s="72">
        <v>2270</v>
      </c>
      <c r="G345" s="73">
        <v>42.599118900000001</v>
      </c>
      <c r="H345" s="72">
        <f t="shared" si="6"/>
        <v>1303.00000097</v>
      </c>
    </row>
    <row r="346" spans="1:8">
      <c r="A346" s="75"/>
      <c r="B346" s="76"/>
      <c r="C346" s="76"/>
      <c r="D346" s="76"/>
      <c r="E346" s="77"/>
      <c r="F346" s="76"/>
      <c r="G346" s="76"/>
      <c r="H346" s="76"/>
    </row>
    <row r="347" spans="1:8">
      <c r="A347" s="75"/>
      <c r="B347" s="76"/>
      <c r="C347" s="76"/>
      <c r="D347" s="76"/>
      <c r="E347" s="77"/>
      <c r="F347" s="76"/>
      <c r="G347" s="76"/>
      <c r="H347" s="76"/>
    </row>
    <row r="348" spans="1:8">
      <c r="A348" s="75"/>
      <c r="B348" s="76"/>
      <c r="C348" s="76"/>
      <c r="D348" s="76"/>
      <c r="E348" s="77"/>
      <c r="F348" s="76"/>
      <c r="G348" s="76"/>
      <c r="H348" s="76"/>
    </row>
    <row r="349" spans="1:8">
      <c r="A349" s="75"/>
      <c r="B349" s="76"/>
      <c r="C349" s="76"/>
      <c r="D349" s="76"/>
      <c r="E349" s="77"/>
      <c r="F349" s="76"/>
      <c r="G349" s="76"/>
      <c r="H349" s="76"/>
    </row>
    <row r="350" spans="1:8">
      <c r="A350" s="75"/>
      <c r="B350" s="76"/>
      <c r="C350" s="76"/>
      <c r="D350" s="76"/>
      <c r="E350" s="77"/>
      <c r="F350" s="76"/>
      <c r="G350" s="76"/>
      <c r="H350" s="76"/>
    </row>
    <row r="351" spans="1:8">
      <c r="A351" s="75"/>
      <c r="B351" s="76"/>
      <c r="C351" s="76"/>
      <c r="D351" s="76"/>
      <c r="E351" s="77"/>
      <c r="F351" s="76"/>
      <c r="G351" s="76"/>
      <c r="H351" s="76"/>
    </row>
    <row r="352" spans="1:8">
      <c r="A352" s="75"/>
      <c r="B352" s="76"/>
      <c r="C352" s="76"/>
      <c r="D352" s="76"/>
      <c r="E352" s="77"/>
      <c r="F352" s="76"/>
      <c r="G352" s="76"/>
      <c r="H352" s="76"/>
    </row>
    <row r="353" spans="1:8">
      <c r="A353" s="75"/>
      <c r="B353" s="76"/>
      <c r="C353" s="76"/>
      <c r="D353" s="76"/>
      <c r="E353" s="77"/>
      <c r="F353" s="76"/>
      <c r="G353" s="76"/>
      <c r="H353" s="76"/>
    </row>
    <row r="354" spans="1:8">
      <c r="A354" s="75"/>
      <c r="B354" s="76"/>
      <c r="C354" s="76"/>
      <c r="D354" s="76"/>
      <c r="E354" s="77"/>
      <c r="F354" s="76"/>
      <c r="G354" s="76"/>
      <c r="H354" s="76"/>
    </row>
    <row r="355" spans="1:8">
      <c r="A355" s="75"/>
      <c r="B355" s="76"/>
      <c r="C355" s="76"/>
      <c r="D355" s="76"/>
      <c r="E355" s="77"/>
      <c r="F355" s="76"/>
      <c r="G355" s="76"/>
      <c r="H355" s="76"/>
    </row>
    <row r="356" spans="1:8">
      <c r="A356" s="75"/>
      <c r="B356" s="76"/>
      <c r="C356" s="76"/>
      <c r="D356" s="76"/>
      <c r="E356" s="77"/>
      <c r="F356" s="76"/>
      <c r="G356" s="76"/>
      <c r="H356" s="76"/>
    </row>
    <row r="357" spans="1:8">
      <c r="A357" s="75"/>
      <c r="B357" s="76"/>
      <c r="C357" s="76"/>
      <c r="D357" s="76"/>
      <c r="E357" s="77"/>
      <c r="F357" s="76"/>
      <c r="G357" s="76"/>
      <c r="H357" s="76"/>
    </row>
    <row r="358" spans="1:8">
      <c r="A358" s="75"/>
      <c r="B358" s="76"/>
      <c r="C358" s="76"/>
      <c r="D358" s="76"/>
      <c r="E358" s="77"/>
      <c r="F358" s="76"/>
      <c r="G358" s="76"/>
      <c r="H358" s="76"/>
    </row>
    <row r="359" spans="1:8">
      <c r="A359" s="75"/>
      <c r="B359" s="76"/>
      <c r="C359" s="76"/>
      <c r="D359" s="76"/>
      <c r="E359" s="77"/>
      <c r="F359" s="76"/>
      <c r="G359" s="76"/>
      <c r="H359" s="76"/>
    </row>
    <row r="360" spans="1:8">
      <c r="A360" s="75"/>
      <c r="B360" s="76"/>
      <c r="C360" s="76"/>
      <c r="D360" s="76"/>
      <c r="E360" s="77"/>
      <c r="F360" s="76"/>
      <c r="G360" s="76"/>
      <c r="H360" s="76"/>
    </row>
    <row r="361" spans="1:8">
      <c r="A361" s="75"/>
      <c r="B361" s="76"/>
      <c r="C361" s="76"/>
      <c r="D361" s="76"/>
      <c r="E361" s="77"/>
      <c r="F361" s="76"/>
      <c r="G361" s="76"/>
      <c r="H361" s="76"/>
    </row>
    <row r="362" spans="1:8">
      <c r="A362" s="75"/>
      <c r="B362" s="76"/>
      <c r="C362" s="76"/>
      <c r="D362" s="76"/>
      <c r="E362" s="77"/>
      <c r="F362" s="76"/>
      <c r="G362" s="76"/>
      <c r="H362" s="76"/>
    </row>
    <row r="363" spans="1:8">
      <c r="A363" s="75"/>
      <c r="B363" s="76"/>
      <c r="C363" s="76"/>
      <c r="D363" s="76"/>
      <c r="E363" s="77"/>
      <c r="F363" s="76"/>
      <c r="G363" s="76"/>
      <c r="H363" s="76"/>
    </row>
    <row r="364" spans="1:8">
      <c r="A364" s="75"/>
      <c r="B364" s="76"/>
      <c r="C364" s="76"/>
      <c r="D364" s="76"/>
      <c r="E364" s="77"/>
      <c r="F364" s="76"/>
      <c r="G364" s="76"/>
      <c r="H364" s="76"/>
    </row>
    <row r="365" spans="1:8">
      <c r="A365" s="75"/>
      <c r="B365" s="76"/>
      <c r="C365" s="76"/>
      <c r="D365" s="76"/>
      <c r="E365" s="77"/>
      <c r="F365" s="76"/>
      <c r="G365" s="76"/>
      <c r="H365" s="76"/>
    </row>
    <row r="366" spans="1:8">
      <c r="A366" s="75"/>
      <c r="B366" s="76"/>
      <c r="C366" s="76"/>
      <c r="D366" s="76"/>
      <c r="E366" s="77"/>
      <c r="F366" s="76"/>
      <c r="G366" s="76"/>
      <c r="H366" s="76"/>
    </row>
    <row r="367" spans="1:8">
      <c r="A367" s="75"/>
      <c r="B367" s="76"/>
      <c r="C367" s="76"/>
      <c r="D367" s="76"/>
      <c r="E367" s="77"/>
      <c r="F367" s="76"/>
      <c r="G367" s="76"/>
      <c r="H367" s="76"/>
    </row>
    <row r="368" spans="1:8">
      <c r="A368" s="75"/>
      <c r="B368" s="76"/>
      <c r="C368" s="76"/>
      <c r="D368" s="76"/>
      <c r="E368" s="77"/>
      <c r="F368" s="76"/>
      <c r="G368" s="76"/>
      <c r="H368" s="76"/>
    </row>
    <row r="369" spans="1:8">
      <c r="A369" s="75"/>
      <c r="B369" s="76"/>
      <c r="C369" s="76"/>
      <c r="D369" s="76"/>
      <c r="E369" s="77"/>
      <c r="F369" s="76"/>
      <c r="G369" s="76"/>
      <c r="H369" s="76"/>
    </row>
    <row r="370" spans="1:8">
      <c r="A370" s="75"/>
      <c r="B370" s="76"/>
      <c r="C370" s="76"/>
      <c r="D370" s="76"/>
      <c r="E370" s="77"/>
      <c r="F370" s="76"/>
      <c r="G370" s="76"/>
      <c r="H370" s="76"/>
    </row>
    <row r="371" spans="1:8">
      <c r="A371" s="75"/>
      <c r="B371" s="76"/>
      <c r="C371" s="76"/>
      <c r="D371" s="76"/>
      <c r="E371" s="77"/>
      <c r="F371" s="76"/>
      <c r="G371" s="76"/>
      <c r="H371" s="76"/>
    </row>
    <row r="372" spans="1:8">
      <c r="A372" s="75"/>
      <c r="B372" s="76"/>
      <c r="C372" s="76"/>
      <c r="D372" s="76"/>
      <c r="E372" s="77"/>
      <c r="F372" s="76"/>
      <c r="G372" s="76"/>
      <c r="H372" s="76"/>
    </row>
    <row r="373" spans="1:8">
      <c r="A373" s="75"/>
      <c r="B373" s="76"/>
      <c r="C373" s="76"/>
      <c r="D373" s="76"/>
      <c r="E373" s="77"/>
      <c r="F373" s="76"/>
      <c r="G373" s="76"/>
      <c r="H373" s="76"/>
    </row>
    <row r="374" spans="1:8">
      <c r="A374" s="75"/>
      <c r="B374" s="76"/>
      <c r="C374" s="76"/>
      <c r="D374" s="76"/>
      <c r="E374" s="77"/>
      <c r="F374" s="76"/>
      <c r="G374" s="76"/>
      <c r="H374" s="76"/>
    </row>
    <row r="375" spans="1:8">
      <c r="A375" s="75"/>
      <c r="B375" s="76"/>
      <c r="C375" s="76"/>
      <c r="D375" s="76"/>
      <c r="E375" s="77"/>
      <c r="F375" s="76"/>
      <c r="G375" s="76"/>
      <c r="H375" s="76"/>
    </row>
    <row r="376" spans="1:8">
      <c r="A376" s="75"/>
      <c r="B376" s="76"/>
      <c r="C376" s="76"/>
      <c r="D376" s="76"/>
      <c r="E376" s="77"/>
      <c r="F376" s="76"/>
      <c r="G376" s="76"/>
      <c r="H376" s="76"/>
    </row>
    <row r="377" spans="1:8">
      <c r="A377" s="75"/>
      <c r="B377" s="76"/>
      <c r="C377" s="76"/>
      <c r="D377" s="76"/>
      <c r="E377" s="77"/>
      <c r="F377" s="76"/>
      <c r="G377" s="76"/>
      <c r="H377" s="76"/>
    </row>
    <row r="378" spans="1:8">
      <c r="A378" s="75"/>
      <c r="B378" s="76"/>
      <c r="C378" s="76"/>
      <c r="D378" s="76"/>
      <c r="E378" s="77"/>
      <c r="F378" s="76"/>
      <c r="G378" s="76"/>
      <c r="H378" s="76"/>
    </row>
    <row r="379" spans="1:8">
      <c r="A379" s="75"/>
      <c r="B379" s="76"/>
      <c r="C379" s="76"/>
      <c r="D379" s="76"/>
      <c r="E379" s="77"/>
      <c r="F379" s="76"/>
      <c r="G379" s="76"/>
      <c r="H379" s="76"/>
    </row>
    <row r="380" spans="1:8">
      <c r="A380" s="75"/>
      <c r="B380" s="76"/>
      <c r="C380" s="76"/>
      <c r="D380" s="76"/>
      <c r="E380" s="77"/>
      <c r="F380" s="76"/>
      <c r="G380" s="76"/>
      <c r="H380" s="76"/>
    </row>
    <row r="381" spans="1:8">
      <c r="A381" s="75"/>
      <c r="B381" s="76"/>
      <c r="C381" s="76"/>
      <c r="D381" s="76"/>
      <c r="E381" s="77"/>
      <c r="F381" s="76"/>
      <c r="G381" s="76"/>
      <c r="H381" s="76"/>
    </row>
    <row r="382" spans="1:8">
      <c r="A382" s="75"/>
      <c r="B382" s="76"/>
      <c r="C382" s="76"/>
      <c r="D382" s="76"/>
      <c r="E382" s="77"/>
      <c r="F382" s="76"/>
      <c r="G382" s="76"/>
      <c r="H382" s="76"/>
    </row>
    <row r="383" spans="1:8">
      <c r="A383" s="75"/>
      <c r="B383" s="76"/>
      <c r="C383" s="76"/>
      <c r="D383" s="76"/>
      <c r="E383" s="77"/>
      <c r="F383" s="76"/>
      <c r="G383" s="76"/>
      <c r="H383" s="76"/>
    </row>
    <row r="384" spans="1:8">
      <c r="A384" s="75"/>
      <c r="B384" s="76"/>
      <c r="C384" s="76"/>
      <c r="D384" s="76"/>
      <c r="E384" s="77"/>
      <c r="F384" s="76"/>
      <c r="G384" s="76"/>
      <c r="H384" s="76"/>
    </row>
    <row r="385" spans="1:8">
      <c r="A385" s="75"/>
      <c r="B385" s="76"/>
      <c r="C385" s="76"/>
      <c r="D385" s="76"/>
      <c r="E385" s="77"/>
      <c r="F385" s="76"/>
      <c r="G385" s="76"/>
      <c r="H385" s="76"/>
    </row>
    <row r="386" spans="1:8">
      <c r="A386" s="75"/>
      <c r="B386" s="76"/>
      <c r="C386" s="76"/>
      <c r="D386" s="76"/>
      <c r="E386" s="77"/>
      <c r="F386" s="76"/>
      <c r="G386" s="76"/>
      <c r="H386" s="76"/>
    </row>
    <row r="387" spans="1:8">
      <c r="A387" s="75"/>
      <c r="B387" s="76"/>
      <c r="C387" s="76"/>
      <c r="D387" s="76"/>
      <c r="E387" s="77"/>
      <c r="F387" s="76"/>
      <c r="G387" s="76"/>
      <c r="H387" s="76"/>
    </row>
    <row r="388" spans="1:8">
      <c r="A388" s="75"/>
      <c r="B388" s="76"/>
      <c r="C388" s="76"/>
      <c r="D388" s="76"/>
      <c r="E388" s="77"/>
      <c r="F388" s="76"/>
      <c r="G388" s="76"/>
      <c r="H388" s="76"/>
    </row>
    <row r="389" spans="1:8">
      <c r="A389" s="75"/>
      <c r="B389" s="76"/>
      <c r="C389" s="76"/>
      <c r="D389" s="76"/>
      <c r="E389" s="77"/>
      <c r="F389" s="76"/>
      <c r="G389" s="76"/>
      <c r="H389" s="76"/>
    </row>
    <row r="390" spans="1:8">
      <c r="A390" s="75"/>
      <c r="B390" s="76"/>
      <c r="C390" s="76"/>
      <c r="D390" s="76"/>
      <c r="E390" s="77"/>
      <c r="F390" s="76"/>
      <c r="G390" s="76"/>
      <c r="H390" s="76"/>
    </row>
    <row r="391" spans="1:8">
      <c r="A391" s="75"/>
      <c r="B391" s="76"/>
      <c r="C391" s="76"/>
      <c r="D391" s="76"/>
      <c r="E391" s="77"/>
      <c r="F391" s="76"/>
      <c r="G391" s="76"/>
      <c r="H391" s="76"/>
    </row>
    <row r="392" spans="1:8">
      <c r="A392" s="75"/>
      <c r="B392" s="76"/>
      <c r="C392" s="76"/>
      <c r="D392" s="76"/>
      <c r="E392" s="77"/>
      <c r="F392" s="76"/>
      <c r="G392" s="76"/>
      <c r="H392" s="76"/>
    </row>
    <row r="393" spans="1:8">
      <c r="A393" s="75"/>
      <c r="B393" s="76"/>
      <c r="C393" s="76"/>
      <c r="D393" s="76"/>
      <c r="E393" s="77"/>
      <c r="F393" s="76"/>
      <c r="G393" s="76"/>
      <c r="H393" s="76"/>
    </row>
    <row r="394" spans="1:8">
      <c r="A394" s="75"/>
      <c r="B394" s="76"/>
      <c r="C394" s="76"/>
      <c r="D394" s="76"/>
      <c r="E394" s="77"/>
      <c r="F394" s="76"/>
      <c r="G394" s="76"/>
      <c r="H394" s="76"/>
    </row>
    <row r="395" spans="1:8">
      <c r="A395" s="75"/>
      <c r="B395" s="76"/>
      <c r="C395" s="76"/>
      <c r="D395" s="76"/>
      <c r="E395" s="77"/>
      <c r="F395" s="76"/>
      <c r="G395" s="76"/>
      <c r="H395" s="76"/>
    </row>
    <row r="396" spans="1:8">
      <c r="A396" s="75"/>
      <c r="B396" s="76"/>
      <c r="C396" s="76"/>
      <c r="D396" s="76"/>
      <c r="E396" s="77"/>
      <c r="F396" s="76"/>
      <c r="G396" s="76"/>
      <c r="H396" s="76"/>
    </row>
    <row r="397" spans="1:8">
      <c r="A397" s="75"/>
      <c r="B397" s="76"/>
      <c r="C397" s="76"/>
      <c r="D397" s="76"/>
      <c r="E397" s="77"/>
      <c r="F397" s="76"/>
      <c r="G397" s="76"/>
      <c r="H397" s="76"/>
    </row>
    <row r="398" spans="1:8">
      <c r="A398" s="75"/>
      <c r="B398" s="76"/>
      <c r="C398" s="76"/>
      <c r="D398" s="76"/>
      <c r="E398" s="77"/>
      <c r="F398" s="76"/>
      <c r="G398" s="76"/>
      <c r="H398" s="76"/>
    </row>
    <row r="399" spans="1:8">
      <c r="A399" s="75"/>
      <c r="B399" s="76"/>
      <c r="C399" s="76"/>
      <c r="D399" s="76"/>
      <c r="E399" s="77"/>
      <c r="F399" s="76"/>
      <c r="G399" s="76"/>
      <c r="H399" s="76"/>
    </row>
    <row r="400" spans="1:8">
      <c r="A400" s="75"/>
      <c r="B400" s="76"/>
      <c r="C400" s="76"/>
      <c r="D400" s="76"/>
      <c r="E400" s="77"/>
      <c r="F400" s="76"/>
      <c r="G400" s="76"/>
      <c r="H400" s="76"/>
    </row>
    <row r="401" spans="1:8">
      <c r="A401" s="75"/>
      <c r="B401" s="76"/>
      <c r="C401" s="76"/>
      <c r="D401" s="76"/>
      <c r="E401" s="77"/>
      <c r="F401" s="76"/>
      <c r="G401" s="76"/>
      <c r="H401" s="76"/>
    </row>
    <row r="402" spans="1:8">
      <c r="A402" s="75"/>
      <c r="B402" s="76"/>
      <c r="C402" s="76"/>
      <c r="D402" s="76"/>
      <c r="E402" s="77"/>
      <c r="F402" s="76"/>
      <c r="G402" s="76"/>
      <c r="H402" s="76"/>
    </row>
    <row r="403" spans="1:8">
      <c r="A403" s="75"/>
      <c r="B403" s="76"/>
      <c r="C403" s="76"/>
      <c r="D403" s="76"/>
      <c r="E403" s="77"/>
      <c r="F403" s="76"/>
      <c r="G403" s="76"/>
      <c r="H403" s="76"/>
    </row>
    <row r="404" spans="1:8">
      <c r="A404" s="75"/>
      <c r="B404" s="76"/>
      <c r="C404" s="76"/>
      <c r="D404" s="76"/>
      <c r="E404" s="77"/>
      <c r="F404" s="76"/>
      <c r="G404" s="76"/>
      <c r="H404" s="76"/>
    </row>
    <row r="405" spans="1:8">
      <c r="A405" s="75"/>
      <c r="B405" s="76"/>
      <c r="C405" s="76"/>
      <c r="D405" s="76"/>
      <c r="E405" s="77"/>
      <c r="F405" s="76"/>
      <c r="G405" s="76"/>
      <c r="H405" s="76"/>
    </row>
    <row r="406" spans="1:8">
      <c r="A406" s="75"/>
      <c r="B406" s="76"/>
      <c r="C406" s="76"/>
      <c r="D406" s="76"/>
      <c r="E406" s="77"/>
      <c r="F406" s="76"/>
      <c r="G406" s="76"/>
      <c r="H406" s="76"/>
    </row>
    <row r="407" spans="1:8">
      <c r="A407" s="75"/>
      <c r="B407" s="76"/>
      <c r="C407" s="76"/>
      <c r="D407" s="76"/>
      <c r="E407" s="77"/>
      <c r="F407" s="76"/>
      <c r="G407" s="76"/>
      <c r="H407" s="76"/>
    </row>
    <row r="408" spans="1:8">
      <c r="A408" s="75"/>
      <c r="B408" s="76"/>
      <c r="C408" s="76"/>
      <c r="D408" s="76"/>
      <c r="E408" s="77"/>
      <c r="F408" s="76"/>
      <c r="G408" s="76"/>
      <c r="H408" s="76"/>
    </row>
    <row r="409" spans="1:8">
      <c r="A409" s="75"/>
      <c r="B409" s="76"/>
      <c r="C409" s="76"/>
      <c r="D409" s="76"/>
      <c r="E409" s="77"/>
      <c r="F409" s="76"/>
      <c r="G409" s="76"/>
      <c r="H409" s="76"/>
    </row>
    <row r="410" spans="1:8">
      <c r="A410" s="75"/>
      <c r="B410" s="76"/>
      <c r="C410" s="76"/>
      <c r="D410" s="76"/>
      <c r="E410" s="77"/>
      <c r="F410" s="76"/>
      <c r="G410" s="76"/>
      <c r="H410" s="76"/>
    </row>
    <row r="411" spans="1:8">
      <c r="A411" s="75"/>
      <c r="B411" s="76"/>
      <c r="C411" s="76"/>
      <c r="D411" s="76"/>
      <c r="E411" s="77"/>
      <c r="F411" s="76"/>
      <c r="G411" s="76"/>
      <c r="H411" s="76"/>
    </row>
    <row r="412" spans="1:8">
      <c r="A412" s="75"/>
      <c r="B412" s="76"/>
      <c r="C412" s="76"/>
      <c r="D412" s="76"/>
      <c r="E412" s="77"/>
      <c r="F412" s="76"/>
      <c r="G412" s="76"/>
      <c r="H412" s="76"/>
    </row>
    <row r="413" spans="1:8">
      <c r="A413" s="75"/>
      <c r="B413" s="76"/>
      <c r="C413" s="76"/>
      <c r="D413" s="76"/>
      <c r="E413" s="77"/>
      <c r="F413" s="76"/>
      <c r="G413" s="76"/>
      <c r="H413" s="76"/>
    </row>
    <row r="414" spans="1:8">
      <c r="A414" s="75"/>
      <c r="B414" s="76"/>
      <c r="C414" s="76"/>
      <c r="D414" s="76"/>
      <c r="E414" s="77"/>
      <c r="F414" s="76"/>
      <c r="G414" s="76"/>
      <c r="H414" s="76"/>
    </row>
    <row r="415" spans="1:8">
      <c r="A415" s="75"/>
      <c r="B415" s="76"/>
      <c r="C415" s="76"/>
      <c r="D415" s="76"/>
      <c r="E415" s="77"/>
      <c r="F415" s="76"/>
      <c r="G415" s="76"/>
      <c r="H415" s="76"/>
    </row>
    <row r="416" spans="1:8">
      <c r="A416" s="75"/>
      <c r="B416" s="76"/>
      <c r="C416" s="76"/>
      <c r="D416" s="76"/>
      <c r="E416" s="77"/>
      <c r="F416" s="76"/>
      <c r="G416" s="76"/>
      <c r="H416" s="76"/>
    </row>
    <row r="417" spans="1:8">
      <c r="A417" s="75"/>
      <c r="B417" s="76"/>
      <c r="C417" s="76"/>
      <c r="D417" s="76"/>
      <c r="E417" s="77"/>
      <c r="F417" s="76"/>
      <c r="G417" s="76"/>
      <c r="H417" s="76"/>
    </row>
    <row r="418" spans="1:8">
      <c r="A418" s="75"/>
      <c r="B418" s="76"/>
      <c r="C418" s="76"/>
      <c r="D418" s="76"/>
      <c r="E418" s="77"/>
      <c r="F418" s="76"/>
      <c r="G418" s="76"/>
      <c r="H418" s="76"/>
    </row>
    <row r="419" spans="1:8">
      <c r="A419" s="75"/>
      <c r="B419" s="76"/>
      <c r="C419" s="76"/>
      <c r="D419" s="76"/>
      <c r="E419" s="77"/>
      <c r="F419" s="76"/>
      <c r="G419" s="76"/>
      <c r="H419" s="76"/>
    </row>
    <row r="420" spans="1:8">
      <c r="A420" s="75"/>
      <c r="B420" s="76"/>
      <c r="C420" s="76"/>
      <c r="D420" s="76"/>
      <c r="E420" s="77"/>
      <c r="F420" s="76"/>
      <c r="G420" s="76"/>
      <c r="H420" s="76"/>
    </row>
    <row r="421" spans="1:8">
      <c r="A421" s="75"/>
      <c r="B421" s="76"/>
      <c r="C421" s="76"/>
      <c r="D421" s="76"/>
      <c r="E421" s="77"/>
      <c r="F421" s="76"/>
      <c r="G421" s="76"/>
      <c r="H421" s="76"/>
    </row>
    <row r="422" spans="1:8">
      <c r="A422" s="75"/>
      <c r="B422" s="76"/>
      <c r="C422" s="76"/>
      <c r="D422" s="76"/>
      <c r="E422" s="77"/>
      <c r="F422" s="76"/>
      <c r="G422" s="76"/>
      <c r="H422" s="76"/>
    </row>
    <row r="423" spans="1:8">
      <c r="A423" s="75"/>
      <c r="B423" s="76"/>
      <c r="C423" s="76"/>
      <c r="D423" s="76"/>
      <c r="E423" s="77"/>
      <c r="F423" s="76"/>
      <c r="G423" s="76"/>
      <c r="H423" s="76"/>
    </row>
    <row r="424" spans="1:8">
      <c r="A424" s="75"/>
      <c r="B424" s="76"/>
      <c r="C424" s="76"/>
      <c r="D424" s="76"/>
      <c r="E424" s="77"/>
      <c r="F424" s="76"/>
      <c r="G424" s="76"/>
      <c r="H424" s="76"/>
    </row>
    <row r="425" spans="1:8">
      <c r="A425" s="75"/>
      <c r="B425" s="76"/>
      <c r="C425" s="76"/>
      <c r="D425" s="76"/>
      <c r="E425" s="77"/>
      <c r="F425" s="76"/>
      <c r="G425" s="76"/>
      <c r="H425" s="76"/>
    </row>
    <row r="426" spans="1:8">
      <c r="A426" s="75"/>
      <c r="B426" s="76"/>
      <c r="C426" s="76"/>
      <c r="D426" s="76"/>
      <c r="E426" s="77"/>
      <c r="F426" s="76"/>
      <c r="G426" s="76"/>
      <c r="H426" s="76"/>
    </row>
    <row r="427" spans="1:8">
      <c r="A427" s="75"/>
      <c r="B427" s="76"/>
      <c r="C427" s="76"/>
      <c r="D427" s="76"/>
      <c r="E427" s="77"/>
      <c r="F427" s="76"/>
      <c r="G427" s="76"/>
      <c r="H427" s="76"/>
    </row>
    <row r="428" spans="1:8">
      <c r="A428" s="75"/>
      <c r="B428" s="76"/>
      <c r="C428" s="76"/>
      <c r="D428" s="76"/>
      <c r="E428" s="77"/>
      <c r="F428" s="76"/>
      <c r="G428" s="76"/>
      <c r="H428" s="76"/>
    </row>
    <row r="429" spans="1:8">
      <c r="A429" s="75"/>
      <c r="B429" s="76"/>
      <c r="C429" s="76"/>
      <c r="D429" s="76"/>
      <c r="E429" s="77"/>
      <c r="F429" s="76"/>
      <c r="G429" s="76"/>
      <c r="H429" s="76"/>
    </row>
    <row r="430" spans="1:8">
      <c r="A430" s="75"/>
      <c r="B430" s="76"/>
      <c r="C430" s="76"/>
      <c r="D430" s="76"/>
      <c r="E430" s="77"/>
      <c r="F430" s="76"/>
      <c r="G430" s="76"/>
      <c r="H430" s="76"/>
    </row>
    <row r="431" spans="1:8">
      <c r="A431" s="75"/>
      <c r="B431" s="76"/>
      <c r="C431" s="76"/>
      <c r="D431" s="76"/>
      <c r="E431" s="77"/>
      <c r="F431" s="76"/>
      <c r="G431" s="76"/>
      <c r="H431" s="76"/>
    </row>
    <row r="432" spans="1:8">
      <c r="A432" s="75"/>
      <c r="B432" s="76"/>
      <c r="C432" s="76"/>
      <c r="D432" s="76"/>
      <c r="E432" s="77"/>
      <c r="F432" s="76"/>
      <c r="G432" s="76"/>
      <c r="H432" s="76"/>
    </row>
    <row r="433" spans="1:8">
      <c r="A433" s="75"/>
      <c r="B433" s="76"/>
      <c r="C433" s="76"/>
      <c r="D433" s="76"/>
      <c r="E433" s="77"/>
      <c r="F433" s="76"/>
      <c r="G433" s="76"/>
      <c r="H433" s="76"/>
    </row>
    <row r="434" spans="1:8">
      <c r="A434" s="75"/>
      <c r="B434" s="76"/>
      <c r="C434" s="76"/>
      <c r="D434" s="76"/>
      <c r="E434" s="77"/>
      <c r="F434" s="76"/>
      <c r="G434" s="76"/>
      <c r="H434" s="76"/>
    </row>
    <row r="435" spans="1:8">
      <c r="A435" s="75"/>
      <c r="B435" s="76"/>
      <c r="C435" s="76"/>
      <c r="D435" s="76"/>
      <c r="E435" s="77"/>
      <c r="F435" s="76"/>
      <c r="G435" s="76"/>
      <c r="H435" s="76"/>
    </row>
    <row r="436" spans="1:8">
      <c r="A436" s="75"/>
      <c r="B436" s="76"/>
      <c r="C436" s="76"/>
      <c r="D436" s="76"/>
      <c r="E436" s="77"/>
      <c r="F436" s="76"/>
      <c r="G436" s="76"/>
      <c r="H436" s="76"/>
    </row>
    <row r="437" spans="1:8">
      <c r="A437" s="75"/>
      <c r="B437" s="76"/>
      <c r="C437" s="76"/>
      <c r="D437" s="76"/>
      <c r="E437" s="77"/>
      <c r="F437" s="76"/>
      <c r="G437" s="76"/>
      <c r="H437" s="76"/>
    </row>
    <row r="438" spans="1:8">
      <c r="A438" s="75"/>
      <c r="B438" s="76"/>
      <c r="C438" s="76"/>
      <c r="D438" s="76"/>
      <c r="E438" s="77"/>
      <c r="F438" s="76"/>
      <c r="G438" s="76"/>
      <c r="H438" s="76"/>
    </row>
    <row r="439" spans="1:8">
      <c r="A439" s="75"/>
      <c r="B439" s="76"/>
      <c r="C439" s="76"/>
      <c r="D439" s="76"/>
      <c r="E439" s="77"/>
      <c r="F439" s="76"/>
      <c r="G439" s="76"/>
      <c r="H439" s="76"/>
    </row>
    <row r="440" spans="1:8">
      <c r="A440" s="75"/>
      <c r="B440" s="76"/>
      <c r="C440" s="76"/>
      <c r="D440" s="76"/>
      <c r="E440" s="77"/>
      <c r="F440" s="76"/>
      <c r="G440" s="76"/>
      <c r="H440" s="76"/>
    </row>
    <row r="441" spans="1:8">
      <c r="A441" s="75"/>
      <c r="B441" s="76"/>
      <c r="C441" s="76"/>
      <c r="D441" s="76"/>
      <c r="E441" s="77"/>
      <c r="F441" s="76"/>
      <c r="G441" s="76"/>
      <c r="H441" s="76"/>
    </row>
    <row r="442" spans="1:8">
      <c r="A442" s="75"/>
      <c r="B442" s="76"/>
      <c r="C442" s="76"/>
      <c r="D442" s="76"/>
      <c r="E442" s="77"/>
      <c r="F442" s="76"/>
      <c r="G442" s="76"/>
      <c r="H442" s="76"/>
    </row>
    <row r="443" spans="1:8">
      <c r="A443" s="75"/>
      <c r="B443" s="76"/>
      <c r="C443" s="76"/>
      <c r="D443" s="76"/>
      <c r="E443" s="77"/>
      <c r="F443" s="76"/>
      <c r="G443" s="76"/>
      <c r="H443" s="76"/>
    </row>
    <row r="444" spans="1:8">
      <c r="A444" s="75"/>
      <c r="B444" s="76"/>
      <c r="C444" s="76"/>
      <c r="D444" s="76"/>
      <c r="E444" s="77"/>
      <c r="F444" s="76"/>
      <c r="G444" s="76"/>
      <c r="H444" s="76"/>
    </row>
    <row r="445" spans="1:8">
      <c r="A445" s="75"/>
      <c r="B445" s="76"/>
      <c r="C445" s="76"/>
      <c r="D445" s="76"/>
      <c r="E445" s="77"/>
      <c r="F445" s="76"/>
      <c r="G445" s="76"/>
      <c r="H445" s="76"/>
    </row>
    <row r="446" spans="1:8">
      <c r="A446" s="75"/>
      <c r="B446" s="76"/>
      <c r="C446" s="76"/>
      <c r="D446" s="76"/>
      <c r="E446" s="77"/>
      <c r="F446" s="76"/>
      <c r="G446" s="76"/>
      <c r="H446" s="76"/>
    </row>
    <row r="447" spans="1:8">
      <c r="A447" s="75"/>
      <c r="B447" s="76"/>
      <c r="C447" s="76"/>
      <c r="D447" s="76"/>
      <c r="E447" s="77"/>
      <c r="F447" s="76"/>
      <c r="G447" s="76"/>
      <c r="H447" s="76"/>
    </row>
    <row r="448" spans="1:8">
      <c r="A448" s="75"/>
      <c r="B448" s="76"/>
      <c r="C448" s="76"/>
      <c r="D448" s="76"/>
      <c r="E448" s="77"/>
      <c r="F448" s="76"/>
      <c r="G448" s="76"/>
      <c r="H448" s="76"/>
    </row>
    <row r="449" spans="1:8">
      <c r="A449" s="75"/>
      <c r="B449" s="76"/>
      <c r="C449" s="76"/>
      <c r="D449" s="76"/>
      <c r="E449" s="77"/>
      <c r="F449" s="76"/>
      <c r="G449" s="76"/>
      <c r="H449" s="76"/>
    </row>
    <row r="450" spans="1:8">
      <c r="A450" s="75"/>
      <c r="B450" s="76"/>
      <c r="C450" s="76"/>
      <c r="D450" s="76"/>
      <c r="E450" s="77"/>
      <c r="F450" s="76"/>
      <c r="G450" s="76"/>
      <c r="H450" s="76"/>
    </row>
    <row r="451" spans="1:8">
      <c r="A451" s="75"/>
      <c r="B451" s="76"/>
      <c r="C451" s="76"/>
      <c r="D451" s="76"/>
      <c r="E451" s="77"/>
      <c r="F451" s="76"/>
      <c r="G451" s="76"/>
      <c r="H451" s="76"/>
    </row>
    <row r="452" spans="1:8">
      <c r="A452" s="75"/>
      <c r="B452" s="76"/>
      <c r="C452" s="76"/>
      <c r="D452" s="76"/>
      <c r="E452" s="77"/>
      <c r="F452" s="76"/>
      <c r="G452" s="76"/>
      <c r="H452" s="76"/>
    </row>
    <row r="453" spans="1:8">
      <c r="A453" s="75"/>
      <c r="B453" s="76"/>
      <c r="C453" s="76"/>
      <c r="D453" s="76"/>
      <c r="E453" s="77"/>
      <c r="F453" s="76"/>
      <c r="G453" s="76"/>
      <c r="H453" s="76"/>
    </row>
    <row r="454" spans="1:8">
      <c r="A454" s="75"/>
      <c r="B454" s="76"/>
      <c r="C454" s="76"/>
      <c r="D454" s="76"/>
      <c r="E454" s="77"/>
      <c r="F454" s="76"/>
      <c r="G454" s="76"/>
      <c r="H454" s="76"/>
    </row>
    <row r="455" spans="1:8">
      <c r="A455" s="75"/>
      <c r="B455" s="76"/>
      <c r="C455" s="76"/>
      <c r="D455" s="76"/>
      <c r="E455" s="77"/>
      <c r="F455" s="76"/>
      <c r="G455" s="76"/>
      <c r="H455" s="76"/>
    </row>
    <row r="456" spans="1:8">
      <c r="A456" s="75"/>
      <c r="B456" s="76"/>
      <c r="C456" s="76"/>
      <c r="D456" s="76"/>
      <c r="E456" s="77"/>
      <c r="F456" s="76"/>
      <c r="G456" s="76"/>
      <c r="H456" s="76"/>
    </row>
    <row r="457" spans="1:8">
      <c r="A457" s="75"/>
      <c r="B457" s="76"/>
      <c r="C457" s="76"/>
      <c r="D457" s="76"/>
      <c r="E457" s="77"/>
      <c r="F457" s="76"/>
      <c r="G457" s="76"/>
      <c r="H457" s="76"/>
    </row>
    <row r="458" spans="1:8">
      <c r="A458" s="75"/>
      <c r="B458" s="76"/>
      <c r="C458" s="76"/>
      <c r="D458" s="76"/>
      <c r="E458" s="77"/>
      <c r="F458" s="76"/>
      <c r="G458" s="76"/>
      <c r="H458" s="76"/>
    </row>
    <row r="459" spans="1:8">
      <c r="A459" s="75"/>
      <c r="B459" s="76"/>
      <c r="C459" s="76"/>
      <c r="D459" s="76"/>
      <c r="E459" s="77"/>
      <c r="F459" s="76"/>
      <c r="G459" s="76"/>
      <c r="H459" s="76"/>
    </row>
    <row r="460" spans="1:8">
      <c r="A460" s="75"/>
      <c r="B460" s="76"/>
      <c r="C460" s="76"/>
      <c r="D460" s="76"/>
      <c r="E460" s="77"/>
      <c r="F460" s="76"/>
      <c r="G460" s="76"/>
      <c r="H460" s="76"/>
    </row>
    <row r="461" spans="1:8">
      <c r="A461" s="75"/>
      <c r="B461" s="76"/>
      <c r="C461" s="76"/>
      <c r="D461" s="76"/>
      <c r="E461" s="77"/>
      <c r="F461" s="76"/>
      <c r="G461" s="76"/>
      <c r="H461" s="76"/>
    </row>
    <row r="462" spans="1:8">
      <c r="A462" s="75"/>
      <c r="B462" s="76"/>
      <c r="C462" s="76"/>
      <c r="D462" s="76"/>
      <c r="E462" s="77"/>
      <c r="F462" s="76"/>
      <c r="G462" s="76"/>
      <c r="H462" s="76"/>
    </row>
    <row r="463" spans="1:8">
      <c r="A463" s="75"/>
      <c r="B463" s="76"/>
      <c r="C463" s="76"/>
      <c r="D463" s="76"/>
      <c r="E463" s="77"/>
      <c r="F463" s="76"/>
      <c r="G463" s="76"/>
      <c r="H463" s="76"/>
    </row>
    <row r="464" spans="1:8">
      <c r="A464" s="75"/>
      <c r="B464" s="76"/>
      <c r="C464" s="76"/>
      <c r="D464" s="76"/>
      <c r="E464" s="77"/>
      <c r="F464" s="76"/>
      <c r="G464" s="76"/>
      <c r="H464" s="76"/>
    </row>
    <row r="465" spans="1:8">
      <c r="A465" s="75"/>
      <c r="B465" s="76"/>
      <c r="C465" s="76"/>
      <c r="D465" s="76"/>
      <c r="E465" s="77"/>
      <c r="F465" s="76"/>
      <c r="G465" s="76"/>
      <c r="H465" s="76"/>
    </row>
    <row r="466" spans="1:8">
      <c r="A466" s="75"/>
      <c r="B466" s="76"/>
      <c r="C466" s="76"/>
      <c r="D466" s="76"/>
      <c r="E466" s="77"/>
      <c r="F466" s="76"/>
      <c r="G466" s="76"/>
      <c r="H466" s="76"/>
    </row>
    <row r="467" spans="1:8">
      <c r="A467" s="75"/>
      <c r="B467" s="76"/>
      <c r="C467" s="76"/>
      <c r="D467" s="76"/>
      <c r="E467" s="77"/>
      <c r="F467" s="76"/>
      <c r="G467" s="76"/>
      <c r="H467" s="76"/>
    </row>
    <row r="468" spans="1:8">
      <c r="A468" s="75"/>
      <c r="B468" s="76"/>
      <c r="C468" s="76"/>
      <c r="D468" s="76"/>
      <c r="E468" s="77"/>
      <c r="F468" s="76"/>
      <c r="G468" s="76"/>
      <c r="H468" s="76"/>
    </row>
    <row r="469" spans="1:8">
      <c r="A469" s="75"/>
      <c r="B469" s="76"/>
      <c r="C469" s="76"/>
      <c r="D469" s="76"/>
      <c r="E469" s="77"/>
      <c r="F469" s="76"/>
      <c r="G469" s="76"/>
      <c r="H469" s="76"/>
    </row>
    <row r="470" spans="1:8">
      <c r="A470" s="75"/>
      <c r="B470" s="76"/>
      <c r="C470" s="76"/>
      <c r="D470" s="76"/>
      <c r="E470" s="77"/>
      <c r="F470" s="76"/>
      <c r="G470" s="76"/>
      <c r="H470" s="76"/>
    </row>
    <row r="471" spans="1:8">
      <c r="A471" s="75"/>
      <c r="B471" s="76"/>
      <c r="C471" s="76"/>
      <c r="D471" s="76"/>
      <c r="E471" s="77"/>
      <c r="F471" s="76"/>
      <c r="G471" s="76"/>
      <c r="H471" s="76"/>
    </row>
    <row r="472" spans="1:8">
      <c r="A472" s="75"/>
      <c r="B472" s="76"/>
      <c r="C472" s="76"/>
      <c r="D472" s="76"/>
      <c r="E472" s="77"/>
      <c r="F472" s="76"/>
      <c r="G472" s="76"/>
      <c r="H472" s="76"/>
    </row>
    <row r="473" spans="1:8">
      <c r="A473" s="75"/>
      <c r="B473" s="76"/>
      <c r="C473" s="76"/>
      <c r="D473" s="76"/>
      <c r="E473" s="77"/>
      <c r="F473" s="76"/>
      <c r="G473" s="76"/>
      <c r="H473" s="76"/>
    </row>
    <row r="474" spans="1:8">
      <c r="A474" s="75"/>
      <c r="B474" s="76"/>
      <c r="C474" s="76"/>
      <c r="D474" s="76"/>
      <c r="E474" s="77"/>
      <c r="F474" s="76"/>
      <c r="G474" s="76"/>
      <c r="H474" s="76"/>
    </row>
    <row r="475" spans="1:8">
      <c r="A475" s="75"/>
      <c r="B475" s="76"/>
      <c r="C475" s="76"/>
      <c r="D475" s="76"/>
      <c r="E475" s="77"/>
      <c r="F475" s="76"/>
      <c r="G475" s="76"/>
      <c r="H475" s="76"/>
    </row>
    <row r="476" spans="1:8">
      <c r="A476" s="75"/>
      <c r="B476" s="76"/>
      <c r="C476" s="76"/>
      <c r="D476" s="76"/>
      <c r="E476" s="77"/>
      <c r="F476" s="76"/>
      <c r="G476" s="76"/>
      <c r="H476" s="76"/>
    </row>
    <row r="477" spans="1:8">
      <c r="A477" s="75"/>
      <c r="B477" s="76"/>
      <c r="C477" s="76"/>
      <c r="D477" s="76"/>
      <c r="E477" s="77"/>
      <c r="F477" s="76"/>
      <c r="G477" s="76"/>
      <c r="H477" s="76"/>
    </row>
    <row r="478" spans="1:8">
      <c r="A478" s="75"/>
      <c r="B478" s="76"/>
      <c r="C478" s="76"/>
      <c r="D478" s="76"/>
      <c r="E478" s="77"/>
      <c r="F478" s="76"/>
      <c r="G478" s="76"/>
      <c r="H478" s="76"/>
    </row>
    <row r="479" spans="1:8">
      <c r="A479" s="75"/>
      <c r="B479" s="76"/>
      <c r="C479" s="76"/>
      <c r="D479" s="76"/>
      <c r="E479" s="77"/>
      <c r="F479" s="76"/>
      <c r="G479" s="76"/>
      <c r="H479" s="76"/>
    </row>
    <row r="480" spans="1:8">
      <c r="A480" s="75"/>
      <c r="B480" s="76"/>
      <c r="C480" s="76"/>
      <c r="D480" s="76"/>
      <c r="E480" s="77"/>
      <c r="F480" s="76"/>
      <c r="G480" s="76"/>
      <c r="H480" s="76"/>
    </row>
    <row r="481" spans="1:8">
      <c r="A481" s="75"/>
      <c r="B481" s="76"/>
      <c r="C481" s="76"/>
      <c r="D481" s="76"/>
      <c r="E481" s="77"/>
      <c r="F481" s="76"/>
      <c r="G481" s="76"/>
      <c r="H481" s="76"/>
    </row>
    <row r="482" spans="1:8">
      <c r="A482" s="75"/>
      <c r="B482" s="76"/>
      <c r="C482" s="76"/>
      <c r="D482" s="76"/>
      <c r="E482" s="77"/>
      <c r="F482" s="76"/>
      <c r="G482" s="76"/>
      <c r="H482" s="76"/>
    </row>
    <row r="483" spans="1:8">
      <c r="A483" s="75"/>
      <c r="B483" s="76"/>
      <c r="C483" s="76"/>
      <c r="D483" s="76"/>
      <c r="E483" s="77"/>
      <c r="F483" s="76"/>
      <c r="G483" s="76"/>
      <c r="H483" s="76"/>
    </row>
    <row r="484" spans="1:8">
      <c r="A484" s="75"/>
      <c r="B484" s="76"/>
      <c r="C484" s="76"/>
      <c r="D484" s="76"/>
      <c r="E484" s="77"/>
      <c r="F484" s="76"/>
      <c r="G484" s="76"/>
      <c r="H484" s="76"/>
    </row>
    <row r="485" spans="1:8">
      <c r="A485" s="75"/>
      <c r="B485" s="76"/>
      <c r="C485" s="76"/>
      <c r="D485" s="76"/>
      <c r="E485" s="77"/>
      <c r="F485" s="76"/>
      <c r="G485" s="76"/>
      <c r="H485" s="76"/>
    </row>
    <row r="486" spans="1:8">
      <c r="A486" s="75"/>
      <c r="B486" s="76"/>
      <c r="C486" s="76"/>
      <c r="D486" s="76"/>
      <c r="E486" s="77"/>
      <c r="F486" s="76"/>
      <c r="G486" s="76"/>
      <c r="H486" s="76"/>
    </row>
    <row r="487" spans="1:8">
      <c r="A487" s="75"/>
      <c r="B487" s="76"/>
      <c r="C487" s="76"/>
      <c r="D487" s="76"/>
      <c r="E487" s="77"/>
      <c r="F487" s="76"/>
      <c r="G487" s="76"/>
      <c r="H487" s="76"/>
    </row>
    <row r="488" spans="1:8">
      <c r="A488" s="75"/>
      <c r="B488" s="76"/>
      <c r="C488" s="76"/>
      <c r="D488" s="76"/>
      <c r="E488" s="77"/>
      <c r="F488" s="76"/>
      <c r="G488" s="76"/>
      <c r="H488" s="76"/>
    </row>
    <row r="489" spans="1:8">
      <c r="A489" s="75"/>
      <c r="B489" s="76"/>
      <c r="C489" s="76"/>
      <c r="D489" s="76"/>
      <c r="E489" s="77"/>
      <c r="F489" s="76"/>
      <c r="G489" s="76"/>
      <c r="H489" s="76"/>
    </row>
    <row r="490" spans="1:8">
      <c r="A490" s="75"/>
      <c r="B490" s="76"/>
      <c r="C490" s="76"/>
      <c r="D490" s="76"/>
      <c r="E490" s="77"/>
      <c r="F490" s="76"/>
      <c r="G490" s="76"/>
      <c r="H490" s="76"/>
    </row>
    <row r="491" spans="1:8">
      <c r="A491" s="75"/>
      <c r="B491" s="76"/>
      <c r="C491" s="76"/>
      <c r="D491" s="76"/>
      <c r="E491" s="77"/>
      <c r="F491" s="76"/>
      <c r="G491" s="76"/>
      <c r="H491" s="76"/>
    </row>
    <row r="492" spans="1:8">
      <c r="A492" s="75"/>
      <c r="B492" s="76"/>
      <c r="C492" s="76"/>
      <c r="D492" s="76"/>
      <c r="E492" s="77"/>
      <c r="F492" s="76"/>
      <c r="G492" s="76"/>
      <c r="H492" s="76"/>
    </row>
    <row r="493" spans="1:8">
      <c r="A493" s="75"/>
      <c r="B493" s="76"/>
      <c r="C493" s="76"/>
      <c r="D493" s="76"/>
      <c r="E493" s="77"/>
      <c r="F493" s="76"/>
      <c r="G493" s="76"/>
      <c r="H493" s="76"/>
    </row>
    <row r="494" spans="1:8">
      <c r="A494" s="75"/>
      <c r="B494" s="76"/>
      <c r="C494" s="76"/>
      <c r="D494" s="76"/>
      <c r="E494" s="77"/>
      <c r="F494" s="76"/>
      <c r="G494" s="76"/>
      <c r="H494" s="76"/>
    </row>
    <row r="495" spans="1:8">
      <c r="A495" s="75"/>
      <c r="B495" s="76"/>
      <c r="C495" s="76"/>
      <c r="D495" s="76"/>
      <c r="E495" s="77"/>
      <c r="F495" s="76"/>
      <c r="G495" s="76"/>
      <c r="H495" s="76"/>
    </row>
    <row r="496" spans="1:8">
      <c r="A496" s="75"/>
      <c r="B496" s="76"/>
      <c r="C496" s="76"/>
      <c r="D496" s="76"/>
      <c r="E496" s="77"/>
      <c r="F496" s="76"/>
      <c r="G496" s="76"/>
      <c r="H496" s="76"/>
    </row>
    <row r="497" spans="1:8">
      <c r="A497" s="75"/>
      <c r="B497" s="76"/>
      <c r="C497" s="76"/>
      <c r="D497" s="76"/>
      <c r="E497" s="77"/>
      <c r="F497" s="76"/>
      <c r="G497" s="76"/>
      <c r="H497" s="76"/>
    </row>
    <row r="498" spans="1:8">
      <c r="A498" s="75"/>
      <c r="B498" s="76"/>
      <c r="C498" s="76"/>
      <c r="D498" s="76"/>
      <c r="E498" s="77"/>
      <c r="F498" s="76"/>
      <c r="G498" s="76"/>
      <c r="H498" s="76"/>
    </row>
    <row r="499" spans="1:8">
      <c r="A499" s="75"/>
      <c r="B499" s="76"/>
      <c r="C499" s="76"/>
      <c r="D499" s="76"/>
      <c r="E499" s="77"/>
      <c r="F499" s="76"/>
      <c r="G499" s="76"/>
      <c r="H499" s="76"/>
    </row>
    <row r="500" spans="1:8">
      <c r="A500" s="75"/>
      <c r="B500" s="76"/>
      <c r="C500" s="76"/>
      <c r="D500" s="76"/>
      <c r="E500" s="77"/>
      <c r="F500" s="76"/>
      <c r="G500" s="76"/>
      <c r="H500" s="76"/>
    </row>
    <row r="501" spans="1:8">
      <c r="A501" s="75"/>
      <c r="B501" s="76"/>
      <c r="C501" s="76"/>
      <c r="D501" s="76"/>
      <c r="E501" s="77"/>
      <c r="F501" s="76"/>
      <c r="G501" s="76"/>
      <c r="H501" s="76"/>
    </row>
    <row r="502" spans="1:8">
      <c r="A502" s="75"/>
      <c r="B502" s="76"/>
      <c r="C502" s="76"/>
      <c r="D502" s="76"/>
      <c r="E502" s="77"/>
      <c r="F502" s="76"/>
      <c r="G502" s="76"/>
      <c r="H502" s="76"/>
    </row>
    <row r="503" spans="1:8">
      <c r="A503" s="75"/>
      <c r="B503" s="76"/>
      <c r="C503" s="76"/>
      <c r="D503" s="76"/>
      <c r="E503" s="77"/>
      <c r="F503" s="76"/>
      <c r="G503" s="76"/>
      <c r="H503" s="76"/>
    </row>
    <row r="504" spans="1:8">
      <c r="A504" s="75"/>
      <c r="B504" s="76"/>
      <c r="C504" s="76"/>
      <c r="D504" s="76"/>
      <c r="E504" s="77"/>
      <c r="F504" s="76"/>
      <c r="G504" s="76"/>
      <c r="H504" s="76"/>
    </row>
    <row r="505" spans="1:8">
      <c r="A505" s="75"/>
      <c r="B505" s="76"/>
      <c r="C505" s="76"/>
      <c r="D505" s="76"/>
      <c r="E505" s="77"/>
      <c r="F505" s="76"/>
      <c r="G505" s="76"/>
      <c r="H505" s="76"/>
    </row>
    <row r="506" spans="1:8">
      <c r="A506" s="75"/>
      <c r="B506" s="76"/>
      <c r="C506" s="76"/>
      <c r="D506" s="76"/>
      <c r="E506" s="77"/>
      <c r="F506" s="76"/>
      <c r="G506" s="76"/>
      <c r="H506" s="76"/>
    </row>
    <row r="507" spans="1:8">
      <c r="A507" s="75"/>
      <c r="B507" s="76"/>
      <c r="C507" s="76"/>
      <c r="D507" s="76"/>
      <c r="E507" s="77"/>
      <c r="F507" s="76"/>
      <c r="G507" s="76"/>
      <c r="H507" s="76"/>
    </row>
    <row r="508" spans="1:8">
      <c r="A508" s="75"/>
      <c r="B508" s="76"/>
      <c r="C508" s="76"/>
      <c r="D508" s="76"/>
      <c r="E508" s="77"/>
      <c r="F508" s="76"/>
      <c r="G508" s="76"/>
      <c r="H508" s="76"/>
    </row>
    <row r="509" spans="1:8">
      <c r="A509" s="75"/>
      <c r="B509" s="76"/>
      <c r="C509" s="76"/>
      <c r="D509" s="76"/>
      <c r="E509" s="77"/>
      <c r="F509" s="76"/>
      <c r="G509" s="76"/>
      <c r="H509" s="76"/>
    </row>
    <row r="510" spans="1:8">
      <c r="A510" s="75"/>
      <c r="B510" s="76"/>
      <c r="C510" s="76"/>
      <c r="D510" s="76"/>
      <c r="E510" s="77"/>
      <c r="F510" s="76"/>
      <c r="G510" s="76"/>
      <c r="H510" s="76"/>
    </row>
    <row r="511" spans="1:8">
      <c r="A511" s="75"/>
      <c r="B511" s="76"/>
      <c r="C511" s="76"/>
      <c r="D511" s="76"/>
      <c r="E511" s="77"/>
      <c r="F511" s="76"/>
      <c r="G511" s="76"/>
      <c r="H511" s="76"/>
    </row>
    <row r="512" spans="1:8">
      <c r="A512" s="75"/>
      <c r="B512" s="76"/>
      <c r="C512" s="76"/>
      <c r="D512" s="76"/>
      <c r="E512" s="77"/>
      <c r="F512" s="76"/>
      <c r="G512" s="76"/>
      <c r="H512" s="76"/>
    </row>
    <row r="513" spans="1:8">
      <c r="A513" s="75"/>
      <c r="B513" s="76"/>
      <c r="C513" s="76"/>
      <c r="D513" s="76"/>
      <c r="E513" s="77"/>
      <c r="F513" s="76"/>
      <c r="G513" s="76"/>
      <c r="H513" s="76"/>
    </row>
    <row r="514" spans="1:8">
      <c r="A514" s="75"/>
      <c r="B514" s="76"/>
      <c r="C514" s="76"/>
      <c r="D514" s="76"/>
      <c r="E514" s="77"/>
      <c r="F514" s="76"/>
      <c r="G514" s="76"/>
      <c r="H514" s="76"/>
    </row>
    <row r="515" spans="1:8">
      <c r="A515" s="75"/>
      <c r="B515" s="76"/>
      <c r="C515" s="76"/>
      <c r="D515" s="76"/>
      <c r="E515" s="77"/>
      <c r="F515" s="76"/>
      <c r="G515" s="76"/>
      <c r="H515" s="76"/>
    </row>
    <row r="516" spans="1:8">
      <c r="A516" s="75"/>
      <c r="B516" s="76"/>
      <c r="C516" s="76"/>
      <c r="D516" s="76"/>
      <c r="E516" s="77"/>
      <c r="F516" s="76"/>
      <c r="G516" s="76"/>
      <c r="H516" s="76"/>
    </row>
    <row r="517" spans="1:8">
      <c r="A517" s="75"/>
      <c r="B517" s="76"/>
      <c r="C517" s="76"/>
      <c r="D517" s="76"/>
      <c r="E517" s="77"/>
      <c r="F517" s="76"/>
      <c r="G517" s="76"/>
      <c r="H517" s="76"/>
    </row>
    <row r="518" spans="1:8">
      <c r="A518" s="75"/>
      <c r="B518" s="76"/>
      <c r="C518" s="76"/>
      <c r="D518" s="76"/>
      <c r="E518" s="77"/>
      <c r="F518" s="76"/>
      <c r="G518" s="76"/>
      <c r="H518" s="76"/>
    </row>
    <row r="519" spans="1:8">
      <c r="A519" s="75"/>
      <c r="B519" s="76"/>
      <c r="C519" s="76"/>
      <c r="D519" s="76"/>
      <c r="E519" s="77"/>
      <c r="F519" s="76"/>
      <c r="G519" s="76"/>
      <c r="H519" s="76"/>
    </row>
    <row r="520" spans="1:8">
      <c r="A520" s="75"/>
      <c r="B520" s="76"/>
      <c r="C520" s="76"/>
      <c r="D520" s="76"/>
      <c r="E520" s="77"/>
      <c r="F520" s="76"/>
      <c r="G520" s="76"/>
      <c r="H520" s="76"/>
    </row>
    <row r="521" spans="1:8">
      <c r="A521" s="75"/>
      <c r="B521" s="76"/>
      <c r="C521" s="76"/>
      <c r="D521" s="76"/>
      <c r="E521" s="77"/>
      <c r="F521" s="76"/>
      <c r="G521" s="76"/>
      <c r="H521" s="76"/>
    </row>
    <row r="522" spans="1:8">
      <c r="A522" s="75"/>
      <c r="B522" s="76"/>
      <c r="C522" s="76"/>
      <c r="D522" s="76"/>
      <c r="E522" s="77"/>
      <c r="F522" s="76"/>
      <c r="G522" s="76"/>
      <c r="H522" s="76"/>
    </row>
    <row r="523" spans="1:8">
      <c r="A523" s="75"/>
      <c r="B523" s="76"/>
      <c r="C523" s="76"/>
      <c r="D523" s="76"/>
      <c r="E523" s="77"/>
      <c r="F523" s="76"/>
      <c r="G523" s="76"/>
      <c r="H523" s="76"/>
    </row>
    <row r="524" spans="1:8">
      <c r="A524" s="75"/>
      <c r="B524" s="76"/>
      <c r="C524" s="76"/>
      <c r="D524" s="76"/>
      <c r="E524" s="77"/>
      <c r="F524" s="76"/>
      <c r="G524" s="76"/>
      <c r="H524" s="76"/>
    </row>
    <row r="525" spans="1:8">
      <c r="A525" s="75"/>
      <c r="B525" s="76"/>
      <c r="C525" s="76"/>
      <c r="D525" s="76"/>
      <c r="E525" s="77"/>
      <c r="F525" s="76"/>
      <c r="G525" s="76"/>
      <c r="H525" s="76"/>
    </row>
    <row r="526" spans="1:8">
      <c r="A526" s="75"/>
      <c r="B526" s="76"/>
      <c r="C526" s="76"/>
      <c r="D526" s="76"/>
      <c r="E526" s="77"/>
      <c r="F526" s="76"/>
      <c r="G526" s="76"/>
      <c r="H526" s="76"/>
    </row>
    <row r="527" spans="1:8">
      <c r="A527" s="75"/>
      <c r="B527" s="76"/>
      <c r="C527" s="76"/>
      <c r="D527" s="76"/>
      <c r="E527" s="77"/>
      <c r="F527" s="76"/>
      <c r="G527" s="76"/>
      <c r="H527" s="76"/>
    </row>
    <row r="528" spans="1:8">
      <c r="A528" s="75"/>
      <c r="B528" s="76"/>
      <c r="C528" s="76"/>
      <c r="D528" s="76"/>
      <c r="E528" s="77"/>
      <c r="F528" s="76"/>
      <c r="G528" s="76"/>
      <c r="H528" s="76"/>
    </row>
    <row r="529" spans="1:8">
      <c r="A529" s="75"/>
      <c r="B529" s="76"/>
      <c r="C529" s="76"/>
      <c r="D529" s="76"/>
      <c r="E529" s="77"/>
      <c r="F529" s="76"/>
      <c r="G529" s="76"/>
      <c r="H529" s="76"/>
    </row>
    <row r="530" spans="1:8">
      <c r="A530" s="75"/>
      <c r="B530" s="76"/>
      <c r="C530" s="76"/>
      <c r="D530" s="76"/>
      <c r="E530" s="77"/>
      <c r="F530" s="76"/>
      <c r="G530" s="76"/>
      <c r="H530" s="76"/>
    </row>
    <row r="531" spans="1:8">
      <c r="A531" s="75"/>
      <c r="B531" s="76"/>
      <c r="C531" s="76"/>
      <c r="D531" s="76"/>
      <c r="E531" s="77"/>
      <c r="F531" s="76"/>
      <c r="G531" s="76"/>
      <c r="H531" s="76"/>
    </row>
    <row r="532" spans="1:8">
      <c r="A532" s="75"/>
      <c r="B532" s="76"/>
      <c r="C532" s="76"/>
      <c r="D532" s="76"/>
      <c r="E532" s="77"/>
      <c r="F532" s="76"/>
      <c r="G532" s="76"/>
      <c r="H532" s="76"/>
    </row>
    <row r="533" spans="1:8">
      <c r="A533" s="75"/>
      <c r="B533" s="76"/>
      <c r="C533" s="76"/>
      <c r="D533" s="76"/>
      <c r="E533" s="77"/>
      <c r="F533" s="76"/>
      <c r="G533" s="76"/>
      <c r="H533" s="76"/>
    </row>
    <row r="534" spans="1:8">
      <c r="A534" s="75"/>
      <c r="B534" s="76"/>
      <c r="C534" s="76"/>
      <c r="D534" s="76"/>
      <c r="E534" s="77"/>
      <c r="F534" s="76"/>
      <c r="G534" s="76"/>
      <c r="H534" s="76"/>
    </row>
    <row r="535" spans="1:8">
      <c r="A535" s="75"/>
      <c r="B535" s="76"/>
      <c r="C535" s="76"/>
      <c r="D535" s="76"/>
      <c r="E535" s="77"/>
      <c r="F535" s="76"/>
      <c r="G535" s="76"/>
      <c r="H535" s="76"/>
    </row>
    <row r="536" spans="1:8">
      <c r="A536" s="75"/>
      <c r="B536" s="76"/>
      <c r="C536" s="76"/>
      <c r="D536" s="76"/>
      <c r="E536" s="77"/>
      <c r="F536" s="76"/>
      <c r="G536" s="76"/>
      <c r="H536" s="76"/>
    </row>
    <row r="537" spans="1:8">
      <c r="A537" s="75"/>
      <c r="B537" s="76"/>
      <c r="C537" s="76"/>
      <c r="D537" s="76"/>
      <c r="E537" s="77"/>
      <c r="F537" s="76"/>
      <c r="G537" s="76"/>
      <c r="H537" s="76"/>
    </row>
    <row r="538" spans="1:8">
      <c r="A538" s="75"/>
      <c r="B538" s="76"/>
      <c r="C538" s="76"/>
      <c r="D538" s="76"/>
      <c r="E538" s="77"/>
      <c r="F538" s="76"/>
      <c r="G538" s="76"/>
      <c r="H538" s="76"/>
    </row>
    <row r="539" spans="1:8">
      <c r="A539" s="75"/>
      <c r="B539" s="76"/>
      <c r="C539" s="76"/>
      <c r="D539" s="76"/>
      <c r="E539" s="77"/>
      <c r="F539" s="76"/>
      <c r="G539" s="76"/>
      <c r="H539" s="76"/>
    </row>
    <row r="540" spans="1:8">
      <c r="A540" s="75"/>
      <c r="B540" s="76"/>
      <c r="C540" s="76"/>
      <c r="D540" s="76"/>
      <c r="E540" s="77"/>
      <c r="F540" s="76"/>
      <c r="G540" s="76"/>
      <c r="H540" s="76"/>
    </row>
    <row r="541" spans="1:8">
      <c r="A541" s="75"/>
      <c r="B541" s="76"/>
      <c r="C541" s="76"/>
      <c r="D541" s="76"/>
      <c r="E541" s="77"/>
      <c r="F541" s="76"/>
      <c r="G541" s="76"/>
      <c r="H541" s="76"/>
    </row>
    <row r="542" spans="1:8">
      <c r="A542" s="75"/>
      <c r="B542" s="76"/>
      <c r="C542" s="76"/>
      <c r="D542" s="76"/>
      <c r="E542" s="77"/>
      <c r="F542" s="76"/>
      <c r="G542" s="76"/>
      <c r="H542" s="76"/>
    </row>
    <row r="543" spans="1:8">
      <c r="A543" s="75"/>
      <c r="B543" s="76"/>
      <c r="C543" s="76"/>
      <c r="D543" s="76"/>
      <c r="E543" s="77"/>
      <c r="F543" s="76"/>
      <c r="G543" s="76"/>
      <c r="H543" s="76"/>
    </row>
    <row r="544" spans="1:8">
      <c r="A544" s="75"/>
      <c r="B544" s="76"/>
      <c r="C544" s="76"/>
      <c r="D544" s="76"/>
      <c r="E544" s="77"/>
      <c r="F544" s="76"/>
      <c r="G544" s="76"/>
      <c r="H544" s="76"/>
    </row>
    <row r="545" spans="1:8">
      <c r="A545" s="75"/>
      <c r="B545" s="76"/>
      <c r="C545" s="76"/>
      <c r="D545" s="76"/>
      <c r="E545" s="77"/>
      <c r="F545" s="76"/>
      <c r="G545" s="76"/>
      <c r="H545" s="76"/>
    </row>
    <row r="546" spans="1:8">
      <c r="A546" s="75"/>
      <c r="B546" s="76"/>
      <c r="C546" s="76"/>
      <c r="D546" s="76"/>
      <c r="E546" s="77"/>
      <c r="F546" s="76"/>
      <c r="G546" s="76"/>
      <c r="H546" s="76"/>
    </row>
    <row r="547" spans="1:8">
      <c r="A547" s="75"/>
      <c r="B547" s="76"/>
      <c r="C547" s="76"/>
      <c r="D547" s="76"/>
      <c r="E547" s="77"/>
      <c r="F547" s="76"/>
      <c r="G547" s="76"/>
      <c r="H547" s="76"/>
    </row>
    <row r="548" spans="1:8">
      <c r="A548" s="75"/>
      <c r="B548" s="76"/>
      <c r="C548" s="76"/>
      <c r="D548" s="76"/>
      <c r="E548" s="77"/>
      <c r="F548" s="76"/>
      <c r="G548" s="76"/>
      <c r="H548" s="76"/>
    </row>
    <row r="549" spans="1:8">
      <c r="A549" s="75"/>
      <c r="B549" s="76"/>
      <c r="C549" s="76"/>
      <c r="D549" s="76"/>
      <c r="E549" s="77"/>
      <c r="F549" s="76"/>
      <c r="G549" s="76"/>
      <c r="H549" s="76"/>
    </row>
    <row r="550" spans="1:8">
      <c r="A550" s="75"/>
      <c r="B550" s="76"/>
      <c r="C550" s="76"/>
      <c r="D550" s="76"/>
      <c r="E550" s="77"/>
      <c r="F550" s="76"/>
      <c r="G550" s="76"/>
      <c r="H550" s="76"/>
    </row>
    <row r="551" spans="1:8">
      <c r="A551" s="75"/>
      <c r="B551" s="76"/>
      <c r="C551" s="76"/>
      <c r="D551" s="76"/>
      <c r="E551" s="77"/>
      <c r="F551" s="76"/>
      <c r="G551" s="76"/>
      <c r="H551" s="76"/>
    </row>
    <row r="552" spans="1:8">
      <c r="A552" s="75"/>
      <c r="B552" s="76"/>
      <c r="C552" s="76"/>
      <c r="D552" s="76"/>
      <c r="E552" s="77"/>
      <c r="F552" s="76"/>
      <c r="G552" s="76"/>
      <c r="H552" s="76"/>
    </row>
    <row r="553" spans="1:8">
      <c r="A553" s="75"/>
      <c r="B553" s="76"/>
      <c r="C553" s="76"/>
      <c r="D553" s="76"/>
      <c r="E553" s="77"/>
      <c r="F553" s="76"/>
      <c r="G553" s="76"/>
      <c r="H553" s="76"/>
    </row>
    <row r="554" spans="1:8">
      <c r="A554" s="75"/>
      <c r="B554" s="76"/>
      <c r="C554" s="76"/>
      <c r="D554" s="76"/>
      <c r="E554" s="77"/>
      <c r="F554" s="76"/>
      <c r="G554" s="76"/>
      <c r="H554" s="76"/>
    </row>
    <row r="555" spans="1:8">
      <c r="A555" s="75"/>
      <c r="B555" s="76"/>
      <c r="C555" s="76"/>
      <c r="D555" s="76"/>
      <c r="E555" s="77"/>
      <c r="F555" s="76"/>
      <c r="G555" s="76"/>
      <c r="H555" s="76"/>
    </row>
    <row r="556" spans="1:8">
      <c r="A556" s="75"/>
      <c r="B556" s="76"/>
      <c r="C556" s="76"/>
      <c r="D556" s="76"/>
      <c r="E556" s="77"/>
      <c r="F556" s="76"/>
      <c r="G556" s="76"/>
      <c r="H556" s="76"/>
    </row>
    <row r="557" spans="1:8">
      <c r="A557" s="75"/>
      <c r="B557" s="76"/>
      <c r="C557" s="76"/>
      <c r="D557" s="76"/>
      <c r="E557" s="77"/>
      <c r="F557" s="76"/>
      <c r="G557" s="76"/>
      <c r="H557" s="76"/>
    </row>
    <row r="558" spans="1:8">
      <c r="A558" s="75"/>
      <c r="B558" s="76"/>
      <c r="C558" s="76"/>
      <c r="D558" s="76"/>
      <c r="E558" s="77"/>
      <c r="F558" s="76"/>
      <c r="G558" s="76"/>
      <c r="H558" s="76"/>
    </row>
    <row r="559" spans="1:8">
      <c r="A559" s="75"/>
      <c r="B559" s="76"/>
      <c r="C559" s="76"/>
      <c r="D559" s="76"/>
      <c r="E559" s="77"/>
      <c r="F559" s="76"/>
      <c r="G559" s="76"/>
      <c r="H559" s="76"/>
    </row>
    <row r="560" spans="1:8">
      <c r="A560" s="75"/>
      <c r="B560" s="76"/>
      <c r="C560" s="76"/>
      <c r="D560" s="76"/>
      <c r="E560" s="77"/>
      <c r="F560" s="76"/>
      <c r="G560" s="76"/>
      <c r="H560" s="76"/>
    </row>
    <row r="561" spans="1:8">
      <c r="A561" s="75"/>
      <c r="B561" s="76"/>
      <c r="C561" s="76"/>
      <c r="D561" s="76"/>
      <c r="E561" s="77"/>
      <c r="F561" s="76"/>
      <c r="G561" s="76"/>
      <c r="H561" s="76"/>
    </row>
    <row r="562" spans="1:8">
      <c r="A562" s="75"/>
      <c r="B562" s="76"/>
      <c r="C562" s="76"/>
      <c r="D562" s="76"/>
      <c r="E562" s="77"/>
      <c r="F562" s="76"/>
      <c r="G562" s="76"/>
      <c r="H562" s="76"/>
    </row>
    <row r="563" spans="1:8">
      <c r="A563" s="75"/>
      <c r="B563" s="76"/>
      <c r="C563" s="76"/>
      <c r="D563" s="76"/>
      <c r="E563" s="77"/>
      <c r="F563" s="76"/>
      <c r="G563" s="76"/>
      <c r="H563" s="76"/>
    </row>
    <row r="564" spans="1:8">
      <c r="A564" s="75"/>
      <c r="B564" s="76"/>
      <c r="C564" s="76"/>
      <c r="D564" s="76"/>
      <c r="E564" s="77"/>
      <c r="F564" s="76"/>
      <c r="G564" s="76"/>
      <c r="H564" s="76"/>
    </row>
    <row r="565" spans="1:8">
      <c r="A565" s="75"/>
      <c r="B565" s="76"/>
      <c r="C565" s="76"/>
      <c r="D565" s="76"/>
      <c r="E565" s="77"/>
      <c r="F565" s="76"/>
      <c r="G565" s="76"/>
      <c r="H565" s="76"/>
    </row>
    <row r="566" spans="1:8">
      <c r="A566" s="75"/>
      <c r="B566" s="76"/>
      <c r="C566" s="76"/>
      <c r="D566" s="76"/>
      <c r="E566" s="77"/>
      <c r="F566" s="76"/>
      <c r="G566" s="76"/>
      <c r="H566" s="76"/>
    </row>
    <row r="567" spans="1:8">
      <c r="A567" s="75"/>
      <c r="B567" s="76"/>
      <c r="C567" s="76"/>
      <c r="D567" s="76"/>
      <c r="E567" s="77"/>
      <c r="F567" s="76"/>
      <c r="G567" s="76"/>
      <c r="H567" s="76"/>
    </row>
    <row r="568" spans="1:8">
      <c r="A568" s="75"/>
      <c r="B568" s="76"/>
      <c r="C568" s="76"/>
      <c r="D568" s="76"/>
      <c r="E568" s="77"/>
      <c r="F568" s="76"/>
      <c r="G568" s="76"/>
      <c r="H568" s="76"/>
    </row>
    <row r="569" spans="1:8">
      <c r="A569" s="75"/>
      <c r="B569" s="76"/>
      <c r="C569" s="76"/>
      <c r="D569" s="76"/>
      <c r="E569" s="77"/>
      <c r="F569" s="76"/>
      <c r="G569" s="76"/>
      <c r="H569" s="76"/>
    </row>
    <row r="570" spans="1:8">
      <c r="A570" s="75"/>
      <c r="B570" s="76"/>
      <c r="C570" s="76"/>
      <c r="D570" s="76"/>
      <c r="E570" s="77"/>
      <c r="F570" s="76"/>
      <c r="G570" s="76"/>
      <c r="H570" s="76"/>
    </row>
    <row r="571" spans="1:8">
      <c r="A571" s="75"/>
      <c r="B571" s="76"/>
      <c r="C571" s="76"/>
      <c r="D571" s="76"/>
      <c r="E571" s="77"/>
      <c r="F571" s="76"/>
      <c r="G571" s="76"/>
      <c r="H571" s="76"/>
    </row>
    <row r="572" spans="1:8">
      <c r="A572" s="75"/>
      <c r="B572" s="76"/>
      <c r="C572" s="76"/>
      <c r="D572" s="76"/>
      <c r="E572" s="77"/>
      <c r="F572" s="76"/>
      <c r="G572" s="76"/>
      <c r="H572" s="76"/>
    </row>
    <row r="573" spans="1:8">
      <c r="A573" s="75"/>
      <c r="B573" s="76"/>
      <c r="C573" s="76"/>
      <c r="D573" s="76"/>
      <c r="E573" s="77"/>
      <c r="F573" s="76"/>
      <c r="G573" s="76"/>
      <c r="H573" s="76"/>
    </row>
    <row r="574" spans="1:8">
      <c r="A574" s="75"/>
      <c r="B574" s="76"/>
      <c r="C574" s="76"/>
      <c r="D574" s="76"/>
      <c r="E574" s="77"/>
      <c r="F574" s="76"/>
      <c r="G574" s="76"/>
      <c r="H574" s="76"/>
    </row>
    <row r="575" spans="1:8">
      <c r="A575" s="75"/>
      <c r="B575" s="76"/>
      <c r="C575" s="76"/>
      <c r="D575" s="76"/>
      <c r="E575" s="77"/>
      <c r="F575" s="76"/>
      <c r="G575" s="76"/>
      <c r="H575" s="76"/>
    </row>
    <row r="576" spans="1:8">
      <c r="A576" s="75"/>
      <c r="B576" s="76"/>
      <c r="C576" s="76"/>
      <c r="D576" s="76"/>
      <c r="E576" s="77"/>
      <c r="F576" s="76"/>
      <c r="G576" s="76"/>
      <c r="H576" s="76"/>
    </row>
    <row r="577" spans="1:8">
      <c r="A577" s="75"/>
      <c r="B577" s="76"/>
      <c r="C577" s="76"/>
      <c r="D577" s="76"/>
      <c r="E577" s="77"/>
      <c r="F577" s="76"/>
      <c r="G577" s="76"/>
      <c r="H577" s="76"/>
    </row>
    <row r="578" spans="1:8">
      <c r="A578" s="75"/>
      <c r="B578" s="76"/>
      <c r="C578" s="76"/>
      <c r="D578" s="76"/>
      <c r="E578" s="77"/>
      <c r="F578" s="76"/>
      <c r="G578" s="76"/>
      <c r="H578" s="76"/>
    </row>
    <row r="579" spans="1:8">
      <c r="A579" s="75"/>
      <c r="B579" s="76"/>
      <c r="C579" s="76"/>
      <c r="D579" s="76"/>
      <c r="E579" s="77"/>
      <c r="F579" s="76"/>
      <c r="G579" s="76"/>
      <c r="H579" s="76"/>
    </row>
    <row r="580" spans="1:8">
      <c r="A580" s="75"/>
      <c r="B580" s="76"/>
      <c r="C580" s="76"/>
      <c r="D580" s="76"/>
      <c r="E580" s="77"/>
      <c r="F580" s="76"/>
      <c r="G580" s="76"/>
      <c r="H580" s="76"/>
    </row>
    <row r="581" spans="1:8">
      <c r="A581" s="75"/>
      <c r="B581" s="76"/>
      <c r="C581" s="76"/>
      <c r="D581" s="76"/>
      <c r="E581" s="77"/>
      <c r="F581" s="76"/>
      <c r="G581" s="76"/>
      <c r="H581" s="76"/>
    </row>
    <row r="582" spans="1:8">
      <c r="A582" s="75"/>
      <c r="B582" s="76"/>
      <c r="C582" s="76"/>
      <c r="D582" s="76"/>
      <c r="E582" s="77"/>
      <c r="F582" s="76"/>
      <c r="G582" s="76"/>
      <c r="H582" s="76"/>
    </row>
    <row r="583" spans="1:8">
      <c r="A583" s="75"/>
      <c r="B583" s="76"/>
      <c r="C583" s="76"/>
      <c r="D583" s="76"/>
      <c r="E583" s="77"/>
      <c r="F583" s="76"/>
      <c r="G583" s="76"/>
      <c r="H583" s="76"/>
    </row>
    <row r="584" spans="1:8">
      <c r="A584" s="75"/>
      <c r="B584" s="76"/>
      <c r="C584" s="76"/>
      <c r="D584" s="76"/>
      <c r="E584" s="77"/>
      <c r="F584" s="76"/>
      <c r="G584" s="76"/>
      <c r="H584" s="76"/>
    </row>
    <row r="585" spans="1:8">
      <c r="A585" s="75"/>
      <c r="B585" s="76"/>
      <c r="C585" s="76"/>
      <c r="D585" s="76"/>
      <c r="E585" s="77"/>
      <c r="F585" s="76"/>
      <c r="G585" s="76"/>
      <c r="H585" s="76"/>
    </row>
    <row r="586" spans="1:8">
      <c r="A586" s="75"/>
      <c r="B586" s="76"/>
      <c r="C586" s="76"/>
      <c r="D586" s="76"/>
      <c r="E586" s="77"/>
      <c r="F586" s="76"/>
      <c r="G586" s="76"/>
      <c r="H586" s="76"/>
    </row>
    <row r="587" spans="1:8">
      <c r="A587" s="75"/>
      <c r="B587" s="76"/>
      <c r="C587" s="76"/>
      <c r="D587" s="76"/>
      <c r="E587" s="77"/>
      <c r="F587" s="76"/>
      <c r="G587" s="76"/>
      <c r="H587" s="76"/>
    </row>
    <row r="588" spans="1:8">
      <c r="A588" s="75"/>
      <c r="B588" s="76"/>
      <c r="C588" s="76"/>
      <c r="D588" s="76"/>
      <c r="E588" s="77"/>
      <c r="F588" s="76"/>
      <c r="G588" s="76"/>
      <c r="H588" s="76"/>
    </row>
    <row r="589" spans="1:8">
      <c r="A589" s="75"/>
      <c r="B589" s="76"/>
      <c r="C589" s="76"/>
      <c r="D589" s="76"/>
      <c r="E589" s="77"/>
      <c r="F589" s="76"/>
      <c r="G589" s="76"/>
      <c r="H589" s="76"/>
    </row>
    <row r="590" spans="1:8">
      <c r="A590" s="75"/>
      <c r="B590" s="76"/>
      <c r="C590" s="76"/>
      <c r="D590" s="76"/>
      <c r="E590" s="77"/>
      <c r="F590" s="76"/>
      <c r="G590" s="76"/>
      <c r="H590" s="76"/>
    </row>
    <row r="591" spans="1:8">
      <c r="A591" s="75"/>
      <c r="B591" s="76"/>
      <c r="C591" s="76"/>
      <c r="D591" s="76"/>
      <c r="E591" s="77"/>
      <c r="F591" s="76"/>
      <c r="G591" s="76"/>
      <c r="H591" s="76"/>
    </row>
    <row r="592" spans="1:8">
      <c r="A592" s="75"/>
      <c r="B592" s="76"/>
      <c r="C592" s="76"/>
      <c r="D592" s="76"/>
      <c r="E592" s="77"/>
      <c r="F592" s="76"/>
      <c r="G592" s="76"/>
      <c r="H592" s="76"/>
    </row>
    <row r="593" spans="1:8">
      <c r="A593" s="75"/>
      <c r="B593" s="76"/>
      <c r="C593" s="76"/>
      <c r="D593" s="76"/>
      <c r="E593" s="77"/>
      <c r="F593" s="76"/>
      <c r="G593" s="76"/>
      <c r="H593" s="76"/>
    </row>
    <row r="594" spans="1:8">
      <c r="A594" s="75"/>
      <c r="B594" s="76"/>
      <c r="C594" s="76"/>
      <c r="D594" s="76"/>
      <c r="E594" s="77"/>
      <c r="F594" s="76"/>
      <c r="G594" s="76"/>
      <c r="H594" s="76"/>
    </row>
    <row r="595" spans="1:8">
      <c r="A595" s="75"/>
      <c r="B595" s="76"/>
      <c r="C595" s="76"/>
      <c r="D595" s="76"/>
      <c r="E595" s="77"/>
      <c r="F595" s="76"/>
      <c r="G595" s="76"/>
      <c r="H595" s="76"/>
    </row>
    <row r="596" spans="1:8">
      <c r="A596" s="75"/>
      <c r="B596" s="76"/>
      <c r="C596" s="76"/>
      <c r="D596" s="76"/>
      <c r="E596" s="77"/>
      <c r="F596" s="76"/>
      <c r="G596" s="76"/>
      <c r="H596" s="76"/>
    </row>
    <row r="597" spans="1:8">
      <c r="A597" s="75"/>
      <c r="B597" s="76"/>
      <c r="C597" s="76"/>
      <c r="D597" s="76"/>
      <c r="E597" s="77"/>
      <c r="F597" s="76"/>
      <c r="G597" s="76"/>
      <c r="H597" s="76"/>
    </row>
    <row r="598" spans="1:8">
      <c r="A598" s="75"/>
      <c r="B598" s="76"/>
      <c r="C598" s="76"/>
      <c r="D598" s="76"/>
      <c r="E598" s="77"/>
      <c r="F598" s="76"/>
      <c r="G598" s="76"/>
      <c r="H598" s="76"/>
    </row>
    <row r="599" spans="1:8">
      <c r="A599" s="75"/>
      <c r="B599" s="76"/>
      <c r="C599" s="76"/>
      <c r="D599" s="76"/>
      <c r="E599" s="77"/>
      <c r="F599" s="76"/>
      <c r="G599" s="76"/>
      <c r="H599" s="76"/>
    </row>
    <row r="600" spans="1:8">
      <c r="A600" s="75"/>
      <c r="B600" s="76"/>
      <c r="C600" s="76"/>
      <c r="D600" s="76"/>
      <c r="E600" s="77"/>
      <c r="F600" s="76"/>
      <c r="G600" s="76"/>
      <c r="H600" s="76"/>
    </row>
    <row r="601" spans="1:8">
      <c r="A601" s="75"/>
      <c r="B601" s="76"/>
      <c r="C601" s="76"/>
      <c r="D601" s="76"/>
      <c r="E601" s="77"/>
      <c r="F601" s="76"/>
      <c r="G601" s="76"/>
      <c r="H601" s="76"/>
    </row>
    <row r="602" spans="1:8">
      <c r="A602" s="75"/>
      <c r="B602" s="76"/>
      <c r="C602" s="76"/>
      <c r="D602" s="76"/>
      <c r="E602" s="77"/>
      <c r="F602" s="76"/>
      <c r="G602" s="76"/>
      <c r="H602" s="76"/>
    </row>
    <row r="603" spans="1:8">
      <c r="A603" s="75"/>
      <c r="B603" s="76"/>
      <c r="C603" s="76"/>
      <c r="D603" s="76"/>
      <c r="E603" s="77"/>
      <c r="F603" s="76"/>
      <c r="G603" s="76"/>
      <c r="H603" s="76"/>
    </row>
    <row r="604" spans="1:8">
      <c r="A604" s="75"/>
      <c r="B604" s="76"/>
      <c r="C604" s="76"/>
      <c r="D604" s="76"/>
      <c r="E604" s="77"/>
      <c r="F604" s="76"/>
      <c r="G604" s="76"/>
      <c r="H604" s="76"/>
    </row>
    <row r="605" spans="1:8">
      <c r="A605" s="75"/>
      <c r="B605" s="76"/>
      <c r="C605" s="76"/>
      <c r="D605" s="76"/>
      <c r="E605" s="77"/>
      <c r="F605" s="76"/>
      <c r="G605" s="76"/>
      <c r="H605" s="76"/>
    </row>
    <row r="606" spans="1:8">
      <c r="A606" s="75"/>
      <c r="B606" s="76"/>
      <c r="C606" s="76"/>
      <c r="D606" s="76"/>
      <c r="E606" s="77"/>
      <c r="F606" s="76"/>
      <c r="G606" s="76"/>
      <c r="H606" s="76"/>
    </row>
    <row r="607" spans="1:8">
      <c r="A607" s="75"/>
      <c r="B607" s="76"/>
      <c r="C607" s="76"/>
      <c r="D607" s="76"/>
      <c r="E607" s="77"/>
      <c r="F607" s="76"/>
      <c r="G607" s="76"/>
      <c r="H607" s="76"/>
    </row>
    <row r="608" spans="1:8">
      <c r="A608" s="75"/>
      <c r="B608" s="76"/>
      <c r="C608" s="76"/>
      <c r="D608" s="76"/>
      <c r="E608" s="77"/>
      <c r="F608" s="76"/>
      <c r="G608" s="76"/>
      <c r="H608" s="76"/>
    </row>
    <row r="609" spans="1:8">
      <c r="A609" s="75"/>
      <c r="B609" s="76"/>
      <c r="C609" s="76"/>
      <c r="D609" s="76"/>
      <c r="E609" s="77"/>
      <c r="F609" s="76"/>
      <c r="G609" s="76"/>
      <c r="H609" s="76"/>
    </row>
    <row r="610" spans="1:8">
      <c r="A610" s="75"/>
      <c r="B610" s="76"/>
      <c r="C610" s="76"/>
      <c r="D610" s="76"/>
      <c r="E610" s="77"/>
      <c r="F610" s="76"/>
      <c r="G610" s="76"/>
      <c r="H610" s="76"/>
    </row>
    <row r="611" spans="1:8">
      <c r="A611" s="75"/>
      <c r="B611" s="76"/>
      <c r="C611" s="76"/>
      <c r="D611" s="76"/>
      <c r="E611" s="77"/>
      <c r="F611" s="76"/>
      <c r="G611" s="76"/>
      <c r="H611" s="76"/>
    </row>
    <row r="612" spans="1:8">
      <c r="A612" s="75"/>
      <c r="B612" s="76"/>
      <c r="C612" s="76"/>
      <c r="D612" s="76"/>
      <c r="E612" s="77"/>
      <c r="F612" s="76"/>
      <c r="G612" s="76"/>
      <c r="H612" s="76"/>
    </row>
    <row r="613" spans="1:8">
      <c r="A613" s="75"/>
      <c r="B613" s="76"/>
      <c r="C613" s="76"/>
      <c r="D613" s="76"/>
      <c r="E613" s="77"/>
      <c r="F613" s="76"/>
      <c r="G613" s="76"/>
      <c r="H613" s="76"/>
    </row>
    <row r="614" spans="1:8">
      <c r="A614" s="75"/>
      <c r="B614" s="76"/>
      <c r="C614" s="76"/>
      <c r="D614" s="76"/>
      <c r="E614" s="77"/>
      <c r="F614" s="76"/>
      <c r="G614" s="76"/>
      <c r="H614" s="76"/>
    </row>
    <row r="615" spans="1:8">
      <c r="A615" s="75"/>
      <c r="B615" s="76"/>
      <c r="C615" s="76"/>
      <c r="D615" s="76"/>
      <c r="E615" s="77"/>
      <c r="F615" s="76"/>
      <c r="G615" s="76"/>
      <c r="H615" s="76"/>
    </row>
    <row r="616" spans="1:8">
      <c r="A616" s="75"/>
      <c r="B616" s="76"/>
      <c r="C616" s="76"/>
      <c r="D616" s="76"/>
      <c r="E616" s="77"/>
      <c r="F616" s="76"/>
      <c r="G616" s="76"/>
      <c r="H616" s="76"/>
    </row>
    <row r="617" spans="1:8">
      <c r="A617" s="75"/>
      <c r="B617" s="76"/>
      <c r="C617" s="76"/>
      <c r="D617" s="76"/>
      <c r="E617" s="77"/>
      <c r="F617" s="76"/>
      <c r="G617" s="76"/>
      <c r="H617" s="76"/>
    </row>
    <row r="618" spans="1:8">
      <c r="A618" s="75"/>
      <c r="B618" s="76"/>
      <c r="C618" s="76"/>
      <c r="D618" s="76"/>
      <c r="E618" s="77"/>
      <c r="F618" s="76"/>
      <c r="G618" s="76"/>
      <c r="H618" s="76"/>
    </row>
    <row r="619" spans="1:8">
      <c r="A619" s="75"/>
      <c r="B619" s="76"/>
      <c r="C619" s="76"/>
      <c r="D619" s="76"/>
      <c r="E619" s="77"/>
      <c r="F619" s="76"/>
      <c r="G619" s="76"/>
      <c r="H619" s="76"/>
    </row>
    <row r="620" spans="1:8">
      <c r="A620" s="75"/>
      <c r="B620" s="76"/>
      <c r="C620" s="76"/>
      <c r="D620" s="76"/>
      <c r="E620" s="77"/>
      <c r="F620" s="76"/>
      <c r="G620" s="76"/>
      <c r="H620" s="76"/>
    </row>
    <row r="621" spans="1:8">
      <c r="A621" s="75"/>
      <c r="B621" s="76"/>
      <c r="C621" s="76"/>
      <c r="D621" s="76"/>
      <c r="E621" s="77"/>
      <c r="F621" s="76"/>
      <c r="G621" s="76"/>
      <c r="H621" s="76"/>
    </row>
    <row r="622" spans="1:8">
      <c r="A622" s="75"/>
      <c r="B622" s="76"/>
      <c r="C622" s="76"/>
      <c r="D622" s="76"/>
      <c r="E622" s="77"/>
      <c r="F622" s="76"/>
      <c r="G622" s="76"/>
      <c r="H622" s="76"/>
    </row>
    <row r="623" spans="1:8">
      <c r="A623" s="75"/>
      <c r="B623" s="76"/>
      <c r="C623" s="76"/>
      <c r="D623" s="76"/>
      <c r="E623" s="77"/>
      <c r="F623" s="76"/>
      <c r="G623" s="76"/>
      <c r="H623" s="76"/>
    </row>
    <row r="624" spans="1:8">
      <c r="A624" s="75"/>
      <c r="B624" s="76"/>
      <c r="C624" s="76"/>
      <c r="D624" s="76"/>
      <c r="E624" s="77"/>
      <c r="F624" s="76"/>
      <c r="G624" s="76"/>
      <c r="H624" s="76"/>
    </row>
    <row r="625" spans="1:8">
      <c r="A625" s="75"/>
      <c r="B625" s="76"/>
      <c r="C625" s="76"/>
      <c r="D625" s="76"/>
      <c r="E625" s="77"/>
      <c r="F625" s="76"/>
      <c r="G625" s="76"/>
      <c r="H625" s="76"/>
    </row>
    <row r="626" spans="1:8">
      <c r="A626" s="75"/>
      <c r="B626" s="76"/>
      <c r="C626" s="76"/>
      <c r="D626" s="76"/>
      <c r="E626" s="77"/>
      <c r="F626" s="76"/>
      <c r="G626" s="76"/>
      <c r="H626" s="76"/>
    </row>
    <row r="627" spans="1:8">
      <c r="A627" s="75"/>
      <c r="B627" s="76"/>
      <c r="C627" s="76"/>
      <c r="D627" s="76"/>
      <c r="E627" s="77"/>
      <c r="F627" s="76"/>
      <c r="G627" s="76"/>
      <c r="H627" s="76"/>
    </row>
    <row r="628" spans="1:8">
      <c r="A628" s="75"/>
      <c r="B628" s="76"/>
      <c r="C628" s="76"/>
      <c r="D628" s="76"/>
      <c r="E628" s="77"/>
      <c r="F628" s="76"/>
      <c r="G628" s="76"/>
      <c r="H628" s="76"/>
    </row>
    <row r="629" spans="1:8">
      <c r="A629" s="75"/>
      <c r="B629" s="76"/>
      <c r="C629" s="76"/>
      <c r="D629" s="76"/>
      <c r="E629" s="77"/>
      <c r="F629" s="76"/>
      <c r="G629" s="76"/>
      <c r="H629" s="76"/>
    </row>
    <row r="630" spans="1:8">
      <c r="A630" s="75"/>
      <c r="B630" s="76"/>
      <c r="C630" s="76"/>
      <c r="D630" s="76"/>
      <c r="E630" s="77"/>
      <c r="F630" s="76"/>
      <c r="G630" s="76"/>
      <c r="H630" s="76"/>
    </row>
    <row r="631" spans="1:8">
      <c r="A631" s="75"/>
      <c r="B631" s="76"/>
      <c r="C631" s="76"/>
      <c r="D631" s="76"/>
      <c r="E631" s="77"/>
      <c r="F631" s="76"/>
      <c r="G631" s="76"/>
      <c r="H631" s="76"/>
    </row>
    <row r="632" spans="1:8">
      <c r="A632" s="75"/>
      <c r="B632" s="76"/>
      <c r="C632" s="76"/>
      <c r="D632" s="76"/>
      <c r="E632" s="77"/>
      <c r="F632" s="76"/>
      <c r="G632" s="76"/>
      <c r="H632" s="76"/>
    </row>
    <row r="633" spans="1:8">
      <c r="A633" s="75"/>
      <c r="B633" s="76"/>
      <c r="C633" s="76"/>
      <c r="D633" s="76"/>
      <c r="E633" s="77"/>
      <c r="F633" s="76"/>
      <c r="G633" s="76"/>
      <c r="H633" s="76"/>
    </row>
    <row r="634" spans="1:8">
      <c r="A634" s="75"/>
      <c r="B634" s="76"/>
      <c r="C634" s="76"/>
      <c r="D634" s="76"/>
      <c r="E634" s="77"/>
      <c r="F634" s="76"/>
      <c r="G634" s="76"/>
      <c r="H634" s="76"/>
    </row>
    <row r="635" spans="1:8">
      <c r="A635" s="75"/>
      <c r="B635" s="76"/>
      <c r="C635" s="76"/>
      <c r="D635" s="76"/>
      <c r="E635" s="77"/>
      <c r="F635" s="76"/>
      <c r="G635" s="76"/>
      <c r="H635" s="76"/>
    </row>
    <row r="636" spans="1:8">
      <c r="A636" s="75"/>
      <c r="B636" s="76"/>
      <c r="C636" s="76"/>
      <c r="D636" s="76"/>
      <c r="E636" s="77"/>
      <c r="F636" s="76"/>
      <c r="G636" s="76"/>
      <c r="H636" s="76"/>
    </row>
    <row r="637" spans="1:8">
      <c r="A637" s="75"/>
      <c r="B637" s="76"/>
      <c r="C637" s="76"/>
      <c r="D637" s="76"/>
      <c r="E637" s="77"/>
      <c r="F637" s="76"/>
      <c r="G637" s="76"/>
      <c r="H637" s="76"/>
    </row>
    <row r="638" spans="1:8">
      <c r="A638" s="75"/>
      <c r="B638" s="76"/>
      <c r="C638" s="76"/>
      <c r="D638" s="76"/>
      <c r="E638" s="77"/>
      <c r="F638" s="76"/>
      <c r="G638" s="76"/>
      <c r="H638" s="76"/>
    </row>
    <row r="639" spans="1:8">
      <c r="A639" s="75"/>
      <c r="B639" s="76"/>
      <c r="C639" s="76"/>
      <c r="D639" s="76"/>
      <c r="E639" s="77"/>
      <c r="F639" s="76"/>
      <c r="G639" s="76"/>
      <c r="H639" s="76"/>
    </row>
    <row r="640" spans="1:8">
      <c r="A640" s="75"/>
      <c r="B640" s="76"/>
      <c r="C640" s="76"/>
      <c r="D640" s="76"/>
      <c r="E640" s="77"/>
      <c r="F640" s="76"/>
      <c r="G640" s="76"/>
      <c r="H640" s="76"/>
    </row>
    <row r="641" spans="1:8">
      <c r="A641" s="75"/>
      <c r="B641" s="76"/>
      <c r="C641" s="76"/>
      <c r="D641" s="76"/>
      <c r="E641" s="77"/>
      <c r="F641" s="76"/>
      <c r="G641" s="76"/>
      <c r="H641" s="76"/>
    </row>
    <row r="642" spans="1:8">
      <c r="A642" s="75"/>
      <c r="B642" s="76"/>
      <c r="C642" s="76"/>
      <c r="D642" s="76"/>
      <c r="E642" s="77"/>
      <c r="F642" s="76"/>
      <c r="G642" s="76"/>
      <c r="H642" s="76"/>
    </row>
    <row r="643" spans="1:8">
      <c r="A643" s="75"/>
      <c r="B643" s="76"/>
      <c r="C643" s="76"/>
      <c r="D643" s="76"/>
      <c r="E643" s="77"/>
      <c r="F643" s="76"/>
      <c r="G643" s="76"/>
      <c r="H643" s="76"/>
    </row>
    <row r="644" spans="1:8">
      <c r="A644" s="75"/>
      <c r="B644" s="76"/>
      <c r="C644" s="76"/>
      <c r="D644" s="76"/>
      <c r="E644" s="77"/>
      <c r="F644" s="76"/>
      <c r="G644" s="76"/>
      <c r="H644" s="76"/>
    </row>
    <row r="645" spans="1:8">
      <c r="A645" s="75"/>
      <c r="B645" s="76"/>
      <c r="C645" s="76"/>
      <c r="D645" s="76"/>
      <c r="E645" s="77"/>
      <c r="F645" s="76"/>
      <c r="G645" s="76"/>
      <c r="H645" s="76"/>
    </row>
    <row r="646" spans="1:8">
      <c r="A646" s="75"/>
      <c r="B646" s="76"/>
      <c r="C646" s="76"/>
      <c r="D646" s="76"/>
      <c r="E646" s="77"/>
      <c r="F646" s="76"/>
      <c r="G646" s="76"/>
      <c r="H646" s="76"/>
    </row>
    <row r="647" spans="1:8">
      <c r="A647" s="75"/>
      <c r="B647" s="76"/>
      <c r="C647" s="76"/>
      <c r="D647" s="76"/>
      <c r="E647" s="77"/>
      <c r="F647" s="76"/>
      <c r="G647" s="76"/>
      <c r="H647" s="76"/>
    </row>
    <row r="648" spans="1:8">
      <c r="A648" s="75"/>
      <c r="B648" s="76"/>
      <c r="C648" s="76"/>
      <c r="D648" s="76"/>
      <c r="E648" s="77"/>
      <c r="F648" s="76"/>
      <c r="G648" s="76"/>
      <c r="H648" s="76"/>
    </row>
    <row r="649" spans="1:8">
      <c r="A649" s="75"/>
      <c r="B649" s="76"/>
      <c r="C649" s="76"/>
      <c r="D649" s="76"/>
      <c r="E649" s="77"/>
      <c r="F649" s="76"/>
      <c r="G649" s="76"/>
      <c r="H649" s="76"/>
    </row>
    <row r="650" spans="1:8">
      <c r="A650" s="75"/>
      <c r="B650" s="76"/>
      <c r="C650" s="76"/>
      <c r="D650" s="76"/>
      <c r="E650" s="77"/>
      <c r="F650" s="76"/>
      <c r="G650" s="76"/>
      <c r="H650" s="76"/>
    </row>
    <row r="651" spans="1:8">
      <c r="A651" s="75"/>
      <c r="B651" s="76"/>
      <c r="C651" s="76"/>
      <c r="D651" s="76"/>
      <c r="E651" s="77"/>
      <c r="F651" s="76"/>
      <c r="G651" s="76"/>
      <c r="H651" s="76"/>
    </row>
    <row r="652" spans="1:8">
      <c r="A652" s="75"/>
      <c r="B652" s="76"/>
      <c r="C652" s="76"/>
      <c r="D652" s="76"/>
      <c r="E652" s="77"/>
      <c r="F652" s="76"/>
      <c r="G652" s="76"/>
      <c r="H652" s="76"/>
    </row>
    <row r="653" spans="1:8">
      <c r="A653" s="75"/>
      <c r="B653" s="76"/>
      <c r="C653" s="76"/>
      <c r="D653" s="76"/>
      <c r="E653" s="77"/>
      <c r="F653" s="76"/>
      <c r="G653" s="76"/>
      <c r="H653" s="76"/>
    </row>
    <row r="654" spans="1:8">
      <c r="A654" s="75"/>
      <c r="B654" s="76"/>
      <c r="C654" s="76"/>
      <c r="D654" s="76"/>
      <c r="E654" s="77"/>
      <c r="F654" s="76"/>
      <c r="G654" s="76"/>
      <c r="H654" s="76"/>
    </row>
    <row r="655" spans="1:8">
      <c r="A655" s="75"/>
      <c r="B655" s="76"/>
      <c r="C655" s="76"/>
      <c r="D655" s="76"/>
      <c r="E655" s="77"/>
      <c r="F655" s="76"/>
      <c r="G655" s="76"/>
      <c r="H655" s="76"/>
    </row>
    <row r="656" spans="1:8">
      <c r="A656" s="75"/>
      <c r="B656" s="76"/>
      <c r="C656" s="76"/>
      <c r="D656" s="76"/>
      <c r="E656" s="77"/>
      <c r="F656" s="76"/>
      <c r="G656" s="76"/>
      <c r="H656" s="76"/>
    </row>
    <row r="657" spans="1:8">
      <c r="A657" s="75"/>
      <c r="B657" s="76"/>
      <c r="C657" s="76"/>
      <c r="D657" s="76"/>
      <c r="E657" s="77"/>
      <c r="F657" s="76"/>
      <c r="G657" s="76"/>
      <c r="H657" s="76"/>
    </row>
    <row r="658" spans="1:8">
      <c r="A658" s="75"/>
      <c r="B658" s="76"/>
      <c r="C658" s="76"/>
      <c r="D658" s="76"/>
      <c r="E658" s="77"/>
      <c r="F658" s="76"/>
      <c r="G658" s="76"/>
      <c r="H658" s="76"/>
    </row>
    <row r="659" spans="1:8">
      <c r="A659" s="75"/>
      <c r="B659" s="76"/>
      <c r="C659" s="76"/>
      <c r="D659" s="76"/>
      <c r="E659" s="77"/>
      <c r="F659" s="76"/>
      <c r="G659" s="76"/>
      <c r="H659" s="76"/>
    </row>
    <row r="660" spans="1:8">
      <c r="A660" s="75"/>
      <c r="B660" s="76"/>
      <c r="C660" s="76"/>
      <c r="D660" s="76"/>
      <c r="E660" s="77"/>
      <c r="F660" s="76"/>
      <c r="G660" s="76"/>
      <c r="H660" s="76"/>
    </row>
    <row r="661" spans="1:8">
      <c r="A661" s="75"/>
      <c r="B661" s="76"/>
      <c r="C661" s="76"/>
      <c r="D661" s="76"/>
      <c r="E661" s="77"/>
      <c r="F661" s="76"/>
      <c r="G661" s="76"/>
      <c r="H661" s="76"/>
    </row>
    <row r="662" spans="1:8">
      <c r="A662" s="75"/>
      <c r="B662" s="76"/>
      <c r="C662" s="76"/>
      <c r="D662" s="76"/>
      <c r="E662" s="77"/>
      <c r="F662" s="76"/>
      <c r="G662" s="76"/>
      <c r="H662" s="76"/>
    </row>
    <row r="663" spans="1:8">
      <c r="A663" s="75"/>
      <c r="B663" s="76"/>
      <c r="C663" s="76"/>
      <c r="D663" s="76"/>
      <c r="E663" s="77"/>
      <c r="F663" s="76"/>
      <c r="G663" s="76"/>
      <c r="H663" s="76"/>
    </row>
    <row r="664" spans="1:8">
      <c r="A664" s="75"/>
      <c r="B664" s="76"/>
      <c r="C664" s="76"/>
      <c r="D664" s="76"/>
      <c r="E664" s="77"/>
      <c r="F664" s="76"/>
      <c r="G664" s="76"/>
      <c r="H664" s="76"/>
    </row>
    <row r="665" spans="1:8">
      <c r="A665" s="75"/>
      <c r="B665" s="76"/>
      <c r="C665" s="76"/>
      <c r="D665" s="76"/>
      <c r="E665" s="77"/>
      <c r="F665" s="76"/>
      <c r="G665" s="76"/>
      <c r="H665" s="76"/>
    </row>
    <row r="666" spans="1:8">
      <c r="A666" s="75"/>
      <c r="B666" s="76"/>
      <c r="C666" s="76"/>
      <c r="D666" s="76"/>
      <c r="E666" s="77"/>
      <c r="F666" s="76"/>
      <c r="G666" s="76"/>
      <c r="H666" s="76"/>
    </row>
    <row r="667" spans="1:8">
      <c r="A667" s="75"/>
      <c r="B667" s="76"/>
      <c r="C667" s="76"/>
      <c r="D667" s="76"/>
      <c r="E667" s="77"/>
      <c r="F667" s="76"/>
      <c r="G667" s="76"/>
      <c r="H667" s="76"/>
    </row>
    <row r="668" spans="1:8">
      <c r="A668" s="75"/>
      <c r="B668" s="76"/>
      <c r="C668" s="76"/>
      <c r="D668" s="76"/>
      <c r="E668" s="77"/>
      <c r="F668" s="76"/>
      <c r="G668" s="76"/>
      <c r="H668" s="76"/>
    </row>
    <row r="669" spans="1:8">
      <c r="A669" s="75"/>
      <c r="B669" s="76"/>
      <c r="C669" s="76"/>
      <c r="D669" s="76"/>
      <c r="E669" s="77"/>
      <c r="F669" s="76"/>
      <c r="G669" s="76"/>
      <c r="H669" s="76"/>
    </row>
    <row r="670" spans="1:8">
      <c r="A670" s="75"/>
      <c r="B670" s="76"/>
      <c r="C670" s="76"/>
      <c r="D670" s="76"/>
      <c r="E670" s="77"/>
      <c r="F670" s="76"/>
      <c r="G670" s="76"/>
      <c r="H670" s="76"/>
    </row>
    <row r="671" spans="1:8">
      <c r="A671" s="75"/>
      <c r="B671" s="76"/>
      <c r="C671" s="76"/>
      <c r="D671" s="76"/>
      <c r="E671" s="77"/>
      <c r="F671" s="76"/>
      <c r="G671" s="76"/>
      <c r="H671" s="76"/>
    </row>
    <row r="672" spans="1:8">
      <c r="A672" s="75"/>
      <c r="B672" s="76"/>
      <c r="C672" s="76"/>
      <c r="D672" s="76"/>
      <c r="E672" s="77"/>
      <c r="F672" s="76"/>
      <c r="G672" s="76"/>
      <c r="H672" s="76"/>
    </row>
    <row r="673" spans="1:8">
      <c r="A673" s="75"/>
      <c r="B673" s="76"/>
      <c r="C673" s="76"/>
      <c r="D673" s="76"/>
      <c r="E673" s="77"/>
      <c r="F673" s="76"/>
      <c r="G673" s="76"/>
      <c r="H673" s="76"/>
    </row>
    <row r="674" spans="1:8">
      <c r="A674" s="75"/>
      <c r="B674" s="76"/>
      <c r="C674" s="76"/>
      <c r="D674" s="76"/>
      <c r="E674" s="77"/>
      <c r="F674" s="76"/>
      <c r="G674" s="76"/>
      <c r="H674" s="76"/>
    </row>
    <row r="675" spans="1:8">
      <c r="A675" s="75"/>
      <c r="B675" s="76"/>
      <c r="C675" s="76"/>
      <c r="D675" s="76"/>
      <c r="E675" s="77"/>
      <c r="F675" s="76"/>
      <c r="G675" s="76"/>
      <c r="H675" s="76"/>
    </row>
    <row r="676" spans="1:8">
      <c r="A676" s="75"/>
      <c r="B676" s="76"/>
      <c r="C676" s="76"/>
      <c r="D676" s="76"/>
      <c r="E676" s="77"/>
      <c r="F676" s="76"/>
      <c r="G676" s="76"/>
      <c r="H676" s="76"/>
    </row>
    <row r="677" spans="1:8">
      <c r="A677" s="75"/>
      <c r="B677" s="76"/>
      <c r="C677" s="76"/>
      <c r="D677" s="76"/>
      <c r="E677" s="77"/>
      <c r="F677" s="76"/>
      <c r="G677" s="76"/>
      <c r="H677" s="76"/>
    </row>
    <row r="678" spans="1:8">
      <c r="A678" s="75"/>
      <c r="B678" s="76"/>
      <c r="C678" s="76"/>
      <c r="D678" s="76"/>
      <c r="E678" s="77"/>
      <c r="F678" s="76"/>
      <c r="G678" s="76"/>
      <c r="H678" s="76"/>
    </row>
    <row r="679" spans="1:8">
      <c r="A679" s="75"/>
      <c r="B679" s="76"/>
      <c r="C679" s="76"/>
      <c r="D679" s="76"/>
      <c r="E679" s="77"/>
      <c r="F679" s="76"/>
      <c r="G679" s="76"/>
      <c r="H679" s="76"/>
    </row>
    <row r="680" spans="1:8">
      <c r="A680" s="75"/>
      <c r="B680" s="76"/>
      <c r="C680" s="76"/>
      <c r="D680" s="76"/>
      <c r="E680" s="77"/>
      <c r="F680" s="76"/>
      <c r="G680" s="76"/>
      <c r="H680" s="76"/>
    </row>
    <row r="681" spans="1:8">
      <c r="A681" s="75"/>
      <c r="B681" s="76"/>
      <c r="C681" s="76"/>
      <c r="D681" s="76"/>
      <c r="E681" s="77"/>
      <c r="F681" s="76"/>
      <c r="G681" s="76"/>
      <c r="H681" s="76"/>
    </row>
    <row r="682" spans="1:8">
      <c r="A682" s="75"/>
      <c r="B682" s="76"/>
      <c r="C682" s="76"/>
      <c r="D682" s="76"/>
      <c r="E682" s="77"/>
      <c r="F682" s="76"/>
      <c r="G682" s="76"/>
      <c r="H682" s="76"/>
    </row>
    <row r="683" spans="1:8">
      <c r="A683" s="75"/>
      <c r="B683" s="76"/>
      <c r="C683" s="76"/>
      <c r="D683" s="76"/>
      <c r="E683" s="77"/>
      <c r="F683" s="76"/>
      <c r="G683" s="76"/>
      <c r="H683" s="76"/>
    </row>
    <row r="684" spans="1:8">
      <c r="A684" s="75"/>
      <c r="B684" s="76"/>
      <c r="C684" s="76"/>
      <c r="D684" s="76"/>
      <c r="E684" s="77"/>
      <c r="F684" s="76"/>
      <c r="G684" s="76"/>
      <c r="H684" s="76"/>
    </row>
    <row r="685" spans="1:8">
      <c r="A685" s="75"/>
      <c r="B685" s="76"/>
      <c r="C685" s="76"/>
      <c r="D685" s="76"/>
      <c r="E685" s="77"/>
      <c r="F685" s="76"/>
      <c r="G685" s="76"/>
      <c r="H685" s="76"/>
    </row>
    <row r="686" spans="1:8">
      <c r="A686" s="75"/>
      <c r="B686" s="76"/>
      <c r="C686" s="76"/>
      <c r="D686" s="76"/>
      <c r="E686" s="77"/>
      <c r="F686" s="76"/>
      <c r="G686" s="76"/>
      <c r="H686" s="76"/>
    </row>
    <row r="687" spans="1:8">
      <c r="A687" s="75"/>
      <c r="B687" s="76"/>
      <c r="C687" s="76"/>
      <c r="D687" s="76"/>
      <c r="E687" s="77"/>
      <c r="F687" s="76"/>
      <c r="G687" s="76"/>
      <c r="H687" s="76"/>
    </row>
    <row r="688" spans="1:8">
      <c r="A688" s="75"/>
      <c r="B688" s="76"/>
      <c r="C688" s="76"/>
      <c r="D688" s="76"/>
      <c r="E688" s="77"/>
      <c r="F688" s="76"/>
      <c r="G688" s="76"/>
      <c r="H688" s="76"/>
    </row>
    <row r="689" spans="1:8">
      <c r="A689" s="75"/>
      <c r="B689" s="76"/>
      <c r="C689" s="76"/>
      <c r="D689" s="76"/>
      <c r="E689" s="77"/>
      <c r="F689" s="76"/>
      <c r="G689" s="76"/>
      <c r="H689" s="76"/>
    </row>
    <row r="690" spans="1:8">
      <c r="A690" s="75"/>
      <c r="B690" s="76"/>
      <c r="C690" s="76"/>
      <c r="D690" s="76"/>
      <c r="E690" s="77"/>
      <c r="F690" s="76"/>
      <c r="G690" s="76"/>
      <c r="H690" s="76"/>
    </row>
    <row r="691" spans="1:8">
      <c r="A691" s="75"/>
      <c r="B691" s="76"/>
      <c r="C691" s="76"/>
      <c r="D691" s="76"/>
      <c r="E691" s="77"/>
      <c r="F691" s="76"/>
      <c r="G691" s="76"/>
      <c r="H691" s="76"/>
    </row>
    <row r="692" spans="1:8">
      <c r="A692" s="75"/>
      <c r="B692" s="76"/>
      <c r="C692" s="76"/>
      <c r="D692" s="76"/>
      <c r="E692" s="77"/>
      <c r="F692" s="76"/>
      <c r="G692" s="76"/>
      <c r="H692" s="76"/>
    </row>
    <row r="693" spans="1:8">
      <c r="A693" s="75"/>
      <c r="B693" s="76"/>
      <c r="C693" s="76"/>
      <c r="D693" s="76"/>
      <c r="E693" s="77"/>
      <c r="F693" s="76"/>
      <c r="G693" s="76"/>
      <c r="H693" s="76"/>
    </row>
    <row r="694" spans="1:8">
      <c r="A694" s="75"/>
      <c r="B694" s="76"/>
      <c r="C694" s="76"/>
      <c r="D694" s="76"/>
      <c r="E694" s="77"/>
      <c r="F694" s="76"/>
      <c r="G694" s="76"/>
      <c r="H694" s="76"/>
    </row>
    <row r="695" spans="1:8">
      <c r="A695" s="75"/>
      <c r="B695" s="76"/>
      <c r="C695" s="76"/>
      <c r="D695" s="76"/>
      <c r="E695" s="77"/>
      <c r="F695" s="76"/>
      <c r="G695" s="76"/>
      <c r="H695" s="76"/>
    </row>
    <row r="696" spans="1:8">
      <c r="A696" s="75"/>
      <c r="B696" s="76"/>
      <c r="C696" s="76"/>
      <c r="D696" s="76"/>
      <c r="E696" s="77"/>
      <c r="F696" s="76"/>
      <c r="G696" s="76"/>
      <c r="H696" s="76"/>
    </row>
    <row r="697" spans="1:8">
      <c r="A697" s="75"/>
      <c r="B697" s="76"/>
      <c r="C697" s="76"/>
      <c r="D697" s="76"/>
      <c r="E697" s="77"/>
      <c r="F697" s="76"/>
      <c r="G697" s="76"/>
      <c r="H697" s="76"/>
    </row>
    <row r="698" spans="1:8">
      <c r="A698" s="75"/>
      <c r="B698" s="76"/>
      <c r="C698" s="76"/>
      <c r="D698" s="76"/>
      <c r="E698" s="77"/>
      <c r="F698" s="76"/>
      <c r="G698" s="76"/>
      <c r="H698" s="76"/>
    </row>
    <row r="699" spans="1:8">
      <c r="A699" s="75"/>
      <c r="B699" s="76"/>
      <c r="C699" s="76"/>
      <c r="D699" s="76"/>
      <c r="E699" s="77"/>
      <c r="F699" s="76"/>
      <c r="G699" s="76"/>
      <c r="H699" s="76"/>
    </row>
    <row r="700" spans="1:8">
      <c r="A700" s="75"/>
      <c r="B700" s="76"/>
      <c r="C700" s="76"/>
      <c r="D700" s="76"/>
      <c r="E700" s="77"/>
      <c r="F700" s="76"/>
      <c r="G700" s="76"/>
      <c r="H700" s="76"/>
    </row>
    <row r="701" spans="1:8">
      <c r="A701" s="75"/>
      <c r="B701" s="76"/>
      <c r="C701" s="76"/>
      <c r="D701" s="76"/>
      <c r="E701" s="77"/>
      <c r="F701" s="76"/>
      <c r="G701" s="76"/>
      <c r="H701" s="76"/>
    </row>
    <row r="702" spans="1:8">
      <c r="A702" s="75"/>
      <c r="B702" s="76"/>
      <c r="C702" s="76"/>
      <c r="D702" s="76"/>
      <c r="E702" s="77"/>
      <c r="F702" s="76"/>
      <c r="G702" s="76"/>
      <c r="H702" s="76"/>
    </row>
    <row r="703" spans="1:8">
      <c r="A703" s="75"/>
      <c r="B703" s="76"/>
      <c r="C703" s="76"/>
      <c r="D703" s="76"/>
      <c r="E703" s="77"/>
      <c r="F703" s="76"/>
      <c r="G703" s="76"/>
      <c r="H703" s="76"/>
    </row>
    <row r="704" spans="1:8">
      <c r="A704" s="75"/>
      <c r="B704" s="76"/>
      <c r="C704" s="76"/>
      <c r="D704" s="76"/>
      <c r="E704" s="77"/>
      <c r="F704" s="76"/>
      <c r="G704" s="76"/>
      <c r="H704" s="76"/>
    </row>
    <row r="705" spans="1:8">
      <c r="A705" s="75"/>
      <c r="B705" s="76"/>
      <c r="C705" s="76"/>
      <c r="D705" s="76"/>
      <c r="E705" s="77"/>
      <c r="F705" s="76"/>
      <c r="G705" s="76"/>
      <c r="H705" s="76"/>
    </row>
    <row r="706" spans="1:8">
      <c r="A706" s="75"/>
      <c r="B706" s="76"/>
      <c r="C706" s="76"/>
      <c r="D706" s="76"/>
      <c r="E706" s="77"/>
      <c r="F706" s="76"/>
      <c r="G706" s="76"/>
      <c r="H706" s="76"/>
    </row>
    <row r="707" spans="1:8">
      <c r="A707" s="75"/>
      <c r="B707" s="76"/>
      <c r="C707" s="76"/>
      <c r="D707" s="76"/>
      <c r="E707" s="77"/>
      <c r="F707" s="76"/>
      <c r="G707" s="76"/>
      <c r="H707" s="76"/>
    </row>
    <row r="708" spans="1:8">
      <c r="A708" s="75"/>
      <c r="B708" s="76"/>
      <c r="C708" s="76"/>
      <c r="D708" s="76"/>
      <c r="E708" s="77"/>
      <c r="F708" s="76"/>
      <c r="G708" s="76"/>
      <c r="H708" s="76"/>
    </row>
    <row r="709" spans="1:8">
      <c r="A709" s="75"/>
      <c r="B709" s="76"/>
      <c r="C709" s="76"/>
      <c r="D709" s="76"/>
      <c r="E709" s="77"/>
      <c r="F709" s="76"/>
      <c r="G709" s="76"/>
      <c r="H709" s="76"/>
    </row>
    <row r="710" spans="1:8">
      <c r="A710" s="75"/>
      <c r="B710" s="76"/>
      <c r="C710" s="76"/>
      <c r="D710" s="76"/>
      <c r="E710" s="77"/>
      <c r="F710" s="76"/>
      <c r="G710" s="76"/>
      <c r="H710" s="76"/>
    </row>
    <row r="711" spans="1:8">
      <c r="A711" s="75"/>
      <c r="B711" s="76"/>
      <c r="C711" s="76"/>
      <c r="D711" s="76"/>
      <c r="E711" s="77"/>
      <c r="F711" s="76"/>
      <c r="G711" s="76"/>
      <c r="H711" s="76"/>
    </row>
    <row r="712" spans="1:8">
      <c r="A712" s="75"/>
      <c r="B712" s="76"/>
      <c r="C712" s="76"/>
      <c r="D712" s="76"/>
      <c r="E712" s="77"/>
      <c r="F712" s="76"/>
      <c r="G712" s="76"/>
      <c r="H712" s="76"/>
    </row>
    <row r="713" spans="1:8">
      <c r="A713" s="75"/>
      <c r="B713" s="76"/>
      <c r="C713" s="76"/>
      <c r="D713" s="76"/>
      <c r="E713" s="77"/>
      <c r="F713" s="76"/>
      <c r="G713" s="76"/>
      <c r="H713" s="76"/>
    </row>
    <row r="714" spans="1:8">
      <c r="A714" s="75"/>
      <c r="B714" s="76"/>
      <c r="C714" s="76"/>
      <c r="D714" s="76"/>
      <c r="E714" s="77"/>
      <c r="F714" s="76"/>
      <c r="G714" s="76"/>
      <c r="H714" s="76"/>
    </row>
    <row r="715" spans="1:8">
      <c r="A715" s="75"/>
      <c r="B715" s="76"/>
      <c r="C715" s="76"/>
      <c r="D715" s="76"/>
      <c r="E715" s="77"/>
      <c r="F715" s="76"/>
      <c r="G715" s="76"/>
      <c r="H715" s="76"/>
    </row>
    <row r="716" spans="1:8">
      <c r="A716" s="75"/>
      <c r="B716" s="76"/>
      <c r="C716" s="76"/>
      <c r="D716" s="76"/>
      <c r="E716" s="77"/>
      <c r="F716" s="76"/>
      <c r="G716" s="76"/>
      <c r="H716" s="76"/>
    </row>
    <row r="717" spans="1:8">
      <c r="A717" s="75"/>
      <c r="B717" s="76"/>
      <c r="C717" s="76"/>
      <c r="D717" s="76"/>
      <c r="E717" s="77"/>
      <c r="F717" s="76"/>
      <c r="G717" s="76"/>
      <c r="H717" s="76"/>
    </row>
    <row r="718" spans="1:8">
      <c r="A718" s="75"/>
      <c r="B718" s="76"/>
      <c r="C718" s="76"/>
      <c r="D718" s="76"/>
      <c r="E718" s="77"/>
      <c r="F718" s="76"/>
      <c r="G718" s="76"/>
      <c r="H718" s="76"/>
    </row>
    <row r="719" spans="1:8">
      <c r="A719" s="75"/>
      <c r="B719" s="76"/>
      <c r="C719" s="76"/>
      <c r="D719" s="76"/>
      <c r="E719" s="77"/>
      <c r="F719" s="76"/>
      <c r="G719" s="76"/>
      <c r="H719" s="76"/>
    </row>
    <row r="720" spans="1:8">
      <c r="A720" s="75"/>
      <c r="B720" s="76"/>
      <c r="C720" s="76"/>
      <c r="D720" s="76"/>
      <c r="E720" s="77"/>
      <c r="F720" s="76"/>
      <c r="G720" s="76"/>
      <c r="H720" s="76"/>
    </row>
    <row r="721" spans="1:8">
      <c r="A721" s="75"/>
      <c r="B721" s="76"/>
      <c r="C721" s="76"/>
      <c r="D721" s="76"/>
      <c r="E721" s="77"/>
      <c r="F721" s="76"/>
      <c r="G721" s="76"/>
      <c r="H721" s="76"/>
    </row>
    <row r="722" spans="1:8">
      <c r="A722" s="75"/>
      <c r="B722" s="76"/>
      <c r="C722" s="76"/>
      <c r="D722" s="76"/>
      <c r="E722" s="77"/>
      <c r="F722" s="76"/>
      <c r="G722" s="76"/>
      <c r="H722" s="76"/>
    </row>
    <row r="723" spans="1:8">
      <c r="A723" s="75"/>
      <c r="B723" s="76"/>
      <c r="C723" s="76"/>
      <c r="D723" s="76"/>
      <c r="E723" s="77"/>
      <c r="F723" s="76"/>
      <c r="G723" s="76"/>
      <c r="H723" s="76"/>
    </row>
    <row r="724" spans="1:8">
      <c r="A724" s="75"/>
      <c r="B724" s="76"/>
      <c r="C724" s="76"/>
      <c r="D724" s="76"/>
      <c r="E724" s="77"/>
      <c r="F724" s="76"/>
      <c r="G724" s="76"/>
      <c r="H724" s="76"/>
    </row>
    <row r="725" spans="1:8">
      <c r="A725" s="75"/>
      <c r="B725" s="76"/>
      <c r="C725" s="76"/>
      <c r="D725" s="76"/>
      <c r="E725" s="77"/>
      <c r="F725" s="76"/>
      <c r="G725" s="76"/>
      <c r="H725" s="76"/>
    </row>
    <row r="726" spans="1:8">
      <c r="A726" s="75"/>
      <c r="B726" s="76"/>
      <c r="C726" s="76"/>
      <c r="D726" s="76"/>
      <c r="E726" s="77"/>
      <c r="F726" s="76"/>
      <c r="G726" s="76"/>
      <c r="H726" s="76"/>
    </row>
    <row r="727" spans="1:8">
      <c r="A727" s="75"/>
      <c r="B727" s="76"/>
      <c r="C727" s="76"/>
      <c r="D727" s="76"/>
      <c r="E727" s="77"/>
      <c r="F727" s="76"/>
      <c r="G727" s="76"/>
      <c r="H727" s="76"/>
    </row>
    <row r="728" spans="1:8">
      <c r="A728" s="75"/>
      <c r="B728" s="76"/>
      <c r="C728" s="76"/>
      <c r="D728" s="76"/>
      <c r="E728" s="77"/>
      <c r="F728" s="76"/>
      <c r="G728" s="76"/>
      <c r="H728" s="76"/>
    </row>
    <row r="729" spans="1:8">
      <c r="A729" s="75"/>
      <c r="B729" s="76"/>
      <c r="C729" s="76"/>
      <c r="D729" s="76"/>
      <c r="E729" s="77"/>
      <c r="F729" s="76"/>
      <c r="G729" s="76"/>
      <c r="H729" s="76"/>
    </row>
    <row r="730" spans="1:8">
      <c r="A730" s="75"/>
      <c r="B730" s="76"/>
      <c r="C730" s="76"/>
      <c r="D730" s="76"/>
      <c r="E730" s="77"/>
      <c r="F730" s="76"/>
      <c r="G730" s="76"/>
      <c r="H730" s="76"/>
    </row>
    <row r="731" spans="1:8">
      <c r="A731" s="75"/>
      <c r="B731" s="76"/>
      <c r="C731" s="76"/>
      <c r="D731" s="76"/>
      <c r="E731" s="77"/>
      <c r="F731" s="76"/>
      <c r="G731" s="76"/>
      <c r="H731" s="76"/>
    </row>
    <row r="732" spans="1:8">
      <c r="A732" s="75"/>
      <c r="B732" s="76"/>
      <c r="C732" s="76"/>
      <c r="D732" s="76"/>
      <c r="E732" s="77"/>
      <c r="F732" s="76"/>
      <c r="G732" s="76"/>
      <c r="H732" s="76"/>
    </row>
    <row r="733" spans="1:8">
      <c r="A733" s="75"/>
      <c r="B733" s="76"/>
      <c r="C733" s="76"/>
      <c r="D733" s="76"/>
      <c r="E733" s="77"/>
      <c r="F733" s="76"/>
      <c r="G733" s="76"/>
      <c r="H733" s="76"/>
    </row>
    <row r="734" spans="1:8">
      <c r="A734" s="75"/>
      <c r="B734" s="76"/>
      <c r="C734" s="76"/>
      <c r="D734" s="76"/>
      <c r="E734" s="77"/>
      <c r="F734" s="76"/>
      <c r="G734" s="76"/>
      <c r="H734" s="76"/>
    </row>
    <row r="735" spans="1:8">
      <c r="A735" s="75"/>
      <c r="B735" s="76"/>
      <c r="C735" s="76"/>
      <c r="D735" s="76"/>
      <c r="E735" s="77"/>
      <c r="F735" s="76"/>
      <c r="G735" s="76"/>
      <c r="H735" s="76"/>
    </row>
    <row r="736" spans="1:8">
      <c r="A736" s="75"/>
      <c r="B736" s="76"/>
      <c r="C736" s="76"/>
      <c r="D736" s="76"/>
      <c r="E736" s="77"/>
      <c r="F736" s="76"/>
      <c r="G736" s="76"/>
      <c r="H736" s="76"/>
    </row>
    <row r="737" spans="1:8">
      <c r="A737" s="75"/>
      <c r="B737" s="76"/>
      <c r="C737" s="76"/>
      <c r="D737" s="76"/>
      <c r="E737" s="77"/>
      <c r="F737" s="76"/>
      <c r="G737" s="76"/>
      <c r="H737" s="76"/>
    </row>
    <row r="738" spans="1:8">
      <c r="A738" s="75"/>
      <c r="B738" s="76"/>
      <c r="C738" s="76"/>
      <c r="D738" s="76"/>
      <c r="E738" s="77"/>
      <c r="F738" s="76"/>
      <c r="G738" s="76"/>
      <c r="H738" s="76"/>
    </row>
    <row r="739" spans="1:8">
      <c r="A739" s="75"/>
      <c r="B739" s="76"/>
      <c r="C739" s="76"/>
      <c r="D739" s="76"/>
      <c r="E739" s="77"/>
      <c r="F739" s="76"/>
      <c r="G739" s="76"/>
      <c r="H739" s="76"/>
    </row>
    <row r="740" spans="1:8">
      <c r="A740" s="75"/>
      <c r="B740" s="76"/>
      <c r="C740" s="76"/>
      <c r="D740" s="76"/>
      <c r="E740" s="77"/>
      <c r="F740" s="76"/>
      <c r="G740" s="76"/>
      <c r="H740" s="76"/>
    </row>
    <row r="741" spans="1:8">
      <c r="A741" s="75"/>
      <c r="B741" s="76"/>
      <c r="C741" s="76"/>
      <c r="D741" s="76"/>
      <c r="E741" s="77"/>
      <c r="F741" s="76"/>
      <c r="G741" s="76"/>
      <c r="H741" s="76"/>
    </row>
    <row r="742" spans="1:8">
      <c r="A742" s="75"/>
      <c r="B742" s="76"/>
      <c r="C742" s="76"/>
      <c r="D742" s="76"/>
      <c r="E742" s="77"/>
      <c r="F742" s="76"/>
      <c r="G742" s="76"/>
      <c r="H742" s="76"/>
    </row>
    <row r="743" spans="1:8">
      <c r="A743" s="75"/>
      <c r="B743" s="76"/>
      <c r="C743" s="76"/>
      <c r="D743" s="76"/>
      <c r="E743" s="77"/>
      <c r="F743" s="76"/>
      <c r="G743" s="76"/>
      <c r="H743" s="76"/>
    </row>
    <row r="744" spans="1:8">
      <c r="A744" s="75"/>
      <c r="B744" s="76"/>
      <c r="C744" s="76"/>
      <c r="D744" s="76"/>
      <c r="E744" s="77"/>
      <c r="F744" s="76"/>
      <c r="G744" s="76"/>
      <c r="H744" s="76"/>
    </row>
    <row r="745" spans="1:8">
      <c r="A745" s="75"/>
      <c r="B745" s="76"/>
      <c r="C745" s="76"/>
      <c r="D745" s="76"/>
      <c r="E745" s="77"/>
      <c r="F745" s="76"/>
      <c r="G745" s="76"/>
      <c r="H745" s="76"/>
    </row>
    <row r="746" spans="1:8">
      <c r="A746" s="75"/>
      <c r="B746" s="76"/>
      <c r="C746" s="76"/>
      <c r="D746" s="76"/>
      <c r="E746" s="77"/>
      <c r="F746" s="76"/>
      <c r="G746" s="76"/>
      <c r="H746" s="76"/>
    </row>
    <row r="747" spans="1:8">
      <c r="A747" s="75"/>
      <c r="B747" s="76"/>
      <c r="C747" s="76"/>
      <c r="D747" s="76"/>
      <c r="E747" s="77"/>
      <c r="F747" s="76"/>
      <c r="G747" s="76"/>
      <c r="H747" s="76"/>
    </row>
    <row r="748" spans="1:8">
      <c r="A748" s="75"/>
      <c r="B748" s="76"/>
      <c r="C748" s="76"/>
      <c r="D748" s="76"/>
      <c r="E748" s="77"/>
      <c r="F748" s="76"/>
      <c r="G748" s="76"/>
      <c r="H748" s="76"/>
    </row>
    <row r="749" spans="1:8">
      <c r="A749" s="75"/>
      <c r="B749" s="76"/>
      <c r="C749" s="76"/>
      <c r="D749" s="76"/>
      <c r="E749" s="77"/>
      <c r="F749" s="76"/>
      <c r="G749" s="76"/>
      <c r="H749" s="76"/>
    </row>
    <row r="750" spans="1:8">
      <c r="A750" s="75"/>
      <c r="B750" s="76"/>
      <c r="C750" s="76"/>
      <c r="D750" s="76"/>
      <c r="E750" s="77"/>
      <c r="F750" s="76"/>
      <c r="G750" s="76"/>
      <c r="H750" s="76"/>
    </row>
    <row r="751" spans="1:8">
      <c r="A751" s="75"/>
      <c r="B751" s="76"/>
      <c r="C751" s="76"/>
      <c r="D751" s="76"/>
      <c r="E751" s="77"/>
      <c r="F751" s="76"/>
      <c r="G751" s="76"/>
      <c r="H751" s="76"/>
    </row>
    <row r="752" spans="1:8">
      <c r="A752" s="75"/>
      <c r="B752" s="76"/>
      <c r="C752" s="76"/>
      <c r="D752" s="76"/>
      <c r="E752" s="77"/>
      <c r="F752" s="76"/>
      <c r="G752" s="76"/>
      <c r="H752" s="76"/>
    </row>
    <row r="753" spans="1:8">
      <c r="A753" s="75"/>
      <c r="B753" s="76"/>
      <c r="C753" s="76"/>
      <c r="D753" s="76"/>
      <c r="E753" s="77"/>
      <c r="F753" s="76"/>
      <c r="G753" s="76"/>
      <c r="H753" s="76"/>
    </row>
    <row r="754" spans="1:8">
      <c r="A754" s="75"/>
      <c r="B754" s="76"/>
      <c r="C754" s="76"/>
      <c r="D754" s="76"/>
      <c r="E754" s="77"/>
      <c r="F754" s="76"/>
      <c r="G754" s="76"/>
      <c r="H754" s="76"/>
    </row>
    <row r="755" spans="1:8">
      <c r="A755" s="75"/>
      <c r="B755" s="76"/>
      <c r="C755" s="76"/>
      <c r="D755" s="76"/>
      <c r="E755" s="77"/>
      <c r="F755" s="76"/>
      <c r="G755" s="76"/>
      <c r="H755" s="76"/>
    </row>
    <row r="756" spans="1:8">
      <c r="A756" s="75"/>
      <c r="B756" s="76"/>
      <c r="C756" s="76"/>
      <c r="D756" s="76"/>
      <c r="E756" s="77"/>
      <c r="F756" s="76"/>
      <c r="G756" s="76"/>
      <c r="H756" s="76"/>
    </row>
    <row r="757" spans="1:8">
      <c r="A757" s="75"/>
      <c r="B757" s="76"/>
      <c r="C757" s="76"/>
      <c r="D757" s="76"/>
      <c r="E757" s="77"/>
      <c r="F757" s="76"/>
      <c r="G757" s="76"/>
      <c r="H757" s="76"/>
    </row>
    <row r="758" spans="1:8">
      <c r="A758" s="75"/>
      <c r="B758" s="76"/>
      <c r="C758" s="76"/>
      <c r="D758" s="76"/>
      <c r="E758" s="77"/>
      <c r="F758" s="76"/>
      <c r="G758" s="76"/>
      <c r="H758" s="76"/>
    </row>
    <row r="759" spans="1:8">
      <c r="A759" s="75"/>
      <c r="B759" s="76"/>
      <c r="C759" s="76"/>
      <c r="D759" s="76"/>
      <c r="E759" s="77"/>
      <c r="F759" s="76"/>
      <c r="G759" s="76"/>
      <c r="H759" s="76"/>
    </row>
    <row r="760" spans="1:8">
      <c r="A760" s="75"/>
      <c r="B760" s="76"/>
      <c r="C760" s="76"/>
      <c r="D760" s="76"/>
      <c r="E760" s="77"/>
      <c r="F760" s="76"/>
      <c r="G760" s="76"/>
      <c r="H760" s="76"/>
    </row>
    <row r="761" spans="1:8">
      <c r="A761" s="75"/>
      <c r="B761" s="76"/>
      <c r="C761" s="76"/>
      <c r="D761" s="76"/>
      <c r="E761" s="77"/>
      <c r="F761" s="76"/>
      <c r="G761" s="76"/>
      <c r="H761" s="76"/>
    </row>
    <row r="762" spans="1:8">
      <c r="A762" s="75"/>
      <c r="B762" s="76"/>
      <c r="C762" s="76"/>
      <c r="D762" s="76"/>
      <c r="E762" s="77"/>
      <c r="F762" s="76"/>
      <c r="G762" s="76"/>
      <c r="H762" s="76"/>
    </row>
    <row r="763" spans="1:8">
      <c r="A763" s="75"/>
      <c r="B763" s="76"/>
      <c r="C763" s="76"/>
      <c r="D763" s="76"/>
      <c r="E763" s="77"/>
      <c r="F763" s="76"/>
      <c r="G763" s="76"/>
      <c r="H763" s="76"/>
    </row>
    <row r="764" spans="1:8">
      <c r="A764" s="75"/>
      <c r="B764" s="76"/>
      <c r="C764" s="76"/>
      <c r="D764" s="76"/>
      <c r="E764" s="77"/>
      <c r="F764" s="76"/>
      <c r="G764" s="76"/>
      <c r="H764" s="76"/>
    </row>
    <row r="765" spans="1:8">
      <c r="A765" s="75"/>
      <c r="B765" s="76"/>
      <c r="C765" s="76"/>
      <c r="D765" s="76"/>
      <c r="E765" s="77"/>
      <c r="F765" s="76"/>
      <c r="G765" s="76"/>
      <c r="H765" s="76"/>
    </row>
    <row r="766" spans="1:8">
      <c r="A766" s="75"/>
      <c r="B766" s="76"/>
      <c r="C766" s="76"/>
      <c r="D766" s="76"/>
      <c r="E766" s="77"/>
      <c r="F766" s="76"/>
      <c r="G766" s="76"/>
      <c r="H766" s="76"/>
    </row>
    <row r="767" spans="1:8">
      <c r="A767" s="75"/>
      <c r="B767" s="76"/>
      <c r="C767" s="76"/>
      <c r="D767" s="76"/>
      <c r="E767" s="77"/>
      <c r="F767" s="76"/>
      <c r="G767" s="76"/>
      <c r="H767" s="76"/>
    </row>
    <row r="768" spans="1:8">
      <c r="A768" s="75"/>
      <c r="B768" s="76"/>
      <c r="C768" s="76"/>
      <c r="D768" s="76"/>
      <c r="E768" s="77"/>
      <c r="F768" s="76"/>
      <c r="G768" s="76"/>
      <c r="H768" s="76"/>
    </row>
    <row r="769" spans="1:8">
      <c r="A769" s="75"/>
      <c r="B769" s="76"/>
      <c r="C769" s="76"/>
      <c r="D769" s="76"/>
      <c r="E769" s="77"/>
      <c r="F769" s="76"/>
      <c r="G769" s="76"/>
      <c r="H769" s="76"/>
    </row>
    <row r="770" spans="1:8">
      <c r="A770" s="75"/>
      <c r="B770" s="76"/>
      <c r="C770" s="76"/>
      <c r="D770" s="76"/>
      <c r="E770" s="77"/>
      <c r="F770" s="76"/>
      <c r="G770" s="76"/>
      <c r="H770" s="76"/>
    </row>
    <row r="771" spans="1:8">
      <c r="A771" s="75"/>
      <c r="B771" s="76"/>
      <c r="C771" s="76"/>
      <c r="D771" s="76"/>
      <c r="E771" s="77"/>
      <c r="F771" s="76"/>
      <c r="G771" s="76"/>
      <c r="H771" s="76"/>
    </row>
    <row r="772" spans="1:8">
      <c r="A772" s="75"/>
      <c r="B772" s="76"/>
      <c r="C772" s="76"/>
      <c r="D772" s="76"/>
      <c r="E772" s="77"/>
      <c r="F772" s="76"/>
      <c r="G772" s="76"/>
      <c r="H772" s="76"/>
    </row>
    <row r="773" spans="1:8">
      <c r="A773" s="75"/>
      <c r="B773" s="76"/>
      <c r="C773" s="76"/>
      <c r="D773" s="76"/>
      <c r="E773" s="77"/>
      <c r="F773" s="76"/>
      <c r="G773" s="76"/>
      <c r="H773" s="76"/>
    </row>
    <row r="774" spans="1:8">
      <c r="A774" s="75"/>
      <c r="B774" s="76"/>
      <c r="C774" s="76"/>
      <c r="D774" s="76"/>
      <c r="E774" s="77"/>
      <c r="F774" s="76"/>
      <c r="G774" s="76"/>
      <c r="H774" s="76"/>
    </row>
    <row r="775" spans="1:8">
      <c r="A775" s="75"/>
      <c r="B775" s="76"/>
      <c r="C775" s="76"/>
      <c r="D775" s="76"/>
      <c r="E775" s="77"/>
      <c r="F775" s="76"/>
      <c r="G775" s="76"/>
      <c r="H775" s="76"/>
    </row>
    <row r="776" spans="1:8">
      <c r="A776" s="75"/>
      <c r="B776" s="76"/>
      <c r="C776" s="76"/>
      <c r="D776" s="76"/>
      <c r="E776" s="77"/>
      <c r="F776" s="76"/>
      <c r="G776" s="76"/>
      <c r="H776" s="76"/>
    </row>
    <row r="777" spans="1:8">
      <c r="A777" s="75"/>
      <c r="B777" s="76"/>
      <c r="C777" s="76"/>
      <c r="D777" s="76"/>
      <c r="E777" s="77"/>
      <c r="F777" s="76"/>
      <c r="G777" s="76"/>
      <c r="H777" s="76"/>
    </row>
    <row r="778" spans="1:8">
      <c r="A778" s="75"/>
      <c r="B778" s="76"/>
      <c r="C778" s="76"/>
      <c r="D778" s="76"/>
      <c r="E778" s="77"/>
      <c r="F778" s="76"/>
      <c r="G778" s="76"/>
      <c r="H778" s="76"/>
    </row>
    <row r="779" spans="1:8">
      <c r="A779" s="75"/>
      <c r="B779" s="76"/>
      <c r="C779" s="76"/>
      <c r="D779" s="76"/>
      <c r="E779" s="77"/>
      <c r="F779" s="76"/>
      <c r="G779" s="76"/>
      <c r="H779" s="76"/>
    </row>
    <row r="780" spans="1:8">
      <c r="A780" s="75"/>
      <c r="B780" s="76"/>
      <c r="C780" s="76"/>
      <c r="D780" s="76"/>
      <c r="E780" s="77"/>
      <c r="F780" s="76"/>
      <c r="G780" s="76"/>
      <c r="H780" s="76"/>
    </row>
    <row r="781" spans="1:8">
      <c r="A781" s="75"/>
      <c r="B781" s="76"/>
      <c r="C781" s="76"/>
      <c r="D781" s="76"/>
      <c r="E781" s="77"/>
      <c r="F781" s="76"/>
      <c r="G781" s="76"/>
      <c r="H781" s="76"/>
    </row>
    <row r="782" spans="1:8">
      <c r="A782" s="75"/>
      <c r="B782" s="76"/>
      <c r="C782" s="76"/>
      <c r="D782" s="76"/>
      <c r="E782" s="77"/>
      <c r="F782" s="76"/>
      <c r="G782" s="76"/>
      <c r="H782" s="76"/>
    </row>
    <row r="783" spans="1:8">
      <c r="A783" s="75"/>
      <c r="B783" s="76"/>
      <c r="C783" s="76"/>
      <c r="D783" s="76"/>
      <c r="E783" s="77"/>
      <c r="F783" s="76"/>
      <c r="G783" s="76"/>
      <c r="H783" s="76"/>
    </row>
    <row r="784" spans="1:8">
      <c r="A784" s="75"/>
      <c r="B784" s="76"/>
      <c r="C784" s="76"/>
      <c r="D784" s="76"/>
      <c r="E784" s="77"/>
      <c r="F784" s="76"/>
      <c r="G784" s="76"/>
      <c r="H784" s="76"/>
    </row>
    <row r="785" spans="1:8">
      <c r="A785" s="75"/>
      <c r="B785" s="76"/>
      <c r="C785" s="76"/>
      <c r="D785" s="76"/>
      <c r="E785" s="77"/>
      <c r="F785" s="76"/>
      <c r="G785" s="76"/>
      <c r="H785" s="76"/>
    </row>
    <row r="786" spans="1:8">
      <c r="A786" s="75"/>
      <c r="B786" s="76"/>
      <c r="C786" s="76"/>
      <c r="D786" s="76"/>
      <c r="E786" s="77"/>
      <c r="F786" s="76"/>
      <c r="G786" s="76"/>
      <c r="H786" s="76"/>
    </row>
    <row r="787" spans="1:8">
      <c r="A787" s="75"/>
      <c r="B787" s="76"/>
      <c r="C787" s="76"/>
      <c r="D787" s="76"/>
      <c r="E787" s="77"/>
      <c r="F787" s="76"/>
      <c r="G787" s="76"/>
      <c r="H787" s="76"/>
    </row>
    <row r="788" spans="1:8">
      <c r="A788" s="75"/>
      <c r="B788" s="76"/>
      <c r="C788" s="76"/>
      <c r="D788" s="76"/>
      <c r="E788" s="77"/>
      <c r="F788" s="76"/>
      <c r="G788" s="76"/>
      <c r="H788" s="76"/>
    </row>
    <row r="789" spans="1:8">
      <c r="A789" s="75"/>
      <c r="B789" s="76"/>
      <c r="C789" s="76"/>
      <c r="D789" s="76"/>
      <c r="E789" s="77"/>
      <c r="F789" s="76"/>
      <c r="G789" s="76"/>
      <c r="H789" s="76"/>
    </row>
    <row r="790" spans="1:8">
      <c r="A790" s="75"/>
      <c r="B790" s="76"/>
      <c r="C790" s="76"/>
      <c r="D790" s="76"/>
      <c r="E790" s="77"/>
      <c r="F790" s="76"/>
      <c r="G790" s="76"/>
      <c r="H790" s="76"/>
    </row>
    <row r="791" spans="1:8">
      <c r="A791" s="75"/>
      <c r="B791" s="76"/>
      <c r="C791" s="76"/>
      <c r="D791" s="76"/>
      <c r="E791" s="77"/>
      <c r="F791" s="76"/>
      <c r="G791" s="76"/>
      <c r="H791" s="76"/>
    </row>
    <row r="792" spans="1:8">
      <c r="A792" s="75"/>
      <c r="B792" s="76"/>
      <c r="C792" s="76"/>
      <c r="D792" s="76"/>
      <c r="E792" s="77"/>
      <c r="F792" s="76"/>
      <c r="G792" s="76"/>
      <c r="H792" s="76"/>
    </row>
    <row r="793" spans="1:8">
      <c r="A793" s="75"/>
      <c r="B793" s="76"/>
      <c r="C793" s="76"/>
      <c r="D793" s="76"/>
      <c r="E793" s="77"/>
      <c r="F793" s="76"/>
      <c r="G793" s="76"/>
      <c r="H793" s="76"/>
    </row>
    <row r="794" spans="1:8">
      <c r="A794" s="75"/>
      <c r="B794" s="76"/>
      <c r="C794" s="76"/>
      <c r="D794" s="76"/>
      <c r="E794" s="77"/>
      <c r="F794" s="76"/>
      <c r="G794" s="76"/>
      <c r="H794" s="76"/>
    </row>
    <row r="795" spans="1:8">
      <c r="A795" s="75"/>
      <c r="B795" s="76"/>
      <c r="C795" s="76"/>
      <c r="D795" s="76"/>
      <c r="E795" s="77"/>
      <c r="F795" s="76"/>
      <c r="G795" s="76"/>
      <c r="H795" s="76"/>
    </row>
    <row r="796" spans="1:8">
      <c r="A796" s="75"/>
      <c r="B796" s="76"/>
      <c r="C796" s="76"/>
      <c r="D796" s="76"/>
      <c r="E796" s="77"/>
      <c r="F796" s="76"/>
      <c r="G796" s="76"/>
      <c r="H796" s="76"/>
    </row>
    <row r="797" spans="1:8">
      <c r="A797" s="75"/>
      <c r="B797" s="76"/>
      <c r="C797" s="76"/>
      <c r="D797" s="76"/>
      <c r="E797" s="77"/>
      <c r="F797" s="76"/>
      <c r="G797" s="76"/>
      <c r="H797" s="76"/>
    </row>
    <row r="798" spans="1:8">
      <c r="A798" s="75"/>
      <c r="B798" s="76"/>
      <c r="C798" s="76"/>
      <c r="D798" s="76"/>
      <c r="E798" s="77"/>
      <c r="F798" s="76"/>
      <c r="G798" s="76"/>
      <c r="H798" s="76"/>
    </row>
    <row r="799" spans="1:8">
      <c r="A799" s="75"/>
      <c r="B799" s="76"/>
      <c r="C799" s="76"/>
      <c r="D799" s="76"/>
      <c r="E799" s="77"/>
      <c r="F799" s="76"/>
      <c r="G799" s="76"/>
      <c r="H799" s="76"/>
    </row>
    <row r="800" spans="1:8">
      <c r="A800" s="75"/>
      <c r="B800" s="76"/>
      <c r="C800" s="76"/>
      <c r="D800" s="76"/>
      <c r="E800" s="77"/>
      <c r="F800" s="76"/>
      <c r="G800" s="76"/>
      <c r="H800" s="76"/>
    </row>
    <row r="801" spans="1:8">
      <c r="A801" s="75"/>
      <c r="B801" s="76"/>
      <c r="C801" s="76"/>
      <c r="D801" s="76"/>
      <c r="E801" s="77"/>
      <c r="F801" s="76"/>
      <c r="G801" s="76"/>
      <c r="H801" s="76"/>
    </row>
    <row r="802" spans="1:8">
      <c r="A802" s="75"/>
      <c r="B802" s="76"/>
      <c r="C802" s="76"/>
      <c r="D802" s="76"/>
      <c r="E802" s="77"/>
      <c r="F802" s="76"/>
      <c r="G802" s="76"/>
      <c r="H802" s="76"/>
    </row>
    <row r="803" spans="1:8">
      <c r="A803" s="75"/>
      <c r="B803" s="76"/>
      <c r="C803" s="76"/>
      <c r="D803" s="76"/>
      <c r="E803" s="77"/>
      <c r="F803" s="76"/>
      <c r="G803" s="76"/>
      <c r="H803" s="76"/>
    </row>
    <row r="804" spans="1:8">
      <c r="A804" s="75"/>
      <c r="B804" s="76"/>
      <c r="C804" s="76"/>
      <c r="D804" s="76"/>
      <c r="E804" s="77"/>
      <c r="F804" s="76"/>
      <c r="G804" s="76"/>
      <c r="H804" s="76"/>
    </row>
    <row r="805" spans="1:8">
      <c r="A805" s="75"/>
      <c r="B805" s="76"/>
      <c r="C805" s="76"/>
      <c r="D805" s="76"/>
      <c r="E805" s="77"/>
      <c r="F805" s="76"/>
      <c r="G805" s="76"/>
      <c r="H805" s="76"/>
    </row>
    <row r="806" spans="1:8">
      <c r="A806" s="75"/>
      <c r="B806" s="76"/>
      <c r="C806" s="76"/>
      <c r="D806" s="76"/>
      <c r="E806" s="77"/>
      <c r="F806" s="76"/>
      <c r="G806" s="76"/>
      <c r="H806" s="76"/>
    </row>
    <row r="807" spans="1:8">
      <c r="A807" s="75"/>
      <c r="B807" s="76"/>
      <c r="C807" s="76"/>
      <c r="D807" s="76"/>
      <c r="E807" s="77"/>
      <c r="F807" s="76"/>
      <c r="G807" s="76"/>
      <c r="H807" s="76"/>
    </row>
    <row r="808" spans="1:8">
      <c r="A808" s="75"/>
      <c r="B808" s="76"/>
      <c r="C808" s="76"/>
      <c r="D808" s="76"/>
      <c r="E808" s="77"/>
      <c r="F808" s="76"/>
      <c r="G808" s="76"/>
      <c r="H808" s="76"/>
    </row>
    <row r="809" spans="1:8">
      <c r="A809" s="75"/>
      <c r="B809" s="76"/>
      <c r="C809" s="76"/>
      <c r="D809" s="76"/>
      <c r="E809" s="77"/>
      <c r="F809" s="76"/>
      <c r="G809" s="76"/>
      <c r="H809" s="76"/>
    </row>
    <row r="810" spans="1:8">
      <c r="A810" s="75"/>
      <c r="B810" s="76"/>
      <c r="C810" s="76"/>
      <c r="D810" s="76"/>
      <c r="E810" s="77"/>
      <c r="F810" s="76"/>
      <c r="G810" s="76"/>
      <c r="H810" s="76"/>
    </row>
    <row r="811" spans="1:8">
      <c r="A811" s="75"/>
      <c r="B811" s="76"/>
      <c r="C811" s="76"/>
      <c r="D811" s="76"/>
      <c r="E811" s="77"/>
      <c r="F811" s="76"/>
      <c r="G811" s="76"/>
      <c r="H811" s="76"/>
    </row>
    <row r="812" spans="1:8">
      <c r="A812" s="75"/>
      <c r="B812" s="76"/>
      <c r="C812" s="76"/>
      <c r="D812" s="76"/>
      <c r="E812" s="77"/>
      <c r="F812" s="76"/>
      <c r="G812" s="76"/>
      <c r="H812" s="76"/>
    </row>
    <row r="813" spans="1:8">
      <c r="A813" s="75"/>
      <c r="B813" s="76"/>
      <c r="C813" s="76"/>
      <c r="D813" s="76"/>
      <c r="E813" s="77"/>
      <c r="F813" s="76"/>
      <c r="G813" s="76"/>
      <c r="H813" s="76"/>
    </row>
    <row r="814" spans="1:8">
      <c r="A814" s="75"/>
      <c r="B814" s="76"/>
      <c r="C814" s="76"/>
      <c r="D814" s="76"/>
      <c r="E814" s="77"/>
      <c r="F814" s="76"/>
      <c r="G814" s="76"/>
      <c r="H814" s="76"/>
    </row>
    <row r="815" spans="1:8">
      <c r="A815" s="75"/>
      <c r="B815" s="76"/>
      <c r="C815" s="76"/>
      <c r="D815" s="76"/>
      <c r="E815" s="77"/>
      <c r="F815" s="76"/>
      <c r="G815" s="76"/>
      <c r="H815" s="76"/>
    </row>
    <row r="816" spans="1:8">
      <c r="A816" s="75"/>
      <c r="B816" s="76"/>
      <c r="C816" s="76"/>
      <c r="D816" s="76"/>
      <c r="E816" s="77"/>
      <c r="F816" s="76"/>
      <c r="G816" s="76"/>
      <c r="H816" s="76"/>
    </row>
    <row r="817" spans="1:8">
      <c r="A817" s="75"/>
      <c r="B817" s="76"/>
      <c r="C817" s="76"/>
      <c r="D817" s="76"/>
      <c r="E817" s="77"/>
      <c r="F817" s="76"/>
      <c r="G817" s="76"/>
      <c r="H817" s="76"/>
    </row>
    <row r="818" spans="1:8">
      <c r="A818" s="75"/>
      <c r="B818" s="76"/>
      <c r="C818" s="76"/>
      <c r="D818" s="76"/>
      <c r="E818" s="77"/>
      <c r="F818" s="76"/>
      <c r="G818" s="76"/>
      <c r="H818" s="76"/>
    </row>
    <row r="819" spans="1:8">
      <c r="A819" s="75"/>
      <c r="B819" s="76"/>
      <c r="C819" s="76"/>
      <c r="D819" s="76"/>
      <c r="E819" s="77"/>
      <c r="F819" s="76"/>
      <c r="G819" s="76"/>
      <c r="H819" s="76"/>
    </row>
    <row r="820" spans="1:8">
      <c r="A820" s="75"/>
      <c r="B820" s="76"/>
      <c r="C820" s="76"/>
      <c r="D820" s="76"/>
      <c r="E820" s="77"/>
      <c r="F820" s="76"/>
      <c r="G820" s="76"/>
      <c r="H820" s="76"/>
    </row>
    <row r="821" spans="1:8">
      <c r="A821" s="75"/>
      <c r="B821" s="76"/>
      <c r="C821" s="76"/>
      <c r="D821" s="76"/>
      <c r="E821" s="77"/>
      <c r="F821" s="76"/>
      <c r="G821" s="76"/>
      <c r="H821" s="76"/>
    </row>
    <row r="822" spans="1:8">
      <c r="A822" s="75"/>
      <c r="B822" s="76"/>
      <c r="C822" s="76"/>
      <c r="D822" s="76"/>
      <c r="E822" s="77"/>
      <c r="F822" s="76"/>
      <c r="G822" s="76"/>
      <c r="H822" s="76"/>
    </row>
    <row r="823" spans="1:8">
      <c r="A823" s="75"/>
      <c r="B823" s="76"/>
      <c r="C823" s="76"/>
      <c r="D823" s="76"/>
      <c r="E823" s="77"/>
      <c r="F823" s="76"/>
      <c r="G823" s="76"/>
      <c r="H823" s="76"/>
    </row>
    <row r="824" spans="1:8">
      <c r="A824" s="75"/>
      <c r="B824" s="76"/>
      <c r="C824" s="76"/>
      <c r="D824" s="76"/>
      <c r="E824" s="77"/>
      <c r="F824" s="76"/>
      <c r="G824" s="76"/>
      <c r="H824" s="76"/>
    </row>
    <row r="825" spans="1:8">
      <c r="A825" s="75"/>
      <c r="B825" s="76"/>
      <c r="C825" s="76"/>
      <c r="D825" s="76"/>
      <c r="E825" s="77"/>
      <c r="F825" s="76"/>
      <c r="G825" s="76"/>
      <c r="H825" s="76"/>
    </row>
    <row r="826" spans="1:8">
      <c r="A826" s="75"/>
      <c r="B826" s="76"/>
      <c r="C826" s="76"/>
      <c r="D826" s="76"/>
      <c r="E826" s="77"/>
      <c r="F826" s="76"/>
      <c r="G826" s="76"/>
      <c r="H826" s="76"/>
    </row>
    <row r="827" spans="1:8">
      <c r="A827" s="75"/>
      <c r="B827" s="76"/>
      <c r="C827" s="76"/>
      <c r="D827" s="76"/>
      <c r="E827" s="77"/>
      <c r="F827" s="76"/>
      <c r="G827" s="76"/>
      <c r="H827" s="76"/>
    </row>
    <row r="828" spans="1:8">
      <c r="A828" s="75"/>
      <c r="B828" s="76"/>
      <c r="C828" s="76"/>
      <c r="D828" s="76"/>
      <c r="E828" s="77"/>
      <c r="F828" s="76"/>
      <c r="G828" s="76"/>
      <c r="H828" s="76"/>
    </row>
    <row r="829" spans="1:8">
      <c r="A829" s="75"/>
      <c r="B829" s="76"/>
      <c r="C829" s="76"/>
      <c r="D829" s="76"/>
      <c r="E829" s="77"/>
      <c r="F829" s="76"/>
      <c r="G829" s="76"/>
      <c r="H829" s="76"/>
    </row>
    <row r="830" spans="1:8">
      <c r="A830" s="75"/>
      <c r="B830" s="76"/>
      <c r="C830" s="76"/>
      <c r="D830" s="76"/>
      <c r="E830" s="77"/>
      <c r="F830" s="76"/>
      <c r="G830" s="76"/>
      <c r="H830" s="76"/>
    </row>
    <row r="831" spans="1:8">
      <c r="A831" s="75"/>
      <c r="B831" s="76"/>
      <c r="C831" s="76"/>
      <c r="D831" s="76"/>
      <c r="E831" s="77"/>
      <c r="F831" s="76"/>
      <c r="G831" s="76"/>
      <c r="H831" s="76"/>
    </row>
    <row r="832" spans="1:8">
      <c r="A832" s="75"/>
      <c r="B832" s="76"/>
      <c r="C832" s="76"/>
      <c r="D832" s="76"/>
      <c r="E832" s="77"/>
      <c r="F832" s="76"/>
      <c r="G832" s="76"/>
      <c r="H832" s="76"/>
    </row>
    <row r="833" spans="1:8">
      <c r="A833" s="75"/>
      <c r="B833" s="76"/>
      <c r="C833" s="76"/>
      <c r="D833" s="76"/>
      <c r="E833" s="77"/>
      <c r="F833" s="76"/>
      <c r="G833" s="76"/>
      <c r="H833" s="76"/>
    </row>
    <row r="834" spans="1:8">
      <c r="A834" s="75"/>
      <c r="B834" s="76"/>
      <c r="C834" s="76"/>
      <c r="D834" s="76"/>
      <c r="E834" s="77"/>
      <c r="F834" s="76"/>
      <c r="G834" s="76"/>
      <c r="H834" s="76"/>
    </row>
    <row r="835" spans="1:8">
      <c r="A835" s="75"/>
      <c r="B835" s="76"/>
      <c r="C835" s="76"/>
      <c r="D835" s="76"/>
      <c r="E835" s="77"/>
      <c r="F835" s="76"/>
      <c r="G835" s="76"/>
      <c r="H835" s="76"/>
    </row>
    <row r="836" spans="1:8">
      <c r="A836" s="75"/>
      <c r="B836" s="76"/>
      <c r="C836" s="76"/>
      <c r="D836" s="76"/>
      <c r="E836" s="77"/>
      <c r="F836" s="76"/>
      <c r="G836" s="76"/>
      <c r="H836" s="76"/>
    </row>
    <row r="837" spans="1:8">
      <c r="A837" s="75"/>
      <c r="B837" s="76"/>
      <c r="C837" s="76"/>
      <c r="D837" s="76"/>
      <c r="E837" s="77"/>
      <c r="F837" s="76"/>
      <c r="G837" s="76"/>
      <c r="H837" s="76"/>
    </row>
    <row r="838" spans="1:8">
      <c r="A838" s="75"/>
      <c r="B838" s="76"/>
      <c r="C838" s="76"/>
      <c r="D838" s="76"/>
      <c r="E838" s="77"/>
      <c r="F838" s="76"/>
      <c r="G838" s="76"/>
      <c r="H838" s="76"/>
    </row>
    <row r="839" spans="1:8">
      <c r="A839" s="75"/>
      <c r="B839" s="76"/>
      <c r="C839" s="76"/>
      <c r="D839" s="76"/>
      <c r="E839" s="77"/>
      <c r="F839" s="76"/>
      <c r="G839" s="76"/>
      <c r="H839" s="76"/>
    </row>
    <row r="840" spans="1:8">
      <c r="A840" s="75"/>
      <c r="B840" s="76"/>
      <c r="C840" s="76"/>
      <c r="D840" s="76"/>
      <c r="E840" s="77"/>
      <c r="F840" s="76"/>
      <c r="G840" s="76"/>
      <c r="H840" s="76"/>
    </row>
    <row r="841" spans="1:8">
      <c r="A841" s="75"/>
      <c r="B841" s="76"/>
      <c r="C841" s="76"/>
      <c r="D841" s="76"/>
      <c r="E841" s="77"/>
      <c r="F841" s="76"/>
      <c r="G841" s="76"/>
      <c r="H841" s="76"/>
    </row>
    <row r="842" spans="1:8">
      <c r="A842" s="75"/>
      <c r="B842" s="76"/>
      <c r="C842" s="76"/>
      <c r="D842" s="76"/>
      <c r="E842" s="77"/>
      <c r="F842" s="76"/>
      <c r="G842" s="76"/>
      <c r="H842" s="76"/>
    </row>
    <row r="843" spans="1:8">
      <c r="A843" s="75"/>
      <c r="B843" s="76"/>
      <c r="C843" s="76"/>
      <c r="D843" s="76"/>
      <c r="E843" s="77"/>
      <c r="F843" s="76"/>
      <c r="G843" s="76"/>
      <c r="H843" s="76"/>
    </row>
    <row r="844" spans="1:8">
      <c r="A844" s="75"/>
      <c r="B844" s="76"/>
      <c r="C844" s="76"/>
      <c r="D844" s="76"/>
      <c r="E844" s="77"/>
      <c r="F844" s="76"/>
      <c r="G844" s="76"/>
      <c r="H844" s="76"/>
    </row>
    <row r="845" spans="1:8">
      <c r="A845" s="75"/>
      <c r="B845" s="76"/>
      <c r="C845" s="76"/>
      <c r="D845" s="76"/>
      <c r="E845" s="77"/>
      <c r="F845" s="76"/>
      <c r="G845" s="76"/>
      <c r="H845" s="76"/>
    </row>
    <row r="846" spans="1:8">
      <c r="A846" s="75"/>
      <c r="B846" s="76"/>
      <c r="C846" s="76"/>
      <c r="D846" s="76"/>
      <c r="E846" s="77"/>
      <c r="F846" s="76"/>
      <c r="G846" s="76"/>
      <c r="H846" s="76"/>
    </row>
    <row r="847" spans="1:8">
      <c r="A847" s="75"/>
      <c r="B847" s="76"/>
      <c r="C847" s="76"/>
      <c r="D847" s="76"/>
      <c r="E847" s="77"/>
      <c r="F847" s="76"/>
      <c r="G847" s="76"/>
      <c r="H847" s="76"/>
    </row>
    <row r="848" spans="1:8">
      <c r="A848" s="75"/>
      <c r="B848" s="76"/>
      <c r="C848" s="76"/>
      <c r="D848" s="76"/>
      <c r="E848" s="77"/>
      <c r="F848" s="76"/>
      <c r="G848" s="76"/>
      <c r="H848" s="76"/>
    </row>
    <row r="849" spans="1:8">
      <c r="A849" s="75"/>
      <c r="B849" s="76"/>
      <c r="C849" s="76"/>
      <c r="D849" s="76"/>
      <c r="E849" s="77"/>
      <c r="F849" s="76"/>
      <c r="G849" s="76"/>
      <c r="H849" s="76"/>
    </row>
    <row r="850" spans="1:8">
      <c r="A850" s="75"/>
      <c r="B850" s="76"/>
      <c r="C850" s="76"/>
      <c r="D850" s="76"/>
      <c r="E850" s="77"/>
      <c r="F850" s="76"/>
      <c r="G850" s="76"/>
      <c r="H850" s="76"/>
    </row>
    <row r="851" spans="1:8">
      <c r="A851" s="75"/>
      <c r="B851" s="76"/>
      <c r="C851" s="76"/>
      <c r="D851" s="76"/>
      <c r="E851" s="77"/>
      <c r="F851" s="76"/>
      <c r="G851" s="76"/>
      <c r="H851" s="76"/>
    </row>
    <row r="852" spans="1:8">
      <c r="A852" s="75"/>
      <c r="B852" s="76"/>
      <c r="C852" s="76"/>
      <c r="D852" s="76"/>
      <c r="E852" s="77"/>
      <c r="F852" s="76"/>
      <c r="G852" s="76"/>
      <c r="H852" s="76"/>
    </row>
    <row r="853" spans="1:8">
      <c r="A853" s="75"/>
      <c r="B853" s="76"/>
      <c r="C853" s="76"/>
      <c r="D853" s="76"/>
      <c r="E853" s="77"/>
      <c r="F853" s="76"/>
      <c r="G853" s="76"/>
      <c r="H853" s="76"/>
    </row>
    <row r="854" spans="1:8">
      <c r="A854" s="75"/>
      <c r="B854" s="76"/>
      <c r="C854" s="76"/>
      <c r="D854" s="76"/>
      <c r="E854" s="77"/>
      <c r="F854" s="76"/>
      <c r="G854" s="76"/>
      <c r="H854" s="76"/>
    </row>
    <row r="855" spans="1:8">
      <c r="A855" s="75"/>
      <c r="B855" s="76"/>
      <c r="C855" s="76"/>
      <c r="D855" s="76"/>
      <c r="E855" s="77"/>
      <c r="F855" s="76"/>
      <c r="G855" s="76"/>
      <c r="H855" s="76"/>
    </row>
    <row r="856" spans="1:8">
      <c r="A856" s="75"/>
      <c r="B856" s="76"/>
      <c r="C856" s="76"/>
      <c r="D856" s="76"/>
      <c r="E856" s="77"/>
      <c r="F856" s="76"/>
      <c r="G856" s="76"/>
      <c r="H856" s="76"/>
    </row>
    <row r="857" spans="1:8">
      <c r="A857" s="75"/>
      <c r="B857" s="76"/>
      <c r="C857" s="76"/>
      <c r="D857" s="76"/>
      <c r="E857" s="77"/>
      <c r="F857" s="76"/>
      <c r="G857" s="76"/>
      <c r="H857" s="76"/>
    </row>
    <row r="858" spans="1:8">
      <c r="A858" s="75"/>
      <c r="B858" s="76"/>
      <c r="C858" s="76"/>
      <c r="D858" s="76"/>
      <c r="E858" s="77"/>
      <c r="F858" s="76"/>
      <c r="G858" s="76"/>
      <c r="H858" s="76"/>
    </row>
    <row r="859" spans="1:8">
      <c r="A859" s="75"/>
      <c r="B859" s="76"/>
      <c r="C859" s="76"/>
      <c r="D859" s="76"/>
      <c r="E859" s="77"/>
      <c r="F859" s="76"/>
      <c r="G859" s="76"/>
      <c r="H859" s="76"/>
    </row>
    <row r="860" spans="1:8">
      <c r="A860" s="75"/>
      <c r="B860" s="76"/>
      <c r="C860" s="76"/>
      <c r="D860" s="76"/>
      <c r="E860" s="77"/>
      <c r="F860" s="76"/>
      <c r="G860" s="76"/>
      <c r="H860" s="76"/>
    </row>
    <row r="861" spans="1:8">
      <c r="A861" s="75"/>
      <c r="B861" s="76"/>
      <c r="C861" s="76"/>
      <c r="D861" s="76"/>
      <c r="E861" s="77"/>
      <c r="F861" s="76"/>
      <c r="G861" s="76"/>
      <c r="H861" s="76"/>
    </row>
    <row r="862" spans="1:8">
      <c r="A862" s="75"/>
      <c r="B862" s="76"/>
      <c r="C862" s="76"/>
      <c r="D862" s="76"/>
      <c r="E862" s="77"/>
      <c r="F862" s="76"/>
      <c r="G862" s="76"/>
      <c r="H862" s="76"/>
    </row>
    <row r="863" spans="1:8">
      <c r="A863" s="75"/>
      <c r="B863" s="76"/>
      <c r="C863" s="76"/>
      <c r="D863" s="76"/>
      <c r="E863" s="77"/>
      <c r="F863" s="76"/>
      <c r="G863" s="76"/>
      <c r="H863" s="76"/>
    </row>
    <row r="864" spans="1:8">
      <c r="A864" s="75"/>
      <c r="B864" s="76"/>
      <c r="C864" s="76"/>
      <c r="D864" s="76"/>
      <c r="E864" s="77"/>
      <c r="F864" s="76"/>
      <c r="G864" s="76"/>
      <c r="H864" s="76"/>
    </row>
    <row r="865" spans="1:8">
      <c r="A865" s="75"/>
      <c r="B865" s="76"/>
      <c r="C865" s="76"/>
      <c r="D865" s="76"/>
      <c r="E865" s="77"/>
      <c r="F865" s="76"/>
      <c r="G865" s="76"/>
      <c r="H865" s="76"/>
    </row>
    <row r="866" spans="1:8">
      <c r="A866" s="75"/>
      <c r="B866" s="76"/>
      <c r="C866" s="76"/>
      <c r="D866" s="76"/>
      <c r="E866" s="77"/>
      <c r="F866" s="76"/>
      <c r="G866" s="76"/>
      <c r="H866" s="76"/>
    </row>
    <row r="867" spans="1:8">
      <c r="A867" s="75"/>
      <c r="B867" s="76"/>
      <c r="C867" s="76"/>
      <c r="D867" s="76"/>
      <c r="E867" s="77"/>
      <c r="F867" s="76"/>
      <c r="G867" s="76"/>
      <c r="H867" s="76"/>
    </row>
    <row r="868" spans="1:8">
      <c r="A868" s="75"/>
      <c r="B868" s="76"/>
      <c r="C868" s="76"/>
      <c r="D868" s="76"/>
      <c r="E868" s="77"/>
      <c r="F868" s="76"/>
      <c r="G868" s="76"/>
      <c r="H868" s="76"/>
    </row>
    <row r="869" spans="1:8">
      <c r="A869" s="75"/>
      <c r="B869" s="76"/>
      <c r="C869" s="76"/>
      <c r="D869" s="76"/>
      <c r="E869" s="77"/>
      <c r="F869" s="76"/>
      <c r="G869" s="76"/>
      <c r="H869" s="76"/>
    </row>
    <row r="870" spans="1:8">
      <c r="A870" s="75"/>
      <c r="B870" s="76"/>
      <c r="C870" s="76"/>
      <c r="D870" s="76"/>
      <c r="E870" s="77"/>
      <c r="F870" s="76"/>
      <c r="G870" s="76"/>
      <c r="H870" s="76"/>
    </row>
    <row r="871" spans="1:8">
      <c r="A871" s="75"/>
      <c r="B871" s="76"/>
      <c r="C871" s="76"/>
      <c r="D871" s="76"/>
      <c r="E871" s="77"/>
      <c r="F871" s="76"/>
      <c r="G871" s="76"/>
      <c r="H871" s="76"/>
    </row>
    <row r="872" spans="1:8">
      <c r="A872" s="75"/>
      <c r="B872" s="76"/>
      <c r="C872" s="76"/>
      <c r="D872" s="76"/>
      <c r="E872" s="77"/>
      <c r="F872" s="76"/>
      <c r="G872" s="76"/>
      <c r="H872" s="76"/>
    </row>
    <row r="873" spans="1:8">
      <c r="A873" s="75"/>
      <c r="B873" s="76"/>
      <c r="C873" s="76"/>
      <c r="D873" s="76"/>
      <c r="E873" s="77"/>
      <c r="F873" s="76"/>
      <c r="G873" s="76"/>
      <c r="H873" s="76"/>
    </row>
    <row r="874" spans="1:8">
      <c r="A874" s="75"/>
      <c r="B874" s="76"/>
      <c r="C874" s="76"/>
      <c r="D874" s="76"/>
      <c r="E874" s="77"/>
      <c r="F874" s="76"/>
      <c r="G874" s="76"/>
      <c r="H874" s="76"/>
    </row>
    <row r="875" spans="1:8">
      <c r="A875" s="75"/>
      <c r="B875" s="76"/>
      <c r="C875" s="76"/>
      <c r="D875" s="76"/>
      <c r="E875" s="77"/>
      <c r="F875" s="76"/>
      <c r="G875" s="76"/>
      <c r="H875" s="76"/>
    </row>
    <row r="876" spans="1:8">
      <c r="A876" s="75"/>
      <c r="B876" s="76"/>
      <c r="C876" s="76"/>
      <c r="D876" s="76"/>
      <c r="E876" s="77"/>
      <c r="F876" s="76"/>
      <c r="G876" s="76"/>
      <c r="H876" s="76"/>
    </row>
    <row r="877" spans="1:8">
      <c r="A877" s="75"/>
      <c r="B877" s="76"/>
      <c r="C877" s="76"/>
      <c r="D877" s="76"/>
      <c r="E877" s="77"/>
      <c r="F877" s="76"/>
      <c r="G877" s="76"/>
      <c r="H877" s="76"/>
    </row>
    <row r="878" spans="1:8">
      <c r="A878" s="75"/>
      <c r="B878" s="76"/>
      <c r="C878" s="76"/>
      <c r="D878" s="76"/>
      <c r="E878" s="77"/>
      <c r="F878" s="76"/>
      <c r="G878" s="76"/>
      <c r="H878" s="76"/>
    </row>
    <row r="879" spans="1:8">
      <c r="A879" s="75"/>
      <c r="B879" s="76"/>
      <c r="C879" s="76"/>
      <c r="D879" s="76"/>
      <c r="E879" s="77"/>
      <c r="F879" s="76"/>
      <c r="G879" s="76"/>
      <c r="H879" s="76"/>
    </row>
    <row r="880" spans="1:8">
      <c r="A880" s="75"/>
      <c r="B880" s="76"/>
      <c r="C880" s="76"/>
      <c r="D880" s="76"/>
      <c r="E880" s="77"/>
      <c r="F880" s="76"/>
      <c r="G880" s="76"/>
      <c r="H880" s="76"/>
    </row>
    <row r="881" spans="1:8">
      <c r="A881" s="75"/>
      <c r="B881" s="76"/>
      <c r="C881" s="76"/>
      <c r="D881" s="76"/>
      <c r="E881" s="77"/>
      <c r="F881" s="76"/>
      <c r="G881" s="76"/>
      <c r="H881" s="76"/>
    </row>
    <row r="882" spans="1:8">
      <c r="A882" s="75"/>
      <c r="B882" s="76"/>
      <c r="C882" s="76"/>
      <c r="D882" s="76"/>
      <c r="E882" s="77"/>
      <c r="F882" s="76"/>
      <c r="G882" s="76"/>
      <c r="H882" s="76"/>
    </row>
    <row r="883" spans="1:8">
      <c r="A883" s="75"/>
      <c r="B883" s="76"/>
      <c r="C883" s="76"/>
      <c r="D883" s="76"/>
      <c r="E883" s="77"/>
      <c r="F883" s="76"/>
      <c r="G883" s="76"/>
      <c r="H883" s="76"/>
    </row>
    <row r="884" spans="1:8">
      <c r="A884" s="75"/>
      <c r="B884" s="76"/>
      <c r="C884" s="76"/>
      <c r="D884" s="76"/>
      <c r="E884" s="77"/>
      <c r="F884" s="76"/>
      <c r="G884" s="76"/>
      <c r="H884" s="76"/>
    </row>
    <row r="885" spans="1:8">
      <c r="A885" s="75"/>
      <c r="B885" s="76"/>
      <c r="C885" s="76"/>
      <c r="D885" s="76"/>
      <c r="E885" s="77"/>
      <c r="F885" s="76"/>
      <c r="G885" s="76"/>
      <c r="H885" s="76"/>
    </row>
    <row r="886" spans="1:8">
      <c r="A886" s="75"/>
      <c r="B886" s="76"/>
      <c r="C886" s="76"/>
      <c r="D886" s="76"/>
      <c r="E886" s="77"/>
      <c r="F886" s="76"/>
      <c r="G886" s="76"/>
      <c r="H886" s="76"/>
    </row>
    <row r="887" spans="1:8">
      <c r="A887" s="75"/>
      <c r="B887" s="76"/>
      <c r="C887" s="76"/>
      <c r="D887" s="76"/>
      <c r="E887" s="77"/>
      <c r="F887" s="76"/>
      <c r="G887" s="76"/>
      <c r="H887" s="76"/>
    </row>
    <row r="888" spans="1:8">
      <c r="A888" s="75"/>
      <c r="B888" s="76"/>
      <c r="C888" s="76"/>
      <c r="D888" s="76"/>
      <c r="E888" s="77"/>
      <c r="F888" s="76"/>
      <c r="G888" s="76"/>
      <c r="H888" s="76"/>
    </row>
    <row r="889" spans="1:8">
      <c r="A889" s="75"/>
      <c r="B889" s="76"/>
      <c r="C889" s="76"/>
      <c r="D889" s="76"/>
      <c r="E889" s="77"/>
      <c r="F889" s="76"/>
      <c r="G889" s="76"/>
      <c r="H889" s="76"/>
    </row>
    <row r="890" spans="1:8">
      <c r="A890" s="75"/>
      <c r="B890" s="76"/>
      <c r="C890" s="76"/>
      <c r="D890" s="76"/>
      <c r="E890" s="77"/>
      <c r="F890" s="76"/>
      <c r="G890" s="76"/>
      <c r="H890" s="76"/>
    </row>
    <row r="891" spans="1:8">
      <c r="A891" s="75"/>
      <c r="B891" s="76"/>
      <c r="C891" s="76"/>
      <c r="D891" s="76"/>
      <c r="E891" s="77"/>
      <c r="F891" s="76"/>
      <c r="G891" s="76"/>
      <c r="H891" s="76"/>
    </row>
    <row r="892" spans="1:8">
      <c r="A892" s="75"/>
      <c r="B892" s="76"/>
      <c r="C892" s="76"/>
      <c r="D892" s="76"/>
      <c r="E892" s="77"/>
      <c r="F892" s="76"/>
      <c r="G892" s="76"/>
      <c r="H892" s="76"/>
    </row>
    <row r="893" spans="1:8">
      <c r="A893" s="75"/>
      <c r="B893" s="76"/>
      <c r="C893" s="76"/>
      <c r="D893" s="76"/>
      <c r="E893" s="77"/>
      <c r="F893" s="76"/>
      <c r="G893" s="76"/>
      <c r="H893" s="76"/>
    </row>
    <row r="894" spans="1:8">
      <c r="A894" s="75"/>
      <c r="B894" s="76"/>
      <c r="C894" s="76"/>
      <c r="D894" s="76"/>
      <c r="E894" s="77"/>
      <c r="F894" s="76"/>
      <c r="G894" s="76"/>
      <c r="H894" s="76"/>
    </row>
    <row r="895" spans="1:8">
      <c r="A895" s="75"/>
      <c r="B895" s="76"/>
      <c r="C895" s="76"/>
      <c r="D895" s="76"/>
      <c r="E895" s="77"/>
      <c r="F895" s="76"/>
      <c r="G895" s="76"/>
      <c r="H895" s="76"/>
    </row>
    <row r="896" spans="1:8">
      <c r="A896" s="75"/>
      <c r="B896" s="76"/>
      <c r="C896" s="76"/>
      <c r="D896" s="76"/>
      <c r="E896" s="77"/>
      <c r="F896" s="76"/>
      <c r="G896" s="76"/>
      <c r="H896" s="76"/>
    </row>
    <row r="897" spans="1:8">
      <c r="A897" s="75"/>
      <c r="B897" s="76"/>
      <c r="C897" s="76"/>
      <c r="D897" s="76"/>
      <c r="E897" s="77"/>
      <c r="F897" s="76"/>
      <c r="G897" s="76"/>
      <c r="H897" s="76"/>
    </row>
    <row r="898" spans="1:8">
      <c r="A898" s="75"/>
      <c r="B898" s="76"/>
      <c r="C898" s="76"/>
      <c r="D898" s="76"/>
      <c r="E898" s="77"/>
      <c r="F898" s="76"/>
      <c r="G898" s="76"/>
      <c r="H898" s="76"/>
    </row>
    <row r="899" spans="1:8">
      <c r="A899" s="75"/>
      <c r="B899" s="76"/>
      <c r="C899" s="76"/>
      <c r="D899" s="76"/>
      <c r="E899" s="77"/>
      <c r="F899" s="76"/>
      <c r="G899" s="76"/>
      <c r="H899" s="76"/>
    </row>
    <row r="900" spans="1:8">
      <c r="A900" s="75"/>
      <c r="B900" s="76"/>
      <c r="C900" s="76"/>
      <c r="D900" s="76"/>
      <c r="E900" s="77"/>
      <c r="F900" s="76"/>
      <c r="G900" s="76"/>
      <c r="H900" s="76"/>
    </row>
    <row r="901" spans="1:8">
      <c r="A901" s="75"/>
      <c r="B901" s="76"/>
      <c r="C901" s="76"/>
      <c r="D901" s="76"/>
      <c r="E901" s="77"/>
      <c r="F901" s="76"/>
      <c r="G901" s="76"/>
      <c r="H901" s="76"/>
    </row>
    <row r="902" spans="1:8">
      <c r="A902" s="75"/>
      <c r="B902" s="76"/>
      <c r="C902" s="76"/>
      <c r="D902" s="76"/>
      <c r="E902" s="77"/>
      <c r="F902" s="76"/>
      <c r="G902" s="76"/>
      <c r="H902" s="76"/>
    </row>
    <row r="903" spans="1:8">
      <c r="A903" s="75"/>
      <c r="B903" s="76"/>
      <c r="C903" s="76"/>
      <c r="D903" s="76"/>
      <c r="E903" s="77"/>
      <c r="F903" s="76"/>
      <c r="G903" s="76"/>
      <c r="H903" s="76"/>
    </row>
    <row r="904" spans="1:8">
      <c r="A904" s="75"/>
      <c r="B904" s="76"/>
      <c r="C904" s="76"/>
      <c r="D904" s="76"/>
      <c r="E904" s="77"/>
      <c r="F904" s="76"/>
      <c r="G904" s="76"/>
      <c r="H904" s="76"/>
    </row>
    <row r="905" spans="1:8">
      <c r="A905" s="75"/>
      <c r="B905" s="76"/>
      <c r="C905" s="76"/>
      <c r="D905" s="76"/>
      <c r="E905" s="77"/>
      <c r="F905" s="76"/>
      <c r="G905" s="76"/>
      <c r="H905" s="76"/>
    </row>
    <row r="906" spans="1:8">
      <c r="A906" s="75"/>
      <c r="B906" s="76"/>
      <c r="C906" s="76"/>
      <c r="D906" s="76"/>
      <c r="E906" s="77"/>
      <c r="F906" s="76"/>
      <c r="G906" s="76"/>
      <c r="H906" s="76"/>
    </row>
    <row r="907" spans="1:8">
      <c r="A907" s="75"/>
      <c r="B907" s="76"/>
      <c r="C907" s="76"/>
      <c r="D907" s="76"/>
      <c r="E907" s="77"/>
      <c r="F907" s="76"/>
      <c r="G907" s="76"/>
      <c r="H907" s="76"/>
    </row>
    <row r="908" spans="1:8">
      <c r="A908" s="75"/>
      <c r="B908" s="76"/>
      <c r="C908" s="76"/>
      <c r="D908" s="76"/>
      <c r="E908" s="77"/>
      <c r="F908" s="76"/>
      <c r="G908" s="76"/>
      <c r="H908" s="76"/>
    </row>
    <row r="909" spans="1:8">
      <c r="A909" s="75"/>
      <c r="B909" s="76"/>
      <c r="C909" s="76"/>
      <c r="D909" s="76"/>
      <c r="E909" s="77"/>
      <c r="F909" s="76"/>
      <c r="G909" s="76"/>
      <c r="H909" s="76"/>
    </row>
    <row r="910" spans="1:8">
      <c r="A910" s="75"/>
      <c r="B910" s="76"/>
      <c r="C910" s="76"/>
      <c r="D910" s="76"/>
      <c r="E910" s="77"/>
      <c r="F910" s="76"/>
      <c r="G910" s="76"/>
      <c r="H910" s="76"/>
    </row>
    <row r="911" spans="1:8">
      <c r="A911" s="75"/>
      <c r="B911" s="76"/>
      <c r="C911" s="76"/>
      <c r="D911" s="76"/>
      <c r="E911" s="77"/>
      <c r="F911" s="76"/>
      <c r="G911" s="76"/>
      <c r="H911" s="76"/>
    </row>
    <row r="912" spans="1:8">
      <c r="A912" s="75"/>
      <c r="B912" s="76"/>
      <c r="C912" s="76"/>
      <c r="D912" s="76"/>
      <c r="E912" s="77"/>
      <c r="F912" s="76"/>
      <c r="G912" s="76"/>
      <c r="H912" s="76"/>
    </row>
    <row r="913" spans="1:8">
      <c r="A913" s="75"/>
      <c r="B913" s="76"/>
      <c r="C913" s="76"/>
      <c r="D913" s="76"/>
      <c r="E913" s="77"/>
      <c r="F913" s="76"/>
      <c r="G913" s="76"/>
      <c r="H913" s="76"/>
    </row>
    <row r="914" spans="1:8">
      <c r="A914" s="75"/>
      <c r="B914" s="76"/>
      <c r="C914" s="76"/>
      <c r="D914" s="76"/>
      <c r="E914" s="77"/>
      <c r="F914" s="76"/>
      <c r="G914" s="76"/>
      <c r="H914" s="76"/>
    </row>
    <row r="915" spans="1:8">
      <c r="A915" s="75"/>
      <c r="B915" s="76"/>
      <c r="C915" s="76"/>
      <c r="D915" s="76"/>
      <c r="E915" s="77"/>
      <c r="F915" s="76"/>
      <c r="G915" s="76"/>
      <c r="H915" s="76"/>
    </row>
    <row r="916" spans="1:8">
      <c r="A916" s="75"/>
      <c r="B916" s="76"/>
      <c r="C916" s="76"/>
      <c r="D916" s="76"/>
      <c r="E916" s="77"/>
      <c r="F916" s="76"/>
      <c r="G916" s="76"/>
      <c r="H916" s="76"/>
    </row>
    <row r="917" spans="1:8">
      <c r="A917" s="75"/>
      <c r="B917" s="76"/>
      <c r="C917" s="76"/>
      <c r="D917" s="76"/>
      <c r="E917" s="77"/>
      <c r="F917" s="76"/>
      <c r="G917" s="76"/>
      <c r="H917" s="76"/>
    </row>
    <row r="918" spans="1:8">
      <c r="A918" s="75"/>
      <c r="B918" s="76"/>
      <c r="C918" s="76"/>
      <c r="D918" s="76"/>
      <c r="E918" s="77"/>
      <c r="F918" s="76"/>
      <c r="G918" s="76"/>
      <c r="H918" s="76"/>
    </row>
    <row r="919" spans="1:8">
      <c r="A919" s="75"/>
      <c r="B919" s="76"/>
      <c r="C919" s="76"/>
      <c r="D919" s="76"/>
      <c r="E919" s="77"/>
      <c r="F919" s="76"/>
      <c r="G919" s="76"/>
      <c r="H919" s="76"/>
    </row>
    <row r="920" spans="1:8">
      <c r="A920" s="75"/>
      <c r="B920" s="76"/>
      <c r="C920" s="76"/>
      <c r="D920" s="76"/>
      <c r="E920" s="77"/>
      <c r="F920" s="76"/>
      <c r="G920" s="76"/>
      <c r="H920" s="76"/>
    </row>
    <row r="921" spans="1:8">
      <c r="A921" s="75"/>
      <c r="B921" s="76"/>
      <c r="C921" s="76"/>
      <c r="D921" s="76"/>
      <c r="E921" s="77"/>
      <c r="F921" s="76"/>
      <c r="G921" s="76"/>
      <c r="H921" s="76"/>
    </row>
    <row r="922" spans="1:8">
      <c r="A922" s="75"/>
      <c r="B922" s="76"/>
      <c r="C922" s="76"/>
      <c r="D922" s="76"/>
      <c r="E922" s="77"/>
      <c r="F922" s="76"/>
      <c r="G922" s="76"/>
      <c r="H922" s="76"/>
    </row>
    <row r="923" spans="1:8">
      <c r="A923" s="75"/>
      <c r="B923" s="76"/>
      <c r="C923" s="76"/>
      <c r="D923" s="76"/>
      <c r="E923" s="77"/>
      <c r="F923" s="76"/>
      <c r="G923" s="76"/>
      <c r="H923" s="76"/>
    </row>
    <row r="924" spans="1:8">
      <c r="A924" s="75"/>
      <c r="B924" s="76"/>
      <c r="C924" s="76"/>
      <c r="D924" s="76"/>
      <c r="E924" s="77"/>
      <c r="F924" s="76"/>
      <c r="G924" s="76"/>
      <c r="H924" s="76"/>
    </row>
    <row r="925" spans="1:8">
      <c r="A925" s="75"/>
      <c r="B925" s="76"/>
      <c r="C925" s="76"/>
      <c r="D925" s="76"/>
      <c r="E925" s="77"/>
      <c r="F925" s="76"/>
      <c r="G925" s="76"/>
      <c r="H925" s="76"/>
    </row>
    <row r="926" spans="1:8">
      <c r="A926" s="75"/>
      <c r="B926" s="76"/>
      <c r="C926" s="76"/>
      <c r="D926" s="76"/>
      <c r="E926" s="77"/>
      <c r="F926" s="76"/>
      <c r="G926" s="76"/>
      <c r="H926" s="76"/>
    </row>
    <row r="927" spans="1:8">
      <c r="A927" s="75"/>
      <c r="B927" s="76"/>
      <c r="C927" s="76"/>
      <c r="D927" s="76"/>
      <c r="E927" s="77"/>
      <c r="F927" s="76"/>
      <c r="G927" s="76"/>
      <c r="H927" s="76"/>
    </row>
    <row r="928" spans="1:8">
      <c r="A928" s="75"/>
      <c r="B928" s="76"/>
      <c r="C928" s="76"/>
      <c r="D928" s="76"/>
      <c r="E928" s="77"/>
      <c r="F928" s="76"/>
      <c r="G928" s="76"/>
      <c r="H928" s="76"/>
    </row>
    <row r="929" spans="1:8">
      <c r="A929" s="75"/>
      <c r="B929" s="76"/>
      <c r="C929" s="76"/>
      <c r="D929" s="76"/>
      <c r="E929" s="77"/>
      <c r="F929" s="76"/>
      <c r="G929" s="76"/>
      <c r="H929" s="76"/>
    </row>
    <row r="930" spans="1:8">
      <c r="A930" s="75"/>
      <c r="B930" s="76"/>
      <c r="C930" s="76"/>
      <c r="D930" s="76"/>
      <c r="E930" s="77"/>
      <c r="F930" s="76"/>
      <c r="G930" s="76"/>
      <c r="H930" s="76"/>
    </row>
    <row r="931" spans="1:8">
      <c r="A931" s="75"/>
      <c r="B931" s="76"/>
      <c r="C931" s="76"/>
      <c r="D931" s="76"/>
      <c r="E931" s="77"/>
      <c r="F931" s="76"/>
      <c r="G931" s="76"/>
      <c r="H931" s="76"/>
    </row>
    <row r="932" spans="1:8">
      <c r="A932" s="75"/>
      <c r="B932" s="76"/>
      <c r="C932" s="76"/>
      <c r="D932" s="76"/>
      <c r="E932" s="77"/>
      <c r="F932" s="76"/>
      <c r="G932" s="76"/>
      <c r="H932" s="76"/>
    </row>
    <row r="933" spans="1:8">
      <c r="A933" s="75"/>
      <c r="B933" s="76"/>
      <c r="C933" s="76"/>
      <c r="D933" s="76"/>
      <c r="E933" s="77"/>
      <c r="F933" s="76"/>
      <c r="G933" s="76"/>
      <c r="H933" s="76"/>
    </row>
    <row r="934" spans="1:8">
      <c r="A934" s="75"/>
      <c r="B934" s="76"/>
      <c r="C934" s="76"/>
      <c r="D934" s="76"/>
      <c r="E934" s="77"/>
      <c r="F934" s="76"/>
      <c r="G934" s="76"/>
      <c r="H934" s="76"/>
    </row>
    <row r="935" spans="1:8">
      <c r="A935" s="75"/>
      <c r="B935" s="76"/>
      <c r="C935" s="76"/>
      <c r="D935" s="76"/>
      <c r="E935" s="77"/>
      <c r="F935" s="76"/>
      <c r="G935" s="76"/>
      <c r="H935" s="76"/>
    </row>
    <row r="936" spans="1:8">
      <c r="A936" s="75"/>
      <c r="B936" s="76"/>
      <c r="C936" s="76"/>
      <c r="D936" s="76"/>
      <c r="E936" s="77"/>
      <c r="F936" s="76"/>
      <c r="G936" s="76"/>
      <c r="H936" s="76"/>
    </row>
    <row r="937" spans="1:8">
      <c r="A937" s="75"/>
      <c r="B937" s="76"/>
      <c r="C937" s="76"/>
      <c r="D937" s="76"/>
      <c r="E937" s="77"/>
      <c r="F937" s="76"/>
      <c r="G937" s="76"/>
      <c r="H937" s="76"/>
    </row>
    <row r="938" spans="1:8">
      <c r="A938" s="75"/>
      <c r="B938" s="76"/>
      <c r="C938" s="76"/>
      <c r="D938" s="76"/>
      <c r="E938" s="77"/>
      <c r="F938" s="76"/>
      <c r="G938" s="76"/>
      <c r="H938" s="76"/>
    </row>
    <row r="939" spans="1:8">
      <c r="A939" s="75"/>
      <c r="B939" s="76"/>
      <c r="C939" s="76"/>
      <c r="D939" s="76"/>
      <c r="E939" s="77"/>
      <c r="F939" s="76"/>
      <c r="G939" s="76"/>
      <c r="H939" s="76"/>
    </row>
    <row r="940" spans="1:8">
      <c r="A940" s="75"/>
      <c r="B940" s="76"/>
      <c r="C940" s="76"/>
      <c r="D940" s="76"/>
      <c r="E940" s="77"/>
      <c r="F940" s="76"/>
      <c r="G940" s="76"/>
      <c r="H940" s="76"/>
    </row>
    <row r="941" spans="1:8">
      <c r="A941" s="75"/>
      <c r="B941" s="76"/>
      <c r="C941" s="76"/>
      <c r="D941" s="76"/>
      <c r="E941" s="77"/>
      <c r="F941" s="76"/>
      <c r="G941" s="76"/>
      <c r="H941" s="76"/>
    </row>
    <row r="942" spans="1:8">
      <c r="A942" s="75"/>
      <c r="B942" s="76"/>
      <c r="C942" s="76"/>
      <c r="D942" s="76"/>
      <c r="E942" s="77"/>
      <c r="F942" s="76"/>
      <c r="G942" s="76"/>
      <c r="H942" s="76"/>
    </row>
    <row r="943" spans="1:8">
      <c r="A943" s="75"/>
      <c r="B943" s="76"/>
      <c r="C943" s="76"/>
      <c r="D943" s="76"/>
      <c r="E943" s="77"/>
      <c r="F943" s="76"/>
      <c r="G943" s="76"/>
      <c r="H943" s="76"/>
    </row>
    <row r="944" spans="1:8">
      <c r="A944" s="75"/>
      <c r="B944" s="76"/>
      <c r="C944" s="76"/>
      <c r="D944" s="76"/>
      <c r="E944" s="77"/>
      <c r="F944" s="76"/>
      <c r="G944" s="76"/>
      <c r="H944" s="76"/>
    </row>
    <row r="945" spans="1:8">
      <c r="A945" s="75"/>
      <c r="B945" s="76"/>
      <c r="C945" s="76"/>
      <c r="D945" s="76"/>
      <c r="E945" s="77"/>
      <c r="F945" s="76"/>
      <c r="G945" s="76"/>
      <c r="H945" s="76"/>
    </row>
    <row r="946" spans="1:8">
      <c r="A946" s="75"/>
      <c r="B946" s="76"/>
      <c r="C946" s="76"/>
      <c r="D946" s="76"/>
      <c r="E946" s="77"/>
      <c r="F946" s="76"/>
      <c r="G946" s="76"/>
      <c r="H946" s="76"/>
    </row>
    <row r="947" spans="1:8">
      <c r="A947" s="75"/>
      <c r="B947" s="76"/>
      <c r="C947" s="76"/>
      <c r="D947" s="76"/>
      <c r="E947" s="77"/>
      <c r="F947" s="76"/>
      <c r="G947" s="76"/>
      <c r="H947" s="76"/>
    </row>
    <row r="948" spans="1:8">
      <c r="A948" s="75"/>
      <c r="B948" s="76"/>
      <c r="C948" s="76"/>
      <c r="D948" s="76"/>
      <c r="E948" s="77"/>
      <c r="F948" s="76"/>
      <c r="G948" s="76"/>
      <c r="H948" s="76"/>
    </row>
    <row r="949" spans="1:8">
      <c r="A949" s="75"/>
      <c r="B949" s="76"/>
      <c r="C949" s="76"/>
      <c r="D949" s="76"/>
      <c r="E949" s="77"/>
      <c r="F949" s="76"/>
      <c r="G949" s="76"/>
      <c r="H949" s="76"/>
    </row>
    <row r="950" spans="1:8">
      <c r="A950" s="75"/>
      <c r="B950" s="76"/>
      <c r="C950" s="76"/>
      <c r="D950" s="76"/>
      <c r="E950" s="77"/>
      <c r="F950" s="76"/>
      <c r="G950" s="76"/>
      <c r="H950" s="76"/>
    </row>
    <row r="951" spans="1:8">
      <c r="A951" s="75"/>
      <c r="B951" s="76"/>
      <c r="C951" s="76"/>
      <c r="D951" s="76"/>
      <c r="E951" s="77"/>
      <c r="F951" s="76"/>
      <c r="G951" s="76"/>
      <c r="H951" s="76"/>
    </row>
    <row r="952" spans="1:8">
      <c r="A952" s="75"/>
      <c r="B952" s="76"/>
      <c r="C952" s="76"/>
      <c r="D952" s="76"/>
      <c r="E952" s="77"/>
      <c r="F952" s="76"/>
      <c r="G952" s="76"/>
      <c r="H952" s="76"/>
    </row>
    <row r="953" spans="1:8">
      <c r="A953" s="75"/>
      <c r="B953" s="76"/>
      <c r="C953" s="76"/>
      <c r="D953" s="76"/>
      <c r="E953" s="77"/>
      <c r="F953" s="76"/>
      <c r="G953" s="76"/>
      <c r="H953" s="76"/>
    </row>
    <row r="954" spans="1:8">
      <c r="A954" s="75"/>
      <c r="B954" s="76"/>
      <c r="C954" s="76"/>
      <c r="D954" s="76"/>
      <c r="E954" s="77"/>
      <c r="F954" s="76"/>
      <c r="G954" s="76"/>
      <c r="H954" s="76"/>
    </row>
    <row r="955" spans="1:8">
      <c r="A955" s="75"/>
      <c r="B955" s="76"/>
      <c r="C955" s="76"/>
      <c r="D955" s="76"/>
      <c r="E955" s="77"/>
      <c r="F955" s="76"/>
      <c r="G955" s="76"/>
      <c r="H955" s="76"/>
    </row>
    <row r="956" spans="1:8">
      <c r="A956" s="75"/>
      <c r="B956" s="76"/>
      <c r="C956" s="76"/>
      <c r="D956" s="76"/>
      <c r="E956" s="77"/>
      <c r="F956" s="76"/>
      <c r="G956" s="76"/>
      <c r="H956" s="76"/>
    </row>
    <row r="957" spans="1:8">
      <c r="A957" s="75"/>
      <c r="B957" s="76"/>
      <c r="C957" s="76"/>
      <c r="D957" s="76"/>
      <c r="E957" s="77"/>
      <c r="F957" s="76"/>
      <c r="G957" s="76"/>
      <c r="H957" s="76"/>
    </row>
    <row r="958" spans="1:8">
      <c r="A958" s="75"/>
      <c r="B958" s="76"/>
      <c r="C958" s="76"/>
      <c r="D958" s="76"/>
      <c r="E958" s="77"/>
      <c r="F958" s="76"/>
      <c r="G958" s="76"/>
      <c r="H958" s="76"/>
    </row>
    <row r="959" spans="1:8">
      <c r="A959" s="75"/>
      <c r="B959" s="76"/>
      <c r="C959" s="76"/>
      <c r="D959" s="76"/>
      <c r="E959" s="77"/>
      <c r="F959" s="76"/>
      <c r="G959" s="76"/>
      <c r="H959" s="76"/>
    </row>
    <row r="960" spans="1:8">
      <c r="A960" s="75"/>
      <c r="B960" s="76"/>
      <c r="C960" s="76"/>
      <c r="D960" s="76"/>
      <c r="E960" s="77"/>
      <c r="F960" s="76"/>
      <c r="G960" s="76"/>
      <c r="H960" s="76"/>
    </row>
    <row r="961" spans="1:8">
      <c r="A961" s="75"/>
      <c r="B961" s="76"/>
      <c r="C961" s="76"/>
      <c r="D961" s="76"/>
      <c r="E961" s="77"/>
      <c r="F961" s="76"/>
      <c r="G961" s="76"/>
      <c r="H961" s="76"/>
    </row>
    <row r="962" spans="1:8">
      <c r="A962" s="75"/>
      <c r="B962" s="76"/>
      <c r="C962" s="76"/>
      <c r="D962" s="76"/>
      <c r="E962" s="77"/>
      <c r="F962" s="76"/>
      <c r="G962" s="76"/>
      <c r="H962" s="76"/>
    </row>
    <row r="963" spans="1:8">
      <c r="A963" s="75"/>
      <c r="B963" s="76"/>
      <c r="C963" s="76"/>
      <c r="D963" s="76"/>
      <c r="E963" s="77"/>
      <c r="F963" s="76"/>
      <c r="G963" s="76"/>
      <c r="H963" s="76"/>
    </row>
    <row r="964" spans="1:8">
      <c r="A964" s="75"/>
      <c r="B964" s="76"/>
      <c r="C964" s="76"/>
      <c r="D964" s="76"/>
      <c r="E964" s="77"/>
      <c r="F964" s="76"/>
      <c r="G964" s="76"/>
      <c r="H964" s="76"/>
    </row>
    <row r="965" spans="1:8">
      <c r="A965" s="75"/>
      <c r="B965" s="76"/>
      <c r="C965" s="76"/>
      <c r="D965" s="76"/>
      <c r="E965" s="77"/>
      <c r="F965" s="76"/>
      <c r="G965" s="76"/>
      <c r="H965" s="76"/>
    </row>
    <row r="966" spans="1:8">
      <c r="A966" s="75"/>
      <c r="B966" s="76"/>
      <c r="C966" s="76"/>
      <c r="D966" s="76"/>
      <c r="E966" s="77"/>
      <c r="F966" s="76"/>
      <c r="G966" s="76"/>
      <c r="H966" s="76"/>
    </row>
    <row r="967" spans="1:8">
      <c r="A967" s="75"/>
      <c r="B967" s="76"/>
      <c r="C967" s="76"/>
      <c r="D967" s="76"/>
      <c r="E967" s="77"/>
      <c r="F967" s="76"/>
      <c r="G967" s="76"/>
      <c r="H967" s="76"/>
    </row>
    <row r="968" spans="1:8">
      <c r="A968" s="75"/>
      <c r="B968" s="76"/>
      <c r="C968" s="76"/>
      <c r="D968" s="76"/>
      <c r="E968" s="77"/>
      <c r="F968" s="76"/>
      <c r="G968" s="76"/>
      <c r="H968" s="76"/>
    </row>
    <row r="969" spans="1:8">
      <c r="A969" s="75"/>
      <c r="B969" s="76"/>
      <c r="C969" s="76"/>
      <c r="D969" s="76"/>
      <c r="E969" s="77"/>
      <c r="F969" s="76"/>
      <c r="G969" s="76"/>
      <c r="H969" s="76"/>
    </row>
    <row r="970" spans="1:8">
      <c r="A970" s="75"/>
      <c r="B970" s="76"/>
      <c r="C970" s="76"/>
      <c r="D970" s="76"/>
      <c r="E970" s="77"/>
      <c r="F970" s="76"/>
      <c r="G970" s="76"/>
      <c r="H970" s="76"/>
    </row>
    <row r="971" spans="1:8">
      <c r="A971" s="75"/>
      <c r="B971" s="76"/>
      <c r="C971" s="76"/>
      <c r="D971" s="76"/>
      <c r="E971" s="77"/>
      <c r="F971" s="76"/>
      <c r="G971" s="76"/>
      <c r="H971" s="76"/>
    </row>
    <row r="972" spans="1:8">
      <c r="A972" s="75"/>
      <c r="B972" s="76"/>
      <c r="C972" s="76"/>
      <c r="D972" s="76"/>
      <c r="E972" s="77"/>
      <c r="F972" s="76"/>
      <c r="G972" s="76"/>
      <c r="H972" s="76"/>
    </row>
    <row r="973" spans="1:8">
      <c r="A973" s="75"/>
      <c r="B973" s="76"/>
      <c r="C973" s="76"/>
      <c r="D973" s="76"/>
      <c r="E973" s="77"/>
      <c r="F973" s="76"/>
      <c r="G973" s="76"/>
      <c r="H973" s="76"/>
    </row>
    <row r="974" spans="1:8">
      <c r="A974" s="75"/>
      <c r="B974" s="76"/>
      <c r="C974" s="76"/>
      <c r="D974" s="76"/>
      <c r="E974" s="77"/>
      <c r="F974" s="76"/>
      <c r="G974" s="76"/>
      <c r="H974" s="76"/>
    </row>
    <row r="975" spans="1:8">
      <c r="A975" s="75"/>
      <c r="B975" s="76"/>
      <c r="C975" s="76"/>
      <c r="D975" s="76"/>
      <c r="E975" s="77"/>
      <c r="F975" s="76"/>
      <c r="G975" s="76"/>
      <c r="H975" s="76"/>
    </row>
    <row r="976" spans="1:8">
      <c r="A976" s="75"/>
      <c r="B976" s="76"/>
      <c r="C976" s="76"/>
      <c r="D976" s="76"/>
      <c r="E976" s="77"/>
      <c r="F976" s="76"/>
      <c r="G976" s="76"/>
      <c r="H976" s="76"/>
    </row>
    <row r="977" spans="1:8">
      <c r="A977" s="75"/>
      <c r="B977" s="76"/>
      <c r="C977" s="76"/>
      <c r="D977" s="76"/>
      <c r="E977" s="77"/>
      <c r="F977" s="76"/>
      <c r="G977" s="76"/>
      <c r="H977" s="76"/>
    </row>
    <row r="978" spans="1:8">
      <c r="A978" s="75"/>
      <c r="B978" s="76"/>
      <c r="C978" s="76"/>
      <c r="D978" s="76"/>
      <c r="E978" s="77"/>
      <c r="F978" s="76"/>
      <c r="G978" s="76"/>
      <c r="H978" s="76"/>
    </row>
    <row r="979" spans="1:8">
      <c r="A979" s="75"/>
      <c r="B979" s="76"/>
      <c r="C979" s="76"/>
      <c r="D979" s="76"/>
      <c r="E979" s="77"/>
      <c r="F979" s="76"/>
      <c r="G979" s="76"/>
      <c r="H979" s="76"/>
    </row>
    <row r="980" spans="1:8">
      <c r="A980" s="75"/>
      <c r="B980" s="76"/>
      <c r="C980" s="76"/>
      <c r="D980" s="76"/>
      <c r="E980" s="77"/>
      <c r="F980" s="76"/>
      <c r="G980" s="76"/>
      <c r="H980" s="76"/>
    </row>
    <row r="981" spans="1:8">
      <c r="A981" s="75"/>
      <c r="B981" s="76"/>
      <c r="C981" s="76"/>
      <c r="D981" s="76"/>
      <c r="E981" s="77"/>
      <c r="F981" s="76"/>
      <c r="G981" s="76"/>
      <c r="H981" s="76"/>
    </row>
    <row r="982" spans="1:8">
      <c r="A982" s="75"/>
      <c r="B982" s="76"/>
      <c r="C982" s="76"/>
      <c r="D982" s="76"/>
      <c r="E982" s="77"/>
      <c r="F982" s="76"/>
      <c r="G982" s="76"/>
      <c r="H982" s="76"/>
    </row>
    <row r="983" spans="1:8">
      <c r="A983" s="75"/>
      <c r="B983" s="76"/>
      <c r="C983" s="76"/>
      <c r="D983" s="76"/>
      <c r="E983" s="77"/>
      <c r="F983" s="76"/>
      <c r="G983" s="76"/>
      <c r="H983" s="76"/>
    </row>
    <row r="984" spans="1:8">
      <c r="A984" s="75"/>
      <c r="B984" s="76"/>
      <c r="C984" s="76"/>
      <c r="D984" s="76"/>
      <c r="E984" s="77"/>
      <c r="F984" s="76"/>
      <c r="G984" s="76"/>
      <c r="H984" s="76"/>
    </row>
    <row r="985" spans="1:8">
      <c r="A985" s="75"/>
      <c r="B985" s="76"/>
      <c r="C985" s="76"/>
      <c r="D985" s="76"/>
      <c r="E985" s="77"/>
      <c r="F985" s="76"/>
      <c r="G985" s="76"/>
      <c r="H985" s="76"/>
    </row>
    <row r="986" spans="1:8">
      <c r="A986" s="75"/>
      <c r="B986" s="76"/>
      <c r="C986" s="76"/>
      <c r="D986" s="76"/>
      <c r="E986" s="77"/>
      <c r="F986" s="76"/>
      <c r="G986" s="76"/>
      <c r="H986" s="76"/>
    </row>
    <row r="987" spans="1:8">
      <c r="A987" s="75"/>
      <c r="B987" s="76"/>
      <c r="C987" s="76"/>
      <c r="D987" s="76"/>
      <c r="E987" s="77"/>
      <c r="F987" s="76"/>
      <c r="G987" s="76"/>
      <c r="H987" s="76"/>
    </row>
    <row r="988" spans="1:8">
      <c r="A988" s="75"/>
      <c r="B988" s="76"/>
      <c r="C988" s="76"/>
      <c r="D988" s="76"/>
      <c r="E988" s="77"/>
      <c r="F988" s="76"/>
      <c r="G988" s="76"/>
      <c r="H988" s="76"/>
    </row>
    <row r="989" spans="1:8">
      <c r="A989" s="75"/>
      <c r="B989" s="76"/>
      <c r="C989" s="76"/>
      <c r="D989" s="76"/>
      <c r="E989" s="77"/>
      <c r="F989" s="76"/>
      <c r="G989" s="76"/>
      <c r="H989" s="76"/>
    </row>
    <row r="990" spans="1:8">
      <c r="A990" s="75"/>
      <c r="B990" s="76"/>
      <c r="C990" s="76"/>
      <c r="D990" s="76"/>
      <c r="E990" s="77"/>
      <c r="F990" s="76"/>
      <c r="G990" s="76"/>
      <c r="H990" s="76"/>
    </row>
    <row r="991" spans="1:8">
      <c r="A991" s="75"/>
      <c r="B991" s="76"/>
      <c r="C991" s="76"/>
      <c r="D991" s="76"/>
      <c r="E991" s="77"/>
      <c r="F991" s="76"/>
      <c r="G991" s="76"/>
      <c r="H991" s="76"/>
    </row>
    <row r="992" spans="1:8">
      <c r="A992" s="75"/>
      <c r="B992" s="76"/>
      <c r="C992" s="76"/>
      <c r="D992" s="76"/>
      <c r="E992" s="77"/>
      <c r="F992" s="76"/>
      <c r="G992" s="76"/>
      <c r="H992" s="76"/>
    </row>
    <row r="993" spans="1:8">
      <c r="A993" s="75"/>
      <c r="B993" s="76"/>
      <c r="C993" s="76"/>
      <c r="D993" s="76"/>
      <c r="E993" s="77"/>
      <c r="F993" s="76"/>
      <c r="G993" s="76"/>
      <c r="H993" s="76"/>
    </row>
    <row r="994" spans="1:8">
      <c r="A994" s="75"/>
      <c r="B994" s="76"/>
      <c r="C994" s="76"/>
      <c r="D994" s="76"/>
      <c r="E994" s="77"/>
      <c r="F994" s="76"/>
      <c r="G994" s="76"/>
      <c r="H994" s="76"/>
    </row>
    <row r="995" spans="1:8">
      <c r="A995" s="75"/>
      <c r="B995" s="76"/>
      <c r="C995" s="76"/>
      <c r="D995" s="76"/>
      <c r="E995" s="77"/>
      <c r="F995" s="76"/>
      <c r="G995" s="76"/>
      <c r="H995" s="76"/>
    </row>
    <row r="996" spans="1:8">
      <c r="A996" s="75"/>
      <c r="B996" s="76"/>
      <c r="C996" s="76"/>
      <c r="D996" s="76"/>
      <c r="E996" s="77"/>
      <c r="F996" s="76"/>
      <c r="G996" s="76"/>
      <c r="H996" s="76"/>
    </row>
    <row r="997" spans="1:8">
      <c r="A997" s="75"/>
      <c r="B997" s="76"/>
      <c r="C997" s="76"/>
      <c r="D997" s="76"/>
      <c r="E997" s="77"/>
      <c r="F997" s="76"/>
      <c r="G997" s="76"/>
      <c r="H997" s="76"/>
    </row>
    <row r="998" spans="1:8">
      <c r="A998" s="75"/>
      <c r="B998" s="76"/>
      <c r="C998" s="76"/>
      <c r="D998" s="76"/>
      <c r="E998" s="77"/>
      <c r="F998" s="76"/>
      <c r="G998" s="76"/>
      <c r="H998" s="76"/>
    </row>
    <row r="999" spans="1:8">
      <c r="A999" s="75"/>
      <c r="B999" s="76"/>
      <c r="C999" s="76"/>
      <c r="D999" s="76"/>
      <c r="E999" s="77"/>
      <c r="F999" s="76"/>
      <c r="G999" s="76"/>
      <c r="H999" s="76"/>
    </row>
    <row r="1000" spans="1:8">
      <c r="A1000" s="75"/>
      <c r="B1000" s="76"/>
      <c r="C1000" s="76"/>
      <c r="D1000" s="76"/>
      <c r="E1000" s="77"/>
      <c r="F1000" s="76"/>
      <c r="G1000" s="76"/>
      <c r="H1000" s="76"/>
    </row>
    <row r="1001" spans="1:8">
      <c r="A1001" s="75"/>
      <c r="B1001" s="76"/>
      <c r="C1001" s="76"/>
      <c r="D1001" s="76"/>
      <c r="E1001" s="77"/>
      <c r="F1001" s="76"/>
      <c r="G1001" s="76"/>
      <c r="H1001" s="76"/>
    </row>
  </sheetData>
  <mergeCells count="2">
    <mergeCell ref="C1:E1"/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Z1000"/>
  <sheetViews>
    <sheetView workbookViewId="0">
      <selection activeCell="G4" sqref="G4"/>
    </sheetView>
  </sheetViews>
  <sheetFormatPr baseColWidth="10" defaultColWidth="14.42578125" defaultRowHeight="15" customHeight="1"/>
  <sheetData>
    <row r="1" spans="1:26">
      <c r="A1" s="67" t="s">
        <v>449</v>
      </c>
      <c r="B1" s="67" t="s">
        <v>450</v>
      </c>
      <c r="C1" s="78" t="s">
        <v>457</v>
      </c>
      <c r="D1" s="78" t="s">
        <v>458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>
      <c r="A2" s="71">
        <v>10101</v>
      </c>
      <c r="B2" s="71" t="s">
        <v>20</v>
      </c>
      <c r="C2" s="73">
        <v>92.192567999999994</v>
      </c>
      <c r="D2" s="73">
        <v>94.741684000000006</v>
      </c>
    </row>
    <row r="3" spans="1:26">
      <c r="A3" s="71">
        <v>10102</v>
      </c>
      <c r="B3" s="71" t="s">
        <v>21</v>
      </c>
      <c r="C3" s="73">
        <v>53.3185596</v>
      </c>
      <c r="D3" s="73">
        <v>74.312029699999997</v>
      </c>
    </row>
    <row r="4" spans="1:26">
      <c r="A4" s="71">
        <v>10103</v>
      </c>
      <c r="B4" s="71" t="s">
        <v>22</v>
      </c>
      <c r="C4" s="73">
        <v>3.9016896999999999</v>
      </c>
      <c r="D4" s="73">
        <v>8.8749538999999995</v>
      </c>
    </row>
    <row r="5" spans="1:26">
      <c r="A5" s="71">
        <v>10201</v>
      </c>
      <c r="B5" s="71" t="s">
        <v>23</v>
      </c>
      <c r="C5" s="73">
        <v>10.333817099999999</v>
      </c>
      <c r="D5" s="73">
        <v>19.851434399999999</v>
      </c>
    </row>
    <row r="6" spans="1:26">
      <c r="A6" s="71">
        <v>10202</v>
      </c>
      <c r="B6" s="71" t="s">
        <v>24</v>
      </c>
      <c r="C6" s="73">
        <v>12.6502169</v>
      </c>
      <c r="D6" s="73">
        <v>31.761741900000001</v>
      </c>
    </row>
    <row r="7" spans="1:26">
      <c r="A7" s="71">
        <v>10301</v>
      </c>
      <c r="B7" s="71" t="s">
        <v>25</v>
      </c>
      <c r="C7" s="73">
        <v>32.274646599999997</v>
      </c>
      <c r="D7" s="73">
        <v>36.501561799999998</v>
      </c>
    </row>
    <row r="8" spans="1:26">
      <c r="A8" s="71">
        <v>10302</v>
      </c>
      <c r="B8" s="71" t="s">
        <v>26</v>
      </c>
      <c r="C8" s="73">
        <v>18.607412400000001</v>
      </c>
      <c r="D8" s="73">
        <v>31.8572691</v>
      </c>
    </row>
    <row r="9" spans="1:26">
      <c r="A9" s="71">
        <v>10303</v>
      </c>
      <c r="B9" s="71" t="s">
        <v>27</v>
      </c>
      <c r="C9" s="73">
        <v>31.305226000000001</v>
      </c>
      <c r="D9" s="73">
        <v>49.9610895</v>
      </c>
    </row>
    <row r="10" spans="1:26">
      <c r="A10" s="71">
        <v>10304</v>
      </c>
      <c r="B10" s="71" t="s">
        <v>28</v>
      </c>
      <c r="C10" s="73">
        <v>15.0395778</v>
      </c>
      <c r="D10" s="73">
        <v>26.311130800000001</v>
      </c>
    </row>
    <row r="11" spans="1:26">
      <c r="A11" s="71">
        <v>10401</v>
      </c>
      <c r="B11" s="71" t="s">
        <v>30</v>
      </c>
      <c r="C11" s="73">
        <v>32.821994199999999</v>
      </c>
      <c r="D11" s="73">
        <v>49.404828100000003</v>
      </c>
    </row>
    <row r="12" spans="1:26">
      <c r="A12" s="71">
        <v>10402</v>
      </c>
      <c r="B12" s="71" t="s">
        <v>29</v>
      </c>
      <c r="C12" s="73">
        <v>20.971836100000001</v>
      </c>
      <c r="D12" s="73">
        <v>33.068343599999999</v>
      </c>
    </row>
    <row r="13" spans="1:26">
      <c r="A13" s="71">
        <v>10403</v>
      </c>
      <c r="B13" s="71" t="s">
        <v>31</v>
      </c>
      <c r="C13" s="73">
        <v>23.467674200000001</v>
      </c>
      <c r="D13" s="73">
        <v>31.388242099999999</v>
      </c>
    </row>
    <row r="14" spans="1:26">
      <c r="A14" s="71">
        <v>10404</v>
      </c>
      <c r="B14" s="71" t="s">
        <v>32</v>
      </c>
      <c r="C14" s="73">
        <v>30.2340029</v>
      </c>
      <c r="D14" s="73">
        <v>43.521239600000001</v>
      </c>
    </row>
    <row r="15" spans="1:26">
      <c r="A15" s="71">
        <v>10405</v>
      </c>
      <c r="B15" s="71" t="s">
        <v>33</v>
      </c>
      <c r="C15" s="73">
        <v>18.9586738</v>
      </c>
      <c r="D15" s="73">
        <v>23.275248900000001</v>
      </c>
    </row>
    <row r="16" spans="1:26">
      <c r="A16" s="71">
        <v>10501</v>
      </c>
      <c r="B16" s="71" t="s">
        <v>35</v>
      </c>
      <c r="C16" s="73">
        <v>51.787719099999997</v>
      </c>
      <c r="D16" s="73">
        <v>67.513641899999996</v>
      </c>
    </row>
    <row r="17" spans="1:4">
      <c r="A17" s="71">
        <v>10502</v>
      </c>
      <c r="B17" s="71" t="s">
        <v>36</v>
      </c>
      <c r="C17" s="73">
        <v>24.9843063</v>
      </c>
      <c r="D17" s="73">
        <v>37.742303300000003</v>
      </c>
    </row>
    <row r="18" spans="1:4">
      <c r="A18" s="71">
        <v>10601</v>
      </c>
      <c r="B18" s="71" t="s">
        <v>38</v>
      </c>
      <c r="C18" s="73">
        <v>27.388878900000002</v>
      </c>
      <c r="D18" s="73">
        <v>45.5148741</v>
      </c>
    </row>
    <row r="19" spans="1:4">
      <c r="A19" s="71">
        <v>10602</v>
      </c>
      <c r="B19" s="71" t="s">
        <v>37</v>
      </c>
      <c r="C19" s="73">
        <v>30.3516975</v>
      </c>
      <c r="D19" s="73">
        <v>54.1930853</v>
      </c>
    </row>
    <row r="20" spans="1:4">
      <c r="A20" s="71">
        <v>10701</v>
      </c>
      <c r="B20" s="71" t="s">
        <v>40</v>
      </c>
      <c r="C20" s="73">
        <v>46.411355100000002</v>
      </c>
      <c r="D20" s="73">
        <v>60.292566299999997</v>
      </c>
    </row>
    <row r="21" spans="1:4">
      <c r="A21" s="71">
        <v>10702</v>
      </c>
      <c r="B21" s="71" t="s">
        <v>41</v>
      </c>
      <c r="C21" s="73">
        <v>24.463318999999998</v>
      </c>
      <c r="D21" s="73">
        <v>43.809164600000003</v>
      </c>
    </row>
    <row r="22" spans="1:4">
      <c r="A22" s="71">
        <v>10703</v>
      </c>
      <c r="B22" s="71" t="s">
        <v>42</v>
      </c>
      <c r="C22" s="73">
        <v>20.281734</v>
      </c>
      <c r="D22" s="73">
        <v>37.220517299999997</v>
      </c>
    </row>
    <row r="23" spans="1:4">
      <c r="A23" s="71">
        <v>10704</v>
      </c>
      <c r="B23" s="71" t="s">
        <v>43</v>
      </c>
      <c r="C23" s="73">
        <v>31.432038800000001</v>
      </c>
      <c r="D23" s="73">
        <v>49.848002800000003</v>
      </c>
    </row>
    <row r="24" spans="1:4">
      <c r="A24" s="71">
        <v>10801</v>
      </c>
      <c r="B24" s="71" t="s">
        <v>45</v>
      </c>
      <c r="C24" s="73">
        <v>31.463773400000001</v>
      </c>
      <c r="D24" s="73">
        <v>44.838385000000002</v>
      </c>
    </row>
    <row r="25" spans="1:4">
      <c r="A25" s="71">
        <v>10901</v>
      </c>
      <c r="B25" s="71" t="s">
        <v>47</v>
      </c>
      <c r="C25" s="73">
        <v>27.240250100000001</v>
      </c>
      <c r="D25" s="73">
        <v>50.304182500000003</v>
      </c>
    </row>
    <row r="26" spans="1:4">
      <c r="A26" s="71">
        <v>10902</v>
      </c>
      <c r="B26" s="71" t="s">
        <v>48</v>
      </c>
      <c r="C26" s="73">
        <v>29.878362200000002</v>
      </c>
      <c r="D26" s="73">
        <v>49.143824000000002</v>
      </c>
    </row>
    <row r="27" spans="1:4">
      <c r="A27" s="71">
        <v>10903</v>
      </c>
      <c r="B27" s="71" t="s">
        <v>49</v>
      </c>
      <c r="C27" s="73">
        <v>25.019108299999999</v>
      </c>
      <c r="D27" s="73">
        <v>40.721963100000004</v>
      </c>
    </row>
    <row r="28" spans="1:4">
      <c r="A28" s="71">
        <v>11001</v>
      </c>
      <c r="B28" s="71" t="s">
        <v>51</v>
      </c>
      <c r="C28" s="73">
        <v>36.6905693</v>
      </c>
      <c r="D28" s="73">
        <v>47.160282100000003</v>
      </c>
    </row>
    <row r="29" spans="1:4">
      <c r="A29" s="71">
        <v>11002</v>
      </c>
      <c r="B29" s="71" t="s">
        <v>52</v>
      </c>
      <c r="C29" s="73">
        <v>10.8947804</v>
      </c>
      <c r="D29" s="73">
        <v>33.4914986</v>
      </c>
    </row>
    <row r="30" spans="1:4">
      <c r="A30" s="71">
        <v>11003</v>
      </c>
      <c r="B30" s="71" t="s">
        <v>53</v>
      </c>
      <c r="C30" s="73">
        <v>31.263063599999999</v>
      </c>
      <c r="D30" s="73">
        <v>52.204069099999998</v>
      </c>
    </row>
    <row r="31" spans="1:4">
      <c r="A31" s="71">
        <v>20101</v>
      </c>
      <c r="B31" s="71" t="s">
        <v>56</v>
      </c>
      <c r="C31" s="73">
        <v>99.174540500000006</v>
      </c>
      <c r="D31" s="73">
        <v>99.329853099999994</v>
      </c>
    </row>
    <row r="32" spans="1:4">
      <c r="A32" s="71">
        <v>20102</v>
      </c>
      <c r="B32" s="74" t="s">
        <v>57</v>
      </c>
      <c r="C32" s="73">
        <v>34.950452900000002</v>
      </c>
      <c r="D32" s="73">
        <v>67.669102899999999</v>
      </c>
    </row>
    <row r="33" spans="1:4">
      <c r="A33" s="71">
        <v>20103</v>
      </c>
      <c r="B33" s="74" t="s">
        <v>58</v>
      </c>
      <c r="C33" s="73">
        <v>67.416517999999996</v>
      </c>
      <c r="D33" s="73">
        <v>80.098863100000003</v>
      </c>
    </row>
    <row r="34" spans="1:4">
      <c r="A34" s="71">
        <v>20104</v>
      </c>
      <c r="B34" s="74" t="s">
        <v>59</v>
      </c>
      <c r="C34" s="73">
        <v>85.688248999999999</v>
      </c>
      <c r="D34" s="73">
        <v>94.579071400000004</v>
      </c>
    </row>
    <row r="35" spans="1:4">
      <c r="A35" s="71">
        <v>20105</v>
      </c>
      <c r="B35" s="74" t="s">
        <v>60</v>
      </c>
      <c r="C35" s="73">
        <v>99.238099800000001</v>
      </c>
      <c r="D35" s="73">
        <v>99.650861500000005</v>
      </c>
    </row>
    <row r="36" spans="1:4">
      <c r="A36" s="71">
        <v>20201</v>
      </c>
      <c r="B36" s="74" t="s">
        <v>62</v>
      </c>
      <c r="C36" s="73">
        <v>55.707722199999999</v>
      </c>
      <c r="D36" s="73">
        <v>79.968399599999998</v>
      </c>
    </row>
    <row r="37" spans="1:4">
      <c r="A37" s="71">
        <v>20202</v>
      </c>
      <c r="B37" s="74" t="s">
        <v>63</v>
      </c>
      <c r="C37" s="73">
        <v>17.291730699999999</v>
      </c>
      <c r="D37" s="73">
        <v>42.989418000000001</v>
      </c>
    </row>
    <row r="38" spans="1:4">
      <c r="A38" s="71">
        <v>20203</v>
      </c>
      <c r="B38" s="74" t="s">
        <v>67</v>
      </c>
      <c r="C38" s="73">
        <v>52.652299999999997</v>
      </c>
      <c r="D38" s="73">
        <v>71.864406799999998</v>
      </c>
    </row>
    <row r="39" spans="1:4">
      <c r="A39" s="71">
        <v>20204</v>
      </c>
      <c r="B39" s="74" t="s">
        <v>64</v>
      </c>
      <c r="C39" s="73">
        <v>50.159053299999997</v>
      </c>
      <c r="D39" s="73">
        <v>78.067792600000004</v>
      </c>
    </row>
    <row r="40" spans="1:4">
      <c r="A40" s="71">
        <v>20205</v>
      </c>
      <c r="B40" s="74" t="s">
        <v>65</v>
      </c>
      <c r="C40" s="73">
        <v>21.178419300000002</v>
      </c>
      <c r="D40" s="73">
        <v>49.490411000000002</v>
      </c>
    </row>
    <row r="41" spans="1:4">
      <c r="A41" s="71">
        <v>20206</v>
      </c>
      <c r="B41" s="74" t="s">
        <v>66</v>
      </c>
      <c r="C41" s="73">
        <v>76.115145200000001</v>
      </c>
      <c r="D41" s="73">
        <v>84.376269800000003</v>
      </c>
    </row>
    <row r="42" spans="1:4">
      <c r="A42" s="71">
        <v>20301</v>
      </c>
      <c r="B42" s="74" t="s">
        <v>69</v>
      </c>
      <c r="C42" s="73">
        <v>30.034992200000001</v>
      </c>
      <c r="D42" s="73">
        <v>49.0077389</v>
      </c>
    </row>
    <row r="43" spans="1:4">
      <c r="A43" s="71">
        <v>20302</v>
      </c>
      <c r="B43" s="74" t="s">
        <v>70</v>
      </c>
      <c r="C43" s="73">
        <v>12.958133200000001</v>
      </c>
      <c r="D43" s="73">
        <v>33.859191699999997</v>
      </c>
    </row>
    <row r="44" spans="1:4">
      <c r="A44" s="71">
        <v>20303</v>
      </c>
      <c r="B44" s="74" t="s">
        <v>71</v>
      </c>
      <c r="C44" s="73">
        <v>4.6587658000000003</v>
      </c>
      <c r="D44" s="73">
        <v>16.971043099999999</v>
      </c>
    </row>
    <row r="45" spans="1:4">
      <c r="A45" s="71">
        <v>20304</v>
      </c>
      <c r="B45" s="74" t="s">
        <v>72</v>
      </c>
      <c r="C45" s="73">
        <v>15.384615399999999</v>
      </c>
      <c r="D45" s="73">
        <v>41.660186600000003</v>
      </c>
    </row>
    <row r="46" spans="1:4">
      <c r="A46" s="71">
        <v>20305</v>
      </c>
      <c r="B46" s="74" t="s">
        <v>73</v>
      </c>
      <c r="C46" s="73">
        <v>24.859131600000001</v>
      </c>
      <c r="D46" s="73">
        <v>37.053245799999999</v>
      </c>
    </row>
    <row r="47" spans="1:4">
      <c r="A47" s="71">
        <v>20306</v>
      </c>
      <c r="B47" s="74" t="s">
        <v>74</v>
      </c>
      <c r="C47" s="73">
        <v>33.861902899999997</v>
      </c>
      <c r="D47" s="73">
        <v>80.259222300000005</v>
      </c>
    </row>
    <row r="48" spans="1:4">
      <c r="A48" s="71">
        <v>20307</v>
      </c>
      <c r="B48" s="74" t="s">
        <v>75</v>
      </c>
      <c r="C48" s="73">
        <v>38.758389299999997</v>
      </c>
      <c r="D48" s="73">
        <v>42.769545200000003</v>
      </c>
    </row>
    <row r="49" spans="1:4">
      <c r="A49" s="71">
        <v>20308</v>
      </c>
      <c r="B49" s="74" t="s">
        <v>76</v>
      </c>
      <c r="C49" s="73">
        <v>5.2303860999999996</v>
      </c>
      <c r="D49" s="73">
        <v>16.175917800000001</v>
      </c>
    </row>
    <row r="50" spans="1:4">
      <c r="A50" s="71">
        <v>20401</v>
      </c>
      <c r="B50" s="74" t="s">
        <v>78</v>
      </c>
      <c r="C50" s="73">
        <v>22.379375199999998</v>
      </c>
      <c r="D50" s="73">
        <v>33.638277799999997</v>
      </c>
    </row>
    <row r="51" spans="1:4">
      <c r="A51" s="71">
        <v>20402</v>
      </c>
      <c r="B51" s="74" t="s">
        <v>79</v>
      </c>
      <c r="C51" s="73">
        <v>12.7063983</v>
      </c>
      <c r="D51" s="73">
        <v>26.372688499999999</v>
      </c>
    </row>
    <row r="52" spans="1:4">
      <c r="A52" s="71">
        <v>20403</v>
      </c>
      <c r="B52" s="74" t="s">
        <v>80</v>
      </c>
      <c r="C52" s="73">
        <v>16.9649751</v>
      </c>
      <c r="D52" s="73">
        <v>34.498489200000002</v>
      </c>
    </row>
    <row r="53" spans="1:4">
      <c r="A53" s="71">
        <v>20404</v>
      </c>
      <c r="B53" s="74" t="s">
        <v>81</v>
      </c>
      <c r="C53" s="73">
        <v>11.844843900000001</v>
      </c>
      <c r="D53" s="73">
        <v>33.703438400000003</v>
      </c>
    </row>
    <row r="54" spans="1:4">
      <c r="A54" s="71">
        <v>20405</v>
      </c>
      <c r="B54" s="74" t="s">
        <v>82</v>
      </c>
      <c r="C54" s="73">
        <v>25.591216200000002</v>
      </c>
      <c r="D54" s="73">
        <v>49.064279900000002</v>
      </c>
    </row>
    <row r="55" spans="1:4">
      <c r="A55" s="71">
        <v>20501</v>
      </c>
      <c r="B55" s="74" t="s">
        <v>84</v>
      </c>
      <c r="C55" s="73">
        <v>7.6147030000000004</v>
      </c>
      <c r="D55" s="73">
        <v>19.824940300000002</v>
      </c>
    </row>
    <row r="56" spans="1:4">
      <c r="A56" s="71">
        <v>20502</v>
      </c>
      <c r="B56" s="74" t="s">
        <v>85</v>
      </c>
      <c r="C56" s="73">
        <v>6.3115651000000002</v>
      </c>
      <c r="D56" s="73">
        <v>19.308647499999999</v>
      </c>
    </row>
    <row r="57" spans="1:4">
      <c r="A57" s="71">
        <v>20503</v>
      </c>
      <c r="B57" s="74" t="s">
        <v>86</v>
      </c>
      <c r="C57" s="73">
        <v>19.303445700000001</v>
      </c>
      <c r="D57" s="73">
        <v>43.000470300000003</v>
      </c>
    </row>
    <row r="58" spans="1:4">
      <c r="A58" s="71">
        <v>20601</v>
      </c>
      <c r="B58" s="74" t="s">
        <v>88</v>
      </c>
      <c r="C58" s="73">
        <v>32.520536100000001</v>
      </c>
      <c r="D58" s="73">
        <v>46.813417899999997</v>
      </c>
    </row>
    <row r="59" spans="1:4">
      <c r="A59" s="71">
        <v>20602</v>
      </c>
      <c r="B59" s="74" t="s">
        <v>89</v>
      </c>
      <c r="C59" s="73">
        <v>60.905840300000001</v>
      </c>
      <c r="D59" s="73">
        <v>81.115744300000003</v>
      </c>
    </row>
    <row r="60" spans="1:4">
      <c r="A60" s="71">
        <v>20603</v>
      </c>
      <c r="B60" s="74" t="s">
        <v>90</v>
      </c>
      <c r="C60" s="73">
        <v>37.547941700000003</v>
      </c>
      <c r="D60" s="73">
        <v>47.677131899999999</v>
      </c>
    </row>
    <row r="61" spans="1:4">
      <c r="A61" s="71">
        <v>20604</v>
      </c>
      <c r="B61" s="74" t="s">
        <v>91</v>
      </c>
      <c r="C61" s="73">
        <v>18.100775200000001</v>
      </c>
      <c r="D61" s="73">
        <v>19.503807399999999</v>
      </c>
    </row>
    <row r="62" spans="1:4">
      <c r="A62" s="71">
        <v>20605</v>
      </c>
      <c r="B62" s="74" t="s">
        <v>92</v>
      </c>
      <c r="C62" s="73">
        <v>13.2589164</v>
      </c>
      <c r="D62" s="73">
        <v>28.970080599999999</v>
      </c>
    </row>
    <row r="63" spans="1:4">
      <c r="A63" s="71">
        <v>20606</v>
      </c>
      <c r="B63" s="74" t="s">
        <v>93</v>
      </c>
      <c r="C63" s="73">
        <v>92.223277400000001</v>
      </c>
      <c r="D63" s="73">
        <v>95.196091699999997</v>
      </c>
    </row>
    <row r="64" spans="1:4">
      <c r="A64" s="71">
        <v>20607</v>
      </c>
      <c r="B64" s="74" t="s">
        <v>94</v>
      </c>
      <c r="C64" s="73">
        <v>83.245668300000006</v>
      </c>
      <c r="D64" s="73">
        <v>93.965867500000002</v>
      </c>
    </row>
    <row r="65" spans="1:4">
      <c r="A65" s="71">
        <v>20608</v>
      </c>
      <c r="B65" s="74" t="s">
        <v>95</v>
      </c>
      <c r="C65" s="73">
        <v>43.5494652</v>
      </c>
      <c r="D65" s="73">
        <v>61.9066148</v>
      </c>
    </row>
    <row r="66" spans="1:4">
      <c r="A66" s="71">
        <v>20701</v>
      </c>
      <c r="B66" s="74" t="s">
        <v>97</v>
      </c>
      <c r="C66" s="73">
        <v>34.602414899999999</v>
      </c>
      <c r="D66" s="73">
        <v>44.841853100000002</v>
      </c>
    </row>
    <row r="67" spans="1:4">
      <c r="A67" s="71">
        <v>20702</v>
      </c>
      <c r="B67" s="74" t="s">
        <v>98</v>
      </c>
      <c r="C67" s="73">
        <v>49.263721599999997</v>
      </c>
      <c r="D67" s="73">
        <v>85.173314300000001</v>
      </c>
    </row>
    <row r="68" spans="1:4">
      <c r="A68" s="71">
        <v>20801</v>
      </c>
      <c r="B68" s="74" t="s">
        <v>100</v>
      </c>
      <c r="C68" s="73">
        <v>86.117114299999997</v>
      </c>
      <c r="D68" s="73">
        <v>95.030168700000004</v>
      </c>
    </row>
    <row r="69" spans="1:4">
      <c r="A69" s="71">
        <v>20802</v>
      </c>
      <c r="B69" s="74" t="s">
        <v>101</v>
      </c>
      <c r="C69" s="73">
        <v>52.912482099999998</v>
      </c>
      <c r="D69" s="73">
        <v>86.505576199999993</v>
      </c>
    </row>
    <row r="70" spans="1:4">
      <c r="A70" s="71">
        <v>20803</v>
      </c>
      <c r="B70" s="74" t="s">
        <v>102</v>
      </c>
      <c r="C70" s="73">
        <v>32.672692599999998</v>
      </c>
      <c r="D70" s="73">
        <v>68.243496500000006</v>
      </c>
    </row>
    <row r="71" spans="1:4">
      <c r="A71" s="71">
        <v>20804</v>
      </c>
      <c r="B71" s="74" t="s">
        <v>103</v>
      </c>
      <c r="C71" s="73">
        <v>75.4110613</v>
      </c>
      <c r="D71" s="73">
        <v>91.319625200000004</v>
      </c>
    </row>
    <row r="72" spans="1:4">
      <c r="A72" s="71">
        <v>20805</v>
      </c>
      <c r="B72" s="74" t="s">
        <v>104</v>
      </c>
      <c r="C72" s="73">
        <v>14.754368599999999</v>
      </c>
      <c r="D72" s="73">
        <v>40.465235200000002</v>
      </c>
    </row>
    <row r="73" spans="1:4">
      <c r="A73" s="71">
        <v>20806</v>
      </c>
      <c r="B73" s="74" t="s">
        <v>105</v>
      </c>
      <c r="C73" s="73">
        <v>20.464587000000002</v>
      </c>
      <c r="D73" s="73">
        <v>48.973134299999998</v>
      </c>
    </row>
    <row r="74" spans="1:4">
      <c r="A74" s="71">
        <v>20807</v>
      </c>
      <c r="B74" s="74" t="s">
        <v>106</v>
      </c>
      <c r="C74" s="73">
        <v>59.883898600000002</v>
      </c>
      <c r="D74" s="73">
        <v>90.754716999999999</v>
      </c>
    </row>
    <row r="75" spans="1:4">
      <c r="A75" s="71">
        <v>20901</v>
      </c>
      <c r="B75" s="74" t="s">
        <v>108</v>
      </c>
      <c r="C75" s="73">
        <v>27.7001271</v>
      </c>
      <c r="D75" s="73">
        <v>52.496920299999999</v>
      </c>
    </row>
    <row r="76" spans="1:4">
      <c r="A76" s="71">
        <v>20902</v>
      </c>
      <c r="B76" s="74" t="s">
        <v>109</v>
      </c>
      <c r="C76" s="73">
        <v>18.272962499999998</v>
      </c>
      <c r="D76" s="73">
        <v>48.391036200000002</v>
      </c>
    </row>
    <row r="77" spans="1:4">
      <c r="A77" s="71">
        <v>20903</v>
      </c>
      <c r="B77" s="74" t="s">
        <v>110</v>
      </c>
      <c r="C77" s="73">
        <v>23.8837112</v>
      </c>
      <c r="D77" s="73">
        <v>50.902168500000002</v>
      </c>
    </row>
    <row r="78" spans="1:4">
      <c r="A78" s="71">
        <v>20904</v>
      </c>
      <c r="B78" s="74" t="s">
        <v>111</v>
      </c>
      <c r="C78" s="73">
        <v>48.4585936</v>
      </c>
      <c r="D78" s="73">
        <v>60.415050399999998</v>
      </c>
    </row>
    <row r="79" spans="1:4">
      <c r="A79" s="71">
        <v>20905</v>
      </c>
      <c r="B79" s="74" t="s">
        <v>112</v>
      </c>
      <c r="C79" s="73">
        <v>37.9623852</v>
      </c>
      <c r="D79" s="73">
        <v>63.127870799999997</v>
      </c>
    </row>
    <row r="80" spans="1:4">
      <c r="A80" s="71">
        <v>21001</v>
      </c>
      <c r="B80" s="74" t="s">
        <v>113</v>
      </c>
      <c r="C80" s="73">
        <v>8.4213413999999993</v>
      </c>
      <c r="D80" s="73">
        <v>23.134650700000002</v>
      </c>
    </row>
    <row r="81" spans="1:4">
      <c r="A81" s="71">
        <v>21002</v>
      </c>
      <c r="B81" s="74" t="s">
        <v>114</v>
      </c>
      <c r="C81" s="73">
        <v>61.6247197</v>
      </c>
      <c r="D81" s="73">
        <v>69.428284899999994</v>
      </c>
    </row>
    <row r="82" spans="1:4">
      <c r="A82" s="71">
        <v>21003</v>
      </c>
      <c r="B82" s="74" t="s">
        <v>115</v>
      </c>
      <c r="C82" s="73">
        <v>48.311076200000002</v>
      </c>
      <c r="D82" s="73">
        <v>81.070308400000002</v>
      </c>
    </row>
    <row r="83" spans="1:4">
      <c r="A83" s="71">
        <v>21004</v>
      </c>
      <c r="B83" s="74" t="s">
        <v>116</v>
      </c>
      <c r="C83" s="73">
        <v>36.831991700000003</v>
      </c>
      <c r="D83" s="73">
        <v>44.751285000000003</v>
      </c>
    </row>
    <row r="84" spans="1:4">
      <c r="A84" s="71">
        <v>21005</v>
      </c>
      <c r="B84" s="74" t="s">
        <v>117</v>
      </c>
      <c r="C84" s="73">
        <v>18.090062100000001</v>
      </c>
      <c r="D84" s="73">
        <v>34.294803799999997</v>
      </c>
    </row>
    <row r="85" spans="1:4">
      <c r="A85" s="71">
        <v>21006</v>
      </c>
      <c r="B85" s="74" t="s">
        <v>118</v>
      </c>
      <c r="C85" s="73">
        <v>34.109237499999999</v>
      </c>
      <c r="D85" s="73">
        <v>55.989717200000001</v>
      </c>
    </row>
    <row r="86" spans="1:4">
      <c r="A86" s="71">
        <v>21101</v>
      </c>
      <c r="B86" s="74" t="s">
        <v>120</v>
      </c>
      <c r="C86" s="73">
        <v>59.603448299999997</v>
      </c>
      <c r="D86" s="73">
        <v>80.895372800000004</v>
      </c>
    </row>
    <row r="87" spans="1:4">
      <c r="A87" s="71">
        <v>21102</v>
      </c>
      <c r="B87" s="74" t="s">
        <v>121</v>
      </c>
      <c r="C87" s="73">
        <v>41.4830866</v>
      </c>
      <c r="D87" s="73">
        <v>64.877223499999999</v>
      </c>
    </row>
    <row r="88" spans="1:4">
      <c r="A88" s="71">
        <v>21103</v>
      </c>
      <c r="B88" s="74" t="s">
        <v>122</v>
      </c>
      <c r="C88" s="73">
        <v>55.374327200000003</v>
      </c>
      <c r="D88" s="73">
        <v>72.121542399999996</v>
      </c>
    </row>
    <row r="89" spans="1:4">
      <c r="A89" s="71">
        <v>21104</v>
      </c>
      <c r="B89" s="74" t="s">
        <v>123</v>
      </c>
      <c r="C89" s="73">
        <v>39.956240000000001</v>
      </c>
      <c r="D89" s="73">
        <v>63.514429999999997</v>
      </c>
    </row>
    <row r="90" spans="1:4">
      <c r="A90" s="71">
        <v>21105</v>
      </c>
      <c r="B90" s="74" t="s">
        <v>124</v>
      </c>
      <c r="C90" s="73">
        <v>31.696360599999998</v>
      </c>
      <c r="D90" s="73">
        <v>59.7237692</v>
      </c>
    </row>
    <row r="91" spans="1:4">
      <c r="A91" s="71">
        <v>21201</v>
      </c>
      <c r="B91" s="74" t="s">
        <v>126</v>
      </c>
      <c r="C91" s="73">
        <v>47.859435699999999</v>
      </c>
      <c r="D91" s="73">
        <v>85.586252299999998</v>
      </c>
    </row>
    <row r="92" spans="1:4">
      <c r="A92" s="71">
        <v>21202</v>
      </c>
      <c r="B92" s="74" t="s">
        <v>127</v>
      </c>
      <c r="C92" s="73">
        <v>40.4109871</v>
      </c>
      <c r="D92" s="73">
        <v>73.092146900000003</v>
      </c>
    </row>
    <row r="93" spans="1:4">
      <c r="A93" s="71">
        <v>21203</v>
      </c>
      <c r="B93" s="74" t="s">
        <v>128</v>
      </c>
      <c r="C93" s="73">
        <v>50.4484694</v>
      </c>
      <c r="D93" s="73">
        <v>83.044811600000003</v>
      </c>
    </row>
    <row r="94" spans="1:4">
      <c r="A94" s="71">
        <v>21204</v>
      </c>
      <c r="B94" s="74" t="s">
        <v>129</v>
      </c>
      <c r="C94" s="73">
        <v>52.143413899999999</v>
      </c>
      <c r="D94" s="73">
        <v>79.407176300000003</v>
      </c>
    </row>
    <row r="95" spans="1:4">
      <c r="A95" s="71">
        <v>21301</v>
      </c>
      <c r="B95" s="74" t="s">
        <v>131</v>
      </c>
      <c r="C95" s="73">
        <v>48.588462800000002</v>
      </c>
      <c r="D95" s="73">
        <v>70.813727</v>
      </c>
    </row>
    <row r="96" spans="1:4">
      <c r="A96" s="71">
        <v>21302</v>
      </c>
      <c r="B96" s="74" t="s">
        <v>132</v>
      </c>
      <c r="C96" s="73">
        <v>35.136661400000001</v>
      </c>
      <c r="D96" s="73">
        <v>65.191903600000003</v>
      </c>
    </row>
    <row r="97" spans="1:4">
      <c r="A97" s="71">
        <v>21303</v>
      </c>
      <c r="B97" s="74" t="s">
        <v>133</v>
      </c>
      <c r="C97" s="73">
        <v>42.129689300000003</v>
      </c>
      <c r="D97" s="73">
        <v>71.989360700000006</v>
      </c>
    </row>
    <row r="98" spans="1:4">
      <c r="A98" s="71">
        <v>21304</v>
      </c>
      <c r="B98" s="74" t="s">
        <v>134</v>
      </c>
      <c r="C98" s="73">
        <v>50.820341200000001</v>
      </c>
      <c r="D98" s="73">
        <v>82.011002899999994</v>
      </c>
    </row>
    <row r="99" spans="1:4">
      <c r="A99" s="71">
        <v>21305</v>
      </c>
      <c r="B99" s="74" t="s">
        <v>135</v>
      </c>
      <c r="C99" s="73">
        <v>75.988445600000006</v>
      </c>
      <c r="D99" s="73">
        <v>87.598791700000007</v>
      </c>
    </row>
    <row r="100" spans="1:4">
      <c r="A100" s="71">
        <v>21306</v>
      </c>
      <c r="B100" s="74" t="s">
        <v>136</v>
      </c>
      <c r="C100" s="73">
        <v>58.365679299999996</v>
      </c>
      <c r="D100" s="73">
        <v>87.652525299999994</v>
      </c>
    </row>
    <row r="101" spans="1:4">
      <c r="A101" s="71">
        <v>21307</v>
      </c>
      <c r="B101" s="74" t="s">
        <v>137</v>
      </c>
      <c r="C101" s="73">
        <v>72.364442699999998</v>
      </c>
      <c r="D101" s="73">
        <v>90.440366999999995</v>
      </c>
    </row>
    <row r="102" spans="1:4">
      <c r="A102" s="71">
        <v>21401</v>
      </c>
      <c r="B102" s="74" t="s">
        <v>139</v>
      </c>
      <c r="C102" s="73">
        <v>45.874073299999999</v>
      </c>
      <c r="D102" s="73">
        <v>67.132389200000006</v>
      </c>
    </row>
    <row r="103" spans="1:4">
      <c r="A103" s="71">
        <v>21402</v>
      </c>
      <c r="B103" s="74" t="s">
        <v>140</v>
      </c>
      <c r="C103" s="73">
        <v>64.399160899999998</v>
      </c>
      <c r="D103" s="73">
        <v>84.7717296</v>
      </c>
    </row>
    <row r="104" spans="1:4">
      <c r="A104" s="71">
        <v>21501</v>
      </c>
      <c r="B104" s="74" t="s">
        <v>142</v>
      </c>
      <c r="C104" s="73">
        <v>33.933534700000003</v>
      </c>
      <c r="D104" s="73">
        <v>51.784276900000002</v>
      </c>
    </row>
    <row r="105" spans="1:4">
      <c r="A105" s="71">
        <v>21502</v>
      </c>
      <c r="B105" s="74" t="s">
        <v>143</v>
      </c>
      <c r="C105" s="73">
        <v>42.087212200000003</v>
      </c>
      <c r="D105" s="73">
        <v>71.495963900000007</v>
      </c>
    </row>
    <row r="106" spans="1:4">
      <c r="A106" s="71">
        <v>21601</v>
      </c>
      <c r="B106" s="74" t="s">
        <v>145</v>
      </c>
      <c r="C106" s="73">
        <v>10.2148453</v>
      </c>
      <c r="D106" s="73">
        <v>30.363694899999999</v>
      </c>
    </row>
    <row r="107" spans="1:4">
      <c r="A107" s="71">
        <v>21602</v>
      </c>
      <c r="B107" s="74" t="s">
        <v>146</v>
      </c>
      <c r="C107" s="73">
        <v>7.8793474999999997</v>
      </c>
      <c r="D107" s="73">
        <v>45.0658903</v>
      </c>
    </row>
    <row r="108" spans="1:4">
      <c r="A108" s="71">
        <v>21701</v>
      </c>
      <c r="B108" s="74" t="s">
        <v>148</v>
      </c>
      <c r="C108" s="73">
        <v>57.56691</v>
      </c>
      <c r="D108" s="73">
        <v>65.419675600000005</v>
      </c>
    </row>
    <row r="109" spans="1:4">
      <c r="A109" s="71">
        <v>21702</v>
      </c>
      <c r="B109" s="74" t="s">
        <v>149</v>
      </c>
      <c r="C109" s="73">
        <v>37.212449300000003</v>
      </c>
      <c r="D109" s="73">
        <v>59.427590199999997</v>
      </c>
    </row>
    <row r="110" spans="1:4">
      <c r="A110" s="71">
        <v>21703</v>
      </c>
      <c r="B110" s="74" t="s">
        <v>150</v>
      </c>
      <c r="C110" s="73">
        <v>30.2101717</v>
      </c>
      <c r="D110" s="73">
        <v>48.604521400000003</v>
      </c>
    </row>
    <row r="111" spans="1:4">
      <c r="A111" s="71">
        <v>21801</v>
      </c>
      <c r="B111" s="74" t="s">
        <v>152</v>
      </c>
      <c r="C111" s="73">
        <v>20.8304814</v>
      </c>
      <c r="D111" s="73">
        <v>45.267623999999998</v>
      </c>
    </row>
    <row r="112" spans="1:4">
      <c r="A112" s="71">
        <v>21802</v>
      </c>
      <c r="B112" s="74" t="s">
        <v>153</v>
      </c>
      <c r="C112" s="73">
        <v>16.6093437</v>
      </c>
      <c r="D112" s="73">
        <v>43.503847899999997</v>
      </c>
    </row>
    <row r="113" spans="1:4">
      <c r="A113" s="71">
        <v>21803</v>
      </c>
      <c r="B113" s="74" t="s">
        <v>154</v>
      </c>
      <c r="C113" s="73">
        <v>9.9</v>
      </c>
      <c r="D113" s="73">
        <v>32.107843099999997</v>
      </c>
    </row>
    <row r="114" spans="1:4">
      <c r="A114" s="71">
        <v>21901</v>
      </c>
      <c r="B114" s="74" t="s">
        <v>156</v>
      </c>
      <c r="C114" s="73">
        <v>14.433899800000001</v>
      </c>
      <c r="D114" s="73">
        <v>35.511236799999999</v>
      </c>
    </row>
    <row r="115" spans="1:4">
      <c r="A115" s="71">
        <v>21902</v>
      </c>
      <c r="B115" s="74" t="s">
        <v>157</v>
      </c>
      <c r="C115" s="73">
        <v>24.7896213</v>
      </c>
      <c r="D115" s="73">
        <v>63.682527700000001</v>
      </c>
    </row>
    <row r="116" spans="1:4">
      <c r="A116" s="71">
        <v>22001</v>
      </c>
      <c r="B116" s="74" t="s">
        <v>158</v>
      </c>
      <c r="C116" s="73">
        <v>31.283931899999999</v>
      </c>
      <c r="D116" s="73">
        <v>53.086700399999998</v>
      </c>
    </row>
    <row r="117" spans="1:4">
      <c r="A117" s="71">
        <v>22002</v>
      </c>
      <c r="B117" s="74" t="s">
        <v>159</v>
      </c>
      <c r="C117" s="73">
        <v>27.819340499999999</v>
      </c>
      <c r="D117" s="73">
        <v>51.028926400000003</v>
      </c>
    </row>
    <row r="118" spans="1:4">
      <c r="A118" s="71">
        <v>30101</v>
      </c>
      <c r="B118" s="74" t="s">
        <v>160</v>
      </c>
      <c r="C118" s="73">
        <v>98.088272799999999</v>
      </c>
      <c r="D118" s="73">
        <v>99.252918300000005</v>
      </c>
    </row>
    <row r="119" spans="1:4">
      <c r="A119" s="71">
        <v>30201</v>
      </c>
      <c r="B119" s="74" t="s">
        <v>163</v>
      </c>
      <c r="C119" s="73">
        <v>38.3197525</v>
      </c>
      <c r="D119" s="73">
        <v>56.082890599999999</v>
      </c>
    </row>
    <row r="120" spans="1:4">
      <c r="A120" s="71">
        <v>30202</v>
      </c>
      <c r="B120" s="74" t="s">
        <v>164</v>
      </c>
      <c r="C120" s="73">
        <v>35.345465300000001</v>
      </c>
      <c r="D120" s="73">
        <v>42.226397400000003</v>
      </c>
    </row>
    <row r="121" spans="1:4">
      <c r="A121" s="71">
        <v>30203</v>
      </c>
      <c r="B121" s="74" t="s">
        <v>165</v>
      </c>
      <c r="C121" s="73">
        <v>42.561611800000001</v>
      </c>
      <c r="D121" s="73">
        <v>65.960324600000007</v>
      </c>
    </row>
    <row r="122" spans="1:4">
      <c r="A122" s="71">
        <v>30301</v>
      </c>
      <c r="B122" s="74" t="s">
        <v>166</v>
      </c>
      <c r="C122" s="73">
        <v>24.4088417</v>
      </c>
      <c r="D122" s="73">
        <v>31.3614675</v>
      </c>
    </row>
    <row r="123" spans="1:4">
      <c r="A123" s="71">
        <v>30302</v>
      </c>
      <c r="B123" s="74" t="s">
        <v>167</v>
      </c>
      <c r="C123" s="73">
        <v>14.373570900000001</v>
      </c>
      <c r="D123" s="73">
        <v>22.006295300000001</v>
      </c>
    </row>
    <row r="124" spans="1:4">
      <c r="A124" s="71">
        <v>30303</v>
      </c>
      <c r="B124" s="74" t="s">
        <v>168</v>
      </c>
      <c r="C124" s="73">
        <v>9.7421857000000003</v>
      </c>
      <c r="D124" s="73">
        <v>29.9876784</v>
      </c>
    </row>
    <row r="125" spans="1:4">
      <c r="A125" s="71">
        <v>30401</v>
      </c>
      <c r="B125" s="74" t="s">
        <v>170</v>
      </c>
      <c r="C125" s="73">
        <v>56.844547599999999</v>
      </c>
      <c r="D125" s="73">
        <v>67.1532847</v>
      </c>
    </row>
    <row r="126" spans="1:4">
      <c r="A126" s="71">
        <v>30402</v>
      </c>
      <c r="B126" s="74" t="s">
        <v>171</v>
      </c>
      <c r="C126" s="73">
        <v>20.078574400000001</v>
      </c>
      <c r="D126" s="73">
        <v>29.525386300000001</v>
      </c>
    </row>
    <row r="127" spans="1:4">
      <c r="A127" s="71">
        <v>30403</v>
      </c>
      <c r="B127" s="74" t="s">
        <v>172</v>
      </c>
      <c r="C127" s="73">
        <v>69.909569099999999</v>
      </c>
      <c r="D127" s="73">
        <v>81.690189899999993</v>
      </c>
    </row>
    <row r="128" spans="1:4">
      <c r="A128" s="71">
        <v>30404</v>
      </c>
      <c r="B128" s="74" t="s">
        <v>173</v>
      </c>
      <c r="C128" s="73">
        <v>15.413271200000001</v>
      </c>
      <c r="D128" s="73">
        <v>30.5753202</v>
      </c>
    </row>
    <row r="129" spans="1:4">
      <c r="A129" s="71">
        <v>30501</v>
      </c>
      <c r="B129" s="74" t="s">
        <v>174</v>
      </c>
      <c r="C129" s="73">
        <v>68.934752200000005</v>
      </c>
      <c r="D129" s="73">
        <v>85.126004399999999</v>
      </c>
    </row>
    <row r="130" spans="1:4">
      <c r="A130" s="71">
        <v>30502</v>
      </c>
      <c r="B130" s="74" t="s">
        <v>175</v>
      </c>
      <c r="C130" s="73">
        <v>22.490140799999999</v>
      </c>
      <c r="D130" s="73">
        <v>39.1096979</v>
      </c>
    </row>
    <row r="131" spans="1:4">
      <c r="A131" s="71">
        <v>30601</v>
      </c>
      <c r="B131" s="74" t="s">
        <v>176</v>
      </c>
      <c r="C131" s="73">
        <v>9.2911877</v>
      </c>
      <c r="D131" s="73">
        <v>16.796061399999999</v>
      </c>
    </row>
    <row r="132" spans="1:4">
      <c r="A132" s="71">
        <v>30602</v>
      </c>
      <c r="B132" s="74" t="s">
        <v>177</v>
      </c>
      <c r="C132" s="73">
        <v>5.0921339000000003</v>
      </c>
      <c r="D132" s="73">
        <v>12.9565299</v>
      </c>
    </row>
    <row r="133" spans="1:4">
      <c r="A133" s="71">
        <v>30701</v>
      </c>
      <c r="B133" s="74" t="s">
        <v>178</v>
      </c>
      <c r="C133" s="73">
        <v>64.974884900000006</v>
      </c>
      <c r="D133" s="73">
        <v>78.040276800000001</v>
      </c>
    </row>
    <row r="134" spans="1:4">
      <c r="A134" s="71">
        <v>30702</v>
      </c>
      <c r="B134" s="74" t="s">
        <v>179</v>
      </c>
      <c r="C134" s="73">
        <v>41.127117300000002</v>
      </c>
      <c r="D134" s="73">
        <v>76.893790199999998</v>
      </c>
    </row>
    <row r="135" spans="1:4">
      <c r="A135" s="71">
        <v>30703</v>
      </c>
      <c r="B135" s="74" t="s">
        <v>180</v>
      </c>
      <c r="C135" s="73">
        <v>21.401617300000002</v>
      </c>
      <c r="D135" s="73">
        <v>56.4561493</v>
      </c>
    </row>
    <row r="136" spans="1:4">
      <c r="A136" s="71">
        <v>30801</v>
      </c>
      <c r="B136" s="74" t="s">
        <v>182</v>
      </c>
      <c r="C136" s="73">
        <v>86.940866900000003</v>
      </c>
      <c r="D136" s="73">
        <v>97.437121200000007</v>
      </c>
    </row>
    <row r="137" spans="1:4">
      <c r="A137" s="71">
        <v>30802</v>
      </c>
      <c r="B137" s="74" t="s">
        <v>183</v>
      </c>
      <c r="C137" s="73">
        <v>48.259629099999998</v>
      </c>
      <c r="D137" s="73">
        <v>73.823207400000001</v>
      </c>
    </row>
    <row r="138" spans="1:4">
      <c r="A138" s="71">
        <v>30803</v>
      </c>
      <c r="B138" s="74" t="s">
        <v>184</v>
      </c>
      <c r="C138" s="73">
        <v>86.046966699999999</v>
      </c>
      <c r="D138" s="73">
        <v>85.057317999999995</v>
      </c>
    </row>
    <row r="139" spans="1:4">
      <c r="A139" s="71">
        <v>30901</v>
      </c>
      <c r="B139" s="74" t="s">
        <v>185</v>
      </c>
      <c r="C139" s="73">
        <v>94.8421594</v>
      </c>
      <c r="D139" s="73">
        <v>98.176635000000005</v>
      </c>
    </row>
    <row r="140" spans="1:4">
      <c r="A140" s="71">
        <v>30902</v>
      </c>
      <c r="B140" s="74" t="s">
        <v>186</v>
      </c>
      <c r="C140" s="73">
        <v>80.991634199999993</v>
      </c>
      <c r="D140" s="73">
        <v>92.433261200000004</v>
      </c>
    </row>
    <row r="141" spans="1:4">
      <c r="A141" s="71">
        <v>30903</v>
      </c>
      <c r="B141" s="74" t="s">
        <v>187</v>
      </c>
      <c r="C141" s="73">
        <v>88.8031182</v>
      </c>
      <c r="D141" s="73">
        <v>94.832946800000002</v>
      </c>
    </row>
    <row r="142" spans="1:4">
      <c r="A142" s="71">
        <v>30904</v>
      </c>
      <c r="B142" s="74" t="s">
        <v>188</v>
      </c>
      <c r="C142" s="73">
        <v>89.081740400000001</v>
      </c>
      <c r="D142" s="73">
        <v>96.604719599999996</v>
      </c>
    </row>
    <row r="143" spans="1:4">
      <c r="A143" s="71">
        <v>30905</v>
      </c>
      <c r="B143" s="74" t="s">
        <v>189</v>
      </c>
      <c r="C143" s="73">
        <v>97.927876800000007</v>
      </c>
      <c r="D143" s="73">
        <v>99.487679900000003</v>
      </c>
    </row>
    <row r="144" spans="1:4">
      <c r="A144" s="71">
        <v>31001</v>
      </c>
      <c r="B144" s="74" t="s">
        <v>191</v>
      </c>
      <c r="C144" s="73">
        <v>88.897180800000001</v>
      </c>
      <c r="D144" s="73">
        <v>94.556592100000003</v>
      </c>
    </row>
    <row r="145" spans="1:4">
      <c r="A145" s="71">
        <v>31002</v>
      </c>
      <c r="B145" s="74" t="s">
        <v>192</v>
      </c>
      <c r="C145" s="73">
        <v>46.425702800000003</v>
      </c>
      <c r="D145" s="73">
        <v>67.686370499999995</v>
      </c>
    </row>
    <row r="146" spans="1:4">
      <c r="A146" s="71">
        <v>31003</v>
      </c>
      <c r="B146" s="74" t="s">
        <v>193</v>
      </c>
      <c r="C146" s="73">
        <v>45.704017299999997</v>
      </c>
      <c r="D146" s="73">
        <v>68.973253600000007</v>
      </c>
    </row>
    <row r="147" spans="1:4">
      <c r="A147" s="71">
        <v>31101</v>
      </c>
      <c r="B147" s="74" t="s">
        <v>194</v>
      </c>
      <c r="C147" s="73">
        <v>11.477160700000001</v>
      </c>
      <c r="D147" s="73">
        <v>23.1462599</v>
      </c>
    </row>
    <row r="148" spans="1:4">
      <c r="A148" s="71">
        <v>31201</v>
      </c>
      <c r="B148" s="74" t="s">
        <v>196</v>
      </c>
      <c r="C148" s="73">
        <v>22.8437263</v>
      </c>
      <c r="D148" s="73">
        <v>44.127226100000001</v>
      </c>
    </row>
    <row r="149" spans="1:4">
      <c r="A149" s="71">
        <v>31202</v>
      </c>
      <c r="B149" s="74" t="s">
        <v>197</v>
      </c>
      <c r="C149" s="73">
        <v>20.921668199999999</v>
      </c>
      <c r="D149" s="73">
        <v>56.827395799999998</v>
      </c>
    </row>
    <row r="150" spans="1:4">
      <c r="A150" s="71">
        <v>31203</v>
      </c>
      <c r="B150" s="74" t="s">
        <v>198</v>
      </c>
      <c r="C150" s="73">
        <v>22.370173099999999</v>
      </c>
      <c r="D150" s="73">
        <v>53.963083599999997</v>
      </c>
    </row>
    <row r="151" spans="1:4">
      <c r="A151" s="71">
        <v>31204</v>
      </c>
      <c r="B151" s="74" t="s">
        <v>199</v>
      </c>
      <c r="C151" s="73">
        <v>59.806331100000001</v>
      </c>
      <c r="D151" s="73">
        <v>76.164659400000005</v>
      </c>
    </row>
    <row r="152" spans="1:4">
      <c r="A152" s="71">
        <v>31205</v>
      </c>
      <c r="B152" s="74" t="s">
        <v>200</v>
      </c>
      <c r="C152" s="73">
        <v>54.796104399999997</v>
      </c>
      <c r="D152" s="73">
        <v>78.895634599999994</v>
      </c>
    </row>
    <row r="153" spans="1:4">
      <c r="A153" s="71">
        <v>31206</v>
      </c>
      <c r="B153" s="74" t="s">
        <v>201</v>
      </c>
      <c r="C153" s="73">
        <v>59.583018500000001</v>
      </c>
      <c r="D153" s="73">
        <v>78.974063400000006</v>
      </c>
    </row>
    <row r="154" spans="1:4">
      <c r="A154" s="71">
        <v>31301</v>
      </c>
      <c r="B154" s="74" t="s">
        <v>202</v>
      </c>
      <c r="C154" s="73">
        <v>39.756498499999999</v>
      </c>
      <c r="D154" s="73">
        <v>61.407754500000003</v>
      </c>
    </row>
    <row r="155" spans="1:4">
      <c r="A155" s="71">
        <v>31302</v>
      </c>
      <c r="B155" s="74" t="s">
        <v>203</v>
      </c>
      <c r="C155" s="73">
        <v>7.9644379000000001</v>
      </c>
      <c r="D155" s="73">
        <v>16.734378</v>
      </c>
    </row>
    <row r="156" spans="1:4">
      <c r="A156" s="71">
        <v>31303</v>
      </c>
      <c r="B156" s="74" t="s">
        <v>204</v>
      </c>
      <c r="C156" s="73">
        <v>4.1288432999999998</v>
      </c>
      <c r="D156" s="73">
        <v>14.1376332</v>
      </c>
    </row>
    <row r="157" spans="1:4">
      <c r="A157" s="71">
        <v>31304</v>
      </c>
      <c r="B157" s="74" t="s">
        <v>205</v>
      </c>
      <c r="C157" s="73">
        <v>4.9493653000000002</v>
      </c>
      <c r="D157" s="73">
        <v>11.0610611</v>
      </c>
    </row>
    <row r="158" spans="1:4">
      <c r="A158" s="71">
        <v>31401</v>
      </c>
      <c r="B158" s="74" t="s">
        <v>206</v>
      </c>
      <c r="C158" s="73">
        <v>91.485786300000001</v>
      </c>
      <c r="D158" s="73">
        <v>97.243842900000004</v>
      </c>
    </row>
    <row r="159" spans="1:4">
      <c r="A159" s="71">
        <v>31402</v>
      </c>
      <c r="B159" s="74" t="s">
        <v>207</v>
      </c>
      <c r="C159" s="73">
        <v>70.5831266</v>
      </c>
      <c r="D159" s="73">
        <v>84.882895700000006</v>
      </c>
    </row>
    <row r="160" spans="1:4">
      <c r="A160" s="71">
        <v>31403</v>
      </c>
      <c r="B160" s="74" t="s">
        <v>208</v>
      </c>
      <c r="C160" s="73">
        <v>80.943084499999998</v>
      </c>
      <c r="D160" s="73">
        <v>92.891798199999997</v>
      </c>
    </row>
    <row r="161" spans="1:4">
      <c r="A161" s="71">
        <v>31404</v>
      </c>
      <c r="B161" s="74" t="s">
        <v>209</v>
      </c>
      <c r="C161" s="73">
        <v>34.645061699999999</v>
      </c>
      <c r="D161" s="73">
        <v>70.396825399999997</v>
      </c>
    </row>
    <row r="162" spans="1:4">
      <c r="A162" s="71">
        <v>31405</v>
      </c>
      <c r="B162" s="74" t="s">
        <v>210</v>
      </c>
      <c r="C162" s="73">
        <v>20.2411399</v>
      </c>
      <c r="D162" s="73">
        <v>52.8530108</v>
      </c>
    </row>
    <row r="163" spans="1:4">
      <c r="A163" s="71">
        <v>31501</v>
      </c>
      <c r="B163" s="74" t="s">
        <v>211</v>
      </c>
      <c r="C163" s="73">
        <v>14.2317909</v>
      </c>
      <c r="D163" s="73">
        <v>20.6231814</v>
      </c>
    </row>
    <row r="164" spans="1:4">
      <c r="A164" s="71">
        <v>31601</v>
      </c>
      <c r="B164" s="74" t="s">
        <v>212</v>
      </c>
      <c r="C164" s="73">
        <v>30.544589800000001</v>
      </c>
      <c r="D164" s="73">
        <v>59.832841700000003</v>
      </c>
    </row>
    <row r="165" spans="1:4">
      <c r="A165" s="71">
        <v>31602</v>
      </c>
      <c r="B165" s="74" t="s">
        <v>213</v>
      </c>
      <c r="C165" s="73">
        <v>58.608859899999999</v>
      </c>
      <c r="D165" s="73">
        <v>80.181734500000005</v>
      </c>
    </row>
    <row r="166" spans="1:4">
      <c r="A166" s="71">
        <v>40101</v>
      </c>
      <c r="B166" s="74" t="s">
        <v>214</v>
      </c>
      <c r="C166" s="73">
        <v>99.385466899999997</v>
      </c>
      <c r="D166" s="73">
        <v>99.718181599999994</v>
      </c>
    </row>
    <row r="167" spans="1:4">
      <c r="A167" s="71">
        <v>40102</v>
      </c>
      <c r="B167" s="74" t="s">
        <v>215</v>
      </c>
      <c r="C167" s="73">
        <v>47.839411599999998</v>
      </c>
      <c r="D167" s="73">
        <v>70.0966509</v>
      </c>
    </row>
    <row r="168" spans="1:4">
      <c r="A168" s="71">
        <v>40103</v>
      </c>
      <c r="B168" s="74" t="s">
        <v>216</v>
      </c>
      <c r="C168" s="73">
        <v>11.018711</v>
      </c>
      <c r="D168" s="73">
        <v>34.839753299999998</v>
      </c>
    </row>
    <row r="169" spans="1:4">
      <c r="A169" s="71">
        <v>40104</v>
      </c>
      <c r="B169" s="74" t="s">
        <v>217</v>
      </c>
      <c r="C169" s="73">
        <v>49.968617600000002</v>
      </c>
      <c r="D169" s="73">
        <v>74.080010299999998</v>
      </c>
    </row>
    <row r="170" spans="1:4">
      <c r="A170" s="71">
        <v>40201</v>
      </c>
      <c r="B170" s="74" t="s">
        <v>219</v>
      </c>
      <c r="C170" s="73">
        <v>53.205174</v>
      </c>
      <c r="D170" s="73">
        <v>62.523724600000001</v>
      </c>
    </row>
    <row r="171" spans="1:4">
      <c r="A171" s="71">
        <v>40202</v>
      </c>
      <c r="B171" s="74" t="s">
        <v>220</v>
      </c>
      <c r="C171" s="73">
        <v>46.494558300000001</v>
      </c>
      <c r="D171" s="73">
        <v>62.2729936</v>
      </c>
    </row>
    <row r="172" spans="1:4">
      <c r="A172" s="71">
        <v>40301</v>
      </c>
      <c r="B172" s="74" t="s">
        <v>222</v>
      </c>
      <c r="C172" s="73">
        <v>14.4755948</v>
      </c>
      <c r="D172" s="73">
        <v>33.0643636</v>
      </c>
    </row>
    <row r="173" spans="1:4">
      <c r="A173" s="71">
        <v>40302</v>
      </c>
      <c r="B173" s="74" t="s">
        <v>223</v>
      </c>
      <c r="C173" s="73">
        <v>12.4724062</v>
      </c>
      <c r="D173" s="73">
        <v>30.889423099999998</v>
      </c>
    </row>
    <row r="174" spans="1:4">
      <c r="A174" s="71">
        <v>40401</v>
      </c>
      <c r="B174" s="74" t="s">
        <v>225</v>
      </c>
      <c r="C174" s="73">
        <v>40.389045299999999</v>
      </c>
      <c r="D174" s="73">
        <v>34.814114699999998</v>
      </c>
    </row>
    <row r="175" spans="1:4">
      <c r="A175" s="71">
        <v>40402</v>
      </c>
      <c r="B175" s="74" t="s">
        <v>226</v>
      </c>
      <c r="C175" s="73">
        <v>23.297561000000002</v>
      </c>
      <c r="D175" s="73">
        <v>33.027522900000001</v>
      </c>
    </row>
    <row r="176" spans="1:4">
      <c r="A176" s="71">
        <v>40501</v>
      </c>
      <c r="B176" s="74" t="s">
        <v>228</v>
      </c>
      <c r="C176" s="73">
        <v>94.117647099999999</v>
      </c>
      <c r="D176" s="73">
        <v>97.2736898</v>
      </c>
    </row>
    <row r="177" spans="1:4">
      <c r="A177" s="71">
        <v>40502</v>
      </c>
      <c r="B177" s="74" t="s">
        <v>229</v>
      </c>
      <c r="C177" s="73">
        <v>14.548056300000001</v>
      </c>
      <c r="D177" s="73">
        <v>67.941888599999999</v>
      </c>
    </row>
    <row r="178" spans="1:4">
      <c r="A178" s="71">
        <v>40503</v>
      </c>
      <c r="B178" s="74" t="s">
        <v>230</v>
      </c>
      <c r="C178" s="73">
        <v>25.296239100000001</v>
      </c>
      <c r="D178" s="73">
        <v>78.470824899999997</v>
      </c>
    </row>
    <row r="179" spans="1:4">
      <c r="A179" s="71">
        <v>40504</v>
      </c>
      <c r="B179" s="74" t="s">
        <v>231</v>
      </c>
      <c r="C179" s="73">
        <v>7.0175438999999997</v>
      </c>
      <c r="D179" s="73">
        <v>74.885321099999999</v>
      </c>
    </row>
    <row r="180" spans="1:4">
      <c r="A180" s="71">
        <v>40505</v>
      </c>
      <c r="B180" s="74" t="s">
        <v>232</v>
      </c>
      <c r="C180" s="73">
        <v>43.415178599999997</v>
      </c>
      <c r="D180" s="73">
        <v>76.372625600000006</v>
      </c>
    </row>
    <row r="181" spans="1:4">
      <c r="A181" s="71">
        <v>40601</v>
      </c>
      <c r="B181" s="74" t="s">
        <v>233</v>
      </c>
      <c r="C181" s="73">
        <v>58.176495199999998</v>
      </c>
      <c r="D181" s="73">
        <v>76.703539800000001</v>
      </c>
    </row>
    <row r="182" spans="1:4">
      <c r="A182" s="71">
        <v>40602</v>
      </c>
      <c r="B182" s="74" t="s">
        <v>234</v>
      </c>
      <c r="C182" s="73">
        <v>69.475465299999996</v>
      </c>
      <c r="D182" s="73">
        <v>81.666263000000001</v>
      </c>
    </row>
    <row r="183" spans="1:4">
      <c r="A183" s="71">
        <v>40603</v>
      </c>
      <c r="B183" s="74" t="s">
        <v>235</v>
      </c>
      <c r="C183" s="73">
        <v>65.743944600000006</v>
      </c>
      <c r="D183" s="73">
        <v>82.9400057</v>
      </c>
    </row>
    <row r="184" spans="1:4">
      <c r="A184" s="71">
        <v>40701</v>
      </c>
      <c r="B184" s="74" t="s">
        <v>237</v>
      </c>
      <c r="C184" s="73">
        <v>89.629414400000002</v>
      </c>
      <c r="D184" s="73">
        <v>93.757744700000003</v>
      </c>
    </row>
    <row r="185" spans="1:4">
      <c r="A185" s="71">
        <v>40702</v>
      </c>
      <c r="B185" s="74" t="s">
        <v>238</v>
      </c>
      <c r="C185" s="73">
        <v>73.416649000000007</v>
      </c>
      <c r="D185" s="73">
        <v>88.445031400000005</v>
      </c>
    </row>
    <row r="186" spans="1:4">
      <c r="A186" s="71">
        <v>40801</v>
      </c>
      <c r="B186" s="74" t="s">
        <v>240</v>
      </c>
      <c r="C186" s="73">
        <v>38.981600299999997</v>
      </c>
      <c r="D186" s="73">
        <v>64.290236800000002</v>
      </c>
    </row>
    <row r="187" spans="1:4">
      <c r="A187" s="71">
        <v>40802</v>
      </c>
      <c r="B187" s="74" t="s">
        <v>241</v>
      </c>
      <c r="C187" s="73">
        <v>37.137000299999997</v>
      </c>
      <c r="D187" s="73">
        <v>66.813048899999998</v>
      </c>
    </row>
    <row r="188" spans="1:4">
      <c r="A188" s="71">
        <v>40901</v>
      </c>
      <c r="B188" s="74" t="s">
        <v>242</v>
      </c>
      <c r="C188" s="73">
        <v>31.6991786</v>
      </c>
      <c r="D188" s="73">
        <v>74.958881599999998</v>
      </c>
    </row>
    <row r="189" spans="1:4">
      <c r="A189" s="71">
        <v>40902</v>
      </c>
      <c r="B189" s="74" t="s">
        <v>243</v>
      </c>
      <c r="C189" s="73">
        <v>71.019473099999999</v>
      </c>
      <c r="D189" s="73">
        <v>94.049346900000003</v>
      </c>
    </row>
    <row r="190" spans="1:4">
      <c r="A190" s="71">
        <v>40903</v>
      </c>
      <c r="B190" s="74" t="s">
        <v>244</v>
      </c>
      <c r="C190" s="73">
        <v>46.966633000000002</v>
      </c>
      <c r="D190" s="73">
        <v>63.457424000000003</v>
      </c>
    </row>
    <row r="191" spans="1:4">
      <c r="A191" s="71">
        <v>41001</v>
      </c>
      <c r="B191" s="74" t="s">
        <v>246</v>
      </c>
      <c r="C191" s="73">
        <v>20.884619199999999</v>
      </c>
      <c r="D191" s="73">
        <v>36.6683217</v>
      </c>
    </row>
    <row r="192" spans="1:4">
      <c r="A192" s="71">
        <v>41101</v>
      </c>
      <c r="B192" s="74" t="s">
        <v>248</v>
      </c>
      <c r="C192" s="73">
        <v>62.1048574</v>
      </c>
      <c r="D192" s="73">
        <v>82.539084599999995</v>
      </c>
    </row>
    <row r="193" spans="1:4">
      <c r="A193" s="71">
        <v>41201</v>
      </c>
      <c r="B193" s="74" t="s">
        <v>250</v>
      </c>
      <c r="C193" s="73">
        <v>19.123044199999999</v>
      </c>
      <c r="D193" s="73">
        <v>37.659033100000002</v>
      </c>
    </row>
    <row r="194" spans="1:4">
      <c r="A194" s="71">
        <v>41202</v>
      </c>
      <c r="B194" s="74" t="s">
        <v>251</v>
      </c>
      <c r="C194" s="73">
        <v>12.493728000000001</v>
      </c>
      <c r="D194" s="73">
        <v>52.952820899999999</v>
      </c>
    </row>
    <row r="195" spans="1:4">
      <c r="A195" s="71">
        <v>41301</v>
      </c>
      <c r="B195" s="74" t="s">
        <v>196</v>
      </c>
      <c r="C195" s="73">
        <v>10.0820419</v>
      </c>
      <c r="D195" s="73">
        <v>27.589867999999999</v>
      </c>
    </row>
    <row r="196" spans="1:4">
      <c r="A196" s="71">
        <v>41401</v>
      </c>
      <c r="B196" s="74" t="s">
        <v>254</v>
      </c>
      <c r="C196" s="73">
        <v>44.970096599999998</v>
      </c>
      <c r="D196" s="73">
        <v>65.316153999999997</v>
      </c>
    </row>
    <row r="197" spans="1:4">
      <c r="A197" s="71">
        <v>41501</v>
      </c>
      <c r="B197" s="74" t="s">
        <v>256</v>
      </c>
      <c r="C197" s="73">
        <v>23.274161700000001</v>
      </c>
      <c r="D197" s="73">
        <v>58.992805799999999</v>
      </c>
    </row>
    <row r="198" spans="1:4">
      <c r="A198" s="71">
        <v>41502</v>
      </c>
      <c r="B198" s="74" t="s">
        <v>257</v>
      </c>
      <c r="C198" s="73">
        <v>10.2874433</v>
      </c>
      <c r="D198" s="73">
        <v>67.873723299999995</v>
      </c>
    </row>
    <row r="199" spans="1:4">
      <c r="A199" s="71">
        <v>41503</v>
      </c>
      <c r="B199" s="74" t="s">
        <v>221</v>
      </c>
      <c r="C199" s="73">
        <v>12.171837699999999</v>
      </c>
      <c r="D199" s="73">
        <v>50.312779300000003</v>
      </c>
    </row>
    <row r="200" spans="1:4">
      <c r="A200" s="71">
        <v>41601</v>
      </c>
      <c r="B200" s="74" t="s">
        <v>259</v>
      </c>
      <c r="C200" s="73">
        <v>15.791406500000001</v>
      </c>
      <c r="D200" s="73">
        <v>35.890135700000002</v>
      </c>
    </row>
    <row r="201" spans="1:4">
      <c r="A201" s="71">
        <v>50101</v>
      </c>
      <c r="B201" s="74" t="s">
        <v>260</v>
      </c>
      <c r="C201" s="73">
        <v>93.983671099999995</v>
      </c>
      <c r="D201" s="73">
        <v>95.475544400000004</v>
      </c>
    </row>
    <row r="202" spans="1:4">
      <c r="A202" s="71">
        <v>50102</v>
      </c>
      <c r="B202" s="74" t="s">
        <v>262</v>
      </c>
      <c r="C202" s="73">
        <v>7.7852497999999999</v>
      </c>
      <c r="D202" s="73">
        <v>14.247050700000001</v>
      </c>
    </row>
    <row r="203" spans="1:4">
      <c r="A203" s="71">
        <v>50103</v>
      </c>
      <c r="B203" s="74" t="s">
        <v>263</v>
      </c>
      <c r="C203" s="73">
        <v>46.279388300000001</v>
      </c>
      <c r="D203" s="73">
        <v>64.256198299999994</v>
      </c>
    </row>
    <row r="204" spans="1:4">
      <c r="A204" s="71">
        <v>50104</v>
      </c>
      <c r="B204" s="74" t="s">
        <v>264</v>
      </c>
      <c r="C204" s="73">
        <v>16.709137200000001</v>
      </c>
      <c r="D204" s="73">
        <v>32.561132600000001</v>
      </c>
    </row>
    <row r="205" spans="1:4">
      <c r="A205" s="71">
        <v>50201</v>
      </c>
      <c r="B205" s="74" t="s">
        <v>266</v>
      </c>
      <c r="C205" s="73">
        <v>61.3391029</v>
      </c>
      <c r="D205" s="73">
        <v>71.314270100000002</v>
      </c>
    </row>
    <row r="206" spans="1:4">
      <c r="A206" s="71">
        <v>50202</v>
      </c>
      <c r="B206" s="74" t="s">
        <v>267</v>
      </c>
      <c r="C206" s="73">
        <v>43.000315200000003</v>
      </c>
      <c r="D206" s="73">
        <v>58.339220300000001</v>
      </c>
    </row>
    <row r="207" spans="1:4">
      <c r="A207" s="71">
        <v>50203</v>
      </c>
      <c r="B207" s="74" t="s">
        <v>268</v>
      </c>
      <c r="C207" s="73">
        <v>87.3459182</v>
      </c>
      <c r="D207" s="73">
        <v>92.004823200000004</v>
      </c>
    </row>
    <row r="208" spans="1:4">
      <c r="A208" s="71">
        <v>50204</v>
      </c>
      <c r="B208" s="74" t="s">
        <v>269</v>
      </c>
      <c r="C208" s="73">
        <v>38.973191700000001</v>
      </c>
      <c r="D208" s="73">
        <v>58.259911899999999</v>
      </c>
    </row>
    <row r="209" spans="1:4">
      <c r="A209" s="71">
        <v>50301</v>
      </c>
      <c r="B209" s="74" t="s">
        <v>271</v>
      </c>
      <c r="C209" s="73">
        <v>37.672436900000001</v>
      </c>
      <c r="D209" s="73">
        <v>53.517961700000001</v>
      </c>
    </row>
    <row r="210" spans="1:4">
      <c r="A210" s="71">
        <v>50302</v>
      </c>
      <c r="B210" s="74" t="s">
        <v>272</v>
      </c>
      <c r="C210" s="73">
        <v>24.626101200000001</v>
      </c>
      <c r="D210" s="73">
        <v>44.530992900000001</v>
      </c>
    </row>
    <row r="211" spans="1:4">
      <c r="A211" s="71">
        <v>50303</v>
      </c>
      <c r="B211" s="74" t="s">
        <v>273</v>
      </c>
      <c r="C211" s="73">
        <v>8.7653157000000004</v>
      </c>
      <c r="D211" s="73">
        <v>13.599776</v>
      </c>
    </row>
    <row r="212" spans="1:4">
      <c r="A212" s="71">
        <v>50401</v>
      </c>
      <c r="B212" s="74" t="s">
        <v>274</v>
      </c>
      <c r="C212" s="73">
        <v>33.180061299999998</v>
      </c>
      <c r="D212" s="73">
        <v>40.527638199999998</v>
      </c>
    </row>
    <row r="213" spans="1:4">
      <c r="A213" s="71">
        <v>50402</v>
      </c>
      <c r="B213" s="74" t="s">
        <v>275</v>
      </c>
      <c r="C213" s="73">
        <v>10.256654899999999</v>
      </c>
      <c r="D213" s="73">
        <v>13.4553476</v>
      </c>
    </row>
    <row r="214" spans="1:4">
      <c r="A214" s="71">
        <v>50403</v>
      </c>
      <c r="B214" s="74" t="s">
        <v>276</v>
      </c>
      <c r="C214" s="73">
        <v>14.272584500000001</v>
      </c>
      <c r="D214" s="73">
        <v>25.8000802</v>
      </c>
    </row>
    <row r="215" spans="1:4">
      <c r="A215" s="71">
        <v>50404</v>
      </c>
      <c r="B215" s="74" t="s">
        <v>277</v>
      </c>
      <c r="C215" s="73">
        <v>13.158223899999999</v>
      </c>
      <c r="D215" s="73">
        <v>16.2096494</v>
      </c>
    </row>
    <row r="216" spans="1:4">
      <c r="A216" s="71">
        <v>50405</v>
      </c>
      <c r="B216" s="74" t="s">
        <v>278</v>
      </c>
      <c r="C216" s="73">
        <v>15.6866714</v>
      </c>
      <c r="D216" s="73">
        <v>34.0815348</v>
      </c>
    </row>
    <row r="217" spans="1:4">
      <c r="A217" s="71">
        <v>50501</v>
      </c>
      <c r="B217" s="74" t="s">
        <v>280</v>
      </c>
      <c r="C217" s="73">
        <v>10.906401300000001</v>
      </c>
      <c r="D217" s="73">
        <v>17.046742200000001</v>
      </c>
    </row>
    <row r="218" spans="1:4">
      <c r="A218" s="71">
        <v>50502</v>
      </c>
      <c r="B218" s="74" t="s">
        <v>281</v>
      </c>
      <c r="C218" s="73">
        <v>14.6202117</v>
      </c>
      <c r="D218" s="73">
        <v>28.506444299999998</v>
      </c>
    </row>
    <row r="219" spans="1:4">
      <c r="A219" s="71">
        <v>50601</v>
      </c>
      <c r="B219" s="74" t="s">
        <v>283</v>
      </c>
      <c r="C219" s="73">
        <v>33.7359407</v>
      </c>
      <c r="D219" s="73">
        <v>40.870767100000002</v>
      </c>
    </row>
    <row r="220" spans="1:4">
      <c r="A220" s="71">
        <v>50602</v>
      </c>
      <c r="B220" s="74" t="s">
        <v>284</v>
      </c>
      <c r="C220" s="73">
        <v>17.242696200000001</v>
      </c>
      <c r="D220" s="73">
        <v>30.4248333</v>
      </c>
    </row>
    <row r="221" spans="1:4">
      <c r="A221" s="71">
        <v>50701</v>
      </c>
      <c r="B221" s="74" t="s">
        <v>286</v>
      </c>
      <c r="C221" s="73">
        <v>15.967908899999999</v>
      </c>
      <c r="D221" s="73">
        <v>30.045052999999999</v>
      </c>
    </row>
    <row r="222" spans="1:4">
      <c r="A222" s="71">
        <v>50702</v>
      </c>
      <c r="B222" s="74" t="s">
        <v>287</v>
      </c>
      <c r="C222" s="73">
        <v>12.0787493</v>
      </c>
      <c r="D222" s="73">
        <v>18.779790299999998</v>
      </c>
    </row>
    <row r="223" spans="1:4">
      <c r="A223" s="71">
        <v>50801</v>
      </c>
      <c r="B223" s="74" t="s">
        <v>289</v>
      </c>
      <c r="C223" s="73">
        <v>73.499102899999997</v>
      </c>
      <c r="D223" s="73">
        <v>82.886042700000004</v>
      </c>
    </row>
    <row r="224" spans="1:4">
      <c r="A224" s="71">
        <v>50802</v>
      </c>
      <c r="B224" s="74" t="s">
        <v>290</v>
      </c>
      <c r="C224" s="73">
        <v>94.578923099999997</v>
      </c>
      <c r="D224" s="73">
        <v>95.812413199999995</v>
      </c>
    </row>
    <row r="225" spans="1:4">
      <c r="A225" s="71">
        <v>50901</v>
      </c>
      <c r="B225" s="74" t="s">
        <v>292</v>
      </c>
      <c r="C225" s="73">
        <v>50.777014800000003</v>
      </c>
      <c r="D225" s="73">
        <v>82.450027500000004</v>
      </c>
    </row>
    <row r="226" spans="1:4">
      <c r="A226" s="71">
        <v>50902</v>
      </c>
      <c r="B226" s="74" t="s">
        <v>293</v>
      </c>
      <c r="C226" s="73">
        <v>40.3015075</v>
      </c>
      <c r="D226" s="73">
        <v>75.616255800000005</v>
      </c>
    </row>
    <row r="227" spans="1:4">
      <c r="A227" s="71">
        <v>51001</v>
      </c>
      <c r="B227" s="74" t="s">
        <v>295</v>
      </c>
      <c r="C227" s="73">
        <v>21.1792613</v>
      </c>
      <c r="D227" s="73">
        <v>47.764298099999998</v>
      </c>
    </row>
    <row r="228" spans="1:4">
      <c r="A228" s="71">
        <v>51002</v>
      </c>
      <c r="B228" s="74" t="s">
        <v>296</v>
      </c>
      <c r="C228" s="73">
        <v>5.7021277000000001</v>
      </c>
      <c r="D228" s="73">
        <v>31.4583333</v>
      </c>
    </row>
    <row r="229" spans="1:4">
      <c r="A229" s="71">
        <v>51003</v>
      </c>
      <c r="B229" s="74" t="s">
        <v>297</v>
      </c>
      <c r="C229" s="73">
        <v>26.221425400000001</v>
      </c>
      <c r="D229" s="73">
        <v>44.759358300000002</v>
      </c>
    </row>
    <row r="230" spans="1:4">
      <c r="A230" s="71">
        <v>51101</v>
      </c>
      <c r="B230" s="74" t="s">
        <v>299</v>
      </c>
      <c r="C230" s="73">
        <v>28.604329799999999</v>
      </c>
      <c r="D230" s="73">
        <v>46.799035099999998</v>
      </c>
    </row>
    <row r="231" spans="1:4">
      <c r="A231" s="71">
        <v>51102</v>
      </c>
      <c r="B231" s="74" t="s">
        <v>300</v>
      </c>
      <c r="C231" s="73">
        <v>45.104237900000001</v>
      </c>
      <c r="D231" s="73">
        <v>66.820901500000005</v>
      </c>
    </row>
    <row r="232" spans="1:4">
      <c r="A232" s="71">
        <v>51103</v>
      </c>
      <c r="B232" s="74" t="s">
        <v>301</v>
      </c>
      <c r="C232" s="73">
        <v>12.0768936</v>
      </c>
      <c r="D232" s="73">
        <v>17.8636555</v>
      </c>
    </row>
    <row r="233" spans="1:4">
      <c r="A233" s="71">
        <v>51201</v>
      </c>
      <c r="B233" s="74" t="s">
        <v>303</v>
      </c>
      <c r="C233" s="73">
        <v>78.659971200000001</v>
      </c>
      <c r="D233" s="73">
        <v>92.5471754</v>
      </c>
    </row>
    <row r="234" spans="1:4">
      <c r="A234" s="71">
        <v>51202</v>
      </c>
      <c r="B234" s="74" t="s">
        <v>304</v>
      </c>
      <c r="C234" s="73">
        <v>30.3159104</v>
      </c>
      <c r="D234" s="73">
        <v>56.038149199999999</v>
      </c>
    </row>
    <row r="235" spans="1:4">
      <c r="A235" s="71">
        <v>51203</v>
      </c>
      <c r="B235" s="74" t="s">
        <v>305</v>
      </c>
      <c r="C235" s="73">
        <v>79.135338300000001</v>
      </c>
      <c r="D235" s="73">
        <v>86.006563799999995</v>
      </c>
    </row>
    <row r="236" spans="1:4">
      <c r="A236" s="71">
        <v>51204</v>
      </c>
      <c r="B236" s="74" t="s">
        <v>306</v>
      </c>
      <c r="C236" s="73">
        <v>32.535066700000002</v>
      </c>
      <c r="D236" s="73">
        <v>48.505505999999997</v>
      </c>
    </row>
    <row r="237" spans="1:4">
      <c r="A237" s="71">
        <v>51301</v>
      </c>
      <c r="B237" s="74" t="s">
        <v>308</v>
      </c>
      <c r="C237" s="73">
        <v>11.468225</v>
      </c>
      <c r="D237" s="73">
        <v>16.730558599999998</v>
      </c>
    </row>
    <row r="238" spans="1:4">
      <c r="A238" s="71">
        <v>51302</v>
      </c>
      <c r="B238" s="74" t="s">
        <v>309</v>
      </c>
      <c r="C238" s="73">
        <v>17.920499299999999</v>
      </c>
      <c r="D238" s="73">
        <v>24.583808399999999</v>
      </c>
    </row>
    <row r="239" spans="1:4">
      <c r="A239" s="71">
        <v>51401</v>
      </c>
      <c r="B239" s="74" t="s">
        <v>311</v>
      </c>
      <c r="C239" s="73">
        <v>34.045226100000001</v>
      </c>
      <c r="D239" s="73">
        <v>75.891972199999998</v>
      </c>
    </row>
    <row r="240" spans="1:4">
      <c r="A240" s="71">
        <v>51402</v>
      </c>
      <c r="B240" s="74" t="s">
        <v>312</v>
      </c>
      <c r="C240" s="73">
        <v>48.137019199999997</v>
      </c>
      <c r="D240" s="73">
        <v>76.128188399999999</v>
      </c>
    </row>
    <row r="241" spans="1:4">
      <c r="A241" s="71">
        <v>51501</v>
      </c>
      <c r="B241" s="74" t="s">
        <v>314</v>
      </c>
      <c r="C241" s="73">
        <v>83.6893472</v>
      </c>
      <c r="D241" s="73">
        <v>91.439656299999996</v>
      </c>
    </row>
    <row r="242" spans="1:4">
      <c r="A242" s="71">
        <v>51601</v>
      </c>
      <c r="B242" s="74" t="s">
        <v>316</v>
      </c>
      <c r="C242" s="73">
        <v>11.442483299999999</v>
      </c>
      <c r="D242" s="73">
        <v>65.600393699999998</v>
      </c>
    </row>
    <row r="243" spans="1:4">
      <c r="A243" s="71">
        <v>60101</v>
      </c>
      <c r="B243" s="74" t="s">
        <v>317</v>
      </c>
      <c r="C243" s="73">
        <v>91.996834000000007</v>
      </c>
      <c r="D243" s="73">
        <v>95.906525999999999</v>
      </c>
    </row>
    <row r="244" spans="1:4">
      <c r="A244" s="71">
        <v>60201</v>
      </c>
      <c r="B244" s="74" t="s">
        <v>319</v>
      </c>
      <c r="C244" s="73">
        <v>32.106654900000002</v>
      </c>
      <c r="D244" s="73">
        <v>55.667635500000003</v>
      </c>
    </row>
    <row r="245" spans="1:4">
      <c r="A245" s="71">
        <v>60202</v>
      </c>
      <c r="B245" s="74" t="s">
        <v>320</v>
      </c>
      <c r="C245" s="73">
        <v>91.343146300000001</v>
      </c>
      <c r="D245" s="73">
        <v>97.120616100000007</v>
      </c>
    </row>
    <row r="246" spans="1:4">
      <c r="A246" s="71">
        <v>60301</v>
      </c>
      <c r="B246" s="74" t="s">
        <v>322</v>
      </c>
      <c r="C246" s="73">
        <v>83.555570900000006</v>
      </c>
      <c r="D246" s="73">
        <v>90.807888000000005</v>
      </c>
    </row>
    <row r="247" spans="1:4">
      <c r="A247" s="71">
        <v>60302</v>
      </c>
      <c r="B247" s="74" t="s">
        <v>323</v>
      </c>
      <c r="C247" s="73">
        <v>47.571845699999997</v>
      </c>
      <c r="D247" s="73">
        <v>78.991262899999995</v>
      </c>
    </row>
    <row r="248" spans="1:4">
      <c r="A248" s="71">
        <v>60303</v>
      </c>
      <c r="B248" s="74" t="s">
        <v>324</v>
      </c>
      <c r="C248" s="73">
        <v>75.980799700000006</v>
      </c>
      <c r="D248" s="73">
        <v>80.875711300000006</v>
      </c>
    </row>
    <row r="249" spans="1:4">
      <c r="A249" s="71">
        <v>60401</v>
      </c>
      <c r="B249" s="74" t="s">
        <v>326</v>
      </c>
      <c r="C249" s="73">
        <v>47.274611399999998</v>
      </c>
      <c r="D249" s="73">
        <v>68.970969600000004</v>
      </c>
    </row>
    <row r="250" spans="1:4">
      <c r="A250" s="71">
        <v>60402</v>
      </c>
      <c r="B250" s="74" t="s">
        <v>327</v>
      </c>
      <c r="C250" s="73">
        <v>22.329348199999998</v>
      </c>
      <c r="D250" s="73">
        <v>43.848112</v>
      </c>
    </row>
    <row r="251" spans="1:4">
      <c r="A251" s="71">
        <v>60501</v>
      </c>
      <c r="B251" s="74" t="s">
        <v>329</v>
      </c>
      <c r="C251" s="73">
        <v>57.6913111</v>
      </c>
      <c r="D251" s="73">
        <v>81.572742700000006</v>
      </c>
    </row>
    <row r="252" spans="1:4">
      <c r="A252" s="71">
        <v>60502</v>
      </c>
      <c r="B252" s="74" t="s">
        <v>330</v>
      </c>
      <c r="C252" s="73">
        <v>44.668508299999999</v>
      </c>
      <c r="D252" s="73">
        <v>68.600937000000002</v>
      </c>
    </row>
    <row r="253" spans="1:4">
      <c r="A253" s="71">
        <v>60601</v>
      </c>
      <c r="B253" s="74" t="s">
        <v>201</v>
      </c>
      <c r="C253" s="73">
        <v>35.8735225</v>
      </c>
      <c r="D253" s="73">
        <v>49.448610500000001</v>
      </c>
    </row>
    <row r="254" spans="1:4">
      <c r="A254" s="71">
        <v>70101</v>
      </c>
      <c r="B254" s="74" t="s">
        <v>334</v>
      </c>
      <c r="C254" s="73">
        <v>98.738446199999998</v>
      </c>
      <c r="D254" s="73">
        <v>99.380803999999998</v>
      </c>
    </row>
    <row r="255" spans="1:4">
      <c r="A255" s="71">
        <v>70102</v>
      </c>
      <c r="B255" s="74" t="s">
        <v>335</v>
      </c>
      <c r="C255" s="73">
        <v>86.5024576</v>
      </c>
      <c r="D255" s="73">
        <v>95.964885600000002</v>
      </c>
    </row>
    <row r="256" spans="1:4">
      <c r="A256" s="71">
        <v>70103</v>
      </c>
      <c r="B256" s="74" t="s">
        <v>336</v>
      </c>
      <c r="C256" s="73">
        <v>56.366030299999998</v>
      </c>
      <c r="D256" s="73">
        <v>86.911363399999999</v>
      </c>
    </row>
    <row r="257" spans="1:4">
      <c r="A257" s="71">
        <v>70104</v>
      </c>
      <c r="B257" s="74" t="s">
        <v>337</v>
      </c>
      <c r="C257" s="73">
        <v>94.599769800000004</v>
      </c>
      <c r="D257" s="73">
        <v>98.384916700000005</v>
      </c>
    </row>
    <row r="258" spans="1:4">
      <c r="A258" s="71">
        <v>70105</v>
      </c>
      <c r="B258" s="74" t="s">
        <v>338</v>
      </c>
      <c r="C258" s="73">
        <v>73.912508500000001</v>
      </c>
      <c r="D258" s="73">
        <v>87.729330500000003</v>
      </c>
    </row>
    <row r="259" spans="1:4">
      <c r="A259" s="71">
        <v>70201</v>
      </c>
      <c r="B259" s="74" t="s">
        <v>339</v>
      </c>
      <c r="C259" s="73">
        <v>92.2321448</v>
      </c>
      <c r="D259" s="73">
        <v>97.481650400000007</v>
      </c>
    </row>
    <row r="260" spans="1:4">
      <c r="A260" s="71">
        <v>70202</v>
      </c>
      <c r="B260" s="74" t="s">
        <v>340</v>
      </c>
      <c r="C260" s="73">
        <v>83.544618400000004</v>
      </c>
      <c r="D260" s="73">
        <v>94.505814000000001</v>
      </c>
    </row>
    <row r="261" spans="1:4">
      <c r="A261" s="71">
        <v>70301</v>
      </c>
      <c r="B261" s="74" t="s">
        <v>342</v>
      </c>
      <c r="C261" s="73">
        <v>37.716726000000001</v>
      </c>
      <c r="D261" s="73">
        <v>61.235825400000003</v>
      </c>
    </row>
    <row r="262" spans="1:4">
      <c r="A262" s="71">
        <v>70302</v>
      </c>
      <c r="B262" s="74" t="s">
        <v>343</v>
      </c>
      <c r="C262" s="73">
        <v>26.051548199999999</v>
      </c>
      <c r="D262" s="73">
        <v>46.1706638</v>
      </c>
    </row>
    <row r="263" spans="1:4">
      <c r="A263" s="71">
        <v>70303</v>
      </c>
      <c r="B263" s="74" t="s">
        <v>344</v>
      </c>
      <c r="C263" s="73">
        <v>38.244737800000003</v>
      </c>
      <c r="D263" s="73">
        <v>51.214975000000003</v>
      </c>
    </row>
    <row r="264" spans="1:4">
      <c r="A264" s="71">
        <v>70401</v>
      </c>
      <c r="B264" s="74" t="s">
        <v>346</v>
      </c>
      <c r="C264" s="73">
        <v>57.245796599999998</v>
      </c>
      <c r="D264" s="73">
        <v>80.269058299999998</v>
      </c>
    </row>
    <row r="265" spans="1:4">
      <c r="A265" s="71">
        <v>70402</v>
      </c>
      <c r="B265" s="74" t="s">
        <v>347</v>
      </c>
      <c r="C265" s="73">
        <v>72.243210099999999</v>
      </c>
      <c r="D265" s="73">
        <v>89.481043299999996</v>
      </c>
    </row>
    <row r="266" spans="1:4">
      <c r="A266" s="71">
        <v>70403</v>
      </c>
      <c r="B266" s="74" t="s">
        <v>348</v>
      </c>
      <c r="C266" s="73">
        <v>66.911238699999998</v>
      </c>
      <c r="D266" s="73">
        <v>81.257787699999994</v>
      </c>
    </row>
    <row r="267" spans="1:4">
      <c r="A267" s="71">
        <v>70404</v>
      </c>
      <c r="B267" s="74" t="s">
        <v>349</v>
      </c>
      <c r="C267" s="73">
        <v>76.133976000000004</v>
      </c>
      <c r="D267" s="73">
        <v>88.787548299999997</v>
      </c>
    </row>
    <row r="268" spans="1:4">
      <c r="A268" s="71">
        <v>70501</v>
      </c>
      <c r="B268" s="74" t="s">
        <v>351</v>
      </c>
      <c r="C268" s="73">
        <v>78.038909099999998</v>
      </c>
      <c r="D268" s="73">
        <v>77.649023099999994</v>
      </c>
    </row>
    <row r="269" spans="1:4">
      <c r="A269" s="71">
        <v>70502</v>
      </c>
      <c r="B269" s="74" t="s">
        <v>352</v>
      </c>
      <c r="C269" s="73">
        <v>89.271786899999995</v>
      </c>
      <c r="D269" s="73">
        <v>90.506775399999995</v>
      </c>
    </row>
    <row r="270" spans="1:4">
      <c r="A270" s="71">
        <v>70503</v>
      </c>
      <c r="B270" s="74" t="s">
        <v>353</v>
      </c>
      <c r="C270" s="73">
        <v>59.4980853</v>
      </c>
      <c r="D270" s="73">
        <v>80.722960299999997</v>
      </c>
    </row>
    <row r="271" spans="1:4">
      <c r="A271" s="71">
        <v>70601</v>
      </c>
      <c r="B271" s="74" t="s">
        <v>355</v>
      </c>
      <c r="C271" s="73">
        <v>82.705814599999997</v>
      </c>
      <c r="D271" s="73">
        <v>93.941329699999997</v>
      </c>
    </row>
    <row r="272" spans="1:4">
      <c r="A272" s="71">
        <v>70602</v>
      </c>
      <c r="B272" s="74" t="s">
        <v>356</v>
      </c>
      <c r="C272" s="73">
        <v>40.050831299999999</v>
      </c>
      <c r="D272" s="73">
        <v>74.9672719</v>
      </c>
    </row>
    <row r="273" spans="1:4">
      <c r="A273" s="71">
        <v>70603</v>
      </c>
      <c r="B273" s="74" t="s">
        <v>357</v>
      </c>
      <c r="C273" s="73">
        <v>84.550797599999996</v>
      </c>
      <c r="D273" s="73">
        <v>92.942765499999993</v>
      </c>
    </row>
    <row r="274" spans="1:4">
      <c r="A274" s="71">
        <v>70701</v>
      </c>
      <c r="B274" s="74" t="s">
        <v>359</v>
      </c>
      <c r="C274" s="73">
        <v>23.888559600000001</v>
      </c>
      <c r="D274" s="73">
        <v>41.969273700000002</v>
      </c>
    </row>
    <row r="275" spans="1:4">
      <c r="A275" s="71">
        <v>70702</v>
      </c>
      <c r="B275" s="74" t="s">
        <v>360</v>
      </c>
      <c r="C275" s="73">
        <v>42.799857699999997</v>
      </c>
      <c r="D275" s="73">
        <v>50.523803200000003</v>
      </c>
    </row>
    <row r="276" spans="1:4">
      <c r="A276" s="71">
        <v>70703</v>
      </c>
      <c r="B276" s="74" t="s">
        <v>361</v>
      </c>
      <c r="C276" s="73">
        <v>66.320266399999994</v>
      </c>
      <c r="D276" s="73">
        <v>82.451076799999996</v>
      </c>
    </row>
    <row r="277" spans="1:4">
      <c r="A277" s="71">
        <v>70704</v>
      </c>
      <c r="B277" s="74" t="s">
        <v>362</v>
      </c>
      <c r="C277" s="73">
        <v>44.236825500000002</v>
      </c>
      <c r="D277" s="73">
        <v>57.440834299999999</v>
      </c>
    </row>
    <row r="278" spans="1:4">
      <c r="A278" s="71">
        <v>70705</v>
      </c>
      <c r="B278" s="74" t="s">
        <v>363</v>
      </c>
      <c r="C278" s="73">
        <v>13.8288896</v>
      </c>
      <c r="D278" s="73">
        <v>30.182819200000001</v>
      </c>
    </row>
    <row r="279" spans="1:4">
      <c r="A279" s="71">
        <v>70706</v>
      </c>
      <c r="B279" s="74" t="s">
        <v>364</v>
      </c>
      <c r="C279" s="73">
        <v>88.309258700000001</v>
      </c>
      <c r="D279" s="73">
        <v>89.061052399999994</v>
      </c>
    </row>
    <row r="280" spans="1:4">
      <c r="A280" s="71">
        <v>70707</v>
      </c>
      <c r="B280" s="74" t="s">
        <v>365</v>
      </c>
      <c r="C280" s="73">
        <v>48.884339799999999</v>
      </c>
      <c r="D280" s="73">
        <v>79.199237400000001</v>
      </c>
    </row>
    <row r="281" spans="1:4">
      <c r="A281" s="71">
        <v>70801</v>
      </c>
      <c r="B281" s="74" t="s">
        <v>367</v>
      </c>
      <c r="C281" s="73">
        <v>64.906925200000003</v>
      </c>
      <c r="D281" s="73">
        <v>75.824964100000003</v>
      </c>
    </row>
    <row r="282" spans="1:4">
      <c r="A282" s="71">
        <v>70802</v>
      </c>
      <c r="B282" s="74" t="s">
        <v>368</v>
      </c>
      <c r="C282" s="73">
        <v>47.701983599999998</v>
      </c>
      <c r="D282" s="73">
        <v>79.276595700000001</v>
      </c>
    </row>
    <row r="283" spans="1:4">
      <c r="A283" s="71">
        <v>70803</v>
      </c>
      <c r="B283" s="74" t="s">
        <v>369</v>
      </c>
      <c r="C283" s="73">
        <v>36.1454545</v>
      </c>
      <c r="D283" s="73">
        <v>61.034231599999998</v>
      </c>
    </row>
    <row r="284" spans="1:4">
      <c r="A284" s="71">
        <v>70804</v>
      </c>
      <c r="B284" s="74" t="s">
        <v>370</v>
      </c>
      <c r="C284" s="73">
        <v>40.6539991</v>
      </c>
      <c r="D284" s="73">
        <v>58.3522727</v>
      </c>
    </row>
    <row r="285" spans="1:4">
      <c r="A285" s="71">
        <v>70805</v>
      </c>
      <c r="B285" s="74" t="s">
        <v>371</v>
      </c>
      <c r="C285" s="73">
        <v>31.591796899999999</v>
      </c>
      <c r="D285" s="73">
        <v>45.985037400000003</v>
      </c>
    </row>
    <row r="286" spans="1:4">
      <c r="A286" s="71">
        <v>70901</v>
      </c>
      <c r="B286" s="74" t="s">
        <v>373</v>
      </c>
      <c r="C286" s="73">
        <v>69.713893799999994</v>
      </c>
      <c r="D286" s="73">
        <v>83.336259900000002</v>
      </c>
    </row>
    <row r="287" spans="1:4">
      <c r="A287" s="71">
        <v>70902</v>
      </c>
      <c r="B287" s="74" t="s">
        <v>374</v>
      </c>
      <c r="C287" s="73">
        <v>73.865275800000006</v>
      </c>
      <c r="D287" s="73">
        <v>84.733305299999998</v>
      </c>
    </row>
    <row r="288" spans="1:4">
      <c r="A288" s="71">
        <v>70903</v>
      </c>
      <c r="B288" s="74" t="s">
        <v>375</v>
      </c>
      <c r="C288" s="73">
        <v>87.170456799999997</v>
      </c>
      <c r="D288" s="73">
        <v>86.714068900000001</v>
      </c>
    </row>
    <row r="289" spans="1:4">
      <c r="A289" s="71">
        <v>70904</v>
      </c>
      <c r="B289" s="74" t="s">
        <v>376</v>
      </c>
      <c r="C289" s="73">
        <v>59.6206897</v>
      </c>
      <c r="D289" s="73">
        <v>73.035185799999994</v>
      </c>
    </row>
    <row r="290" spans="1:4">
      <c r="A290" s="71">
        <v>71001</v>
      </c>
      <c r="B290" s="74" t="s">
        <v>378</v>
      </c>
      <c r="C290" s="73">
        <v>96.1872714</v>
      </c>
      <c r="D290" s="73">
        <v>98.831120799999994</v>
      </c>
    </row>
    <row r="291" spans="1:4">
      <c r="A291" s="71">
        <v>71002</v>
      </c>
      <c r="B291" s="74" t="s">
        <v>379</v>
      </c>
      <c r="C291" s="73">
        <v>71.685571899999999</v>
      </c>
      <c r="D291" s="73">
        <v>88.880738399999998</v>
      </c>
    </row>
    <row r="292" spans="1:4">
      <c r="A292" s="71">
        <v>71003</v>
      </c>
      <c r="B292" s="74" t="s">
        <v>380</v>
      </c>
      <c r="C292" s="73">
        <v>84.338726699999995</v>
      </c>
      <c r="D292" s="73">
        <v>94.461281700000001</v>
      </c>
    </row>
    <row r="293" spans="1:4">
      <c r="A293" s="71">
        <v>71004</v>
      </c>
      <c r="B293" s="74" t="s">
        <v>381</v>
      </c>
      <c r="C293" s="73">
        <v>82.959935799999997</v>
      </c>
      <c r="D293" s="73">
        <v>95.433645200000001</v>
      </c>
    </row>
    <row r="294" spans="1:4">
      <c r="A294" s="71">
        <v>71005</v>
      </c>
      <c r="B294" s="74" t="s">
        <v>280</v>
      </c>
      <c r="C294" s="73">
        <v>84.879159799999996</v>
      </c>
      <c r="D294" s="73">
        <v>96.161447199999998</v>
      </c>
    </row>
    <row r="295" spans="1:4">
      <c r="A295" s="71">
        <v>71101</v>
      </c>
      <c r="B295" s="74" t="s">
        <v>383</v>
      </c>
      <c r="C295" s="73">
        <v>38.230320200000001</v>
      </c>
      <c r="D295" s="73">
        <v>53.048489400000001</v>
      </c>
    </row>
    <row r="296" spans="1:4">
      <c r="A296" s="71">
        <v>71102</v>
      </c>
      <c r="B296" s="74" t="s">
        <v>384</v>
      </c>
      <c r="C296" s="73">
        <v>53.912256900000003</v>
      </c>
      <c r="D296" s="73">
        <v>74.466737100000003</v>
      </c>
    </row>
    <row r="297" spans="1:4">
      <c r="A297" s="71">
        <v>71103</v>
      </c>
      <c r="B297" s="74" t="s">
        <v>387</v>
      </c>
      <c r="C297" s="73">
        <v>76.651662599999995</v>
      </c>
      <c r="D297" s="73">
        <v>85.838046000000006</v>
      </c>
    </row>
    <row r="298" spans="1:4">
      <c r="A298" s="71">
        <v>71104</v>
      </c>
      <c r="B298" s="74" t="s">
        <v>385</v>
      </c>
      <c r="C298" s="73">
        <v>60.225762199999998</v>
      </c>
      <c r="D298" s="73">
        <v>88.209586200000004</v>
      </c>
    </row>
    <row r="299" spans="1:4">
      <c r="A299" s="71">
        <v>71105</v>
      </c>
      <c r="B299" s="74" t="s">
        <v>386</v>
      </c>
      <c r="C299" s="73">
        <v>14.6447409</v>
      </c>
      <c r="D299" s="73">
        <v>26.767757400000001</v>
      </c>
    </row>
    <row r="300" spans="1:4">
      <c r="A300" s="71">
        <v>71106</v>
      </c>
      <c r="B300" s="74" t="s">
        <v>388</v>
      </c>
      <c r="C300" s="73">
        <v>86.064030099999997</v>
      </c>
      <c r="D300" s="73">
        <v>95.855946799999998</v>
      </c>
    </row>
    <row r="301" spans="1:4">
      <c r="A301" s="71">
        <v>71201</v>
      </c>
      <c r="B301" s="74" t="s">
        <v>390</v>
      </c>
      <c r="C301" s="73">
        <v>48.65</v>
      </c>
      <c r="D301" s="73">
        <v>69.821404400000006</v>
      </c>
    </row>
    <row r="302" spans="1:4">
      <c r="A302" s="71">
        <v>71301</v>
      </c>
      <c r="B302" s="74" t="s">
        <v>392</v>
      </c>
      <c r="C302" s="73">
        <v>64.778466800000004</v>
      </c>
      <c r="D302" s="73">
        <v>82.881707700000007</v>
      </c>
    </row>
    <row r="303" spans="1:4">
      <c r="A303" s="71">
        <v>71302</v>
      </c>
      <c r="B303" s="74" t="s">
        <v>393</v>
      </c>
      <c r="C303" s="73">
        <v>77.125215400000002</v>
      </c>
      <c r="D303" s="73">
        <v>89.041560599999997</v>
      </c>
    </row>
    <row r="304" spans="1:4">
      <c r="A304" s="71">
        <v>71401</v>
      </c>
      <c r="B304" s="74" t="s">
        <v>395</v>
      </c>
      <c r="C304" s="73">
        <v>78.983884200000006</v>
      </c>
      <c r="D304" s="73">
        <v>91.016182000000001</v>
      </c>
    </row>
    <row r="305" spans="1:4">
      <c r="A305" s="71">
        <v>71402</v>
      </c>
      <c r="B305" s="74" t="s">
        <v>396</v>
      </c>
      <c r="C305" s="73">
        <v>91.420480100000006</v>
      </c>
      <c r="D305" s="73">
        <v>96.840181599999994</v>
      </c>
    </row>
    <row r="306" spans="1:4">
      <c r="A306" s="71">
        <v>71403</v>
      </c>
      <c r="B306" s="74" t="s">
        <v>397</v>
      </c>
      <c r="C306" s="73">
        <v>20.052857599999999</v>
      </c>
      <c r="D306" s="73">
        <v>62.024568899999998</v>
      </c>
    </row>
    <row r="307" spans="1:4">
      <c r="A307" s="71">
        <v>71501</v>
      </c>
      <c r="B307" s="74" t="s">
        <v>399</v>
      </c>
      <c r="C307" s="73">
        <v>61.942398900000001</v>
      </c>
      <c r="D307" s="73">
        <v>70.885432199999997</v>
      </c>
    </row>
    <row r="308" spans="1:4">
      <c r="A308" s="71">
        <v>71502</v>
      </c>
      <c r="B308" s="74" t="s">
        <v>400</v>
      </c>
      <c r="C308" s="73">
        <v>35.343556499999998</v>
      </c>
      <c r="D308" s="73">
        <v>51.138326300000003</v>
      </c>
    </row>
    <row r="309" spans="1:4">
      <c r="A309" s="71">
        <v>71503</v>
      </c>
      <c r="B309" s="74" t="s">
        <v>330</v>
      </c>
      <c r="C309" s="73">
        <v>38.097303500000002</v>
      </c>
      <c r="D309" s="73">
        <v>59.531632700000003</v>
      </c>
    </row>
    <row r="310" spans="1:4">
      <c r="A310" s="71">
        <v>80101</v>
      </c>
      <c r="B310" s="74" t="s">
        <v>402</v>
      </c>
      <c r="C310" s="73">
        <v>93.926489000000004</v>
      </c>
      <c r="D310" s="73">
        <v>97.395172099999996</v>
      </c>
    </row>
    <row r="311" spans="1:4">
      <c r="A311" s="71">
        <v>80102</v>
      </c>
      <c r="B311" s="74" t="s">
        <v>384</v>
      </c>
      <c r="C311" s="73">
        <v>27.912341399999999</v>
      </c>
      <c r="D311" s="73">
        <v>46.852785300000001</v>
      </c>
    </row>
    <row r="312" spans="1:4">
      <c r="A312" s="71">
        <v>80201</v>
      </c>
      <c r="B312" s="74" t="s">
        <v>404</v>
      </c>
      <c r="C312" s="73">
        <v>69.235860299999999</v>
      </c>
      <c r="D312" s="73">
        <v>84.836502300000006</v>
      </c>
    </row>
    <row r="313" spans="1:4">
      <c r="A313" s="71">
        <v>80202</v>
      </c>
      <c r="B313" s="74" t="s">
        <v>405</v>
      </c>
      <c r="C313" s="73">
        <v>79.543282500000004</v>
      </c>
      <c r="D313" s="73">
        <v>86.706728400000003</v>
      </c>
    </row>
    <row r="314" spans="1:4">
      <c r="A314" s="71">
        <v>80301</v>
      </c>
      <c r="B314" s="74" t="s">
        <v>407</v>
      </c>
      <c r="C314" s="73">
        <v>38.116766699999999</v>
      </c>
      <c r="D314" s="73">
        <v>56.718288399999999</v>
      </c>
    </row>
    <row r="315" spans="1:4">
      <c r="A315" s="71">
        <v>80302</v>
      </c>
      <c r="B315" s="74" t="s">
        <v>408</v>
      </c>
      <c r="C315" s="73">
        <v>45.8188241</v>
      </c>
      <c r="D315" s="73">
        <v>50.330359700000002</v>
      </c>
    </row>
    <row r="316" spans="1:4">
      <c r="A316" s="71">
        <v>80303</v>
      </c>
      <c r="B316" s="74" t="s">
        <v>356</v>
      </c>
      <c r="C316" s="73">
        <v>42.945652199999998</v>
      </c>
      <c r="D316" s="73">
        <v>65.853207600000005</v>
      </c>
    </row>
    <row r="317" spans="1:4">
      <c r="A317" s="71">
        <v>80304</v>
      </c>
      <c r="B317" s="74" t="s">
        <v>409</v>
      </c>
      <c r="C317" s="73">
        <v>64.088151800000006</v>
      </c>
      <c r="D317" s="73">
        <v>73.111363999999995</v>
      </c>
    </row>
    <row r="318" spans="1:4">
      <c r="A318" s="71">
        <v>80401</v>
      </c>
      <c r="B318" s="74" t="s">
        <v>411</v>
      </c>
      <c r="C318" s="73">
        <v>62.1626561</v>
      </c>
      <c r="D318" s="73">
        <v>73.045000299999998</v>
      </c>
    </row>
    <row r="319" spans="1:4">
      <c r="A319" s="71">
        <v>80402</v>
      </c>
      <c r="B319" s="74" t="s">
        <v>412</v>
      </c>
      <c r="C319" s="73">
        <v>9.3629827999999993</v>
      </c>
      <c r="D319" s="73">
        <v>29.540170499999999</v>
      </c>
    </row>
    <row r="320" spans="1:4">
      <c r="A320" s="71">
        <v>80501</v>
      </c>
      <c r="B320" s="74" t="s">
        <v>342</v>
      </c>
      <c r="C320" s="73">
        <v>38.3064733</v>
      </c>
      <c r="D320" s="73">
        <v>55.105936200000002</v>
      </c>
    </row>
    <row r="321" spans="1:4">
      <c r="A321" s="71">
        <v>80601</v>
      </c>
      <c r="B321" s="74" t="s">
        <v>415</v>
      </c>
      <c r="C321" s="73">
        <v>14.220183499999999</v>
      </c>
      <c r="D321" s="73">
        <v>36.376570999999998</v>
      </c>
    </row>
    <row r="322" spans="1:4">
      <c r="A322" s="71">
        <v>80602</v>
      </c>
      <c r="B322" s="74" t="s">
        <v>416</v>
      </c>
      <c r="C322" s="73">
        <v>28.844186799999999</v>
      </c>
      <c r="D322" s="73">
        <v>47.6655005</v>
      </c>
    </row>
    <row r="323" spans="1:4">
      <c r="A323" s="71">
        <v>80701</v>
      </c>
      <c r="B323" s="74" t="s">
        <v>418</v>
      </c>
      <c r="C323" s="73">
        <v>45.96302</v>
      </c>
      <c r="D323" s="73">
        <v>75.874858900000007</v>
      </c>
    </row>
    <row r="324" spans="1:4">
      <c r="A324" s="71">
        <v>80702</v>
      </c>
      <c r="B324" s="74" t="s">
        <v>387</v>
      </c>
      <c r="C324" s="73">
        <v>41.879251699999998</v>
      </c>
      <c r="D324" s="73">
        <v>65.570999200000003</v>
      </c>
    </row>
    <row r="325" spans="1:4">
      <c r="A325" s="71">
        <v>80703</v>
      </c>
      <c r="B325" s="74" t="s">
        <v>419</v>
      </c>
      <c r="C325" s="73">
        <v>15.745192299999999</v>
      </c>
      <c r="D325" s="73">
        <v>66.603234999999998</v>
      </c>
    </row>
    <row r="326" spans="1:4">
      <c r="A326" s="71">
        <v>80801</v>
      </c>
      <c r="B326" s="74" t="s">
        <v>421</v>
      </c>
      <c r="C326" s="73">
        <v>43.548828299999997</v>
      </c>
      <c r="D326" s="73">
        <v>65.527476899999996</v>
      </c>
    </row>
    <row r="327" spans="1:4">
      <c r="A327" s="71">
        <v>80802</v>
      </c>
      <c r="B327" s="74" t="s">
        <v>422</v>
      </c>
      <c r="C327" s="73">
        <v>36.109578999999997</v>
      </c>
      <c r="D327" s="73">
        <v>51.298701299999998</v>
      </c>
    </row>
    <row r="328" spans="1:4">
      <c r="A328" s="71">
        <v>80803</v>
      </c>
      <c r="B328" s="74" t="s">
        <v>423</v>
      </c>
      <c r="C328" s="73">
        <v>26.7637459</v>
      </c>
      <c r="D328" s="73">
        <v>58.207319699999999</v>
      </c>
    </row>
    <row r="329" spans="1:4">
      <c r="A329" s="71">
        <v>80901</v>
      </c>
      <c r="B329" s="74" t="s">
        <v>425</v>
      </c>
      <c r="C329" s="73">
        <v>1.7296605</v>
      </c>
      <c r="D329" s="73">
        <v>9.0886011999999994</v>
      </c>
    </row>
    <row r="330" spans="1:4">
      <c r="A330" s="71">
        <v>90101</v>
      </c>
      <c r="B330" s="74" t="s">
        <v>428</v>
      </c>
      <c r="C330" s="73">
        <v>94.364800099999997</v>
      </c>
      <c r="D330" s="73">
        <v>98.378473299999996</v>
      </c>
    </row>
    <row r="331" spans="1:4">
      <c r="A331" s="71">
        <v>90102</v>
      </c>
      <c r="B331" s="74" t="s">
        <v>429</v>
      </c>
      <c r="C331" s="73">
        <v>69.382059799999993</v>
      </c>
      <c r="D331" s="73">
        <v>90.686819299999996</v>
      </c>
    </row>
    <row r="332" spans="1:4">
      <c r="A332" s="71">
        <v>90103</v>
      </c>
      <c r="B332" s="74" t="s">
        <v>430</v>
      </c>
      <c r="C332" s="73">
        <v>22.481751800000001</v>
      </c>
      <c r="D332" s="73">
        <v>59.595525000000002</v>
      </c>
    </row>
    <row r="333" spans="1:4">
      <c r="A333" s="71">
        <v>90104</v>
      </c>
      <c r="B333" s="74" t="s">
        <v>431</v>
      </c>
      <c r="C333" s="73">
        <v>44.621061599999997</v>
      </c>
      <c r="D333" s="73">
        <v>74.191652000000005</v>
      </c>
    </row>
    <row r="334" spans="1:4">
      <c r="A334" s="71">
        <v>90201</v>
      </c>
      <c r="B334" s="74" t="s">
        <v>433</v>
      </c>
      <c r="C334" s="73">
        <v>48.334527199999997</v>
      </c>
      <c r="D334" s="73">
        <v>78.2007938</v>
      </c>
    </row>
    <row r="335" spans="1:4">
      <c r="A335" s="71">
        <v>90202</v>
      </c>
      <c r="B335" s="74" t="s">
        <v>280</v>
      </c>
      <c r="C335" s="73">
        <v>4.0685944999999997</v>
      </c>
      <c r="D335" s="73">
        <v>11.001540800000001</v>
      </c>
    </row>
    <row r="336" spans="1:4">
      <c r="A336" s="71">
        <v>90203</v>
      </c>
      <c r="B336" s="74" t="s">
        <v>434</v>
      </c>
      <c r="C336" s="73">
        <v>21.4857975</v>
      </c>
      <c r="D336" s="73">
        <v>78.540826600000003</v>
      </c>
    </row>
    <row r="337" spans="1:4">
      <c r="A337" s="71">
        <v>90301</v>
      </c>
      <c r="B337" s="74" t="s">
        <v>436</v>
      </c>
      <c r="C337" s="73">
        <v>14.3826503</v>
      </c>
      <c r="D337" s="73">
        <v>49.293361900000001</v>
      </c>
    </row>
    <row r="338" spans="1:4">
      <c r="A338" s="71">
        <v>90302</v>
      </c>
      <c r="B338" s="74" t="s">
        <v>329</v>
      </c>
      <c r="C338" s="73">
        <v>13.385490799999999</v>
      </c>
      <c r="D338" s="73">
        <v>56.096020199999998</v>
      </c>
    </row>
    <row r="339" spans="1:4">
      <c r="A339" s="71">
        <v>90303</v>
      </c>
      <c r="B339" s="74" t="s">
        <v>437</v>
      </c>
      <c r="C339" s="73">
        <v>15.845983</v>
      </c>
      <c r="D339" s="73">
        <v>55.838662100000001</v>
      </c>
    </row>
    <row r="340" spans="1:4">
      <c r="A340" s="71">
        <v>90401</v>
      </c>
      <c r="B340" s="74" t="s">
        <v>356</v>
      </c>
      <c r="C340" s="73">
        <v>23.9852399</v>
      </c>
      <c r="D340" s="73">
        <v>74.148936199999994</v>
      </c>
    </row>
    <row r="341" spans="1:4">
      <c r="A341" s="71">
        <v>90402</v>
      </c>
      <c r="B341" s="74" t="s">
        <v>99</v>
      </c>
      <c r="C341" s="73">
        <v>10.1003764</v>
      </c>
      <c r="D341" s="73">
        <v>48.678500999999997</v>
      </c>
    </row>
    <row r="342" spans="1:4">
      <c r="A342" s="71">
        <v>90501</v>
      </c>
      <c r="B342" s="74" t="s">
        <v>440</v>
      </c>
      <c r="C342" s="73">
        <v>20.293951400000001</v>
      </c>
      <c r="D342" s="73">
        <v>59.325270500000002</v>
      </c>
    </row>
    <row r="343" spans="1:4">
      <c r="A343" s="71">
        <v>90502</v>
      </c>
      <c r="B343" s="74" t="s">
        <v>441</v>
      </c>
      <c r="C343" s="73">
        <v>15.412315400000001</v>
      </c>
      <c r="D343" s="73">
        <v>43.237787599999997</v>
      </c>
    </row>
    <row r="344" spans="1:4">
      <c r="A344" s="71">
        <v>90503</v>
      </c>
      <c r="B344" s="74" t="s">
        <v>442</v>
      </c>
      <c r="C344" s="73">
        <v>5.2658487000000003</v>
      </c>
      <c r="D344" s="73">
        <v>42.599118900000001</v>
      </c>
    </row>
    <row r="345" spans="1:4">
      <c r="A345" s="76"/>
      <c r="B345" s="76"/>
      <c r="C345" s="76"/>
      <c r="D345" s="76"/>
    </row>
    <row r="346" spans="1:4">
      <c r="A346" s="76"/>
      <c r="B346" s="76"/>
      <c r="C346" s="76"/>
      <c r="D346" s="76"/>
    </row>
    <row r="347" spans="1:4">
      <c r="A347" s="76"/>
      <c r="B347" s="76"/>
      <c r="C347" s="76"/>
      <c r="D347" s="76"/>
    </row>
    <row r="348" spans="1:4">
      <c r="A348" s="76"/>
      <c r="B348" s="76"/>
      <c r="C348" s="76"/>
      <c r="D348" s="76"/>
    </row>
    <row r="349" spans="1:4">
      <c r="A349" s="76"/>
      <c r="B349" s="76"/>
      <c r="C349" s="76"/>
      <c r="D349" s="76"/>
    </row>
    <row r="350" spans="1:4">
      <c r="A350" s="76"/>
      <c r="B350" s="76"/>
      <c r="C350" s="76"/>
      <c r="D350" s="76"/>
    </row>
    <row r="351" spans="1:4">
      <c r="A351" s="76"/>
      <c r="B351" s="76"/>
      <c r="C351" s="76"/>
      <c r="D351" s="76"/>
    </row>
    <row r="352" spans="1:4">
      <c r="A352" s="76"/>
      <c r="B352" s="76"/>
      <c r="C352" s="76"/>
      <c r="D352" s="76"/>
    </row>
    <row r="353" spans="1:4">
      <c r="A353" s="76"/>
      <c r="B353" s="76"/>
      <c r="C353" s="76"/>
      <c r="D353" s="76"/>
    </row>
    <row r="354" spans="1:4">
      <c r="A354" s="76"/>
      <c r="B354" s="76"/>
      <c r="C354" s="76"/>
      <c r="D354" s="76"/>
    </row>
    <row r="355" spans="1:4">
      <c r="A355" s="76"/>
      <c r="B355" s="76"/>
      <c r="C355" s="76"/>
      <c r="D355" s="76"/>
    </row>
    <row r="356" spans="1:4">
      <c r="A356" s="76"/>
      <c r="B356" s="76"/>
      <c r="C356" s="76"/>
      <c r="D356" s="76"/>
    </row>
    <row r="357" spans="1:4">
      <c r="A357" s="76"/>
      <c r="B357" s="76"/>
      <c r="C357" s="76"/>
      <c r="D357" s="76"/>
    </row>
    <row r="358" spans="1:4">
      <c r="A358" s="76"/>
      <c r="B358" s="76"/>
      <c r="C358" s="76"/>
      <c r="D358" s="76"/>
    </row>
    <row r="359" spans="1:4">
      <c r="A359" s="76"/>
      <c r="B359" s="76"/>
      <c r="C359" s="76"/>
      <c r="D359" s="76"/>
    </row>
    <row r="360" spans="1:4">
      <c r="A360" s="76"/>
      <c r="B360" s="76"/>
      <c r="C360" s="76"/>
      <c r="D360" s="76"/>
    </row>
    <row r="361" spans="1:4">
      <c r="A361" s="76"/>
      <c r="B361" s="76"/>
      <c r="C361" s="76"/>
      <c r="D361" s="76"/>
    </row>
    <row r="362" spans="1:4">
      <c r="A362" s="76"/>
      <c r="B362" s="76"/>
      <c r="C362" s="76"/>
      <c r="D362" s="76"/>
    </row>
    <row r="363" spans="1:4">
      <c r="A363" s="76"/>
      <c r="B363" s="76"/>
      <c r="C363" s="76"/>
      <c r="D363" s="76"/>
    </row>
    <row r="364" spans="1:4">
      <c r="A364" s="76"/>
      <c r="B364" s="76"/>
      <c r="C364" s="76"/>
      <c r="D364" s="76"/>
    </row>
    <row r="365" spans="1:4">
      <c r="A365" s="76"/>
      <c r="B365" s="76"/>
      <c r="C365" s="76"/>
      <c r="D365" s="76"/>
    </row>
    <row r="366" spans="1:4">
      <c r="A366" s="76"/>
      <c r="B366" s="76"/>
      <c r="C366" s="76"/>
      <c r="D366" s="76"/>
    </row>
    <row r="367" spans="1:4">
      <c r="A367" s="76"/>
      <c r="B367" s="76"/>
      <c r="C367" s="76"/>
      <c r="D367" s="76"/>
    </row>
    <row r="368" spans="1:4">
      <c r="A368" s="76"/>
      <c r="B368" s="76"/>
      <c r="C368" s="76"/>
      <c r="D368" s="76"/>
    </row>
    <row r="369" spans="1:4">
      <c r="A369" s="76"/>
      <c r="B369" s="76"/>
      <c r="C369" s="76"/>
      <c r="D369" s="76"/>
    </row>
    <row r="370" spans="1:4">
      <c r="A370" s="76"/>
      <c r="B370" s="76"/>
      <c r="C370" s="76"/>
      <c r="D370" s="76"/>
    </row>
    <row r="371" spans="1:4">
      <c r="A371" s="76"/>
      <c r="B371" s="76"/>
      <c r="C371" s="76"/>
      <c r="D371" s="76"/>
    </row>
    <row r="372" spans="1:4">
      <c r="A372" s="76"/>
      <c r="B372" s="76"/>
      <c r="C372" s="76"/>
      <c r="D372" s="76"/>
    </row>
    <row r="373" spans="1:4">
      <c r="A373" s="76"/>
      <c r="B373" s="76"/>
      <c r="C373" s="76"/>
      <c r="D373" s="76"/>
    </row>
    <row r="374" spans="1:4">
      <c r="A374" s="76"/>
      <c r="B374" s="76"/>
      <c r="C374" s="76"/>
      <c r="D374" s="76"/>
    </row>
    <row r="375" spans="1:4">
      <c r="A375" s="76"/>
      <c r="B375" s="76"/>
      <c r="C375" s="76"/>
      <c r="D375" s="76"/>
    </row>
    <row r="376" spans="1:4">
      <c r="A376" s="76"/>
      <c r="B376" s="76"/>
      <c r="C376" s="76"/>
      <c r="D376" s="76"/>
    </row>
    <row r="377" spans="1:4">
      <c r="A377" s="76"/>
      <c r="B377" s="76"/>
      <c r="C377" s="76"/>
      <c r="D377" s="76"/>
    </row>
    <row r="378" spans="1:4">
      <c r="A378" s="76"/>
      <c r="B378" s="76"/>
      <c r="C378" s="76"/>
      <c r="D378" s="76"/>
    </row>
    <row r="379" spans="1:4">
      <c r="A379" s="76"/>
      <c r="B379" s="76"/>
      <c r="C379" s="76"/>
      <c r="D379" s="76"/>
    </row>
    <row r="380" spans="1:4">
      <c r="A380" s="76"/>
      <c r="B380" s="76"/>
      <c r="C380" s="76"/>
      <c r="D380" s="76"/>
    </row>
    <row r="381" spans="1:4">
      <c r="A381" s="76"/>
      <c r="B381" s="76"/>
      <c r="C381" s="76"/>
      <c r="D381" s="76"/>
    </row>
    <row r="382" spans="1:4">
      <c r="A382" s="76"/>
      <c r="B382" s="76"/>
      <c r="C382" s="76"/>
      <c r="D382" s="76"/>
    </row>
    <row r="383" spans="1:4">
      <c r="A383" s="76"/>
      <c r="B383" s="76"/>
      <c r="C383" s="76"/>
      <c r="D383" s="76"/>
    </row>
    <row r="384" spans="1:4">
      <c r="A384" s="76"/>
      <c r="B384" s="76"/>
      <c r="C384" s="76"/>
      <c r="D384" s="76"/>
    </row>
    <row r="385" spans="1:4">
      <c r="A385" s="76"/>
      <c r="B385" s="76"/>
      <c r="C385" s="76"/>
      <c r="D385" s="76"/>
    </row>
    <row r="386" spans="1:4">
      <c r="A386" s="76"/>
      <c r="B386" s="76"/>
      <c r="C386" s="76"/>
      <c r="D386" s="76"/>
    </row>
    <row r="387" spans="1:4">
      <c r="A387" s="76"/>
      <c r="B387" s="76"/>
      <c r="C387" s="76"/>
      <c r="D387" s="76"/>
    </row>
    <row r="388" spans="1:4">
      <c r="A388" s="76"/>
      <c r="B388" s="76"/>
      <c r="C388" s="76"/>
      <c r="D388" s="76"/>
    </row>
    <row r="389" spans="1:4">
      <c r="A389" s="76"/>
      <c r="B389" s="76"/>
      <c r="C389" s="76"/>
      <c r="D389" s="76"/>
    </row>
    <row r="390" spans="1:4">
      <c r="A390" s="76"/>
      <c r="B390" s="76"/>
      <c r="C390" s="76"/>
      <c r="D390" s="76"/>
    </row>
    <row r="391" spans="1:4">
      <c r="A391" s="76"/>
      <c r="B391" s="76"/>
      <c r="C391" s="76"/>
      <c r="D391" s="76"/>
    </row>
    <row r="392" spans="1:4">
      <c r="A392" s="76"/>
      <c r="B392" s="76"/>
      <c r="C392" s="76"/>
      <c r="D392" s="76"/>
    </row>
    <row r="393" spans="1:4">
      <c r="A393" s="76"/>
      <c r="B393" s="76"/>
      <c r="C393" s="76"/>
      <c r="D393" s="76"/>
    </row>
    <row r="394" spans="1:4">
      <c r="A394" s="76"/>
      <c r="B394" s="76"/>
      <c r="C394" s="76"/>
      <c r="D394" s="76"/>
    </row>
    <row r="395" spans="1:4">
      <c r="A395" s="76"/>
      <c r="B395" s="76"/>
      <c r="C395" s="76"/>
      <c r="D395" s="76"/>
    </row>
    <row r="396" spans="1:4">
      <c r="A396" s="76"/>
      <c r="B396" s="76"/>
      <c r="C396" s="76"/>
      <c r="D396" s="76"/>
    </row>
    <row r="397" spans="1:4">
      <c r="A397" s="76"/>
      <c r="B397" s="76"/>
      <c r="C397" s="76"/>
      <c r="D397" s="76"/>
    </row>
    <row r="398" spans="1:4">
      <c r="A398" s="76"/>
      <c r="B398" s="76"/>
      <c r="C398" s="76"/>
      <c r="D398" s="76"/>
    </row>
    <row r="399" spans="1:4">
      <c r="A399" s="76"/>
      <c r="B399" s="76"/>
      <c r="C399" s="76"/>
      <c r="D399" s="76"/>
    </row>
    <row r="400" spans="1:4">
      <c r="A400" s="76"/>
      <c r="B400" s="76"/>
      <c r="C400" s="76"/>
      <c r="D400" s="76"/>
    </row>
    <row r="401" spans="1:4">
      <c r="A401" s="76"/>
      <c r="B401" s="76"/>
      <c r="C401" s="76"/>
      <c r="D401" s="76"/>
    </row>
    <row r="402" spans="1:4">
      <c r="A402" s="76"/>
      <c r="B402" s="76"/>
      <c r="C402" s="76"/>
      <c r="D402" s="76"/>
    </row>
    <row r="403" spans="1:4">
      <c r="A403" s="76"/>
      <c r="B403" s="76"/>
      <c r="C403" s="76"/>
      <c r="D403" s="76"/>
    </row>
    <row r="404" spans="1:4">
      <c r="A404" s="76"/>
      <c r="B404" s="76"/>
      <c r="C404" s="76"/>
      <c r="D404" s="76"/>
    </row>
    <row r="405" spans="1:4">
      <c r="A405" s="76"/>
      <c r="B405" s="76"/>
      <c r="C405" s="76"/>
      <c r="D405" s="76"/>
    </row>
    <row r="406" spans="1:4">
      <c r="A406" s="76"/>
      <c r="B406" s="76"/>
      <c r="C406" s="76"/>
      <c r="D406" s="76"/>
    </row>
    <row r="407" spans="1:4">
      <c r="A407" s="76"/>
      <c r="B407" s="76"/>
      <c r="C407" s="76"/>
      <c r="D407" s="76"/>
    </row>
    <row r="408" spans="1:4">
      <c r="A408" s="76"/>
      <c r="B408" s="76"/>
      <c r="C408" s="76"/>
      <c r="D408" s="76"/>
    </row>
    <row r="409" spans="1:4">
      <c r="A409" s="76"/>
      <c r="B409" s="76"/>
      <c r="C409" s="76"/>
      <c r="D409" s="76"/>
    </row>
    <row r="410" spans="1:4">
      <c r="A410" s="76"/>
      <c r="B410" s="76"/>
      <c r="C410" s="76"/>
      <c r="D410" s="76"/>
    </row>
    <row r="411" spans="1:4">
      <c r="A411" s="76"/>
      <c r="B411" s="76"/>
      <c r="C411" s="76"/>
      <c r="D411" s="76"/>
    </row>
    <row r="412" spans="1:4">
      <c r="A412" s="76"/>
      <c r="B412" s="76"/>
      <c r="C412" s="76"/>
      <c r="D412" s="76"/>
    </row>
    <row r="413" spans="1:4">
      <c r="A413" s="76"/>
      <c r="B413" s="76"/>
      <c r="C413" s="76"/>
      <c r="D413" s="76"/>
    </row>
    <row r="414" spans="1:4">
      <c r="A414" s="76"/>
      <c r="B414" s="76"/>
      <c r="C414" s="76"/>
      <c r="D414" s="76"/>
    </row>
    <row r="415" spans="1:4">
      <c r="A415" s="76"/>
      <c r="B415" s="76"/>
      <c r="C415" s="76"/>
      <c r="D415" s="76"/>
    </row>
    <row r="416" spans="1:4">
      <c r="A416" s="76"/>
      <c r="B416" s="76"/>
      <c r="C416" s="76"/>
      <c r="D416" s="76"/>
    </row>
    <row r="417" spans="1:4">
      <c r="A417" s="76"/>
      <c r="B417" s="76"/>
      <c r="C417" s="76"/>
      <c r="D417" s="76"/>
    </row>
    <row r="418" spans="1:4">
      <c r="A418" s="76"/>
      <c r="B418" s="76"/>
      <c r="C418" s="76"/>
      <c r="D418" s="76"/>
    </row>
    <row r="419" spans="1:4">
      <c r="A419" s="76"/>
      <c r="B419" s="76"/>
      <c r="C419" s="76"/>
      <c r="D419" s="76"/>
    </row>
    <row r="420" spans="1:4">
      <c r="A420" s="76"/>
      <c r="B420" s="76"/>
      <c r="C420" s="76"/>
      <c r="D420" s="76"/>
    </row>
    <row r="421" spans="1:4">
      <c r="A421" s="76"/>
      <c r="B421" s="76"/>
      <c r="C421" s="76"/>
      <c r="D421" s="76"/>
    </row>
    <row r="422" spans="1:4">
      <c r="A422" s="76"/>
      <c r="B422" s="76"/>
      <c r="C422" s="76"/>
      <c r="D422" s="76"/>
    </row>
    <row r="423" spans="1:4">
      <c r="A423" s="76"/>
      <c r="B423" s="76"/>
      <c r="C423" s="76"/>
      <c r="D423" s="76"/>
    </row>
    <row r="424" spans="1:4">
      <c r="A424" s="76"/>
      <c r="B424" s="76"/>
      <c r="C424" s="76"/>
      <c r="D424" s="76"/>
    </row>
    <row r="425" spans="1:4">
      <c r="A425" s="76"/>
      <c r="B425" s="76"/>
      <c r="C425" s="76"/>
      <c r="D425" s="76"/>
    </row>
    <row r="426" spans="1:4">
      <c r="A426" s="76"/>
      <c r="B426" s="76"/>
      <c r="C426" s="76"/>
      <c r="D426" s="76"/>
    </row>
    <row r="427" spans="1:4">
      <c r="A427" s="76"/>
      <c r="B427" s="76"/>
      <c r="C427" s="76"/>
      <c r="D427" s="76"/>
    </row>
    <row r="428" spans="1:4">
      <c r="A428" s="76"/>
      <c r="B428" s="76"/>
      <c r="C428" s="76"/>
      <c r="D428" s="76"/>
    </row>
    <row r="429" spans="1:4">
      <c r="A429" s="76"/>
      <c r="B429" s="76"/>
      <c r="C429" s="76"/>
      <c r="D429" s="76"/>
    </row>
    <row r="430" spans="1:4">
      <c r="A430" s="76"/>
      <c r="B430" s="76"/>
      <c r="C430" s="76"/>
      <c r="D430" s="76"/>
    </row>
    <row r="431" spans="1:4">
      <c r="A431" s="76"/>
      <c r="B431" s="76"/>
      <c r="C431" s="76"/>
      <c r="D431" s="76"/>
    </row>
    <row r="432" spans="1:4">
      <c r="A432" s="76"/>
      <c r="B432" s="76"/>
      <c r="C432" s="76"/>
      <c r="D432" s="76"/>
    </row>
    <row r="433" spans="1:4">
      <c r="A433" s="76"/>
      <c r="B433" s="76"/>
      <c r="C433" s="76"/>
      <c r="D433" s="76"/>
    </row>
    <row r="434" spans="1:4">
      <c r="A434" s="76"/>
      <c r="B434" s="76"/>
      <c r="C434" s="76"/>
      <c r="D434" s="76"/>
    </row>
    <row r="435" spans="1:4">
      <c r="A435" s="76"/>
      <c r="B435" s="76"/>
      <c r="C435" s="76"/>
      <c r="D435" s="76"/>
    </row>
    <row r="436" spans="1:4">
      <c r="A436" s="76"/>
      <c r="B436" s="76"/>
      <c r="C436" s="76"/>
      <c r="D436" s="76"/>
    </row>
    <row r="437" spans="1:4">
      <c r="A437" s="76"/>
      <c r="B437" s="76"/>
      <c r="C437" s="76"/>
      <c r="D437" s="76"/>
    </row>
    <row r="438" spans="1:4">
      <c r="A438" s="76"/>
      <c r="B438" s="76"/>
      <c r="C438" s="76"/>
      <c r="D438" s="76"/>
    </row>
    <row r="439" spans="1:4">
      <c r="A439" s="76"/>
      <c r="B439" s="76"/>
      <c r="C439" s="76"/>
      <c r="D439" s="76"/>
    </row>
    <row r="440" spans="1:4">
      <c r="A440" s="76"/>
      <c r="B440" s="76"/>
      <c r="C440" s="76"/>
      <c r="D440" s="76"/>
    </row>
    <row r="441" spans="1:4">
      <c r="A441" s="76"/>
      <c r="B441" s="76"/>
      <c r="C441" s="76"/>
      <c r="D441" s="76"/>
    </row>
    <row r="442" spans="1:4">
      <c r="A442" s="76"/>
      <c r="B442" s="76"/>
      <c r="C442" s="76"/>
      <c r="D442" s="76"/>
    </row>
    <row r="443" spans="1:4">
      <c r="A443" s="76"/>
      <c r="B443" s="76"/>
      <c r="C443" s="76"/>
      <c r="D443" s="76"/>
    </row>
    <row r="444" spans="1:4">
      <c r="A444" s="76"/>
      <c r="B444" s="76"/>
      <c r="C444" s="76"/>
      <c r="D444" s="76"/>
    </row>
    <row r="445" spans="1:4">
      <c r="A445" s="76"/>
      <c r="B445" s="76"/>
      <c r="C445" s="76"/>
      <c r="D445" s="76"/>
    </row>
    <row r="446" spans="1:4">
      <c r="A446" s="76"/>
      <c r="B446" s="76"/>
      <c r="C446" s="76"/>
      <c r="D446" s="76"/>
    </row>
    <row r="447" spans="1:4">
      <c r="A447" s="76"/>
      <c r="B447" s="76"/>
      <c r="C447" s="76"/>
      <c r="D447" s="76"/>
    </row>
    <row r="448" spans="1:4">
      <c r="A448" s="76"/>
      <c r="B448" s="76"/>
      <c r="C448" s="76"/>
      <c r="D448" s="76"/>
    </row>
    <row r="449" spans="1:4">
      <c r="A449" s="76"/>
      <c r="B449" s="76"/>
      <c r="C449" s="76"/>
      <c r="D449" s="76"/>
    </row>
    <row r="450" spans="1:4">
      <c r="A450" s="76"/>
      <c r="B450" s="76"/>
      <c r="C450" s="76"/>
      <c r="D450" s="76"/>
    </row>
    <row r="451" spans="1:4">
      <c r="A451" s="76"/>
      <c r="B451" s="76"/>
      <c r="C451" s="76"/>
      <c r="D451" s="76"/>
    </row>
    <row r="452" spans="1:4">
      <c r="A452" s="76"/>
      <c r="B452" s="76"/>
      <c r="C452" s="76"/>
      <c r="D452" s="76"/>
    </row>
    <row r="453" spans="1:4">
      <c r="A453" s="76"/>
      <c r="B453" s="76"/>
      <c r="C453" s="76"/>
      <c r="D453" s="76"/>
    </row>
    <row r="454" spans="1:4">
      <c r="A454" s="76"/>
      <c r="B454" s="76"/>
      <c r="C454" s="76"/>
      <c r="D454" s="76"/>
    </row>
    <row r="455" spans="1:4">
      <c r="A455" s="76"/>
      <c r="B455" s="76"/>
      <c r="C455" s="76"/>
      <c r="D455" s="76"/>
    </row>
    <row r="456" spans="1:4">
      <c r="A456" s="76"/>
      <c r="B456" s="76"/>
      <c r="C456" s="76"/>
      <c r="D456" s="76"/>
    </row>
    <row r="457" spans="1:4">
      <c r="A457" s="76"/>
      <c r="B457" s="76"/>
      <c r="C457" s="76"/>
      <c r="D457" s="76"/>
    </row>
    <row r="458" spans="1:4">
      <c r="A458" s="76"/>
      <c r="B458" s="76"/>
      <c r="C458" s="76"/>
      <c r="D458" s="76"/>
    </row>
    <row r="459" spans="1:4">
      <c r="A459" s="76"/>
      <c r="B459" s="76"/>
      <c r="C459" s="76"/>
      <c r="D459" s="76"/>
    </row>
    <row r="460" spans="1:4">
      <c r="A460" s="76"/>
      <c r="B460" s="76"/>
      <c r="C460" s="76"/>
      <c r="D460" s="76"/>
    </row>
    <row r="461" spans="1:4">
      <c r="A461" s="76"/>
      <c r="B461" s="76"/>
      <c r="C461" s="76"/>
      <c r="D461" s="76"/>
    </row>
    <row r="462" spans="1:4">
      <c r="A462" s="76"/>
      <c r="B462" s="76"/>
      <c r="C462" s="76"/>
      <c r="D462" s="76"/>
    </row>
    <row r="463" spans="1:4">
      <c r="A463" s="76"/>
      <c r="B463" s="76"/>
      <c r="C463" s="76"/>
      <c r="D463" s="76"/>
    </row>
    <row r="464" spans="1:4">
      <c r="A464" s="76"/>
      <c r="B464" s="76"/>
      <c r="C464" s="76"/>
      <c r="D464" s="76"/>
    </row>
    <row r="465" spans="1:4">
      <c r="A465" s="76"/>
      <c r="B465" s="76"/>
      <c r="C465" s="76"/>
      <c r="D465" s="76"/>
    </row>
    <row r="466" spans="1:4">
      <c r="A466" s="76"/>
      <c r="B466" s="76"/>
      <c r="C466" s="76"/>
      <c r="D466" s="76"/>
    </row>
    <row r="467" spans="1:4">
      <c r="A467" s="76"/>
      <c r="B467" s="76"/>
      <c r="C467" s="76"/>
      <c r="D467" s="76"/>
    </row>
    <row r="468" spans="1:4">
      <c r="A468" s="76"/>
      <c r="B468" s="76"/>
      <c r="C468" s="76"/>
      <c r="D468" s="76"/>
    </row>
    <row r="469" spans="1:4">
      <c r="A469" s="76"/>
      <c r="B469" s="76"/>
      <c r="C469" s="76"/>
      <c r="D469" s="76"/>
    </row>
    <row r="470" spans="1:4">
      <c r="A470" s="76"/>
      <c r="B470" s="76"/>
      <c r="C470" s="76"/>
      <c r="D470" s="76"/>
    </row>
    <row r="471" spans="1:4">
      <c r="A471" s="76"/>
      <c r="B471" s="76"/>
      <c r="C471" s="76"/>
      <c r="D471" s="76"/>
    </row>
    <row r="472" spans="1:4">
      <c r="A472" s="76"/>
      <c r="B472" s="76"/>
      <c r="C472" s="76"/>
      <c r="D472" s="76"/>
    </row>
    <row r="473" spans="1:4">
      <c r="A473" s="76"/>
      <c r="B473" s="76"/>
      <c r="C473" s="76"/>
      <c r="D473" s="76"/>
    </row>
    <row r="474" spans="1:4">
      <c r="A474" s="76"/>
      <c r="B474" s="76"/>
      <c r="C474" s="76"/>
      <c r="D474" s="76"/>
    </row>
    <row r="475" spans="1:4">
      <c r="A475" s="76"/>
      <c r="B475" s="76"/>
      <c r="C475" s="76"/>
      <c r="D475" s="76"/>
    </row>
    <row r="476" spans="1:4">
      <c r="A476" s="76"/>
      <c r="B476" s="76"/>
      <c r="C476" s="76"/>
      <c r="D476" s="76"/>
    </row>
    <row r="477" spans="1:4">
      <c r="A477" s="76"/>
      <c r="B477" s="76"/>
      <c r="C477" s="76"/>
      <c r="D477" s="76"/>
    </row>
    <row r="478" spans="1:4">
      <c r="A478" s="76"/>
      <c r="B478" s="76"/>
      <c r="C478" s="76"/>
      <c r="D478" s="76"/>
    </row>
    <row r="479" spans="1:4">
      <c r="A479" s="76"/>
      <c r="B479" s="76"/>
      <c r="C479" s="76"/>
      <c r="D479" s="76"/>
    </row>
    <row r="480" spans="1:4">
      <c r="A480" s="76"/>
      <c r="B480" s="76"/>
      <c r="C480" s="76"/>
      <c r="D480" s="76"/>
    </row>
    <row r="481" spans="1:4">
      <c r="A481" s="76"/>
      <c r="B481" s="76"/>
      <c r="C481" s="76"/>
      <c r="D481" s="76"/>
    </row>
    <row r="482" spans="1:4">
      <c r="A482" s="76"/>
      <c r="B482" s="76"/>
      <c r="C482" s="76"/>
      <c r="D482" s="76"/>
    </row>
    <row r="483" spans="1:4">
      <c r="A483" s="76"/>
      <c r="B483" s="76"/>
      <c r="C483" s="76"/>
      <c r="D483" s="76"/>
    </row>
    <row r="484" spans="1:4">
      <c r="A484" s="76"/>
      <c r="B484" s="76"/>
      <c r="C484" s="76"/>
      <c r="D484" s="76"/>
    </row>
    <row r="485" spans="1:4">
      <c r="A485" s="76"/>
      <c r="B485" s="76"/>
      <c r="C485" s="76"/>
      <c r="D485" s="76"/>
    </row>
    <row r="486" spans="1:4">
      <c r="A486" s="76"/>
      <c r="B486" s="76"/>
      <c r="C486" s="76"/>
      <c r="D486" s="76"/>
    </row>
    <row r="487" spans="1:4">
      <c r="A487" s="76"/>
      <c r="B487" s="76"/>
      <c r="C487" s="76"/>
      <c r="D487" s="76"/>
    </row>
    <row r="488" spans="1:4">
      <c r="A488" s="76"/>
      <c r="B488" s="76"/>
      <c r="C488" s="76"/>
      <c r="D488" s="76"/>
    </row>
    <row r="489" spans="1:4">
      <c r="A489" s="76"/>
      <c r="B489" s="76"/>
      <c r="C489" s="76"/>
      <c r="D489" s="76"/>
    </row>
    <row r="490" spans="1:4">
      <c r="A490" s="76"/>
      <c r="B490" s="76"/>
      <c r="C490" s="76"/>
      <c r="D490" s="76"/>
    </row>
    <row r="491" spans="1:4">
      <c r="A491" s="76"/>
      <c r="B491" s="76"/>
      <c r="C491" s="76"/>
      <c r="D491" s="76"/>
    </row>
    <row r="492" spans="1:4">
      <c r="A492" s="76"/>
      <c r="B492" s="76"/>
      <c r="C492" s="76"/>
      <c r="D492" s="76"/>
    </row>
    <row r="493" spans="1:4">
      <c r="A493" s="76"/>
      <c r="B493" s="76"/>
      <c r="C493" s="76"/>
      <c r="D493" s="76"/>
    </row>
    <row r="494" spans="1:4">
      <c r="A494" s="76"/>
      <c r="B494" s="76"/>
      <c r="C494" s="76"/>
      <c r="D494" s="76"/>
    </row>
    <row r="495" spans="1:4">
      <c r="A495" s="76"/>
      <c r="B495" s="76"/>
      <c r="C495" s="76"/>
      <c r="D495" s="76"/>
    </row>
    <row r="496" spans="1:4">
      <c r="A496" s="76"/>
      <c r="B496" s="76"/>
      <c r="C496" s="76"/>
      <c r="D496" s="76"/>
    </row>
    <row r="497" spans="1:4">
      <c r="A497" s="76"/>
      <c r="B497" s="76"/>
      <c r="C497" s="76"/>
      <c r="D497" s="76"/>
    </row>
    <row r="498" spans="1:4">
      <c r="A498" s="76"/>
      <c r="B498" s="76"/>
      <c r="C498" s="76"/>
      <c r="D498" s="76"/>
    </row>
    <row r="499" spans="1:4">
      <c r="A499" s="76"/>
      <c r="B499" s="76"/>
      <c r="C499" s="76"/>
      <c r="D499" s="76"/>
    </row>
    <row r="500" spans="1:4">
      <c r="A500" s="76"/>
      <c r="B500" s="76"/>
      <c r="C500" s="76"/>
      <c r="D500" s="76"/>
    </row>
    <row r="501" spans="1:4">
      <c r="A501" s="76"/>
      <c r="B501" s="76"/>
      <c r="C501" s="76"/>
      <c r="D501" s="76"/>
    </row>
    <row r="502" spans="1:4">
      <c r="A502" s="76"/>
      <c r="B502" s="76"/>
      <c r="C502" s="76"/>
      <c r="D502" s="76"/>
    </row>
    <row r="503" spans="1:4">
      <c r="A503" s="76"/>
      <c r="B503" s="76"/>
      <c r="C503" s="76"/>
      <c r="D503" s="76"/>
    </row>
    <row r="504" spans="1:4">
      <c r="A504" s="76"/>
      <c r="B504" s="76"/>
      <c r="C504" s="76"/>
      <c r="D504" s="76"/>
    </row>
    <row r="505" spans="1:4">
      <c r="A505" s="76"/>
      <c r="B505" s="76"/>
      <c r="C505" s="76"/>
      <c r="D505" s="76"/>
    </row>
    <row r="506" spans="1:4">
      <c r="A506" s="76"/>
      <c r="B506" s="76"/>
      <c r="C506" s="76"/>
      <c r="D506" s="76"/>
    </row>
    <row r="507" spans="1:4">
      <c r="A507" s="76"/>
      <c r="B507" s="76"/>
      <c r="C507" s="76"/>
      <c r="D507" s="76"/>
    </row>
    <row r="508" spans="1:4">
      <c r="A508" s="76"/>
      <c r="B508" s="76"/>
      <c r="C508" s="76"/>
      <c r="D508" s="76"/>
    </row>
    <row r="509" spans="1:4">
      <c r="A509" s="76"/>
      <c r="B509" s="76"/>
      <c r="C509" s="76"/>
      <c r="D509" s="76"/>
    </row>
    <row r="510" spans="1:4">
      <c r="A510" s="76"/>
      <c r="B510" s="76"/>
      <c r="C510" s="76"/>
      <c r="D510" s="76"/>
    </row>
    <row r="511" spans="1:4">
      <c r="A511" s="76"/>
      <c r="B511" s="76"/>
      <c r="C511" s="76"/>
      <c r="D511" s="76"/>
    </row>
    <row r="512" spans="1:4">
      <c r="A512" s="76"/>
      <c r="B512" s="76"/>
      <c r="C512" s="76"/>
      <c r="D512" s="76"/>
    </row>
    <row r="513" spans="1:4">
      <c r="A513" s="76"/>
      <c r="B513" s="76"/>
      <c r="C513" s="76"/>
      <c r="D513" s="76"/>
    </row>
    <row r="514" spans="1:4">
      <c r="A514" s="76"/>
      <c r="B514" s="76"/>
      <c r="C514" s="76"/>
      <c r="D514" s="76"/>
    </row>
    <row r="515" spans="1:4">
      <c r="A515" s="76"/>
      <c r="B515" s="76"/>
      <c r="C515" s="76"/>
      <c r="D515" s="76"/>
    </row>
    <row r="516" spans="1:4">
      <c r="A516" s="76"/>
      <c r="B516" s="76"/>
      <c r="C516" s="76"/>
      <c r="D516" s="76"/>
    </row>
    <row r="517" spans="1:4">
      <c r="A517" s="76"/>
      <c r="B517" s="76"/>
      <c r="C517" s="76"/>
      <c r="D517" s="76"/>
    </row>
    <row r="518" spans="1:4">
      <c r="A518" s="76"/>
      <c r="B518" s="76"/>
      <c r="C518" s="76"/>
      <c r="D518" s="76"/>
    </row>
    <row r="519" spans="1:4">
      <c r="A519" s="76"/>
      <c r="B519" s="76"/>
      <c r="C519" s="76"/>
      <c r="D519" s="76"/>
    </row>
    <row r="520" spans="1:4">
      <c r="A520" s="76"/>
      <c r="B520" s="76"/>
      <c r="C520" s="76"/>
      <c r="D520" s="76"/>
    </row>
    <row r="521" spans="1:4">
      <c r="A521" s="76"/>
      <c r="B521" s="76"/>
      <c r="C521" s="76"/>
      <c r="D521" s="76"/>
    </row>
    <row r="522" spans="1:4">
      <c r="A522" s="76"/>
      <c r="B522" s="76"/>
      <c r="C522" s="76"/>
      <c r="D522" s="76"/>
    </row>
    <row r="523" spans="1:4">
      <c r="A523" s="76"/>
      <c r="B523" s="76"/>
      <c r="C523" s="76"/>
      <c r="D523" s="76"/>
    </row>
    <row r="524" spans="1:4">
      <c r="A524" s="76"/>
      <c r="B524" s="76"/>
      <c r="C524" s="76"/>
      <c r="D524" s="76"/>
    </row>
    <row r="525" spans="1:4">
      <c r="A525" s="76"/>
      <c r="B525" s="76"/>
      <c r="C525" s="76"/>
      <c r="D525" s="76"/>
    </row>
    <row r="526" spans="1:4">
      <c r="A526" s="76"/>
      <c r="B526" s="76"/>
      <c r="C526" s="76"/>
      <c r="D526" s="76"/>
    </row>
    <row r="527" spans="1:4">
      <c r="A527" s="76"/>
      <c r="B527" s="76"/>
      <c r="C527" s="76"/>
      <c r="D527" s="76"/>
    </row>
    <row r="528" spans="1:4">
      <c r="A528" s="76"/>
      <c r="B528" s="76"/>
      <c r="C528" s="76"/>
      <c r="D528" s="76"/>
    </row>
    <row r="529" spans="1:4">
      <c r="A529" s="76"/>
      <c r="B529" s="76"/>
      <c r="C529" s="76"/>
      <c r="D529" s="76"/>
    </row>
    <row r="530" spans="1:4">
      <c r="A530" s="76"/>
      <c r="B530" s="76"/>
      <c r="C530" s="76"/>
      <c r="D530" s="76"/>
    </row>
    <row r="531" spans="1:4">
      <c r="A531" s="76"/>
      <c r="B531" s="76"/>
      <c r="C531" s="76"/>
      <c r="D531" s="76"/>
    </row>
    <row r="532" spans="1:4">
      <c r="A532" s="76"/>
      <c r="B532" s="76"/>
      <c r="C532" s="76"/>
      <c r="D532" s="76"/>
    </row>
    <row r="533" spans="1:4">
      <c r="A533" s="76"/>
      <c r="B533" s="76"/>
      <c r="C533" s="76"/>
      <c r="D533" s="76"/>
    </row>
    <row r="534" spans="1:4">
      <c r="A534" s="76"/>
      <c r="B534" s="76"/>
      <c r="C534" s="76"/>
      <c r="D534" s="76"/>
    </row>
    <row r="535" spans="1:4">
      <c r="A535" s="76"/>
      <c r="B535" s="76"/>
      <c r="C535" s="76"/>
      <c r="D535" s="76"/>
    </row>
    <row r="536" spans="1:4">
      <c r="A536" s="76"/>
      <c r="B536" s="76"/>
      <c r="C536" s="76"/>
      <c r="D536" s="76"/>
    </row>
    <row r="537" spans="1:4">
      <c r="A537" s="76"/>
      <c r="B537" s="76"/>
      <c r="C537" s="76"/>
      <c r="D537" s="76"/>
    </row>
    <row r="538" spans="1:4">
      <c r="A538" s="76"/>
      <c r="B538" s="76"/>
      <c r="C538" s="76"/>
      <c r="D538" s="76"/>
    </row>
    <row r="539" spans="1:4">
      <c r="A539" s="76"/>
      <c r="B539" s="76"/>
      <c r="C539" s="76"/>
      <c r="D539" s="76"/>
    </row>
    <row r="540" spans="1:4">
      <c r="A540" s="76"/>
      <c r="B540" s="76"/>
      <c r="C540" s="76"/>
      <c r="D540" s="76"/>
    </row>
    <row r="541" spans="1:4">
      <c r="A541" s="76"/>
      <c r="B541" s="76"/>
      <c r="C541" s="76"/>
      <c r="D541" s="76"/>
    </row>
    <row r="542" spans="1:4">
      <c r="A542" s="76"/>
      <c r="B542" s="76"/>
      <c r="C542" s="76"/>
      <c r="D542" s="76"/>
    </row>
    <row r="543" spans="1:4">
      <c r="A543" s="76"/>
      <c r="B543" s="76"/>
      <c r="C543" s="76"/>
      <c r="D543" s="76"/>
    </row>
    <row r="544" spans="1:4">
      <c r="A544" s="76"/>
      <c r="B544" s="76"/>
      <c r="C544" s="76"/>
      <c r="D544" s="76"/>
    </row>
    <row r="545" spans="1:4">
      <c r="A545" s="76"/>
      <c r="B545" s="76"/>
      <c r="C545" s="76"/>
      <c r="D545" s="76"/>
    </row>
    <row r="546" spans="1:4">
      <c r="A546" s="76"/>
      <c r="B546" s="76"/>
      <c r="C546" s="76"/>
      <c r="D546" s="76"/>
    </row>
    <row r="547" spans="1:4">
      <c r="A547" s="76"/>
      <c r="B547" s="76"/>
      <c r="C547" s="76"/>
      <c r="D547" s="76"/>
    </row>
    <row r="548" spans="1:4">
      <c r="A548" s="76"/>
      <c r="B548" s="76"/>
      <c r="C548" s="76"/>
      <c r="D548" s="76"/>
    </row>
    <row r="549" spans="1:4">
      <c r="A549" s="76"/>
      <c r="B549" s="76"/>
      <c r="C549" s="76"/>
      <c r="D549" s="76"/>
    </row>
    <row r="550" spans="1:4">
      <c r="A550" s="76"/>
      <c r="B550" s="76"/>
      <c r="C550" s="76"/>
      <c r="D550" s="76"/>
    </row>
    <row r="551" spans="1:4">
      <c r="A551" s="76"/>
      <c r="B551" s="76"/>
      <c r="C551" s="76"/>
      <c r="D551" s="76"/>
    </row>
    <row r="552" spans="1:4">
      <c r="A552" s="76"/>
      <c r="B552" s="76"/>
      <c r="C552" s="76"/>
      <c r="D552" s="76"/>
    </row>
    <row r="553" spans="1:4">
      <c r="A553" s="76"/>
      <c r="B553" s="76"/>
      <c r="C553" s="76"/>
      <c r="D553" s="76"/>
    </row>
    <row r="554" spans="1:4">
      <c r="A554" s="76"/>
      <c r="B554" s="76"/>
      <c r="C554" s="76"/>
      <c r="D554" s="76"/>
    </row>
    <row r="555" spans="1:4">
      <c r="A555" s="76"/>
      <c r="B555" s="76"/>
      <c r="C555" s="76"/>
      <c r="D555" s="76"/>
    </row>
    <row r="556" spans="1:4">
      <c r="A556" s="76"/>
      <c r="B556" s="76"/>
      <c r="C556" s="76"/>
      <c r="D556" s="76"/>
    </row>
    <row r="557" spans="1:4">
      <c r="A557" s="76"/>
      <c r="B557" s="76"/>
      <c r="C557" s="76"/>
      <c r="D557" s="76"/>
    </row>
    <row r="558" spans="1:4">
      <c r="A558" s="76"/>
      <c r="B558" s="76"/>
      <c r="C558" s="76"/>
      <c r="D558" s="76"/>
    </row>
    <row r="559" spans="1:4">
      <c r="A559" s="76"/>
      <c r="B559" s="76"/>
      <c r="C559" s="76"/>
      <c r="D559" s="76"/>
    </row>
    <row r="560" spans="1:4">
      <c r="A560" s="76"/>
      <c r="B560" s="76"/>
      <c r="C560" s="76"/>
      <c r="D560" s="76"/>
    </row>
    <row r="561" spans="1:4">
      <c r="A561" s="76"/>
      <c r="B561" s="76"/>
      <c r="C561" s="76"/>
      <c r="D561" s="76"/>
    </row>
    <row r="562" spans="1:4">
      <c r="A562" s="76"/>
      <c r="B562" s="76"/>
      <c r="C562" s="76"/>
      <c r="D562" s="76"/>
    </row>
    <row r="563" spans="1:4">
      <c r="A563" s="76"/>
      <c r="B563" s="76"/>
      <c r="C563" s="76"/>
      <c r="D563" s="76"/>
    </row>
    <row r="564" spans="1:4">
      <c r="A564" s="76"/>
      <c r="B564" s="76"/>
      <c r="C564" s="76"/>
      <c r="D564" s="76"/>
    </row>
    <row r="565" spans="1:4">
      <c r="A565" s="76"/>
      <c r="B565" s="76"/>
      <c r="C565" s="76"/>
      <c r="D565" s="76"/>
    </row>
    <row r="566" spans="1:4">
      <c r="A566" s="76"/>
      <c r="B566" s="76"/>
      <c r="C566" s="76"/>
      <c r="D566" s="76"/>
    </row>
    <row r="567" spans="1:4">
      <c r="A567" s="76"/>
      <c r="B567" s="76"/>
      <c r="C567" s="76"/>
      <c r="D567" s="76"/>
    </row>
    <row r="568" spans="1:4">
      <c r="A568" s="76"/>
      <c r="B568" s="76"/>
      <c r="C568" s="76"/>
      <c r="D568" s="76"/>
    </row>
    <row r="569" spans="1:4">
      <c r="A569" s="76"/>
      <c r="B569" s="76"/>
      <c r="C569" s="76"/>
      <c r="D569" s="76"/>
    </row>
    <row r="570" spans="1:4">
      <c r="A570" s="76"/>
      <c r="B570" s="76"/>
      <c r="C570" s="76"/>
      <c r="D570" s="76"/>
    </row>
    <row r="571" spans="1:4">
      <c r="A571" s="76"/>
      <c r="B571" s="76"/>
      <c r="C571" s="76"/>
      <c r="D571" s="76"/>
    </row>
    <row r="572" spans="1:4">
      <c r="A572" s="76"/>
      <c r="B572" s="76"/>
      <c r="C572" s="76"/>
      <c r="D572" s="76"/>
    </row>
    <row r="573" spans="1:4">
      <c r="A573" s="76"/>
      <c r="B573" s="76"/>
      <c r="C573" s="76"/>
      <c r="D573" s="76"/>
    </row>
    <row r="574" spans="1:4">
      <c r="A574" s="76"/>
      <c r="B574" s="76"/>
      <c r="C574" s="76"/>
      <c r="D574" s="76"/>
    </row>
    <row r="575" spans="1:4">
      <c r="A575" s="76"/>
      <c r="B575" s="76"/>
      <c r="C575" s="76"/>
      <c r="D575" s="76"/>
    </row>
    <row r="576" spans="1:4">
      <c r="A576" s="76"/>
      <c r="B576" s="76"/>
      <c r="C576" s="76"/>
      <c r="D576" s="76"/>
    </row>
    <row r="577" spans="1:4">
      <c r="A577" s="76"/>
      <c r="B577" s="76"/>
      <c r="C577" s="76"/>
      <c r="D577" s="76"/>
    </row>
    <row r="578" spans="1:4">
      <c r="A578" s="76"/>
      <c r="B578" s="76"/>
      <c r="C578" s="76"/>
      <c r="D578" s="76"/>
    </row>
    <row r="579" spans="1:4">
      <c r="A579" s="76"/>
      <c r="B579" s="76"/>
      <c r="C579" s="76"/>
      <c r="D579" s="76"/>
    </row>
    <row r="580" spans="1:4">
      <c r="A580" s="76"/>
      <c r="B580" s="76"/>
      <c r="C580" s="76"/>
      <c r="D580" s="76"/>
    </row>
    <row r="581" spans="1:4">
      <c r="A581" s="76"/>
      <c r="B581" s="76"/>
      <c r="C581" s="76"/>
      <c r="D581" s="76"/>
    </row>
    <row r="582" spans="1:4">
      <c r="A582" s="76"/>
      <c r="B582" s="76"/>
      <c r="C582" s="76"/>
      <c r="D582" s="76"/>
    </row>
    <row r="583" spans="1:4">
      <c r="A583" s="76"/>
      <c r="B583" s="76"/>
      <c r="C583" s="76"/>
      <c r="D583" s="76"/>
    </row>
    <row r="584" spans="1:4">
      <c r="A584" s="76"/>
      <c r="B584" s="76"/>
      <c r="C584" s="76"/>
      <c r="D584" s="76"/>
    </row>
    <row r="585" spans="1:4">
      <c r="A585" s="76"/>
      <c r="B585" s="76"/>
      <c r="C585" s="76"/>
      <c r="D585" s="76"/>
    </row>
    <row r="586" spans="1:4">
      <c r="A586" s="76"/>
      <c r="B586" s="76"/>
      <c r="C586" s="76"/>
      <c r="D586" s="76"/>
    </row>
    <row r="587" spans="1:4">
      <c r="A587" s="76"/>
      <c r="B587" s="76"/>
      <c r="C587" s="76"/>
      <c r="D587" s="76"/>
    </row>
    <row r="588" spans="1:4">
      <c r="A588" s="76"/>
      <c r="B588" s="76"/>
      <c r="C588" s="76"/>
      <c r="D588" s="76"/>
    </row>
    <row r="589" spans="1:4">
      <c r="A589" s="76"/>
      <c r="B589" s="76"/>
      <c r="C589" s="76"/>
      <c r="D589" s="76"/>
    </row>
    <row r="590" spans="1:4">
      <c r="A590" s="76"/>
      <c r="B590" s="76"/>
      <c r="C590" s="76"/>
      <c r="D590" s="76"/>
    </row>
    <row r="591" spans="1:4">
      <c r="A591" s="76"/>
      <c r="B591" s="76"/>
      <c r="C591" s="76"/>
      <c r="D591" s="76"/>
    </row>
    <row r="592" spans="1:4">
      <c r="A592" s="76"/>
      <c r="B592" s="76"/>
      <c r="C592" s="76"/>
      <c r="D592" s="76"/>
    </row>
    <row r="593" spans="1:4">
      <c r="A593" s="76"/>
      <c r="B593" s="76"/>
      <c r="C593" s="76"/>
      <c r="D593" s="76"/>
    </row>
    <row r="594" spans="1:4">
      <c r="A594" s="76"/>
      <c r="B594" s="76"/>
      <c r="C594" s="76"/>
      <c r="D594" s="76"/>
    </row>
    <row r="595" spans="1:4">
      <c r="A595" s="76"/>
      <c r="B595" s="76"/>
      <c r="C595" s="76"/>
      <c r="D595" s="76"/>
    </row>
    <row r="596" spans="1:4">
      <c r="A596" s="76"/>
      <c r="B596" s="76"/>
      <c r="C596" s="76"/>
      <c r="D596" s="76"/>
    </row>
    <row r="597" spans="1:4">
      <c r="A597" s="76"/>
      <c r="B597" s="76"/>
      <c r="C597" s="76"/>
      <c r="D597" s="76"/>
    </row>
    <row r="598" spans="1:4">
      <c r="A598" s="76"/>
      <c r="B598" s="76"/>
      <c r="C598" s="76"/>
      <c r="D598" s="76"/>
    </row>
    <row r="599" spans="1:4">
      <c r="A599" s="76"/>
      <c r="B599" s="76"/>
      <c r="C599" s="76"/>
      <c r="D599" s="76"/>
    </row>
    <row r="600" spans="1:4">
      <c r="A600" s="76"/>
      <c r="B600" s="76"/>
      <c r="C600" s="76"/>
      <c r="D600" s="76"/>
    </row>
    <row r="601" spans="1:4">
      <c r="A601" s="76"/>
      <c r="B601" s="76"/>
      <c r="C601" s="76"/>
      <c r="D601" s="76"/>
    </row>
    <row r="602" spans="1:4">
      <c r="A602" s="76"/>
      <c r="B602" s="76"/>
      <c r="C602" s="76"/>
      <c r="D602" s="76"/>
    </row>
    <row r="603" spans="1:4">
      <c r="A603" s="76"/>
      <c r="B603" s="76"/>
      <c r="C603" s="76"/>
      <c r="D603" s="76"/>
    </row>
    <row r="604" spans="1:4">
      <c r="A604" s="76"/>
      <c r="B604" s="76"/>
      <c r="C604" s="76"/>
      <c r="D604" s="76"/>
    </row>
    <row r="605" spans="1:4">
      <c r="A605" s="76"/>
      <c r="B605" s="76"/>
      <c r="C605" s="76"/>
      <c r="D605" s="76"/>
    </row>
    <row r="606" spans="1:4">
      <c r="A606" s="76"/>
      <c r="B606" s="76"/>
      <c r="C606" s="76"/>
      <c r="D606" s="76"/>
    </row>
    <row r="607" spans="1:4">
      <c r="A607" s="76"/>
      <c r="B607" s="76"/>
      <c r="C607" s="76"/>
      <c r="D607" s="76"/>
    </row>
    <row r="608" spans="1:4">
      <c r="A608" s="76"/>
      <c r="B608" s="76"/>
      <c r="C608" s="76"/>
      <c r="D608" s="76"/>
    </row>
    <row r="609" spans="1:4">
      <c r="A609" s="76"/>
      <c r="B609" s="76"/>
      <c r="C609" s="76"/>
      <c r="D609" s="76"/>
    </row>
    <row r="610" spans="1:4">
      <c r="A610" s="76"/>
      <c r="B610" s="76"/>
      <c r="C610" s="76"/>
      <c r="D610" s="76"/>
    </row>
    <row r="611" spans="1:4">
      <c r="A611" s="76"/>
      <c r="B611" s="76"/>
      <c r="C611" s="76"/>
      <c r="D611" s="76"/>
    </row>
    <row r="612" spans="1:4">
      <c r="A612" s="76"/>
      <c r="B612" s="76"/>
      <c r="C612" s="76"/>
      <c r="D612" s="76"/>
    </row>
    <row r="613" spans="1:4">
      <c r="A613" s="76"/>
      <c r="B613" s="76"/>
      <c r="C613" s="76"/>
      <c r="D613" s="76"/>
    </row>
    <row r="614" spans="1:4">
      <c r="A614" s="76"/>
      <c r="B614" s="76"/>
      <c r="C614" s="76"/>
      <c r="D614" s="76"/>
    </row>
    <row r="615" spans="1:4">
      <c r="A615" s="76"/>
      <c r="B615" s="76"/>
      <c r="C615" s="76"/>
      <c r="D615" s="76"/>
    </row>
    <row r="616" spans="1:4">
      <c r="A616" s="76"/>
      <c r="B616" s="76"/>
      <c r="C616" s="76"/>
      <c r="D616" s="76"/>
    </row>
    <row r="617" spans="1:4">
      <c r="A617" s="76"/>
      <c r="B617" s="76"/>
      <c r="C617" s="76"/>
      <c r="D617" s="76"/>
    </row>
    <row r="618" spans="1:4">
      <c r="A618" s="76"/>
      <c r="B618" s="76"/>
      <c r="C618" s="76"/>
      <c r="D618" s="76"/>
    </row>
    <row r="619" spans="1:4">
      <c r="A619" s="76"/>
      <c r="B619" s="76"/>
      <c r="C619" s="76"/>
      <c r="D619" s="76"/>
    </row>
    <row r="620" spans="1:4">
      <c r="A620" s="76"/>
      <c r="B620" s="76"/>
      <c r="C620" s="76"/>
      <c r="D620" s="76"/>
    </row>
    <row r="621" spans="1:4">
      <c r="A621" s="76"/>
      <c r="B621" s="76"/>
      <c r="C621" s="76"/>
      <c r="D621" s="76"/>
    </row>
    <row r="622" spans="1:4">
      <c r="A622" s="76"/>
      <c r="B622" s="76"/>
      <c r="C622" s="76"/>
      <c r="D622" s="76"/>
    </row>
    <row r="623" spans="1:4">
      <c r="A623" s="76"/>
      <c r="B623" s="76"/>
      <c r="C623" s="76"/>
      <c r="D623" s="76"/>
    </row>
    <row r="624" spans="1:4">
      <c r="A624" s="76"/>
      <c r="B624" s="76"/>
      <c r="C624" s="76"/>
      <c r="D624" s="76"/>
    </row>
    <row r="625" spans="1:4">
      <c r="A625" s="76"/>
      <c r="B625" s="76"/>
      <c r="C625" s="76"/>
      <c r="D625" s="76"/>
    </row>
    <row r="626" spans="1:4">
      <c r="A626" s="76"/>
      <c r="B626" s="76"/>
      <c r="C626" s="76"/>
      <c r="D626" s="76"/>
    </row>
    <row r="627" spans="1:4">
      <c r="A627" s="76"/>
      <c r="B627" s="76"/>
      <c r="C627" s="76"/>
      <c r="D627" s="76"/>
    </row>
    <row r="628" spans="1:4">
      <c r="A628" s="76"/>
      <c r="B628" s="76"/>
      <c r="C628" s="76"/>
      <c r="D628" s="76"/>
    </row>
    <row r="629" spans="1:4">
      <c r="A629" s="76"/>
      <c r="B629" s="76"/>
      <c r="C629" s="76"/>
      <c r="D629" s="76"/>
    </row>
    <row r="630" spans="1:4">
      <c r="A630" s="76"/>
      <c r="B630" s="76"/>
      <c r="C630" s="76"/>
      <c r="D630" s="76"/>
    </row>
    <row r="631" spans="1:4">
      <c r="A631" s="76"/>
      <c r="B631" s="76"/>
      <c r="C631" s="76"/>
      <c r="D631" s="76"/>
    </row>
    <row r="632" spans="1:4">
      <c r="A632" s="76"/>
      <c r="B632" s="76"/>
      <c r="C632" s="76"/>
      <c r="D632" s="76"/>
    </row>
    <row r="633" spans="1:4">
      <c r="A633" s="76"/>
      <c r="B633" s="76"/>
      <c r="C633" s="76"/>
      <c r="D633" s="76"/>
    </row>
    <row r="634" spans="1:4">
      <c r="A634" s="76"/>
      <c r="B634" s="76"/>
      <c r="C634" s="76"/>
      <c r="D634" s="76"/>
    </row>
    <row r="635" spans="1:4">
      <c r="A635" s="76"/>
      <c r="B635" s="76"/>
      <c r="C635" s="76"/>
      <c r="D635" s="76"/>
    </row>
    <row r="636" spans="1:4">
      <c r="A636" s="76"/>
      <c r="B636" s="76"/>
      <c r="C636" s="76"/>
      <c r="D636" s="76"/>
    </row>
    <row r="637" spans="1:4">
      <c r="A637" s="76"/>
      <c r="B637" s="76"/>
      <c r="C637" s="76"/>
      <c r="D637" s="76"/>
    </row>
    <row r="638" spans="1:4">
      <c r="A638" s="76"/>
      <c r="B638" s="76"/>
      <c r="C638" s="76"/>
      <c r="D638" s="76"/>
    </row>
    <row r="639" spans="1:4">
      <c r="A639" s="76"/>
      <c r="B639" s="76"/>
      <c r="C639" s="76"/>
      <c r="D639" s="76"/>
    </row>
    <row r="640" spans="1:4">
      <c r="A640" s="76"/>
      <c r="B640" s="76"/>
      <c r="C640" s="76"/>
      <c r="D640" s="76"/>
    </row>
    <row r="641" spans="1:4">
      <c r="A641" s="76"/>
      <c r="B641" s="76"/>
      <c r="C641" s="76"/>
      <c r="D641" s="76"/>
    </row>
    <row r="642" spans="1:4">
      <c r="A642" s="76"/>
      <c r="B642" s="76"/>
      <c r="C642" s="76"/>
      <c r="D642" s="76"/>
    </row>
    <row r="643" spans="1:4">
      <c r="A643" s="76"/>
      <c r="B643" s="76"/>
      <c r="C643" s="76"/>
      <c r="D643" s="76"/>
    </row>
    <row r="644" spans="1:4">
      <c r="A644" s="76"/>
      <c r="B644" s="76"/>
      <c r="C644" s="76"/>
      <c r="D644" s="76"/>
    </row>
    <row r="645" spans="1:4">
      <c r="A645" s="76"/>
      <c r="B645" s="76"/>
      <c r="C645" s="76"/>
      <c r="D645" s="76"/>
    </row>
    <row r="646" spans="1:4">
      <c r="A646" s="76"/>
      <c r="B646" s="76"/>
      <c r="C646" s="76"/>
      <c r="D646" s="76"/>
    </row>
    <row r="647" spans="1:4">
      <c r="A647" s="76"/>
      <c r="B647" s="76"/>
      <c r="C647" s="76"/>
      <c r="D647" s="76"/>
    </row>
    <row r="648" spans="1:4">
      <c r="A648" s="76"/>
      <c r="B648" s="76"/>
      <c r="C648" s="76"/>
      <c r="D648" s="76"/>
    </row>
    <row r="649" spans="1:4">
      <c r="A649" s="76"/>
      <c r="B649" s="76"/>
      <c r="C649" s="76"/>
      <c r="D649" s="76"/>
    </row>
    <row r="650" spans="1:4">
      <c r="A650" s="76"/>
      <c r="B650" s="76"/>
      <c r="C650" s="76"/>
      <c r="D650" s="76"/>
    </row>
    <row r="651" spans="1:4">
      <c r="A651" s="76"/>
      <c r="B651" s="76"/>
      <c r="C651" s="76"/>
      <c r="D651" s="76"/>
    </row>
    <row r="652" spans="1:4">
      <c r="A652" s="76"/>
      <c r="B652" s="76"/>
      <c r="C652" s="76"/>
      <c r="D652" s="76"/>
    </row>
    <row r="653" spans="1:4">
      <c r="A653" s="76"/>
      <c r="B653" s="76"/>
      <c r="C653" s="76"/>
      <c r="D653" s="76"/>
    </row>
    <row r="654" spans="1:4">
      <c r="A654" s="76"/>
      <c r="B654" s="76"/>
      <c r="C654" s="76"/>
      <c r="D654" s="76"/>
    </row>
    <row r="655" spans="1:4">
      <c r="A655" s="76"/>
      <c r="B655" s="76"/>
      <c r="C655" s="76"/>
      <c r="D655" s="76"/>
    </row>
    <row r="656" spans="1:4">
      <c r="A656" s="76"/>
      <c r="B656" s="76"/>
      <c r="C656" s="76"/>
      <c r="D656" s="76"/>
    </row>
    <row r="657" spans="1:4">
      <c r="A657" s="76"/>
      <c r="B657" s="76"/>
      <c r="C657" s="76"/>
      <c r="D657" s="76"/>
    </row>
    <row r="658" spans="1:4">
      <c r="A658" s="76"/>
      <c r="B658" s="76"/>
      <c r="C658" s="76"/>
      <c r="D658" s="76"/>
    </row>
    <row r="659" spans="1:4">
      <c r="A659" s="76"/>
      <c r="B659" s="76"/>
      <c r="C659" s="76"/>
      <c r="D659" s="76"/>
    </row>
    <row r="660" spans="1:4">
      <c r="A660" s="76"/>
      <c r="B660" s="76"/>
      <c r="C660" s="76"/>
      <c r="D660" s="76"/>
    </row>
    <row r="661" spans="1:4">
      <c r="A661" s="76"/>
      <c r="B661" s="76"/>
      <c r="C661" s="76"/>
      <c r="D661" s="76"/>
    </row>
    <row r="662" spans="1:4">
      <c r="A662" s="76"/>
      <c r="B662" s="76"/>
      <c r="C662" s="76"/>
      <c r="D662" s="76"/>
    </row>
    <row r="663" spans="1:4">
      <c r="A663" s="76"/>
      <c r="B663" s="76"/>
      <c r="C663" s="76"/>
      <c r="D663" s="76"/>
    </row>
    <row r="664" spans="1:4">
      <c r="A664" s="76"/>
      <c r="B664" s="76"/>
      <c r="C664" s="76"/>
      <c r="D664" s="76"/>
    </row>
    <row r="665" spans="1:4">
      <c r="A665" s="76"/>
      <c r="B665" s="76"/>
      <c r="C665" s="76"/>
      <c r="D665" s="76"/>
    </row>
    <row r="666" spans="1:4">
      <c r="A666" s="76"/>
      <c r="B666" s="76"/>
      <c r="C666" s="76"/>
      <c r="D666" s="76"/>
    </row>
    <row r="667" spans="1:4">
      <c r="A667" s="76"/>
      <c r="B667" s="76"/>
      <c r="C667" s="76"/>
      <c r="D667" s="76"/>
    </row>
    <row r="668" spans="1:4">
      <c r="A668" s="76"/>
      <c r="B668" s="76"/>
      <c r="C668" s="76"/>
      <c r="D668" s="76"/>
    </row>
    <row r="669" spans="1:4">
      <c r="A669" s="76"/>
      <c r="B669" s="76"/>
      <c r="C669" s="76"/>
      <c r="D669" s="76"/>
    </row>
    <row r="670" spans="1:4">
      <c r="A670" s="76"/>
      <c r="B670" s="76"/>
      <c r="C670" s="76"/>
      <c r="D670" s="76"/>
    </row>
    <row r="671" spans="1:4">
      <c r="A671" s="76"/>
      <c r="B671" s="76"/>
      <c r="C671" s="76"/>
      <c r="D671" s="76"/>
    </row>
    <row r="672" spans="1:4">
      <c r="A672" s="76"/>
      <c r="B672" s="76"/>
      <c r="C672" s="76"/>
      <c r="D672" s="76"/>
    </row>
    <row r="673" spans="1:4">
      <c r="A673" s="76"/>
      <c r="B673" s="76"/>
      <c r="C673" s="76"/>
      <c r="D673" s="76"/>
    </row>
    <row r="674" spans="1:4">
      <c r="A674" s="76"/>
      <c r="B674" s="76"/>
      <c r="C674" s="76"/>
      <c r="D674" s="76"/>
    </row>
    <row r="675" spans="1:4">
      <c r="A675" s="76"/>
      <c r="B675" s="76"/>
      <c r="C675" s="76"/>
      <c r="D675" s="76"/>
    </row>
    <row r="676" spans="1:4">
      <c r="A676" s="76"/>
      <c r="B676" s="76"/>
      <c r="C676" s="76"/>
      <c r="D676" s="76"/>
    </row>
    <row r="677" spans="1:4">
      <c r="A677" s="76"/>
      <c r="B677" s="76"/>
      <c r="C677" s="76"/>
      <c r="D677" s="76"/>
    </row>
    <row r="678" spans="1:4">
      <c r="A678" s="76"/>
      <c r="B678" s="76"/>
      <c r="C678" s="76"/>
      <c r="D678" s="76"/>
    </row>
    <row r="679" spans="1:4">
      <c r="A679" s="76"/>
      <c r="B679" s="76"/>
      <c r="C679" s="76"/>
      <c r="D679" s="76"/>
    </row>
    <row r="680" spans="1:4">
      <c r="A680" s="76"/>
      <c r="B680" s="76"/>
      <c r="C680" s="76"/>
      <c r="D680" s="76"/>
    </row>
    <row r="681" spans="1:4">
      <c r="A681" s="76"/>
      <c r="B681" s="76"/>
      <c r="C681" s="76"/>
      <c r="D681" s="76"/>
    </row>
    <row r="682" spans="1:4">
      <c r="A682" s="76"/>
      <c r="B682" s="76"/>
      <c r="C682" s="76"/>
      <c r="D682" s="76"/>
    </row>
    <row r="683" spans="1:4">
      <c r="A683" s="76"/>
      <c r="B683" s="76"/>
      <c r="C683" s="76"/>
      <c r="D683" s="76"/>
    </row>
    <row r="684" spans="1:4">
      <c r="A684" s="76"/>
      <c r="B684" s="76"/>
      <c r="C684" s="76"/>
      <c r="D684" s="76"/>
    </row>
    <row r="685" spans="1:4">
      <c r="A685" s="76"/>
      <c r="B685" s="76"/>
      <c r="C685" s="76"/>
      <c r="D685" s="76"/>
    </row>
    <row r="686" spans="1:4">
      <c r="A686" s="76"/>
      <c r="B686" s="76"/>
      <c r="C686" s="76"/>
      <c r="D686" s="76"/>
    </row>
    <row r="687" spans="1:4">
      <c r="A687" s="76"/>
      <c r="B687" s="76"/>
      <c r="C687" s="76"/>
      <c r="D687" s="76"/>
    </row>
    <row r="688" spans="1:4">
      <c r="A688" s="76"/>
      <c r="B688" s="76"/>
      <c r="C688" s="76"/>
      <c r="D688" s="76"/>
    </row>
    <row r="689" spans="1:4">
      <c r="A689" s="76"/>
      <c r="B689" s="76"/>
      <c r="C689" s="76"/>
      <c r="D689" s="76"/>
    </row>
    <row r="690" spans="1:4">
      <c r="A690" s="76"/>
      <c r="B690" s="76"/>
      <c r="C690" s="76"/>
      <c r="D690" s="76"/>
    </row>
    <row r="691" spans="1:4">
      <c r="A691" s="76"/>
      <c r="B691" s="76"/>
      <c r="C691" s="76"/>
      <c r="D691" s="76"/>
    </row>
    <row r="692" spans="1:4">
      <c r="A692" s="76"/>
      <c r="B692" s="76"/>
      <c r="C692" s="76"/>
      <c r="D692" s="76"/>
    </row>
    <row r="693" spans="1:4">
      <c r="A693" s="76"/>
      <c r="B693" s="76"/>
      <c r="C693" s="76"/>
      <c r="D693" s="76"/>
    </row>
    <row r="694" spans="1:4">
      <c r="A694" s="76"/>
      <c r="B694" s="76"/>
      <c r="C694" s="76"/>
      <c r="D694" s="76"/>
    </row>
    <row r="695" spans="1:4">
      <c r="A695" s="76"/>
      <c r="B695" s="76"/>
      <c r="C695" s="76"/>
      <c r="D695" s="76"/>
    </row>
    <row r="696" spans="1:4">
      <c r="A696" s="76"/>
      <c r="B696" s="76"/>
      <c r="C696" s="76"/>
      <c r="D696" s="76"/>
    </row>
    <row r="697" spans="1:4">
      <c r="A697" s="76"/>
      <c r="B697" s="76"/>
      <c r="C697" s="76"/>
      <c r="D697" s="76"/>
    </row>
    <row r="698" spans="1:4">
      <c r="A698" s="76"/>
      <c r="B698" s="76"/>
      <c r="C698" s="76"/>
      <c r="D698" s="76"/>
    </row>
    <row r="699" spans="1:4">
      <c r="A699" s="76"/>
      <c r="B699" s="76"/>
      <c r="C699" s="76"/>
      <c r="D699" s="76"/>
    </row>
    <row r="700" spans="1:4">
      <c r="A700" s="76"/>
      <c r="B700" s="76"/>
      <c r="C700" s="76"/>
      <c r="D700" s="76"/>
    </row>
    <row r="701" spans="1:4">
      <c r="A701" s="76"/>
      <c r="B701" s="76"/>
      <c r="C701" s="76"/>
      <c r="D701" s="76"/>
    </row>
    <row r="702" spans="1:4">
      <c r="A702" s="76"/>
      <c r="B702" s="76"/>
      <c r="C702" s="76"/>
      <c r="D702" s="76"/>
    </row>
    <row r="703" spans="1:4">
      <c r="A703" s="76"/>
      <c r="B703" s="76"/>
      <c r="C703" s="76"/>
      <c r="D703" s="76"/>
    </row>
    <row r="704" spans="1:4">
      <c r="A704" s="76"/>
      <c r="B704" s="76"/>
      <c r="C704" s="76"/>
      <c r="D704" s="76"/>
    </row>
    <row r="705" spans="1:4">
      <c r="A705" s="76"/>
      <c r="B705" s="76"/>
      <c r="C705" s="76"/>
      <c r="D705" s="76"/>
    </row>
    <row r="706" spans="1:4">
      <c r="A706" s="76"/>
      <c r="B706" s="76"/>
      <c r="C706" s="76"/>
      <c r="D706" s="76"/>
    </row>
    <row r="707" spans="1:4">
      <c r="A707" s="76"/>
      <c r="B707" s="76"/>
      <c r="C707" s="76"/>
      <c r="D707" s="76"/>
    </row>
    <row r="708" spans="1:4">
      <c r="A708" s="76"/>
      <c r="B708" s="76"/>
      <c r="C708" s="76"/>
      <c r="D708" s="76"/>
    </row>
    <row r="709" spans="1:4">
      <c r="A709" s="76"/>
      <c r="B709" s="76"/>
      <c r="C709" s="76"/>
      <c r="D709" s="76"/>
    </row>
    <row r="710" spans="1:4">
      <c r="A710" s="76"/>
      <c r="B710" s="76"/>
      <c r="C710" s="76"/>
      <c r="D710" s="76"/>
    </row>
    <row r="711" spans="1:4">
      <c r="A711" s="76"/>
      <c r="B711" s="76"/>
      <c r="C711" s="76"/>
      <c r="D711" s="76"/>
    </row>
    <row r="712" spans="1:4">
      <c r="A712" s="76"/>
      <c r="B712" s="76"/>
      <c r="C712" s="76"/>
      <c r="D712" s="76"/>
    </row>
    <row r="713" spans="1:4">
      <c r="A713" s="76"/>
      <c r="B713" s="76"/>
      <c r="C713" s="76"/>
      <c r="D713" s="76"/>
    </row>
    <row r="714" spans="1:4">
      <c r="A714" s="76"/>
      <c r="B714" s="76"/>
      <c r="C714" s="76"/>
      <c r="D714" s="76"/>
    </row>
    <row r="715" spans="1:4">
      <c r="A715" s="76"/>
      <c r="B715" s="76"/>
      <c r="C715" s="76"/>
      <c r="D715" s="76"/>
    </row>
    <row r="716" spans="1:4">
      <c r="A716" s="76"/>
      <c r="B716" s="76"/>
      <c r="C716" s="76"/>
      <c r="D716" s="76"/>
    </row>
    <row r="717" spans="1:4">
      <c r="A717" s="76"/>
      <c r="B717" s="76"/>
      <c r="C717" s="76"/>
      <c r="D717" s="76"/>
    </row>
    <row r="718" spans="1:4">
      <c r="A718" s="76"/>
      <c r="B718" s="76"/>
      <c r="C718" s="76"/>
      <c r="D718" s="76"/>
    </row>
    <row r="719" spans="1:4">
      <c r="A719" s="76"/>
      <c r="B719" s="76"/>
      <c r="C719" s="76"/>
      <c r="D719" s="76"/>
    </row>
    <row r="720" spans="1:4">
      <c r="A720" s="76"/>
      <c r="B720" s="76"/>
      <c r="C720" s="76"/>
      <c r="D720" s="76"/>
    </row>
    <row r="721" spans="1:4">
      <c r="A721" s="76"/>
      <c r="B721" s="76"/>
      <c r="C721" s="76"/>
      <c r="D721" s="76"/>
    </row>
    <row r="722" spans="1:4">
      <c r="A722" s="76"/>
      <c r="B722" s="76"/>
      <c r="C722" s="76"/>
      <c r="D722" s="76"/>
    </row>
    <row r="723" spans="1:4">
      <c r="A723" s="76"/>
      <c r="B723" s="76"/>
      <c r="C723" s="76"/>
      <c r="D723" s="76"/>
    </row>
    <row r="724" spans="1:4">
      <c r="A724" s="76"/>
      <c r="B724" s="76"/>
      <c r="C724" s="76"/>
      <c r="D724" s="76"/>
    </row>
    <row r="725" spans="1:4">
      <c r="A725" s="76"/>
      <c r="B725" s="76"/>
      <c r="C725" s="76"/>
      <c r="D725" s="76"/>
    </row>
    <row r="726" spans="1:4">
      <c r="A726" s="76"/>
      <c r="B726" s="76"/>
      <c r="C726" s="76"/>
      <c r="D726" s="76"/>
    </row>
    <row r="727" spans="1:4">
      <c r="A727" s="76"/>
      <c r="B727" s="76"/>
      <c r="C727" s="76"/>
      <c r="D727" s="76"/>
    </row>
    <row r="728" spans="1:4">
      <c r="A728" s="76"/>
      <c r="B728" s="76"/>
      <c r="C728" s="76"/>
      <c r="D728" s="76"/>
    </row>
    <row r="729" spans="1:4">
      <c r="A729" s="76"/>
      <c r="B729" s="76"/>
      <c r="C729" s="76"/>
      <c r="D729" s="76"/>
    </row>
    <row r="730" spans="1:4">
      <c r="A730" s="76"/>
      <c r="B730" s="76"/>
      <c r="C730" s="76"/>
      <c r="D730" s="76"/>
    </row>
    <row r="731" spans="1:4">
      <c r="A731" s="76"/>
      <c r="B731" s="76"/>
      <c r="C731" s="76"/>
      <c r="D731" s="76"/>
    </row>
    <row r="732" spans="1:4">
      <c r="A732" s="76"/>
      <c r="B732" s="76"/>
      <c r="C732" s="76"/>
      <c r="D732" s="76"/>
    </row>
    <row r="733" spans="1:4">
      <c r="A733" s="76"/>
      <c r="B733" s="76"/>
      <c r="C733" s="76"/>
      <c r="D733" s="76"/>
    </row>
    <row r="734" spans="1:4">
      <c r="A734" s="76"/>
      <c r="B734" s="76"/>
      <c r="C734" s="76"/>
      <c r="D734" s="76"/>
    </row>
    <row r="735" spans="1:4">
      <c r="A735" s="76"/>
      <c r="B735" s="76"/>
      <c r="C735" s="76"/>
      <c r="D735" s="76"/>
    </row>
    <row r="736" spans="1:4">
      <c r="A736" s="76"/>
      <c r="B736" s="76"/>
      <c r="C736" s="76"/>
      <c r="D736" s="76"/>
    </row>
    <row r="737" spans="1:4">
      <c r="A737" s="76"/>
      <c r="B737" s="76"/>
      <c r="C737" s="76"/>
      <c r="D737" s="76"/>
    </row>
    <row r="738" spans="1:4">
      <c r="A738" s="76"/>
      <c r="B738" s="76"/>
      <c r="C738" s="76"/>
      <c r="D738" s="76"/>
    </row>
    <row r="739" spans="1:4">
      <c r="A739" s="76"/>
      <c r="B739" s="76"/>
      <c r="C739" s="76"/>
      <c r="D739" s="76"/>
    </row>
    <row r="740" spans="1:4">
      <c r="A740" s="76"/>
      <c r="B740" s="76"/>
      <c r="C740" s="76"/>
      <c r="D740" s="76"/>
    </row>
    <row r="741" spans="1:4">
      <c r="A741" s="76"/>
      <c r="B741" s="76"/>
      <c r="C741" s="76"/>
      <c r="D741" s="76"/>
    </row>
    <row r="742" spans="1:4">
      <c r="A742" s="76"/>
      <c r="B742" s="76"/>
      <c r="C742" s="76"/>
      <c r="D742" s="76"/>
    </row>
    <row r="743" spans="1:4">
      <c r="A743" s="76"/>
      <c r="B743" s="76"/>
      <c r="C743" s="76"/>
      <c r="D743" s="76"/>
    </row>
    <row r="744" spans="1:4">
      <c r="A744" s="76"/>
      <c r="B744" s="76"/>
      <c r="C744" s="76"/>
      <c r="D744" s="76"/>
    </row>
    <row r="745" spans="1:4">
      <c r="A745" s="76"/>
      <c r="B745" s="76"/>
      <c r="C745" s="76"/>
      <c r="D745" s="76"/>
    </row>
    <row r="746" spans="1:4">
      <c r="A746" s="76"/>
      <c r="B746" s="76"/>
      <c r="C746" s="76"/>
      <c r="D746" s="76"/>
    </row>
    <row r="747" spans="1:4">
      <c r="A747" s="76"/>
      <c r="B747" s="76"/>
      <c r="C747" s="76"/>
      <c r="D747" s="76"/>
    </row>
    <row r="748" spans="1:4">
      <c r="A748" s="76"/>
      <c r="B748" s="76"/>
      <c r="C748" s="76"/>
      <c r="D748" s="76"/>
    </row>
    <row r="749" spans="1:4">
      <c r="A749" s="76"/>
      <c r="B749" s="76"/>
      <c r="C749" s="76"/>
      <c r="D749" s="76"/>
    </row>
    <row r="750" spans="1:4">
      <c r="A750" s="76"/>
      <c r="B750" s="76"/>
      <c r="C750" s="76"/>
      <c r="D750" s="76"/>
    </row>
    <row r="751" spans="1:4">
      <c r="A751" s="76"/>
      <c r="B751" s="76"/>
      <c r="C751" s="76"/>
      <c r="D751" s="76"/>
    </row>
    <row r="752" spans="1:4">
      <c r="A752" s="76"/>
      <c r="B752" s="76"/>
      <c r="C752" s="76"/>
      <c r="D752" s="76"/>
    </row>
    <row r="753" spans="1:4">
      <c r="A753" s="76"/>
      <c r="B753" s="76"/>
      <c r="C753" s="76"/>
      <c r="D753" s="76"/>
    </row>
    <row r="754" spans="1:4">
      <c r="A754" s="76"/>
      <c r="B754" s="76"/>
      <c r="C754" s="76"/>
      <c r="D754" s="76"/>
    </row>
    <row r="755" spans="1:4">
      <c r="A755" s="76"/>
      <c r="B755" s="76"/>
      <c r="C755" s="76"/>
      <c r="D755" s="76"/>
    </row>
    <row r="756" spans="1:4">
      <c r="A756" s="76"/>
      <c r="B756" s="76"/>
      <c r="C756" s="76"/>
      <c r="D756" s="76"/>
    </row>
    <row r="757" spans="1:4">
      <c r="A757" s="76"/>
      <c r="B757" s="76"/>
      <c r="C757" s="76"/>
      <c r="D757" s="76"/>
    </row>
    <row r="758" spans="1:4">
      <c r="A758" s="76"/>
      <c r="B758" s="76"/>
      <c r="C758" s="76"/>
      <c r="D758" s="76"/>
    </row>
    <row r="759" spans="1:4">
      <c r="A759" s="76"/>
      <c r="B759" s="76"/>
      <c r="C759" s="76"/>
      <c r="D759" s="76"/>
    </row>
    <row r="760" spans="1:4">
      <c r="A760" s="76"/>
      <c r="B760" s="76"/>
      <c r="C760" s="76"/>
      <c r="D760" s="76"/>
    </row>
    <row r="761" spans="1:4">
      <c r="A761" s="76"/>
      <c r="B761" s="76"/>
      <c r="C761" s="76"/>
      <c r="D761" s="76"/>
    </row>
    <row r="762" spans="1:4">
      <c r="A762" s="76"/>
      <c r="B762" s="76"/>
      <c r="C762" s="76"/>
      <c r="D762" s="76"/>
    </row>
    <row r="763" spans="1:4">
      <c r="A763" s="76"/>
      <c r="B763" s="76"/>
      <c r="C763" s="76"/>
      <c r="D763" s="76"/>
    </row>
    <row r="764" spans="1:4">
      <c r="A764" s="76"/>
      <c r="B764" s="76"/>
      <c r="C764" s="76"/>
      <c r="D764" s="76"/>
    </row>
    <row r="765" spans="1:4">
      <c r="A765" s="76"/>
      <c r="B765" s="76"/>
      <c r="C765" s="76"/>
      <c r="D765" s="76"/>
    </row>
    <row r="766" spans="1:4">
      <c r="A766" s="76"/>
      <c r="B766" s="76"/>
      <c r="C766" s="76"/>
      <c r="D766" s="76"/>
    </row>
    <row r="767" spans="1:4">
      <c r="A767" s="76"/>
      <c r="B767" s="76"/>
      <c r="C767" s="76"/>
      <c r="D767" s="76"/>
    </row>
    <row r="768" spans="1:4">
      <c r="A768" s="76"/>
      <c r="B768" s="76"/>
      <c r="C768" s="76"/>
      <c r="D768" s="76"/>
    </row>
    <row r="769" spans="1:4">
      <c r="A769" s="76"/>
      <c r="B769" s="76"/>
      <c r="C769" s="76"/>
      <c r="D769" s="76"/>
    </row>
    <row r="770" spans="1:4">
      <c r="A770" s="76"/>
      <c r="B770" s="76"/>
      <c r="C770" s="76"/>
      <c r="D770" s="76"/>
    </row>
    <row r="771" spans="1:4">
      <c r="A771" s="76"/>
      <c r="B771" s="76"/>
      <c r="C771" s="76"/>
      <c r="D771" s="76"/>
    </row>
    <row r="772" spans="1:4">
      <c r="A772" s="76"/>
      <c r="B772" s="76"/>
      <c r="C772" s="76"/>
      <c r="D772" s="76"/>
    </row>
    <row r="773" spans="1:4">
      <c r="A773" s="76"/>
      <c r="B773" s="76"/>
      <c r="C773" s="76"/>
      <c r="D773" s="76"/>
    </row>
    <row r="774" spans="1:4">
      <c r="A774" s="76"/>
      <c r="B774" s="76"/>
      <c r="C774" s="76"/>
      <c r="D774" s="76"/>
    </row>
    <row r="775" spans="1:4">
      <c r="A775" s="76"/>
      <c r="B775" s="76"/>
      <c r="C775" s="76"/>
      <c r="D775" s="76"/>
    </row>
    <row r="776" spans="1:4">
      <c r="A776" s="76"/>
      <c r="B776" s="76"/>
      <c r="C776" s="76"/>
      <c r="D776" s="76"/>
    </row>
    <row r="777" spans="1:4">
      <c r="A777" s="76"/>
      <c r="B777" s="76"/>
      <c r="C777" s="76"/>
      <c r="D777" s="76"/>
    </row>
    <row r="778" spans="1:4">
      <c r="A778" s="76"/>
      <c r="B778" s="76"/>
      <c r="C778" s="76"/>
      <c r="D778" s="76"/>
    </row>
    <row r="779" spans="1:4">
      <c r="A779" s="76"/>
      <c r="B779" s="76"/>
      <c r="C779" s="76"/>
      <c r="D779" s="76"/>
    </row>
    <row r="780" spans="1:4">
      <c r="A780" s="76"/>
      <c r="B780" s="76"/>
      <c r="C780" s="76"/>
      <c r="D780" s="76"/>
    </row>
    <row r="781" spans="1:4">
      <c r="A781" s="76"/>
      <c r="B781" s="76"/>
      <c r="C781" s="76"/>
      <c r="D781" s="76"/>
    </row>
    <row r="782" spans="1:4">
      <c r="A782" s="76"/>
      <c r="B782" s="76"/>
      <c r="C782" s="76"/>
      <c r="D782" s="76"/>
    </row>
    <row r="783" spans="1:4">
      <c r="A783" s="76"/>
      <c r="B783" s="76"/>
      <c r="C783" s="76"/>
      <c r="D783" s="76"/>
    </row>
    <row r="784" spans="1:4">
      <c r="A784" s="76"/>
      <c r="B784" s="76"/>
      <c r="C784" s="76"/>
      <c r="D784" s="76"/>
    </row>
    <row r="785" spans="1:4">
      <c r="A785" s="76"/>
      <c r="B785" s="76"/>
      <c r="C785" s="76"/>
      <c r="D785" s="76"/>
    </row>
    <row r="786" spans="1:4">
      <c r="A786" s="76"/>
      <c r="B786" s="76"/>
      <c r="C786" s="76"/>
      <c r="D786" s="76"/>
    </row>
    <row r="787" spans="1:4">
      <c r="A787" s="76"/>
      <c r="B787" s="76"/>
      <c r="C787" s="76"/>
      <c r="D787" s="76"/>
    </row>
    <row r="788" spans="1:4">
      <c r="A788" s="76"/>
      <c r="B788" s="76"/>
      <c r="C788" s="76"/>
      <c r="D788" s="76"/>
    </row>
    <row r="789" spans="1:4">
      <c r="A789" s="76"/>
      <c r="B789" s="76"/>
      <c r="C789" s="76"/>
      <c r="D789" s="76"/>
    </row>
    <row r="790" spans="1:4">
      <c r="A790" s="76"/>
      <c r="B790" s="76"/>
      <c r="C790" s="76"/>
      <c r="D790" s="76"/>
    </row>
    <row r="791" spans="1:4">
      <c r="A791" s="76"/>
      <c r="B791" s="76"/>
      <c r="C791" s="76"/>
      <c r="D791" s="76"/>
    </row>
    <row r="792" spans="1:4">
      <c r="A792" s="76"/>
      <c r="B792" s="76"/>
      <c r="C792" s="76"/>
      <c r="D792" s="76"/>
    </row>
    <row r="793" spans="1:4">
      <c r="A793" s="76"/>
      <c r="B793" s="76"/>
      <c r="C793" s="76"/>
      <c r="D793" s="76"/>
    </row>
    <row r="794" spans="1:4">
      <c r="A794" s="76"/>
      <c r="B794" s="76"/>
      <c r="C794" s="76"/>
      <c r="D794" s="76"/>
    </row>
    <row r="795" spans="1:4">
      <c r="A795" s="76"/>
      <c r="B795" s="76"/>
      <c r="C795" s="76"/>
      <c r="D795" s="76"/>
    </row>
    <row r="796" spans="1:4">
      <c r="A796" s="76"/>
      <c r="B796" s="76"/>
      <c r="C796" s="76"/>
      <c r="D796" s="76"/>
    </row>
    <row r="797" spans="1:4">
      <c r="A797" s="76"/>
      <c r="B797" s="76"/>
      <c r="C797" s="76"/>
      <c r="D797" s="76"/>
    </row>
    <row r="798" spans="1:4">
      <c r="A798" s="76"/>
      <c r="B798" s="76"/>
      <c r="C798" s="76"/>
      <c r="D798" s="76"/>
    </row>
    <row r="799" spans="1:4">
      <c r="A799" s="76"/>
      <c r="B799" s="76"/>
      <c r="C799" s="76"/>
      <c r="D799" s="76"/>
    </row>
    <row r="800" spans="1:4">
      <c r="A800" s="76"/>
      <c r="B800" s="76"/>
      <c r="C800" s="76"/>
      <c r="D800" s="76"/>
    </row>
    <row r="801" spans="1:4">
      <c r="A801" s="76"/>
      <c r="B801" s="76"/>
      <c r="C801" s="76"/>
      <c r="D801" s="76"/>
    </row>
    <row r="802" spans="1:4">
      <c r="A802" s="76"/>
      <c r="B802" s="76"/>
      <c r="C802" s="76"/>
      <c r="D802" s="76"/>
    </row>
    <row r="803" spans="1:4">
      <c r="A803" s="76"/>
      <c r="B803" s="76"/>
      <c r="C803" s="76"/>
      <c r="D803" s="76"/>
    </row>
    <row r="804" spans="1:4">
      <c r="A804" s="76"/>
      <c r="B804" s="76"/>
      <c r="C804" s="76"/>
      <c r="D804" s="76"/>
    </row>
    <row r="805" spans="1:4">
      <c r="A805" s="76"/>
      <c r="B805" s="76"/>
      <c r="C805" s="76"/>
      <c r="D805" s="76"/>
    </row>
    <row r="806" spans="1:4">
      <c r="A806" s="76"/>
      <c r="B806" s="76"/>
      <c r="C806" s="76"/>
      <c r="D806" s="76"/>
    </row>
    <row r="807" spans="1:4">
      <c r="A807" s="76"/>
      <c r="B807" s="76"/>
      <c r="C807" s="76"/>
      <c r="D807" s="76"/>
    </row>
    <row r="808" spans="1:4">
      <c r="A808" s="76"/>
      <c r="B808" s="76"/>
      <c r="C808" s="76"/>
      <c r="D808" s="76"/>
    </row>
    <row r="809" spans="1:4">
      <c r="A809" s="76"/>
      <c r="B809" s="76"/>
      <c r="C809" s="76"/>
      <c r="D809" s="76"/>
    </row>
    <row r="810" spans="1:4">
      <c r="A810" s="76"/>
      <c r="B810" s="76"/>
      <c r="C810" s="76"/>
      <c r="D810" s="76"/>
    </row>
    <row r="811" spans="1:4">
      <c r="A811" s="76"/>
      <c r="B811" s="76"/>
      <c r="C811" s="76"/>
      <c r="D811" s="76"/>
    </row>
    <row r="812" spans="1:4">
      <c r="A812" s="76"/>
      <c r="B812" s="76"/>
      <c r="C812" s="76"/>
      <c r="D812" s="76"/>
    </row>
    <row r="813" spans="1:4">
      <c r="A813" s="76"/>
      <c r="B813" s="76"/>
      <c r="C813" s="76"/>
      <c r="D813" s="76"/>
    </row>
    <row r="814" spans="1:4">
      <c r="A814" s="76"/>
      <c r="B814" s="76"/>
      <c r="C814" s="76"/>
      <c r="D814" s="76"/>
    </row>
    <row r="815" spans="1:4">
      <c r="A815" s="76"/>
      <c r="B815" s="76"/>
      <c r="C815" s="76"/>
      <c r="D815" s="76"/>
    </row>
    <row r="816" spans="1:4">
      <c r="A816" s="76"/>
      <c r="B816" s="76"/>
      <c r="C816" s="76"/>
      <c r="D816" s="76"/>
    </row>
    <row r="817" spans="1:4">
      <c r="A817" s="76"/>
      <c r="B817" s="76"/>
      <c r="C817" s="76"/>
      <c r="D817" s="76"/>
    </row>
    <row r="818" spans="1:4">
      <c r="A818" s="76"/>
      <c r="B818" s="76"/>
      <c r="C818" s="76"/>
      <c r="D818" s="76"/>
    </row>
    <row r="819" spans="1:4">
      <c r="A819" s="76"/>
      <c r="B819" s="76"/>
      <c r="C819" s="76"/>
      <c r="D819" s="76"/>
    </row>
    <row r="820" spans="1:4">
      <c r="A820" s="76"/>
      <c r="B820" s="76"/>
      <c r="C820" s="76"/>
      <c r="D820" s="76"/>
    </row>
    <row r="821" spans="1:4">
      <c r="A821" s="76"/>
      <c r="B821" s="76"/>
      <c r="C821" s="76"/>
      <c r="D821" s="76"/>
    </row>
    <row r="822" spans="1:4">
      <c r="A822" s="76"/>
      <c r="B822" s="76"/>
      <c r="C822" s="76"/>
      <c r="D822" s="76"/>
    </row>
    <row r="823" spans="1:4">
      <c r="A823" s="76"/>
      <c r="B823" s="76"/>
      <c r="C823" s="76"/>
      <c r="D823" s="76"/>
    </row>
    <row r="824" spans="1:4">
      <c r="A824" s="76"/>
      <c r="B824" s="76"/>
      <c r="C824" s="76"/>
      <c r="D824" s="76"/>
    </row>
    <row r="825" spans="1:4">
      <c r="A825" s="76"/>
      <c r="B825" s="76"/>
      <c r="C825" s="76"/>
      <c r="D825" s="76"/>
    </row>
    <row r="826" spans="1:4">
      <c r="A826" s="76"/>
      <c r="B826" s="76"/>
      <c r="C826" s="76"/>
      <c r="D826" s="76"/>
    </row>
    <row r="827" spans="1:4">
      <c r="A827" s="76"/>
      <c r="B827" s="76"/>
      <c r="C827" s="76"/>
      <c r="D827" s="76"/>
    </row>
    <row r="828" spans="1:4">
      <c r="A828" s="76"/>
      <c r="B828" s="76"/>
      <c r="C828" s="76"/>
      <c r="D828" s="76"/>
    </row>
    <row r="829" spans="1:4">
      <c r="A829" s="76"/>
      <c r="B829" s="76"/>
      <c r="C829" s="76"/>
      <c r="D829" s="76"/>
    </row>
    <row r="830" spans="1:4">
      <c r="A830" s="76"/>
      <c r="B830" s="76"/>
      <c r="C830" s="76"/>
      <c r="D830" s="76"/>
    </row>
    <row r="831" spans="1:4">
      <c r="A831" s="76"/>
      <c r="B831" s="76"/>
      <c r="C831" s="76"/>
      <c r="D831" s="76"/>
    </row>
    <row r="832" spans="1:4">
      <c r="A832" s="76"/>
      <c r="B832" s="76"/>
      <c r="C832" s="76"/>
      <c r="D832" s="76"/>
    </row>
    <row r="833" spans="1:4">
      <c r="A833" s="76"/>
      <c r="B833" s="76"/>
      <c r="C833" s="76"/>
      <c r="D833" s="76"/>
    </row>
    <row r="834" spans="1:4">
      <c r="A834" s="76"/>
      <c r="B834" s="76"/>
      <c r="C834" s="76"/>
      <c r="D834" s="76"/>
    </row>
    <row r="835" spans="1:4">
      <c r="A835" s="76"/>
      <c r="B835" s="76"/>
      <c r="C835" s="76"/>
      <c r="D835" s="76"/>
    </row>
    <row r="836" spans="1:4">
      <c r="A836" s="76"/>
      <c r="B836" s="76"/>
      <c r="C836" s="76"/>
      <c r="D836" s="76"/>
    </row>
    <row r="837" spans="1:4">
      <c r="A837" s="76"/>
      <c r="B837" s="76"/>
      <c r="C837" s="76"/>
      <c r="D837" s="76"/>
    </row>
    <row r="838" spans="1:4">
      <c r="A838" s="76"/>
      <c r="B838" s="76"/>
      <c r="C838" s="76"/>
      <c r="D838" s="76"/>
    </row>
    <row r="839" spans="1:4">
      <c r="A839" s="76"/>
      <c r="B839" s="76"/>
      <c r="C839" s="76"/>
      <c r="D839" s="76"/>
    </row>
    <row r="840" spans="1:4">
      <c r="A840" s="76"/>
      <c r="B840" s="76"/>
      <c r="C840" s="76"/>
      <c r="D840" s="76"/>
    </row>
    <row r="841" spans="1:4">
      <c r="A841" s="76"/>
      <c r="B841" s="76"/>
      <c r="C841" s="76"/>
      <c r="D841" s="76"/>
    </row>
    <row r="842" spans="1:4">
      <c r="A842" s="76"/>
      <c r="B842" s="76"/>
      <c r="C842" s="76"/>
      <c r="D842" s="76"/>
    </row>
    <row r="843" spans="1:4">
      <c r="A843" s="76"/>
      <c r="B843" s="76"/>
      <c r="C843" s="76"/>
      <c r="D843" s="76"/>
    </row>
    <row r="844" spans="1:4">
      <c r="A844" s="76"/>
      <c r="B844" s="76"/>
      <c r="C844" s="76"/>
      <c r="D844" s="76"/>
    </row>
    <row r="845" spans="1:4">
      <c r="A845" s="76"/>
      <c r="B845" s="76"/>
      <c r="C845" s="76"/>
      <c r="D845" s="76"/>
    </row>
    <row r="846" spans="1:4">
      <c r="A846" s="76"/>
      <c r="B846" s="76"/>
      <c r="C846" s="76"/>
      <c r="D846" s="76"/>
    </row>
    <row r="847" spans="1:4">
      <c r="A847" s="76"/>
      <c r="B847" s="76"/>
      <c r="C847" s="76"/>
      <c r="D847" s="76"/>
    </row>
    <row r="848" spans="1:4">
      <c r="A848" s="76"/>
      <c r="B848" s="76"/>
      <c r="C848" s="76"/>
      <c r="D848" s="76"/>
    </row>
    <row r="849" spans="1:4">
      <c r="A849" s="76"/>
      <c r="B849" s="76"/>
      <c r="C849" s="76"/>
      <c r="D849" s="76"/>
    </row>
    <row r="850" spans="1:4">
      <c r="A850" s="76"/>
      <c r="B850" s="76"/>
      <c r="C850" s="76"/>
      <c r="D850" s="76"/>
    </row>
    <row r="851" spans="1:4">
      <c r="A851" s="76"/>
      <c r="B851" s="76"/>
      <c r="C851" s="76"/>
      <c r="D851" s="76"/>
    </row>
    <row r="852" spans="1:4">
      <c r="A852" s="76"/>
      <c r="B852" s="76"/>
      <c r="C852" s="76"/>
      <c r="D852" s="76"/>
    </row>
    <row r="853" spans="1:4">
      <c r="A853" s="76"/>
      <c r="B853" s="76"/>
      <c r="C853" s="76"/>
      <c r="D853" s="76"/>
    </row>
    <row r="854" spans="1:4">
      <c r="A854" s="76"/>
      <c r="B854" s="76"/>
      <c r="C854" s="76"/>
      <c r="D854" s="76"/>
    </row>
    <row r="855" spans="1:4">
      <c r="A855" s="76"/>
      <c r="B855" s="76"/>
      <c r="C855" s="76"/>
      <c r="D855" s="76"/>
    </row>
    <row r="856" spans="1:4">
      <c r="A856" s="76"/>
      <c r="B856" s="76"/>
      <c r="C856" s="76"/>
      <c r="D856" s="76"/>
    </row>
    <row r="857" spans="1:4">
      <c r="A857" s="76"/>
      <c r="B857" s="76"/>
      <c r="C857" s="76"/>
      <c r="D857" s="76"/>
    </row>
    <row r="858" spans="1:4">
      <c r="A858" s="76"/>
      <c r="B858" s="76"/>
      <c r="C858" s="76"/>
      <c r="D858" s="76"/>
    </row>
    <row r="859" spans="1:4">
      <c r="A859" s="76"/>
      <c r="B859" s="76"/>
      <c r="C859" s="76"/>
      <c r="D859" s="76"/>
    </row>
    <row r="860" spans="1:4">
      <c r="A860" s="76"/>
      <c r="B860" s="76"/>
      <c r="C860" s="76"/>
      <c r="D860" s="76"/>
    </row>
    <row r="861" spans="1:4">
      <c r="A861" s="76"/>
      <c r="B861" s="76"/>
      <c r="C861" s="76"/>
      <c r="D861" s="76"/>
    </row>
    <row r="862" spans="1:4">
      <c r="A862" s="76"/>
      <c r="B862" s="76"/>
      <c r="C862" s="76"/>
      <c r="D862" s="76"/>
    </row>
    <row r="863" spans="1:4">
      <c r="A863" s="76"/>
      <c r="B863" s="76"/>
      <c r="C863" s="76"/>
      <c r="D863" s="76"/>
    </row>
    <row r="864" spans="1:4">
      <c r="A864" s="76"/>
      <c r="B864" s="76"/>
      <c r="C864" s="76"/>
      <c r="D864" s="76"/>
    </row>
    <row r="865" spans="1:4">
      <c r="A865" s="76"/>
      <c r="B865" s="76"/>
      <c r="C865" s="76"/>
      <c r="D865" s="76"/>
    </row>
    <row r="866" spans="1:4">
      <c r="A866" s="76"/>
      <c r="B866" s="76"/>
      <c r="C866" s="76"/>
      <c r="D866" s="76"/>
    </row>
    <row r="867" spans="1:4">
      <c r="A867" s="76"/>
      <c r="B867" s="76"/>
      <c r="C867" s="76"/>
      <c r="D867" s="76"/>
    </row>
    <row r="868" spans="1:4">
      <c r="A868" s="76"/>
      <c r="B868" s="76"/>
      <c r="C868" s="76"/>
      <c r="D868" s="76"/>
    </row>
    <row r="869" spans="1:4">
      <c r="A869" s="76"/>
      <c r="B869" s="76"/>
      <c r="C869" s="76"/>
      <c r="D869" s="76"/>
    </row>
    <row r="870" spans="1:4">
      <c r="A870" s="76"/>
      <c r="B870" s="76"/>
      <c r="C870" s="76"/>
      <c r="D870" s="76"/>
    </row>
    <row r="871" spans="1:4">
      <c r="A871" s="76"/>
      <c r="B871" s="76"/>
      <c r="C871" s="76"/>
      <c r="D871" s="76"/>
    </row>
    <row r="872" spans="1:4">
      <c r="A872" s="76"/>
      <c r="B872" s="76"/>
      <c r="C872" s="76"/>
      <c r="D872" s="76"/>
    </row>
    <row r="873" spans="1:4">
      <c r="A873" s="76"/>
      <c r="B873" s="76"/>
      <c r="C873" s="76"/>
      <c r="D873" s="76"/>
    </row>
    <row r="874" spans="1:4">
      <c r="A874" s="76"/>
      <c r="B874" s="76"/>
      <c r="C874" s="76"/>
      <c r="D874" s="76"/>
    </row>
    <row r="875" spans="1:4">
      <c r="A875" s="76"/>
      <c r="B875" s="76"/>
      <c r="C875" s="76"/>
      <c r="D875" s="76"/>
    </row>
    <row r="876" spans="1:4">
      <c r="A876" s="76"/>
      <c r="B876" s="76"/>
      <c r="C876" s="76"/>
      <c r="D876" s="76"/>
    </row>
    <row r="877" spans="1:4">
      <c r="A877" s="76"/>
      <c r="B877" s="76"/>
      <c r="C877" s="76"/>
      <c r="D877" s="76"/>
    </row>
    <row r="878" spans="1:4">
      <c r="A878" s="76"/>
      <c r="B878" s="76"/>
      <c r="C878" s="76"/>
      <c r="D878" s="76"/>
    </row>
    <row r="879" spans="1:4">
      <c r="A879" s="76"/>
      <c r="B879" s="76"/>
      <c r="C879" s="76"/>
      <c r="D879" s="76"/>
    </row>
    <row r="880" spans="1:4">
      <c r="A880" s="76"/>
      <c r="B880" s="76"/>
      <c r="C880" s="76"/>
      <c r="D880" s="76"/>
    </row>
    <row r="881" spans="1:4">
      <c r="A881" s="76"/>
      <c r="B881" s="76"/>
      <c r="C881" s="76"/>
      <c r="D881" s="76"/>
    </row>
    <row r="882" spans="1:4">
      <c r="A882" s="76"/>
      <c r="B882" s="76"/>
      <c r="C882" s="76"/>
      <c r="D882" s="76"/>
    </row>
    <row r="883" spans="1:4">
      <c r="A883" s="76"/>
      <c r="B883" s="76"/>
      <c r="C883" s="76"/>
      <c r="D883" s="76"/>
    </row>
    <row r="884" spans="1:4">
      <c r="A884" s="76"/>
      <c r="B884" s="76"/>
      <c r="C884" s="76"/>
      <c r="D884" s="76"/>
    </row>
    <row r="885" spans="1:4">
      <c r="A885" s="76"/>
      <c r="B885" s="76"/>
      <c r="C885" s="76"/>
      <c r="D885" s="76"/>
    </row>
    <row r="886" spans="1:4">
      <c r="A886" s="76"/>
      <c r="B886" s="76"/>
      <c r="C886" s="76"/>
      <c r="D886" s="76"/>
    </row>
    <row r="887" spans="1:4">
      <c r="A887" s="76"/>
      <c r="B887" s="76"/>
      <c r="C887" s="76"/>
      <c r="D887" s="76"/>
    </row>
    <row r="888" spans="1:4">
      <c r="A888" s="76"/>
      <c r="B888" s="76"/>
      <c r="C888" s="76"/>
      <c r="D888" s="76"/>
    </row>
    <row r="889" spans="1:4">
      <c r="A889" s="76"/>
      <c r="B889" s="76"/>
      <c r="C889" s="76"/>
      <c r="D889" s="76"/>
    </row>
    <row r="890" spans="1:4">
      <c r="A890" s="76"/>
      <c r="B890" s="76"/>
      <c r="C890" s="76"/>
      <c r="D890" s="76"/>
    </row>
    <row r="891" spans="1:4">
      <c r="A891" s="76"/>
      <c r="B891" s="76"/>
      <c r="C891" s="76"/>
      <c r="D891" s="76"/>
    </row>
    <row r="892" spans="1:4">
      <c r="A892" s="76"/>
      <c r="B892" s="76"/>
      <c r="C892" s="76"/>
      <c r="D892" s="76"/>
    </row>
    <row r="893" spans="1:4">
      <c r="A893" s="76"/>
      <c r="B893" s="76"/>
      <c r="C893" s="76"/>
      <c r="D893" s="76"/>
    </row>
    <row r="894" spans="1:4">
      <c r="A894" s="76"/>
      <c r="B894" s="76"/>
      <c r="C894" s="76"/>
      <c r="D894" s="76"/>
    </row>
    <row r="895" spans="1:4">
      <c r="A895" s="76"/>
      <c r="B895" s="76"/>
      <c r="C895" s="76"/>
      <c r="D895" s="76"/>
    </row>
    <row r="896" spans="1:4">
      <c r="A896" s="76"/>
      <c r="B896" s="76"/>
      <c r="C896" s="76"/>
      <c r="D896" s="76"/>
    </row>
    <row r="897" spans="1:4">
      <c r="A897" s="76"/>
      <c r="B897" s="76"/>
      <c r="C897" s="76"/>
      <c r="D897" s="76"/>
    </row>
    <row r="898" spans="1:4">
      <c r="A898" s="76"/>
      <c r="B898" s="76"/>
      <c r="C898" s="76"/>
      <c r="D898" s="76"/>
    </row>
    <row r="899" spans="1:4">
      <c r="A899" s="76"/>
      <c r="B899" s="76"/>
      <c r="C899" s="76"/>
      <c r="D899" s="76"/>
    </row>
    <row r="900" spans="1:4">
      <c r="A900" s="76"/>
      <c r="B900" s="76"/>
      <c r="C900" s="76"/>
      <c r="D900" s="76"/>
    </row>
    <row r="901" spans="1:4">
      <c r="A901" s="76"/>
      <c r="B901" s="76"/>
      <c r="C901" s="76"/>
      <c r="D901" s="76"/>
    </row>
    <row r="902" spans="1:4">
      <c r="A902" s="76"/>
      <c r="B902" s="76"/>
      <c r="C902" s="76"/>
      <c r="D902" s="76"/>
    </row>
    <row r="903" spans="1:4">
      <c r="A903" s="76"/>
      <c r="B903" s="76"/>
      <c r="C903" s="76"/>
      <c r="D903" s="76"/>
    </row>
    <row r="904" spans="1:4">
      <c r="A904" s="76"/>
      <c r="B904" s="76"/>
      <c r="C904" s="76"/>
      <c r="D904" s="76"/>
    </row>
    <row r="905" spans="1:4">
      <c r="A905" s="76"/>
      <c r="B905" s="76"/>
      <c r="C905" s="76"/>
      <c r="D905" s="76"/>
    </row>
    <row r="906" spans="1:4">
      <c r="A906" s="76"/>
      <c r="B906" s="76"/>
      <c r="C906" s="76"/>
      <c r="D906" s="76"/>
    </row>
    <row r="907" spans="1:4">
      <c r="A907" s="76"/>
      <c r="B907" s="76"/>
      <c r="C907" s="76"/>
      <c r="D907" s="76"/>
    </row>
    <row r="908" spans="1:4">
      <c r="A908" s="76"/>
      <c r="B908" s="76"/>
      <c r="C908" s="76"/>
      <c r="D908" s="76"/>
    </row>
    <row r="909" spans="1:4">
      <c r="A909" s="76"/>
      <c r="B909" s="76"/>
      <c r="C909" s="76"/>
      <c r="D909" s="76"/>
    </row>
    <row r="910" spans="1:4">
      <c r="A910" s="76"/>
      <c r="B910" s="76"/>
      <c r="C910" s="76"/>
      <c r="D910" s="76"/>
    </row>
    <row r="911" spans="1:4">
      <c r="A911" s="76"/>
      <c r="B911" s="76"/>
      <c r="C911" s="76"/>
      <c r="D911" s="76"/>
    </row>
    <row r="912" spans="1:4">
      <c r="A912" s="76"/>
      <c r="B912" s="76"/>
      <c r="C912" s="76"/>
      <c r="D912" s="76"/>
    </row>
    <row r="913" spans="1:4">
      <c r="A913" s="76"/>
      <c r="B913" s="76"/>
      <c r="C913" s="76"/>
      <c r="D913" s="76"/>
    </row>
    <row r="914" spans="1:4">
      <c r="A914" s="76"/>
      <c r="B914" s="76"/>
      <c r="C914" s="76"/>
      <c r="D914" s="76"/>
    </row>
    <row r="915" spans="1:4">
      <c r="A915" s="76"/>
      <c r="B915" s="76"/>
      <c r="C915" s="76"/>
      <c r="D915" s="76"/>
    </row>
    <row r="916" spans="1:4">
      <c r="A916" s="76"/>
      <c r="B916" s="76"/>
      <c r="C916" s="76"/>
      <c r="D916" s="76"/>
    </row>
    <row r="917" spans="1:4">
      <c r="A917" s="76"/>
      <c r="B917" s="76"/>
      <c r="C917" s="76"/>
      <c r="D917" s="76"/>
    </row>
    <row r="918" spans="1:4">
      <c r="A918" s="76"/>
      <c r="B918" s="76"/>
      <c r="C918" s="76"/>
      <c r="D918" s="76"/>
    </row>
    <row r="919" spans="1:4">
      <c r="A919" s="76"/>
      <c r="B919" s="76"/>
      <c r="C919" s="76"/>
      <c r="D919" s="76"/>
    </row>
    <row r="920" spans="1:4">
      <c r="A920" s="76"/>
      <c r="B920" s="76"/>
      <c r="C920" s="76"/>
      <c r="D920" s="76"/>
    </row>
    <row r="921" spans="1:4">
      <c r="A921" s="76"/>
      <c r="B921" s="76"/>
      <c r="C921" s="76"/>
      <c r="D921" s="76"/>
    </row>
    <row r="922" spans="1:4">
      <c r="A922" s="76"/>
      <c r="B922" s="76"/>
      <c r="C922" s="76"/>
      <c r="D922" s="76"/>
    </row>
    <row r="923" spans="1:4">
      <c r="A923" s="76"/>
      <c r="B923" s="76"/>
      <c r="C923" s="76"/>
      <c r="D923" s="76"/>
    </row>
    <row r="924" spans="1:4">
      <c r="A924" s="76"/>
      <c r="B924" s="76"/>
      <c r="C924" s="76"/>
      <c r="D924" s="76"/>
    </row>
    <row r="925" spans="1:4">
      <c r="A925" s="76"/>
      <c r="B925" s="76"/>
      <c r="C925" s="76"/>
      <c r="D925" s="76"/>
    </row>
    <row r="926" spans="1:4">
      <c r="A926" s="76"/>
      <c r="B926" s="76"/>
      <c r="C926" s="76"/>
      <c r="D926" s="76"/>
    </row>
    <row r="927" spans="1:4">
      <c r="A927" s="76"/>
      <c r="B927" s="76"/>
      <c r="C927" s="76"/>
      <c r="D927" s="76"/>
    </row>
    <row r="928" spans="1:4">
      <c r="A928" s="76"/>
      <c r="B928" s="76"/>
      <c r="C928" s="76"/>
      <c r="D928" s="76"/>
    </row>
    <row r="929" spans="1:4">
      <c r="A929" s="76"/>
      <c r="B929" s="76"/>
      <c r="C929" s="76"/>
      <c r="D929" s="76"/>
    </row>
    <row r="930" spans="1:4">
      <c r="A930" s="76"/>
      <c r="B930" s="76"/>
      <c r="C930" s="76"/>
      <c r="D930" s="76"/>
    </row>
    <row r="931" spans="1:4">
      <c r="A931" s="76"/>
      <c r="B931" s="76"/>
      <c r="C931" s="76"/>
      <c r="D931" s="76"/>
    </row>
    <row r="932" spans="1:4">
      <c r="A932" s="76"/>
      <c r="B932" s="76"/>
      <c r="C932" s="76"/>
      <c r="D932" s="76"/>
    </row>
    <row r="933" spans="1:4">
      <c r="A933" s="76"/>
      <c r="B933" s="76"/>
      <c r="C933" s="76"/>
      <c r="D933" s="76"/>
    </row>
    <row r="934" spans="1:4">
      <c r="A934" s="76"/>
      <c r="B934" s="76"/>
      <c r="C934" s="76"/>
      <c r="D934" s="76"/>
    </row>
    <row r="935" spans="1:4">
      <c r="A935" s="76"/>
      <c r="B935" s="76"/>
      <c r="C935" s="76"/>
      <c r="D935" s="76"/>
    </row>
    <row r="936" spans="1:4">
      <c r="A936" s="76"/>
      <c r="B936" s="76"/>
      <c r="C936" s="76"/>
      <c r="D936" s="76"/>
    </row>
    <row r="937" spans="1:4">
      <c r="A937" s="76"/>
      <c r="B937" s="76"/>
      <c r="C937" s="76"/>
      <c r="D937" s="76"/>
    </row>
    <row r="938" spans="1:4">
      <c r="A938" s="76"/>
      <c r="B938" s="76"/>
      <c r="C938" s="76"/>
      <c r="D938" s="76"/>
    </row>
    <row r="939" spans="1:4">
      <c r="A939" s="76"/>
      <c r="B939" s="76"/>
      <c r="C939" s="76"/>
      <c r="D939" s="76"/>
    </row>
    <row r="940" spans="1:4">
      <c r="A940" s="76"/>
      <c r="B940" s="76"/>
      <c r="C940" s="76"/>
      <c r="D940" s="76"/>
    </row>
    <row r="941" spans="1:4">
      <c r="A941" s="76"/>
      <c r="B941" s="76"/>
      <c r="C941" s="76"/>
      <c r="D941" s="76"/>
    </row>
    <row r="942" spans="1:4">
      <c r="A942" s="76"/>
      <c r="B942" s="76"/>
      <c r="C942" s="76"/>
      <c r="D942" s="76"/>
    </row>
    <row r="943" spans="1:4">
      <c r="A943" s="76"/>
      <c r="B943" s="76"/>
      <c r="C943" s="76"/>
      <c r="D943" s="76"/>
    </row>
    <row r="944" spans="1:4">
      <c r="A944" s="76"/>
      <c r="B944" s="76"/>
      <c r="C944" s="76"/>
      <c r="D944" s="76"/>
    </row>
    <row r="945" spans="1:4">
      <c r="A945" s="76"/>
      <c r="B945" s="76"/>
      <c r="C945" s="76"/>
      <c r="D945" s="76"/>
    </row>
    <row r="946" spans="1:4">
      <c r="A946" s="76"/>
      <c r="B946" s="76"/>
      <c r="C946" s="76"/>
      <c r="D946" s="76"/>
    </row>
    <row r="947" spans="1:4">
      <c r="A947" s="76"/>
      <c r="B947" s="76"/>
      <c r="C947" s="76"/>
      <c r="D947" s="76"/>
    </row>
    <row r="948" spans="1:4">
      <c r="A948" s="76"/>
      <c r="B948" s="76"/>
      <c r="C948" s="76"/>
      <c r="D948" s="76"/>
    </row>
    <row r="949" spans="1:4">
      <c r="A949" s="76"/>
      <c r="B949" s="76"/>
      <c r="C949" s="76"/>
      <c r="D949" s="76"/>
    </row>
    <row r="950" spans="1:4">
      <c r="A950" s="76"/>
      <c r="B950" s="76"/>
      <c r="C950" s="76"/>
      <c r="D950" s="76"/>
    </row>
    <row r="951" spans="1:4">
      <c r="A951" s="76"/>
      <c r="B951" s="76"/>
      <c r="C951" s="76"/>
      <c r="D951" s="76"/>
    </row>
    <row r="952" spans="1:4">
      <c r="A952" s="76"/>
      <c r="B952" s="76"/>
      <c r="C952" s="76"/>
      <c r="D952" s="76"/>
    </row>
    <row r="953" spans="1:4">
      <c r="A953" s="76"/>
      <c r="B953" s="76"/>
      <c r="C953" s="76"/>
      <c r="D953" s="76"/>
    </row>
    <row r="954" spans="1:4">
      <c r="A954" s="76"/>
      <c r="B954" s="76"/>
      <c r="C954" s="76"/>
      <c r="D954" s="76"/>
    </row>
    <row r="955" spans="1:4">
      <c r="A955" s="76"/>
      <c r="B955" s="76"/>
      <c r="C955" s="76"/>
      <c r="D955" s="76"/>
    </row>
    <row r="956" spans="1:4">
      <c r="A956" s="76"/>
      <c r="B956" s="76"/>
      <c r="C956" s="76"/>
      <c r="D956" s="76"/>
    </row>
    <row r="957" spans="1:4">
      <c r="A957" s="76"/>
      <c r="B957" s="76"/>
      <c r="C957" s="76"/>
      <c r="D957" s="76"/>
    </row>
    <row r="958" spans="1:4">
      <c r="A958" s="76"/>
      <c r="B958" s="76"/>
      <c r="C958" s="76"/>
      <c r="D958" s="76"/>
    </row>
    <row r="959" spans="1:4">
      <c r="A959" s="76"/>
      <c r="B959" s="76"/>
      <c r="C959" s="76"/>
      <c r="D959" s="76"/>
    </row>
    <row r="960" spans="1:4">
      <c r="A960" s="76"/>
      <c r="B960" s="76"/>
      <c r="C960" s="76"/>
      <c r="D960" s="76"/>
    </row>
    <row r="961" spans="1:4">
      <c r="A961" s="76"/>
      <c r="B961" s="76"/>
      <c r="C961" s="76"/>
      <c r="D961" s="76"/>
    </row>
    <row r="962" spans="1:4">
      <c r="A962" s="76"/>
      <c r="B962" s="76"/>
      <c r="C962" s="76"/>
      <c r="D962" s="76"/>
    </row>
    <row r="963" spans="1:4">
      <c r="A963" s="76"/>
      <c r="B963" s="76"/>
      <c r="C963" s="76"/>
      <c r="D963" s="76"/>
    </row>
    <row r="964" spans="1:4">
      <c r="A964" s="76"/>
      <c r="B964" s="76"/>
      <c r="C964" s="76"/>
      <c r="D964" s="76"/>
    </row>
    <row r="965" spans="1:4">
      <c r="A965" s="76"/>
      <c r="B965" s="76"/>
      <c r="C965" s="76"/>
      <c r="D965" s="76"/>
    </row>
    <row r="966" spans="1:4">
      <c r="A966" s="76"/>
      <c r="B966" s="76"/>
      <c r="C966" s="76"/>
      <c r="D966" s="76"/>
    </row>
    <row r="967" spans="1:4">
      <c r="A967" s="76"/>
      <c r="B967" s="76"/>
      <c r="C967" s="76"/>
      <c r="D967" s="76"/>
    </row>
    <row r="968" spans="1:4">
      <c r="A968" s="76"/>
      <c r="B968" s="76"/>
      <c r="C968" s="76"/>
      <c r="D968" s="76"/>
    </row>
    <row r="969" spans="1:4">
      <c r="A969" s="76"/>
      <c r="B969" s="76"/>
      <c r="C969" s="76"/>
      <c r="D969" s="76"/>
    </row>
    <row r="970" spans="1:4">
      <c r="A970" s="76"/>
      <c r="B970" s="76"/>
      <c r="C970" s="76"/>
      <c r="D970" s="76"/>
    </row>
    <row r="971" spans="1:4">
      <c r="A971" s="76"/>
      <c r="B971" s="76"/>
      <c r="C971" s="76"/>
      <c r="D971" s="76"/>
    </row>
    <row r="972" spans="1:4">
      <c r="A972" s="76"/>
      <c r="B972" s="76"/>
      <c r="C972" s="76"/>
      <c r="D972" s="76"/>
    </row>
    <row r="973" spans="1:4">
      <c r="A973" s="76"/>
      <c r="B973" s="76"/>
      <c r="C973" s="76"/>
      <c r="D973" s="76"/>
    </row>
    <row r="974" spans="1:4">
      <c r="A974" s="76"/>
      <c r="B974" s="76"/>
      <c r="C974" s="76"/>
      <c r="D974" s="76"/>
    </row>
    <row r="975" spans="1:4">
      <c r="A975" s="76"/>
      <c r="B975" s="76"/>
      <c r="C975" s="76"/>
      <c r="D975" s="76"/>
    </row>
    <row r="976" spans="1:4">
      <c r="A976" s="76"/>
      <c r="B976" s="76"/>
      <c r="C976" s="76"/>
      <c r="D976" s="76"/>
    </row>
    <row r="977" spans="1:4">
      <c r="A977" s="76"/>
      <c r="B977" s="76"/>
      <c r="C977" s="76"/>
      <c r="D977" s="76"/>
    </row>
    <row r="978" spans="1:4">
      <c r="A978" s="76"/>
      <c r="B978" s="76"/>
      <c r="C978" s="76"/>
      <c r="D978" s="76"/>
    </row>
    <row r="979" spans="1:4">
      <c r="A979" s="76"/>
      <c r="B979" s="76"/>
      <c r="C979" s="76"/>
      <c r="D979" s="76"/>
    </row>
    <row r="980" spans="1:4">
      <c r="A980" s="76"/>
      <c r="B980" s="76"/>
      <c r="C980" s="76"/>
      <c r="D980" s="76"/>
    </row>
    <row r="981" spans="1:4">
      <c r="A981" s="76"/>
      <c r="B981" s="76"/>
      <c r="C981" s="76"/>
      <c r="D981" s="76"/>
    </row>
    <row r="982" spans="1:4">
      <c r="A982" s="76"/>
      <c r="B982" s="76"/>
      <c r="C982" s="76"/>
      <c r="D982" s="76"/>
    </row>
    <row r="983" spans="1:4">
      <c r="A983" s="76"/>
      <c r="B983" s="76"/>
      <c r="C983" s="76"/>
      <c r="D983" s="76"/>
    </row>
    <row r="984" spans="1:4">
      <c r="A984" s="76"/>
      <c r="B984" s="76"/>
      <c r="C984" s="76"/>
      <c r="D984" s="76"/>
    </row>
    <row r="985" spans="1:4">
      <c r="A985" s="76"/>
      <c r="B985" s="76"/>
      <c r="C985" s="76"/>
      <c r="D985" s="76"/>
    </row>
    <row r="986" spans="1:4">
      <c r="A986" s="76"/>
      <c r="B986" s="76"/>
      <c r="C986" s="76"/>
      <c r="D986" s="76"/>
    </row>
    <row r="987" spans="1:4">
      <c r="A987" s="76"/>
      <c r="B987" s="76"/>
      <c r="C987" s="76"/>
      <c r="D987" s="76"/>
    </row>
    <row r="988" spans="1:4">
      <c r="A988" s="76"/>
      <c r="B988" s="76"/>
      <c r="C988" s="76"/>
      <c r="D988" s="76"/>
    </row>
    <row r="989" spans="1:4">
      <c r="A989" s="76"/>
      <c r="B989" s="76"/>
      <c r="C989" s="76"/>
      <c r="D989" s="76"/>
    </row>
    <row r="990" spans="1:4">
      <c r="A990" s="76"/>
      <c r="B990" s="76"/>
      <c r="C990" s="76"/>
      <c r="D990" s="76"/>
    </row>
    <row r="991" spans="1:4">
      <c r="A991" s="76"/>
      <c r="B991" s="76"/>
      <c r="C991" s="76"/>
      <c r="D991" s="76"/>
    </row>
    <row r="992" spans="1:4">
      <c r="A992" s="76"/>
      <c r="B992" s="76"/>
      <c r="C992" s="76"/>
      <c r="D992" s="76"/>
    </row>
    <row r="993" spans="1:4">
      <c r="A993" s="76"/>
      <c r="B993" s="76"/>
      <c r="C993" s="76"/>
      <c r="D993" s="76"/>
    </row>
    <row r="994" spans="1:4">
      <c r="A994" s="76"/>
      <c r="B994" s="76"/>
      <c r="C994" s="76"/>
      <c r="D994" s="76"/>
    </row>
    <row r="995" spans="1:4">
      <c r="A995" s="76"/>
      <c r="B995" s="76"/>
      <c r="C995" s="76"/>
      <c r="D995" s="76"/>
    </row>
    <row r="996" spans="1:4">
      <c r="A996" s="76"/>
      <c r="B996" s="76"/>
      <c r="C996" s="76"/>
      <c r="D996" s="76"/>
    </row>
    <row r="997" spans="1:4">
      <c r="A997" s="76"/>
      <c r="B997" s="76"/>
      <c r="C997" s="76"/>
      <c r="D997" s="76"/>
    </row>
    <row r="998" spans="1:4">
      <c r="A998" s="76"/>
      <c r="B998" s="76"/>
      <c r="C998" s="76"/>
      <c r="D998" s="76"/>
    </row>
    <row r="999" spans="1:4">
      <c r="A999" s="76"/>
      <c r="B999" s="76"/>
      <c r="C999" s="76"/>
      <c r="D999" s="76"/>
    </row>
    <row r="1000" spans="1:4">
      <c r="A1000" s="76"/>
      <c r="B1000" s="76"/>
      <c r="C1000" s="76"/>
      <c r="D1000" s="76"/>
    </row>
  </sheetData>
  <autoFilter ref="A1:D34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D1000"/>
  <sheetViews>
    <sheetView workbookViewId="0">
      <selection activeCell="B38" sqref="B38"/>
    </sheetView>
  </sheetViews>
  <sheetFormatPr baseColWidth="10" defaultColWidth="14.42578125" defaultRowHeight="15" customHeight="1"/>
  <sheetData>
    <row r="1" spans="1:4">
      <c r="A1" s="67" t="s">
        <v>449</v>
      </c>
      <c r="B1" s="67" t="s">
        <v>450</v>
      </c>
      <c r="C1" s="78" t="s">
        <v>459</v>
      </c>
      <c r="D1" s="78" t="s">
        <v>460</v>
      </c>
    </row>
    <row r="2" spans="1:4">
      <c r="A2" s="71">
        <v>10101</v>
      </c>
      <c r="B2" s="71" t="s">
        <v>20</v>
      </c>
      <c r="C2" s="80">
        <v>19714.000022960012</v>
      </c>
      <c r="D2" s="80">
        <v>15146.999903279997</v>
      </c>
    </row>
    <row r="3" spans="1:4">
      <c r="A3" s="71">
        <v>10102</v>
      </c>
      <c r="B3" s="71" t="s">
        <v>21</v>
      </c>
      <c r="C3" s="80">
        <v>4212.9999960999994</v>
      </c>
      <c r="D3" s="80">
        <v>2286.9999958090002</v>
      </c>
    </row>
    <row r="4" spans="1:4">
      <c r="A4" s="71">
        <v>10103</v>
      </c>
      <c r="B4" s="71" t="s">
        <v>22</v>
      </c>
      <c r="C4" s="80">
        <v>15640.000001324999</v>
      </c>
      <c r="D4" s="80">
        <v>12351.999998855001</v>
      </c>
    </row>
    <row r="5" spans="1:4">
      <c r="A5" s="71">
        <v>10201</v>
      </c>
      <c r="B5" s="71" t="s">
        <v>23</v>
      </c>
      <c r="C5" s="80">
        <v>9267.0000027149999</v>
      </c>
      <c r="D5" s="80">
        <v>6258.0000020480002</v>
      </c>
    </row>
    <row r="6" spans="1:4">
      <c r="A6" s="71">
        <v>10202</v>
      </c>
      <c r="B6" s="71" t="s">
        <v>24</v>
      </c>
      <c r="C6" s="80">
        <v>12283.999997352999</v>
      </c>
      <c r="D6" s="80">
        <v>11376.000007851</v>
      </c>
    </row>
    <row r="7" spans="1:4">
      <c r="A7" s="71">
        <v>10301</v>
      </c>
      <c r="B7" s="71" t="s">
        <v>25</v>
      </c>
      <c r="C7" s="80">
        <v>7377.9999993960009</v>
      </c>
      <c r="D7" s="80">
        <v>8538.0000003720015</v>
      </c>
    </row>
    <row r="8" spans="1:4">
      <c r="A8" s="71">
        <v>10302</v>
      </c>
      <c r="B8" s="71" t="s">
        <v>26</v>
      </c>
      <c r="C8" s="80">
        <v>9597.0000039160004</v>
      </c>
      <c r="D8" s="80">
        <v>8479.0000058869991</v>
      </c>
    </row>
    <row r="9" spans="1:4">
      <c r="A9" s="71">
        <v>10303</v>
      </c>
      <c r="B9" s="71" t="s">
        <v>27</v>
      </c>
      <c r="C9" s="80">
        <v>5441.9999962799993</v>
      </c>
      <c r="D9" s="80">
        <v>4500.9999994749996</v>
      </c>
    </row>
    <row r="10" spans="1:4">
      <c r="A10" s="71">
        <v>10304</v>
      </c>
      <c r="B10" s="71" t="s">
        <v>28</v>
      </c>
      <c r="C10" s="80">
        <v>6440.0000027599999</v>
      </c>
      <c r="D10" s="80">
        <v>6659.9999982959998</v>
      </c>
    </row>
    <row r="11" spans="1:4">
      <c r="A11" s="71">
        <v>10401</v>
      </c>
      <c r="B11" s="71" t="s">
        <v>30</v>
      </c>
      <c r="C11" s="80">
        <v>6744.0000022620006</v>
      </c>
      <c r="D11" s="80">
        <v>4548.0000020909993</v>
      </c>
    </row>
    <row r="12" spans="1:4">
      <c r="A12" s="71">
        <v>10402</v>
      </c>
      <c r="B12" s="71" t="s">
        <v>29</v>
      </c>
      <c r="C12" s="80">
        <v>6537.9999994469999</v>
      </c>
      <c r="D12" s="80">
        <v>5641.0000013919998</v>
      </c>
    </row>
    <row r="13" spans="1:4">
      <c r="A13" s="71">
        <v>10403</v>
      </c>
      <c r="B13" s="71" t="s">
        <v>31</v>
      </c>
      <c r="C13" s="80">
        <v>5469.0000016679996</v>
      </c>
      <c r="D13" s="80">
        <v>4715.0000028880004</v>
      </c>
    </row>
    <row r="14" spans="1:4">
      <c r="A14" s="71">
        <v>10404</v>
      </c>
      <c r="B14" s="71" t="s">
        <v>32</v>
      </c>
      <c r="C14" s="80">
        <v>3368.999999959</v>
      </c>
      <c r="D14" s="80">
        <v>2114.0000017719999</v>
      </c>
    </row>
    <row r="15" spans="1:4">
      <c r="A15" s="71">
        <v>10405</v>
      </c>
      <c r="B15" s="71" t="s">
        <v>33</v>
      </c>
      <c r="C15" s="80">
        <v>3471.0000011459997</v>
      </c>
      <c r="D15" s="80">
        <v>4315.0000018640003</v>
      </c>
    </row>
    <row r="16" spans="1:4">
      <c r="A16" s="71">
        <v>10501</v>
      </c>
      <c r="B16" s="71" t="s">
        <v>35</v>
      </c>
      <c r="C16" s="80">
        <v>11165.000010822001</v>
      </c>
      <c r="D16" s="80">
        <v>7798.9999890670006</v>
      </c>
    </row>
    <row r="17" spans="1:4">
      <c r="A17" s="71">
        <v>10502</v>
      </c>
      <c r="B17" s="71" t="s">
        <v>36</v>
      </c>
      <c r="C17" s="80">
        <v>5975.0000032050002</v>
      </c>
      <c r="D17" s="80">
        <v>4368.0000004720005</v>
      </c>
    </row>
    <row r="18" spans="1:4">
      <c r="A18" s="71">
        <v>10601</v>
      </c>
      <c r="B18" s="71" t="s">
        <v>38</v>
      </c>
      <c r="C18" s="80">
        <v>12104.999998580999</v>
      </c>
      <c r="D18" s="80">
        <v>7143.0000054900001</v>
      </c>
    </row>
    <row r="19" spans="1:4">
      <c r="A19" s="71">
        <v>10602</v>
      </c>
      <c r="B19" s="71" t="s">
        <v>37</v>
      </c>
      <c r="C19" s="80">
        <v>6851.9999999499996</v>
      </c>
      <c r="D19" s="80">
        <v>3828.9999997730001</v>
      </c>
    </row>
    <row r="20" spans="1:4">
      <c r="A20" s="71">
        <v>10701</v>
      </c>
      <c r="B20" s="71" t="s">
        <v>40</v>
      </c>
      <c r="C20" s="80">
        <v>8004.0000022639997</v>
      </c>
      <c r="D20" s="80">
        <v>5645.999997803001</v>
      </c>
    </row>
    <row r="21" spans="1:4">
      <c r="A21" s="71">
        <v>10702</v>
      </c>
      <c r="B21" s="71" t="s">
        <v>41</v>
      </c>
      <c r="C21" s="80">
        <v>24279.00000702</v>
      </c>
      <c r="D21" s="80">
        <v>14899.00000631</v>
      </c>
    </row>
    <row r="22" spans="1:4">
      <c r="A22" s="71">
        <v>10703</v>
      </c>
      <c r="B22" s="71" t="s">
        <v>42</v>
      </c>
      <c r="C22" s="80">
        <v>10242.999998339999</v>
      </c>
      <c r="D22" s="80">
        <v>10024.000002708999</v>
      </c>
    </row>
    <row r="23" spans="1:4">
      <c r="A23" s="71">
        <v>10704</v>
      </c>
      <c r="B23" s="71" t="s">
        <v>43</v>
      </c>
      <c r="C23" s="80">
        <v>10735.000005472</v>
      </c>
      <c r="D23" s="80">
        <v>7094.0000039400002</v>
      </c>
    </row>
    <row r="24" spans="1:4">
      <c r="A24" s="71">
        <v>10801</v>
      </c>
      <c r="B24" s="71" t="s">
        <v>45</v>
      </c>
      <c r="C24" s="80">
        <v>7454.0000050159997</v>
      </c>
      <c r="D24" s="80">
        <v>4931.9999971500001</v>
      </c>
    </row>
    <row r="25" spans="1:4">
      <c r="A25" s="71">
        <v>10901</v>
      </c>
      <c r="B25" s="71" t="s">
        <v>47</v>
      </c>
      <c r="C25" s="80">
        <v>2443.999999141</v>
      </c>
      <c r="D25" s="80">
        <v>2614.0000004999997</v>
      </c>
    </row>
    <row r="26" spans="1:4">
      <c r="A26" s="71">
        <v>10902</v>
      </c>
      <c r="B26" s="71" t="s">
        <v>48</v>
      </c>
      <c r="C26" s="80">
        <v>12278.999995157999</v>
      </c>
      <c r="D26" s="80">
        <v>7514.0000039999995</v>
      </c>
    </row>
    <row r="27" spans="1:4">
      <c r="A27" s="71">
        <v>10903</v>
      </c>
      <c r="B27" s="71" t="s">
        <v>49</v>
      </c>
      <c r="C27" s="80">
        <v>2942.999999225</v>
      </c>
      <c r="D27" s="80">
        <v>2922.9999995389999</v>
      </c>
    </row>
    <row r="28" spans="1:4">
      <c r="A28" s="71">
        <v>11001</v>
      </c>
      <c r="B28" s="71" t="s">
        <v>51</v>
      </c>
      <c r="C28" s="80">
        <v>5827.0000016280001</v>
      </c>
      <c r="D28" s="80">
        <v>5544.9999964259996</v>
      </c>
    </row>
    <row r="29" spans="1:4">
      <c r="A29" s="71">
        <v>11002</v>
      </c>
      <c r="B29" s="71" t="s">
        <v>52</v>
      </c>
      <c r="C29" s="80">
        <v>2151.0000011440002</v>
      </c>
      <c r="D29" s="80">
        <v>1682.0000004059998</v>
      </c>
    </row>
    <row r="30" spans="1:4">
      <c r="A30" s="71">
        <v>11003</v>
      </c>
      <c r="B30" s="71" t="s">
        <v>53</v>
      </c>
      <c r="C30" s="80">
        <v>4604.0000000720001</v>
      </c>
      <c r="D30" s="80">
        <v>3100.9999967920003</v>
      </c>
    </row>
    <row r="31" spans="1:4">
      <c r="A31" s="71">
        <v>20101</v>
      </c>
      <c r="B31" s="71" t="s">
        <v>56</v>
      </c>
      <c r="C31" s="80">
        <v>6139.0000836648978</v>
      </c>
      <c r="D31" s="80">
        <v>4872.9999892259948</v>
      </c>
    </row>
    <row r="32" spans="1:4">
      <c r="A32" s="71">
        <v>20102</v>
      </c>
      <c r="B32" s="74" t="s">
        <v>57</v>
      </c>
      <c r="C32" s="80">
        <v>10700.000002478999</v>
      </c>
      <c r="D32" s="80">
        <v>6945.0000060509992</v>
      </c>
    </row>
    <row r="33" spans="1:4">
      <c r="A33" s="71">
        <v>20103</v>
      </c>
      <c r="B33" s="74" t="s">
        <v>58</v>
      </c>
      <c r="C33" s="80">
        <v>5112.9999954400009</v>
      </c>
      <c r="D33" s="80">
        <v>4025.9999948699988</v>
      </c>
    </row>
    <row r="34" spans="1:4">
      <c r="A34" s="71">
        <v>20104</v>
      </c>
      <c r="B34" s="74" t="s">
        <v>59</v>
      </c>
      <c r="C34" s="80">
        <v>3140.9999919700022</v>
      </c>
      <c r="D34" s="80">
        <v>2369.000007486</v>
      </c>
    </row>
    <row r="35" spans="1:4">
      <c r="A35" s="71">
        <v>20105</v>
      </c>
      <c r="B35" s="74" t="s">
        <v>60</v>
      </c>
      <c r="C35" s="80">
        <v>6344.0001103100367</v>
      </c>
      <c r="D35" s="80">
        <v>3048.0000533099519</v>
      </c>
    </row>
    <row r="36" spans="1:4">
      <c r="A36" s="71">
        <v>20201</v>
      </c>
      <c r="B36" s="74" t="s">
        <v>62</v>
      </c>
      <c r="C36" s="80">
        <v>20052.000005616002</v>
      </c>
      <c r="D36" s="80">
        <v>9255.0000168080005</v>
      </c>
    </row>
    <row r="37" spans="1:4">
      <c r="A37" s="71">
        <v>20202</v>
      </c>
      <c r="B37" s="74" t="s">
        <v>63</v>
      </c>
      <c r="C37" s="80">
        <v>10762.000001316001</v>
      </c>
      <c r="D37" s="80">
        <v>9481.9999982400004</v>
      </c>
    </row>
    <row r="38" spans="1:4">
      <c r="A38" s="71">
        <v>20203</v>
      </c>
      <c r="B38" s="74" t="s">
        <v>67</v>
      </c>
      <c r="C38" s="80">
        <v>2285.0000020000002</v>
      </c>
      <c r="D38" s="80">
        <v>1908.99999862</v>
      </c>
    </row>
    <row r="39" spans="1:4">
      <c r="A39" s="71">
        <v>20204</v>
      </c>
      <c r="B39" s="74" t="s">
        <v>64</v>
      </c>
      <c r="C39" s="80">
        <v>3917.0000011530001</v>
      </c>
      <c r="D39" s="80">
        <v>1857.0000005579996</v>
      </c>
    </row>
    <row r="40" spans="1:4">
      <c r="A40" s="71">
        <v>20205</v>
      </c>
      <c r="B40" s="74" t="s">
        <v>65</v>
      </c>
      <c r="C40" s="80">
        <v>6662.0000007640001</v>
      </c>
      <c r="D40" s="80">
        <v>4608.9999962499996</v>
      </c>
    </row>
    <row r="41" spans="1:4">
      <c r="A41" s="71">
        <v>20206</v>
      </c>
      <c r="B41" s="74" t="s">
        <v>66</v>
      </c>
      <c r="C41" s="80">
        <v>921.00000108799986</v>
      </c>
      <c r="D41" s="80">
        <v>769.00000044399985</v>
      </c>
    </row>
    <row r="42" spans="1:4">
      <c r="A42" s="71">
        <v>20301</v>
      </c>
      <c r="B42" s="74" t="s">
        <v>69</v>
      </c>
      <c r="C42" s="80">
        <v>7198.0000024639994</v>
      </c>
      <c r="D42" s="80">
        <v>6654.9999961610001</v>
      </c>
    </row>
    <row r="43" spans="1:4">
      <c r="A43" s="71">
        <v>20302</v>
      </c>
      <c r="B43" s="74" t="s">
        <v>70</v>
      </c>
      <c r="C43" s="80">
        <v>12681.99999276</v>
      </c>
      <c r="D43" s="80">
        <v>10145.999993220001</v>
      </c>
    </row>
    <row r="44" spans="1:4">
      <c r="A44" s="71">
        <v>20303</v>
      </c>
      <c r="B44" s="74" t="s">
        <v>71</v>
      </c>
      <c r="C44" s="80">
        <v>9332.0000034959994</v>
      </c>
      <c r="D44" s="80">
        <v>10093.000000764001</v>
      </c>
    </row>
    <row r="45" spans="1:4">
      <c r="A45" s="71">
        <v>20304</v>
      </c>
      <c r="B45" s="74" t="s">
        <v>72</v>
      </c>
      <c r="C45" s="80">
        <v>3233.9999994119999</v>
      </c>
      <c r="D45" s="80">
        <v>3001.0000012959999</v>
      </c>
    </row>
    <row r="46" spans="1:4">
      <c r="A46" s="71">
        <v>20305</v>
      </c>
      <c r="B46" s="74" t="s">
        <v>73</v>
      </c>
      <c r="C46" s="80">
        <v>2266.9999996279998</v>
      </c>
      <c r="D46" s="80">
        <v>2589.0000002460001</v>
      </c>
    </row>
    <row r="47" spans="1:4">
      <c r="A47" s="71">
        <v>20306</v>
      </c>
      <c r="B47" s="74" t="s">
        <v>74</v>
      </c>
      <c r="C47" s="80">
        <v>3294.9999975220003</v>
      </c>
      <c r="D47" s="80">
        <v>1188.0000019859999</v>
      </c>
    </row>
    <row r="48" spans="1:4">
      <c r="A48" s="71">
        <v>20307</v>
      </c>
      <c r="B48" s="74" t="s">
        <v>75</v>
      </c>
      <c r="C48" s="80">
        <v>364.99999977200002</v>
      </c>
      <c r="D48" s="80">
        <v>2240.0000008719999</v>
      </c>
    </row>
    <row r="49" spans="1:4">
      <c r="A49" s="71">
        <v>20308</v>
      </c>
      <c r="B49" s="74" t="s">
        <v>76</v>
      </c>
      <c r="C49" s="80">
        <v>6848.9999965530005</v>
      </c>
      <c r="D49" s="80">
        <v>6690.0000003820005</v>
      </c>
    </row>
    <row r="50" spans="1:4">
      <c r="A50" s="71">
        <v>20401</v>
      </c>
      <c r="B50" s="74" t="s">
        <v>78</v>
      </c>
      <c r="C50" s="80">
        <v>8670.9999964079998</v>
      </c>
      <c r="D50" s="80">
        <v>9139.9999986059993</v>
      </c>
    </row>
    <row r="51" spans="1:4">
      <c r="A51" s="71">
        <v>20402</v>
      </c>
      <c r="B51" s="74" t="s">
        <v>79</v>
      </c>
      <c r="C51" s="80">
        <v>13534.000007568</v>
      </c>
      <c r="D51" s="80">
        <v>12939.999996125</v>
      </c>
    </row>
    <row r="52" spans="1:4">
      <c r="A52" s="71">
        <v>20403</v>
      </c>
      <c r="B52" s="74" t="s">
        <v>80</v>
      </c>
      <c r="C52" s="80">
        <v>11829.999997503</v>
      </c>
      <c r="D52" s="80">
        <v>11056.000007931998</v>
      </c>
    </row>
    <row r="53" spans="1:4">
      <c r="A53" s="71">
        <v>20404</v>
      </c>
      <c r="B53" s="74" t="s">
        <v>81</v>
      </c>
      <c r="C53" s="80">
        <v>4658.9999998849999</v>
      </c>
      <c r="D53" s="80">
        <v>3701.999999744</v>
      </c>
    </row>
    <row r="54" spans="1:4">
      <c r="A54" s="71">
        <v>20405</v>
      </c>
      <c r="B54" s="74" t="s">
        <v>82</v>
      </c>
      <c r="C54" s="80">
        <v>5286.0000011520006</v>
      </c>
      <c r="D54" s="80">
        <v>4382.0000002030001</v>
      </c>
    </row>
    <row r="55" spans="1:4">
      <c r="A55" s="71">
        <v>20501</v>
      </c>
      <c r="B55" s="74" t="s">
        <v>84</v>
      </c>
      <c r="C55" s="80">
        <v>10531.00000503</v>
      </c>
      <c r="D55" s="80">
        <v>14106.000003617999</v>
      </c>
    </row>
    <row r="56" spans="1:4">
      <c r="A56" s="71">
        <v>20502</v>
      </c>
      <c r="B56" s="74" t="s">
        <v>85</v>
      </c>
      <c r="C56" s="80">
        <v>7704.0000018270002</v>
      </c>
      <c r="D56" s="80">
        <v>7212.9999999749998</v>
      </c>
    </row>
    <row r="57" spans="1:4">
      <c r="A57" s="71">
        <v>20503</v>
      </c>
      <c r="B57" s="74" t="s">
        <v>86</v>
      </c>
      <c r="C57" s="80">
        <v>4356.000001114</v>
      </c>
      <c r="D57" s="80">
        <v>3635.9999995629996</v>
      </c>
    </row>
    <row r="58" spans="1:4">
      <c r="A58" s="71">
        <v>20601</v>
      </c>
      <c r="B58" s="74" t="s">
        <v>88</v>
      </c>
      <c r="C58" s="80">
        <v>15608.000000069998</v>
      </c>
      <c r="D58" s="80">
        <v>15681.000000543001</v>
      </c>
    </row>
    <row r="59" spans="1:4">
      <c r="A59" s="71">
        <v>20602</v>
      </c>
      <c r="B59" s="74" t="s">
        <v>89</v>
      </c>
      <c r="C59" s="80">
        <v>5575.9999980109988</v>
      </c>
      <c r="D59" s="80">
        <v>2988.9999921959989</v>
      </c>
    </row>
    <row r="60" spans="1:4">
      <c r="A60" s="71">
        <v>20603</v>
      </c>
      <c r="B60" s="74" t="s">
        <v>90</v>
      </c>
      <c r="C60" s="80">
        <v>4885.0000002260003</v>
      </c>
      <c r="D60" s="80">
        <v>4933.000004468</v>
      </c>
    </row>
    <row r="61" spans="1:4">
      <c r="A61" s="71">
        <v>20604</v>
      </c>
      <c r="B61" s="74" t="s">
        <v>91</v>
      </c>
      <c r="C61" s="80">
        <v>2112.9999998399999</v>
      </c>
      <c r="D61" s="80">
        <v>3277.0000007459998</v>
      </c>
    </row>
    <row r="62" spans="1:4">
      <c r="A62" s="71">
        <v>20605</v>
      </c>
      <c r="B62" s="74" t="s">
        <v>92</v>
      </c>
      <c r="C62" s="80">
        <v>3186.0000006279997</v>
      </c>
      <c r="D62" s="80">
        <v>2468.9999983440002</v>
      </c>
    </row>
    <row r="63" spans="1:4">
      <c r="A63" s="71">
        <v>20606</v>
      </c>
      <c r="B63" s="74" t="s">
        <v>93</v>
      </c>
      <c r="C63" s="80">
        <v>737.0000008019997</v>
      </c>
      <c r="D63" s="80">
        <v>354.00000262699996</v>
      </c>
    </row>
    <row r="64" spans="1:4">
      <c r="A64" s="71">
        <v>20607</v>
      </c>
      <c r="B64" s="74" t="s">
        <v>94</v>
      </c>
      <c r="C64" s="80">
        <v>2166.0000021759988</v>
      </c>
      <c r="D64" s="80">
        <v>1188.0000065999993</v>
      </c>
    </row>
    <row r="65" spans="1:4">
      <c r="A65" s="71">
        <v>20608</v>
      </c>
      <c r="B65" s="74" t="s">
        <v>95</v>
      </c>
      <c r="C65" s="80">
        <v>5067.0000036479996</v>
      </c>
      <c r="D65" s="80">
        <v>4894.9999981999999</v>
      </c>
    </row>
    <row r="66" spans="1:4">
      <c r="A66" s="71">
        <v>20701</v>
      </c>
      <c r="B66" s="74" t="s">
        <v>97</v>
      </c>
      <c r="C66" s="80">
        <v>12023.999996486</v>
      </c>
      <c r="D66" s="80">
        <v>10132.000004060999</v>
      </c>
    </row>
    <row r="67" spans="1:4">
      <c r="A67" s="71">
        <v>20702</v>
      </c>
      <c r="B67" s="74" t="s">
        <v>98</v>
      </c>
      <c r="C67" s="80">
        <v>3031.9999971840002</v>
      </c>
      <c r="D67" s="80">
        <v>1249.0000033679999</v>
      </c>
    </row>
    <row r="68" spans="1:4">
      <c r="A68" s="71">
        <v>20801</v>
      </c>
      <c r="B68" s="74" t="s">
        <v>100</v>
      </c>
      <c r="C68" s="80">
        <v>10792.000027752001</v>
      </c>
      <c r="D68" s="80">
        <v>5428.000047546986</v>
      </c>
    </row>
    <row r="69" spans="1:4">
      <c r="A69" s="71">
        <v>20802</v>
      </c>
      <c r="B69" s="74" t="s">
        <v>101</v>
      </c>
      <c r="C69" s="80">
        <v>3281.9999976300001</v>
      </c>
      <c r="D69" s="80">
        <v>1089.0000006600012</v>
      </c>
    </row>
    <row r="70" spans="1:4">
      <c r="A70" s="71">
        <v>20803</v>
      </c>
      <c r="B70" s="74" t="s">
        <v>102</v>
      </c>
      <c r="C70" s="80">
        <v>8118.9999993660003</v>
      </c>
      <c r="D70" s="80">
        <v>4236.0000018649989</v>
      </c>
    </row>
    <row r="71" spans="1:4">
      <c r="A71" s="71">
        <v>20804</v>
      </c>
      <c r="B71" s="74" t="s">
        <v>103</v>
      </c>
      <c r="C71" s="80">
        <v>1644.9999990299993</v>
      </c>
      <c r="D71" s="80">
        <v>666.99999963199934</v>
      </c>
    </row>
    <row r="72" spans="1:4">
      <c r="A72" s="71">
        <v>20805</v>
      </c>
      <c r="B72" s="74" t="s">
        <v>104</v>
      </c>
      <c r="C72" s="80">
        <v>5171.0000007239996</v>
      </c>
      <c r="D72" s="80">
        <v>4657.9999979519998</v>
      </c>
    </row>
    <row r="73" spans="1:4">
      <c r="A73" s="71">
        <v>20806</v>
      </c>
      <c r="B73" s="74" t="s">
        <v>105</v>
      </c>
      <c r="C73" s="80">
        <v>11880.99999394</v>
      </c>
      <c r="D73" s="80">
        <v>8547.0000047499998</v>
      </c>
    </row>
    <row r="74" spans="1:4">
      <c r="A74" s="71">
        <v>20807</v>
      </c>
      <c r="B74" s="74" t="s">
        <v>106</v>
      </c>
      <c r="C74" s="80">
        <v>2625.9999976439994</v>
      </c>
      <c r="D74" s="80">
        <v>685.99999860000025</v>
      </c>
    </row>
    <row r="75" spans="1:4">
      <c r="A75" s="71">
        <v>20901</v>
      </c>
      <c r="B75" s="74" t="s">
        <v>108</v>
      </c>
      <c r="C75" s="80">
        <v>7965.9999961220001</v>
      </c>
      <c r="D75" s="80">
        <v>5013.0000007410008</v>
      </c>
    </row>
    <row r="76" spans="1:4">
      <c r="A76" s="71">
        <v>20902</v>
      </c>
      <c r="B76" s="74" t="s">
        <v>109</v>
      </c>
      <c r="C76" s="80">
        <v>10107.999997999999</v>
      </c>
      <c r="D76" s="80">
        <v>8452.0000015259993</v>
      </c>
    </row>
    <row r="77" spans="1:4">
      <c r="A77" s="71">
        <v>20903</v>
      </c>
      <c r="B77" s="74" t="s">
        <v>110</v>
      </c>
      <c r="C77" s="80">
        <v>5472.0000018319997</v>
      </c>
      <c r="D77" s="80">
        <v>5932.0000018299997</v>
      </c>
    </row>
    <row r="78" spans="1:4">
      <c r="A78" s="71">
        <v>20904</v>
      </c>
      <c r="B78" s="74" t="s">
        <v>111</v>
      </c>
      <c r="C78" s="80">
        <v>2557.9999996319998</v>
      </c>
      <c r="D78" s="80">
        <v>2041.000001376</v>
      </c>
    </row>
    <row r="79" spans="1:4">
      <c r="A79" s="71">
        <v>20905</v>
      </c>
      <c r="B79" s="74" t="s">
        <v>112</v>
      </c>
      <c r="C79" s="80">
        <v>6960.0000044120006</v>
      </c>
      <c r="D79" s="80">
        <v>4976.9999994160007</v>
      </c>
    </row>
    <row r="80" spans="1:4">
      <c r="A80" s="71">
        <v>21001</v>
      </c>
      <c r="B80" s="74" t="s">
        <v>113</v>
      </c>
      <c r="C80" s="80">
        <v>13353.999997052</v>
      </c>
      <c r="D80" s="80">
        <v>14236.999997346</v>
      </c>
    </row>
    <row r="81" spans="1:4">
      <c r="A81" s="71">
        <v>21002</v>
      </c>
      <c r="B81" s="74" t="s">
        <v>114</v>
      </c>
      <c r="C81" s="80">
        <v>3079.9999968780003</v>
      </c>
      <c r="D81" s="80">
        <v>3047.9999954700006</v>
      </c>
    </row>
    <row r="82" spans="1:4">
      <c r="A82" s="71">
        <v>21003</v>
      </c>
      <c r="B82" s="74" t="s">
        <v>115</v>
      </c>
      <c r="C82" s="80">
        <v>5263.9999997919995</v>
      </c>
      <c r="D82" s="80">
        <v>2897.0000024639994</v>
      </c>
    </row>
    <row r="83" spans="1:4">
      <c r="A83" s="71">
        <v>21004</v>
      </c>
      <c r="B83" s="74" t="s">
        <v>116</v>
      </c>
      <c r="C83" s="80">
        <v>12162.999998165</v>
      </c>
      <c r="D83" s="80">
        <v>12683.9999897</v>
      </c>
    </row>
    <row r="84" spans="1:4">
      <c r="A84" s="71">
        <v>21005</v>
      </c>
      <c r="B84" s="74" t="s">
        <v>117</v>
      </c>
      <c r="C84" s="80">
        <v>6330.0000009119995</v>
      </c>
      <c r="D84" s="80">
        <v>6196.0000016600006</v>
      </c>
    </row>
    <row r="85" spans="1:4">
      <c r="A85" s="71">
        <v>21006</v>
      </c>
      <c r="B85" s="74" t="s">
        <v>118</v>
      </c>
      <c r="C85" s="80">
        <v>3595.0000019999998</v>
      </c>
      <c r="D85" s="80">
        <v>3424.0000018399996</v>
      </c>
    </row>
    <row r="86" spans="1:4">
      <c r="A86" s="71">
        <v>21101</v>
      </c>
      <c r="B86" s="74" t="s">
        <v>120</v>
      </c>
      <c r="C86" s="80">
        <v>7028.9999958000008</v>
      </c>
      <c r="D86" s="80">
        <v>3430.9999988479976</v>
      </c>
    </row>
    <row r="87" spans="1:4">
      <c r="A87" s="71">
        <v>21102</v>
      </c>
      <c r="B87" s="74" t="s">
        <v>121</v>
      </c>
      <c r="C87" s="80">
        <v>9721.9999922759998</v>
      </c>
      <c r="D87" s="80">
        <v>7680.9999927849985</v>
      </c>
    </row>
    <row r="88" spans="1:4">
      <c r="A88" s="71">
        <v>21103</v>
      </c>
      <c r="B88" s="74" t="s">
        <v>122</v>
      </c>
      <c r="C88" s="80">
        <v>2735.9999993679994</v>
      </c>
      <c r="D88" s="80">
        <v>2046.000003264</v>
      </c>
    </row>
    <row r="89" spans="1:4">
      <c r="A89" s="71">
        <v>21104</v>
      </c>
      <c r="B89" s="74" t="s">
        <v>123</v>
      </c>
      <c r="C89" s="80">
        <v>14270.000001600001</v>
      </c>
      <c r="D89" s="80">
        <v>9683.9999893999993</v>
      </c>
    </row>
    <row r="90" spans="1:4">
      <c r="A90" s="71">
        <v>21105</v>
      </c>
      <c r="B90" s="74" t="s">
        <v>124</v>
      </c>
      <c r="C90" s="80">
        <v>26912.999996388</v>
      </c>
      <c r="D90" s="80">
        <v>18080.000006120001</v>
      </c>
    </row>
    <row r="91" spans="1:4">
      <c r="A91" s="71">
        <v>21201</v>
      </c>
      <c r="B91" s="74" t="s">
        <v>126</v>
      </c>
      <c r="C91" s="80">
        <v>15431.000004585001</v>
      </c>
      <c r="D91" s="80">
        <v>7011.9999810959998</v>
      </c>
    </row>
    <row r="92" spans="1:4">
      <c r="A92" s="71">
        <v>21202</v>
      </c>
      <c r="B92" s="74" t="s">
        <v>127</v>
      </c>
      <c r="C92" s="80">
        <v>14470.000002507</v>
      </c>
      <c r="D92" s="80">
        <v>10197.000010775999</v>
      </c>
    </row>
    <row r="93" spans="1:4">
      <c r="A93" s="71">
        <v>21203</v>
      </c>
      <c r="B93" s="74" t="s">
        <v>128</v>
      </c>
      <c r="C93" s="80">
        <v>8563.0000029860003</v>
      </c>
      <c r="D93" s="80">
        <v>3427.999990712</v>
      </c>
    </row>
    <row r="94" spans="1:4">
      <c r="A94" s="71">
        <v>21204</v>
      </c>
      <c r="B94" s="74" t="s">
        <v>129</v>
      </c>
      <c r="C94" s="80">
        <v>3069.9999983150001</v>
      </c>
      <c r="D94" s="80">
        <v>1583.9999990039996</v>
      </c>
    </row>
    <row r="95" spans="1:4">
      <c r="A95" s="71">
        <v>21301</v>
      </c>
      <c r="B95" s="74" t="s">
        <v>131</v>
      </c>
      <c r="C95" s="80">
        <v>15952.99999316</v>
      </c>
      <c r="D95" s="80">
        <v>9737.9999864499987</v>
      </c>
    </row>
    <row r="96" spans="1:4">
      <c r="A96" s="71">
        <v>21302</v>
      </c>
      <c r="B96" s="74" t="s">
        <v>132</v>
      </c>
      <c r="C96" s="80">
        <v>5742.9999996440001</v>
      </c>
      <c r="D96" s="80">
        <v>3146.999995524</v>
      </c>
    </row>
    <row r="97" spans="1:4">
      <c r="A97" s="71">
        <v>21303</v>
      </c>
      <c r="B97" s="74" t="s">
        <v>133</v>
      </c>
      <c r="C97" s="80">
        <v>4489.0000009989999</v>
      </c>
      <c r="D97" s="80">
        <v>3054.0000028789991</v>
      </c>
    </row>
    <row r="98" spans="1:4">
      <c r="A98" s="71">
        <v>21304</v>
      </c>
      <c r="B98" s="74" t="s">
        <v>134</v>
      </c>
      <c r="C98" s="80">
        <v>6024.9999995880007</v>
      </c>
      <c r="D98" s="80">
        <v>2713.999992477</v>
      </c>
    </row>
    <row r="99" spans="1:4">
      <c r="A99" s="71">
        <v>21305</v>
      </c>
      <c r="B99" s="74" t="s">
        <v>135</v>
      </c>
      <c r="C99" s="80">
        <v>5319.9999928639991</v>
      </c>
      <c r="D99" s="80">
        <v>2997.0000098609962</v>
      </c>
    </row>
    <row r="100" spans="1:4">
      <c r="A100" s="71">
        <v>21306</v>
      </c>
      <c r="B100" s="74" t="s">
        <v>136</v>
      </c>
      <c r="C100" s="80">
        <v>4075.9999965300003</v>
      </c>
      <c r="D100" s="80">
        <v>1527.9999941250007</v>
      </c>
    </row>
    <row r="101" spans="1:4">
      <c r="A101" s="71">
        <v>21307</v>
      </c>
      <c r="B101" s="74" t="s">
        <v>137</v>
      </c>
      <c r="C101" s="80">
        <v>1370.9999976530003</v>
      </c>
      <c r="D101" s="80">
        <v>520.9999985000004</v>
      </c>
    </row>
    <row r="102" spans="1:4">
      <c r="A102" s="71">
        <v>21401</v>
      </c>
      <c r="B102" s="74" t="s">
        <v>139</v>
      </c>
      <c r="C102" s="80">
        <v>10074.999995938</v>
      </c>
      <c r="D102" s="80">
        <v>8657.0000086119981</v>
      </c>
    </row>
    <row r="103" spans="1:4">
      <c r="A103" s="71">
        <v>21402</v>
      </c>
      <c r="B103" s="74" t="s">
        <v>140</v>
      </c>
      <c r="C103" s="80">
        <v>5940.0000038350008</v>
      </c>
      <c r="D103" s="80">
        <v>3468.9999971200014</v>
      </c>
    </row>
    <row r="104" spans="1:4">
      <c r="A104" s="71">
        <v>21501</v>
      </c>
      <c r="B104" s="74" t="s">
        <v>142</v>
      </c>
      <c r="C104" s="80">
        <v>5467.0000035749999</v>
      </c>
      <c r="D104" s="80">
        <v>5390.9999998109997</v>
      </c>
    </row>
    <row r="105" spans="1:4">
      <c r="A105" s="71">
        <v>21502</v>
      </c>
      <c r="B105" s="74" t="s">
        <v>143</v>
      </c>
      <c r="C105" s="80">
        <v>4727.9999959920005</v>
      </c>
      <c r="D105" s="80">
        <v>2719.0000035789999</v>
      </c>
    </row>
    <row r="106" spans="1:4">
      <c r="A106" s="71">
        <v>21601</v>
      </c>
      <c r="B106" s="74" t="s">
        <v>145</v>
      </c>
      <c r="C106" s="80">
        <v>11575.999995471</v>
      </c>
      <c r="D106" s="80">
        <v>10817.999997285</v>
      </c>
    </row>
    <row r="107" spans="1:4">
      <c r="A107" s="71">
        <v>21602</v>
      </c>
      <c r="B107" s="74" t="s">
        <v>146</v>
      </c>
      <c r="C107" s="80">
        <v>2992.9999997250002</v>
      </c>
      <c r="D107" s="80">
        <v>3584.9999990219999</v>
      </c>
    </row>
    <row r="108" spans="1:4">
      <c r="A108" s="71">
        <v>21701</v>
      </c>
      <c r="B108" s="74" t="s">
        <v>148</v>
      </c>
      <c r="C108" s="80">
        <v>6103.9999964999988</v>
      </c>
      <c r="D108" s="80">
        <v>5842.0000041359999</v>
      </c>
    </row>
    <row r="109" spans="1:4">
      <c r="A109" s="71">
        <v>21702</v>
      </c>
      <c r="B109" s="74" t="s">
        <v>149</v>
      </c>
      <c r="C109" s="80">
        <v>3711.9999973839995</v>
      </c>
      <c r="D109" s="80">
        <v>3543.9999960300001</v>
      </c>
    </row>
    <row r="110" spans="1:4">
      <c r="A110" s="71">
        <v>21703</v>
      </c>
      <c r="B110" s="74" t="s">
        <v>150</v>
      </c>
      <c r="C110" s="80">
        <v>4349.9999979389995</v>
      </c>
      <c r="D110" s="80">
        <v>3682.999996476</v>
      </c>
    </row>
    <row r="111" spans="1:4">
      <c r="A111" s="71">
        <v>21801</v>
      </c>
      <c r="B111" s="74" t="s">
        <v>152</v>
      </c>
      <c r="C111" s="80">
        <v>6940.0000004760004</v>
      </c>
      <c r="D111" s="80">
        <v>5031.0000019200006</v>
      </c>
    </row>
    <row r="112" spans="1:4">
      <c r="A112" s="71">
        <v>21802</v>
      </c>
      <c r="B112" s="74" t="s">
        <v>153</v>
      </c>
      <c r="C112" s="80">
        <v>5818.9999966140003</v>
      </c>
      <c r="D112" s="80">
        <v>3743.9999996670003</v>
      </c>
    </row>
    <row r="113" spans="1:4">
      <c r="A113" s="71">
        <v>21803</v>
      </c>
      <c r="B113" s="74" t="s">
        <v>154</v>
      </c>
      <c r="C113" s="80">
        <v>1802</v>
      </c>
      <c r="D113" s="80">
        <v>1385.0000007600001</v>
      </c>
    </row>
    <row r="114" spans="1:4">
      <c r="A114" s="71">
        <v>21901</v>
      </c>
      <c r="B114" s="74" t="s">
        <v>156</v>
      </c>
      <c r="C114" s="80">
        <v>3877.0000000620003</v>
      </c>
      <c r="D114" s="80">
        <v>4332.9999994079999</v>
      </c>
    </row>
    <row r="115" spans="1:4">
      <c r="A115" s="71">
        <v>21902</v>
      </c>
      <c r="B115" s="74" t="s">
        <v>157</v>
      </c>
      <c r="C115" s="80">
        <v>2145.0000005239999</v>
      </c>
      <c r="D115" s="80">
        <v>1931.000002191</v>
      </c>
    </row>
    <row r="116" spans="1:4">
      <c r="A116" s="71">
        <v>22001</v>
      </c>
      <c r="B116" s="74" t="s">
        <v>158</v>
      </c>
      <c r="C116" s="80">
        <v>33541.000000291002</v>
      </c>
      <c r="D116" s="80">
        <v>26832.999972212001</v>
      </c>
    </row>
    <row r="117" spans="1:4">
      <c r="A117" s="71">
        <v>22002</v>
      </c>
      <c r="B117" s="74" t="s">
        <v>159</v>
      </c>
      <c r="C117" s="80">
        <v>7815.0000040649993</v>
      </c>
      <c r="D117" s="80">
        <v>5045.0000022719996</v>
      </c>
    </row>
    <row r="118" spans="1:4">
      <c r="A118" s="71">
        <v>30101</v>
      </c>
      <c r="B118" s="74" t="s">
        <v>160</v>
      </c>
      <c r="C118" s="80">
        <v>11780.999752728036</v>
      </c>
      <c r="D118" s="80">
        <v>4840.9997661960078</v>
      </c>
    </row>
    <row r="119" spans="1:4">
      <c r="A119" s="71">
        <v>30201</v>
      </c>
      <c r="B119" s="74" t="s">
        <v>163</v>
      </c>
      <c r="C119" s="80">
        <v>14154.999998775</v>
      </c>
      <c r="D119" s="80">
        <v>10003.000008038</v>
      </c>
    </row>
    <row r="120" spans="1:4">
      <c r="A120" s="71">
        <v>30202</v>
      </c>
      <c r="B120" s="74" t="s">
        <v>164</v>
      </c>
      <c r="C120" s="80">
        <v>4370.0000003730001</v>
      </c>
      <c r="D120" s="80">
        <v>3689.9999980619996</v>
      </c>
    </row>
    <row r="121" spans="1:4">
      <c r="A121" s="71">
        <v>30203</v>
      </c>
      <c r="B121" s="74" t="s">
        <v>165</v>
      </c>
      <c r="C121" s="80">
        <v>3193.0000000380001</v>
      </c>
      <c r="D121" s="80">
        <v>2265.0000011159991</v>
      </c>
    </row>
    <row r="122" spans="1:4">
      <c r="A122" s="71">
        <v>30301</v>
      </c>
      <c r="B122" s="74" t="s">
        <v>166</v>
      </c>
      <c r="C122" s="80">
        <v>17645.999993551999</v>
      </c>
      <c r="D122" s="80">
        <v>14817.000010775</v>
      </c>
    </row>
    <row r="123" spans="1:4">
      <c r="A123" s="71">
        <v>30302</v>
      </c>
      <c r="B123" s="74" t="s">
        <v>167</v>
      </c>
      <c r="C123" s="80">
        <v>10860.000002753</v>
      </c>
      <c r="D123" s="80">
        <v>11398.000004858</v>
      </c>
    </row>
    <row r="124" spans="1:4">
      <c r="A124" s="71">
        <v>30303</v>
      </c>
      <c r="B124" s="74" t="s">
        <v>168</v>
      </c>
      <c r="C124" s="80">
        <v>15824.000003076</v>
      </c>
      <c r="D124" s="80">
        <v>13637.000001248</v>
      </c>
    </row>
    <row r="125" spans="1:4">
      <c r="A125" s="71">
        <v>30401</v>
      </c>
      <c r="B125" s="74" t="s">
        <v>170</v>
      </c>
      <c r="C125" s="80">
        <v>3347.9999971920006</v>
      </c>
      <c r="D125" s="80">
        <v>3509.9999969579994</v>
      </c>
    </row>
    <row r="126" spans="1:4">
      <c r="A126" s="71">
        <v>30402</v>
      </c>
      <c r="B126" s="74" t="s">
        <v>171</v>
      </c>
      <c r="C126" s="80">
        <v>5696.0000025119998</v>
      </c>
      <c r="D126" s="80">
        <v>5108.0000009760006</v>
      </c>
    </row>
    <row r="127" spans="1:4">
      <c r="A127" s="71">
        <v>30403</v>
      </c>
      <c r="B127" s="74" t="s">
        <v>172</v>
      </c>
      <c r="C127" s="80">
        <v>5091.0000039709994</v>
      </c>
      <c r="D127" s="80">
        <v>5254.000008195002</v>
      </c>
    </row>
    <row r="128" spans="1:4">
      <c r="A128" s="71">
        <v>30404</v>
      </c>
      <c r="B128" s="74" t="s">
        <v>173</v>
      </c>
      <c r="C128" s="80">
        <v>3633.0000019600002</v>
      </c>
      <c r="D128" s="80">
        <v>3414.9999993619999</v>
      </c>
    </row>
    <row r="129" spans="1:4">
      <c r="A129" s="71">
        <v>30501</v>
      </c>
      <c r="B129" s="74" t="s">
        <v>174</v>
      </c>
      <c r="C129" s="80">
        <v>2890.0000028339991</v>
      </c>
      <c r="D129" s="80">
        <v>1628.999998112</v>
      </c>
    </row>
    <row r="130" spans="1:4">
      <c r="A130" s="71">
        <v>30502</v>
      </c>
      <c r="B130" s="74" t="s">
        <v>175</v>
      </c>
      <c r="C130" s="80">
        <v>6879.0000039999995</v>
      </c>
      <c r="D130" s="80">
        <v>4979.0000027169999</v>
      </c>
    </row>
    <row r="131" spans="1:4">
      <c r="A131" s="71">
        <v>30601</v>
      </c>
      <c r="B131" s="74" t="s">
        <v>176</v>
      </c>
      <c r="C131" s="80">
        <v>9470.0000041200001</v>
      </c>
      <c r="D131" s="80">
        <v>8787.9999949320008</v>
      </c>
    </row>
    <row r="132" spans="1:4">
      <c r="A132" s="71">
        <v>30602</v>
      </c>
      <c r="B132" s="74" t="s">
        <v>177</v>
      </c>
      <c r="C132" s="80">
        <v>9580.000004133999</v>
      </c>
      <c r="D132" s="80">
        <v>9271.0000003509995</v>
      </c>
    </row>
    <row r="133" spans="1:4">
      <c r="A133" s="71">
        <v>30701</v>
      </c>
      <c r="B133" s="74" t="s">
        <v>178</v>
      </c>
      <c r="C133" s="80">
        <v>6693.9999979119984</v>
      </c>
      <c r="D133" s="80">
        <v>4220.0000073440006</v>
      </c>
    </row>
    <row r="134" spans="1:4">
      <c r="A134" s="71">
        <v>30702</v>
      </c>
      <c r="B134" s="74" t="s">
        <v>179</v>
      </c>
      <c r="C134" s="80">
        <v>3719.0000001589997</v>
      </c>
      <c r="D134" s="80">
        <v>1760.0000004659996</v>
      </c>
    </row>
    <row r="135" spans="1:4">
      <c r="A135" s="71">
        <v>30703</v>
      </c>
      <c r="B135" s="74" t="s">
        <v>180</v>
      </c>
      <c r="C135" s="80">
        <v>2915.9999981700003</v>
      </c>
      <c r="D135" s="80">
        <v>1703.0000008769998</v>
      </c>
    </row>
    <row r="136" spans="1:4">
      <c r="A136" s="71">
        <v>30801</v>
      </c>
      <c r="B136" s="74" t="s">
        <v>182</v>
      </c>
      <c r="C136" s="80">
        <v>2829.0000034529985</v>
      </c>
      <c r="D136" s="80">
        <v>536.99999496399687</v>
      </c>
    </row>
    <row r="137" spans="1:4">
      <c r="A137" s="71">
        <v>30802</v>
      </c>
      <c r="B137" s="74" t="s">
        <v>183</v>
      </c>
      <c r="C137" s="80">
        <v>3627.0000000900004</v>
      </c>
      <c r="D137" s="80">
        <v>1913.0000032079997</v>
      </c>
    </row>
    <row r="138" spans="1:4">
      <c r="A138" s="71">
        <v>30803</v>
      </c>
      <c r="B138" s="74" t="s">
        <v>184</v>
      </c>
      <c r="C138" s="80">
        <v>713.00000163000004</v>
      </c>
      <c r="D138" s="80">
        <v>1121.0000036400006</v>
      </c>
    </row>
    <row r="139" spans="1:4">
      <c r="A139" s="71">
        <v>30901</v>
      </c>
      <c r="B139" s="74" t="s">
        <v>185</v>
      </c>
      <c r="C139" s="80">
        <v>6925.9999360859947</v>
      </c>
      <c r="D139" s="80">
        <v>2987.0000756999943</v>
      </c>
    </row>
    <row r="140" spans="1:4">
      <c r="A140" s="71">
        <v>30902</v>
      </c>
      <c r="B140" s="74" t="s">
        <v>186</v>
      </c>
      <c r="C140" s="80">
        <v>7747.9999837380019</v>
      </c>
      <c r="D140" s="80">
        <v>4194.9999907199963</v>
      </c>
    </row>
    <row r="141" spans="1:4">
      <c r="A141" s="71">
        <v>30903</v>
      </c>
      <c r="B141" s="74" t="s">
        <v>187</v>
      </c>
      <c r="C141" s="80">
        <v>5888.9999827100037</v>
      </c>
      <c r="D141" s="80">
        <v>3140.9999697479943</v>
      </c>
    </row>
    <row r="142" spans="1:4">
      <c r="A142" s="71">
        <v>30904</v>
      </c>
      <c r="B142" s="74" t="s">
        <v>188</v>
      </c>
      <c r="C142" s="80">
        <v>5585.9999765520042</v>
      </c>
      <c r="D142" s="80">
        <v>1869.0000017880011</v>
      </c>
    </row>
    <row r="143" spans="1:4">
      <c r="A143" s="71">
        <v>30905</v>
      </c>
      <c r="B143" s="74" t="s">
        <v>189</v>
      </c>
      <c r="C143" s="80">
        <v>1059.0000038239959</v>
      </c>
      <c r="D143" s="80">
        <v>336.00001438400068</v>
      </c>
    </row>
    <row r="144" spans="1:4">
      <c r="A144" s="71">
        <v>31001</v>
      </c>
      <c r="B144" s="74" t="s">
        <v>191</v>
      </c>
      <c r="C144" s="80">
        <v>18745.999937279994</v>
      </c>
      <c r="D144" s="80">
        <v>11640.999964544986</v>
      </c>
    </row>
    <row r="145" spans="1:4">
      <c r="A145" s="71">
        <v>31002</v>
      </c>
      <c r="B145" s="74" t="s">
        <v>192</v>
      </c>
      <c r="C145" s="80">
        <v>10005.0000021</v>
      </c>
      <c r="D145" s="80">
        <v>6865.9999961600024</v>
      </c>
    </row>
    <row r="146" spans="1:4">
      <c r="A146" s="71">
        <v>31003</v>
      </c>
      <c r="B146" s="74" t="s">
        <v>193</v>
      </c>
      <c r="C146" s="80">
        <v>37316.000030228999</v>
      </c>
      <c r="D146" s="80">
        <v>28211.999966591997</v>
      </c>
    </row>
    <row r="147" spans="1:4">
      <c r="A147" s="71">
        <v>31101</v>
      </c>
      <c r="B147" s="74" t="s">
        <v>194</v>
      </c>
      <c r="C147" s="80">
        <v>21549.999999192001</v>
      </c>
      <c r="D147" s="80">
        <v>18842.999997718001</v>
      </c>
    </row>
    <row r="148" spans="1:4">
      <c r="A148" s="71">
        <v>31201</v>
      </c>
      <c r="B148" s="74" t="s">
        <v>196</v>
      </c>
      <c r="C148" s="80">
        <v>11172.999994497</v>
      </c>
      <c r="D148" s="80">
        <v>8063.000001509</v>
      </c>
    </row>
    <row r="149" spans="1:4">
      <c r="A149" s="71">
        <v>31202</v>
      </c>
      <c r="B149" s="74" t="s">
        <v>197</v>
      </c>
      <c r="C149" s="80">
        <v>7944.9999959460001</v>
      </c>
      <c r="D149" s="80">
        <v>5005.000004906</v>
      </c>
    </row>
    <row r="150" spans="1:4">
      <c r="A150" s="71">
        <v>31203</v>
      </c>
      <c r="B150" s="74" t="s">
        <v>198</v>
      </c>
      <c r="C150" s="80">
        <v>8162.0000002659999</v>
      </c>
      <c r="D150" s="80">
        <v>5512.0000005720003</v>
      </c>
    </row>
    <row r="151" spans="1:4">
      <c r="A151" s="71">
        <v>31204</v>
      </c>
      <c r="B151" s="74" t="s">
        <v>199</v>
      </c>
      <c r="C151" s="80">
        <v>8177.0000010160002</v>
      </c>
      <c r="D151" s="80">
        <v>6155.0000031380005</v>
      </c>
    </row>
    <row r="152" spans="1:4">
      <c r="A152" s="71">
        <v>31205</v>
      </c>
      <c r="B152" s="74" t="s">
        <v>200</v>
      </c>
      <c r="C152" s="80">
        <v>20330.000007144001</v>
      </c>
      <c r="D152" s="80">
        <v>13139.999985348004</v>
      </c>
    </row>
    <row r="153" spans="1:4">
      <c r="A153" s="71">
        <v>31206</v>
      </c>
      <c r="B153" s="74" t="s">
        <v>201</v>
      </c>
      <c r="C153" s="80">
        <v>11766.999993909998</v>
      </c>
      <c r="D153" s="80">
        <v>9120.0000002499946</v>
      </c>
    </row>
    <row r="154" spans="1:4">
      <c r="A154" s="71">
        <v>31301</v>
      </c>
      <c r="B154" s="74" t="s">
        <v>202</v>
      </c>
      <c r="C154" s="80">
        <v>11727.00000199</v>
      </c>
      <c r="D154" s="80">
        <v>7494.9999985550003</v>
      </c>
    </row>
    <row r="155" spans="1:4">
      <c r="A155" s="71">
        <v>31302</v>
      </c>
      <c r="B155" s="74" t="s">
        <v>203</v>
      </c>
      <c r="C155" s="80">
        <v>4968.9999977790003</v>
      </c>
      <c r="D155" s="80">
        <v>4304.0000011800003</v>
      </c>
    </row>
    <row r="156" spans="1:4">
      <c r="A156" s="71">
        <v>31303</v>
      </c>
      <c r="B156" s="74" t="s">
        <v>204</v>
      </c>
      <c r="C156" s="80">
        <v>3274.0000013049998</v>
      </c>
      <c r="D156" s="80">
        <v>2981.999998964</v>
      </c>
    </row>
    <row r="157" spans="1:4">
      <c r="A157" s="71">
        <v>31304</v>
      </c>
      <c r="B157" s="74" t="s">
        <v>205</v>
      </c>
      <c r="C157" s="80">
        <v>6663.9999988170002</v>
      </c>
      <c r="D157" s="80">
        <v>7107.9999968880002</v>
      </c>
    </row>
    <row r="158" spans="1:4">
      <c r="A158" s="71">
        <v>31401</v>
      </c>
      <c r="B158" s="74" t="s">
        <v>206</v>
      </c>
      <c r="C158" s="80">
        <v>2432.0000012679993</v>
      </c>
      <c r="D158" s="80">
        <v>949.00001267199696</v>
      </c>
    </row>
    <row r="159" spans="1:4">
      <c r="A159" s="71">
        <v>31402</v>
      </c>
      <c r="B159" s="74" t="s">
        <v>207</v>
      </c>
      <c r="C159" s="80">
        <v>2370.99999604</v>
      </c>
      <c r="D159" s="80">
        <v>1277.9999975219998</v>
      </c>
    </row>
    <row r="160" spans="1:4">
      <c r="A160" s="71">
        <v>31403</v>
      </c>
      <c r="B160" s="74" t="s">
        <v>208</v>
      </c>
      <c r="C160" s="80">
        <v>2538.0000062899999</v>
      </c>
      <c r="D160" s="80">
        <v>923.00000372999966</v>
      </c>
    </row>
    <row r="161" spans="1:4">
      <c r="A161" s="71">
        <v>31404</v>
      </c>
      <c r="B161" s="74" t="s">
        <v>209</v>
      </c>
      <c r="C161" s="80">
        <v>847.00000036799997</v>
      </c>
      <c r="D161" s="80">
        <v>372.99999996000008</v>
      </c>
    </row>
    <row r="162" spans="1:4">
      <c r="A162" s="71">
        <v>31405</v>
      </c>
      <c r="B162" s="74" t="s">
        <v>210</v>
      </c>
      <c r="C162" s="80">
        <v>2183.0000009370001</v>
      </c>
      <c r="D162" s="80">
        <v>1792.9999992759999</v>
      </c>
    </row>
    <row r="163" spans="1:4">
      <c r="A163" s="71">
        <v>31501</v>
      </c>
      <c r="B163" s="74" t="s">
        <v>211</v>
      </c>
      <c r="C163" s="80">
        <v>6134.9999969230003</v>
      </c>
      <c r="D163" s="80">
        <v>6546.9999981279998</v>
      </c>
    </row>
    <row r="164" spans="1:4">
      <c r="A164" s="71">
        <v>31601</v>
      </c>
      <c r="B164" s="74" t="s">
        <v>212</v>
      </c>
      <c r="C164" s="80">
        <v>14602.99999455</v>
      </c>
      <c r="D164" s="80">
        <v>7352.9999983979997</v>
      </c>
    </row>
    <row r="165" spans="1:4">
      <c r="A165" s="71">
        <v>31602</v>
      </c>
      <c r="B165" s="74" t="s">
        <v>213</v>
      </c>
      <c r="C165" s="80">
        <v>8325.0000083129999</v>
      </c>
      <c r="D165" s="80">
        <v>5169.0000077100012</v>
      </c>
    </row>
    <row r="166" spans="1:4">
      <c r="A166" s="71">
        <v>40101</v>
      </c>
      <c r="B166" s="74" t="s">
        <v>214</v>
      </c>
      <c r="C166" s="80">
        <v>1589.9999256230076</v>
      </c>
      <c r="D166" s="80">
        <v>816.99999615200795</v>
      </c>
    </row>
    <row r="167" spans="1:4">
      <c r="A167" s="71">
        <v>40102</v>
      </c>
      <c r="B167" s="74" t="s">
        <v>215</v>
      </c>
      <c r="C167" s="80">
        <v>11913.999996444001</v>
      </c>
      <c r="D167" s="80">
        <v>6652.0000072949988</v>
      </c>
    </row>
    <row r="168" spans="1:4">
      <c r="A168" s="71">
        <v>40103</v>
      </c>
      <c r="B168" s="74" t="s">
        <v>216</v>
      </c>
      <c r="C168" s="80">
        <v>7704.0000016200001</v>
      </c>
      <c r="D168" s="80">
        <v>6445.0000010969998</v>
      </c>
    </row>
    <row r="169" spans="1:4">
      <c r="A169" s="71">
        <v>40104</v>
      </c>
      <c r="B169" s="74" t="s">
        <v>217</v>
      </c>
      <c r="C169" s="80">
        <v>6377.0000007039998</v>
      </c>
      <c r="D169" s="80">
        <v>4042.9999934059997</v>
      </c>
    </row>
    <row r="170" spans="1:4">
      <c r="A170" s="71">
        <v>40201</v>
      </c>
      <c r="B170" s="74" t="s">
        <v>219</v>
      </c>
      <c r="C170" s="80">
        <v>13096.000004359999</v>
      </c>
      <c r="D170" s="80">
        <v>13032.000007596002</v>
      </c>
    </row>
    <row r="171" spans="1:4">
      <c r="A171" s="71">
        <v>40202</v>
      </c>
      <c r="B171" s="74" t="s">
        <v>220</v>
      </c>
      <c r="C171" s="80">
        <v>2114.0000015670003</v>
      </c>
      <c r="D171" s="80">
        <v>1931.9999977439998</v>
      </c>
    </row>
    <row r="172" spans="1:4">
      <c r="A172" s="71">
        <v>40301</v>
      </c>
      <c r="B172" s="74" t="s">
        <v>222</v>
      </c>
      <c r="C172" s="80">
        <v>7656.9999975560004</v>
      </c>
      <c r="D172" s="80">
        <v>10618.000002131999</v>
      </c>
    </row>
    <row r="173" spans="1:4">
      <c r="A173" s="71">
        <v>40302</v>
      </c>
      <c r="B173" s="74" t="s">
        <v>223</v>
      </c>
      <c r="C173" s="80">
        <v>1585.999999656</v>
      </c>
      <c r="D173" s="80">
        <v>1724.9999994240002</v>
      </c>
    </row>
    <row r="174" spans="1:4">
      <c r="A174" s="71">
        <v>40401</v>
      </c>
      <c r="B174" s="74" t="s">
        <v>225</v>
      </c>
      <c r="C174" s="80">
        <v>2329.000000129</v>
      </c>
      <c r="D174" s="80">
        <v>4137.9999988439995</v>
      </c>
    </row>
    <row r="175" spans="1:4">
      <c r="A175" s="71">
        <v>40402</v>
      </c>
      <c r="B175" s="74" t="s">
        <v>226</v>
      </c>
      <c r="C175" s="80">
        <v>3930.9999987499996</v>
      </c>
      <c r="D175" s="80">
        <v>3723.0000019889999</v>
      </c>
    </row>
    <row r="176" spans="1:4">
      <c r="A176" s="71">
        <v>40501</v>
      </c>
      <c r="B176" s="74" t="s">
        <v>228</v>
      </c>
      <c r="C176" s="80">
        <v>37.999999733999971</v>
      </c>
      <c r="D176" s="80">
        <v>102.99999935599999</v>
      </c>
    </row>
    <row r="177" spans="1:4">
      <c r="A177" s="71">
        <v>40502</v>
      </c>
      <c r="B177" s="74" t="s">
        <v>229</v>
      </c>
      <c r="C177" s="80">
        <v>3582.9999993410001</v>
      </c>
      <c r="D177" s="80">
        <v>1324.00000082</v>
      </c>
    </row>
    <row r="178" spans="1:4">
      <c r="A178" s="71">
        <v>40503</v>
      </c>
      <c r="B178" s="74" t="s">
        <v>230</v>
      </c>
      <c r="C178" s="80">
        <v>1449.9999990689998</v>
      </c>
      <c r="D178" s="80">
        <v>321.00000074100012</v>
      </c>
    </row>
    <row r="179" spans="1:4">
      <c r="A179" s="71">
        <v>40504</v>
      </c>
      <c r="B179" s="74" t="s">
        <v>231</v>
      </c>
      <c r="C179" s="80">
        <v>476.99999979300003</v>
      </c>
      <c r="D179" s="80">
        <v>219.00000000800003</v>
      </c>
    </row>
    <row r="180" spans="1:4">
      <c r="A180" s="71">
        <v>40505</v>
      </c>
      <c r="B180" s="74" t="s">
        <v>232</v>
      </c>
      <c r="C180" s="80">
        <v>1520.9999992319999</v>
      </c>
      <c r="D180" s="80">
        <v>907.99999819199957</v>
      </c>
    </row>
    <row r="181" spans="1:4">
      <c r="A181" s="71">
        <v>40601</v>
      </c>
      <c r="B181" s="74" t="s">
        <v>233</v>
      </c>
      <c r="C181" s="80">
        <v>2999.9999993040001</v>
      </c>
      <c r="D181" s="80">
        <v>2106.0000020799998</v>
      </c>
    </row>
    <row r="182" spans="1:4">
      <c r="A182" s="71">
        <v>40602</v>
      </c>
      <c r="B182" s="74" t="s">
        <v>234</v>
      </c>
      <c r="C182" s="80">
        <v>1804.00000077</v>
      </c>
      <c r="D182" s="80">
        <v>757.00000072999956</v>
      </c>
    </row>
    <row r="183" spans="1:4">
      <c r="A183" s="71">
        <v>40603</v>
      </c>
      <c r="B183" s="74" t="s">
        <v>235</v>
      </c>
      <c r="C183" s="80">
        <v>1089.0000011659999</v>
      </c>
      <c r="D183" s="80">
        <v>599.99999953099996</v>
      </c>
    </row>
    <row r="184" spans="1:4">
      <c r="A184" s="71">
        <v>40701</v>
      </c>
      <c r="B184" s="74" t="s">
        <v>237</v>
      </c>
      <c r="C184" s="80">
        <v>2499.0000120320001</v>
      </c>
      <c r="D184" s="80">
        <v>1209.0000065040003</v>
      </c>
    </row>
    <row r="185" spans="1:4">
      <c r="A185" s="71">
        <v>40702</v>
      </c>
      <c r="B185" s="74" t="s">
        <v>238</v>
      </c>
      <c r="C185" s="80">
        <v>1255.0000007099993</v>
      </c>
      <c r="D185" s="80">
        <v>699.99999778799975</v>
      </c>
    </row>
    <row r="186" spans="1:4">
      <c r="A186" s="71">
        <v>40801</v>
      </c>
      <c r="B186" s="74" t="s">
        <v>240</v>
      </c>
      <c r="C186" s="80">
        <v>7130.000004945</v>
      </c>
      <c r="D186" s="80">
        <v>5639.9999998080002</v>
      </c>
    </row>
    <row r="187" spans="1:4">
      <c r="A187" s="71">
        <v>40802</v>
      </c>
      <c r="B187" s="74" t="s">
        <v>241</v>
      </c>
      <c r="C187" s="80">
        <v>1840.0000012190001</v>
      </c>
      <c r="D187" s="80">
        <v>1058.0000010680001</v>
      </c>
    </row>
    <row r="188" spans="1:4">
      <c r="A188" s="71">
        <v>40901</v>
      </c>
      <c r="B188" s="74" t="s">
        <v>242</v>
      </c>
      <c r="C188" s="80">
        <v>5322.0000034879995</v>
      </c>
      <c r="D188" s="80">
        <v>3653.9999969280016</v>
      </c>
    </row>
    <row r="189" spans="1:4">
      <c r="A189" s="71">
        <v>40902</v>
      </c>
      <c r="B189" s="74" t="s">
        <v>243</v>
      </c>
      <c r="C189" s="80">
        <v>252.99999983700002</v>
      </c>
      <c r="D189" s="80">
        <v>81.999999717999799</v>
      </c>
    </row>
    <row r="190" spans="1:4">
      <c r="A190" s="71">
        <v>40903</v>
      </c>
      <c r="B190" s="74" t="s">
        <v>244</v>
      </c>
      <c r="C190" s="80">
        <v>1048.9999992600001</v>
      </c>
      <c r="D190" s="80">
        <v>854.00000111999975</v>
      </c>
    </row>
    <row r="191" spans="1:4">
      <c r="A191" s="71">
        <v>41001</v>
      </c>
      <c r="B191" s="74" t="s">
        <v>246</v>
      </c>
      <c r="C191" s="80">
        <v>7906.0000033440001</v>
      </c>
      <c r="D191" s="80">
        <v>7653.0000057719999</v>
      </c>
    </row>
    <row r="192" spans="1:4">
      <c r="A192" s="71">
        <v>41101</v>
      </c>
      <c r="B192" s="74" t="s">
        <v>248</v>
      </c>
      <c r="C192" s="80">
        <v>1965.9999980879998</v>
      </c>
      <c r="D192" s="80">
        <v>926.9999985860004</v>
      </c>
    </row>
    <row r="193" spans="1:4">
      <c r="A193" s="71">
        <v>41201</v>
      </c>
      <c r="B193" s="74" t="s">
        <v>250</v>
      </c>
      <c r="C193" s="80">
        <v>4187.0000017660004</v>
      </c>
      <c r="D193" s="80">
        <v>3919.9999986719999</v>
      </c>
    </row>
    <row r="194" spans="1:4">
      <c r="A194" s="71">
        <v>41202</v>
      </c>
      <c r="B194" s="74" t="s">
        <v>251</v>
      </c>
      <c r="C194" s="80">
        <v>1744.0000009599999</v>
      </c>
      <c r="D194" s="80">
        <v>1425.9999985210002</v>
      </c>
    </row>
    <row r="195" spans="1:4">
      <c r="A195" s="71">
        <v>41301</v>
      </c>
      <c r="B195" s="74" t="s">
        <v>196</v>
      </c>
      <c r="C195" s="80">
        <v>4932.0000017849998</v>
      </c>
      <c r="D195" s="80">
        <v>4774.0000027599999</v>
      </c>
    </row>
    <row r="196" spans="1:4">
      <c r="A196" s="71">
        <v>41401</v>
      </c>
      <c r="B196" s="74" t="s">
        <v>254</v>
      </c>
      <c r="C196" s="80">
        <v>7177.0000014280004</v>
      </c>
      <c r="D196" s="80">
        <v>4657.0000024200017</v>
      </c>
    </row>
    <row r="197" spans="1:4">
      <c r="A197" s="71">
        <v>41501</v>
      </c>
      <c r="B197" s="74" t="s">
        <v>256</v>
      </c>
      <c r="C197" s="80">
        <v>389.00000018100002</v>
      </c>
      <c r="D197" s="80">
        <v>512.99999944199999</v>
      </c>
    </row>
    <row r="198" spans="1:4">
      <c r="A198" s="71">
        <v>41502</v>
      </c>
      <c r="B198" s="74" t="s">
        <v>257</v>
      </c>
      <c r="C198" s="80">
        <v>592.99999978699998</v>
      </c>
      <c r="D198" s="80">
        <v>346.00000005900006</v>
      </c>
    </row>
    <row r="199" spans="1:4">
      <c r="A199" s="71">
        <v>41503</v>
      </c>
      <c r="B199" s="74" t="s">
        <v>221</v>
      </c>
      <c r="C199" s="80">
        <v>736.00000007400001</v>
      </c>
      <c r="D199" s="80">
        <v>555.99999963300002</v>
      </c>
    </row>
    <row r="200" spans="1:4">
      <c r="A200" s="71">
        <v>41601</v>
      </c>
      <c r="B200" s="74" t="s">
        <v>259</v>
      </c>
      <c r="C200" s="80">
        <v>4586.0000020099997</v>
      </c>
      <c r="D200" s="80">
        <v>3827.9999973529998</v>
      </c>
    </row>
    <row r="201" spans="1:4">
      <c r="A201" s="71">
        <v>50101</v>
      </c>
      <c r="B201" s="74" t="s">
        <v>260</v>
      </c>
      <c r="C201" s="80">
        <v>11245.000020412001</v>
      </c>
      <c r="D201" s="80">
        <v>9636.9999388880096</v>
      </c>
    </row>
    <row r="202" spans="1:4">
      <c r="A202" s="71">
        <v>50102</v>
      </c>
      <c r="B202" s="74" t="s">
        <v>262</v>
      </c>
      <c r="C202" s="80">
        <v>24956.999994128</v>
      </c>
      <c r="D202" s="80">
        <v>24713.999988260002</v>
      </c>
    </row>
    <row r="203" spans="1:4">
      <c r="A203" s="71">
        <v>50103</v>
      </c>
      <c r="B203" s="74" t="s">
        <v>263</v>
      </c>
      <c r="C203" s="80">
        <v>4706.9999971540001</v>
      </c>
      <c r="D203" s="80">
        <v>4325.0000057000016</v>
      </c>
    </row>
    <row r="204" spans="1:4">
      <c r="A204" s="71">
        <v>50104</v>
      </c>
      <c r="B204" s="74" t="s">
        <v>264</v>
      </c>
      <c r="C204" s="80">
        <v>2288.000001116</v>
      </c>
      <c r="D204" s="80">
        <v>2095.999998792</v>
      </c>
    </row>
    <row r="205" spans="1:4">
      <c r="A205" s="71">
        <v>50201</v>
      </c>
      <c r="B205" s="74" t="s">
        <v>266</v>
      </c>
      <c r="C205" s="80">
        <v>8309.0000047320009</v>
      </c>
      <c r="D205" s="80">
        <v>6310.0000061030005</v>
      </c>
    </row>
    <row r="206" spans="1:4">
      <c r="A206" s="71">
        <v>50202</v>
      </c>
      <c r="B206" s="74" t="s">
        <v>267</v>
      </c>
      <c r="C206" s="80">
        <v>9042.9999935199994</v>
      </c>
      <c r="D206" s="80">
        <v>6487.0000070869992</v>
      </c>
    </row>
    <row r="207" spans="1:4">
      <c r="A207" s="71">
        <v>50203</v>
      </c>
      <c r="B207" s="74" t="s">
        <v>268</v>
      </c>
      <c r="C207" s="80">
        <v>5061.0000159100018</v>
      </c>
      <c r="D207" s="80">
        <v>3248.999996216</v>
      </c>
    </row>
    <row r="208" spans="1:4">
      <c r="A208" s="71">
        <v>50204</v>
      </c>
      <c r="B208" s="74" t="s">
        <v>269</v>
      </c>
      <c r="C208" s="80">
        <v>4826.0000003639998</v>
      </c>
      <c r="D208" s="80">
        <v>3410.9999995320004</v>
      </c>
    </row>
    <row r="209" spans="1:4">
      <c r="A209" s="71">
        <v>50301</v>
      </c>
      <c r="B209" s="74" t="s">
        <v>271</v>
      </c>
      <c r="C209" s="80">
        <v>20919.000003253001</v>
      </c>
      <c r="D209" s="80">
        <v>14686.000000884997</v>
      </c>
    </row>
    <row r="210" spans="1:4">
      <c r="A210" s="71">
        <v>50302</v>
      </c>
      <c r="B210" s="74" t="s">
        <v>272</v>
      </c>
      <c r="C210" s="80">
        <v>7358.000000856</v>
      </c>
      <c r="D210" s="80">
        <v>5055.9999971649995</v>
      </c>
    </row>
    <row r="211" spans="1:4">
      <c r="A211" s="71">
        <v>50303</v>
      </c>
      <c r="B211" s="74" t="s">
        <v>273</v>
      </c>
      <c r="C211" s="80">
        <v>10648.000004653</v>
      </c>
      <c r="D211" s="80">
        <v>12344.00000288</v>
      </c>
    </row>
    <row r="212" spans="1:4">
      <c r="A212" s="71">
        <v>50401</v>
      </c>
      <c r="B212" s="74" t="s">
        <v>274</v>
      </c>
      <c r="C212" s="80">
        <v>10027.000001322001</v>
      </c>
      <c r="D212" s="80">
        <v>9467.9999985600007</v>
      </c>
    </row>
    <row r="213" spans="1:4">
      <c r="A213" s="71">
        <v>50402</v>
      </c>
      <c r="B213" s="74" t="s">
        <v>275</v>
      </c>
      <c r="C213" s="80">
        <v>18811.999999862001</v>
      </c>
      <c r="D213" s="80">
        <v>14516.999993575999</v>
      </c>
    </row>
    <row r="214" spans="1:4">
      <c r="A214" s="71">
        <v>50403</v>
      </c>
      <c r="B214" s="74" t="s">
        <v>276</v>
      </c>
      <c r="C214" s="80">
        <v>22386.000009514999</v>
      </c>
      <c r="D214" s="80">
        <v>24043.000012794</v>
      </c>
    </row>
    <row r="215" spans="1:4">
      <c r="A215" s="71">
        <v>50404</v>
      </c>
      <c r="B215" s="74" t="s">
        <v>277</v>
      </c>
      <c r="C215" s="80">
        <v>13885.99999839</v>
      </c>
      <c r="D215" s="80">
        <v>12070.000003929999</v>
      </c>
    </row>
    <row r="216" spans="1:4">
      <c r="A216" s="71">
        <v>50405</v>
      </c>
      <c r="B216" s="74" t="s">
        <v>278</v>
      </c>
      <c r="C216" s="80">
        <v>16661.999997931998</v>
      </c>
      <c r="D216" s="80">
        <v>13743.999994199999</v>
      </c>
    </row>
    <row r="217" spans="1:4">
      <c r="A217" s="71">
        <v>50501</v>
      </c>
      <c r="B217" s="74" t="s">
        <v>280</v>
      </c>
      <c r="C217" s="80">
        <v>26499.999997327999</v>
      </c>
      <c r="D217" s="80">
        <v>23426.00000272</v>
      </c>
    </row>
    <row r="218" spans="1:4">
      <c r="A218" s="71">
        <v>50502</v>
      </c>
      <c r="B218" s="74" t="s">
        <v>281</v>
      </c>
      <c r="C218" s="80">
        <v>9115.9999967910007</v>
      </c>
      <c r="D218" s="80">
        <v>7543.9999974639995</v>
      </c>
    </row>
    <row r="219" spans="1:4">
      <c r="A219" s="71">
        <v>50601</v>
      </c>
      <c r="B219" s="74" t="s">
        <v>283</v>
      </c>
      <c r="C219" s="80">
        <v>20737.999998528001</v>
      </c>
      <c r="D219" s="80">
        <v>17112.000001259999</v>
      </c>
    </row>
    <row r="220" spans="1:4">
      <c r="A220" s="71">
        <v>50602</v>
      </c>
      <c r="B220" s="74" t="s">
        <v>284</v>
      </c>
      <c r="C220" s="80">
        <v>8668.0000000119999</v>
      </c>
      <c r="D220" s="80">
        <v>6993.0000050170001</v>
      </c>
    </row>
    <row r="221" spans="1:4">
      <c r="A221" s="71">
        <v>50701</v>
      </c>
      <c r="B221" s="74" t="s">
        <v>286</v>
      </c>
      <c r="C221" s="80">
        <v>16235.00000052</v>
      </c>
      <c r="D221" s="80">
        <v>11955.999991770001</v>
      </c>
    </row>
    <row r="222" spans="1:4">
      <c r="A222" s="71">
        <v>50702</v>
      </c>
      <c r="B222" s="74" t="s">
        <v>287</v>
      </c>
      <c r="C222" s="80">
        <v>7591.9999979450004</v>
      </c>
      <c r="D222" s="80">
        <v>6815.999998024</v>
      </c>
    </row>
    <row r="223" spans="1:4">
      <c r="A223" s="71">
        <v>50801</v>
      </c>
      <c r="B223" s="74" t="s">
        <v>289</v>
      </c>
      <c r="C223" s="80">
        <v>11521.000005253998</v>
      </c>
      <c r="D223" s="80">
        <v>7563.0000100159959</v>
      </c>
    </row>
    <row r="224" spans="1:4">
      <c r="A224" s="71">
        <v>50802</v>
      </c>
      <c r="B224" s="74" t="s">
        <v>290</v>
      </c>
      <c r="C224" s="80">
        <v>589.00000518500019</v>
      </c>
      <c r="D224" s="80">
        <v>392.00000034800178</v>
      </c>
    </row>
    <row r="225" spans="1:4">
      <c r="A225" s="71">
        <v>50901</v>
      </c>
      <c r="B225" s="74" t="s">
        <v>292</v>
      </c>
      <c r="C225" s="80">
        <v>5448.0000019359986</v>
      </c>
      <c r="D225" s="80">
        <v>1914.0000008499992</v>
      </c>
    </row>
    <row r="226" spans="1:4">
      <c r="A226" s="71">
        <v>50902</v>
      </c>
      <c r="B226" s="74" t="s">
        <v>293</v>
      </c>
      <c r="C226" s="80">
        <v>594.00000037500001</v>
      </c>
      <c r="D226" s="80">
        <v>366.00000044199987</v>
      </c>
    </row>
    <row r="227" spans="1:4">
      <c r="A227" s="71">
        <v>51001</v>
      </c>
      <c r="B227" s="74" t="s">
        <v>295</v>
      </c>
      <c r="C227" s="80">
        <v>2325.9999990370002</v>
      </c>
      <c r="D227" s="80">
        <v>1506.9999998150001</v>
      </c>
    </row>
    <row r="228" spans="1:4">
      <c r="A228" s="71">
        <v>51002</v>
      </c>
      <c r="B228" s="74" t="s">
        <v>296</v>
      </c>
      <c r="C228" s="80">
        <v>1107.999999525</v>
      </c>
      <c r="D228" s="80">
        <v>658.00000032000003</v>
      </c>
    </row>
    <row r="229" spans="1:4">
      <c r="A229" s="71">
        <v>51003</v>
      </c>
      <c r="B229" s="74" t="s">
        <v>297</v>
      </c>
      <c r="C229" s="80">
        <v>1645.9999993259999</v>
      </c>
      <c r="D229" s="80">
        <v>1032.9999997899999</v>
      </c>
    </row>
    <row r="230" spans="1:4">
      <c r="A230" s="71">
        <v>51101</v>
      </c>
      <c r="B230" s="74" t="s">
        <v>299</v>
      </c>
      <c r="C230" s="80">
        <v>15500.000000420001</v>
      </c>
      <c r="D230" s="80">
        <v>8600.9999953830011</v>
      </c>
    </row>
    <row r="231" spans="1:4">
      <c r="A231" s="71">
        <v>51102</v>
      </c>
      <c r="B231" s="74" t="s">
        <v>300</v>
      </c>
      <c r="C231" s="80">
        <v>6424.9999961840003</v>
      </c>
      <c r="D231" s="80">
        <v>4158.9999969749988</v>
      </c>
    </row>
    <row r="232" spans="1:4">
      <c r="A232" s="71">
        <v>51103</v>
      </c>
      <c r="B232" s="74" t="s">
        <v>301</v>
      </c>
      <c r="C232" s="80">
        <v>13767.000000112001</v>
      </c>
      <c r="D232" s="80">
        <v>11710.999998809999</v>
      </c>
    </row>
    <row r="233" spans="1:4">
      <c r="A233" s="71">
        <v>51201</v>
      </c>
      <c r="B233" s="74" t="s">
        <v>303</v>
      </c>
      <c r="C233" s="80">
        <v>6077.000001376</v>
      </c>
      <c r="D233" s="80">
        <v>2504.0000091080001</v>
      </c>
    </row>
    <row r="234" spans="1:4">
      <c r="A234" s="71">
        <v>51202</v>
      </c>
      <c r="B234" s="74" t="s">
        <v>304</v>
      </c>
      <c r="C234" s="80">
        <v>6065.9999996799997</v>
      </c>
      <c r="D234" s="80">
        <v>3411.0000035720004</v>
      </c>
    </row>
    <row r="235" spans="1:4">
      <c r="A235" s="71">
        <v>51203</v>
      </c>
      <c r="B235" s="74" t="s">
        <v>305</v>
      </c>
      <c r="C235" s="80">
        <v>2220.0000048799993</v>
      </c>
      <c r="D235" s="80">
        <v>2003.9999982020017</v>
      </c>
    </row>
    <row r="236" spans="1:4">
      <c r="A236" s="71">
        <v>51204</v>
      </c>
      <c r="B236" s="74" t="s">
        <v>306</v>
      </c>
      <c r="C236" s="80">
        <v>3944.0000007179997</v>
      </c>
      <c r="D236" s="80">
        <v>2946.0000017400002</v>
      </c>
    </row>
    <row r="237" spans="1:4">
      <c r="A237" s="71">
        <v>51301</v>
      </c>
      <c r="B237" s="74" t="s">
        <v>308</v>
      </c>
      <c r="C237" s="80">
        <v>3635.9999992500002</v>
      </c>
      <c r="D237" s="80">
        <v>3040.9999999279999</v>
      </c>
    </row>
    <row r="238" spans="1:4">
      <c r="A238" s="71">
        <v>51302</v>
      </c>
      <c r="B238" s="74" t="s">
        <v>309</v>
      </c>
      <c r="C238" s="80">
        <v>4997.0000026159996</v>
      </c>
      <c r="D238" s="80">
        <v>3307.0000016600002</v>
      </c>
    </row>
    <row r="239" spans="1:4">
      <c r="A239" s="71">
        <v>51401</v>
      </c>
      <c r="B239" s="74" t="s">
        <v>311</v>
      </c>
      <c r="C239" s="80">
        <v>2625.0000012199998</v>
      </c>
      <c r="D239" s="80">
        <v>973.00000200800014</v>
      </c>
    </row>
    <row r="240" spans="1:4">
      <c r="A240" s="71">
        <v>51402</v>
      </c>
      <c r="B240" s="74" t="s">
        <v>312</v>
      </c>
      <c r="C240" s="80">
        <v>863.00000051200004</v>
      </c>
      <c r="D240" s="80">
        <v>364.99999936400013</v>
      </c>
    </row>
    <row r="241" spans="1:4">
      <c r="A241" s="71">
        <v>51501</v>
      </c>
      <c r="B241" s="74" t="s">
        <v>314</v>
      </c>
      <c r="C241" s="80">
        <v>7086.0000024320034</v>
      </c>
      <c r="D241" s="80">
        <v>4103.9999766540059</v>
      </c>
    </row>
    <row r="242" spans="1:4">
      <c r="A242" s="71">
        <v>51601</v>
      </c>
      <c r="B242" s="74" t="s">
        <v>316</v>
      </c>
      <c r="C242" s="80">
        <v>1454.999999381</v>
      </c>
      <c r="D242" s="80">
        <v>699.00000001600006</v>
      </c>
    </row>
    <row r="243" spans="1:4">
      <c r="A243" s="71">
        <v>60101</v>
      </c>
      <c r="B243" s="74" t="s">
        <v>317</v>
      </c>
      <c r="C243" s="80">
        <v>15774.000091019989</v>
      </c>
      <c r="D243" s="80">
        <v>9496.0000504599884</v>
      </c>
    </row>
    <row r="244" spans="1:4">
      <c r="A244" s="71">
        <v>60201</v>
      </c>
      <c r="B244" s="74" t="s">
        <v>319</v>
      </c>
      <c r="C244" s="80">
        <v>12324.000002551998</v>
      </c>
      <c r="D244" s="80">
        <v>7778.9999988149993</v>
      </c>
    </row>
    <row r="245" spans="1:4">
      <c r="A245" s="71">
        <v>60202</v>
      </c>
      <c r="B245" s="74" t="s">
        <v>320</v>
      </c>
      <c r="C245" s="80">
        <v>2822.9999915699991</v>
      </c>
      <c r="D245" s="80">
        <v>1031.999983599002</v>
      </c>
    </row>
    <row r="246" spans="1:4">
      <c r="A246" s="71">
        <v>60301</v>
      </c>
      <c r="B246" s="74" t="s">
        <v>322</v>
      </c>
      <c r="C246" s="80">
        <v>14317.999973078986</v>
      </c>
      <c r="D246" s="80">
        <v>8670.0000384000014</v>
      </c>
    </row>
    <row r="247" spans="1:4">
      <c r="A247" s="71">
        <v>60302</v>
      </c>
      <c r="B247" s="74" t="s">
        <v>323</v>
      </c>
      <c r="C247" s="80">
        <v>6823.000000602</v>
      </c>
      <c r="D247" s="80">
        <v>3174.0000010680014</v>
      </c>
    </row>
    <row r="248" spans="1:4">
      <c r="A248" s="71">
        <v>60303</v>
      </c>
      <c r="B248" s="74" t="s">
        <v>324</v>
      </c>
      <c r="C248" s="80">
        <v>8956.999983873</v>
      </c>
      <c r="D248" s="80">
        <v>8469.0000079079982</v>
      </c>
    </row>
    <row r="249" spans="1:4">
      <c r="A249" s="71">
        <v>60401</v>
      </c>
      <c r="B249" s="74" t="s">
        <v>326</v>
      </c>
      <c r="C249" s="80">
        <v>7631.9999998499998</v>
      </c>
      <c r="D249" s="80">
        <v>4905.9999965440002</v>
      </c>
    </row>
    <row r="250" spans="1:4">
      <c r="A250" s="71">
        <v>60402</v>
      </c>
      <c r="B250" s="74" t="s">
        <v>327</v>
      </c>
      <c r="C250" s="80">
        <v>4028.0000023479997</v>
      </c>
      <c r="D250" s="80">
        <v>2647.0000003199998</v>
      </c>
    </row>
    <row r="251" spans="1:4">
      <c r="A251" s="71">
        <v>60501</v>
      </c>
      <c r="B251" s="74" t="s">
        <v>329</v>
      </c>
      <c r="C251" s="80">
        <v>9797.0000016840004</v>
      </c>
      <c r="D251" s="80">
        <v>5548.9999907489982</v>
      </c>
    </row>
    <row r="252" spans="1:4">
      <c r="A252" s="71">
        <v>60502</v>
      </c>
      <c r="B252" s="74" t="s">
        <v>330</v>
      </c>
      <c r="C252" s="80">
        <v>6008.99999862</v>
      </c>
      <c r="D252" s="80">
        <v>2948.9999969599994</v>
      </c>
    </row>
    <row r="253" spans="1:4">
      <c r="A253" s="71">
        <v>60601</v>
      </c>
      <c r="B253" s="74" t="s">
        <v>201</v>
      </c>
      <c r="C253" s="80">
        <v>12858.000003525001</v>
      </c>
      <c r="D253" s="80">
        <v>10313.999999685</v>
      </c>
    </row>
    <row r="254" spans="1:4">
      <c r="A254" s="71">
        <v>70101</v>
      </c>
      <c r="B254" s="74" t="s">
        <v>334</v>
      </c>
      <c r="C254" s="80">
        <v>17570.000392126152</v>
      </c>
      <c r="D254" s="80">
        <v>9680.9994288398884</v>
      </c>
    </row>
    <row r="255" spans="1:4">
      <c r="A255" s="71">
        <v>70102</v>
      </c>
      <c r="B255" s="74" t="s">
        <v>335</v>
      </c>
      <c r="C255" s="80">
        <v>7332.0000071039976</v>
      </c>
      <c r="D255" s="80">
        <v>4237.999952031998</v>
      </c>
    </row>
    <row r="256" spans="1:4">
      <c r="A256" s="71">
        <v>70103</v>
      </c>
      <c r="B256" s="74" t="s">
        <v>336</v>
      </c>
      <c r="C256" s="80">
        <v>6627.999997429999</v>
      </c>
      <c r="D256" s="80">
        <v>2974.0000082520019</v>
      </c>
    </row>
    <row r="257" spans="1:4">
      <c r="A257" s="71">
        <v>70104</v>
      </c>
      <c r="B257" s="74" t="s">
        <v>337</v>
      </c>
      <c r="C257" s="80">
        <v>4737.9999705740047</v>
      </c>
      <c r="D257" s="80">
        <v>2354.0000605829991</v>
      </c>
    </row>
    <row r="258" spans="1:4">
      <c r="A258" s="71">
        <v>70105</v>
      </c>
      <c r="B258" s="74" t="s">
        <v>338</v>
      </c>
      <c r="C258" s="80">
        <v>12719.999980485001</v>
      </c>
      <c r="D258" s="80">
        <v>6694.9999858949959</v>
      </c>
    </row>
    <row r="259" spans="1:4">
      <c r="A259" s="71">
        <v>70201</v>
      </c>
      <c r="B259" s="74" t="s">
        <v>339</v>
      </c>
      <c r="C259" s="80">
        <v>7323.9999538720003</v>
      </c>
      <c r="D259" s="80">
        <v>3732.9999790719885</v>
      </c>
    </row>
    <row r="260" spans="1:4">
      <c r="A260" s="71">
        <v>70202</v>
      </c>
      <c r="B260" s="74" t="s">
        <v>340</v>
      </c>
      <c r="C260" s="80">
        <v>1986.0000053040003</v>
      </c>
      <c r="D260" s="80">
        <v>566.99999519999983</v>
      </c>
    </row>
    <row r="261" spans="1:4">
      <c r="A261" s="71">
        <v>70301</v>
      </c>
      <c r="B261" s="74" t="s">
        <v>342</v>
      </c>
      <c r="C261" s="80">
        <v>31648.000017620001</v>
      </c>
      <c r="D261" s="80">
        <v>25193.999997778003</v>
      </c>
    </row>
    <row r="262" spans="1:4">
      <c r="A262" s="71">
        <v>70302</v>
      </c>
      <c r="B262" s="74" t="s">
        <v>343</v>
      </c>
      <c r="C262" s="80">
        <v>8263.000004132</v>
      </c>
      <c r="D262" s="80">
        <v>8125.0000060279999</v>
      </c>
    </row>
    <row r="263" spans="1:4">
      <c r="A263" s="71">
        <v>70303</v>
      </c>
      <c r="B263" s="74" t="s">
        <v>344</v>
      </c>
      <c r="C263" s="80">
        <v>3461.9999989319999</v>
      </c>
      <c r="D263" s="80">
        <v>4196.0000002499992</v>
      </c>
    </row>
    <row r="264" spans="1:4">
      <c r="A264" s="71">
        <v>70401</v>
      </c>
      <c r="B264" s="74" t="s">
        <v>346</v>
      </c>
      <c r="C264" s="80">
        <v>5340.0000046599998</v>
      </c>
      <c r="D264" s="80">
        <v>2551.999999478001</v>
      </c>
    </row>
    <row r="265" spans="1:4">
      <c r="A265" s="71">
        <v>70402</v>
      </c>
      <c r="B265" s="74" t="s">
        <v>347</v>
      </c>
      <c r="C265" s="80">
        <v>5437.0000056120007</v>
      </c>
      <c r="D265" s="80">
        <v>1955.9999983650014</v>
      </c>
    </row>
    <row r="266" spans="1:4">
      <c r="A266" s="71">
        <v>70403</v>
      </c>
      <c r="B266" s="74" t="s">
        <v>348</v>
      </c>
      <c r="C266" s="80">
        <v>16190.000016477003</v>
      </c>
      <c r="D266" s="80">
        <v>10529.000025894005</v>
      </c>
    </row>
    <row r="267" spans="1:4">
      <c r="A267" s="71">
        <v>70404</v>
      </c>
      <c r="B267" s="74" t="s">
        <v>349</v>
      </c>
      <c r="C267" s="80">
        <v>1931.0000018399996</v>
      </c>
      <c r="D267" s="80">
        <v>1131.0000029790008</v>
      </c>
    </row>
    <row r="268" spans="1:4">
      <c r="A268" s="71">
        <v>70501</v>
      </c>
      <c r="B268" s="74" t="s">
        <v>351</v>
      </c>
      <c r="C268" s="80">
        <v>4774.9999943869989</v>
      </c>
      <c r="D268" s="80">
        <v>8969.0000104320025</v>
      </c>
    </row>
    <row r="269" spans="1:4">
      <c r="A269" s="71">
        <v>70502</v>
      </c>
      <c r="B269" s="74" t="s">
        <v>352</v>
      </c>
      <c r="C269" s="80">
        <v>3879.0000105670006</v>
      </c>
      <c r="D269" s="80">
        <v>4981.0000153740039</v>
      </c>
    </row>
    <row r="270" spans="1:4">
      <c r="A270" s="71">
        <v>70503</v>
      </c>
      <c r="B270" s="74" t="s">
        <v>353</v>
      </c>
      <c r="C270" s="80">
        <v>5923.0000057279995</v>
      </c>
      <c r="D270" s="80">
        <v>3380.9999929829992</v>
      </c>
    </row>
    <row r="271" spans="1:4">
      <c r="A271" s="71">
        <v>70601</v>
      </c>
      <c r="B271" s="74" t="s">
        <v>355</v>
      </c>
      <c r="C271" s="80">
        <v>3004.0000039800016</v>
      </c>
      <c r="D271" s="80">
        <v>1232.9999927530007</v>
      </c>
    </row>
    <row r="272" spans="1:4">
      <c r="A272" s="71">
        <v>70602</v>
      </c>
      <c r="B272" s="74" t="s">
        <v>356</v>
      </c>
      <c r="C272" s="80">
        <v>11322.000000682001</v>
      </c>
      <c r="D272" s="80">
        <v>4397.9999998889998</v>
      </c>
    </row>
    <row r="273" spans="1:4">
      <c r="A273" s="71">
        <v>70603</v>
      </c>
      <c r="B273" s="74" t="s">
        <v>357</v>
      </c>
      <c r="C273" s="80">
        <v>920.00000292000004</v>
      </c>
      <c r="D273" s="80">
        <v>417.99999943500097</v>
      </c>
    </row>
    <row r="274" spans="1:4">
      <c r="A274" s="71">
        <v>70701</v>
      </c>
      <c r="B274" s="74" t="s">
        <v>359</v>
      </c>
      <c r="C274" s="80">
        <v>3851.9999986439998</v>
      </c>
      <c r="D274" s="80">
        <v>3324.0000024639999</v>
      </c>
    </row>
    <row r="275" spans="1:4">
      <c r="A275" s="71">
        <v>70702</v>
      </c>
      <c r="B275" s="74" t="s">
        <v>360</v>
      </c>
      <c r="C275" s="80">
        <v>17688.000003428999</v>
      </c>
      <c r="D275" s="80">
        <v>18655.000003439996</v>
      </c>
    </row>
    <row r="276" spans="1:4">
      <c r="A276" s="71">
        <v>70703</v>
      </c>
      <c r="B276" s="74" t="s">
        <v>361</v>
      </c>
      <c r="C276" s="80">
        <v>8394.0000051280003</v>
      </c>
      <c r="D276" s="80">
        <v>5532.9999957280015</v>
      </c>
    </row>
    <row r="277" spans="1:4">
      <c r="A277" s="71">
        <v>70704</v>
      </c>
      <c r="B277" s="74" t="s">
        <v>362</v>
      </c>
      <c r="C277" s="80">
        <v>2656.0000014349998</v>
      </c>
      <c r="D277" s="80">
        <v>2122.000001802</v>
      </c>
    </row>
    <row r="278" spans="1:4">
      <c r="A278" s="71">
        <v>70705</v>
      </c>
      <c r="B278" s="74" t="s">
        <v>363</v>
      </c>
      <c r="C278" s="80">
        <v>10213.000004608</v>
      </c>
      <c r="D278" s="80">
        <v>9891.0000039360002</v>
      </c>
    </row>
    <row r="279" spans="1:4">
      <c r="A279" s="71">
        <v>70706</v>
      </c>
      <c r="B279" s="74" t="s">
        <v>364</v>
      </c>
      <c r="C279" s="80">
        <v>3812.0000156909991</v>
      </c>
      <c r="D279" s="80">
        <v>3423.9999882760021</v>
      </c>
    </row>
    <row r="280" spans="1:4">
      <c r="A280" s="71">
        <v>70707</v>
      </c>
      <c r="B280" s="74" t="s">
        <v>365</v>
      </c>
      <c r="C280" s="80">
        <v>2497.00000077</v>
      </c>
      <c r="D280" s="80">
        <v>1090.99999837</v>
      </c>
    </row>
    <row r="281" spans="1:4">
      <c r="A281" s="71">
        <v>70801</v>
      </c>
      <c r="B281" s="74" t="s">
        <v>367</v>
      </c>
      <c r="C281" s="80">
        <v>5863.0000068360005</v>
      </c>
      <c r="D281" s="80">
        <v>4044.0000053519998</v>
      </c>
    </row>
    <row r="282" spans="1:4">
      <c r="A282" s="71">
        <v>70802</v>
      </c>
      <c r="B282" s="74" t="s">
        <v>368</v>
      </c>
      <c r="C282" s="80">
        <v>1080.999998988</v>
      </c>
      <c r="D282" s="80">
        <v>487.00000105000004</v>
      </c>
    </row>
    <row r="283" spans="1:4">
      <c r="A283" s="71">
        <v>70803</v>
      </c>
      <c r="B283" s="74" t="s">
        <v>369</v>
      </c>
      <c r="C283" s="80">
        <v>1756.00000125</v>
      </c>
      <c r="D283" s="80">
        <v>1070.0000002639999</v>
      </c>
    </row>
    <row r="284" spans="1:4">
      <c r="A284" s="71">
        <v>70804</v>
      </c>
      <c r="B284" s="74" t="s">
        <v>370</v>
      </c>
      <c r="C284" s="80">
        <v>1343.000000367</v>
      </c>
      <c r="D284" s="80">
        <v>733.00000048000015</v>
      </c>
    </row>
    <row r="285" spans="1:4">
      <c r="A285" s="71">
        <v>70805</v>
      </c>
      <c r="B285" s="74" t="s">
        <v>371</v>
      </c>
      <c r="C285" s="80">
        <v>1400.999999488</v>
      </c>
      <c r="D285" s="80">
        <v>1083.00000013</v>
      </c>
    </row>
    <row r="286" spans="1:4">
      <c r="A286" s="71">
        <v>70901</v>
      </c>
      <c r="B286" s="74" t="s">
        <v>373</v>
      </c>
      <c r="C286" s="80">
        <v>3090.9999987720012</v>
      </c>
      <c r="D286" s="80">
        <v>1897.9999973899994</v>
      </c>
    </row>
    <row r="287" spans="1:4">
      <c r="A287" s="71">
        <v>70902</v>
      </c>
      <c r="B287" s="74" t="s">
        <v>374</v>
      </c>
      <c r="C287" s="80">
        <v>2354.9999976619993</v>
      </c>
      <c r="D287" s="80">
        <v>1454.0000032280004</v>
      </c>
    </row>
    <row r="288" spans="1:4">
      <c r="A288" s="71">
        <v>70903</v>
      </c>
      <c r="B288" s="74" t="s">
        <v>375</v>
      </c>
      <c r="C288" s="80">
        <v>1275.0000032160006</v>
      </c>
      <c r="D288" s="80">
        <v>1662.9999957870004</v>
      </c>
    </row>
    <row r="289" spans="1:4">
      <c r="A289" s="71">
        <v>70904</v>
      </c>
      <c r="B289" s="74" t="s">
        <v>376</v>
      </c>
      <c r="C289" s="80">
        <v>1170.9999987000001</v>
      </c>
      <c r="D289" s="80">
        <v>819.99999982200006</v>
      </c>
    </row>
    <row r="290" spans="1:4">
      <c r="A290" s="71">
        <v>71001</v>
      </c>
      <c r="B290" s="74" t="s">
        <v>378</v>
      </c>
      <c r="C290" s="80">
        <v>4045.0000263120019</v>
      </c>
      <c r="D290" s="80">
        <v>1421.999990760014</v>
      </c>
    </row>
    <row r="291" spans="1:4">
      <c r="A291" s="71">
        <v>71002</v>
      </c>
      <c r="B291" s="74" t="s">
        <v>379</v>
      </c>
      <c r="C291" s="80">
        <v>3918.9999933210001</v>
      </c>
      <c r="D291" s="80">
        <v>1819.0000051440002</v>
      </c>
    </row>
    <row r="292" spans="1:4">
      <c r="A292" s="71">
        <v>71003</v>
      </c>
      <c r="B292" s="74" t="s">
        <v>380</v>
      </c>
      <c r="C292" s="80">
        <v>3561.9999993519996</v>
      </c>
      <c r="D292" s="80">
        <v>1260.9999953609986</v>
      </c>
    </row>
    <row r="293" spans="1:4">
      <c r="A293" s="71">
        <v>71004</v>
      </c>
      <c r="B293" s="74" t="s">
        <v>381</v>
      </c>
      <c r="C293" s="80">
        <v>2334.9999973260001</v>
      </c>
      <c r="D293" s="80">
        <v>575.99999447199843</v>
      </c>
    </row>
    <row r="294" spans="1:4">
      <c r="A294" s="71">
        <v>71005</v>
      </c>
      <c r="B294" s="74" t="s">
        <v>280</v>
      </c>
      <c r="C294" s="80">
        <v>2390.0000020120006</v>
      </c>
      <c r="D294" s="80">
        <v>505.00000636799996</v>
      </c>
    </row>
    <row r="295" spans="1:4">
      <c r="A295" s="71">
        <v>71101</v>
      </c>
      <c r="B295" s="74" t="s">
        <v>383</v>
      </c>
      <c r="C295" s="80">
        <v>11323.000004138001</v>
      </c>
      <c r="D295" s="80">
        <v>13768.999998556001</v>
      </c>
    </row>
    <row r="296" spans="1:4">
      <c r="A296" s="71">
        <v>71102</v>
      </c>
      <c r="B296" s="74" t="s">
        <v>384</v>
      </c>
      <c r="C296" s="80">
        <v>6113.9999996460001</v>
      </c>
      <c r="D296" s="80">
        <v>3626.9999949449993</v>
      </c>
    </row>
    <row r="297" spans="1:4">
      <c r="A297" s="71">
        <v>71103</v>
      </c>
      <c r="B297" s="74" t="s">
        <v>387</v>
      </c>
      <c r="C297" s="80">
        <v>1607.9999967380008</v>
      </c>
      <c r="D297" s="80">
        <v>1176.9999969399996</v>
      </c>
    </row>
    <row r="298" spans="1:4">
      <c r="A298" s="71">
        <v>71104</v>
      </c>
      <c r="B298" s="74" t="s">
        <v>385</v>
      </c>
      <c r="C298" s="80">
        <v>18251.999984041999</v>
      </c>
      <c r="D298" s="80">
        <v>4964.0000180759962</v>
      </c>
    </row>
    <row r="299" spans="1:4">
      <c r="A299" s="71">
        <v>71105</v>
      </c>
      <c r="B299" s="74" t="s">
        <v>386</v>
      </c>
      <c r="C299" s="80">
        <v>5502.0000015859996</v>
      </c>
      <c r="D299" s="80">
        <v>4587.9999988899999</v>
      </c>
    </row>
    <row r="300" spans="1:4">
      <c r="A300" s="71">
        <v>71106</v>
      </c>
      <c r="B300" s="74" t="s">
        <v>388</v>
      </c>
      <c r="C300" s="80">
        <v>2960.0000067600013</v>
      </c>
      <c r="D300" s="80">
        <v>985.00000510799873</v>
      </c>
    </row>
    <row r="301" spans="1:4">
      <c r="A301" s="71">
        <v>71201</v>
      </c>
      <c r="B301" s="74" t="s">
        <v>390</v>
      </c>
      <c r="C301" s="80">
        <v>7189</v>
      </c>
      <c r="D301" s="80">
        <v>4461.0000015919995</v>
      </c>
    </row>
    <row r="302" spans="1:4">
      <c r="A302" s="71">
        <v>71301</v>
      </c>
      <c r="B302" s="74" t="s">
        <v>392</v>
      </c>
      <c r="C302" s="80">
        <v>5509.0000078119992</v>
      </c>
      <c r="D302" s="80">
        <v>2886.9999963949995</v>
      </c>
    </row>
    <row r="303" spans="1:4">
      <c r="A303" s="71">
        <v>71302</v>
      </c>
      <c r="B303" s="74" t="s">
        <v>393</v>
      </c>
      <c r="C303" s="80">
        <v>1592.9999995440003</v>
      </c>
      <c r="D303" s="80">
        <v>646.00000263000038</v>
      </c>
    </row>
    <row r="304" spans="1:4">
      <c r="A304" s="71">
        <v>71401</v>
      </c>
      <c r="B304" s="74" t="s">
        <v>395</v>
      </c>
      <c r="C304" s="80">
        <v>3846.9999971899979</v>
      </c>
      <c r="D304" s="80">
        <v>1449.0000052199994</v>
      </c>
    </row>
    <row r="305" spans="1:4">
      <c r="A305" s="71">
        <v>71402</v>
      </c>
      <c r="B305" s="74" t="s">
        <v>396</v>
      </c>
      <c r="C305" s="80">
        <v>1333.0000068629997</v>
      </c>
      <c r="D305" s="80">
        <v>535.99999519199991</v>
      </c>
    </row>
    <row r="306" spans="1:4">
      <c r="A306" s="71">
        <v>71403</v>
      </c>
      <c r="B306" s="74" t="s">
        <v>397</v>
      </c>
      <c r="C306" s="80">
        <v>4840.0000008959996</v>
      </c>
      <c r="D306" s="80">
        <v>3214.9999969259998</v>
      </c>
    </row>
    <row r="307" spans="1:4">
      <c r="A307" s="71">
        <v>71501</v>
      </c>
      <c r="B307" s="74" t="s">
        <v>399</v>
      </c>
      <c r="C307" s="80">
        <v>9870.9999973070007</v>
      </c>
      <c r="D307" s="80">
        <v>9733.0000155400012</v>
      </c>
    </row>
    <row r="308" spans="1:4">
      <c r="A308" s="71">
        <v>71502</v>
      </c>
      <c r="B308" s="74" t="s">
        <v>400</v>
      </c>
      <c r="C308" s="80">
        <v>4384.9999981700003</v>
      </c>
      <c r="D308" s="80">
        <v>3111.9999979529998</v>
      </c>
    </row>
    <row r="309" spans="1:4">
      <c r="A309" s="71">
        <v>71503</v>
      </c>
      <c r="B309" s="74" t="s">
        <v>330</v>
      </c>
      <c r="C309" s="80">
        <v>8563.000006844999</v>
      </c>
      <c r="D309" s="80">
        <v>6774.0000023470002</v>
      </c>
    </row>
    <row r="310" spans="1:4">
      <c r="A310" s="71">
        <v>80101</v>
      </c>
      <c r="B310" s="74" t="s">
        <v>402</v>
      </c>
      <c r="C310" s="80">
        <v>6104.000025219997</v>
      </c>
      <c r="D310" s="80">
        <v>3179.999948599012</v>
      </c>
    </row>
    <row r="311" spans="1:4">
      <c r="A311" s="71">
        <v>80102</v>
      </c>
      <c r="B311" s="74" t="s">
        <v>384</v>
      </c>
      <c r="C311" s="80">
        <v>3750.0000003719997</v>
      </c>
      <c r="D311" s="80">
        <v>4112.0000013389999</v>
      </c>
    </row>
    <row r="312" spans="1:4">
      <c r="A312" s="71">
        <v>80201</v>
      </c>
      <c r="B312" s="74" t="s">
        <v>404</v>
      </c>
      <c r="C312" s="80">
        <v>26495.000033831006</v>
      </c>
      <c r="D312" s="80">
        <v>16221.000029597999</v>
      </c>
    </row>
    <row r="313" spans="1:4">
      <c r="A313" s="71">
        <v>80202</v>
      </c>
      <c r="B313" s="74" t="s">
        <v>405</v>
      </c>
      <c r="C313" s="80">
        <v>8134.0000123499995</v>
      </c>
      <c r="D313" s="80">
        <v>5286.9999807519998</v>
      </c>
    </row>
    <row r="314" spans="1:4">
      <c r="A314" s="71">
        <v>80301</v>
      </c>
      <c r="B314" s="74" t="s">
        <v>407</v>
      </c>
      <c r="C314" s="80">
        <v>7939.0000000569999</v>
      </c>
      <c r="D314" s="80">
        <v>4835.0000028360009</v>
      </c>
    </row>
    <row r="315" spans="1:4">
      <c r="A315" s="71">
        <v>80302</v>
      </c>
      <c r="B315" s="74" t="s">
        <v>408</v>
      </c>
      <c r="C315" s="80">
        <v>21472.000009169999</v>
      </c>
      <c r="D315" s="80">
        <v>22327.000011253</v>
      </c>
    </row>
    <row r="316" spans="1:4">
      <c r="A316" s="71">
        <v>80303</v>
      </c>
      <c r="B316" s="74" t="s">
        <v>356</v>
      </c>
      <c r="C316" s="80">
        <v>5248.9999975999999</v>
      </c>
      <c r="D316" s="80">
        <v>3694.0000018319988</v>
      </c>
    </row>
    <row r="317" spans="1:4">
      <c r="A317" s="71">
        <v>80304</v>
      </c>
      <c r="B317" s="74" t="s">
        <v>409</v>
      </c>
      <c r="C317" s="80">
        <v>6453.0000030579995</v>
      </c>
      <c r="D317" s="80">
        <v>5434.9999946800017</v>
      </c>
    </row>
    <row r="318" spans="1:4">
      <c r="A318" s="71">
        <v>80401</v>
      </c>
      <c r="B318" s="74" t="s">
        <v>411</v>
      </c>
      <c r="C318" s="80">
        <v>6211.0000011849988</v>
      </c>
      <c r="D318" s="80">
        <v>4773.9999968669999</v>
      </c>
    </row>
    <row r="319" spans="1:4">
      <c r="A319" s="71">
        <v>80402</v>
      </c>
      <c r="B319" s="74" t="s">
        <v>412</v>
      </c>
      <c r="C319" s="80">
        <v>5420.9999987319998</v>
      </c>
      <c r="D319" s="80">
        <v>5454.9999998900003</v>
      </c>
    </row>
    <row r="320" spans="1:4">
      <c r="A320" s="71">
        <v>80501</v>
      </c>
      <c r="B320" s="74" t="s">
        <v>342</v>
      </c>
      <c r="C320" s="80">
        <v>11446.000008651001</v>
      </c>
      <c r="D320" s="80">
        <v>9408.0000099279987</v>
      </c>
    </row>
    <row r="321" spans="1:4">
      <c r="A321" s="71">
        <v>80601</v>
      </c>
      <c r="B321" s="74" t="s">
        <v>415</v>
      </c>
      <c r="C321" s="80">
        <v>3178.9999994899999</v>
      </c>
      <c r="D321" s="80">
        <v>2683.0000009300002</v>
      </c>
    </row>
    <row r="322" spans="1:4">
      <c r="A322" s="71">
        <v>80602</v>
      </c>
      <c r="B322" s="74" t="s">
        <v>416</v>
      </c>
      <c r="C322" s="80">
        <v>8348.0000046240002</v>
      </c>
      <c r="D322" s="80">
        <v>7779.00000568</v>
      </c>
    </row>
    <row r="323" spans="1:4">
      <c r="A323" s="71">
        <v>80701</v>
      </c>
      <c r="B323" s="74" t="s">
        <v>418</v>
      </c>
      <c r="C323" s="80">
        <v>3507.0000020000002</v>
      </c>
      <c r="D323" s="80">
        <v>1495.9999996109991</v>
      </c>
    </row>
    <row r="324" spans="1:4">
      <c r="A324" s="71">
        <v>80702</v>
      </c>
      <c r="B324" s="74" t="s">
        <v>387</v>
      </c>
      <c r="C324" s="80">
        <v>2734.0000000320001</v>
      </c>
      <c r="D324" s="80">
        <v>1833.0000025919999</v>
      </c>
    </row>
    <row r="325" spans="1:4">
      <c r="A325" s="71">
        <v>80703</v>
      </c>
      <c r="B325" s="74" t="s">
        <v>419</v>
      </c>
      <c r="C325" s="80">
        <v>701.00000006400001</v>
      </c>
      <c r="D325" s="80">
        <v>351.00000015000012</v>
      </c>
    </row>
    <row r="326" spans="1:4">
      <c r="A326" s="71">
        <v>80801</v>
      </c>
      <c r="B326" s="74" t="s">
        <v>421</v>
      </c>
      <c r="C326" s="80">
        <v>6191.0000003390005</v>
      </c>
      <c r="D326" s="80">
        <v>4297.0000044150011</v>
      </c>
    </row>
    <row r="327" spans="1:4">
      <c r="A327" s="71">
        <v>80802</v>
      </c>
      <c r="B327" s="74" t="s">
        <v>422</v>
      </c>
      <c r="C327" s="80">
        <v>3474.99999819</v>
      </c>
      <c r="D327" s="80">
        <v>3449.9999999080005</v>
      </c>
    </row>
    <row r="328" spans="1:4">
      <c r="A328" s="71">
        <v>80803</v>
      </c>
      <c r="B328" s="74" t="s">
        <v>423</v>
      </c>
      <c r="C328" s="80">
        <v>2917.0000008030001</v>
      </c>
      <c r="D328" s="80">
        <v>1907.0000020889997</v>
      </c>
    </row>
    <row r="329" spans="1:4">
      <c r="A329" s="71">
        <v>80901</v>
      </c>
      <c r="B329" s="74" t="s">
        <v>425</v>
      </c>
      <c r="C329" s="80">
        <v>3067.9999991899999</v>
      </c>
      <c r="D329" s="80">
        <v>3580.9999987320002</v>
      </c>
    </row>
    <row r="330" spans="1:4">
      <c r="A330" s="71">
        <v>90101</v>
      </c>
      <c r="B330" s="74" t="s">
        <v>428</v>
      </c>
      <c r="C330" s="80">
        <v>2385.9999896590016</v>
      </c>
      <c r="D330" s="80">
        <v>831.00000321600237</v>
      </c>
    </row>
    <row r="331" spans="1:4">
      <c r="A331" s="71">
        <v>90102</v>
      </c>
      <c r="B331" s="74" t="s">
        <v>429</v>
      </c>
      <c r="C331" s="80">
        <v>2304.0000000500004</v>
      </c>
      <c r="D331" s="80">
        <v>837.99999938600013</v>
      </c>
    </row>
    <row r="332" spans="1:4">
      <c r="A332" s="71">
        <v>90103</v>
      </c>
      <c r="B332" s="74" t="s">
        <v>430</v>
      </c>
      <c r="C332" s="80">
        <v>1593.0000005100001</v>
      </c>
      <c r="D332" s="80">
        <v>938.99999899999989</v>
      </c>
    </row>
    <row r="333" spans="1:4">
      <c r="A333" s="71">
        <v>90104</v>
      </c>
      <c r="B333" s="74" t="s">
        <v>431</v>
      </c>
      <c r="C333" s="80">
        <v>1950.9999998320002</v>
      </c>
      <c r="D333" s="80">
        <v>877.99999895999963</v>
      </c>
    </row>
    <row r="334" spans="1:4">
      <c r="A334" s="71">
        <v>90201</v>
      </c>
      <c r="B334" s="74" t="s">
        <v>433</v>
      </c>
      <c r="C334" s="80">
        <v>2885.0000011520001</v>
      </c>
      <c r="D334" s="80">
        <v>1482.9999977859998</v>
      </c>
    </row>
    <row r="335" spans="1:4">
      <c r="A335" s="71">
        <v>90202</v>
      </c>
      <c r="B335" s="74" t="s">
        <v>280</v>
      </c>
      <c r="C335" s="80">
        <v>2852.99999957</v>
      </c>
      <c r="D335" s="80">
        <v>2888.0000010399999</v>
      </c>
    </row>
    <row r="336" spans="1:4">
      <c r="A336" s="71">
        <v>90203</v>
      </c>
      <c r="B336" s="74" t="s">
        <v>434</v>
      </c>
      <c r="C336" s="80">
        <v>4312.0000012999999</v>
      </c>
      <c r="D336" s="80">
        <v>1703.0000010240001</v>
      </c>
    </row>
    <row r="337" spans="1:4">
      <c r="A337" s="71">
        <v>90301</v>
      </c>
      <c r="B337" s="74" t="s">
        <v>436</v>
      </c>
      <c r="C337" s="80">
        <v>6435.0000034519999</v>
      </c>
      <c r="D337" s="80">
        <v>5919.9999981749997</v>
      </c>
    </row>
    <row r="338" spans="1:4">
      <c r="A338" s="71">
        <v>90302</v>
      </c>
      <c r="B338" s="74" t="s">
        <v>329</v>
      </c>
      <c r="C338" s="80">
        <v>6088.9999967599997</v>
      </c>
      <c r="D338" s="80">
        <v>4170.0000014040006</v>
      </c>
    </row>
    <row r="339" spans="1:4">
      <c r="A339" s="71">
        <v>90303</v>
      </c>
      <c r="B339" s="74" t="s">
        <v>437</v>
      </c>
      <c r="C339" s="80">
        <v>6818.99999751</v>
      </c>
      <c r="D339" s="80">
        <v>4488.9999975350001</v>
      </c>
    </row>
    <row r="340" spans="1:4">
      <c r="A340" s="71">
        <v>90401</v>
      </c>
      <c r="B340" s="74" t="s">
        <v>356</v>
      </c>
      <c r="C340" s="80">
        <v>1647.999998968</v>
      </c>
      <c r="D340" s="80">
        <v>728.99999916000024</v>
      </c>
    </row>
    <row r="341" spans="1:4">
      <c r="A341" s="71">
        <v>90402</v>
      </c>
      <c r="B341" s="74" t="s">
        <v>99</v>
      </c>
      <c r="C341" s="80">
        <v>1433.0000001840001</v>
      </c>
      <c r="D341" s="80">
        <v>1300.9999996500001</v>
      </c>
    </row>
    <row r="342" spans="1:4">
      <c r="A342" s="71">
        <v>90501</v>
      </c>
      <c r="B342" s="74" t="s">
        <v>440</v>
      </c>
      <c r="C342" s="80">
        <v>1409.9999997340001</v>
      </c>
      <c r="D342" s="80">
        <v>639.00000044499996</v>
      </c>
    </row>
    <row r="343" spans="1:4">
      <c r="A343" s="71">
        <v>90502</v>
      </c>
      <c r="B343" s="74" t="s">
        <v>441</v>
      </c>
      <c r="C343" s="80">
        <v>2349.0000013419999</v>
      </c>
      <c r="D343" s="80">
        <v>1406.0000011479999</v>
      </c>
    </row>
    <row r="344" spans="1:4">
      <c r="A344" s="71">
        <v>90503</v>
      </c>
      <c r="B344" s="74" t="s">
        <v>442</v>
      </c>
      <c r="C344" s="80">
        <v>1852.9999994279999</v>
      </c>
      <c r="D344" s="80">
        <v>1303.00000097</v>
      </c>
    </row>
    <row r="345" spans="1:4">
      <c r="A345" s="76"/>
      <c r="B345" s="76"/>
    </row>
    <row r="346" spans="1:4">
      <c r="A346" s="76"/>
      <c r="B346" s="76"/>
    </row>
    <row r="347" spans="1:4">
      <c r="A347" s="76"/>
      <c r="B347" s="76"/>
    </row>
    <row r="348" spans="1:4">
      <c r="A348" s="76"/>
      <c r="B348" s="76"/>
    </row>
    <row r="349" spans="1:4">
      <c r="A349" s="76"/>
      <c r="B349" s="76"/>
    </row>
    <row r="350" spans="1:4">
      <c r="A350" s="76"/>
      <c r="B350" s="76"/>
    </row>
    <row r="351" spans="1:4">
      <c r="A351" s="76"/>
      <c r="B351" s="76"/>
    </row>
    <row r="352" spans="1:4">
      <c r="A352" s="76"/>
      <c r="B352" s="76"/>
    </row>
    <row r="353" spans="1:2">
      <c r="A353" s="76"/>
      <c r="B353" s="76"/>
    </row>
    <row r="354" spans="1:2">
      <c r="A354" s="76"/>
      <c r="B354" s="76"/>
    </row>
    <row r="355" spans="1:2">
      <c r="A355" s="76"/>
      <c r="B355" s="76"/>
    </row>
    <row r="356" spans="1:2">
      <c r="A356" s="76"/>
      <c r="B356" s="76"/>
    </row>
    <row r="357" spans="1:2">
      <c r="A357" s="76"/>
      <c r="B357" s="76"/>
    </row>
    <row r="358" spans="1:2">
      <c r="A358" s="76"/>
      <c r="B358" s="76"/>
    </row>
    <row r="359" spans="1:2">
      <c r="A359" s="76"/>
      <c r="B359" s="76"/>
    </row>
    <row r="360" spans="1:2">
      <c r="A360" s="76"/>
      <c r="B360" s="76"/>
    </row>
    <row r="361" spans="1:2">
      <c r="A361" s="76"/>
      <c r="B361" s="76"/>
    </row>
    <row r="362" spans="1:2">
      <c r="A362" s="76"/>
      <c r="B362" s="76"/>
    </row>
    <row r="363" spans="1:2">
      <c r="A363" s="76"/>
      <c r="B363" s="76"/>
    </row>
    <row r="364" spans="1:2">
      <c r="A364" s="76"/>
      <c r="B364" s="76"/>
    </row>
    <row r="365" spans="1:2">
      <c r="A365" s="76"/>
      <c r="B365" s="76"/>
    </row>
    <row r="366" spans="1:2">
      <c r="A366" s="76"/>
      <c r="B366" s="76"/>
    </row>
    <row r="367" spans="1:2">
      <c r="A367" s="76"/>
      <c r="B367" s="76"/>
    </row>
    <row r="368" spans="1:2">
      <c r="A368" s="76"/>
      <c r="B368" s="76"/>
    </row>
    <row r="369" spans="1:2">
      <c r="A369" s="76"/>
      <c r="B369" s="76"/>
    </row>
    <row r="370" spans="1:2">
      <c r="A370" s="76"/>
      <c r="B370" s="76"/>
    </row>
    <row r="371" spans="1:2">
      <c r="A371" s="76"/>
      <c r="B371" s="76"/>
    </row>
    <row r="372" spans="1:2">
      <c r="A372" s="76"/>
      <c r="B372" s="76"/>
    </row>
    <row r="373" spans="1:2">
      <c r="A373" s="76"/>
      <c r="B373" s="76"/>
    </row>
    <row r="374" spans="1:2">
      <c r="A374" s="76"/>
      <c r="B374" s="76"/>
    </row>
    <row r="375" spans="1:2">
      <c r="A375" s="76"/>
      <c r="B375" s="76"/>
    </row>
    <row r="376" spans="1:2">
      <c r="A376" s="76"/>
      <c r="B376" s="76"/>
    </row>
    <row r="377" spans="1:2">
      <c r="A377" s="76"/>
      <c r="B377" s="76"/>
    </row>
    <row r="378" spans="1:2">
      <c r="A378" s="76"/>
      <c r="B378" s="76"/>
    </row>
    <row r="379" spans="1:2">
      <c r="A379" s="76"/>
      <c r="B379" s="76"/>
    </row>
    <row r="380" spans="1:2">
      <c r="A380" s="76"/>
      <c r="B380" s="76"/>
    </row>
    <row r="381" spans="1:2">
      <c r="A381" s="76"/>
      <c r="B381" s="76"/>
    </row>
    <row r="382" spans="1:2">
      <c r="A382" s="76"/>
      <c r="B382" s="76"/>
    </row>
    <row r="383" spans="1:2">
      <c r="A383" s="76"/>
      <c r="B383" s="76"/>
    </row>
    <row r="384" spans="1:2">
      <c r="A384" s="76"/>
      <c r="B384" s="76"/>
    </row>
    <row r="385" spans="1:2">
      <c r="A385" s="76"/>
      <c r="B385" s="76"/>
    </row>
    <row r="386" spans="1:2">
      <c r="A386" s="76"/>
      <c r="B386" s="76"/>
    </row>
    <row r="387" spans="1:2">
      <c r="A387" s="76"/>
      <c r="B387" s="76"/>
    </row>
    <row r="388" spans="1:2">
      <c r="A388" s="76"/>
      <c r="B388" s="76"/>
    </row>
    <row r="389" spans="1:2">
      <c r="A389" s="76"/>
      <c r="B389" s="76"/>
    </row>
    <row r="390" spans="1:2">
      <c r="A390" s="76"/>
      <c r="B390" s="76"/>
    </row>
    <row r="391" spans="1:2">
      <c r="A391" s="76"/>
      <c r="B391" s="76"/>
    </row>
    <row r="392" spans="1:2">
      <c r="A392" s="76"/>
      <c r="B392" s="76"/>
    </row>
    <row r="393" spans="1:2">
      <c r="A393" s="76"/>
      <c r="B393" s="76"/>
    </row>
    <row r="394" spans="1:2">
      <c r="A394" s="76"/>
      <c r="B394" s="76"/>
    </row>
    <row r="395" spans="1:2">
      <c r="A395" s="76"/>
      <c r="B395" s="76"/>
    </row>
    <row r="396" spans="1:2">
      <c r="A396" s="76"/>
      <c r="B396" s="76"/>
    </row>
    <row r="397" spans="1:2">
      <c r="A397" s="76"/>
      <c r="B397" s="76"/>
    </row>
    <row r="398" spans="1:2">
      <c r="A398" s="76"/>
      <c r="B398" s="76"/>
    </row>
    <row r="399" spans="1:2">
      <c r="A399" s="76"/>
      <c r="B399" s="76"/>
    </row>
    <row r="400" spans="1:2">
      <c r="A400" s="76"/>
      <c r="B400" s="76"/>
    </row>
    <row r="401" spans="1:2">
      <c r="A401" s="76"/>
      <c r="B401" s="76"/>
    </row>
    <row r="402" spans="1:2">
      <c r="A402" s="76"/>
      <c r="B402" s="76"/>
    </row>
    <row r="403" spans="1:2">
      <c r="A403" s="76"/>
      <c r="B403" s="76"/>
    </row>
    <row r="404" spans="1:2">
      <c r="A404" s="76"/>
      <c r="B404" s="76"/>
    </row>
    <row r="405" spans="1:2">
      <c r="A405" s="76"/>
      <c r="B405" s="76"/>
    </row>
    <row r="406" spans="1:2">
      <c r="A406" s="76"/>
      <c r="B406" s="76"/>
    </row>
    <row r="407" spans="1:2">
      <c r="A407" s="76"/>
      <c r="B407" s="76"/>
    </row>
    <row r="408" spans="1:2">
      <c r="A408" s="76"/>
      <c r="B408" s="76"/>
    </row>
    <row r="409" spans="1:2">
      <c r="A409" s="76"/>
      <c r="B409" s="76"/>
    </row>
    <row r="410" spans="1:2">
      <c r="A410" s="76"/>
      <c r="B410" s="76"/>
    </row>
    <row r="411" spans="1:2">
      <c r="A411" s="76"/>
      <c r="B411" s="76"/>
    </row>
    <row r="412" spans="1:2">
      <c r="A412" s="76"/>
      <c r="B412" s="76"/>
    </row>
    <row r="413" spans="1:2">
      <c r="A413" s="76"/>
      <c r="B413" s="76"/>
    </row>
    <row r="414" spans="1:2">
      <c r="A414" s="76"/>
      <c r="B414" s="76"/>
    </row>
    <row r="415" spans="1:2">
      <c r="A415" s="76"/>
      <c r="B415" s="76"/>
    </row>
    <row r="416" spans="1:2">
      <c r="A416" s="76"/>
      <c r="B416" s="76"/>
    </row>
    <row r="417" spans="1:2">
      <c r="A417" s="76"/>
      <c r="B417" s="76"/>
    </row>
    <row r="418" spans="1:2">
      <c r="A418" s="76"/>
      <c r="B418" s="76"/>
    </row>
    <row r="419" spans="1:2">
      <c r="A419" s="76"/>
      <c r="B419" s="76"/>
    </row>
    <row r="420" spans="1:2">
      <c r="A420" s="76"/>
      <c r="B420" s="76"/>
    </row>
    <row r="421" spans="1:2">
      <c r="A421" s="76"/>
      <c r="B421" s="76"/>
    </row>
    <row r="422" spans="1:2">
      <c r="A422" s="76"/>
      <c r="B422" s="76"/>
    </row>
    <row r="423" spans="1:2">
      <c r="A423" s="76"/>
      <c r="B423" s="76"/>
    </row>
    <row r="424" spans="1:2">
      <c r="A424" s="76"/>
      <c r="B424" s="76"/>
    </row>
    <row r="425" spans="1:2">
      <c r="A425" s="76"/>
      <c r="B425" s="76"/>
    </row>
    <row r="426" spans="1:2">
      <c r="A426" s="76"/>
      <c r="B426" s="76"/>
    </row>
    <row r="427" spans="1:2">
      <c r="A427" s="76"/>
      <c r="B427" s="76"/>
    </row>
    <row r="428" spans="1:2">
      <c r="A428" s="76"/>
      <c r="B428" s="76"/>
    </row>
    <row r="429" spans="1:2">
      <c r="A429" s="76"/>
      <c r="B429" s="76"/>
    </row>
    <row r="430" spans="1:2">
      <c r="A430" s="76"/>
      <c r="B430" s="76"/>
    </row>
    <row r="431" spans="1:2">
      <c r="A431" s="76"/>
      <c r="B431" s="76"/>
    </row>
    <row r="432" spans="1:2">
      <c r="A432" s="76"/>
      <c r="B432" s="76"/>
    </row>
    <row r="433" spans="1:2">
      <c r="A433" s="76"/>
      <c r="B433" s="76"/>
    </row>
    <row r="434" spans="1:2">
      <c r="A434" s="76"/>
      <c r="B434" s="76"/>
    </row>
    <row r="435" spans="1:2">
      <c r="A435" s="76"/>
      <c r="B435" s="76"/>
    </row>
    <row r="436" spans="1:2">
      <c r="A436" s="76"/>
      <c r="B436" s="76"/>
    </row>
    <row r="437" spans="1:2">
      <c r="A437" s="76"/>
      <c r="B437" s="76"/>
    </row>
    <row r="438" spans="1:2">
      <c r="A438" s="76"/>
      <c r="B438" s="76"/>
    </row>
    <row r="439" spans="1:2">
      <c r="A439" s="76"/>
      <c r="B439" s="76"/>
    </row>
    <row r="440" spans="1:2">
      <c r="A440" s="76"/>
      <c r="B440" s="76"/>
    </row>
    <row r="441" spans="1:2">
      <c r="A441" s="76"/>
      <c r="B441" s="76"/>
    </row>
    <row r="442" spans="1:2">
      <c r="A442" s="76"/>
      <c r="B442" s="76"/>
    </row>
    <row r="443" spans="1:2">
      <c r="A443" s="76"/>
      <c r="B443" s="76"/>
    </row>
    <row r="444" spans="1:2">
      <c r="A444" s="76"/>
      <c r="B444" s="76"/>
    </row>
    <row r="445" spans="1:2">
      <c r="A445" s="76"/>
      <c r="B445" s="76"/>
    </row>
    <row r="446" spans="1:2">
      <c r="A446" s="76"/>
      <c r="B446" s="76"/>
    </row>
    <row r="447" spans="1:2">
      <c r="A447" s="76"/>
      <c r="B447" s="76"/>
    </row>
    <row r="448" spans="1:2">
      <c r="A448" s="76"/>
      <c r="B448" s="76"/>
    </row>
    <row r="449" spans="1:2">
      <c r="A449" s="76"/>
      <c r="B449" s="76"/>
    </row>
    <row r="450" spans="1:2">
      <c r="A450" s="76"/>
      <c r="B450" s="76"/>
    </row>
    <row r="451" spans="1:2">
      <c r="A451" s="76"/>
      <c r="B451" s="76"/>
    </row>
    <row r="452" spans="1:2">
      <c r="A452" s="76"/>
      <c r="B452" s="76"/>
    </row>
    <row r="453" spans="1:2">
      <c r="A453" s="76"/>
      <c r="B453" s="76"/>
    </row>
    <row r="454" spans="1:2">
      <c r="A454" s="76"/>
      <c r="B454" s="76"/>
    </row>
    <row r="455" spans="1:2">
      <c r="A455" s="76"/>
      <c r="B455" s="76"/>
    </row>
    <row r="456" spans="1:2">
      <c r="A456" s="76"/>
      <c r="B456" s="76"/>
    </row>
    <row r="457" spans="1:2">
      <c r="A457" s="76"/>
      <c r="B457" s="76"/>
    </row>
    <row r="458" spans="1:2">
      <c r="A458" s="76"/>
      <c r="B458" s="76"/>
    </row>
    <row r="459" spans="1:2">
      <c r="A459" s="76"/>
      <c r="B459" s="76"/>
    </row>
    <row r="460" spans="1:2">
      <c r="A460" s="76"/>
      <c r="B460" s="76"/>
    </row>
    <row r="461" spans="1:2">
      <c r="A461" s="76"/>
      <c r="B461" s="76"/>
    </row>
    <row r="462" spans="1:2">
      <c r="A462" s="76"/>
      <c r="B462" s="76"/>
    </row>
    <row r="463" spans="1:2">
      <c r="A463" s="76"/>
      <c r="B463" s="76"/>
    </row>
    <row r="464" spans="1:2">
      <c r="A464" s="76"/>
      <c r="B464" s="76"/>
    </row>
    <row r="465" spans="1:2">
      <c r="A465" s="76"/>
      <c r="B465" s="76"/>
    </row>
    <row r="466" spans="1:2">
      <c r="A466" s="76"/>
      <c r="B466" s="76"/>
    </row>
    <row r="467" spans="1:2">
      <c r="A467" s="76"/>
      <c r="B467" s="76"/>
    </row>
    <row r="468" spans="1:2">
      <c r="A468" s="76"/>
      <c r="B468" s="76"/>
    </row>
    <row r="469" spans="1:2">
      <c r="A469" s="76"/>
      <c r="B469" s="76"/>
    </row>
    <row r="470" spans="1:2">
      <c r="A470" s="76"/>
      <c r="B470" s="76"/>
    </row>
    <row r="471" spans="1:2">
      <c r="A471" s="76"/>
      <c r="B471" s="76"/>
    </row>
    <row r="472" spans="1:2">
      <c r="A472" s="76"/>
      <c r="B472" s="76"/>
    </row>
    <row r="473" spans="1:2">
      <c r="A473" s="76"/>
      <c r="B473" s="76"/>
    </row>
    <row r="474" spans="1:2">
      <c r="A474" s="76"/>
      <c r="B474" s="76"/>
    </row>
    <row r="475" spans="1:2">
      <c r="A475" s="76"/>
      <c r="B475" s="76"/>
    </row>
    <row r="476" spans="1:2">
      <c r="A476" s="76"/>
      <c r="B476" s="76"/>
    </row>
    <row r="477" spans="1:2">
      <c r="A477" s="76"/>
      <c r="B477" s="76"/>
    </row>
    <row r="478" spans="1:2">
      <c r="A478" s="76"/>
      <c r="B478" s="76"/>
    </row>
    <row r="479" spans="1:2">
      <c r="A479" s="76"/>
      <c r="B479" s="76"/>
    </row>
    <row r="480" spans="1:2">
      <c r="A480" s="76"/>
      <c r="B480" s="76"/>
    </row>
    <row r="481" spans="1:2">
      <c r="A481" s="76"/>
      <c r="B481" s="76"/>
    </row>
    <row r="482" spans="1:2">
      <c r="A482" s="76"/>
      <c r="B482" s="76"/>
    </row>
    <row r="483" spans="1:2">
      <c r="A483" s="76"/>
      <c r="B483" s="76"/>
    </row>
    <row r="484" spans="1:2">
      <c r="A484" s="76"/>
      <c r="B484" s="76"/>
    </row>
    <row r="485" spans="1:2">
      <c r="A485" s="76"/>
      <c r="B485" s="76"/>
    </row>
    <row r="486" spans="1:2">
      <c r="A486" s="76"/>
      <c r="B486" s="76"/>
    </row>
    <row r="487" spans="1:2">
      <c r="A487" s="76"/>
      <c r="B487" s="76"/>
    </row>
    <row r="488" spans="1:2">
      <c r="A488" s="76"/>
      <c r="B488" s="76"/>
    </row>
    <row r="489" spans="1:2">
      <c r="A489" s="76"/>
      <c r="B489" s="76"/>
    </row>
    <row r="490" spans="1:2">
      <c r="A490" s="76"/>
      <c r="B490" s="76"/>
    </row>
    <row r="491" spans="1:2">
      <c r="A491" s="76"/>
      <c r="B491" s="76"/>
    </row>
    <row r="492" spans="1:2">
      <c r="A492" s="76"/>
      <c r="B492" s="76"/>
    </row>
    <row r="493" spans="1:2">
      <c r="A493" s="76"/>
      <c r="B493" s="76"/>
    </row>
    <row r="494" spans="1:2">
      <c r="A494" s="76"/>
      <c r="B494" s="76"/>
    </row>
    <row r="495" spans="1:2">
      <c r="A495" s="76"/>
      <c r="B495" s="76"/>
    </row>
    <row r="496" spans="1:2">
      <c r="A496" s="76"/>
      <c r="B496" s="76"/>
    </row>
    <row r="497" spans="1:2">
      <c r="A497" s="76"/>
      <c r="B497" s="76"/>
    </row>
    <row r="498" spans="1:2">
      <c r="A498" s="76"/>
      <c r="B498" s="76"/>
    </row>
    <row r="499" spans="1:2">
      <c r="A499" s="76"/>
      <c r="B499" s="76"/>
    </row>
    <row r="500" spans="1:2">
      <c r="A500" s="76"/>
      <c r="B500" s="76"/>
    </row>
    <row r="501" spans="1:2">
      <c r="A501" s="76"/>
      <c r="B501" s="76"/>
    </row>
    <row r="502" spans="1:2">
      <c r="A502" s="76"/>
      <c r="B502" s="76"/>
    </row>
    <row r="503" spans="1:2">
      <c r="A503" s="76"/>
      <c r="B503" s="76"/>
    </row>
    <row r="504" spans="1:2">
      <c r="A504" s="76"/>
      <c r="B504" s="76"/>
    </row>
    <row r="505" spans="1:2">
      <c r="A505" s="76"/>
      <c r="B505" s="76"/>
    </row>
    <row r="506" spans="1:2">
      <c r="A506" s="76"/>
      <c r="B506" s="76"/>
    </row>
    <row r="507" spans="1:2">
      <c r="A507" s="76"/>
      <c r="B507" s="76"/>
    </row>
    <row r="508" spans="1:2">
      <c r="A508" s="76"/>
      <c r="B508" s="76"/>
    </row>
    <row r="509" spans="1:2">
      <c r="A509" s="76"/>
      <c r="B509" s="76"/>
    </row>
    <row r="510" spans="1:2">
      <c r="A510" s="76"/>
      <c r="B510" s="76"/>
    </row>
    <row r="511" spans="1:2">
      <c r="A511" s="76"/>
      <c r="B511" s="76"/>
    </row>
    <row r="512" spans="1:2">
      <c r="A512" s="76"/>
      <c r="B512" s="76"/>
    </row>
    <row r="513" spans="1:2">
      <c r="A513" s="76"/>
      <c r="B513" s="76"/>
    </row>
    <row r="514" spans="1:2">
      <c r="A514" s="76"/>
      <c r="B514" s="76"/>
    </row>
    <row r="515" spans="1:2">
      <c r="A515" s="76"/>
      <c r="B515" s="76"/>
    </row>
    <row r="516" spans="1:2">
      <c r="A516" s="76"/>
      <c r="B516" s="76"/>
    </row>
    <row r="517" spans="1:2">
      <c r="A517" s="76"/>
      <c r="B517" s="76"/>
    </row>
    <row r="518" spans="1:2">
      <c r="A518" s="76"/>
      <c r="B518" s="76"/>
    </row>
    <row r="519" spans="1:2">
      <c r="A519" s="76"/>
      <c r="B519" s="76"/>
    </row>
    <row r="520" spans="1:2">
      <c r="A520" s="76"/>
      <c r="B520" s="76"/>
    </row>
    <row r="521" spans="1:2">
      <c r="A521" s="76"/>
      <c r="B521" s="76"/>
    </row>
    <row r="522" spans="1:2">
      <c r="A522" s="76"/>
      <c r="B522" s="76"/>
    </row>
    <row r="523" spans="1:2">
      <c r="A523" s="76"/>
      <c r="B523" s="76"/>
    </row>
    <row r="524" spans="1:2">
      <c r="A524" s="76"/>
      <c r="B524" s="76"/>
    </row>
    <row r="525" spans="1:2">
      <c r="A525" s="76"/>
      <c r="B525" s="76"/>
    </row>
    <row r="526" spans="1:2">
      <c r="A526" s="76"/>
      <c r="B526" s="76"/>
    </row>
    <row r="527" spans="1:2">
      <c r="A527" s="76"/>
      <c r="B527" s="76"/>
    </row>
    <row r="528" spans="1:2">
      <c r="A528" s="76"/>
      <c r="B528" s="76"/>
    </row>
    <row r="529" spans="1:2">
      <c r="A529" s="76"/>
      <c r="B529" s="76"/>
    </row>
    <row r="530" spans="1:2">
      <c r="A530" s="76"/>
      <c r="B530" s="76"/>
    </row>
    <row r="531" spans="1:2">
      <c r="A531" s="76"/>
      <c r="B531" s="76"/>
    </row>
    <row r="532" spans="1:2">
      <c r="A532" s="76"/>
      <c r="B532" s="76"/>
    </row>
    <row r="533" spans="1:2">
      <c r="A533" s="76"/>
      <c r="B533" s="76"/>
    </row>
    <row r="534" spans="1:2">
      <c r="A534" s="76"/>
      <c r="B534" s="76"/>
    </row>
    <row r="535" spans="1:2">
      <c r="A535" s="76"/>
      <c r="B535" s="76"/>
    </row>
    <row r="536" spans="1:2">
      <c r="A536" s="76"/>
      <c r="B536" s="76"/>
    </row>
    <row r="537" spans="1:2">
      <c r="A537" s="76"/>
      <c r="B537" s="76"/>
    </row>
    <row r="538" spans="1:2">
      <c r="A538" s="76"/>
      <c r="B538" s="76"/>
    </row>
    <row r="539" spans="1:2">
      <c r="A539" s="76"/>
      <c r="B539" s="76"/>
    </row>
    <row r="540" spans="1:2">
      <c r="A540" s="76"/>
      <c r="B540" s="76"/>
    </row>
    <row r="541" spans="1:2">
      <c r="A541" s="76"/>
      <c r="B541" s="76"/>
    </row>
    <row r="542" spans="1:2">
      <c r="A542" s="76"/>
      <c r="B542" s="76"/>
    </row>
    <row r="543" spans="1:2">
      <c r="A543" s="76"/>
      <c r="B543" s="76"/>
    </row>
    <row r="544" spans="1:2">
      <c r="A544" s="76"/>
      <c r="B544" s="76"/>
    </row>
    <row r="545" spans="1:2">
      <c r="A545" s="76"/>
      <c r="B545" s="76"/>
    </row>
    <row r="546" spans="1:2">
      <c r="A546" s="76"/>
      <c r="B546" s="76"/>
    </row>
    <row r="547" spans="1:2">
      <c r="A547" s="76"/>
      <c r="B547" s="76"/>
    </row>
    <row r="548" spans="1:2">
      <c r="A548" s="76"/>
      <c r="B548" s="76"/>
    </row>
    <row r="549" spans="1:2">
      <c r="A549" s="76"/>
      <c r="B549" s="76"/>
    </row>
    <row r="550" spans="1:2">
      <c r="A550" s="76"/>
      <c r="B550" s="76"/>
    </row>
    <row r="551" spans="1:2">
      <c r="A551" s="76"/>
      <c r="B551" s="76"/>
    </row>
    <row r="552" spans="1:2">
      <c r="A552" s="76"/>
      <c r="B552" s="76"/>
    </row>
    <row r="553" spans="1:2">
      <c r="A553" s="76"/>
      <c r="B553" s="76"/>
    </row>
    <row r="554" spans="1:2">
      <c r="A554" s="76"/>
      <c r="B554" s="76"/>
    </row>
    <row r="555" spans="1:2">
      <c r="A555" s="76"/>
      <c r="B555" s="76"/>
    </row>
    <row r="556" spans="1:2">
      <c r="A556" s="76"/>
      <c r="B556" s="76"/>
    </row>
    <row r="557" spans="1:2">
      <c r="A557" s="76"/>
      <c r="B557" s="76"/>
    </row>
    <row r="558" spans="1:2">
      <c r="A558" s="76"/>
      <c r="B558" s="76"/>
    </row>
    <row r="559" spans="1:2">
      <c r="A559" s="76"/>
      <c r="B559" s="76"/>
    </row>
    <row r="560" spans="1:2">
      <c r="A560" s="76"/>
      <c r="B560" s="76"/>
    </row>
    <row r="561" spans="1:2">
      <c r="A561" s="76"/>
      <c r="B561" s="76"/>
    </row>
    <row r="562" spans="1:2">
      <c r="A562" s="76"/>
      <c r="B562" s="76"/>
    </row>
    <row r="563" spans="1:2">
      <c r="A563" s="76"/>
      <c r="B563" s="76"/>
    </row>
    <row r="564" spans="1:2">
      <c r="A564" s="76"/>
      <c r="B564" s="76"/>
    </row>
    <row r="565" spans="1:2">
      <c r="A565" s="76"/>
      <c r="B565" s="76"/>
    </row>
    <row r="566" spans="1:2">
      <c r="A566" s="76"/>
      <c r="B566" s="76"/>
    </row>
    <row r="567" spans="1:2">
      <c r="A567" s="76"/>
      <c r="B567" s="76"/>
    </row>
    <row r="568" spans="1:2">
      <c r="A568" s="76"/>
      <c r="B568" s="76"/>
    </row>
    <row r="569" spans="1:2">
      <c r="A569" s="76"/>
      <c r="B569" s="76"/>
    </row>
    <row r="570" spans="1:2">
      <c r="A570" s="76"/>
      <c r="B570" s="76"/>
    </row>
    <row r="571" spans="1:2">
      <c r="A571" s="76"/>
      <c r="B571" s="76"/>
    </row>
    <row r="572" spans="1:2">
      <c r="A572" s="76"/>
      <c r="B572" s="76"/>
    </row>
    <row r="573" spans="1:2">
      <c r="A573" s="76"/>
      <c r="B573" s="76"/>
    </row>
    <row r="574" spans="1:2">
      <c r="A574" s="76"/>
      <c r="B574" s="76"/>
    </row>
    <row r="575" spans="1:2">
      <c r="A575" s="76"/>
      <c r="B575" s="76"/>
    </row>
    <row r="576" spans="1:2">
      <c r="A576" s="76"/>
      <c r="B576" s="76"/>
    </row>
    <row r="577" spans="1:2">
      <c r="A577" s="76"/>
      <c r="B577" s="76"/>
    </row>
    <row r="578" spans="1:2">
      <c r="A578" s="76"/>
      <c r="B578" s="76"/>
    </row>
    <row r="579" spans="1:2">
      <c r="A579" s="76"/>
      <c r="B579" s="76"/>
    </row>
    <row r="580" spans="1:2">
      <c r="A580" s="76"/>
      <c r="B580" s="76"/>
    </row>
    <row r="581" spans="1:2">
      <c r="A581" s="76"/>
      <c r="B581" s="76"/>
    </row>
    <row r="582" spans="1:2">
      <c r="A582" s="76"/>
      <c r="B582" s="76"/>
    </row>
    <row r="583" spans="1:2">
      <c r="A583" s="76"/>
      <c r="B583" s="76"/>
    </row>
    <row r="584" spans="1:2">
      <c r="A584" s="76"/>
      <c r="B584" s="76"/>
    </row>
    <row r="585" spans="1:2">
      <c r="A585" s="76"/>
      <c r="B585" s="76"/>
    </row>
    <row r="586" spans="1:2">
      <c r="A586" s="76"/>
      <c r="B586" s="76"/>
    </row>
    <row r="587" spans="1:2">
      <c r="A587" s="76"/>
      <c r="B587" s="76"/>
    </row>
    <row r="588" spans="1:2">
      <c r="A588" s="76"/>
      <c r="B588" s="76"/>
    </row>
    <row r="589" spans="1:2">
      <c r="A589" s="76"/>
      <c r="B589" s="76"/>
    </row>
    <row r="590" spans="1:2">
      <c r="A590" s="76"/>
      <c r="B590" s="76"/>
    </row>
    <row r="591" spans="1:2">
      <c r="A591" s="76"/>
      <c r="B591" s="76"/>
    </row>
    <row r="592" spans="1:2">
      <c r="A592" s="76"/>
      <c r="B592" s="76"/>
    </row>
    <row r="593" spans="1:2">
      <c r="A593" s="76"/>
      <c r="B593" s="76"/>
    </row>
    <row r="594" spans="1:2">
      <c r="A594" s="76"/>
      <c r="B594" s="76"/>
    </row>
    <row r="595" spans="1:2">
      <c r="A595" s="76"/>
      <c r="B595" s="76"/>
    </row>
    <row r="596" spans="1:2">
      <c r="A596" s="76"/>
      <c r="B596" s="76"/>
    </row>
    <row r="597" spans="1:2">
      <c r="A597" s="76"/>
      <c r="B597" s="76"/>
    </row>
    <row r="598" spans="1:2">
      <c r="A598" s="76"/>
      <c r="B598" s="76"/>
    </row>
    <row r="599" spans="1:2">
      <c r="A599" s="76"/>
      <c r="B599" s="76"/>
    </row>
    <row r="600" spans="1:2">
      <c r="A600" s="76"/>
      <c r="B600" s="76"/>
    </row>
    <row r="601" spans="1:2">
      <c r="A601" s="76"/>
      <c r="B601" s="76"/>
    </row>
    <row r="602" spans="1:2">
      <c r="A602" s="76"/>
      <c r="B602" s="76"/>
    </row>
    <row r="603" spans="1:2">
      <c r="A603" s="76"/>
      <c r="B603" s="76"/>
    </row>
    <row r="604" spans="1:2">
      <c r="A604" s="76"/>
      <c r="B604" s="76"/>
    </row>
    <row r="605" spans="1:2">
      <c r="A605" s="76"/>
      <c r="B605" s="76"/>
    </row>
    <row r="606" spans="1:2">
      <c r="A606" s="76"/>
      <c r="B606" s="76"/>
    </row>
    <row r="607" spans="1:2">
      <c r="A607" s="76"/>
      <c r="B607" s="76"/>
    </row>
    <row r="608" spans="1:2">
      <c r="A608" s="76"/>
      <c r="B608" s="76"/>
    </row>
    <row r="609" spans="1:2">
      <c r="A609" s="76"/>
      <c r="B609" s="76"/>
    </row>
    <row r="610" spans="1:2">
      <c r="A610" s="76"/>
      <c r="B610" s="76"/>
    </row>
    <row r="611" spans="1:2">
      <c r="A611" s="76"/>
      <c r="B611" s="76"/>
    </row>
    <row r="612" spans="1:2">
      <c r="A612" s="76"/>
      <c r="B612" s="76"/>
    </row>
    <row r="613" spans="1:2">
      <c r="A613" s="76"/>
      <c r="B613" s="76"/>
    </row>
    <row r="614" spans="1:2">
      <c r="A614" s="76"/>
      <c r="B614" s="76"/>
    </row>
    <row r="615" spans="1:2">
      <c r="A615" s="76"/>
      <c r="B615" s="76"/>
    </row>
    <row r="616" spans="1:2">
      <c r="A616" s="76"/>
      <c r="B616" s="76"/>
    </row>
    <row r="617" spans="1:2">
      <c r="A617" s="76"/>
      <c r="B617" s="76"/>
    </row>
    <row r="618" spans="1:2">
      <c r="A618" s="76"/>
      <c r="B618" s="76"/>
    </row>
    <row r="619" spans="1:2">
      <c r="A619" s="76"/>
      <c r="B619" s="76"/>
    </row>
    <row r="620" spans="1:2">
      <c r="A620" s="76"/>
      <c r="B620" s="76"/>
    </row>
    <row r="621" spans="1:2">
      <c r="A621" s="76"/>
      <c r="B621" s="76"/>
    </row>
    <row r="622" spans="1:2">
      <c r="A622" s="76"/>
      <c r="B622" s="76"/>
    </row>
    <row r="623" spans="1:2">
      <c r="A623" s="76"/>
      <c r="B623" s="76"/>
    </row>
    <row r="624" spans="1:2">
      <c r="A624" s="76"/>
      <c r="B624" s="76"/>
    </row>
    <row r="625" spans="1:2">
      <c r="A625" s="76"/>
      <c r="B625" s="76"/>
    </row>
    <row r="626" spans="1:2">
      <c r="A626" s="76"/>
      <c r="B626" s="76"/>
    </row>
    <row r="627" spans="1:2">
      <c r="A627" s="76"/>
      <c r="B627" s="76"/>
    </row>
    <row r="628" spans="1:2">
      <c r="A628" s="76"/>
      <c r="B628" s="76"/>
    </row>
    <row r="629" spans="1:2">
      <c r="A629" s="76"/>
      <c r="B629" s="76"/>
    </row>
    <row r="630" spans="1:2">
      <c r="A630" s="76"/>
      <c r="B630" s="76"/>
    </row>
    <row r="631" spans="1:2">
      <c r="A631" s="76"/>
      <c r="B631" s="76"/>
    </row>
    <row r="632" spans="1:2">
      <c r="A632" s="76"/>
      <c r="B632" s="76"/>
    </row>
    <row r="633" spans="1:2">
      <c r="A633" s="76"/>
      <c r="B633" s="76"/>
    </row>
    <row r="634" spans="1:2">
      <c r="A634" s="76"/>
      <c r="B634" s="76"/>
    </row>
    <row r="635" spans="1:2">
      <c r="A635" s="76"/>
      <c r="B635" s="76"/>
    </row>
    <row r="636" spans="1:2">
      <c r="A636" s="76"/>
      <c r="B636" s="76"/>
    </row>
    <row r="637" spans="1:2">
      <c r="A637" s="76"/>
      <c r="B637" s="76"/>
    </row>
    <row r="638" spans="1:2">
      <c r="A638" s="76"/>
      <c r="B638" s="76"/>
    </row>
    <row r="639" spans="1:2">
      <c r="A639" s="76"/>
      <c r="B639" s="76"/>
    </row>
    <row r="640" spans="1:2">
      <c r="A640" s="76"/>
      <c r="B640" s="76"/>
    </row>
    <row r="641" spans="1:2">
      <c r="A641" s="76"/>
      <c r="B641" s="76"/>
    </row>
    <row r="642" spans="1:2">
      <c r="A642" s="76"/>
      <c r="B642" s="76"/>
    </row>
    <row r="643" spans="1:2">
      <c r="A643" s="76"/>
      <c r="B643" s="76"/>
    </row>
    <row r="644" spans="1:2">
      <c r="A644" s="76"/>
      <c r="B644" s="76"/>
    </row>
    <row r="645" spans="1:2">
      <c r="A645" s="76"/>
      <c r="B645" s="76"/>
    </row>
    <row r="646" spans="1:2">
      <c r="A646" s="76"/>
      <c r="B646" s="76"/>
    </row>
    <row r="647" spans="1:2">
      <c r="A647" s="76"/>
      <c r="B647" s="76"/>
    </row>
    <row r="648" spans="1:2">
      <c r="A648" s="76"/>
      <c r="B648" s="76"/>
    </row>
    <row r="649" spans="1:2">
      <c r="A649" s="76"/>
      <c r="B649" s="76"/>
    </row>
    <row r="650" spans="1:2">
      <c r="A650" s="76"/>
      <c r="B650" s="76"/>
    </row>
    <row r="651" spans="1:2">
      <c r="A651" s="76"/>
      <c r="B651" s="76"/>
    </row>
    <row r="652" spans="1:2">
      <c r="A652" s="76"/>
      <c r="B652" s="76"/>
    </row>
    <row r="653" spans="1:2">
      <c r="A653" s="76"/>
      <c r="B653" s="76"/>
    </row>
    <row r="654" spans="1:2">
      <c r="A654" s="76"/>
      <c r="B654" s="76"/>
    </row>
    <row r="655" spans="1:2">
      <c r="A655" s="76"/>
      <c r="B655" s="76"/>
    </row>
    <row r="656" spans="1:2">
      <c r="A656" s="76"/>
      <c r="B656" s="76"/>
    </row>
    <row r="657" spans="1:2">
      <c r="A657" s="76"/>
      <c r="B657" s="76"/>
    </row>
    <row r="658" spans="1:2">
      <c r="A658" s="76"/>
      <c r="B658" s="76"/>
    </row>
    <row r="659" spans="1:2">
      <c r="A659" s="76"/>
      <c r="B659" s="76"/>
    </row>
    <row r="660" spans="1:2">
      <c r="A660" s="76"/>
      <c r="B660" s="76"/>
    </row>
    <row r="661" spans="1:2">
      <c r="A661" s="76"/>
      <c r="B661" s="76"/>
    </row>
    <row r="662" spans="1:2">
      <c r="A662" s="76"/>
      <c r="B662" s="76"/>
    </row>
    <row r="663" spans="1:2">
      <c r="A663" s="76"/>
      <c r="B663" s="76"/>
    </row>
    <row r="664" spans="1:2">
      <c r="A664" s="76"/>
      <c r="B664" s="76"/>
    </row>
    <row r="665" spans="1:2">
      <c r="A665" s="76"/>
      <c r="B665" s="76"/>
    </row>
    <row r="666" spans="1:2">
      <c r="A666" s="76"/>
      <c r="B666" s="76"/>
    </row>
    <row r="667" spans="1:2">
      <c r="A667" s="76"/>
      <c r="B667" s="76"/>
    </row>
    <row r="668" spans="1:2">
      <c r="A668" s="76"/>
      <c r="B668" s="76"/>
    </row>
    <row r="669" spans="1:2">
      <c r="A669" s="76"/>
      <c r="B669" s="76"/>
    </row>
    <row r="670" spans="1:2">
      <c r="A670" s="76"/>
      <c r="B670" s="76"/>
    </row>
    <row r="671" spans="1:2">
      <c r="A671" s="76"/>
      <c r="B671" s="76"/>
    </row>
    <row r="672" spans="1:2">
      <c r="A672" s="76"/>
      <c r="B672" s="76"/>
    </row>
    <row r="673" spans="1:2">
      <c r="A673" s="76"/>
      <c r="B673" s="76"/>
    </row>
    <row r="674" spans="1:2">
      <c r="A674" s="76"/>
      <c r="B674" s="76"/>
    </row>
    <row r="675" spans="1:2">
      <c r="A675" s="76"/>
      <c r="B675" s="76"/>
    </row>
    <row r="676" spans="1:2">
      <c r="A676" s="76"/>
      <c r="B676" s="76"/>
    </row>
    <row r="677" spans="1:2">
      <c r="A677" s="76"/>
      <c r="B677" s="76"/>
    </row>
    <row r="678" spans="1:2">
      <c r="A678" s="76"/>
      <c r="B678" s="76"/>
    </row>
    <row r="679" spans="1:2">
      <c r="A679" s="76"/>
      <c r="B679" s="76"/>
    </row>
    <row r="680" spans="1:2">
      <c r="A680" s="76"/>
      <c r="B680" s="76"/>
    </row>
    <row r="681" spans="1:2">
      <c r="A681" s="76"/>
      <c r="B681" s="76"/>
    </row>
    <row r="682" spans="1:2">
      <c r="A682" s="76"/>
      <c r="B682" s="76"/>
    </row>
    <row r="683" spans="1:2">
      <c r="A683" s="76"/>
      <c r="B683" s="76"/>
    </row>
    <row r="684" spans="1:2">
      <c r="A684" s="76"/>
      <c r="B684" s="76"/>
    </row>
    <row r="685" spans="1:2">
      <c r="A685" s="76"/>
      <c r="B685" s="76"/>
    </row>
    <row r="686" spans="1:2">
      <c r="A686" s="76"/>
      <c r="B686" s="76"/>
    </row>
    <row r="687" spans="1:2">
      <c r="A687" s="76"/>
      <c r="B687" s="76"/>
    </row>
    <row r="688" spans="1:2">
      <c r="A688" s="76"/>
      <c r="B688" s="76"/>
    </row>
    <row r="689" spans="1:2">
      <c r="A689" s="76"/>
      <c r="B689" s="76"/>
    </row>
    <row r="690" spans="1:2">
      <c r="A690" s="76"/>
      <c r="B690" s="76"/>
    </row>
    <row r="691" spans="1:2">
      <c r="A691" s="76"/>
      <c r="B691" s="76"/>
    </row>
    <row r="692" spans="1:2">
      <c r="A692" s="76"/>
      <c r="B692" s="76"/>
    </row>
    <row r="693" spans="1:2">
      <c r="A693" s="76"/>
      <c r="B693" s="76"/>
    </row>
    <row r="694" spans="1:2">
      <c r="A694" s="76"/>
      <c r="B694" s="76"/>
    </row>
    <row r="695" spans="1:2">
      <c r="A695" s="76"/>
      <c r="B695" s="76"/>
    </row>
    <row r="696" spans="1:2">
      <c r="A696" s="76"/>
      <c r="B696" s="76"/>
    </row>
    <row r="697" spans="1:2">
      <c r="A697" s="76"/>
      <c r="B697" s="76"/>
    </row>
    <row r="698" spans="1:2">
      <c r="A698" s="76"/>
      <c r="B698" s="76"/>
    </row>
    <row r="699" spans="1:2">
      <c r="A699" s="76"/>
      <c r="B699" s="76"/>
    </row>
    <row r="700" spans="1:2">
      <c r="A700" s="76"/>
      <c r="B700" s="76"/>
    </row>
    <row r="701" spans="1:2">
      <c r="A701" s="76"/>
      <c r="B701" s="76"/>
    </row>
    <row r="702" spans="1:2">
      <c r="A702" s="76"/>
      <c r="B702" s="76"/>
    </row>
    <row r="703" spans="1:2">
      <c r="A703" s="76"/>
      <c r="B703" s="76"/>
    </row>
    <row r="704" spans="1:2">
      <c r="A704" s="76"/>
      <c r="B704" s="76"/>
    </row>
    <row r="705" spans="1:2">
      <c r="A705" s="76"/>
      <c r="B705" s="76"/>
    </row>
    <row r="706" spans="1:2">
      <c r="A706" s="76"/>
      <c r="B706" s="76"/>
    </row>
    <row r="707" spans="1:2">
      <c r="A707" s="76"/>
      <c r="B707" s="76"/>
    </row>
    <row r="708" spans="1:2">
      <c r="A708" s="76"/>
      <c r="B708" s="76"/>
    </row>
    <row r="709" spans="1:2">
      <c r="A709" s="76"/>
      <c r="B709" s="76"/>
    </row>
    <row r="710" spans="1:2">
      <c r="A710" s="76"/>
      <c r="B710" s="76"/>
    </row>
    <row r="711" spans="1:2">
      <c r="A711" s="76"/>
      <c r="B711" s="76"/>
    </row>
    <row r="712" spans="1:2">
      <c r="A712" s="76"/>
      <c r="B712" s="76"/>
    </row>
    <row r="713" spans="1:2">
      <c r="A713" s="76"/>
      <c r="B713" s="76"/>
    </row>
    <row r="714" spans="1:2">
      <c r="A714" s="76"/>
      <c r="B714" s="76"/>
    </row>
    <row r="715" spans="1:2">
      <c r="A715" s="76"/>
      <c r="B715" s="76"/>
    </row>
    <row r="716" spans="1:2">
      <c r="A716" s="76"/>
      <c r="B716" s="76"/>
    </row>
    <row r="717" spans="1:2">
      <c r="A717" s="76"/>
      <c r="B717" s="76"/>
    </row>
    <row r="718" spans="1:2">
      <c r="A718" s="76"/>
      <c r="B718" s="76"/>
    </row>
    <row r="719" spans="1:2">
      <c r="A719" s="76"/>
      <c r="B719" s="76"/>
    </row>
    <row r="720" spans="1:2">
      <c r="A720" s="76"/>
      <c r="B720" s="76"/>
    </row>
    <row r="721" spans="1:2">
      <c r="A721" s="76"/>
      <c r="B721" s="76"/>
    </row>
    <row r="722" spans="1:2">
      <c r="A722" s="76"/>
      <c r="B722" s="76"/>
    </row>
    <row r="723" spans="1:2">
      <c r="A723" s="76"/>
      <c r="B723" s="76"/>
    </row>
    <row r="724" spans="1:2">
      <c r="A724" s="76"/>
      <c r="B724" s="76"/>
    </row>
    <row r="725" spans="1:2">
      <c r="A725" s="76"/>
      <c r="B725" s="76"/>
    </row>
    <row r="726" spans="1:2">
      <c r="A726" s="76"/>
      <c r="B726" s="76"/>
    </row>
    <row r="727" spans="1:2">
      <c r="A727" s="76"/>
      <c r="B727" s="76"/>
    </row>
    <row r="728" spans="1:2">
      <c r="A728" s="76"/>
      <c r="B728" s="76"/>
    </row>
    <row r="729" spans="1:2">
      <c r="A729" s="76"/>
      <c r="B729" s="76"/>
    </row>
    <row r="730" spans="1:2">
      <c r="A730" s="76"/>
      <c r="B730" s="76"/>
    </row>
    <row r="731" spans="1:2">
      <c r="A731" s="76"/>
      <c r="B731" s="76"/>
    </row>
    <row r="732" spans="1:2">
      <c r="A732" s="76"/>
      <c r="B732" s="76"/>
    </row>
    <row r="733" spans="1:2">
      <c r="A733" s="76"/>
      <c r="B733" s="76"/>
    </row>
    <row r="734" spans="1:2">
      <c r="A734" s="76"/>
      <c r="B734" s="76"/>
    </row>
    <row r="735" spans="1:2">
      <c r="A735" s="76"/>
      <c r="B735" s="76"/>
    </row>
    <row r="736" spans="1:2">
      <c r="A736" s="76"/>
      <c r="B736" s="76"/>
    </row>
    <row r="737" spans="1:2">
      <c r="A737" s="76"/>
      <c r="B737" s="76"/>
    </row>
    <row r="738" spans="1:2">
      <c r="A738" s="76"/>
      <c r="B738" s="76"/>
    </row>
    <row r="739" spans="1:2">
      <c r="A739" s="76"/>
      <c r="B739" s="76"/>
    </row>
    <row r="740" spans="1:2">
      <c r="A740" s="76"/>
      <c r="B740" s="76"/>
    </row>
    <row r="741" spans="1:2">
      <c r="A741" s="76"/>
      <c r="B741" s="76"/>
    </row>
    <row r="742" spans="1:2">
      <c r="A742" s="76"/>
      <c r="B742" s="76"/>
    </row>
    <row r="743" spans="1:2">
      <c r="A743" s="76"/>
      <c r="B743" s="76"/>
    </row>
    <row r="744" spans="1:2">
      <c r="A744" s="76"/>
      <c r="B744" s="76"/>
    </row>
    <row r="745" spans="1:2">
      <c r="A745" s="76"/>
      <c r="B745" s="76"/>
    </row>
    <row r="746" spans="1:2">
      <c r="A746" s="76"/>
      <c r="B746" s="76"/>
    </row>
    <row r="747" spans="1:2">
      <c r="A747" s="76"/>
      <c r="B747" s="76"/>
    </row>
    <row r="748" spans="1:2">
      <c r="A748" s="76"/>
      <c r="B748" s="76"/>
    </row>
    <row r="749" spans="1:2">
      <c r="A749" s="76"/>
      <c r="B749" s="76"/>
    </row>
    <row r="750" spans="1:2">
      <c r="A750" s="76"/>
      <c r="B750" s="76"/>
    </row>
    <row r="751" spans="1:2">
      <c r="A751" s="76"/>
      <c r="B751" s="76"/>
    </row>
    <row r="752" spans="1:2">
      <c r="A752" s="76"/>
      <c r="B752" s="76"/>
    </row>
    <row r="753" spans="1:2">
      <c r="A753" s="76"/>
      <c r="B753" s="76"/>
    </row>
    <row r="754" spans="1:2">
      <c r="A754" s="76"/>
      <c r="B754" s="76"/>
    </row>
    <row r="755" spans="1:2">
      <c r="A755" s="76"/>
      <c r="B755" s="76"/>
    </row>
    <row r="756" spans="1:2">
      <c r="A756" s="76"/>
      <c r="B756" s="76"/>
    </row>
    <row r="757" spans="1:2">
      <c r="A757" s="76"/>
      <c r="B757" s="76"/>
    </row>
    <row r="758" spans="1:2">
      <c r="A758" s="76"/>
      <c r="B758" s="76"/>
    </row>
    <row r="759" spans="1:2">
      <c r="A759" s="76"/>
      <c r="B759" s="76"/>
    </row>
    <row r="760" spans="1:2">
      <c r="A760" s="76"/>
      <c r="B760" s="76"/>
    </row>
    <row r="761" spans="1:2">
      <c r="A761" s="76"/>
      <c r="B761" s="76"/>
    </row>
    <row r="762" spans="1:2">
      <c r="A762" s="76"/>
      <c r="B762" s="76"/>
    </row>
    <row r="763" spans="1:2">
      <c r="A763" s="76"/>
      <c r="B763" s="76"/>
    </row>
    <row r="764" spans="1:2">
      <c r="A764" s="76"/>
      <c r="B764" s="76"/>
    </row>
    <row r="765" spans="1:2">
      <c r="A765" s="76"/>
      <c r="B765" s="76"/>
    </row>
    <row r="766" spans="1:2">
      <c r="A766" s="76"/>
      <c r="B766" s="76"/>
    </row>
    <row r="767" spans="1:2">
      <c r="A767" s="76"/>
      <c r="B767" s="76"/>
    </row>
    <row r="768" spans="1:2">
      <c r="A768" s="76"/>
      <c r="B768" s="76"/>
    </row>
    <row r="769" spans="1:2">
      <c r="A769" s="76"/>
      <c r="B769" s="76"/>
    </row>
    <row r="770" spans="1:2">
      <c r="A770" s="76"/>
      <c r="B770" s="76"/>
    </row>
    <row r="771" spans="1:2">
      <c r="A771" s="76"/>
      <c r="B771" s="76"/>
    </row>
    <row r="772" spans="1:2">
      <c r="A772" s="76"/>
      <c r="B772" s="76"/>
    </row>
    <row r="773" spans="1:2">
      <c r="A773" s="76"/>
      <c r="B773" s="76"/>
    </row>
    <row r="774" spans="1:2">
      <c r="A774" s="76"/>
      <c r="B774" s="76"/>
    </row>
    <row r="775" spans="1:2">
      <c r="A775" s="76"/>
      <c r="B775" s="76"/>
    </row>
    <row r="776" spans="1:2">
      <c r="A776" s="76"/>
      <c r="B776" s="76"/>
    </row>
    <row r="777" spans="1:2">
      <c r="A777" s="76"/>
      <c r="B777" s="76"/>
    </row>
    <row r="778" spans="1:2">
      <c r="A778" s="76"/>
      <c r="B778" s="76"/>
    </row>
    <row r="779" spans="1:2">
      <c r="A779" s="76"/>
      <c r="B779" s="76"/>
    </row>
    <row r="780" spans="1:2">
      <c r="A780" s="76"/>
      <c r="B780" s="76"/>
    </row>
    <row r="781" spans="1:2">
      <c r="A781" s="76"/>
      <c r="B781" s="76"/>
    </row>
    <row r="782" spans="1:2">
      <c r="A782" s="76"/>
      <c r="B782" s="76"/>
    </row>
    <row r="783" spans="1:2">
      <c r="A783" s="76"/>
      <c r="B783" s="76"/>
    </row>
    <row r="784" spans="1:2">
      <c r="A784" s="76"/>
      <c r="B784" s="76"/>
    </row>
    <row r="785" spans="1:2">
      <c r="A785" s="76"/>
      <c r="B785" s="76"/>
    </row>
    <row r="786" spans="1:2">
      <c r="A786" s="76"/>
      <c r="B786" s="76"/>
    </row>
    <row r="787" spans="1:2">
      <c r="A787" s="76"/>
      <c r="B787" s="76"/>
    </row>
    <row r="788" spans="1:2">
      <c r="A788" s="76"/>
      <c r="B788" s="76"/>
    </row>
    <row r="789" spans="1:2">
      <c r="A789" s="76"/>
      <c r="B789" s="76"/>
    </row>
    <row r="790" spans="1:2">
      <c r="A790" s="76"/>
      <c r="B790" s="76"/>
    </row>
    <row r="791" spans="1:2">
      <c r="A791" s="76"/>
      <c r="B791" s="76"/>
    </row>
    <row r="792" spans="1:2">
      <c r="A792" s="76"/>
      <c r="B792" s="76"/>
    </row>
    <row r="793" spans="1:2">
      <c r="A793" s="76"/>
      <c r="B793" s="76"/>
    </row>
    <row r="794" spans="1:2">
      <c r="A794" s="76"/>
      <c r="B794" s="76"/>
    </row>
    <row r="795" spans="1:2">
      <c r="A795" s="76"/>
      <c r="B795" s="76"/>
    </row>
    <row r="796" spans="1:2">
      <c r="A796" s="76"/>
      <c r="B796" s="76"/>
    </row>
    <row r="797" spans="1:2">
      <c r="A797" s="76"/>
      <c r="B797" s="76"/>
    </row>
    <row r="798" spans="1:2">
      <c r="A798" s="76"/>
      <c r="B798" s="76"/>
    </row>
    <row r="799" spans="1:2">
      <c r="A799" s="76"/>
      <c r="B799" s="76"/>
    </row>
    <row r="800" spans="1:2">
      <c r="A800" s="76"/>
      <c r="B800" s="76"/>
    </row>
    <row r="801" spans="1:2">
      <c r="A801" s="76"/>
      <c r="B801" s="76"/>
    </row>
    <row r="802" spans="1:2">
      <c r="A802" s="76"/>
      <c r="B802" s="76"/>
    </row>
    <row r="803" spans="1:2">
      <c r="A803" s="76"/>
      <c r="B803" s="76"/>
    </row>
    <row r="804" spans="1:2">
      <c r="A804" s="76"/>
      <c r="B804" s="76"/>
    </row>
    <row r="805" spans="1:2">
      <c r="A805" s="76"/>
      <c r="B805" s="76"/>
    </row>
    <row r="806" spans="1:2">
      <c r="A806" s="76"/>
      <c r="B806" s="76"/>
    </row>
    <row r="807" spans="1:2">
      <c r="A807" s="76"/>
      <c r="B807" s="76"/>
    </row>
    <row r="808" spans="1:2">
      <c r="A808" s="76"/>
      <c r="B808" s="76"/>
    </row>
    <row r="809" spans="1:2">
      <c r="A809" s="76"/>
      <c r="B809" s="76"/>
    </row>
    <row r="810" spans="1:2">
      <c r="A810" s="76"/>
      <c r="B810" s="76"/>
    </row>
    <row r="811" spans="1:2">
      <c r="A811" s="76"/>
      <c r="B811" s="76"/>
    </row>
    <row r="812" spans="1:2">
      <c r="A812" s="76"/>
      <c r="B812" s="76"/>
    </row>
    <row r="813" spans="1:2">
      <c r="A813" s="76"/>
      <c r="B813" s="76"/>
    </row>
    <row r="814" spans="1:2">
      <c r="A814" s="76"/>
      <c r="B814" s="76"/>
    </row>
    <row r="815" spans="1:2">
      <c r="A815" s="76"/>
      <c r="B815" s="76"/>
    </row>
    <row r="816" spans="1:2">
      <c r="A816" s="76"/>
      <c r="B816" s="76"/>
    </row>
    <row r="817" spans="1:2">
      <c r="A817" s="76"/>
      <c r="B817" s="76"/>
    </row>
    <row r="818" spans="1:2">
      <c r="A818" s="76"/>
      <c r="B818" s="76"/>
    </row>
    <row r="819" spans="1:2">
      <c r="A819" s="76"/>
      <c r="B819" s="76"/>
    </row>
    <row r="820" spans="1:2">
      <c r="A820" s="76"/>
      <c r="B820" s="76"/>
    </row>
    <row r="821" spans="1:2">
      <c r="A821" s="76"/>
      <c r="B821" s="76"/>
    </row>
    <row r="822" spans="1:2">
      <c r="A822" s="76"/>
      <c r="B822" s="76"/>
    </row>
    <row r="823" spans="1:2">
      <c r="A823" s="76"/>
      <c r="B823" s="76"/>
    </row>
    <row r="824" spans="1:2">
      <c r="A824" s="76"/>
      <c r="B824" s="76"/>
    </row>
    <row r="825" spans="1:2">
      <c r="A825" s="76"/>
      <c r="B825" s="76"/>
    </row>
    <row r="826" spans="1:2">
      <c r="A826" s="76"/>
      <c r="B826" s="76"/>
    </row>
    <row r="827" spans="1:2">
      <c r="A827" s="76"/>
      <c r="B827" s="76"/>
    </row>
    <row r="828" spans="1:2">
      <c r="A828" s="76"/>
      <c r="B828" s="76"/>
    </row>
    <row r="829" spans="1:2">
      <c r="A829" s="76"/>
      <c r="B829" s="76"/>
    </row>
    <row r="830" spans="1:2">
      <c r="A830" s="76"/>
      <c r="B830" s="76"/>
    </row>
    <row r="831" spans="1:2">
      <c r="A831" s="76"/>
      <c r="B831" s="76"/>
    </row>
    <row r="832" spans="1:2">
      <c r="A832" s="76"/>
      <c r="B832" s="76"/>
    </row>
    <row r="833" spans="1:2">
      <c r="A833" s="76"/>
      <c r="B833" s="76"/>
    </row>
    <row r="834" spans="1:2">
      <c r="A834" s="76"/>
      <c r="B834" s="76"/>
    </row>
    <row r="835" spans="1:2">
      <c r="A835" s="76"/>
      <c r="B835" s="76"/>
    </row>
    <row r="836" spans="1:2">
      <c r="A836" s="76"/>
      <c r="B836" s="76"/>
    </row>
    <row r="837" spans="1:2">
      <c r="A837" s="76"/>
      <c r="B837" s="76"/>
    </row>
    <row r="838" spans="1:2">
      <c r="A838" s="76"/>
      <c r="B838" s="76"/>
    </row>
    <row r="839" spans="1:2">
      <c r="A839" s="76"/>
      <c r="B839" s="76"/>
    </row>
    <row r="840" spans="1:2">
      <c r="A840" s="76"/>
      <c r="B840" s="76"/>
    </row>
    <row r="841" spans="1:2">
      <c r="A841" s="76"/>
      <c r="B841" s="76"/>
    </row>
    <row r="842" spans="1:2">
      <c r="A842" s="76"/>
      <c r="B842" s="76"/>
    </row>
    <row r="843" spans="1:2">
      <c r="A843" s="76"/>
      <c r="B843" s="76"/>
    </row>
    <row r="844" spans="1:2">
      <c r="A844" s="76"/>
      <c r="B844" s="76"/>
    </row>
    <row r="845" spans="1:2">
      <c r="A845" s="76"/>
      <c r="B845" s="76"/>
    </row>
    <row r="846" spans="1:2">
      <c r="A846" s="76"/>
      <c r="B846" s="76"/>
    </row>
    <row r="847" spans="1:2">
      <c r="A847" s="76"/>
      <c r="B847" s="76"/>
    </row>
    <row r="848" spans="1:2">
      <c r="A848" s="76"/>
      <c r="B848" s="76"/>
    </row>
    <row r="849" spans="1:2">
      <c r="A849" s="76"/>
      <c r="B849" s="76"/>
    </row>
    <row r="850" spans="1:2">
      <c r="A850" s="76"/>
      <c r="B850" s="76"/>
    </row>
    <row r="851" spans="1:2">
      <c r="A851" s="76"/>
      <c r="B851" s="76"/>
    </row>
    <row r="852" spans="1:2">
      <c r="A852" s="76"/>
      <c r="B852" s="76"/>
    </row>
    <row r="853" spans="1:2">
      <c r="A853" s="76"/>
      <c r="B853" s="76"/>
    </row>
    <row r="854" spans="1:2">
      <c r="A854" s="76"/>
      <c r="B854" s="76"/>
    </row>
    <row r="855" spans="1:2">
      <c r="A855" s="76"/>
      <c r="B855" s="76"/>
    </row>
    <row r="856" spans="1:2">
      <c r="A856" s="76"/>
      <c r="B856" s="76"/>
    </row>
    <row r="857" spans="1:2">
      <c r="A857" s="76"/>
      <c r="B857" s="76"/>
    </row>
    <row r="858" spans="1:2">
      <c r="A858" s="76"/>
      <c r="B858" s="76"/>
    </row>
    <row r="859" spans="1:2">
      <c r="A859" s="76"/>
      <c r="B859" s="76"/>
    </row>
    <row r="860" spans="1:2">
      <c r="A860" s="76"/>
      <c r="B860" s="76"/>
    </row>
    <row r="861" spans="1:2">
      <c r="A861" s="76"/>
      <c r="B861" s="76"/>
    </row>
    <row r="862" spans="1:2">
      <c r="A862" s="76"/>
      <c r="B862" s="76"/>
    </row>
    <row r="863" spans="1:2">
      <c r="A863" s="76"/>
      <c r="B863" s="76"/>
    </row>
    <row r="864" spans="1:2">
      <c r="A864" s="76"/>
      <c r="B864" s="76"/>
    </row>
    <row r="865" spans="1:2">
      <c r="A865" s="76"/>
      <c r="B865" s="76"/>
    </row>
    <row r="866" spans="1:2">
      <c r="A866" s="76"/>
      <c r="B866" s="76"/>
    </row>
    <row r="867" spans="1:2">
      <c r="A867" s="76"/>
      <c r="B867" s="76"/>
    </row>
    <row r="868" spans="1:2">
      <c r="A868" s="76"/>
      <c r="B868" s="76"/>
    </row>
    <row r="869" spans="1:2">
      <c r="A869" s="76"/>
      <c r="B869" s="76"/>
    </row>
    <row r="870" spans="1:2">
      <c r="A870" s="76"/>
      <c r="B870" s="76"/>
    </row>
    <row r="871" spans="1:2">
      <c r="A871" s="76"/>
      <c r="B871" s="76"/>
    </row>
    <row r="872" spans="1:2">
      <c r="A872" s="76"/>
      <c r="B872" s="76"/>
    </row>
    <row r="873" spans="1:2">
      <c r="A873" s="76"/>
      <c r="B873" s="76"/>
    </row>
    <row r="874" spans="1:2">
      <c r="A874" s="76"/>
      <c r="B874" s="76"/>
    </row>
    <row r="875" spans="1:2">
      <c r="A875" s="76"/>
      <c r="B875" s="76"/>
    </row>
    <row r="876" spans="1:2">
      <c r="A876" s="76"/>
      <c r="B876" s="76"/>
    </row>
    <row r="877" spans="1:2">
      <c r="A877" s="76"/>
      <c r="B877" s="76"/>
    </row>
    <row r="878" spans="1:2">
      <c r="A878" s="76"/>
      <c r="B878" s="76"/>
    </row>
    <row r="879" spans="1:2">
      <c r="A879" s="76"/>
      <c r="B879" s="76"/>
    </row>
    <row r="880" spans="1:2">
      <c r="A880" s="76"/>
      <c r="B880" s="76"/>
    </row>
    <row r="881" spans="1:2">
      <c r="A881" s="76"/>
      <c r="B881" s="76"/>
    </row>
    <row r="882" spans="1:2">
      <c r="A882" s="76"/>
      <c r="B882" s="76"/>
    </row>
    <row r="883" spans="1:2">
      <c r="A883" s="76"/>
      <c r="B883" s="76"/>
    </row>
    <row r="884" spans="1:2">
      <c r="A884" s="76"/>
      <c r="B884" s="76"/>
    </row>
    <row r="885" spans="1:2">
      <c r="A885" s="76"/>
      <c r="B885" s="76"/>
    </row>
    <row r="886" spans="1:2">
      <c r="A886" s="76"/>
      <c r="B886" s="76"/>
    </row>
    <row r="887" spans="1:2">
      <c r="A887" s="76"/>
      <c r="B887" s="76"/>
    </row>
    <row r="888" spans="1:2">
      <c r="A888" s="76"/>
      <c r="B888" s="76"/>
    </row>
    <row r="889" spans="1:2">
      <c r="A889" s="76"/>
      <c r="B889" s="76"/>
    </row>
    <row r="890" spans="1:2">
      <c r="A890" s="76"/>
      <c r="B890" s="76"/>
    </row>
    <row r="891" spans="1:2">
      <c r="A891" s="76"/>
      <c r="B891" s="76"/>
    </row>
    <row r="892" spans="1:2">
      <c r="A892" s="76"/>
      <c r="B892" s="76"/>
    </row>
    <row r="893" spans="1:2">
      <c r="A893" s="76"/>
      <c r="B893" s="76"/>
    </row>
    <row r="894" spans="1:2">
      <c r="A894" s="76"/>
      <c r="B894" s="76"/>
    </row>
    <row r="895" spans="1:2">
      <c r="A895" s="76"/>
      <c r="B895" s="76"/>
    </row>
    <row r="896" spans="1:2">
      <c r="A896" s="76"/>
      <c r="B896" s="76"/>
    </row>
    <row r="897" spans="1:2">
      <c r="A897" s="76"/>
      <c r="B897" s="76"/>
    </row>
    <row r="898" spans="1:2">
      <c r="A898" s="76"/>
      <c r="B898" s="76"/>
    </row>
    <row r="899" spans="1:2">
      <c r="A899" s="76"/>
      <c r="B899" s="76"/>
    </row>
    <row r="900" spans="1:2">
      <c r="A900" s="76"/>
      <c r="B900" s="76"/>
    </row>
    <row r="901" spans="1:2">
      <c r="A901" s="76"/>
      <c r="B901" s="76"/>
    </row>
    <row r="902" spans="1:2">
      <c r="A902" s="76"/>
      <c r="B902" s="76"/>
    </row>
    <row r="903" spans="1:2">
      <c r="A903" s="76"/>
      <c r="B903" s="76"/>
    </row>
    <row r="904" spans="1:2">
      <c r="A904" s="76"/>
      <c r="B904" s="76"/>
    </row>
    <row r="905" spans="1:2">
      <c r="A905" s="76"/>
      <c r="B905" s="76"/>
    </row>
    <row r="906" spans="1:2">
      <c r="A906" s="76"/>
      <c r="B906" s="76"/>
    </row>
    <row r="907" spans="1:2">
      <c r="A907" s="76"/>
      <c r="B907" s="76"/>
    </row>
    <row r="908" spans="1:2">
      <c r="A908" s="76"/>
      <c r="B908" s="76"/>
    </row>
    <row r="909" spans="1:2">
      <c r="A909" s="76"/>
      <c r="B909" s="76"/>
    </row>
    <row r="910" spans="1:2">
      <c r="A910" s="76"/>
      <c r="B910" s="76"/>
    </row>
    <row r="911" spans="1:2">
      <c r="A911" s="76"/>
      <c r="B911" s="76"/>
    </row>
    <row r="912" spans="1:2">
      <c r="A912" s="76"/>
      <c r="B912" s="76"/>
    </row>
    <row r="913" spans="1:2">
      <c r="A913" s="76"/>
      <c r="B913" s="76"/>
    </row>
    <row r="914" spans="1:2">
      <c r="A914" s="76"/>
      <c r="B914" s="76"/>
    </row>
    <row r="915" spans="1:2">
      <c r="A915" s="76"/>
      <c r="B915" s="76"/>
    </row>
    <row r="916" spans="1:2">
      <c r="A916" s="76"/>
      <c r="B916" s="76"/>
    </row>
    <row r="917" spans="1:2">
      <c r="A917" s="76"/>
      <c r="B917" s="76"/>
    </row>
    <row r="918" spans="1:2">
      <c r="A918" s="76"/>
      <c r="B918" s="76"/>
    </row>
    <row r="919" spans="1:2">
      <c r="A919" s="76"/>
      <c r="B919" s="76"/>
    </row>
    <row r="920" spans="1:2">
      <c r="A920" s="76"/>
      <c r="B920" s="76"/>
    </row>
    <row r="921" spans="1:2">
      <c r="A921" s="76"/>
      <c r="B921" s="76"/>
    </row>
    <row r="922" spans="1:2">
      <c r="A922" s="76"/>
      <c r="B922" s="76"/>
    </row>
    <row r="923" spans="1:2">
      <c r="A923" s="76"/>
      <c r="B923" s="76"/>
    </row>
    <row r="924" spans="1:2">
      <c r="A924" s="76"/>
      <c r="B924" s="76"/>
    </row>
    <row r="925" spans="1:2">
      <c r="A925" s="76"/>
      <c r="B925" s="76"/>
    </row>
    <row r="926" spans="1:2">
      <c r="A926" s="76"/>
      <c r="B926" s="76"/>
    </row>
    <row r="927" spans="1:2">
      <c r="A927" s="76"/>
      <c r="B927" s="76"/>
    </row>
    <row r="928" spans="1:2">
      <c r="A928" s="76"/>
      <c r="B928" s="76"/>
    </row>
    <row r="929" spans="1:2">
      <c r="A929" s="76"/>
      <c r="B929" s="76"/>
    </row>
    <row r="930" spans="1:2">
      <c r="A930" s="76"/>
      <c r="B930" s="76"/>
    </row>
    <row r="931" spans="1:2">
      <c r="A931" s="76"/>
      <c r="B931" s="76"/>
    </row>
    <row r="932" spans="1:2">
      <c r="A932" s="76"/>
      <c r="B932" s="76"/>
    </row>
    <row r="933" spans="1:2">
      <c r="A933" s="76"/>
      <c r="B933" s="76"/>
    </row>
    <row r="934" spans="1:2">
      <c r="A934" s="76"/>
      <c r="B934" s="76"/>
    </row>
    <row r="935" spans="1:2">
      <c r="A935" s="76"/>
      <c r="B935" s="76"/>
    </row>
    <row r="936" spans="1:2">
      <c r="A936" s="76"/>
      <c r="B936" s="76"/>
    </row>
    <row r="937" spans="1:2">
      <c r="A937" s="76"/>
      <c r="B937" s="76"/>
    </row>
    <row r="938" spans="1:2">
      <c r="A938" s="76"/>
      <c r="B938" s="76"/>
    </row>
    <row r="939" spans="1:2">
      <c r="A939" s="76"/>
      <c r="B939" s="76"/>
    </row>
    <row r="940" spans="1:2">
      <c r="A940" s="76"/>
      <c r="B940" s="76"/>
    </row>
    <row r="941" spans="1:2">
      <c r="A941" s="76"/>
      <c r="B941" s="76"/>
    </row>
    <row r="942" spans="1:2">
      <c r="A942" s="76"/>
      <c r="B942" s="76"/>
    </row>
    <row r="943" spans="1:2">
      <c r="A943" s="76"/>
      <c r="B943" s="76"/>
    </row>
    <row r="944" spans="1:2">
      <c r="A944" s="76"/>
      <c r="B944" s="76"/>
    </row>
    <row r="945" spans="1:2">
      <c r="A945" s="76"/>
      <c r="B945" s="76"/>
    </row>
    <row r="946" spans="1:2">
      <c r="A946" s="76"/>
      <c r="B946" s="76"/>
    </row>
    <row r="947" spans="1:2">
      <c r="A947" s="76"/>
      <c r="B947" s="76"/>
    </row>
    <row r="948" spans="1:2">
      <c r="A948" s="76"/>
      <c r="B948" s="76"/>
    </row>
    <row r="949" spans="1:2">
      <c r="A949" s="76"/>
      <c r="B949" s="76"/>
    </row>
    <row r="950" spans="1:2">
      <c r="A950" s="76"/>
      <c r="B950" s="76"/>
    </row>
    <row r="951" spans="1:2">
      <c r="A951" s="76"/>
      <c r="B951" s="76"/>
    </row>
    <row r="952" spans="1:2">
      <c r="A952" s="76"/>
      <c r="B952" s="76"/>
    </row>
    <row r="953" spans="1:2">
      <c r="A953" s="76"/>
      <c r="B953" s="76"/>
    </row>
    <row r="954" spans="1:2">
      <c r="A954" s="76"/>
      <c r="B954" s="76"/>
    </row>
    <row r="955" spans="1:2">
      <c r="A955" s="76"/>
      <c r="B955" s="76"/>
    </row>
    <row r="956" spans="1:2">
      <c r="A956" s="76"/>
      <c r="B956" s="76"/>
    </row>
    <row r="957" spans="1:2">
      <c r="A957" s="76"/>
      <c r="B957" s="76"/>
    </row>
    <row r="958" spans="1:2">
      <c r="A958" s="76"/>
      <c r="B958" s="76"/>
    </row>
    <row r="959" spans="1:2">
      <c r="A959" s="76"/>
      <c r="B959" s="76"/>
    </row>
    <row r="960" spans="1:2">
      <c r="A960" s="76"/>
      <c r="B960" s="76"/>
    </row>
    <row r="961" spans="1:2">
      <c r="A961" s="76"/>
      <c r="B961" s="76"/>
    </row>
    <row r="962" spans="1:2">
      <c r="A962" s="76"/>
      <c r="B962" s="76"/>
    </row>
    <row r="963" spans="1:2">
      <c r="A963" s="76"/>
      <c r="B963" s="76"/>
    </row>
    <row r="964" spans="1:2">
      <c r="A964" s="76"/>
      <c r="B964" s="76"/>
    </row>
    <row r="965" spans="1:2">
      <c r="A965" s="76"/>
      <c r="B965" s="76"/>
    </row>
    <row r="966" spans="1:2">
      <c r="A966" s="76"/>
      <c r="B966" s="76"/>
    </row>
    <row r="967" spans="1:2">
      <c r="A967" s="76"/>
      <c r="B967" s="76"/>
    </row>
    <row r="968" spans="1:2">
      <c r="A968" s="76"/>
      <c r="B968" s="76"/>
    </row>
    <row r="969" spans="1:2">
      <c r="A969" s="76"/>
      <c r="B969" s="76"/>
    </row>
    <row r="970" spans="1:2">
      <c r="A970" s="76"/>
      <c r="B970" s="76"/>
    </row>
    <row r="971" spans="1:2">
      <c r="A971" s="76"/>
      <c r="B971" s="76"/>
    </row>
    <row r="972" spans="1:2">
      <c r="A972" s="76"/>
      <c r="B972" s="76"/>
    </row>
    <row r="973" spans="1:2">
      <c r="A973" s="76"/>
      <c r="B973" s="76"/>
    </row>
    <row r="974" spans="1:2">
      <c r="A974" s="76"/>
      <c r="B974" s="76"/>
    </row>
    <row r="975" spans="1:2">
      <c r="A975" s="76"/>
      <c r="B975" s="76"/>
    </row>
    <row r="976" spans="1:2">
      <c r="A976" s="76"/>
      <c r="B976" s="76"/>
    </row>
    <row r="977" spans="1:2">
      <c r="A977" s="76"/>
      <c r="B977" s="76"/>
    </row>
    <row r="978" spans="1:2">
      <c r="A978" s="76"/>
      <c r="B978" s="76"/>
    </row>
    <row r="979" spans="1:2">
      <c r="A979" s="76"/>
      <c r="B979" s="76"/>
    </row>
    <row r="980" spans="1:2">
      <c r="A980" s="76"/>
      <c r="B980" s="76"/>
    </row>
    <row r="981" spans="1:2">
      <c r="A981" s="76"/>
      <c r="B981" s="76"/>
    </row>
    <row r="982" spans="1:2">
      <c r="A982" s="76"/>
      <c r="B982" s="76"/>
    </row>
    <row r="983" spans="1:2">
      <c r="A983" s="76"/>
      <c r="B983" s="76"/>
    </row>
    <row r="984" spans="1:2">
      <c r="A984" s="76"/>
      <c r="B984" s="76"/>
    </row>
    <row r="985" spans="1:2">
      <c r="A985" s="76"/>
      <c r="B985" s="76"/>
    </row>
    <row r="986" spans="1:2">
      <c r="A986" s="76"/>
      <c r="B986" s="76"/>
    </row>
    <row r="987" spans="1:2">
      <c r="A987" s="76"/>
      <c r="B987" s="76"/>
    </row>
    <row r="988" spans="1:2">
      <c r="A988" s="76"/>
      <c r="B988" s="76"/>
    </row>
    <row r="989" spans="1:2">
      <c r="A989" s="76"/>
      <c r="B989" s="76"/>
    </row>
    <row r="990" spans="1:2">
      <c r="A990" s="76"/>
      <c r="B990" s="76"/>
    </row>
    <row r="991" spans="1:2">
      <c r="A991" s="76"/>
      <c r="B991" s="76"/>
    </row>
    <row r="992" spans="1:2">
      <c r="A992" s="76"/>
      <c r="B992" s="76"/>
    </row>
    <row r="993" spans="1:2">
      <c r="A993" s="76"/>
      <c r="B993" s="76"/>
    </row>
    <row r="994" spans="1:2">
      <c r="A994" s="76"/>
      <c r="B994" s="76"/>
    </row>
    <row r="995" spans="1:2">
      <c r="A995" s="76"/>
      <c r="B995" s="76"/>
    </row>
    <row r="996" spans="1:2">
      <c r="A996" s="76"/>
      <c r="B996" s="76"/>
    </row>
    <row r="997" spans="1:2">
      <c r="A997" s="76"/>
      <c r="B997" s="76"/>
    </row>
    <row r="998" spans="1:2">
      <c r="A998" s="76"/>
      <c r="B998" s="76"/>
    </row>
    <row r="999" spans="1:2">
      <c r="A999" s="76"/>
      <c r="B999" s="76"/>
    </row>
    <row r="1000" spans="1:2">
      <c r="A1000" s="76"/>
      <c r="B1000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D12"/>
  <sheetViews>
    <sheetView workbookViewId="0">
      <selection activeCell="D11" sqref="D11"/>
    </sheetView>
  </sheetViews>
  <sheetFormatPr baseColWidth="10" defaultColWidth="14.42578125" defaultRowHeight="15" customHeight="1"/>
  <sheetData>
    <row r="1" spans="1:4">
      <c r="A1" s="81" t="s">
        <v>461</v>
      </c>
      <c r="B1" s="81" t="s">
        <v>15</v>
      </c>
      <c r="C1" s="78" t="s">
        <v>457</v>
      </c>
      <c r="D1" s="78" t="s">
        <v>458</v>
      </c>
    </row>
    <row r="2" spans="1:4">
      <c r="A2" s="82">
        <v>1</v>
      </c>
      <c r="B2" s="82" t="s">
        <v>16</v>
      </c>
      <c r="C2" s="83">
        <v>56.840401300000003</v>
      </c>
      <c r="D2" s="83">
        <v>68.431215800000004</v>
      </c>
    </row>
    <row r="3" spans="1:4">
      <c r="A3" s="82">
        <v>2</v>
      </c>
      <c r="B3" s="82" t="s">
        <v>54</v>
      </c>
      <c r="C3" s="83">
        <v>76.458470700000007</v>
      </c>
      <c r="D3" s="83">
        <v>83.640404500000002</v>
      </c>
    </row>
    <row r="4" spans="1:4">
      <c r="A4" s="82">
        <v>3</v>
      </c>
      <c r="B4" s="82" t="s">
        <v>160</v>
      </c>
      <c r="C4" s="83">
        <v>77.134574700000002</v>
      </c>
      <c r="D4" s="83">
        <v>85.508629200000001</v>
      </c>
    </row>
    <row r="5" spans="1:4">
      <c r="A5" s="82">
        <v>4</v>
      </c>
      <c r="B5" s="82" t="s">
        <v>214</v>
      </c>
      <c r="C5" s="83">
        <v>74.175662799999998</v>
      </c>
      <c r="D5" s="83">
        <v>81.835565799999998</v>
      </c>
    </row>
    <row r="6" spans="1:4">
      <c r="A6" s="82">
        <v>5</v>
      </c>
      <c r="B6" s="82" t="s">
        <v>260</v>
      </c>
      <c r="C6" s="83">
        <v>53.356761400000003</v>
      </c>
      <c r="D6" s="83">
        <v>64.2048506</v>
      </c>
    </row>
    <row r="7" spans="1:4">
      <c r="A7" s="82">
        <v>6</v>
      </c>
      <c r="B7" s="82" t="s">
        <v>317</v>
      </c>
      <c r="C7" s="83">
        <v>77.919038900000004</v>
      </c>
      <c r="D7" s="83">
        <v>87.491145500000002</v>
      </c>
    </row>
    <row r="8" spans="1:4">
      <c r="A8" s="82">
        <v>7</v>
      </c>
      <c r="B8" s="82" t="s">
        <v>332</v>
      </c>
      <c r="C8" s="83">
        <v>86.780703500000001</v>
      </c>
      <c r="D8" s="83">
        <v>92.338426600000005</v>
      </c>
    </row>
    <row r="9" spans="1:4">
      <c r="A9" s="82">
        <v>8</v>
      </c>
      <c r="B9" s="82" t="s">
        <v>401</v>
      </c>
      <c r="C9" s="83">
        <v>64.579638399999993</v>
      </c>
      <c r="D9" s="83">
        <v>76.139444999999995</v>
      </c>
    </row>
    <row r="10" spans="1:4">
      <c r="A10" s="108">
        <v>9</v>
      </c>
      <c r="B10" s="108" t="s">
        <v>426</v>
      </c>
      <c r="C10" s="109">
        <v>54.768717000000002</v>
      </c>
      <c r="D10" s="109">
        <v>76.752227000000005</v>
      </c>
    </row>
    <row r="11" spans="1:4" ht="15" customHeight="1">
      <c r="A11" s="110">
        <v>10</v>
      </c>
      <c r="B11" s="110" t="s">
        <v>321</v>
      </c>
      <c r="C11" s="118">
        <v>78.090468387355699</v>
      </c>
      <c r="D11" s="118">
        <v>86.78502651232435</v>
      </c>
    </row>
    <row r="12" spans="1:4" ht="15" customHeight="1">
      <c r="A12" s="110">
        <v>11</v>
      </c>
      <c r="B12" s="110" t="s">
        <v>12</v>
      </c>
      <c r="C12" s="118">
        <v>75.470526100000001</v>
      </c>
      <c r="D12" s="118">
        <v>83.758242899999999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G12"/>
  <sheetViews>
    <sheetView workbookViewId="0">
      <selection activeCell="F8" sqref="F8"/>
    </sheetView>
  </sheetViews>
  <sheetFormatPr baseColWidth="10" defaultColWidth="14.42578125" defaultRowHeight="15" customHeight="1"/>
  <sheetData>
    <row r="1" spans="1:7">
      <c r="A1" s="67" t="s">
        <v>461</v>
      </c>
      <c r="B1" s="67" t="s">
        <v>15</v>
      </c>
      <c r="C1" s="78" t="s">
        <v>459</v>
      </c>
      <c r="D1" s="78" t="s">
        <v>460</v>
      </c>
    </row>
    <row r="2" spans="1:7">
      <c r="A2" s="84">
        <v>1</v>
      </c>
      <c r="B2" s="84" t="s">
        <v>16</v>
      </c>
      <c r="C2" s="80">
        <v>242626.00005192001</v>
      </c>
      <c r="D2" s="80">
        <v>186044.00023801799</v>
      </c>
    </row>
    <row r="3" spans="1:7">
      <c r="A3" s="84">
        <v>2</v>
      </c>
      <c r="B3" s="84" t="s">
        <v>54</v>
      </c>
      <c r="C3" s="80">
        <v>624653.9988450089</v>
      </c>
      <c r="D3" s="80">
        <v>482149.99857599987</v>
      </c>
    </row>
    <row r="4" spans="1:7">
      <c r="A4" s="84">
        <v>3</v>
      </c>
      <c r="B4" s="84" t="s">
        <v>160</v>
      </c>
      <c r="C4" s="80">
        <v>393360.9997177429</v>
      </c>
      <c r="D4" s="80">
        <v>285218.00077593606</v>
      </c>
    </row>
    <row r="5" spans="1:7">
      <c r="A5" s="84">
        <v>4</v>
      </c>
      <c r="B5" s="84" t="s">
        <v>214</v>
      </c>
      <c r="C5" s="80">
        <v>124823.99980317603</v>
      </c>
      <c r="D5" s="80">
        <v>101259.99982434598</v>
      </c>
    </row>
    <row r="6" spans="1:7">
      <c r="A6" s="84">
        <v>5</v>
      </c>
      <c r="B6" s="84" t="s">
        <v>260</v>
      </c>
      <c r="C6" s="80">
        <v>377875.99962642591</v>
      </c>
      <c r="D6" s="80">
        <v>301261.99999223207</v>
      </c>
    </row>
    <row r="7" spans="1:7">
      <c r="A7" s="84">
        <v>6</v>
      </c>
      <c r="B7" s="84" t="s">
        <v>317</v>
      </c>
      <c r="C7" s="80">
        <v>101342.99987417099</v>
      </c>
      <c r="D7" s="80">
        <v>64985.00019003998</v>
      </c>
      <c r="F7" s="111"/>
      <c r="G7" s="111"/>
    </row>
    <row r="8" spans="1:7">
      <c r="A8" s="84">
        <v>7</v>
      </c>
      <c r="B8" s="84" t="s">
        <v>332</v>
      </c>
      <c r="C8" s="80">
        <v>337980.00089590484</v>
      </c>
      <c r="D8" s="80">
        <v>232102.99905616185</v>
      </c>
    </row>
    <row r="9" spans="1:7">
      <c r="A9" s="84">
        <v>8</v>
      </c>
      <c r="B9" s="84" t="s">
        <v>401</v>
      </c>
      <c r="C9" s="80">
        <v>142793.99995785602</v>
      </c>
      <c r="D9" s="80">
        <v>112104.99997870001</v>
      </c>
    </row>
    <row r="10" spans="1:7">
      <c r="A10" s="84">
        <v>9</v>
      </c>
      <c r="B10" s="84" t="s">
        <v>426</v>
      </c>
      <c r="C10" s="80">
        <v>46319.999981809997</v>
      </c>
      <c r="D10" s="80">
        <v>29516.999944909985</v>
      </c>
    </row>
    <row r="11" spans="1:7" ht="15" customHeight="1">
      <c r="A11" s="110">
        <v>10</v>
      </c>
      <c r="B11" s="110" t="s">
        <v>321</v>
      </c>
      <c r="C11" s="117">
        <v>30097.999957553984</v>
      </c>
      <c r="D11" s="117">
        <v>20313.000047376001</v>
      </c>
    </row>
    <row r="12" spans="1:7" ht="15" customHeight="1">
      <c r="A12" s="110">
        <v>11</v>
      </c>
      <c r="B12" s="110" t="s">
        <v>12</v>
      </c>
      <c r="C12" s="117">
        <v>2391777.9956408311</v>
      </c>
      <c r="D12" s="117">
        <v>1794643.995159328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Z2"/>
  <sheetViews>
    <sheetView workbookViewId="0">
      <selection activeCell="E9" sqref="E9"/>
    </sheetView>
  </sheetViews>
  <sheetFormatPr baseColWidth="10" defaultColWidth="14.42578125" defaultRowHeight="15" customHeight="1"/>
  <sheetData>
    <row r="1" spans="1:26">
      <c r="A1" s="85" t="s">
        <v>462</v>
      </c>
      <c r="B1" s="85" t="s">
        <v>463</v>
      </c>
      <c r="C1" s="86" t="s">
        <v>464</v>
      </c>
      <c r="D1" s="86" t="s">
        <v>465</v>
      </c>
      <c r="E1" s="87" t="s">
        <v>466</v>
      </c>
      <c r="F1" s="87" t="s">
        <v>467</v>
      </c>
      <c r="G1" s="88" t="s">
        <v>468</v>
      </c>
      <c r="H1" s="88" t="s">
        <v>469</v>
      </c>
      <c r="I1" s="89" t="s">
        <v>470</v>
      </c>
      <c r="J1" s="89" t="s">
        <v>471</v>
      </c>
    </row>
    <row r="2" spans="1:26" ht="27.75" customHeight="1">
      <c r="A2" s="71">
        <v>7</v>
      </c>
      <c r="B2" s="90" t="s">
        <v>472</v>
      </c>
      <c r="C2" s="71">
        <v>100</v>
      </c>
      <c r="D2" s="71">
        <v>85</v>
      </c>
      <c r="E2" s="71">
        <v>85</v>
      </c>
      <c r="F2" s="71">
        <v>67.5</v>
      </c>
      <c r="G2" s="71">
        <v>67.5</v>
      </c>
      <c r="H2" s="71">
        <v>50</v>
      </c>
      <c r="I2" s="71">
        <v>50</v>
      </c>
      <c r="J2" s="71">
        <v>0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1"/>
  <sheetViews>
    <sheetView workbookViewId="0">
      <selection activeCell="A9" sqref="A9"/>
    </sheetView>
  </sheetViews>
  <sheetFormatPr baseColWidth="10" defaultColWidth="14.42578125" defaultRowHeight="15" customHeight="1"/>
  <sheetData>
    <row r="1" spans="1:25">
      <c r="A1" s="67" t="s">
        <v>15</v>
      </c>
      <c r="B1" s="67" t="s">
        <v>473</v>
      </c>
      <c r="C1" s="67" t="s">
        <v>474</v>
      </c>
      <c r="D1" s="67" t="s">
        <v>475</v>
      </c>
      <c r="E1" s="67" t="s">
        <v>476</v>
      </c>
      <c r="F1" s="65"/>
      <c r="G1" s="91" t="s">
        <v>477</v>
      </c>
      <c r="H1" s="92" t="s">
        <v>478</v>
      </c>
      <c r="I1" s="92" t="s">
        <v>479</v>
      </c>
      <c r="J1" s="93" t="s">
        <v>480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>
      <c r="A2" s="71" t="s">
        <v>16</v>
      </c>
      <c r="B2" s="73">
        <v>56.840401300000003</v>
      </c>
      <c r="C2" s="73">
        <f t="shared" ref="C2:C11" si="0">100-B2</f>
        <v>43.159598699999997</v>
      </c>
      <c r="D2" s="73">
        <v>68.431215800000004</v>
      </c>
      <c r="E2" s="73">
        <f t="shared" ref="E2:E11" si="1">100-D2</f>
        <v>31.568784199999996</v>
      </c>
      <c r="G2" s="94" t="s">
        <v>481</v>
      </c>
      <c r="H2" s="95">
        <f>COUNTIF(Mapa!D2:D344, "Verde")</f>
        <v>35</v>
      </c>
      <c r="I2" s="95">
        <f>COUNTIF(Mapa!F2:F344, "Verde")</f>
        <v>70</v>
      </c>
      <c r="J2" s="96">
        <f t="shared" ref="J2:J5" si="2">I2-H2</f>
        <v>35</v>
      </c>
    </row>
    <row r="3" spans="1:25">
      <c r="A3" s="71" t="s">
        <v>54</v>
      </c>
      <c r="B3" s="73">
        <v>76.458470700000007</v>
      </c>
      <c r="C3" s="73">
        <f t="shared" si="0"/>
        <v>23.541529299999993</v>
      </c>
      <c r="D3" s="73">
        <v>83.640404500000002</v>
      </c>
      <c r="E3" s="73">
        <f t="shared" si="1"/>
        <v>16.359595499999998</v>
      </c>
      <c r="G3" s="94" t="s">
        <v>482</v>
      </c>
      <c r="H3" s="95">
        <f>COUNTIF(Mapa!D2:D344, "Amarillo")</f>
        <v>38</v>
      </c>
      <c r="I3" s="95">
        <f>COUNTIF(Mapa!F2:F344, "Amarillo")</f>
        <v>82</v>
      </c>
      <c r="J3" s="96">
        <f t="shared" si="2"/>
        <v>44</v>
      </c>
    </row>
    <row r="4" spans="1:25">
      <c r="A4" s="71" t="s">
        <v>160</v>
      </c>
      <c r="B4" s="73">
        <v>77.134574700000002</v>
      </c>
      <c r="C4" s="73">
        <f t="shared" si="0"/>
        <v>22.865425299999998</v>
      </c>
      <c r="D4" s="73">
        <v>85.508629200000001</v>
      </c>
      <c r="E4" s="73">
        <f t="shared" si="1"/>
        <v>14.491370799999999</v>
      </c>
      <c r="G4" s="94" t="s">
        <v>483</v>
      </c>
      <c r="H4" s="95">
        <f>COUNTIF(Mapa!D2:D344, "Naranja")</f>
        <v>44</v>
      </c>
      <c r="I4" s="95">
        <f>COUNTIF(Mapa!F2:F344, "Naranja")</f>
        <v>70</v>
      </c>
      <c r="J4" s="96">
        <f t="shared" si="2"/>
        <v>26</v>
      </c>
    </row>
    <row r="5" spans="1:25">
      <c r="A5" s="71" t="s">
        <v>214</v>
      </c>
      <c r="B5" s="73">
        <v>74.175662799999998</v>
      </c>
      <c r="C5" s="73">
        <f t="shared" si="0"/>
        <v>25.824337200000002</v>
      </c>
      <c r="D5" s="73">
        <v>81.835565799999998</v>
      </c>
      <c r="E5" s="73">
        <f t="shared" si="1"/>
        <v>18.164434200000002</v>
      </c>
      <c r="G5" s="94" t="s">
        <v>484</v>
      </c>
      <c r="H5" s="95">
        <f>COUNTIF(Mapa!D2:D344, "Rojo")</f>
        <v>226</v>
      </c>
      <c r="I5" s="95">
        <f>COUNTIF(Mapa!F2:F344, "Rojo")</f>
        <v>121</v>
      </c>
      <c r="J5" s="96">
        <f t="shared" si="2"/>
        <v>-105</v>
      </c>
    </row>
    <row r="6" spans="1:25">
      <c r="A6" s="71" t="s">
        <v>260</v>
      </c>
      <c r="B6" s="73">
        <v>53.356761400000003</v>
      </c>
      <c r="C6" s="73">
        <f t="shared" si="0"/>
        <v>46.643238599999997</v>
      </c>
      <c r="D6" s="73">
        <v>64.2048506</v>
      </c>
      <c r="E6" s="73">
        <f t="shared" si="1"/>
        <v>35.7951494</v>
      </c>
    </row>
    <row r="7" spans="1:25">
      <c r="A7" s="71" t="s">
        <v>317</v>
      </c>
      <c r="B7" s="73">
        <v>77.919038900000004</v>
      </c>
      <c r="C7" s="73">
        <f t="shared" si="0"/>
        <v>22.080961099999996</v>
      </c>
      <c r="D7" s="73">
        <v>87.491145500000002</v>
      </c>
      <c r="E7" s="73">
        <f t="shared" si="1"/>
        <v>12.508854499999998</v>
      </c>
    </row>
    <row r="8" spans="1:25">
      <c r="A8" s="71" t="s">
        <v>332</v>
      </c>
      <c r="B8" s="73">
        <v>86.780703500000001</v>
      </c>
      <c r="C8" s="73">
        <f t="shared" si="0"/>
        <v>13.219296499999999</v>
      </c>
      <c r="D8" s="73">
        <v>92.338426600000005</v>
      </c>
      <c r="E8" s="73">
        <f t="shared" si="1"/>
        <v>7.6615733999999946</v>
      </c>
    </row>
    <row r="9" spans="1:25">
      <c r="A9" s="71" t="s">
        <v>401</v>
      </c>
      <c r="B9" s="73">
        <v>64.579638399999993</v>
      </c>
      <c r="C9" s="73">
        <f t="shared" si="0"/>
        <v>35.420361600000007</v>
      </c>
      <c r="D9" s="73">
        <v>76.139444999999995</v>
      </c>
      <c r="E9" s="73">
        <f t="shared" si="1"/>
        <v>23.860555000000005</v>
      </c>
    </row>
    <row r="10" spans="1:25">
      <c r="A10" s="71" t="s">
        <v>426</v>
      </c>
      <c r="B10" s="73">
        <v>54.768717000000002</v>
      </c>
      <c r="C10" s="73">
        <f t="shared" si="0"/>
        <v>45.231282999999998</v>
      </c>
      <c r="D10" s="73">
        <v>76.752227000000005</v>
      </c>
      <c r="E10" s="73">
        <f t="shared" si="1"/>
        <v>23.247772999999995</v>
      </c>
    </row>
    <row r="11" spans="1:25">
      <c r="A11" s="71" t="s">
        <v>12</v>
      </c>
      <c r="B11" s="73">
        <v>75.470526100000001</v>
      </c>
      <c r="C11" s="73">
        <f t="shared" si="0"/>
        <v>24.529473899999999</v>
      </c>
      <c r="D11" s="73">
        <v>83.758242899999999</v>
      </c>
      <c r="E11" s="73">
        <f t="shared" si="1"/>
        <v>16.241757100000001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00"/>
  <sheetViews>
    <sheetView workbookViewId="0">
      <selection activeCell="G10" sqref="G10"/>
    </sheetView>
  </sheetViews>
  <sheetFormatPr baseColWidth="10" defaultColWidth="14.42578125" defaultRowHeight="15" customHeight="1"/>
  <sheetData>
    <row r="1" spans="1:28">
      <c r="A1" s="97" t="s">
        <v>449</v>
      </c>
      <c r="B1" s="97" t="s">
        <v>450</v>
      </c>
      <c r="C1" s="98" t="s">
        <v>485</v>
      </c>
      <c r="D1" s="99" t="s">
        <v>486</v>
      </c>
      <c r="E1" s="98" t="s">
        <v>487</v>
      </c>
      <c r="F1" s="99" t="s">
        <v>488</v>
      </c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>
      <c r="A2" s="76">
        <v>10101</v>
      </c>
      <c r="B2" s="76" t="s">
        <v>20</v>
      </c>
      <c r="C2" s="100">
        <v>92.192567999999994</v>
      </c>
      <c r="D2" s="100" t="str">
        <f t="shared" ref="D2:D256" si="0">IF(C2&lt;=50,"Rojo",
   IF(C2&lt;=67.5,"Naranja",
   IF(C2&lt;=85,"Amarillo","Verde")))</f>
        <v>Verde</v>
      </c>
      <c r="E2" s="100">
        <v>94.741684000000006</v>
      </c>
      <c r="F2" s="100" t="str">
        <f t="shared" ref="F2:F256" si="1">IF(E2&lt;=50,"Rojo",
   IF(E2&lt;=67.5,"Naranja",
   IF(E2&lt;=85,"Amarillo","Verde")))</f>
        <v>Verde</v>
      </c>
    </row>
    <row r="3" spans="1:28">
      <c r="A3" s="76">
        <v>10102</v>
      </c>
      <c r="B3" s="76" t="s">
        <v>21</v>
      </c>
      <c r="C3" s="100">
        <v>53.3185596</v>
      </c>
      <c r="D3" s="100" t="str">
        <f t="shared" si="0"/>
        <v>Naranja</v>
      </c>
      <c r="E3" s="100">
        <v>74.312029699999997</v>
      </c>
      <c r="F3" s="100" t="str">
        <f t="shared" si="1"/>
        <v>Amarillo</v>
      </c>
    </row>
    <row r="4" spans="1:28">
      <c r="A4" s="76">
        <v>10103</v>
      </c>
      <c r="B4" s="76" t="s">
        <v>22</v>
      </c>
      <c r="C4" s="100">
        <v>3.9016896999999999</v>
      </c>
      <c r="D4" s="100" t="str">
        <f t="shared" si="0"/>
        <v>Rojo</v>
      </c>
      <c r="E4" s="100">
        <v>8.8749538999999995</v>
      </c>
      <c r="F4" s="100" t="str">
        <f t="shared" si="1"/>
        <v>Rojo</v>
      </c>
    </row>
    <row r="5" spans="1:28">
      <c r="A5" s="76">
        <v>10201</v>
      </c>
      <c r="B5" s="76" t="s">
        <v>23</v>
      </c>
      <c r="C5" s="100">
        <v>10.333817099999999</v>
      </c>
      <c r="D5" s="100" t="str">
        <f t="shared" si="0"/>
        <v>Rojo</v>
      </c>
      <c r="E5" s="100">
        <v>19.851434399999999</v>
      </c>
      <c r="F5" s="100" t="str">
        <f t="shared" si="1"/>
        <v>Rojo</v>
      </c>
    </row>
    <row r="6" spans="1:28">
      <c r="A6" s="76">
        <v>10202</v>
      </c>
      <c r="B6" s="76" t="s">
        <v>24</v>
      </c>
      <c r="C6" s="100">
        <v>12.6502169</v>
      </c>
      <c r="D6" s="100" t="str">
        <f t="shared" si="0"/>
        <v>Rojo</v>
      </c>
      <c r="E6" s="100">
        <v>31.761741900000001</v>
      </c>
      <c r="F6" s="100" t="str">
        <f t="shared" si="1"/>
        <v>Rojo</v>
      </c>
    </row>
    <row r="7" spans="1:28">
      <c r="A7" s="76">
        <v>10301</v>
      </c>
      <c r="B7" s="76" t="s">
        <v>25</v>
      </c>
      <c r="C7" s="100">
        <v>32.274646599999997</v>
      </c>
      <c r="D7" s="100" t="str">
        <f t="shared" si="0"/>
        <v>Rojo</v>
      </c>
      <c r="E7" s="100">
        <v>36.501561799999998</v>
      </c>
      <c r="F7" s="100" t="str">
        <f t="shared" si="1"/>
        <v>Rojo</v>
      </c>
    </row>
    <row r="8" spans="1:28">
      <c r="A8" s="76">
        <v>10302</v>
      </c>
      <c r="B8" s="76" t="s">
        <v>26</v>
      </c>
      <c r="C8" s="100">
        <v>18.607412400000001</v>
      </c>
      <c r="D8" s="100" t="str">
        <f t="shared" si="0"/>
        <v>Rojo</v>
      </c>
      <c r="E8" s="100">
        <v>31.8572691</v>
      </c>
      <c r="F8" s="100" t="str">
        <f t="shared" si="1"/>
        <v>Rojo</v>
      </c>
    </row>
    <row r="9" spans="1:28">
      <c r="A9" s="76">
        <v>10303</v>
      </c>
      <c r="B9" s="76" t="s">
        <v>27</v>
      </c>
      <c r="C9" s="100">
        <v>31.305226000000001</v>
      </c>
      <c r="D9" s="100" t="str">
        <f t="shared" si="0"/>
        <v>Rojo</v>
      </c>
      <c r="E9" s="100">
        <v>49.9610895</v>
      </c>
      <c r="F9" s="100" t="str">
        <f t="shared" si="1"/>
        <v>Rojo</v>
      </c>
    </row>
    <row r="10" spans="1:28">
      <c r="A10" s="76">
        <v>10304</v>
      </c>
      <c r="B10" s="76" t="s">
        <v>28</v>
      </c>
      <c r="C10" s="100">
        <v>15.0395778</v>
      </c>
      <c r="D10" s="100" t="str">
        <f t="shared" si="0"/>
        <v>Rojo</v>
      </c>
      <c r="E10" s="100">
        <v>26.311130800000001</v>
      </c>
      <c r="F10" s="100" t="str">
        <f t="shared" si="1"/>
        <v>Rojo</v>
      </c>
    </row>
    <row r="11" spans="1:28">
      <c r="A11" s="76">
        <v>10401</v>
      </c>
      <c r="B11" s="76" t="s">
        <v>30</v>
      </c>
      <c r="C11" s="100">
        <v>32.821994199999999</v>
      </c>
      <c r="D11" s="100" t="str">
        <f t="shared" si="0"/>
        <v>Rojo</v>
      </c>
      <c r="E11" s="100">
        <v>49.404828100000003</v>
      </c>
      <c r="F11" s="100" t="str">
        <f t="shared" si="1"/>
        <v>Rojo</v>
      </c>
    </row>
    <row r="12" spans="1:28">
      <c r="A12" s="76">
        <v>10402</v>
      </c>
      <c r="B12" s="76" t="s">
        <v>29</v>
      </c>
      <c r="C12" s="100">
        <v>20.971836100000001</v>
      </c>
      <c r="D12" s="100" t="str">
        <f t="shared" si="0"/>
        <v>Rojo</v>
      </c>
      <c r="E12" s="100">
        <v>33.068343599999999</v>
      </c>
      <c r="F12" s="100" t="str">
        <f t="shared" si="1"/>
        <v>Rojo</v>
      </c>
    </row>
    <row r="13" spans="1:28">
      <c r="A13" s="76">
        <v>10403</v>
      </c>
      <c r="B13" s="76" t="s">
        <v>31</v>
      </c>
      <c r="C13" s="100">
        <v>23.467674200000001</v>
      </c>
      <c r="D13" s="100" t="str">
        <f t="shared" si="0"/>
        <v>Rojo</v>
      </c>
      <c r="E13" s="100">
        <v>31.388242099999999</v>
      </c>
      <c r="F13" s="100" t="str">
        <f t="shared" si="1"/>
        <v>Rojo</v>
      </c>
    </row>
    <row r="14" spans="1:28">
      <c r="A14" s="76">
        <v>10404</v>
      </c>
      <c r="B14" s="76" t="s">
        <v>32</v>
      </c>
      <c r="C14" s="100">
        <v>30.2340029</v>
      </c>
      <c r="D14" s="100" t="str">
        <f t="shared" si="0"/>
        <v>Rojo</v>
      </c>
      <c r="E14" s="100">
        <v>43.521239600000001</v>
      </c>
      <c r="F14" s="100" t="str">
        <f t="shared" si="1"/>
        <v>Rojo</v>
      </c>
    </row>
    <row r="15" spans="1:28">
      <c r="A15" s="76">
        <v>10405</v>
      </c>
      <c r="B15" s="76" t="s">
        <v>33</v>
      </c>
      <c r="C15" s="100">
        <v>18.9586738</v>
      </c>
      <c r="D15" s="100" t="str">
        <f t="shared" si="0"/>
        <v>Rojo</v>
      </c>
      <c r="E15" s="100">
        <v>23.275248900000001</v>
      </c>
      <c r="F15" s="100" t="str">
        <f t="shared" si="1"/>
        <v>Rojo</v>
      </c>
    </row>
    <row r="16" spans="1:28">
      <c r="A16" s="76">
        <v>10501</v>
      </c>
      <c r="B16" s="76" t="s">
        <v>35</v>
      </c>
      <c r="C16" s="100">
        <v>51.787719099999997</v>
      </c>
      <c r="D16" s="100" t="str">
        <f t="shared" si="0"/>
        <v>Naranja</v>
      </c>
      <c r="E16" s="100">
        <v>67.513641899999996</v>
      </c>
      <c r="F16" s="100" t="str">
        <f t="shared" si="1"/>
        <v>Amarillo</v>
      </c>
    </row>
    <row r="17" spans="1:6">
      <c r="A17" s="76">
        <v>10502</v>
      </c>
      <c r="B17" s="76" t="s">
        <v>36</v>
      </c>
      <c r="C17" s="100">
        <v>24.9843063</v>
      </c>
      <c r="D17" s="100" t="str">
        <f t="shared" si="0"/>
        <v>Rojo</v>
      </c>
      <c r="E17" s="100">
        <v>37.742303300000003</v>
      </c>
      <c r="F17" s="100" t="str">
        <f t="shared" si="1"/>
        <v>Rojo</v>
      </c>
    </row>
    <row r="18" spans="1:6">
      <c r="A18" s="76">
        <v>10601</v>
      </c>
      <c r="B18" s="76" t="s">
        <v>38</v>
      </c>
      <c r="C18" s="100">
        <v>27.388878900000002</v>
      </c>
      <c r="D18" s="100" t="str">
        <f t="shared" si="0"/>
        <v>Rojo</v>
      </c>
      <c r="E18" s="100">
        <v>45.5148741</v>
      </c>
      <c r="F18" s="100" t="str">
        <f t="shared" si="1"/>
        <v>Rojo</v>
      </c>
    </row>
    <row r="19" spans="1:6">
      <c r="A19" s="76">
        <v>10602</v>
      </c>
      <c r="B19" s="76" t="s">
        <v>37</v>
      </c>
      <c r="C19" s="100">
        <v>30.3516975</v>
      </c>
      <c r="D19" s="100" t="str">
        <f t="shared" si="0"/>
        <v>Rojo</v>
      </c>
      <c r="E19" s="100">
        <v>54.1930853</v>
      </c>
      <c r="F19" s="100" t="str">
        <f t="shared" si="1"/>
        <v>Naranja</v>
      </c>
    </row>
    <row r="20" spans="1:6">
      <c r="A20" s="76">
        <v>10701</v>
      </c>
      <c r="B20" s="76" t="s">
        <v>40</v>
      </c>
      <c r="C20" s="100">
        <v>46.411355100000002</v>
      </c>
      <c r="D20" s="100" t="str">
        <f t="shared" si="0"/>
        <v>Rojo</v>
      </c>
      <c r="E20" s="100">
        <v>60.292566299999997</v>
      </c>
      <c r="F20" s="100" t="str">
        <f t="shared" si="1"/>
        <v>Naranja</v>
      </c>
    </row>
    <row r="21" spans="1:6">
      <c r="A21" s="76">
        <v>10702</v>
      </c>
      <c r="B21" s="76" t="s">
        <v>41</v>
      </c>
      <c r="C21" s="100">
        <v>24.463318999999998</v>
      </c>
      <c r="D21" s="100" t="str">
        <f t="shared" si="0"/>
        <v>Rojo</v>
      </c>
      <c r="E21" s="100">
        <v>43.809164600000003</v>
      </c>
      <c r="F21" s="100" t="str">
        <f t="shared" si="1"/>
        <v>Rojo</v>
      </c>
    </row>
    <row r="22" spans="1:6">
      <c r="A22" s="76">
        <v>10703</v>
      </c>
      <c r="B22" s="76" t="s">
        <v>42</v>
      </c>
      <c r="C22" s="100">
        <v>20.281734</v>
      </c>
      <c r="D22" s="100" t="str">
        <f t="shared" si="0"/>
        <v>Rojo</v>
      </c>
      <c r="E22" s="100">
        <v>37.220517299999997</v>
      </c>
      <c r="F22" s="100" t="str">
        <f t="shared" si="1"/>
        <v>Rojo</v>
      </c>
    </row>
    <row r="23" spans="1:6">
      <c r="A23" s="76">
        <v>10704</v>
      </c>
      <c r="B23" s="76" t="s">
        <v>43</v>
      </c>
      <c r="C23" s="100">
        <v>31.432038800000001</v>
      </c>
      <c r="D23" s="100" t="str">
        <f t="shared" si="0"/>
        <v>Rojo</v>
      </c>
      <c r="E23" s="100">
        <v>49.848002800000003</v>
      </c>
      <c r="F23" s="100" t="str">
        <f t="shared" si="1"/>
        <v>Rojo</v>
      </c>
    </row>
    <row r="24" spans="1:6">
      <c r="A24" s="76">
        <v>10801</v>
      </c>
      <c r="B24" s="76" t="s">
        <v>45</v>
      </c>
      <c r="C24" s="100">
        <v>31.463773400000001</v>
      </c>
      <c r="D24" s="100" t="str">
        <f t="shared" si="0"/>
        <v>Rojo</v>
      </c>
      <c r="E24" s="100">
        <v>44.838385000000002</v>
      </c>
      <c r="F24" s="100" t="str">
        <f t="shared" si="1"/>
        <v>Rojo</v>
      </c>
    </row>
    <row r="25" spans="1:6">
      <c r="A25" s="76">
        <v>10901</v>
      </c>
      <c r="B25" s="76" t="s">
        <v>47</v>
      </c>
      <c r="C25" s="100">
        <v>27.240250100000001</v>
      </c>
      <c r="D25" s="100" t="str">
        <f t="shared" si="0"/>
        <v>Rojo</v>
      </c>
      <c r="E25" s="100">
        <v>50.304182500000003</v>
      </c>
      <c r="F25" s="100" t="str">
        <f t="shared" si="1"/>
        <v>Naranja</v>
      </c>
    </row>
    <row r="26" spans="1:6">
      <c r="A26" s="76">
        <v>10902</v>
      </c>
      <c r="B26" s="76" t="s">
        <v>48</v>
      </c>
      <c r="C26" s="100">
        <v>29.878362200000002</v>
      </c>
      <c r="D26" s="100" t="str">
        <f t="shared" si="0"/>
        <v>Rojo</v>
      </c>
      <c r="E26" s="100">
        <v>49.143824000000002</v>
      </c>
      <c r="F26" s="100" t="str">
        <f t="shared" si="1"/>
        <v>Rojo</v>
      </c>
    </row>
    <row r="27" spans="1:6">
      <c r="A27" s="76">
        <v>10903</v>
      </c>
      <c r="B27" s="76" t="s">
        <v>49</v>
      </c>
      <c r="C27" s="100">
        <v>25.019108299999999</v>
      </c>
      <c r="D27" s="100" t="str">
        <f t="shared" si="0"/>
        <v>Rojo</v>
      </c>
      <c r="E27" s="100">
        <v>40.721963100000004</v>
      </c>
      <c r="F27" s="100" t="str">
        <f t="shared" si="1"/>
        <v>Rojo</v>
      </c>
    </row>
    <row r="28" spans="1:6">
      <c r="A28" s="76">
        <v>11001</v>
      </c>
      <c r="B28" s="76" t="s">
        <v>51</v>
      </c>
      <c r="C28" s="100">
        <v>36.6905693</v>
      </c>
      <c r="D28" s="100" t="str">
        <f t="shared" si="0"/>
        <v>Rojo</v>
      </c>
      <c r="E28" s="100">
        <v>47.160282100000003</v>
      </c>
      <c r="F28" s="100" t="str">
        <f t="shared" si="1"/>
        <v>Rojo</v>
      </c>
    </row>
    <row r="29" spans="1:6">
      <c r="A29" s="76">
        <v>11002</v>
      </c>
      <c r="B29" s="76" t="s">
        <v>52</v>
      </c>
      <c r="C29" s="100">
        <v>10.8947804</v>
      </c>
      <c r="D29" s="100" t="str">
        <f t="shared" si="0"/>
        <v>Rojo</v>
      </c>
      <c r="E29" s="100">
        <v>33.4914986</v>
      </c>
      <c r="F29" s="100" t="str">
        <f t="shared" si="1"/>
        <v>Rojo</v>
      </c>
    </row>
    <row r="30" spans="1:6">
      <c r="A30" s="76">
        <v>11003</v>
      </c>
      <c r="B30" s="76" t="s">
        <v>53</v>
      </c>
      <c r="C30" s="100">
        <v>31.263063599999999</v>
      </c>
      <c r="D30" s="100" t="str">
        <f t="shared" si="0"/>
        <v>Rojo</v>
      </c>
      <c r="E30" s="100">
        <v>52.204069099999998</v>
      </c>
      <c r="F30" s="100" t="str">
        <f t="shared" si="1"/>
        <v>Naranja</v>
      </c>
    </row>
    <row r="31" spans="1:6">
      <c r="A31" s="76">
        <v>20101</v>
      </c>
      <c r="B31" s="76" t="s">
        <v>56</v>
      </c>
      <c r="C31" s="100">
        <v>99.174540500000006</v>
      </c>
      <c r="D31" s="100" t="str">
        <f t="shared" si="0"/>
        <v>Verde</v>
      </c>
      <c r="E31" s="100">
        <v>99.329853099999994</v>
      </c>
      <c r="F31" s="100" t="str">
        <f t="shared" si="1"/>
        <v>Verde</v>
      </c>
    </row>
    <row r="32" spans="1:6">
      <c r="A32" s="76">
        <v>20102</v>
      </c>
      <c r="B32" s="101" t="s">
        <v>57</v>
      </c>
      <c r="C32" s="100">
        <v>34.950452900000002</v>
      </c>
      <c r="D32" s="100" t="str">
        <f t="shared" si="0"/>
        <v>Rojo</v>
      </c>
      <c r="E32" s="100">
        <v>67.669102899999999</v>
      </c>
      <c r="F32" s="100" t="str">
        <f t="shared" si="1"/>
        <v>Amarillo</v>
      </c>
    </row>
    <row r="33" spans="1:6">
      <c r="A33" s="76">
        <v>20103</v>
      </c>
      <c r="B33" s="101" t="s">
        <v>58</v>
      </c>
      <c r="C33" s="100">
        <v>67.416517999999996</v>
      </c>
      <c r="D33" s="100" t="str">
        <f t="shared" si="0"/>
        <v>Naranja</v>
      </c>
      <c r="E33" s="100">
        <v>80.098863100000003</v>
      </c>
      <c r="F33" s="100" t="str">
        <f t="shared" si="1"/>
        <v>Amarillo</v>
      </c>
    </row>
    <row r="34" spans="1:6">
      <c r="A34" s="76">
        <v>20104</v>
      </c>
      <c r="B34" s="101" t="s">
        <v>59</v>
      </c>
      <c r="C34" s="100">
        <v>85.688248999999999</v>
      </c>
      <c r="D34" s="100" t="str">
        <f t="shared" si="0"/>
        <v>Verde</v>
      </c>
      <c r="E34" s="100">
        <v>94.579071400000004</v>
      </c>
      <c r="F34" s="100" t="str">
        <f t="shared" si="1"/>
        <v>Verde</v>
      </c>
    </row>
    <row r="35" spans="1:6">
      <c r="A35" s="76">
        <v>20105</v>
      </c>
      <c r="B35" s="101" t="s">
        <v>60</v>
      </c>
      <c r="C35" s="100">
        <v>99.238099800000001</v>
      </c>
      <c r="D35" s="100" t="str">
        <f t="shared" si="0"/>
        <v>Verde</v>
      </c>
      <c r="E35" s="100">
        <v>99.650861500000005</v>
      </c>
      <c r="F35" s="100" t="str">
        <f t="shared" si="1"/>
        <v>Verde</v>
      </c>
    </row>
    <row r="36" spans="1:6">
      <c r="A36" s="76">
        <v>20201</v>
      </c>
      <c r="B36" s="101" t="s">
        <v>62</v>
      </c>
      <c r="C36" s="100">
        <v>55.707722199999999</v>
      </c>
      <c r="D36" s="100" t="str">
        <f t="shared" si="0"/>
        <v>Naranja</v>
      </c>
      <c r="E36" s="100">
        <v>79.968399599999998</v>
      </c>
      <c r="F36" s="100" t="str">
        <f t="shared" si="1"/>
        <v>Amarillo</v>
      </c>
    </row>
    <row r="37" spans="1:6">
      <c r="A37" s="76">
        <v>20202</v>
      </c>
      <c r="B37" s="101" t="s">
        <v>63</v>
      </c>
      <c r="C37" s="100">
        <v>17.291730699999999</v>
      </c>
      <c r="D37" s="100" t="str">
        <f t="shared" si="0"/>
        <v>Rojo</v>
      </c>
      <c r="E37" s="100">
        <v>42.989418000000001</v>
      </c>
      <c r="F37" s="100" t="str">
        <f t="shared" si="1"/>
        <v>Rojo</v>
      </c>
    </row>
    <row r="38" spans="1:6">
      <c r="A38" s="76">
        <v>20203</v>
      </c>
      <c r="B38" s="101" t="s">
        <v>64</v>
      </c>
      <c r="C38" s="100">
        <v>50.159053299999997</v>
      </c>
      <c r="D38" s="100" t="str">
        <f t="shared" si="0"/>
        <v>Naranja</v>
      </c>
      <c r="E38" s="100">
        <v>78.067792600000004</v>
      </c>
      <c r="F38" s="100" t="str">
        <f t="shared" si="1"/>
        <v>Amarillo</v>
      </c>
    </row>
    <row r="39" spans="1:6">
      <c r="A39" s="76">
        <v>20204</v>
      </c>
      <c r="B39" s="101" t="s">
        <v>65</v>
      </c>
      <c r="C39" s="100">
        <v>21.178419300000002</v>
      </c>
      <c r="D39" s="100" t="str">
        <f t="shared" si="0"/>
        <v>Rojo</v>
      </c>
      <c r="E39" s="100">
        <v>49.490411000000002</v>
      </c>
      <c r="F39" s="100" t="str">
        <f t="shared" si="1"/>
        <v>Rojo</v>
      </c>
    </row>
    <row r="40" spans="1:6">
      <c r="A40" s="76">
        <v>20205</v>
      </c>
      <c r="B40" s="101" t="s">
        <v>66</v>
      </c>
      <c r="C40" s="100">
        <v>76.115145200000001</v>
      </c>
      <c r="D40" s="100" t="str">
        <f t="shared" si="0"/>
        <v>Amarillo</v>
      </c>
      <c r="E40" s="100">
        <v>84.376269800000003</v>
      </c>
      <c r="F40" s="100" t="str">
        <f t="shared" si="1"/>
        <v>Amarillo</v>
      </c>
    </row>
    <row r="41" spans="1:6">
      <c r="A41" s="76">
        <v>20206</v>
      </c>
      <c r="B41" s="101" t="s">
        <v>67</v>
      </c>
      <c r="C41" s="100">
        <v>52.652299999999997</v>
      </c>
      <c r="D41" s="100" t="str">
        <f t="shared" si="0"/>
        <v>Naranja</v>
      </c>
      <c r="E41" s="100">
        <v>71.864406799999998</v>
      </c>
      <c r="F41" s="100" t="str">
        <f t="shared" si="1"/>
        <v>Amarillo</v>
      </c>
    </row>
    <row r="42" spans="1:6">
      <c r="A42" s="76">
        <v>20301</v>
      </c>
      <c r="B42" s="101" t="s">
        <v>69</v>
      </c>
      <c r="C42" s="100">
        <v>30.034992200000001</v>
      </c>
      <c r="D42" s="100" t="str">
        <f t="shared" si="0"/>
        <v>Rojo</v>
      </c>
      <c r="E42" s="100">
        <v>49.0077389</v>
      </c>
      <c r="F42" s="100" t="str">
        <f t="shared" si="1"/>
        <v>Rojo</v>
      </c>
    </row>
    <row r="43" spans="1:6">
      <c r="A43" s="76">
        <v>20302</v>
      </c>
      <c r="B43" s="101" t="s">
        <v>70</v>
      </c>
      <c r="C43" s="100">
        <v>12.958133200000001</v>
      </c>
      <c r="D43" s="100" t="str">
        <f t="shared" si="0"/>
        <v>Rojo</v>
      </c>
      <c r="E43" s="100">
        <v>33.859191699999997</v>
      </c>
      <c r="F43" s="100" t="str">
        <f t="shared" si="1"/>
        <v>Rojo</v>
      </c>
    </row>
    <row r="44" spans="1:6">
      <c r="A44" s="76">
        <v>20303</v>
      </c>
      <c r="B44" s="101" t="s">
        <v>71</v>
      </c>
      <c r="C44" s="100">
        <v>4.6587658000000003</v>
      </c>
      <c r="D44" s="100" t="str">
        <f t="shared" si="0"/>
        <v>Rojo</v>
      </c>
      <c r="E44" s="100">
        <v>16.971043099999999</v>
      </c>
      <c r="F44" s="100" t="str">
        <f t="shared" si="1"/>
        <v>Rojo</v>
      </c>
    </row>
    <row r="45" spans="1:6">
      <c r="A45" s="76">
        <v>20304</v>
      </c>
      <c r="B45" s="101" t="s">
        <v>72</v>
      </c>
      <c r="C45" s="100">
        <v>15.384615399999999</v>
      </c>
      <c r="D45" s="100" t="str">
        <f t="shared" si="0"/>
        <v>Rojo</v>
      </c>
      <c r="E45" s="100">
        <v>41.660186600000003</v>
      </c>
      <c r="F45" s="100" t="str">
        <f t="shared" si="1"/>
        <v>Rojo</v>
      </c>
    </row>
    <row r="46" spans="1:6">
      <c r="A46" s="76">
        <v>20305</v>
      </c>
      <c r="B46" s="101" t="s">
        <v>73</v>
      </c>
      <c r="C46" s="100">
        <v>24.859131600000001</v>
      </c>
      <c r="D46" s="100" t="str">
        <f t="shared" si="0"/>
        <v>Rojo</v>
      </c>
      <c r="E46" s="100">
        <v>37.053245799999999</v>
      </c>
      <c r="F46" s="100" t="str">
        <f t="shared" si="1"/>
        <v>Rojo</v>
      </c>
    </row>
    <row r="47" spans="1:6">
      <c r="A47" s="76">
        <v>20306</v>
      </c>
      <c r="B47" s="101" t="s">
        <v>74</v>
      </c>
      <c r="C47" s="100">
        <v>33.861902899999997</v>
      </c>
      <c r="D47" s="100" t="str">
        <f t="shared" si="0"/>
        <v>Rojo</v>
      </c>
      <c r="E47" s="100">
        <v>80.259222300000005</v>
      </c>
      <c r="F47" s="100" t="str">
        <f t="shared" si="1"/>
        <v>Amarillo</v>
      </c>
    </row>
    <row r="48" spans="1:6">
      <c r="A48" s="76">
        <v>20307</v>
      </c>
      <c r="B48" s="101" t="s">
        <v>75</v>
      </c>
      <c r="C48" s="100">
        <v>38.758389299999997</v>
      </c>
      <c r="D48" s="100" t="str">
        <f t="shared" si="0"/>
        <v>Rojo</v>
      </c>
      <c r="E48" s="100">
        <v>42.769545200000003</v>
      </c>
      <c r="F48" s="100" t="str">
        <f t="shared" si="1"/>
        <v>Rojo</v>
      </c>
    </row>
    <row r="49" spans="1:6">
      <c r="A49" s="76">
        <v>20308</v>
      </c>
      <c r="B49" s="101" t="s">
        <v>76</v>
      </c>
      <c r="C49" s="100">
        <v>5.2303860999999996</v>
      </c>
      <c r="D49" s="100" t="str">
        <f t="shared" si="0"/>
        <v>Rojo</v>
      </c>
      <c r="E49" s="100">
        <v>16.175917800000001</v>
      </c>
      <c r="F49" s="100" t="str">
        <f t="shared" si="1"/>
        <v>Rojo</v>
      </c>
    </row>
    <row r="50" spans="1:6">
      <c r="A50" s="76">
        <v>20401</v>
      </c>
      <c r="B50" s="101" t="s">
        <v>78</v>
      </c>
      <c r="C50" s="100">
        <v>22.379375199999998</v>
      </c>
      <c r="D50" s="100" t="str">
        <f t="shared" si="0"/>
        <v>Rojo</v>
      </c>
      <c r="E50" s="100">
        <v>33.638277799999997</v>
      </c>
      <c r="F50" s="100" t="str">
        <f t="shared" si="1"/>
        <v>Rojo</v>
      </c>
    </row>
    <row r="51" spans="1:6">
      <c r="A51" s="76">
        <v>20402</v>
      </c>
      <c r="B51" s="101" t="s">
        <v>79</v>
      </c>
      <c r="C51" s="100">
        <v>12.7063983</v>
      </c>
      <c r="D51" s="100" t="str">
        <f t="shared" si="0"/>
        <v>Rojo</v>
      </c>
      <c r="E51" s="100">
        <v>26.372688499999999</v>
      </c>
      <c r="F51" s="100" t="str">
        <f t="shared" si="1"/>
        <v>Rojo</v>
      </c>
    </row>
    <row r="52" spans="1:6">
      <c r="A52" s="76">
        <v>20403</v>
      </c>
      <c r="B52" s="101" t="s">
        <v>80</v>
      </c>
      <c r="C52" s="100">
        <v>16.9649751</v>
      </c>
      <c r="D52" s="100" t="str">
        <f t="shared" si="0"/>
        <v>Rojo</v>
      </c>
      <c r="E52" s="100">
        <v>34.498489200000002</v>
      </c>
      <c r="F52" s="100" t="str">
        <f t="shared" si="1"/>
        <v>Rojo</v>
      </c>
    </row>
    <row r="53" spans="1:6">
      <c r="A53" s="76">
        <v>20404</v>
      </c>
      <c r="B53" s="101" t="s">
        <v>81</v>
      </c>
      <c r="C53" s="100">
        <v>11.844843900000001</v>
      </c>
      <c r="D53" s="100" t="str">
        <f t="shared" si="0"/>
        <v>Rojo</v>
      </c>
      <c r="E53" s="100">
        <v>33.703438400000003</v>
      </c>
      <c r="F53" s="100" t="str">
        <f t="shared" si="1"/>
        <v>Rojo</v>
      </c>
    </row>
    <row r="54" spans="1:6">
      <c r="A54" s="76">
        <v>20405</v>
      </c>
      <c r="B54" s="101" t="s">
        <v>82</v>
      </c>
      <c r="C54" s="100">
        <v>25.591216200000002</v>
      </c>
      <c r="D54" s="100" t="str">
        <f t="shared" si="0"/>
        <v>Rojo</v>
      </c>
      <c r="E54" s="100">
        <v>49.064279900000002</v>
      </c>
      <c r="F54" s="100" t="str">
        <f t="shared" si="1"/>
        <v>Rojo</v>
      </c>
    </row>
    <row r="55" spans="1:6">
      <c r="A55" s="76">
        <v>20501</v>
      </c>
      <c r="B55" s="101" t="s">
        <v>84</v>
      </c>
      <c r="C55" s="100">
        <v>7.6147030000000004</v>
      </c>
      <c r="D55" s="100" t="str">
        <f t="shared" si="0"/>
        <v>Rojo</v>
      </c>
      <c r="E55" s="100">
        <v>19.824940300000002</v>
      </c>
      <c r="F55" s="100" t="str">
        <f t="shared" si="1"/>
        <v>Rojo</v>
      </c>
    </row>
    <row r="56" spans="1:6">
      <c r="A56" s="76">
        <v>20502</v>
      </c>
      <c r="B56" s="101" t="s">
        <v>85</v>
      </c>
      <c r="C56" s="100">
        <v>6.3115651000000002</v>
      </c>
      <c r="D56" s="100" t="str">
        <f t="shared" si="0"/>
        <v>Rojo</v>
      </c>
      <c r="E56" s="100">
        <v>19.308647499999999</v>
      </c>
      <c r="F56" s="100" t="str">
        <f t="shared" si="1"/>
        <v>Rojo</v>
      </c>
    </row>
    <row r="57" spans="1:6">
      <c r="A57" s="76">
        <v>20503</v>
      </c>
      <c r="B57" s="101" t="s">
        <v>86</v>
      </c>
      <c r="C57" s="100">
        <v>19.303445700000001</v>
      </c>
      <c r="D57" s="100" t="str">
        <f t="shared" si="0"/>
        <v>Rojo</v>
      </c>
      <c r="E57" s="100">
        <v>43.000470300000003</v>
      </c>
      <c r="F57" s="100" t="str">
        <f t="shared" si="1"/>
        <v>Rojo</v>
      </c>
    </row>
    <row r="58" spans="1:6">
      <c r="A58" s="76">
        <v>20601</v>
      </c>
      <c r="B58" s="101" t="s">
        <v>88</v>
      </c>
      <c r="C58" s="100">
        <v>32.520536100000001</v>
      </c>
      <c r="D58" s="100" t="str">
        <f t="shared" si="0"/>
        <v>Rojo</v>
      </c>
      <c r="E58" s="100">
        <v>46.813417899999997</v>
      </c>
      <c r="F58" s="100" t="str">
        <f t="shared" si="1"/>
        <v>Rojo</v>
      </c>
    </row>
    <row r="59" spans="1:6">
      <c r="A59" s="76">
        <v>20602</v>
      </c>
      <c r="B59" s="101" t="s">
        <v>89</v>
      </c>
      <c r="C59" s="100">
        <v>60.905840300000001</v>
      </c>
      <c r="D59" s="100" t="str">
        <f t="shared" si="0"/>
        <v>Naranja</v>
      </c>
      <c r="E59" s="100">
        <v>81.115744300000003</v>
      </c>
      <c r="F59" s="100" t="str">
        <f t="shared" si="1"/>
        <v>Amarillo</v>
      </c>
    </row>
    <row r="60" spans="1:6">
      <c r="A60" s="76">
        <v>20603</v>
      </c>
      <c r="B60" s="101" t="s">
        <v>90</v>
      </c>
      <c r="C60" s="100">
        <v>37.547941700000003</v>
      </c>
      <c r="D60" s="100" t="str">
        <f t="shared" si="0"/>
        <v>Rojo</v>
      </c>
      <c r="E60" s="100">
        <v>47.677131899999999</v>
      </c>
      <c r="F60" s="100" t="str">
        <f t="shared" si="1"/>
        <v>Rojo</v>
      </c>
    </row>
    <row r="61" spans="1:6">
      <c r="A61" s="76">
        <v>20604</v>
      </c>
      <c r="B61" s="101" t="s">
        <v>91</v>
      </c>
      <c r="C61" s="100">
        <v>18.100775200000001</v>
      </c>
      <c r="D61" s="100" t="str">
        <f t="shared" si="0"/>
        <v>Rojo</v>
      </c>
      <c r="E61" s="100">
        <v>19.503807399999999</v>
      </c>
      <c r="F61" s="100" t="str">
        <f t="shared" si="1"/>
        <v>Rojo</v>
      </c>
    </row>
    <row r="62" spans="1:6">
      <c r="A62" s="76">
        <v>20605</v>
      </c>
      <c r="B62" s="101" t="s">
        <v>92</v>
      </c>
      <c r="C62" s="100">
        <v>13.2589164</v>
      </c>
      <c r="D62" s="100" t="str">
        <f t="shared" si="0"/>
        <v>Rojo</v>
      </c>
      <c r="E62" s="100">
        <v>28.970080599999999</v>
      </c>
      <c r="F62" s="100" t="str">
        <f t="shared" si="1"/>
        <v>Rojo</v>
      </c>
    </row>
    <row r="63" spans="1:6">
      <c r="A63" s="76">
        <v>20606</v>
      </c>
      <c r="B63" s="101" t="s">
        <v>93</v>
      </c>
      <c r="C63" s="100">
        <v>92.223277400000001</v>
      </c>
      <c r="D63" s="100" t="str">
        <f t="shared" si="0"/>
        <v>Verde</v>
      </c>
      <c r="E63" s="100">
        <v>95.196091699999997</v>
      </c>
      <c r="F63" s="100" t="str">
        <f t="shared" si="1"/>
        <v>Verde</v>
      </c>
    </row>
    <row r="64" spans="1:6">
      <c r="A64" s="76">
        <v>20607</v>
      </c>
      <c r="B64" s="101" t="s">
        <v>94</v>
      </c>
      <c r="C64" s="100">
        <v>83.245668300000006</v>
      </c>
      <c r="D64" s="100" t="str">
        <f t="shared" si="0"/>
        <v>Amarillo</v>
      </c>
      <c r="E64" s="100">
        <v>93.965867500000002</v>
      </c>
      <c r="F64" s="100" t="str">
        <f t="shared" si="1"/>
        <v>Verde</v>
      </c>
    </row>
    <row r="65" spans="1:6">
      <c r="A65" s="76">
        <v>20608</v>
      </c>
      <c r="B65" s="101" t="s">
        <v>95</v>
      </c>
      <c r="C65" s="100">
        <v>43.5494652</v>
      </c>
      <c r="D65" s="100" t="str">
        <f t="shared" si="0"/>
        <v>Rojo</v>
      </c>
      <c r="E65" s="100">
        <v>61.9066148</v>
      </c>
      <c r="F65" s="100" t="str">
        <f t="shared" si="1"/>
        <v>Naranja</v>
      </c>
    </row>
    <row r="66" spans="1:6">
      <c r="A66" s="76">
        <v>20701</v>
      </c>
      <c r="B66" s="101" t="s">
        <v>97</v>
      </c>
      <c r="C66" s="100">
        <v>34.602414899999999</v>
      </c>
      <c r="D66" s="100" t="str">
        <f t="shared" si="0"/>
        <v>Rojo</v>
      </c>
      <c r="E66" s="100">
        <v>44.841853100000002</v>
      </c>
      <c r="F66" s="100" t="str">
        <f t="shared" si="1"/>
        <v>Rojo</v>
      </c>
    </row>
    <row r="67" spans="1:6">
      <c r="A67" s="76">
        <v>20702</v>
      </c>
      <c r="B67" s="101" t="s">
        <v>98</v>
      </c>
      <c r="C67" s="100">
        <v>49.263721599999997</v>
      </c>
      <c r="D67" s="100" t="str">
        <f t="shared" si="0"/>
        <v>Rojo</v>
      </c>
      <c r="E67" s="100">
        <v>85.173314300000001</v>
      </c>
      <c r="F67" s="100" t="str">
        <f t="shared" si="1"/>
        <v>Verde</v>
      </c>
    </row>
    <row r="68" spans="1:6">
      <c r="A68" s="76">
        <v>20801</v>
      </c>
      <c r="B68" s="101" t="s">
        <v>100</v>
      </c>
      <c r="C68" s="100">
        <v>86.117114299999997</v>
      </c>
      <c r="D68" s="100" t="str">
        <f t="shared" si="0"/>
        <v>Verde</v>
      </c>
      <c r="E68" s="100">
        <v>95.030168700000004</v>
      </c>
      <c r="F68" s="100" t="str">
        <f t="shared" si="1"/>
        <v>Verde</v>
      </c>
    </row>
    <row r="69" spans="1:6">
      <c r="A69" s="76">
        <v>20802</v>
      </c>
      <c r="B69" s="101" t="s">
        <v>101</v>
      </c>
      <c r="C69" s="100">
        <v>52.912482099999998</v>
      </c>
      <c r="D69" s="100" t="str">
        <f t="shared" si="0"/>
        <v>Naranja</v>
      </c>
      <c r="E69" s="100">
        <v>86.505576199999993</v>
      </c>
      <c r="F69" s="100" t="str">
        <f t="shared" si="1"/>
        <v>Verde</v>
      </c>
    </row>
    <row r="70" spans="1:6">
      <c r="A70" s="76">
        <v>20803</v>
      </c>
      <c r="B70" s="101" t="s">
        <v>102</v>
      </c>
      <c r="C70" s="100">
        <v>32.672692599999998</v>
      </c>
      <c r="D70" s="100" t="str">
        <f t="shared" si="0"/>
        <v>Rojo</v>
      </c>
      <c r="E70" s="100">
        <v>68.243496500000006</v>
      </c>
      <c r="F70" s="100" t="str">
        <f t="shared" si="1"/>
        <v>Amarillo</v>
      </c>
    </row>
    <row r="71" spans="1:6">
      <c r="A71" s="76">
        <v>20804</v>
      </c>
      <c r="B71" s="101" t="s">
        <v>103</v>
      </c>
      <c r="C71" s="100">
        <v>75.4110613</v>
      </c>
      <c r="D71" s="100" t="str">
        <f t="shared" si="0"/>
        <v>Amarillo</v>
      </c>
      <c r="E71" s="100">
        <v>91.319625200000004</v>
      </c>
      <c r="F71" s="100" t="str">
        <f t="shared" si="1"/>
        <v>Verde</v>
      </c>
    </row>
    <row r="72" spans="1:6">
      <c r="A72" s="76">
        <v>20805</v>
      </c>
      <c r="B72" s="101" t="s">
        <v>104</v>
      </c>
      <c r="C72" s="100">
        <v>14.754368599999999</v>
      </c>
      <c r="D72" s="100" t="str">
        <f t="shared" si="0"/>
        <v>Rojo</v>
      </c>
      <c r="E72" s="100">
        <v>40.465235200000002</v>
      </c>
      <c r="F72" s="100" t="str">
        <f t="shared" si="1"/>
        <v>Rojo</v>
      </c>
    </row>
    <row r="73" spans="1:6">
      <c r="A73" s="76">
        <v>20806</v>
      </c>
      <c r="B73" s="101" t="s">
        <v>105</v>
      </c>
      <c r="C73" s="100">
        <v>20.464587000000002</v>
      </c>
      <c r="D73" s="100" t="str">
        <f t="shared" si="0"/>
        <v>Rojo</v>
      </c>
      <c r="E73" s="100">
        <v>48.973134299999998</v>
      </c>
      <c r="F73" s="100" t="str">
        <f t="shared" si="1"/>
        <v>Rojo</v>
      </c>
    </row>
    <row r="74" spans="1:6">
      <c r="A74" s="76">
        <v>20807</v>
      </c>
      <c r="B74" s="101" t="s">
        <v>106</v>
      </c>
      <c r="C74" s="100">
        <v>59.883898600000002</v>
      </c>
      <c r="D74" s="100" t="str">
        <f t="shared" si="0"/>
        <v>Naranja</v>
      </c>
      <c r="E74" s="100">
        <v>90.754716999999999</v>
      </c>
      <c r="F74" s="100" t="str">
        <f t="shared" si="1"/>
        <v>Verde</v>
      </c>
    </row>
    <row r="75" spans="1:6">
      <c r="A75" s="76">
        <v>20901</v>
      </c>
      <c r="B75" s="101" t="s">
        <v>108</v>
      </c>
      <c r="C75" s="100">
        <v>27.7001271</v>
      </c>
      <c r="D75" s="100" t="str">
        <f t="shared" si="0"/>
        <v>Rojo</v>
      </c>
      <c r="E75" s="100">
        <v>52.496920299999999</v>
      </c>
      <c r="F75" s="100" t="str">
        <f t="shared" si="1"/>
        <v>Naranja</v>
      </c>
    </row>
    <row r="76" spans="1:6">
      <c r="A76" s="76">
        <v>20902</v>
      </c>
      <c r="B76" s="101" t="s">
        <v>109</v>
      </c>
      <c r="C76" s="100">
        <v>18.272962499999998</v>
      </c>
      <c r="D76" s="100" t="str">
        <f t="shared" si="0"/>
        <v>Rojo</v>
      </c>
      <c r="E76" s="100">
        <v>48.391036200000002</v>
      </c>
      <c r="F76" s="100" t="str">
        <f t="shared" si="1"/>
        <v>Rojo</v>
      </c>
    </row>
    <row r="77" spans="1:6">
      <c r="A77" s="76">
        <v>20903</v>
      </c>
      <c r="B77" s="101" t="s">
        <v>110</v>
      </c>
      <c r="C77" s="100">
        <v>23.8837112</v>
      </c>
      <c r="D77" s="100" t="str">
        <f t="shared" si="0"/>
        <v>Rojo</v>
      </c>
      <c r="E77" s="100">
        <v>50.902168500000002</v>
      </c>
      <c r="F77" s="100" t="str">
        <f t="shared" si="1"/>
        <v>Naranja</v>
      </c>
    </row>
    <row r="78" spans="1:6">
      <c r="A78" s="76">
        <v>20904</v>
      </c>
      <c r="B78" s="101" t="s">
        <v>111</v>
      </c>
      <c r="C78" s="100">
        <v>48.4585936</v>
      </c>
      <c r="D78" s="100" t="str">
        <f t="shared" si="0"/>
        <v>Rojo</v>
      </c>
      <c r="E78" s="100">
        <v>60.415050399999998</v>
      </c>
      <c r="F78" s="100" t="str">
        <f t="shared" si="1"/>
        <v>Naranja</v>
      </c>
    </row>
    <row r="79" spans="1:6">
      <c r="A79" s="76">
        <v>20905</v>
      </c>
      <c r="B79" s="101" t="s">
        <v>112</v>
      </c>
      <c r="C79" s="100">
        <v>37.9623852</v>
      </c>
      <c r="D79" s="100" t="str">
        <f t="shared" si="0"/>
        <v>Rojo</v>
      </c>
      <c r="E79" s="100">
        <v>63.127870799999997</v>
      </c>
      <c r="F79" s="100" t="str">
        <f t="shared" si="1"/>
        <v>Naranja</v>
      </c>
    </row>
    <row r="80" spans="1:6">
      <c r="A80" s="76">
        <v>21001</v>
      </c>
      <c r="B80" s="101" t="s">
        <v>113</v>
      </c>
      <c r="C80" s="100">
        <v>8.4213413999999993</v>
      </c>
      <c r="D80" s="100" t="str">
        <f t="shared" si="0"/>
        <v>Rojo</v>
      </c>
      <c r="E80" s="100">
        <v>23.134650700000002</v>
      </c>
      <c r="F80" s="100" t="str">
        <f t="shared" si="1"/>
        <v>Rojo</v>
      </c>
    </row>
    <row r="81" spans="1:6">
      <c r="A81" s="76">
        <v>21002</v>
      </c>
      <c r="B81" s="101" t="s">
        <v>114</v>
      </c>
      <c r="C81" s="100">
        <v>61.6247197</v>
      </c>
      <c r="D81" s="100" t="str">
        <f t="shared" si="0"/>
        <v>Naranja</v>
      </c>
      <c r="E81" s="100">
        <v>69.428284899999994</v>
      </c>
      <c r="F81" s="100" t="str">
        <f t="shared" si="1"/>
        <v>Amarillo</v>
      </c>
    </row>
    <row r="82" spans="1:6">
      <c r="A82" s="76">
        <v>21003</v>
      </c>
      <c r="B82" s="101" t="s">
        <v>115</v>
      </c>
      <c r="C82" s="100">
        <v>48.311076200000002</v>
      </c>
      <c r="D82" s="100" t="str">
        <f t="shared" si="0"/>
        <v>Rojo</v>
      </c>
      <c r="E82" s="100">
        <v>81.070308400000002</v>
      </c>
      <c r="F82" s="100" t="str">
        <f t="shared" si="1"/>
        <v>Amarillo</v>
      </c>
    </row>
    <row r="83" spans="1:6">
      <c r="A83" s="76">
        <v>21004</v>
      </c>
      <c r="B83" s="101" t="s">
        <v>116</v>
      </c>
      <c r="C83" s="100">
        <v>36.831991700000003</v>
      </c>
      <c r="D83" s="100" t="str">
        <f t="shared" si="0"/>
        <v>Rojo</v>
      </c>
      <c r="E83" s="100">
        <v>44.751285000000003</v>
      </c>
      <c r="F83" s="100" t="str">
        <f t="shared" si="1"/>
        <v>Rojo</v>
      </c>
    </row>
    <row r="84" spans="1:6">
      <c r="A84" s="76">
        <v>21005</v>
      </c>
      <c r="B84" s="101" t="s">
        <v>117</v>
      </c>
      <c r="C84" s="100">
        <v>18.090062100000001</v>
      </c>
      <c r="D84" s="100" t="str">
        <f t="shared" si="0"/>
        <v>Rojo</v>
      </c>
      <c r="E84" s="100">
        <v>34.294803799999997</v>
      </c>
      <c r="F84" s="100" t="str">
        <f t="shared" si="1"/>
        <v>Rojo</v>
      </c>
    </row>
    <row r="85" spans="1:6">
      <c r="A85" s="76">
        <v>21006</v>
      </c>
      <c r="B85" s="101" t="s">
        <v>118</v>
      </c>
      <c r="C85" s="100">
        <v>34.109237499999999</v>
      </c>
      <c r="D85" s="100" t="str">
        <f t="shared" si="0"/>
        <v>Rojo</v>
      </c>
      <c r="E85" s="100">
        <v>55.989717200000001</v>
      </c>
      <c r="F85" s="100" t="str">
        <f t="shared" si="1"/>
        <v>Naranja</v>
      </c>
    </row>
    <row r="86" spans="1:6">
      <c r="A86" s="76">
        <v>21101</v>
      </c>
      <c r="B86" s="101" t="s">
        <v>120</v>
      </c>
      <c r="C86" s="100">
        <v>59.603448299999997</v>
      </c>
      <c r="D86" s="100" t="str">
        <f t="shared" si="0"/>
        <v>Naranja</v>
      </c>
      <c r="E86" s="100">
        <v>80.895372800000004</v>
      </c>
      <c r="F86" s="100" t="str">
        <f t="shared" si="1"/>
        <v>Amarillo</v>
      </c>
    </row>
    <row r="87" spans="1:6">
      <c r="A87" s="76">
        <v>21102</v>
      </c>
      <c r="B87" s="101" t="s">
        <v>121</v>
      </c>
      <c r="C87" s="100">
        <v>41.4830866</v>
      </c>
      <c r="D87" s="100" t="str">
        <f t="shared" si="0"/>
        <v>Rojo</v>
      </c>
      <c r="E87" s="100">
        <v>64.877223499999999</v>
      </c>
      <c r="F87" s="100" t="str">
        <f t="shared" si="1"/>
        <v>Naranja</v>
      </c>
    </row>
    <row r="88" spans="1:6">
      <c r="A88" s="76">
        <v>21103</v>
      </c>
      <c r="B88" s="101" t="s">
        <v>122</v>
      </c>
      <c r="C88" s="100">
        <v>55.374327200000003</v>
      </c>
      <c r="D88" s="100" t="str">
        <f t="shared" si="0"/>
        <v>Naranja</v>
      </c>
      <c r="E88" s="100">
        <v>72.121542399999996</v>
      </c>
      <c r="F88" s="100" t="str">
        <f t="shared" si="1"/>
        <v>Amarillo</v>
      </c>
    </row>
    <row r="89" spans="1:6">
      <c r="A89" s="76">
        <v>21104</v>
      </c>
      <c r="B89" s="101" t="s">
        <v>123</v>
      </c>
      <c r="C89" s="100">
        <v>39.956240000000001</v>
      </c>
      <c r="D89" s="100" t="str">
        <f t="shared" si="0"/>
        <v>Rojo</v>
      </c>
      <c r="E89" s="100">
        <v>63.514429999999997</v>
      </c>
      <c r="F89" s="100" t="str">
        <f t="shared" si="1"/>
        <v>Naranja</v>
      </c>
    </row>
    <row r="90" spans="1:6">
      <c r="A90" s="76">
        <v>21105</v>
      </c>
      <c r="B90" s="101" t="s">
        <v>124</v>
      </c>
      <c r="C90" s="100">
        <v>31.696360599999998</v>
      </c>
      <c r="D90" s="100" t="str">
        <f t="shared" si="0"/>
        <v>Rojo</v>
      </c>
      <c r="E90" s="100">
        <v>59.7237692</v>
      </c>
      <c r="F90" s="100" t="str">
        <f t="shared" si="1"/>
        <v>Naranja</v>
      </c>
    </row>
    <row r="91" spans="1:6">
      <c r="A91" s="76">
        <v>21201</v>
      </c>
      <c r="B91" s="101" t="s">
        <v>126</v>
      </c>
      <c r="C91" s="100">
        <v>47.859435699999999</v>
      </c>
      <c r="D91" s="100" t="str">
        <f t="shared" si="0"/>
        <v>Rojo</v>
      </c>
      <c r="E91" s="100">
        <v>85.586252299999998</v>
      </c>
      <c r="F91" s="100" t="str">
        <f t="shared" si="1"/>
        <v>Verde</v>
      </c>
    </row>
    <row r="92" spans="1:6">
      <c r="A92" s="76">
        <v>21202</v>
      </c>
      <c r="B92" s="101" t="s">
        <v>127</v>
      </c>
      <c r="C92" s="100">
        <v>40.4109871</v>
      </c>
      <c r="D92" s="100" t="str">
        <f t="shared" si="0"/>
        <v>Rojo</v>
      </c>
      <c r="E92" s="100">
        <v>73.092146900000003</v>
      </c>
      <c r="F92" s="100" t="str">
        <f t="shared" si="1"/>
        <v>Amarillo</v>
      </c>
    </row>
    <row r="93" spans="1:6">
      <c r="A93" s="76">
        <v>21203</v>
      </c>
      <c r="B93" s="101" t="s">
        <v>128</v>
      </c>
      <c r="C93" s="100">
        <v>50.4484694</v>
      </c>
      <c r="D93" s="100" t="str">
        <f t="shared" si="0"/>
        <v>Naranja</v>
      </c>
      <c r="E93" s="100">
        <v>83.044811600000003</v>
      </c>
      <c r="F93" s="100" t="str">
        <f t="shared" si="1"/>
        <v>Amarillo</v>
      </c>
    </row>
    <row r="94" spans="1:6">
      <c r="A94" s="76">
        <v>21204</v>
      </c>
      <c r="B94" s="101" t="s">
        <v>129</v>
      </c>
      <c r="C94" s="100">
        <v>52.143413899999999</v>
      </c>
      <c r="D94" s="100" t="str">
        <f t="shared" si="0"/>
        <v>Naranja</v>
      </c>
      <c r="E94" s="100">
        <v>79.407176300000003</v>
      </c>
      <c r="F94" s="100" t="str">
        <f t="shared" si="1"/>
        <v>Amarillo</v>
      </c>
    </row>
    <row r="95" spans="1:6">
      <c r="A95" s="76">
        <v>21301</v>
      </c>
      <c r="B95" s="101" t="s">
        <v>131</v>
      </c>
      <c r="C95" s="100">
        <v>48.588462800000002</v>
      </c>
      <c r="D95" s="100" t="str">
        <f t="shared" si="0"/>
        <v>Rojo</v>
      </c>
      <c r="E95" s="100">
        <v>70.813727</v>
      </c>
      <c r="F95" s="100" t="str">
        <f t="shared" si="1"/>
        <v>Amarillo</v>
      </c>
    </row>
    <row r="96" spans="1:6">
      <c r="A96" s="76">
        <v>21302</v>
      </c>
      <c r="B96" s="101" t="s">
        <v>132</v>
      </c>
      <c r="C96" s="100">
        <v>35.136661400000001</v>
      </c>
      <c r="D96" s="100" t="str">
        <f t="shared" si="0"/>
        <v>Rojo</v>
      </c>
      <c r="E96" s="100">
        <v>65.191903600000003</v>
      </c>
      <c r="F96" s="100" t="str">
        <f t="shared" si="1"/>
        <v>Naranja</v>
      </c>
    </row>
    <row r="97" spans="1:6">
      <c r="A97" s="76">
        <v>21303</v>
      </c>
      <c r="B97" s="101" t="s">
        <v>133</v>
      </c>
      <c r="C97" s="100">
        <v>42.129689300000003</v>
      </c>
      <c r="D97" s="100" t="str">
        <f t="shared" si="0"/>
        <v>Rojo</v>
      </c>
      <c r="E97" s="100">
        <v>71.989360700000006</v>
      </c>
      <c r="F97" s="100" t="str">
        <f t="shared" si="1"/>
        <v>Amarillo</v>
      </c>
    </row>
    <row r="98" spans="1:6">
      <c r="A98" s="76">
        <v>21304</v>
      </c>
      <c r="B98" s="101" t="s">
        <v>134</v>
      </c>
      <c r="C98" s="100">
        <v>50.820341200000001</v>
      </c>
      <c r="D98" s="100" t="str">
        <f t="shared" si="0"/>
        <v>Naranja</v>
      </c>
      <c r="E98" s="100">
        <v>82.011002899999994</v>
      </c>
      <c r="F98" s="100" t="str">
        <f t="shared" si="1"/>
        <v>Amarillo</v>
      </c>
    </row>
    <row r="99" spans="1:6">
      <c r="A99" s="76">
        <v>21305</v>
      </c>
      <c r="B99" s="101" t="s">
        <v>135</v>
      </c>
      <c r="C99" s="100">
        <v>75.988445600000006</v>
      </c>
      <c r="D99" s="100" t="str">
        <f t="shared" si="0"/>
        <v>Amarillo</v>
      </c>
      <c r="E99" s="100">
        <v>87.598791700000007</v>
      </c>
      <c r="F99" s="100" t="str">
        <f t="shared" si="1"/>
        <v>Verde</v>
      </c>
    </row>
    <row r="100" spans="1:6">
      <c r="A100" s="76">
        <v>21306</v>
      </c>
      <c r="B100" s="101" t="s">
        <v>136</v>
      </c>
      <c r="C100" s="100">
        <v>58.365679299999996</v>
      </c>
      <c r="D100" s="100" t="str">
        <f t="shared" si="0"/>
        <v>Naranja</v>
      </c>
      <c r="E100" s="100">
        <v>87.652525299999994</v>
      </c>
      <c r="F100" s="100" t="str">
        <f t="shared" si="1"/>
        <v>Verde</v>
      </c>
    </row>
    <row r="101" spans="1:6">
      <c r="A101" s="76">
        <v>21307</v>
      </c>
      <c r="B101" s="101" t="s">
        <v>137</v>
      </c>
      <c r="C101" s="100">
        <v>72.364442699999998</v>
      </c>
      <c r="D101" s="100" t="str">
        <f t="shared" si="0"/>
        <v>Amarillo</v>
      </c>
      <c r="E101" s="100">
        <v>90.440366999999995</v>
      </c>
      <c r="F101" s="100" t="str">
        <f t="shared" si="1"/>
        <v>Verde</v>
      </c>
    </row>
    <row r="102" spans="1:6">
      <c r="A102" s="76">
        <v>21401</v>
      </c>
      <c r="B102" s="101" t="s">
        <v>139</v>
      </c>
      <c r="C102" s="100">
        <v>45.874073299999999</v>
      </c>
      <c r="D102" s="100" t="str">
        <f t="shared" si="0"/>
        <v>Rojo</v>
      </c>
      <c r="E102" s="100">
        <v>67.132389200000006</v>
      </c>
      <c r="F102" s="100" t="str">
        <f t="shared" si="1"/>
        <v>Naranja</v>
      </c>
    </row>
    <row r="103" spans="1:6">
      <c r="A103" s="76">
        <v>21402</v>
      </c>
      <c r="B103" s="101" t="s">
        <v>140</v>
      </c>
      <c r="C103" s="100">
        <v>64.399160899999998</v>
      </c>
      <c r="D103" s="100" t="str">
        <f t="shared" si="0"/>
        <v>Naranja</v>
      </c>
      <c r="E103" s="100">
        <v>84.7717296</v>
      </c>
      <c r="F103" s="100" t="str">
        <f t="shared" si="1"/>
        <v>Amarillo</v>
      </c>
    </row>
    <row r="104" spans="1:6">
      <c r="A104" s="76">
        <v>21501</v>
      </c>
      <c r="B104" s="101" t="s">
        <v>142</v>
      </c>
      <c r="C104" s="100">
        <v>33.933534700000003</v>
      </c>
      <c r="D104" s="100" t="str">
        <f t="shared" si="0"/>
        <v>Rojo</v>
      </c>
      <c r="E104" s="100">
        <v>51.784276900000002</v>
      </c>
      <c r="F104" s="100" t="str">
        <f t="shared" si="1"/>
        <v>Naranja</v>
      </c>
    </row>
    <row r="105" spans="1:6">
      <c r="A105" s="76">
        <v>21502</v>
      </c>
      <c r="B105" s="101" t="s">
        <v>143</v>
      </c>
      <c r="C105" s="100">
        <v>42.087212200000003</v>
      </c>
      <c r="D105" s="100" t="str">
        <f t="shared" si="0"/>
        <v>Rojo</v>
      </c>
      <c r="E105" s="100">
        <v>71.495963900000007</v>
      </c>
      <c r="F105" s="100" t="str">
        <f t="shared" si="1"/>
        <v>Amarillo</v>
      </c>
    </row>
    <row r="106" spans="1:6">
      <c r="A106" s="76">
        <v>21601</v>
      </c>
      <c r="B106" s="101" t="s">
        <v>145</v>
      </c>
      <c r="C106" s="100">
        <v>10.2148453</v>
      </c>
      <c r="D106" s="100" t="str">
        <f t="shared" si="0"/>
        <v>Rojo</v>
      </c>
      <c r="E106" s="100">
        <v>30.363694899999999</v>
      </c>
      <c r="F106" s="100" t="str">
        <f t="shared" si="1"/>
        <v>Rojo</v>
      </c>
    </row>
    <row r="107" spans="1:6">
      <c r="A107" s="76">
        <v>21602</v>
      </c>
      <c r="B107" s="101" t="s">
        <v>146</v>
      </c>
      <c r="C107" s="100">
        <v>7.8793474999999997</v>
      </c>
      <c r="D107" s="100" t="str">
        <f t="shared" si="0"/>
        <v>Rojo</v>
      </c>
      <c r="E107" s="100">
        <v>45.0658903</v>
      </c>
      <c r="F107" s="100" t="str">
        <f t="shared" si="1"/>
        <v>Rojo</v>
      </c>
    </row>
    <row r="108" spans="1:6">
      <c r="A108" s="76">
        <v>21701</v>
      </c>
      <c r="B108" s="101" t="s">
        <v>148</v>
      </c>
      <c r="C108" s="100">
        <v>57.56691</v>
      </c>
      <c r="D108" s="100" t="str">
        <f t="shared" si="0"/>
        <v>Naranja</v>
      </c>
      <c r="E108" s="100">
        <v>65.419675600000005</v>
      </c>
      <c r="F108" s="100" t="str">
        <f t="shared" si="1"/>
        <v>Naranja</v>
      </c>
    </row>
    <row r="109" spans="1:6">
      <c r="A109" s="76">
        <v>21702</v>
      </c>
      <c r="B109" s="101" t="s">
        <v>149</v>
      </c>
      <c r="C109" s="100">
        <v>37.212449300000003</v>
      </c>
      <c r="D109" s="100" t="str">
        <f t="shared" si="0"/>
        <v>Rojo</v>
      </c>
      <c r="E109" s="100">
        <v>59.427590199999997</v>
      </c>
      <c r="F109" s="100" t="str">
        <f t="shared" si="1"/>
        <v>Naranja</v>
      </c>
    </row>
    <row r="110" spans="1:6">
      <c r="A110" s="76">
        <v>21703</v>
      </c>
      <c r="B110" s="101" t="s">
        <v>150</v>
      </c>
      <c r="C110" s="100">
        <v>30.2101717</v>
      </c>
      <c r="D110" s="100" t="str">
        <f t="shared" si="0"/>
        <v>Rojo</v>
      </c>
      <c r="E110" s="100">
        <v>48.604521400000003</v>
      </c>
      <c r="F110" s="100" t="str">
        <f t="shared" si="1"/>
        <v>Rojo</v>
      </c>
    </row>
    <row r="111" spans="1:6">
      <c r="A111" s="76">
        <v>21801</v>
      </c>
      <c r="B111" s="101" t="s">
        <v>152</v>
      </c>
      <c r="C111" s="100">
        <v>20.8304814</v>
      </c>
      <c r="D111" s="100" t="str">
        <f t="shared" si="0"/>
        <v>Rojo</v>
      </c>
      <c r="E111" s="100">
        <v>45.267623999999998</v>
      </c>
      <c r="F111" s="100" t="str">
        <f t="shared" si="1"/>
        <v>Rojo</v>
      </c>
    </row>
    <row r="112" spans="1:6">
      <c r="A112" s="76">
        <v>21802</v>
      </c>
      <c r="B112" s="101" t="s">
        <v>153</v>
      </c>
      <c r="C112" s="100">
        <v>16.6093437</v>
      </c>
      <c r="D112" s="100" t="str">
        <f t="shared" si="0"/>
        <v>Rojo</v>
      </c>
      <c r="E112" s="100">
        <v>43.503847899999997</v>
      </c>
      <c r="F112" s="100" t="str">
        <f t="shared" si="1"/>
        <v>Rojo</v>
      </c>
    </row>
    <row r="113" spans="1:6">
      <c r="A113" s="76">
        <v>21803</v>
      </c>
      <c r="B113" s="101" t="s">
        <v>154</v>
      </c>
      <c r="C113" s="100">
        <v>9.9</v>
      </c>
      <c r="D113" s="100" t="str">
        <f t="shared" si="0"/>
        <v>Rojo</v>
      </c>
      <c r="E113" s="100">
        <v>32.107843099999997</v>
      </c>
      <c r="F113" s="100" t="str">
        <f t="shared" si="1"/>
        <v>Rojo</v>
      </c>
    </row>
    <row r="114" spans="1:6">
      <c r="A114" s="76">
        <v>21901</v>
      </c>
      <c r="B114" s="101" t="s">
        <v>156</v>
      </c>
      <c r="C114" s="100">
        <v>14.433899800000001</v>
      </c>
      <c r="D114" s="100" t="str">
        <f t="shared" si="0"/>
        <v>Rojo</v>
      </c>
      <c r="E114" s="100">
        <v>35.511236799999999</v>
      </c>
      <c r="F114" s="100" t="str">
        <f t="shared" si="1"/>
        <v>Rojo</v>
      </c>
    </row>
    <row r="115" spans="1:6">
      <c r="A115" s="76">
        <v>21902</v>
      </c>
      <c r="B115" s="101" t="s">
        <v>157</v>
      </c>
      <c r="C115" s="100">
        <v>24.7896213</v>
      </c>
      <c r="D115" s="100" t="str">
        <f t="shared" si="0"/>
        <v>Rojo</v>
      </c>
      <c r="E115" s="100">
        <v>63.682527700000001</v>
      </c>
      <c r="F115" s="100" t="str">
        <f t="shared" si="1"/>
        <v>Naranja</v>
      </c>
    </row>
    <row r="116" spans="1:6">
      <c r="A116" s="76">
        <v>22001</v>
      </c>
      <c r="B116" s="101" t="s">
        <v>158</v>
      </c>
      <c r="C116" s="100">
        <v>31.283931899999999</v>
      </c>
      <c r="D116" s="100" t="str">
        <f t="shared" si="0"/>
        <v>Rojo</v>
      </c>
      <c r="E116" s="100">
        <v>53.086700399999998</v>
      </c>
      <c r="F116" s="100" t="str">
        <f t="shared" si="1"/>
        <v>Naranja</v>
      </c>
    </row>
    <row r="117" spans="1:6">
      <c r="A117" s="76">
        <v>22002</v>
      </c>
      <c r="B117" s="101" t="s">
        <v>159</v>
      </c>
      <c r="C117" s="100">
        <v>27.819340499999999</v>
      </c>
      <c r="D117" s="100" t="str">
        <f t="shared" si="0"/>
        <v>Rojo</v>
      </c>
      <c r="E117" s="100">
        <v>51.028926400000003</v>
      </c>
      <c r="F117" s="100" t="str">
        <f t="shared" si="1"/>
        <v>Naranja</v>
      </c>
    </row>
    <row r="118" spans="1:6">
      <c r="A118" s="76">
        <v>30101</v>
      </c>
      <c r="B118" s="101" t="s">
        <v>160</v>
      </c>
      <c r="C118" s="100">
        <v>98.088272799999999</v>
      </c>
      <c r="D118" s="100" t="str">
        <f t="shared" si="0"/>
        <v>Verde</v>
      </c>
      <c r="E118" s="100">
        <v>99.252918300000005</v>
      </c>
      <c r="F118" s="100" t="str">
        <f t="shared" si="1"/>
        <v>Verde</v>
      </c>
    </row>
    <row r="119" spans="1:6">
      <c r="A119" s="76">
        <v>30201</v>
      </c>
      <c r="B119" s="101" t="s">
        <v>163</v>
      </c>
      <c r="C119" s="100">
        <v>38.3197525</v>
      </c>
      <c r="D119" s="100" t="str">
        <f t="shared" si="0"/>
        <v>Rojo</v>
      </c>
      <c r="E119" s="100">
        <v>56.082890599999999</v>
      </c>
      <c r="F119" s="100" t="str">
        <f t="shared" si="1"/>
        <v>Naranja</v>
      </c>
    </row>
    <row r="120" spans="1:6">
      <c r="A120" s="76">
        <v>30202</v>
      </c>
      <c r="B120" s="101" t="s">
        <v>164</v>
      </c>
      <c r="C120" s="100">
        <v>35.345465300000001</v>
      </c>
      <c r="D120" s="100" t="str">
        <f t="shared" si="0"/>
        <v>Rojo</v>
      </c>
      <c r="E120" s="100">
        <v>42.226397400000003</v>
      </c>
      <c r="F120" s="100" t="str">
        <f t="shared" si="1"/>
        <v>Rojo</v>
      </c>
    </row>
    <row r="121" spans="1:6">
      <c r="A121" s="76">
        <v>30203</v>
      </c>
      <c r="B121" s="101" t="s">
        <v>165</v>
      </c>
      <c r="C121" s="100">
        <v>42.561611800000001</v>
      </c>
      <c r="D121" s="100" t="str">
        <f t="shared" si="0"/>
        <v>Rojo</v>
      </c>
      <c r="E121" s="100">
        <v>65.960324600000007</v>
      </c>
      <c r="F121" s="100" t="str">
        <f t="shared" si="1"/>
        <v>Naranja</v>
      </c>
    </row>
    <row r="122" spans="1:6">
      <c r="A122" s="76">
        <v>30301</v>
      </c>
      <c r="B122" s="101" t="s">
        <v>166</v>
      </c>
      <c r="C122" s="100">
        <v>24.4088417</v>
      </c>
      <c r="D122" s="100" t="str">
        <f t="shared" si="0"/>
        <v>Rojo</v>
      </c>
      <c r="E122" s="100">
        <v>31.3614675</v>
      </c>
      <c r="F122" s="100" t="str">
        <f t="shared" si="1"/>
        <v>Rojo</v>
      </c>
    </row>
    <row r="123" spans="1:6">
      <c r="A123" s="76">
        <v>30302</v>
      </c>
      <c r="B123" s="101" t="s">
        <v>167</v>
      </c>
      <c r="C123" s="100">
        <v>14.373570900000001</v>
      </c>
      <c r="D123" s="100" t="str">
        <f t="shared" si="0"/>
        <v>Rojo</v>
      </c>
      <c r="E123" s="100">
        <v>22.006295300000001</v>
      </c>
      <c r="F123" s="100" t="str">
        <f t="shared" si="1"/>
        <v>Rojo</v>
      </c>
    </row>
    <row r="124" spans="1:6">
      <c r="A124" s="76">
        <v>30303</v>
      </c>
      <c r="B124" s="101" t="s">
        <v>168</v>
      </c>
      <c r="C124" s="100">
        <v>9.7421857000000003</v>
      </c>
      <c r="D124" s="100" t="str">
        <f t="shared" si="0"/>
        <v>Rojo</v>
      </c>
      <c r="E124" s="100">
        <v>29.9876784</v>
      </c>
      <c r="F124" s="100" t="str">
        <f t="shared" si="1"/>
        <v>Rojo</v>
      </c>
    </row>
    <row r="125" spans="1:6">
      <c r="A125" s="76">
        <v>30401</v>
      </c>
      <c r="B125" s="101" t="s">
        <v>170</v>
      </c>
      <c r="C125" s="100">
        <v>56.844547599999999</v>
      </c>
      <c r="D125" s="100" t="str">
        <f t="shared" si="0"/>
        <v>Naranja</v>
      </c>
      <c r="E125" s="100">
        <v>67.1532847</v>
      </c>
      <c r="F125" s="100" t="str">
        <f t="shared" si="1"/>
        <v>Naranja</v>
      </c>
    </row>
    <row r="126" spans="1:6">
      <c r="A126" s="76">
        <v>30402</v>
      </c>
      <c r="B126" s="101" t="s">
        <v>171</v>
      </c>
      <c r="C126" s="100">
        <v>20.078574400000001</v>
      </c>
      <c r="D126" s="100" t="str">
        <f t="shared" si="0"/>
        <v>Rojo</v>
      </c>
      <c r="E126" s="100">
        <v>29.525386300000001</v>
      </c>
      <c r="F126" s="100" t="str">
        <f t="shared" si="1"/>
        <v>Rojo</v>
      </c>
    </row>
    <row r="127" spans="1:6">
      <c r="A127" s="76">
        <v>30403</v>
      </c>
      <c r="B127" s="101" t="s">
        <v>172</v>
      </c>
      <c r="C127" s="100">
        <v>69.909569099999999</v>
      </c>
      <c r="D127" s="100" t="str">
        <f t="shared" si="0"/>
        <v>Amarillo</v>
      </c>
      <c r="E127" s="100">
        <v>81.690189899999993</v>
      </c>
      <c r="F127" s="100" t="str">
        <f t="shared" si="1"/>
        <v>Amarillo</v>
      </c>
    </row>
    <row r="128" spans="1:6">
      <c r="A128" s="76">
        <v>30404</v>
      </c>
      <c r="B128" s="101" t="s">
        <v>173</v>
      </c>
      <c r="C128" s="100">
        <v>15.413271200000001</v>
      </c>
      <c r="D128" s="100" t="str">
        <f t="shared" si="0"/>
        <v>Rojo</v>
      </c>
      <c r="E128" s="100">
        <v>30.5753202</v>
      </c>
      <c r="F128" s="100" t="str">
        <f t="shared" si="1"/>
        <v>Rojo</v>
      </c>
    </row>
    <row r="129" spans="1:6">
      <c r="A129" s="76">
        <v>30501</v>
      </c>
      <c r="B129" s="101" t="s">
        <v>174</v>
      </c>
      <c r="C129" s="100">
        <v>68.934752200000005</v>
      </c>
      <c r="D129" s="100" t="str">
        <f t="shared" si="0"/>
        <v>Amarillo</v>
      </c>
      <c r="E129" s="100">
        <v>85.126004399999999</v>
      </c>
      <c r="F129" s="100" t="str">
        <f t="shared" si="1"/>
        <v>Verde</v>
      </c>
    </row>
    <row r="130" spans="1:6">
      <c r="A130" s="76">
        <v>30502</v>
      </c>
      <c r="B130" s="101" t="s">
        <v>175</v>
      </c>
      <c r="C130" s="100">
        <v>22.490140799999999</v>
      </c>
      <c r="D130" s="100" t="str">
        <f t="shared" si="0"/>
        <v>Rojo</v>
      </c>
      <c r="E130" s="100">
        <v>39.1096979</v>
      </c>
      <c r="F130" s="100" t="str">
        <f t="shared" si="1"/>
        <v>Rojo</v>
      </c>
    </row>
    <row r="131" spans="1:6">
      <c r="A131" s="76">
        <v>30601</v>
      </c>
      <c r="B131" s="101" t="s">
        <v>176</v>
      </c>
      <c r="C131" s="100">
        <v>9.2911877</v>
      </c>
      <c r="D131" s="100" t="str">
        <f t="shared" si="0"/>
        <v>Rojo</v>
      </c>
      <c r="E131" s="100">
        <v>16.796061399999999</v>
      </c>
      <c r="F131" s="100" t="str">
        <f t="shared" si="1"/>
        <v>Rojo</v>
      </c>
    </row>
    <row r="132" spans="1:6">
      <c r="A132" s="76">
        <v>30602</v>
      </c>
      <c r="B132" s="101" t="s">
        <v>177</v>
      </c>
      <c r="C132" s="100">
        <v>5.0921339000000003</v>
      </c>
      <c r="D132" s="100" t="str">
        <f t="shared" si="0"/>
        <v>Rojo</v>
      </c>
      <c r="E132" s="100">
        <v>12.9565299</v>
      </c>
      <c r="F132" s="100" t="str">
        <f t="shared" si="1"/>
        <v>Rojo</v>
      </c>
    </row>
    <row r="133" spans="1:6">
      <c r="A133" s="76">
        <v>30701</v>
      </c>
      <c r="B133" s="101" t="s">
        <v>178</v>
      </c>
      <c r="C133" s="100">
        <v>64.974884900000006</v>
      </c>
      <c r="D133" s="100" t="str">
        <f t="shared" si="0"/>
        <v>Naranja</v>
      </c>
      <c r="E133" s="100">
        <v>78.040276800000001</v>
      </c>
      <c r="F133" s="100" t="str">
        <f t="shared" si="1"/>
        <v>Amarillo</v>
      </c>
    </row>
    <row r="134" spans="1:6">
      <c r="A134" s="76">
        <v>30702</v>
      </c>
      <c r="B134" s="101" t="s">
        <v>179</v>
      </c>
      <c r="C134" s="100">
        <v>41.127117300000002</v>
      </c>
      <c r="D134" s="100" t="str">
        <f t="shared" si="0"/>
        <v>Rojo</v>
      </c>
      <c r="E134" s="100">
        <v>76.893790199999998</v>
      </c>
      <c r="F134" s="100" t="str">
        <f t="shared" si="1"/>
        <v>Amarillo</v>
      </c>
    </row>
    <row r="135" spans="1:6">
      <c r="A135" s="76">
        <v>30703</v>
      </c>
      <c r="B135" s="101" t="s">
        <v>180</v>
      </c>
      <c r="C135" s="100">
        <v>21.401617300000002</v>
      </c>
      <c r="D135" s="100" t="str">
        <f t="shared" si="0"/>
        <v>Rojo</v>
      </c>
      <c r="E135" s="100">
        <v>56.4561493</v>
      </c>
      <c r="F135" s="100" t="str">
        <f t="shared" si="1"/>
        <v>Naranja</v>
      </c>
    </row>
    <row r="136" spans="1:6">
      <c r="A136" s="76">
        <v>30801</v>
      </c>
      <c r="B136" s="101" t="s">
        <v>182</v>
      </c>
      <c r="C136" s="100">
        <v>86.940866900000003</v>
      </c>
      <c r="D136" s="100" t="str">
        <f t="shared" si="0"/>
        <v>Verde</v>
      </c>
      <c r="E136" s="100">
        <v>97.437121200000007</v>
      </c>
      <c r="F136" s="100" t="str">
        <f t="shared" si="1"/>
        <v>Verde</v>
      </c>
    </row>
    <row r="137" spans="1:6">
      <c r="A137" s="76">
        <v>30802</v>
      </c>
      <c r="B137" s="101" t="s">
        <v>183</v>
      </c>
      <c r="C137" s="100">
        <v>48.259629099999998</v>
      </c>
      <c r="D137" s="100" t="str">
        <f t="shared" si="0"/>
        <v>Rojo</v>
      </c>
      <c r="E137" s="100">
        <v>73.823207400000001</v>
      </c>
      <c r="F137" s="100" t="str">
        <f t="shared" si="1"/>
        <v>Amarillo</v>
      </c>
    </row>
    <row r="138" spans="1:6">
      <c r="A138" s="76">
        <v>30803</v>
      </c>
      <c r="B138" s="101" t="s">
        <v>184</v>
      </c>
      <c r="C138" s="100">
        <v>86.046966699999999</v>
      </c>
      <c r="D138" s="100" t="str">
        <f t="shared" si="0"/>
        <v>Verde</v>
      </c>
      <c r="E138" s="100">
        <v>85.057317999999995</v>
      </c>
      <c r="F138" s="100" t="str">
        <f t="shared" si="1"/>
        <v>Verde</v>
      </c>
    </row>
    <row r="139" spans="1:6">
      <c r="A139" s="76">
        <v>30901</v>
      </c>
      <c r="B139" s="101" t="s">
        <v>185</v>
      </c>
      <c r="C139" s="100">
        <v>94.8421594</v>
      </c>
      <c r="D139" s="100" t="str">
        <f t="shared" si="0"/>
        <v>Verde</v>
      </c>
      <c r="E139" s="100">
        <v>98.176635000000005</v>
      </c>
      <c r="F139" s="100" t="str">
        <f t="shared" si="1"/>
        <v>Verde</v>
      </c>
    </row>
    <row r="140" spans="1:6">
      <c r="A140" s="76">
        <v>30902</v>
      </c>
      <c r="B140" s="101" t="s">
        <v>186</v>
      </c>
      <c r="C140" s="100">
        <v>80.991634199999993</v>
      </c>
      <c r="D140" s="100" t="str">
        <f t="shared" si="0"/>
        <v>Amarillo</v>
      </c>
      <c r="E140" s="100">
        <v>92.433261200000004</v>
      </c>
      <c r="F140" s="100" t="str">
        <f t="shared" si="1"/>
        <v>Verde</v>
      </c>
    </row>
    <row r="141" spans="1:6">
      <c r="A141" s="76">
        <v>30903</v>
      </c>
      <c r="B141" s="101" t="s">
        <v>187</v>
      </c>
      <c r="C141" s="100">
        <v>88.8031182</v>
      </c>
      <c r="D141" s="100" t="str">
        <f t="shared" si="0"/>
        <v>Verde</v>
      </c>
      <c r="E141" s="100">
        <v>94.832946800000002</v>
      </c>
      <c r="F141" s="100" t="str">
        <f t="shared" si="1"/>
        <v>Verde</v>
      </c>
    </row>
    <row r="142" spans="1:6">
      <c r="A142" s="76">
        <v>30904</v>
      </c>
      <c r="B142" s="101" t="s">
        <v>188</v>
      </c>
      <c r="C142" s="100">
        <v>89.081740400000001</v>
      </c>
      <c r="D142" s="100" t="str">
        <f t="shared" si="0"/>
        <v>Verde</v>
      </c>
      <c r="E142" s="100">
        <v>96.604719599999996</v>
      </c>
      <c r="F142" s="100" t="str">
        <f t="shared" si="1"/>
        <v>Verde</v>
      </c>
    </row>
    <row r="143" spans="1:6">
      <c r="A143" s="76">
        <v>30905</v>
      </c>
      <c r="B143" s="101" t="s">
        <v>189</v>
      </c>
      <c r="C143" s="100">
        <v>97.927876800000007</v>
      </c>
      <c r="D143" s="100" t="str">
        <f t="shared" si="0"/>
        <v>Verde</v>
      </c>
      <c r="E143" s="100">
        <v>99.487679900000003</v>
      </c>
      <c r="F143" s="100" t="str">
        <f t="shared" si="1"/>
        <v>Verde</v>
      </c>
    </row>
    <row r="144" spans="1:6">
      <c r="A144" s="76">
        <v>31001</v>
      </c>
      <c r="B144" s="101" t="s">
        <v>191</v>
      </c>
      <c r="C144" s="100">
        <v>88.897180800000001</v>
      </c>
      <c r="D144" s="100" t="str">
        <f t="shared" si="0"/>
        <v>Verde</v>
      </c>
      <c r="E144" s="100">
        <v>94.556592100000003</v>
      </c>
      <c r="F144" s="100" t="str">
        <f t="shared" si="1"/>
        <v>Verde</v>
      </c>
    </row>
    <row r="145" spans="1:6">
      <c r="A145" s="76">
        <v>31002</v>
      </c>
      <c r="B145" s="101" t="s">
        <v>192</v>
      </c>
      <c r="C145" s="100">
        <v>46.425702800000003</v>
      </c>
      <c r="D145" s="100" t="str">
        <f t="shared" si="0"/>
        <v>Rojo</v>
      </c>
      <c r="E145" s="100">
        <v>67.686370499999995</v>
      </c>
      <c r="F145" s="100" t="str">
        <f t="shared" si="1"/>
        <v>Amarillo</v>
      </c>
    </row>
    <row r="146" spans="1:6">
      <c r="A146" s="76">
        <v>31003</v>
      </c>
      <c r="B146" s="101" t="s">
        <v>193</v>
      </c>
      <c r="C146" s="100">
        <v>45.704017299999997</v>
      </c>
      <c r="D146" s="100" t="str">
        <f t="shared" si="0"/>
        <v>Rojo</v>
      </c>
      <c r="E146" s="100">
        <v>68.973253600000007</v>
      </c>
      <c r="F146" s="100" t="str">
        <f t="shared" si="1"/>
        <v>Amarillo</v>
      </c>
    </row>
    <row r="147" spans="1:6">
      <c r="A147" s="76">
        <v>31101</v>
      </c>
      <c r="B147" s="101" t="s">
        <v>194</v>
      </c>
      <c r="C147" s="100">
        <v>11.477160700000001</v>
      </c>
      <c r="D147" s="100" t="str">
        <f t="shared" si="0"/>
        <v>Rojo</v>
      </c>
      <c r="E147" s="100">
        <v>23.1462599</v>
      </c>
      <c r="F147" s="100" t="str">
        <f t="shared" si="1"/>
        <v>Rojo</v>
      </c>
    </row>
    <row r="148" spans="1:6">
      <c r="A148" s="76">
        <v>31201</v>
      </c>
      <c r="B148" s="101" t="s">
        <v>196</v>
      </c>
      <c r="C148" s="100">
        <v>22.8437263</v>
      </c>
      <c r="D148" s="100" t="str">
        <f t="shared" si="0"/>
        <v>Rojo</v>
      </c>
      <c r="E148" s="100">
        <v>44.127226100000001</v>
      </c>
      <c r="F148" s="100" t="str">
        <f t="shared" si="1"/>
        <v>Rojo</v>
      </c>
    </row>
    <row r="149" spans="1:6">
      <c r="A149" s="76">
        <v>31202</v>
      </c>
      <c r="B149" s="101" t="s">
        <v>197</v>
      </c>
      <c r="C149" s="100">
        <v>20.921668199999999</v>
      </c>
      <c r="D149" s="100" t="str">
        <f t="shared" si="0"/>
        <v>Rojo</v>
      </c>
      <c r="E149" s="100">
        <v>56.827395799999998</v>
      </c>
      <c r="F149" s="100" t="str">
        <f t="shared" si="1"/>
        <v>Naranja</v>
      </c>
    </row>
    <row r="150" spans="1:6">
      <c r="A150" s="76">
        <v>31203</v>
      </c>
      <c r="B150" s="101" t="s">
        <v>198</v>
      </c>
      <c r="C150" s="100">
        <v>22.370173099999999</v>
      </c>
      <c r="D150" s="100" t="str">
        <f t="shared" si="0"/>
        <v>Rojo</v>
      </c>
      <c r="E150" s="100">
        <v>53.963083599999997</v>
      </c>
      <c r="F150" s="100" t="str">
        <f t="shared" si="1"/>
        <v>Naranja</v>
      </c>
    </row>
    <row r="151" spans="1:6">
      <c r="A151" s="76">
        <v>31204</v>
      </c>
      <c r="B151" s="101" t="s">
        <v>199</v>
      </c>
      <c r="C151" s="100">
        <v>59.806331100000001</v>
      </c>
      <c r="D151" s="100" t="str">
        <f t="shared" si="0"/>
        <v>Naranja</v>
      </c>
      <c r="E151" s="100">
        <v>76.164659400000005</v>
      </c>
      <c r="F151" s="100" t="str">
        <f t="shared" si="1"/>
        <v>Amarillo</v>
      </c>
    </row>
    <row r="152" spans="1:6">
      <c r="A152" s="76">
        <v>31205</v>
      </c>
      <c r="B152" s="101" t="s">
        <v>200</v>
      </c>
      <c r="C152" s="100">
        <v>54.796104399999997</v>
      </c>
      <c r="D152" s="100" t="str">
        <f t="shared" si="0"/>
        <v>Naranja</v>
      </c>
      <c r="E152" s="100">
        <v>78.895634599999994</v>
      </c>
      <c r="F152" s="100" t="str">
        <f t="shared" si="1"/>
        <v>Amarillo</v>
      </c>
    </row>
    <row r="153" spans="1:6">
      <c r="A153" s="76">
        <v>31206</v>
      </c>
      <c r="B153" s="101" t="s">
        <v>201</v>
      </c>
      <c r="C153" s="100">
        <v>59.583018500000001</v>
      </c>
      <c r="D153" s="100" t="str">
        <f t="shared" si="0"/>
        <v>Naranja</v>
      </c>
      <c r="E153" s="100">
        <v>78.974063400000006</v>
      </c>
      <c r="F153" s="100" t="str">
        <f t="shared" si="1"/>
        <v>Amarillo</v>
      </c>
    </row>
    <row r="154" spans="1:6">
      <c r="A154" s="76">
        <v>31301</v>
      </c>
      <c r="B154" s="101" t="s">
        <v>202</v>
      </c>
      <c r="C154" s="100">
        <v>39.756498499999999</v>
      </c>
      <c r="D154" s="100" t="str">
        <f t="shared" si="0"/>
        <v>Rojo</v>
      </c>
      <c r="E154" s="100">
        <v>61.407754500000003</v>
      </c>
      <c r="F154" s="100" t="str">
        <f t="shared" si="1"/>
        <v>Naranja</v>
      </c>
    </row>
    <row r="155" spans="1:6">
      <c r="A155" s="76">
        <v>31302</v>
      </c>
      <c r="B155" s="101" t="s">
        <v>203</v>
      </c>
      <c r="C155" s="100">
        <v>7.9644379000000001</v>
      </c>
      <c r="D155" s="100" t="str">
        <f t="shared" si="0"/>
        <v>Rojo</v>
      </c>
      <c r="E155" s="100">
        <v>16.734378</v>
      </c>
      <c r="F155" s="100" t="str">
        <f t="shared" si="1"/>
        <v>Rojo</v>
      </c>
    </row>
    <row r="156" spans="1:6">
      <c r="A156" s="76">
        <v>31303</v>
      </c>
      <c r="B156" s="101" t="s">
        <v>204</v>
      </c>
      <c r="C156" s="100">
        <v>4.1288432999999998</v>
      </c>
      <c r="D156" s="100" t="str">
        <f t="shared" si="0"/>
        <v>Rojo</v>
      </c>
      <c r="E156" s="100">
        <v>14.1376332</v>
      </c>
      <c r="F156" s="100" t="str">
        <f t="shared" si="1"/>
        <v>Rojo</v>
      </c>
    </row>
    <row r="157" spans="1:6">
      <c r="A157" s="76">
        <v>31304</v>
      </c>
      <c r="B157" s="101" t="s">
        <v>205</v>
      </c>
      <c r="C157" s="100">
        <v>4.9493653000000002</v>
      </c>
      <c r="D157" s="100" t="str">
        <f t="shared" si="0"/>
        <v>Rojo</v>
      </c>
      <c r="E157" s="100">
        <v>11.0610611</v>
      </c>
      <c r="F157" s="100" t="str">
        <f t="shared" si="1"/>
        <v>Rojo</v>
      </c>
    </row>
    <row r="158" spans="1:6">
      <c r="A158" s="76">
        <v>31401</v>
      </c>
      <c r="B158" s="101" t="s">
        <v>206</v>
      </c>
      <c r="C158" s="100">
        <v>91.485786300000001</v>
      </c>
      <c r="D158" s="100" t="str">
        <f t="shared" si="0"/>
        <v>Verde</v>
      </c>
      <c r="E158" s="100">
        <v>97.243842900000004</v>
      </c>
      <c r="F158" s="100" t="str">
        <f t="shared" si="1"/>
        <v>Verde</v>
      </c>
    </row>
    <row r="159" spans="1:6">
      <c r="A159" s="76">
        <v>31402</v>
      </c>
      <c r="B159" s="101" t="s">
        <v>207</v>
      </c>
      <c r="C159" s="100">
        <v>70.5831266</v>
      </c>
      <c r="D159" s="100" t="str">
        <f t="shared" si="0"/>
        <v>Amarillo</v>
      </c>
      <c r="E159" s="100">
        <v>84.882895700000006</v>
      </c>
      <c r="F159" s="100" t="str">
        <f t="shared" si="1"/>
        <v>Amarillo</v>
      </c>
    </row>
    <row r="160" spans="1:6">
      <c r="A160" s="76">
        <v>31403</v>
      </c>
      <c r="B160" s="101" t="s">
        <v>208</v>
      </c>
      <c r="C160" s="100">
        <v>80.943084499999998</v>
      </c>
      <c r="D160" s="100" t="str">
        <f t="shared" si="0"/>
        <v>Amarillo</v>
      </c>
      <c r="E160" s="100">
        <v>92.891798199999997</v>
      </c>
      <c r="F160" s="100" t="str">
        <f t="shared" si="1"/>
        <v>Verde</v>
      </c>
    </row>
    <row r="161" spans="1:6">
      <c r="A161" s="76">
        <v>31404</v>
      </c>
      <c r="B161" s="101" t="s">
        <v>209</v>
      </c>
      <c r="C161" s="100">
        <v>34.645061699999999</v>
      </c>
      <c r="D161" s="100" t="str">
        <f t="shared" si="0"/>
        <v>Rojo</v>
      </c>
      <c r="E161" s="100">
        <v>70.396825399999997</v>
      </c>
      <c r="F161" s="100" t="str">
        <f t="shared" si="1"/>
        <v>Amarillo</v>
      </c>
    </row>
    <row r="162" spans="1:6">
      <c r="A162" s="76">
        <v>31405</v>
      </c>
      <c r="B162" s="101" t="s">
        <v>210</v>
      </c>
      <c r="C162" s="100">
        <v>20.2411399</v>
      </c>
      <c r="D162" s="100" t="str">
        <f t="shared" si="0"/>
        <v>Rojo</v>
      </c>
      <c r="E162" s="100">
        <v>52.8530108</v>
      </c>
      <c r="F162" s="100" t="str">
        <f t="shared" si="1"/>
        <v>Naranja</v>
      </c>
    </row>
    <row r="163" spans="1:6">
      <c r="A163" s="76">
        <v>31501</v>
      </c>
      <c r="B163" s="101" t="s">
        <v>211</v>
      </c>
      <c r="C163" s="100">
        <v>14.2317909</v>
      </c>
      <c r="D163" s="100" t="str">
        <f t="shared" si="0"/>
        <v>Rojo</v>
      </c>
      <c r="E163" s="100">
        <v>20.6231814</v>
      </c>
      <c r="F163" s="100" t="str">
        <f t="shared" si="1"/>
        <v>Rojo</v>
      </c>
    </row>
    <row r="164" spans="1:6">
      <c r="A164" s="76">
        <v>31601</v>
      </c>
      <c r="B164" s="101" t="s">
        <v>212</v>
      </c>
      <c r="C164" s="100">
        <v>30.544589800000001</v>
      </c>
      <c r="D164" s="100" t="str">
        <f t="shared" si="0"/>
        <v>Rojo</v>
      </c>
      <c r="E164" s="100">
        <v>59.832841700000003</v>
      </c>
      <c r="F164" s="100" t="str">
        <f t="shared" si="1"/>
        <v>Naranja</v>
      </c>
    </row>
    <row r="165" spans="1:6">
      <c r="A165" s="76">
        <v>31602</v>
      </c>
      <c r="B165" s="101" t="s">
        <v>213</v>
      </c>
      <c r="C165" s="100">
        <v>58.608859899999999</v>
      </c>
      <c r="D165" s="100" t="str">
        <f t="shared" si="0"/>
        <v>Naranja</v>
      </c>
      <c r="E165" s="100">
        <v>80.181734500000005</v>
      </c>
      <c r="F165" s="100" t="str">
        <f t="shared" si="1"/>
        <v>Amarillo</v>
      </c>
    </row>
    <row r="166" spans="1:6">
      <c r="A166" s="76">
        <v>40101</v>
      </c>
      <c r="B166" s="101" t="s">
        <v>214</v>
      </c>
      <c r="C166" s="100">
        <v>99.385466899999997</v>
      </c>
      <c r="D166" s="100" t="str">
        <f t="shared" si="0"/>
        <v>Verde</v>
      </c>
      <c r="E166" s="100">
        <v>99.718181599999994</v>
      </c>
      <c r="F166" s="100" t="str">
        <f t="shared" si="1"/>
        <v>Verde</v>
      </c>
    </row>
    <row r="167" spans="1:6">
      <c r="A167" s="76">
        <v>40102</v>
      </c>
      <c r="B167" s="101" t="s">
        <v>215</v>
      </c>
      <c r="C167" s="100">
        <v>47.839411599999998</v>
      </c>
      <c r="D167" s="100" t="str">
        <f t="shared" si="0"/>
        <v>Rojo</v>
      </c>
      <c r="E167" s="100">
        <v>70.0966509</v>
      </c>
      <c r="F167" s="100" t="str">
        <f t="shared" si="1"/>
        <v>Amarillo</v>
      </c>
    </row>
    <row r="168" spans="1:6">
      <c r="A168" s="76">
        <v>40103</v>
      </c>
      <c r="B168" s="101" t="s">
        <v>216</v>
      </c>
      <c r="C168" s="100">
        <v>11.018711</v>
      </c>
      <c r="D168" s="100" t="str">
        <f t="shared" si="0"/>
        <v>Rojo</v>
      </c>
      <c r="E168" s="100">
        <v>34.839753299999998</v>
      </c>
      <c r="F168" s="100" t="str">
        <f t="shared" si="1"/>
        <v>Rojo</v>
      </c>
    </row>
    <row r="169" spans="1:6">
      <c r="A169" s="76">
        <v>40104</v>
      </c>
      <c r="B169" s="101" t="s">
        <v>217</v>
      </c>
      <c r="C169" s="100">
        <v>49.968617600000002</v>
      </c>
      <c r="D169" s="100" t="str">
        <f t="shared" si="0"/>
        <v>Rojo</v>
      </c>
      <c r="E169" s="100">
        <v>74.080010299999998</v>
      </c>
      <c r="F169" s="100" t="str">
        <f t="shared" si="1"/>
        <v>Amarillo</v>
      </c>
    </row>
    <row r="170" spans="1:6">
      <c r="A170" s="76">
        <v>40201</v>
      </c>
      <c r="B170" s="101" t="s">
        <v>219</v>
      </c>
      <c r="C170" s="100">
        <v>53.205174</v>
      </c>
      <c r="D170" s="100" t="str">
        <f t="shared" si="0"/>
        <v>Naranja</v>
      </c>
      <c r="E170" s="100">
        <v>62.523724600000001</v>
      </c>
      <c r="F170" s="100" t="str">
        <f t="shared" si="1"/>
        <v>Naranja</v>
      </c>
    </row>
    <row r="171" spans="1:6">
      <c r="A171" s="76">
        <v>40202</v>
      </c>
      <c r="B171" s="101" t="s">
        <v>220</v>
      </c>
      <c r="C171" s="100">
        <v>46.494558300000001</v>
      </c>
      <c r="D171" s="100" t="str">
        <f t="shared" si="0"/>
        <v>Rojo</v>
      </c>
      <c r="E171" s="100">
        <v>62.2729936</v>
      </c>
      <c r="F171" s="100" t="str">
        <f t="shared" si="1"/>
        <v>Naranja</v>
      </c>
    </row>
    <row r="172" spans="1:6">
      <c r="A172" s="76">
        <v>40301</v>
      </c>
      <c r="B172" s="101" t="s">
        <v>222</v>
      </c>
      <c r="C172" s="100">
        <v>14.4755948</v>
      </c>
      <c r="D172" s="100" t="str">
        <f t="shared" si="0"/>
        <v>Rojo</v>
      </c>
      <c r="E172" s="100">
        <v>33.0643636</v>
      </c>
      <c r="F172" s="100" t="str">
        <f t="shared" si="1"/>
        <v>Rojo</v>
      </c>
    </row>
    <row r="173" spans="1:6">
      <c r="A173" s="76">
        <v>40302</v>
      </c>
      <c r="B173" s="101" t="s">
        <v>223</v>
      </c>
      <c r="C173" s="100">
        <v>12.4724062</v>
      </c>
      <c r="D173" s="100" t="str">
        <f t="shared" si="0"/>
        <v>Rojo</v>
      </c>
      <c r="E173" s="100">
        <v>30.889423099999998</v>
      </c>
      <c r="F173" s="100" t="str">
        <f t="shared" si="1"/>
        <v>Rojo</v>
      </c>
    </row>
    <row r="174" spans="1:6">
      <c r="A174" s="76">
        <v>40401</v>
      </c>
      <c r="B174" s="101" t="s">
        <v>225</v>
      </c>
      <c r="C174" s="100">
        <v>40.389045299999999</v>
      </c>
      <c r="D174" s="100" t="str">
        <f t="shared" si="0"/>
        <v>Rojo</v>
      </c>
      <c r="E174" s="100">
        <v>34.814114699999998</v>
      </c>
      <c r="F174" s="100" t="str">
        <f t="shared" si="1"/>
        <v>Rojo</v>
      </c>
    </row>
    <row r="175" spans="1:6">
      <c r="A175" s="76">
        <v>40402</v>
      </c>
      <c r="B175" s="101" t="s">
        <v>226</v>
      </c>
      <c r="C175" s="100">
        <v>23.297561000000002</v>
      </c>
      <c r="D175" s="100" t="str">
        <f t="shared" si="0"/>
        <v>Rojo</v>
      </c>
      <c r="E175" s="100">
        <v>33.027522900000001</v>
      </c>
      <c r="F175" s="100" t="str">
        <f t="shared" si="1"/>
        <v>Rojo</v>
      </c>
    </row>
    <row r="176" spans="1:6">
      <c r="A176" s="76">
        <v>40501</v>
      </c>
      <c r="B176" s="101" t="s">
        <v>228</v>
      </c>
      <c r="C176" s="100">
        <v>94.117647099999999</v>
      </c>
      <c r="D176" s="100" t="str">
        <f t="shared" si="0"/>
        <v>Verde</v>
      </c>
      <c r="E176" s="100">
        <v>97.2736898</v>
      </c>
      <c r="F176" s="100" t="str">
        <f t="shared" si="1"/>
        <v>Verde</v>
      </c>
    </row>
    <row r="177" spans="1:6">
      <c r="A177" s="76">
        <v>40502</v>
      </c>
      <c r="B177" s="101" t="s">
        <v>229</v>
      </c>
      <c r="C177" s="100">
        <v>14.548056300000001</v>
      </c>
      <c r="D177" s="100" t="str">
        <f t="shared" si="0"/>
        <v>Rojo</v>
      </c>
      <c r="E177" s="100">
        <v>67.941888599999999</v>
      </c>
      <c r="F177" s="100" t="str">
        <f t="shared" si="1"/>
        <v>Amarillo</v>
      </c>
    </row>
    <row r="178" spans="1:6">
      <c r="A178" s="76">
        <v>40503</v>
      </c>
      <c r="B178" s="101" t="s">
        <v>230</v>
      </c>
      <c r="C178" s="100">
        <v>25.296239100000001</v>
      </c>
      <c r="D178" s="100" t="str">
        <f t="shared" si="0"/>
        <v>Rojo</v>
      </c>
      <c r="E178" s="100">
        <v>78.470824899999997</v>
      </c>
      <c r="F178" s="100" t="str">
        <f t="shared" si="1"/>
        <v>Amarillo</v>
      </c>
    </row>
    <row r="179" spans="1:6">
      <c r="A179" s="76">
        <v>40504</v>
      </c>
      <c r="B179" s="101" t="s">
        <v>231</v>
      </c>
      <c r="C179" s="100">
        <v>7.0175438999999997</v>
      </c>
      <c r="D179" s="100" t="str">
        <f t="shared" si="0"/>
        <v>Rojo</v>
      </c>
      <c r="E179" s="100">
        <v>74.885321099999999</v>
      </c>
      <c r="F179" s="100" t="str">
        <f t="shared" si="1"/>
        <v>Amarillo</v>
      </c>
    </row>
    <row r="180" spans="1:6">
      <c r="A180" s="76">
        <v>40505</v>
      </c>
      <c r="B180" s="101" t="s">
        <v>232</v>
      </c>
      <c r="C180" s="100">
        <v>43.415178599999997</v>
      </c>
      <c r="D180" s="100" t="str">
        <f t="shared" si="0"/>
        <v>Rojo</v>
      </c>
      <c r="E180" s="100">
        <v>76.372625600000006</v>
      </c>
      <c r="F180" s="100" t="str">
        <f t="shared" si="1"/>
        <v>Amarillo</v>
      </c>
    </row>
    <row r="181" spans="1:6">
      <c r="A181" s="76">
        <v>40601</v>
      </c>
      <c r="B181" s="101" t="s">
        <v>233</v>
      </c>
      <c r="C181" s="100">
        <v>58.176495199999998</v>
      </c>
      <c r="D181" s="100" t="str">
        <f t="shared" si="0"/>
        <v>Naranja</v>
      </c>
      <c r="E181" s="100">
        <v>76.703539800000001</v>
      </c>
      <c r="F181" s="100" t="str">
        <f t="shared" si="1"/>
        <v>Amarillo</v>
      </c>
    </row>
    <row r="182" spans="1:6">
      <c r="A182" s="76">
        <v>40602</v>
      </c>
      <c r="B182" s="101" t="s">
        <v>234</v>
      </c>
      <c r="C182" s="100">
        <v>69.475465299999996</v>
      </c>
      <c r="D182" s="100" t="str">
        <f t="shared" si="0"/>
        <v>Amarillo</v>
      </c>
      <c r="E182" s="100">
        <v>81.666263000000001</v>
      </c>
      <c r="F182" s="100" t="str">
        <f t="shared" si="1"/>
        <v>Amarillo</v>
      </c>
    </row>
    <row r="183" spans="1:6">
      <c r="A183" s="76">
        <v>40603</v>
      </c>
      <c r="B183" s="101" t="s">
        <v>235</v>
      </c>
      <c r="C183" s="100">
        <v>65.743944600000006</v>
      </c>
      <c r="D183" s="100" t="str">
        <f t="shared" si="0"/>
        <v>Naranja</v>
      </c>
      <c r="E183" s="100">
        <v>82.9400057</v>
      </c>
      <c r="F183" s="100" t="str">
        <f t="shared" si="1"/>
        <v>Amarillo</v>
      </c>
    </row>
    <row r="184" spans="1:6">
      <c r="A184" s="76">
        <v>40701</v>
      </c>
      <c r="B184" s="101" t="s">
        <v>237</v>
      </c>
      <c r="C184" s="100">
        <v>89.629414400000002</v>
      </c>
      <c r="D184" s="100" t="str">
        <f t="shared" si="0"/>
        <v>Verde</v>
      </c>
      <c r="E184" s="100">
        <v>93.757744700000003</v>
      </c>
      <c r="F184" s="100" t="str">
        <f t="shared" si="1"/>
        <v>Verde</v>
      </c>
    </row>
    <row r="185" spans="1:6">
      <c r="A185" s="76">
        <v>40702</v>
      </c>
      <c r="B185" s="101" t="s">
        <v>238</v>
      </c>
      <c r="C185" s="100">
        <v>73.416649000000007</v>
      </c>
      <c r="D185" s="100" t="str">
        <f t="shared" si="0"/>
        <v>Amarillo</v>
      </c>
      <c r="E185" s="100">
        <v>88.445031400000005</v>
      </c>
      <c r="F185" s="100" t="str">
        <f t="shared" si="1"/>
        <v>Verde</v>
      </c>
    </row>
    <row r="186" spans="1:6">
      <c r="A186" s="76">
        <v>40801</v>
      </c>
      <c r="B186" s="101" t="s">
        <v>240</v>
      </c>
      <c r="C186" s="100">
        <v>38.981600299999997</v>
      </c>
      <c r="D186" s="100" t="str">
        <f t="shared" si="0"/>
        <v>Rojo</v>
      </c>
      <c r="E186" s="100">
        <v>64.290236800000002</v>
      </c>
      <c r="F186" s="100" t="str">
        <f t="shared" si="1"/>
        <v>Naranja</v>
      </c>
    </row>
    <row r="187" spans="1:6">
      <c r="A187" s="76">
        <v>40802</v>
      </c>
      <c r="B187" s="101" t="s">
        <v>241</v>
      </c>
      <c r="C187" s="100">
        <v>37.137000299999997</v>
      </c>
      <c r="D187" s="100" t="str">
        <f t="shared" si="0"/>
        <v>Rojo</v>
      </c>
      <c r="E187" s="100">
        <v>66.813048899999998</v>
      </c>
      <c r="F187" s="100" t="str">
        <f t="shared" si="1"/>
        <v>Naranja</v>
      </c>
    </row>
    <row r="188" spans="1:6">
      <c r="A188" s="76">
        <v>40901</v>
      </c>
      <c r="B188" s="101" t="s">
        <v>242</v>
      </c>
      <c r="C188" s="100">
        <v>31.6991786</v>
      </c>
      <c r="D188" s="100" t="str">
        <f t="shared" si="0"/>
        <v>Rojo</v>
      </c>
      <c r="E188" s="100">
        <v>74.958881599999998</v>
      </c>
      <c r="F188" s="100" t="str">
        <f t="shared" si="1"/>
        <v>Amarillo</v>
      </c>
    </row>
    <row r="189" spans="1:6">
      <c r="A189" s="76">
        <v>40902</v>
      </c>
      <c r="B189" s="101" t="s">
        <v>243</v>
      </c>
      <c r="C189" s="100">
        <v>71.019473099999999</v>
      </c>
      <c r="D189" s="100" t="str">
        <f t="shared" si="0"/>
        <v>Amarillo</v>
      </c>
      <c r="E189" s="100">
        <v>94.049346900000003</v>
      </c>
      <c r="F189" s="100" t="str">
        <f t="shared" si="1"/>
        <v>Verde</v>
      </c>
    </row>
    <row r="190" spans="1:6">
      <c r="A190" s="76">
        <v>40903</v>
      </c>
      <c r="B190" s="101" t="s">
        <v>244</v>
      </c>
      <c r="C190" s="100">
        <v>46.966633000000002</v>
      </c>
      <c r="D190" s="100" t="str">
        <f t="shared" si="0"/>
        <v>Rojo</v>
      </c>
      <c r="E190" s="100">
        <v>63.457424000000003</v>
      </c>
      <c r="F190" s="100" t="str">
        <f t="shared" si="1"/>
        <v>Naranja</v>
      </c>
    </row>
    <row r="191" spans="1:6">
      <c r="A191" s="76">
        <v>41001</v>
      </c>
      <c r="B191" s="101" t="s">
        <v>246</v>
      </c>
      <c r="C191" s="100">
        <v>20.884619199999999</v>
      </c>
      <c r="D191" s="100" t="str">
        <f t="shared" si="0"/>
        <v>Rojo</v>
      </c>
      <c r="E191" s="100">
        <v>36.6683217</v>
      </c>
      <c r="F191" s="100" t="str">
        <f t="shared" si="1"/>
        <v>Rojo</v>
      </c>
    </row>
    <row r="192" spans="1:6">
      <c r="A192" s="76">
        <v>41101</v>
      </c>
      <c r="B192" s="101" t="s">
        <v>248</v>
      </c>
      <c r="C192" s="100">
        <v>62.1048574</v>
      </c>
      <c r="D192" s="100" t="str">
        <f t="shared" si="0"/>
        <v>Naranja</v>
      </c>
      <c r="E192" s="100">
        <v>82.539084599999995</v>
      </c>
      <c r="F192" s="100" t="str">
        <f t="shared" si="1"/>
        <v>Amarillo</v>
      </c>
    </row>
    <row r="193" spans="1:6">
      <c r="A193" s="76">
        <v>41201</v>
      </c>
      <c r="B193" s="101" t="s">
        <v>250</v>
      </c>
      <c r="C193" s="100">
        <v>19.123044199999999</v>
      </c>
      <c r="D193" s="100" t="str">
        <f t="shared" si="0"/>
        <v>Rojo</v>
      </c>
      <c r="E193" s="100">
        <v>37.659033100000002</v>
      </c>
      <c r="F193" s="100" t="str">
        <f t="shared" si="1"/>
        <v>Rojo</v>
      </c>
    </row>
    <row r="194" spans="1:6">
      <c r="A194" s="76">
        <v>41202</v>
      </c>
      <c r="B194" s="101" t="s">
        <v>251</v>
      </c>
      <c r="C194" s="100">
        <v>12.493728000000001</v>
      </c>
      <c r="D194" s="100" t="str">
        <f t="shared" si="0"/>
        <v>Rojo</v>
      </c>
      <c r="E194" s="100">
        <v>52.952820899999999</v>
      </c>
      <c r="F194" s="100" t="str">
        <f t="shared" si="1"/>
        <v>Naranja</v>
      </c>
    </row>
    <row r="195" spans="1:6">
      <c r="A195" s="76">
        <v>41301</v>
      </c>
      <c r="B195" s="101" t="s">
        <v>196</v>
      </c>
      <c r="C195" s="100">
        <v>10.0820419</v>
      </c>
      <c r="D195" s="100" t="str">
        <f t="shared" si="0"/>
        <v>Rojo</v>
      </c>
      <c r="E195" s="100">
        <v>27.589867999999999</v>
      </c>
      <c r="F195" s="100" t="str">
        <f t="shared" si="1"/>
        <v>Rojo</v>
      </c>
    </row>
    <row r="196" spans="1:6">
      <c r="A196" s="76">
        <v>41401</v>
      </c>
      <c r="B196" s="101" t="s">
        <v>254</v>
      </c>
      <c r="C196" s="100">
        <v>44.970096599999998</v>
      </c>
      <c r="D196" s="100" t="str">
        <f t="shared" si="0"/>
        <v>Rojo</v>
      </c>
      <c r="E196" s="100">
        <v>65.316153999999997</v>
      </c>
      <c r="F196" s="100" t="str">
        <f t="shared" si="1"/>
        <v>Naranja</v>
      </c>
    </row>
    <row r="197" spans="1:6">
      <c r="A197" s="76">
        <v>41501</v>
      </c>
      <c r="B197" s="101" t="s">
        <v>256</v>
      </c>
      <c r="C197" s="100">
        <v>23.274161700000001</v>
      </c>
      <c r="D197" s="100" t="str">
        <f t="shared" si="0"/>
        <v>Rojo</v>
      </c>
      <c r="E197" s="100">
        <v>58.992805799999999</v>
      </c>
      <c r="F197" s="100" t="str">
        <f t="shared" si="1"/>
        <v>Naranja</v>
      </c>
    </row>
    <row r="198" spans="1:6">
      <c r="A198" s="76">
        <v>41502</v>
      </c>
      <c r="B198" s="101" t="s">
        <v>257</v>
      </c>
      <c r="C198" s="100">
        <v>10.2874433</v>
      </c>
      <c r="D198" s="100" t="str">
        <f t="shared" si="0"/>
        <v>Rojo</v>
      </c>
      <c r="E198" s="100">
        <v>67.873723299999995</v>
      </c>
      <c r="F198" s="100" t="str">
        <f t="shared" si="1"/>
        <v>Amarillo</v>
      </c>
    </row>
    <row r="199" spans="1:6">
      <c r="A199" s="76">
        <v>41503</v>
      </c>
      <c r="B199" s="101" t="s">
        <v>221</v>
      </c>
      <c r="C199" s="100">
        <v>12.171837699999999</v>
      </c>
      <c r="D199" s="100" t="str">
        <f t="shared" si="0"/>
        <v>Rojo</v>
      </c>
      <c r="E199" s="100">
        <v>50.312779300000003</v>
      </c>
      <c r="F199" s="100" t="str">
        <f t="shared" si="1"/>
        <v>Naranja</v>
      </c>
    </row>
    <row r="200" spans="1:6">
      <c r="A200" s="76">
        <v>41601</v>
      </c>
      <c r="B200" s="101" t="s">
        <v>259</v>
      </c>
      <c r="C200" s="100">
        <v>15.791406500000001</v>
      </c>
      <c r="D200" s="100" t="str">
        <f t="shared" si="0"/>
        <v>Rojo</v>
      </c>
      <c r="E200" s="100">
        <v>35.890135700000002</v>
      </c>
      <c r="F200" s="100" t="str">
        <f t="shared" si="1"/>
        <v>Rojo</v>
      </c>
    </row>
    <row r="201" spans="1:6">
      <c r="A201" s="76">
        <v>50101</v>
      </c>
      <c r="B201" s="101" t="s">
        <v>260</v>
      </c>
      <c r="C201" s="100">
        <v>93.983671099999995</v>
      </c>
      <c r="D201" s="100" t="str">
        <f t="shared" si="0"/>
        <v>Verde</v>
      </c>
      <c r="E201" s="100">
        <v>95.475544400000004</v>
      </c>
      <c r="F201" s="100" t="str">
        <f t="shared" si="1"/>
        <v>Verde</v>
      </c>
    </row>
    <row r="202" spans="1:6">
      <c r="A202" s="76">
        <v>50102</v>
      </c>
      <c r="B202" s="101" t="s">
        <v>262</v>
      </c>
      <c r="C202" s="100">
        <v>7.7852497999999999</v>
      </c>
      <c r="D202" s="100" t="str">
        <f t="shared" si="0"/>
        <v>Rojo</v>
      </c>
      <c r="E202" s="100">
        <v>14.247050700000001</v>
      </c>
      <c r="F202" s="100" t="str">
        <f t="shared" si="1"/>
        <v>Rojo</v>
      </c>
    </row>
    <row r="203" spans="1:6">
      <c r="A203" s="76">
        <v>50103</v>
      </c>
      <c r="B203" s="101" t="s">
        <v>263</v>
      </c>
      <c r="C203" s="100">
        <v>46.279388300000001</v>
      </c>
      <c r="D203" s="100" t="str">
        <f t="shared" si="0"/>
        <v>Rojo</v>
      </c>
      <c r="E203" s="100">
        <v>64.256198299999994</v>
      </c>
      <c r="F203" s="100" t="str">
        <f t="shared" si="1"/>
        <v>Naranja</v>
      </c>
    </row>
    <row r="204" spans="1:6">
      <c r="A204" s="76">
        <v>50104</v>
      </c>
      <c r="B204" s="101" t="s">
        <v>264</v>
      </c>
      <c r="C204" s="100">
        <v>16.709137200000001</v>
      </c>
      <c r="D204" s="100" t="str">
        <f t="shared" si="0"/>
        <v>Rojo</v>
      </c>
      <c r="E204" s="100">
        <v>32.561132600000001</v>
      </c>
      <c r="F204" s="100" t="str">
        <f t="shared" si="1"/>
        <v>Rojo</v>
      </c>
    </row>
    <row r="205" spans="1:6">
      <c r="A205" s="76">
        <v>50201</v>
      </c>
      <c r="B205" s="101" t="s">
        <v>266</v>
      </c>
      <c r="C205" s="100">
        <v>61.3391029</v>
      </c>
      <c r="D205" s="100" t="str">
        <f t="shared" si="0"/>
        <v>Naranja</v>
      </c>
      <c r="E205" s="100">
        <v>71.314270100000002</v>
      </c>
      <c r="F205" s="100" t="str">
        <f t="shared" si="1"/>
        <v>Amarillo</v>
      </c>
    </row>
    <row r="206" spans="1:6">
      <c r="A206" s="76">
        <v>50202</v>
      </c>
      <c r="B206" s="101" t="s">
        <v>267</v>
      </c>
      <c r="C206" s="100">
        <v>43.000315200000003</v>
      </c>
      <c r="D206" s="100" t="str">
        <f t="shared" si="0"/>
        <v>Rojo</v>
      </c>
      <c r="E206" s="100">
        <v>58.339220300000001</v>
      </c>
      <c r="F206" s="100" t="str">
        <f t="shared" si="1"/>
        <v>Naranja</v>
      </c>
    </row>
    <row r="207" spans="1:6">
      <c r="A207" s="76">
        <v>50203</v>
      </c>
      <c r="B207" s="101" t="s">
        <v>268</v>
      </c>
      <c r="C207" s="100">
        <v>87.3459182</v>
      </c>
      <c r="D207" s="100" t="str">
        <f t="shared" si="0"/>
        <v>Verde</v>
      </c>
      <c r="E207" s="100">
        <v>92.004823200000004</v>
      </c>
      <c r="F207" s="100" t="str">
        <f t="shared" si="1"/>
        <v>Verde</v>
      </c>
    </row>
    <row r="208" spans="1:6">
      <c r="A208" s="76">
        <v>50204</v>
      </c>
      <c r="B208" s="101" t="s">
        <v>269</v>
      </c>
      <c r="C208" s="100">
        <v>38.973191700000001</v>
      </c>
      <c r="D208" s="100" t="str">
        <f t="shared" si="0"/>
        <v>Rojo</v>
      </c>
      <c r="E208" s="100">
        <v>58.259911899999999</v>
      </c>
      <c r="F208" s="100" t="str">
        <f t="shared" si="1"/>
        <v>Naranja</v>
      </c>
    </row>
    <row r="209" spans="1:6">
      <c r="A209" s="76">
        <v>50301</v>
      </c>
      <c r="B209" s="101" t="s">
        <v>271</v>
      </c>
      <c r="C209" s="100">
        <v>37.672436900000001</v>
      </c>
      <c r="D209" s="100" t="str">
        <f t="shared" si="0"/>
        <v>Rojo</v>
      </c>
      <c r="E209" s="100">
        <v>53.517961700000001</v>
      </c>
      <c r="F209" s="100" t="str">
        <f t="shared" si="1"/>
        <v>Naranja</v>
      </c>
    </row>
    <row r="210" spans="1:6">
      <c r="A210" s="76">
        <v>50302</v>
      </c>
      <c r="B210" s="101" t="s">
        <v>272</v>
      </c>
      <c r="C210" s="100">
        <v>24.626101200000001</v>
      </c>
      <c r="D210" s="100" t="str">
        <f t="shared" si="0"/>
        <v>Rojo</v>
      </c>
      <c r="E210" s="100">
        <v>44.530992900000001</v>
      </c>
      <c r="F210" s="100" t="str">
        <f t="shared" si="1"/>
        <v>Rojo</v>
      </c>
    </row>
    <row r="211" spans="1:6">
      <c r="A211" s="76">
        <v>50303</v>
      </c>
      <c r="B211" s="101" t="s">
        <v>273</v>
      </c>
      <c r="C211" s="100">
        <v>8.7653157000000004</v>
      </c>
      <c r="D211" s="100" t="str">
        <f t="shared" si="0"/>
        <v>Rojo</v>
      </c>
      <c r="E211" s="100">
        <v>13.599776</v>
      </c>
      <c r="F211" s="100" t="str">
        <f t="shared" si="1"/>
        <v>Rojo</v>
      </c>
    </row>
    <row r="212" spans="1:6">
      <c r="A212" s="76">
        <v>50401</v>
      </c>
      <c r="B212" s="101" t="s">
        <v>274</v>
      </c>
      <c r="C212" s="100">
        <v>33.180061299999998</v>
      </c>
      <c r="D212" s="100" t="str">
        <f t="shared" si="0"/>
        <v>Rojo</v>
      </c>
      <c r="E212" s="100">
        <v>40.527638199999998</v>
      </c>
      <c r="F212" s="100" t="str">
        <f t="shared" si="1"/>
        <v>Rojo</v>
      </c>
    </row>
    <row r="213" spans="1:6">
      <c r="A213" s="76">
        <v>50402</v>
      </c>
      <c r="B213" s="101" t="s">
        <v>275</v>
      </c>
      <c r="C213" s="100">
        <v>10.256654899999999</v>
      </c>
      <c r="D213" s="100" t="str">
        <f t="shared" si="0"/>
        <v>Rojo</v>
      </c>
      <c r="E213" s="100">
        <v>13.4553476</v>
      </c>
      <c r="F213" s="100" t="str">
        <f t="shared" si="1"/>
        <v>Rojo</v>
      </c>
    </row>
    <row r="214" spans="1:6">
      <c r="A214" s="76">
        <v>50403</v>
      </c>
      <c r="B214" s="101" t="s">
        <v>276</v>
      </c>
      <c r="C214" s="100">
        <v>14.272584500000001</v>
      </c>
      <c r="D214" s="100" t="str">
        <f t="shared" si="0"/>
        <v>Rojo</v>
      </c>
      <c r="E214" s="100">
        <v>25.8000802</v>
      </c>
      <c r="F214" s="100" t="str">
        <f t="shared" si="1"/>
        <v>Rojo</v>
      </c>
    </row>
    <row r="215" spans="1:6">
      <c r="A215" s="76">
        <v>50404</v>
      </c>
      <c r="B215" s="101" t="s">
        <v>277</v>
      </c>
      <c r="C215" s="100">
        <v>13.158223899999999</v>
      </c>
      <c r="D215" s="100" t="str">
        <f t="shared" si="0"/>
        <v>Rojo</v>
      </c>
      <c r="E215" s="100">
        <v>16.2096494</v>
      </c>
      <c r="F215" s="100" t="str">
        <f t="shared" si="1"/>
        <v>Rojo</v>
      </c>
    </row>
    <row r="216" spans="1:6">
      <c r="A216" s="76">
        <v>50405</v>
      </c>
      <c r="B216" s="101" t="s">
        <v>278</v>
      </c>
      <c r="C216" s="100">
        <v>15.6866714</v>
      </c>
      <c r="D216" s="100" t="str">
        <f t="shared" si="0"/>
        <v>Rojo</v>
      </c>
      <c r="E216" s="100">
        <v>34.0815348</v>
      </c>
      <c r="F216" s="100" t="str">
        <f t="shared" si="1"/>
        <v>Rojo</v>
      </c>
    </row>
    <row r="217" spans="1:6">
      <c r="A217" s="76">
        <v>50501</v>
      </c>
      <c r="B217" s="101" t="s">
        <v>280</v>
      </c>
      <c r="C217" s="100">
        <v>10.906401300000001</v>
      </c>
      <c r="D217" s="100" t="str">
        <f t="shared" si="0"/>
        <v>Rojo</v>
      </c>
      <c r="E217" s="100">
        <v>17.046742200000001</v>
      </c>
      <c r="F217" s="100" t="str">
        <f t="shared" si="1"/>
        <v>Rojo</v>
      </c>
    </row>
    <row r="218" spans="1:6">
      <c r="A218" s="76">
        <v>50502</v>
      </c>
      <c r="B218" s="101" t="s">
        <v>281</v>
      </c>
      <c r="C218" s="100">
        <v>14.6202117</v>
      </c>
      <c r="D218" s="100" t="str">
        <f t="shared" si="0"/>
        <v>Rojo</v>
      </c>
      <c r="E218" s="100">
        <v>28.506444299999998</v>
      </c>
      <c r="F218" s="100" t="str">
        <f t="shared" si="1"/>
        <v>Rojo</v>
      </c>
    </row>
    <row r="219" spans="1:6">
      <c r="A219" s="76">
        <v>50601</v>
      </c>
      <c r="B219" s="101" t="s">
        <v>283</v>
      </c>
      <c r="C219" s="100">
        <v>33.7359407</v>
      </c>
      <c r="D219" s="100" t="str">
        <f t="shared" si="0"/>
        <v>Rojo</v>
      </c>
      <c r="E219" s="100">
        <v>40.870767100000002</v>
      </c>
      <c r="F219" s="100" t="str">
        <f t="shared" si="1"/>
        <v>Rojo</v>
      </c>
    </row>
    <row r="220" spans="1:6">
      <c r="A220" s="76">
        <v>50602</v>
      </c>
      <c r="B220" s="101" t="s">
        <v>284</v>
      </c>
      <c r="C220" s="100">
        <v>17.242696200000001</v>
      </c>
      <c r="D220" s="100" t="str">
        <f t="shared" si="0"/>
        <v>Rojo</v>
      </c>
      <c r="E220" s="100">
        <v>30.4248333</v>
      </c>
      <c r="F220" s="100" t="str">
        <f t="shared" si="1"/>
        <v>Rojo</v>
      </c>
    </row>
    <row r="221" spans="1:6">
      <c r="A221" s="76">
        <v>50701</v>
      </c>
      <c r="B221" s="101" t="s">
        <v>286</v>
      </c>
      <c r="C221" s="100">
        <v>15.967908899999999</v>
      </c>
      <c r="D221" s="100" t="str">
        <f t="shared" si="0"/>
        <v>Rojo</v>
      </c>
      <c r="E221" s="100">
        <v>30.045052999999999</v>
      </c>
      <c r="F221" s="100" t="str">
        <f t="shared" si="1"/>
        <v>Rojo</v>
      </c>
    </row>
    <row r="222" spans="1:6">
      <c r="A222" s="76">
        <v>50702</v>
      </c>
      <c r="B222" s="101" t="s">
        <v>287</v>
      </c>
      <c r="C222" s="100">
        <v>12.0787493</v>
      </c>
      <c r="D222" s="100" t="str">
        <f t="shared" si="0"/>
        <v>Rojo</v>
      </c>
      <c r="E222" s="100">
        <v>18.779790299999998</v>
      </c>
      <c r="F222" s="100" t="str">
        <f t="shared" si="1"/>
        <v>Rojo</v>
      </c>
    </row>
    <row r="223" spans="1:6">
      <c r="A223" s="76">
        <v>50801</v>
      </c>
      <c r="B223" s="101" t="s">
        <v>289</v>
      </c>
      <c r="C223" s="100">
        <v>73.499102899999997</v>
      </c>
      <c r="D223" s="100" t="str">
        <f t="shared" si="0"/>
        <v>Amarillo</v>
      </c>
      <c r="E223" s="100">
        <v>82.886042700000004</v>
      </c>
      <c r="F223" s="100" t="str">
        <f t="shared" si="1"/>
        <v>Amarillo</v>
      </c>
    </row>
    <row r="224" spans="1:6">
      <c r="A224" s="76">
        <v>50802</v>
      </c>
      <c r="B224" s="101" t="s">
        <v>290</v>
      </c>
      <c r="C224" s="100">
        <v>94.578923099999997</v>
      </c>
      <c r="D224" s="100" t="str">
        <f t="shared" si="0"/>
        <v>Verde</v>
      </c>
      <c r="E224" s="100">
        <v>95.812413199999995</v>
      </c>
      <c r="F224" s="100" t="str">
        <f t="shared" si="1"/>
        <v>Verde</v>
      </c>
    </row>
    <row r="225" spans="1:6">
      <c r="A225" s="76">
        <v>50901</v>
      </c>
      <c r="B225" s="101" t="s">
        <v>292</v>
      </c>
      <c r="C225" s="100">
        <v>50.777014800000003</v>
      </c>
      <c r="D225" s="100" t="str">
        <f t="shared" si="0"/>
        <v>Naranja</v>
      </c>
      <c r="E225" s="100">
        <v>82.450027500000004</v>
      </c>
      <c r="F225" s="100" t="str">
        <f t="shared" si="1"/>
        <v>Amarillo</v>
      </c>
    </row>
    <row r="226" spans="1:6">
      <c r="A226" s="76">
        <v>50902</v>
      </c>
      <c r="B226" s="101" t="s">
        <v>293</v>
      </c>
      <c r="C226" s="100">
        <v>40.3015075</v>
      </c>
      <c r="D226" s="100" t="str">
        <f t="shared" si="0"/>
        <v>Rojo</v>
      </c>
      <c r="E226" s="100">
        <v>75.616255800000005</v>
      </c>
      <c r="F226" s="100" t="str">
        <f t="shared" si="1"/>
        <v>Amarillo</v>
      </c>
    </row>
    <row r="227" spans="1:6">
      <c r="A227" s="76">
        <v>51001</v>
      </c>
      <c r="B227" s="101" t="s">
        <v>295</v>
      </c>
      <c r="C227" s="100">
        <v>21.1792613</v>
      </c>
      <c r="D227" s="100" t="str">
        <f t="shared" si="0"/>
        <v>Rojo</v>
      </c>
      <c r="E227" s="100">
        <v>47.764298099999998</v>
      </c>
      <c r="F227" s="100" t="str">
        <f t="shared" si="1"/>
        <v>Rojo</v>
      </c>
    </row>
    <row r="228" spans="1:6">
      <c r="A228" s="76">
        <v>51002</v>
      </c>
      <c r="B228" s="101" t="s">
        <v>296</v>
      </c>
      <c r="C228" s="100">
        <v>5.7021277000000001</v>
      </c>
      <c r="D228" s="100" t="str">
        <f t="shared" si="0"/>
        <v>Rojo</v>
      </c>
      <c r="E228" s="100">
        <v>31.4583333</v>
      </c>
      <c r="F228" s="100" t="str">
        <f t="shared" si="1"/>
        <v>Rojo</v>
      </c>
    </row>
    <row r="229" spans="1:6">
      <c r="A229" s="76">
        <v>51003</v>
      </c>
      <c r="B229" s="101" t="s">
        <v>297</v>
      </c>
      <c r="C229" s="100">
        <v>26.221425400000001</v>
      </c>
      <c r="D229" s="100" t="str">
        <f t="shared" si="0"/>
        <v>Rojo</v>
      </c>
      <c r="E229" s="100">
        <v>44.759358300000002</v>
      </c>
      <c r="F229" s="100" t="str">
        <f t="shared" si="1"/>
        <v>Rojo</v>
      </c>
    </row>
    <row r="230" spans="1:6">
      <c r="A230" s="76">
        <v>51101</v>
      </c>
      <c r="B230" s="101" t="s">
        <v>299</v>
      </c>
      <c r="C230" s="100">
        <v>28.604329799999999</v>
      </c>
      <c r="D230" s="100" t="str">
        <f t="shared" si="0"/>
        <v>Rojo</v>
      </c>
      <c r="E230" s="100">
        <v>46.799035099999998</v>
      </c>
      <c r="F230" s="100" t="str">
        <f t="shared" si="1"/>
        <v>Rojo</v>
      </c>
    </row>
    <row r="231" spans="1:6">
      <c r="A231" s="76">
        <v>51102</v>
      </c>
      <c r="B231" s="101" t="s">
        <v>300</v>
      </c>
      <c r="C231" s="100">
        <v>45.104237900000001</v>
      </c>
      <c r="D231" s="100" t="str">
        <f t="shared" si="0"/>
        <v>Rojo</v>
      </c>
      <c r="E231" s="100">
        <v>66.820901500000005</v>
      </c>
      <c r="F231" s="100" t="str">
        <f t="shared" si="1"/>
        <v>Naranja</v>
      </c>
    </row>
    <row r="232" spans="1:6">
      <c r="A232" s="76">
        <v>51103</v>
      </c>
      <c r="B232" s="101" t="s">
        <v>301</v>
      </c>
      <c r="C232" s="100">
        <v>12.0768936</v>
      </c>
      <c r="D232" s="100" t="str">
        <f t="shared" si="0"/>
        <v>Rojo</v>
      </c>
      <c r="E232" s="100">
        <v>17.8636555</v>
      </c>
      <c r="F232" s="100" t="str">
        <f t="shared" si="1"/>
        <v>Rojo</v>
      </c>
    </row>
    <row r="233" spans="1:6">
      <c r="A233" s="76">
        <v>51201</v>
      </c>
      <c r="B233" s="101" t="s">
        <v>303</v>
      </c>
      <c r="C233" s="100">
        <v>78.659971200000001</v>
      </c>
      <c r="D233" s="100" t="str">
        <f t="shared" si="0"/>
        <v>Amarillo</v>
      </c>
      <c r="E233" s="100">
        <v>92.5471754</v>
      </c>
      <c r="F233" s="100" t="str">
        <f t="shared" si="1"/>
        <v>Verde</v>
      </c>
    </row>
    <row r="234" spans="1:6">
      <c r="A234" s="76">
        <v>51202</v>
      </c>
      <c r="B234" s="101" t="s">
        <v>304</v>
      </c>
      <c r="C234" s="100">
        <v>30.3159104</v>
      </c>
      <c r="D234" s="100" t="str">
        <f t="shared" si="0"/>
        <v>Rojo</v>
      </c>
      <c r="E234" s="100">
        <v>56.038149199999999</v>
      </c>
      <c r="F234" s="100" t="str">
        <f t="shared" si="1"/>
        <v>Naranja</v>
      </c>
    </row>
    <row r="235" spans="1:6">
      <c r="A235" s="76">
        <v>51203</v>
      </c>
      <c r="B235" s="101" t="s">
        <v>305</v>
      </c>
      <c r="C235" s="100">
        <v>79.135338300000001</v>
      </c>
      <c r="D235" s="100" t="str">
        <f t="shared" si="0"/>
        <v>Amarillo</v>
      </c>
      <c r="E235" s="100">
        <v>86.006563799999995</v>
      </c>
      <c r="F235" s="100" t="str">
        <f t="shared" si="1"/>
        <v>Verde</v>
      </c>
    </row>
    <row r="236" spans="1:6">
      <c r="A236" s="76">
        <v>51204</v>
      </c>
      <c r="B236" s="101" t="s">
        <v>306</v>
      </c>
      <c r="C236" s="100">
        <v>32.535066700000002</v>
      </c>
      <c r="D236" s="100" t="str">
        <f t="shared" si="0"/>
        <v>Rojo</v>
      </c>
      <c r="E236" s="100">
        <v>48.505505999999997</v>
      </c>
      <c r="F236" s="100" t="str">
        <f t="shared" si="1"/>
        <v>Rojo</v>
      </c>
    </row>
    <row r="237" spans="1:6">
      <c r="A237" s="76">
        <v>51301</v>
      </c>
      <c r="B237" s="101" t="s">
        <v>308</v>
      </c>
      <c r="C237" s="100">
        <v>11.468225</v>
      </c>
      <c r="D237" s="100" t="str">
        <f t="shared" si="0"/>
        <v>Rojo</v>
      </c>
      <c r="E237" s="100">
        <v>16.730558599999998</v>
      </c>
      <c r="F237" s="100" t="str">
        <f t="shared" si="1"/>
        <v>Rojo</v>
      </c>
    </row>
    <row r="238" spans="1:6">
      <c r="A238" s="76">
        <v>51302</v>
      </c>
      <c r="B238" s="101" t="s">
        <v>309</v>
      </c>
      <c r="C238" s="100">
        <v>17.920499299999999</v>
      </c>
      <c r="D238" s="100" t="str">
        <f t="shared" si="0"/>
        <v>Rojo</v>
      </c>
      <c r="E238" s="100">
        <v>24.583808399999999</v>
      </c>
      <c r="F238" s="100" t="str">
        <f t="shared" si="1"/>
        <v>Rojo</v>
      </c>
    </row>
    <row r="239" spans="1:6">
      <c r="A239" s="76">
        <v>51401</v>
      </c>
      <c r="B239" s="101" t="s">
        <v>311</v>
      </c>
      <c r="C239" s="100">
        <v>34.045226100000001</v>
      </c>
      <c r="D239" s="100" t="str">
        <f t="shared" si="0"/>
        <v>Rojo</v>
      </c>
      <c r="E239" s="100">
        <v>75.891972199999998</v>
      </c>
      <c r="F239" s="100" t="str">
        <f t="shared" si="1"/>
        <v>Amarillo</v>
      </c>
    </row>
    <row r="240" spans="1:6">
      <c r="A240" s="76">
        <v>51402</v>
      </c>
      <c r="B240" s="101" t="s">
        <v>312</v>
      </c>
      <c r="C240" s="100">
        <v>48.137019199999997</v>
      </c>
      <c r="D240" s="100" t="str">
        <f t="shared" si="0"/>
        <v>Rojo</v>
      </c>
      <c r="E240" s="100">
        <v>76.128188399999999</v>
      </c>
      <c r="F240" s="100" t="str">
        <f t="shared" si="1"/>
        <v>Amarillo</v>
      </c>
    </row>
    <row r="241" spans="1:6">
      <c r="A241" s="76">
        <v>51501</v>
      </c>
      <c r="B241" s="101" t="s">
        <v>314</v>
      </c>
      <c r="C241" s="100">
        <v>83.6893472</v>
      </c>
      <c r="D241" s="100" t="str">
        <f t="shared" si="0"/>
        <v>Amarillo</v>
      </c>
      <c r="E241" s="100">
        <v>91.439656299999996</v>
      </c>
      <c r="F241" s="100" t="str">
        <f t="shared" si="1"/>
        <v>Verde</v>
      </c>
    </row>
    <row r="242" spans="1:6">
      <c r="A242" s="76">
        <v>51601</v>
      </c>
      <c r="B242" s="101" t="s">
        <v>316</v>
      </c>
      <c r="C242" s="100">
        <v>11.442483299999999</v>
      </c>
      <c r="D242" s="100" t="str">
        <f t="shared" si="0"/>
        <v>Rojo</v>
      </c>
      <c r="E242" s="100">
        <v>65.600393699999998</v>
      </c>
      <c r="F242" s="100" t="str">
        <f t="shared" si="1"/>
        <v>Naranja</v>
      </c>
    </row>
    <row r="243" spans="1:6">
      <c r="A243" s="76">
        <v>60101</v>
      </c>
      <c r="B243" s="101" t="s">
        <v>317</v>
      </c>
      <c r="C243" s="100">
        <v>91.996834000000007</v>
      </c>
      <c r="D243" s="100" t="str">
        <f t="shared" si="0"/>
        <v>Verde</v>
      </c>
      <c r="E243" s="100">
        <v>95.906525999999999</v>
      </c>
      <c r="F243" s="100" t="str">
        <f t="shared" si="1"/>
        <v>Verde</v>
      </c>
    </row>
    <row r="244" spans="1:6">
      <c r="A244" s="76">
        <v>60201</v>
      </c>
      <c r="B244" s="101" t="s">
        <v>319</v>
      </c>
      <c r="C244" s="100">
        <v>32.106654900000002</v>
      </c>
      <c r="D244" s="100" t="str">
        <f t="shared" si="0"/>
        <v>Rojo</v>
      </c>
      <c r="E244" s="100">
        <v>55.667635500000003</v>
      </c>
      <c r="F244" s="100" t="str">
        <f t="shared" si="1"/>
        <v>Naranja</v>
      </c>
    </row>
    <row r="245" spans="1:6">
      <c r="A245" s="76">
        <v>60202</v>
      </c>
      <c r="B245" s="101" t="s">
        <v>320</v>
      </c>
      <c r="C245" s="100">
        <v>91.343146300000001</v>
      </c>
      <c r="D245" s="100" t="str">
        <f t="shared" si="0"/>
        <v>Verde</v>
      </c>
      <c r="E245" s="100">
        <v>97.120616100000007</v>
      </c>
      <c r="F245" s="100" t="str">
        <f t="shared" si="1"/>
        <v>Verde</v>
      </c>
    </row>
    <row r="246" spans="1:6">
      <c r="A246" s="76">
        <v>60301</v>
      </c>
      <c r="B246" s="101" t="s">
        <v>322</v>
      </c>
      <c r="C246" s="100">
        <v>83.555570900000006</v>
      </c>
      <c r="D246" s="100" t="str">
        <f t="shared" si="0"/>
        <v>Amarillo</v>
      </c>
      <c r="E246" s="100">
        <v>90.807888000000005</v>
      </c>
      <c r="F246" s="100" t="str">
        <f t="shared" si="1"/>
        <v>Verde</v>
      </c>
    </row>
    <row r="247" spans="1:6">
      <c r="A247" s="76">
        <v>60302</v>
      </c>
      <c r="B247" s="101" t="s">
        <v>323</v>
      </c>
      <c r="C247" s="100">
        <v>47.571845699999997</v>
      </c>
      <c r="D247" s="100" t="str">
        <f t="shared" si="0"/>
        <v>Rojo</v>
      </c>
      <c r="E247" s="100">
        <v>78.991262899999995</v>
      </c>
      <c r="F247" s="100" t="str">
        <f t="shared" si="1"/>
        <v>Amarillo</v>
      </c>
    </row>
    <row r="248" spans="1:6">
      <c r="A248" s="76">
        <v>60303</v>
      </c>
      <c r="B248" s="101" t="s">
        <v>324</v>
      </c>
      <c r="C248" s="100">
        <v>75.980799700000006</v>
      </c>
      <c r="D248" s="100" t="str">
        <f t="shared" si="0"/>
        <v>Amarillo</v>
      </c>
      <c r="E248" s="100">
        <v>80.875711300000006</v>
      </c>
      <c r="F248" s="100" t="str">
        <f t="shared" si="1"/>
        <v>Amarillo</v>
      </c>
    </row>
    <row r="249" spans="1:6">
      <c r="A249" s="76">
        <v>60401</v>
      </c>
      <c r="B249" s="101" t="s">
        <v>326</v>
      </c>
      <c r="C249" s="100">
        <v>47.274611399999998</v>
      </c>
      <c r="D249" s="100" t="str">
        <f t="shared" si="0"/>
        <v>Rojo</v>
      </c>
      <c r="E249" s="100">
        <v>68.970969600000004</v>
      </c>
      <c r="F249" s="100" t="str">
        <f t="shared" si="1"/>
        <v>Amarillo</v>
      </c>
    </row>
    <row r="250" spans="1:6">
      <c r="A250" s="76">
        <v>60402</v>
      </c>
      <c r="B250" s="101" t="s">
        <v>327</v>
      </c>
      <c r="C250" s="100">
        <v>22.329348199999998</v>
      </c>
      <c r="D250" s="100" t="str">
        <f t="shared" si="0"/>
        <v>Rojo</v>
      </c>
      <c r="E250" s="100">
        <v>43.848112</v>
      </c>
      <c r="F250" s="100" t="str">
        <f t="shared" si="1"/>
        <v>Rojo</v>
      </c>
    </row>
    <row r="251" spans="1:6">
      <c r="A251" s="76">
        <v>60501</v>
      </c>
      <c r="B251" s="101" t="s">
        <v>329</v>
      </c>
      <c r="C251" s="100">
        <v>57.6913111</v>
      </c>
      <c r="D251" s="100" t="str">
        <f t="shared" si="0"/>
        <v>Naranja</v>
      </c>
      <c r="E251" s="100">
        <v>81.572742700000006</v>
      </c>
      <c r="F251" s="100" t="str">
        <f t="shared" si="1"/>
        <v>Amarillo</v>
      </c>
    </row>
    <row r="252" spans="1:6">
      <c r="A252" s="76">
        <v>60502</v>
      </c>
      <c r="B252" s="101" t="s">
        <v>330</v>
      </c>
      <c r="C252" s="100">
        <v>44.668508299999999</v>
      </c>
      <c r="D252" s="100" t="str">
        <f t="shared" si="0"/>
        <v>Rojo</v>
      </c>
      <c r="E252" s="100">
        <v>68.600937000000002</v>
      </c>
      <c r="F252" s="100" t="str">
        <f t="shared" si="1"/>
        <v>Amarillo</v>
      </c>
    </row>
    <row r="253" spans="1:6">
      <c r="A253" s="76">
        <v>60601</v>
      </c>
      <c r="B253" s="101" t="s">
        <v>201</v>
      </c>
      <c r="C253" s="100">
        <v>35.8735225</v>
      </c>
      <c r="D253" s="100" t="str">
        <f t="shared" si="0"/>
        <v>Rojo</v>
      </c>
      <c r="E253" s="100">
        <v>49.448610500000001</v>
      </c>
      <c r="F253" s="100" t="str">
        <f t="shared" si="1"/>
        <v>Rojo</v>
      </c>
    </row>
    <row r="254" spans="1:6">
      <c r="A254" s="76">
        <v>70101</v>
      </c>
      <c r="B254" s="101" t="s">
        <v>334</v>
      </c>
      <c r="C254" s="100">
        <v>98.738446199999998</v>
      </c>
      <c r="D254" s="100" t="str">
        <f t="shared" si="0"/>
        <v>Verde</v>
      </c>
      <c r="E254" s="100">
        <v>99.380803999999998</v>
      </c>
      <c r="F254" s="100" t="str">
        <f t="shared" si="1"/>
        <v>Verde</v>
      </c>
    </row>
    <row r="255" spans="1:6">
      <c r="A255" s="76">
        <v>70102</v>
      </c>
      <c r="B255" s="101" t="s">
        <v>335</v>
      </c>
      <c r="C255" s="100">
        <v>86.5024576</v>
      </c>
      <c r="D255" s="100" t="str">
        <f t="shared" si="0"/>
        <v>Verde</v>
      </c>
      <c r="E255" s="100">
        <v>95.964885600000002</v>
      </c>
      <c r="F255" s="100" t="str">
        <f t="shared" si="1"/>
        <v>Verde</v>
      </c>
    </row>
    <row r="256" spans="1:6">
      <c r="A256" s="76">
        <v>70103</v>
      </c>
      <c r="B256" s="101" t="s">
        <v>336</v>
      </c>
      <c r="C256" s="100">
        <v>56.366030299999998</v>
      </c>
      <c r="D256" s="100" t="str">
        <f t="shared" si="0"/>
        <v>Naranja</v>
      </c>
      <c r="E256" s="100">
        <v>86.911363399999999</v>
      </c>
      <c r="F256" s="100" t="str">
        <f t="shared" si="1"/>
        <v>Verde</v>
      </c>
    </row>
    <row r="257" spans="1:6">
      <c r="A257" s="76">
        <v>70104</v>
      </c>
      <c r="B257" s="101" t="s">
        <v>337</v>
      </c>
      <c r="C257" s="100">
        <v>94.599769800000004</v>
      </c>
      <c r="D257" s="100" t="str">
        <f t="shared" ref="D257:D344" si="2">IF(C257&lt;=50,"Rojo",
   IF(C257&lt;=67.5,"Naranja",
   IF(C257&lt;=85,"Amarillo","Verde")))</f>
        <v>Verde</v>
      </c>
      <c r="E257" s="100">
        <v>98.384916700000005</v>
      </c>
      <c r="F257" s="100" t="str">
        <f t="shared" ref="F257:F344" si="3">IF(E257&lt;=50,"Rojo",
   IF(E257&lt;=67.5,"Naranja",
   IF(E257&lt;=85,"Amarillo","Verde")))</f>
        <v>Verde</v>
      </c>
    </row>
    <row r="258" spans="1:6">
      <c r="A258" s="76">
        <v>70105</v>
      </c>
      <c r="B258" s="101" t="s">
        <v>338</v>
      </c>
      <c r="C258" s="100">
        <v>73.912508500000001</v>
      </c>
      <c r="D258" s="100" t="str">
        <f t="shared" si="2"/>
        <v>Amarillo</v>
      </c>
      <c r="E258" s="100">
        <v>87.729330500000003</v>
      </c>
      <c r="F258" s="100" t="str">
        <f t="shared" si="3"/>
        <v>Verde</v>
      </c>
    </row>
    <row r="259" spans="1:6">
      <c r="A259" s="76">
        <v>70201</v>
      </c>
      <c r="B259" s="101" t="s">
        <v>339</v>
      </c>
      <c r="C259" s="100">
        <v>92.2321448</v>
      </c>
      <c r="D259" s="100" t="str">
        <f t="shared" si="2"/>
        <v>Verde</v>
      </c>
      <c r="E259" s="100">
        <v>97.481650400000007</v>
      </c>
      <c r="F259" s="100" t="str">
        <f t="shared" si="3"/>
        <v>Verde</v>
      </c>
    </row>
    <row r="260" spans="1:6">
      <c r="A260" s="76">
        <v>70202</v>
      </c>
      <c r="B260" s="101" t="s">
        <v>340</v>
      </c>
      <c r="C260" s="100">
        <v>83.544618400000004</v>
      </c>
      <c r="D260" s="100" t="str">
        <f t="shared" si="2"/>
        <v>Amarillo</v>
      </c>
      <c r="E260" s="100">
        <v>94.505814000000001</v>
      </c>
      <c r="F260" s="100" t="str">
        <f t="shared" si="3"/>
        <v>Verde</v>
      </c>
    </row>
    <row r="261" spans="1:6">
      <c r="A261" s="76">
        <v>70301</v>
      </c>
      <c r="B261" s="101" t="s">
        <v>342</v>
      </c>
      <c r="C261" s="100">
        <v>37.716726000000001</v>
      </c>
      <c r="D261" s="100" t="str">
        <f t="shared" si="2"/>
        <v>Rojo</v>
      </c>
      <c r="E261" s="100">
        <v>61.235825400000003</v>
      </c>
      <c r="F261" s="100" t="str">
        <f t="shared" si="3"/>
        <v>Naranja</v>
      </c>
    </row>
    <row r="262" spans="1:6">
      <c r="A262" s="76">
        <v>70302</v>
      </c>
      <c r="B262" s="101" t="s">
        <v>343</v>
      </c>
      <c r="C262" s="100">
        <v>26.051548199999999</v>
      </c>
      <c r="D262" s="100" t="str">
        <f t="shared" si="2"/>
        <v>Rojo</v>
      </c>
      <c r="E262" s="100">
        <v>46.1706638</v>
      </c>
      <c r="F262" s="100" t="str">
        <f t="shared" si="3"/>
        <v>Rojo</v>
      </c>
    </row>
    <row r="263" spans="1:6">
      <c r="A263" s="76">
        <v>70303</v>
      </c>
      <c r="B263" s="101" t="s">
        <v>344</v>
      </c>
      <c r="C263" s="100">
        <v>38.244737800000003</v>
      </c>
      <c r="D263" s="100" t="str">
        <f t="shared" si="2"/>
        <v>Rojo</v>
      </c>
      <c r="E263" s="100">
        <v>51.214975000000003</v>
      </c>
      <c r="F263" s="100" t="str">
        <f t="shared" si="3"/>
        <v>Naranja</v>
      </c>
    </row>
    <row r="264" spans="1:6">
      <c r="A264" s="76">
        <v>70401</v>
      </c>
      <c r="B264" s="101" t="s">
        <v>346</v>
      </c>
      <c r="C264" s="100">
        <v>57.245796599999998</v>
      </c>
      <c r="D264" s="100" t="str">
        <f t="shared" si="2"/>
        <v>Naranja</v>
      </c>
      <c r="E264" s="100">
        <v>80.269058299999998</v>
      </c>
      <c r="F264" s="100" t="str">
        <f t="shared" si="3"/>
        <v>Amarillo</v>
      </c>
    </row>
    <row r="265" spans="1:6">
      <c r="A265" s="76">
        <v>70402</v>
      </c>
      <c r="B265" s="101" t="s">
        <v>347</v>
      </c>
      <c r="C265" s="100">
        <v>72.243210099999999</v>
      </c>
      <c r="D265" s="100" t="str">
        <f t="shared" si="2"/>
        <v>Amarillo</v>
      </c>
      <c r="E265" s="100">
        <v>89.481043299999996</v>
      </c>
      <c r="F265" s="100" t="str">
        <f t="shared" si="3"/>
        <v>Verde</v>
      </c>
    </row>
    <row r="266" spans="1:6">
      <c r="A266" s="76">
        <v>70403</v>
      </c>
      <c r="B266" s="101" t="s">
        <v>348</v>
      </c>
      <c r="C266" s="100">
        <v>66.911238699999998</v>
      </c>
      <c r="D266" s="100" t="str">
        <f t="shared" si="2"/>
        <v>Naranja</v>
      </c>
      <c r="E266" s="100">
        <v>81.257787699999994</v>
      </c>
      <c r="F266" s="100" t="str">
        <f t="shared" si="3"/>
        <v>Amarillo</v>
      </c>
    </row>
    <row r="267" spans="1:6">
      <c r="A267" s="76">
        <v>70404</v>
      </c>
      <c r="B267" s="101" t="s">
        <v>349</v>
      </c>
      <c r="C267" s="100">
        <v>76.133976000000004</v>
      </c>
      <c r="D267" s="100" t="str">
        <f t="shared" si="2"/>
        <v>Amarillo</v>
      </c>
      <c r="E267" s="100">
        <v>88.787548299999997</v>
      </c>
      <c r="F267" s="100" t="str">
        <f t="shared" si="3"/>
        <v>Verde</v>
      </c>
    </row>
    <row r="268" spans="1:6">
      <c r="A268" s="76">
        <v>70501</v>
      </c>
      <c r="B268" s="101" t="s">
        <v>351</v>
      </c>
      <c r="C268" s="100">
        <v>78.038909099999998</v>
      </c>
      <c r="D268" s="100" t="str">
        <f t="shared" si="2"/>
        <v>Amarillo</v>
      </c>
      <c r="E268" s="100">
        <v>77.649023099999994</v>
      </c>
      <c r="F268" s="100" t="str">
        <f t="shared" si="3"/>
        <v>Amarillo</v>
      </c>
    </row>
    <row r="269" spans="1:6">
      <c r="A269" s="76">
        <v>70502</v>
      </c>
      <c r="B269" s="101" t="s">
        <v>352</v>
      </c>
      <c r="C269" s="100">
        <v>89.271786899999995</v>
      </c>
      <c r="D269" s="100" t="str">
        <f t="shared" si="2"/>
        <v>Verde</v>
      </c>
      <c r="E269" s="100">
        <v>90.506775399999995</v>
      </c>
      <c r="F269" s="100" t="str">
        <f t="shared" si="3"/>
        <v>Verde</v>
      </c>
    </row>
    <row r="270" spans="1:6">
      <c r="A270" s="76">
        <v>70503</v>
      </c>
      <c r="B270" s="101" t="s">
        <v>353</v>
      </c>
      <c r="C270" s="100">
        <v>59.4980853</v>
      </c>
      <c r="D270" s="100" t="str">
        <f t="shared" si="2"/>
        <v>Naranja</v>
      </c>
      <c r="E270" s="100">
        <v>80.722960299999997</v>
      </c>
      <c r="F270" s="100" t="str">
        <f t="shared" si="3"/>
        <v>Amarillo</v>
      </c>
    </row>
    <row r="271" spans="1:6">
      <c r="A271" s="76">
        <v>70601</v>
      </c>
      <c r="B271" s="101" t="s">
        <v>355</v>
      </c>
      <c r="C271" s="100">
        <v>82.705814599999997</v>
      </c>
      <c r="D271" s="100" t="str">
        <f t="shared" si="2"/>
        <v>Amarillo</v>
      </c>
      <c r="E271" s="100">
        <v>93.941329699999997</v>
      </c>
      <c r="F271" s="100" t="str">
        <f t="shared" si="3"/>
        <v>Verde</v>
      </c>
    </row>
    <row r="272" spans="1:6">
      <c r="A272" s="76">
        <v>70602</v>
      </c>
      <c r="B272" s="101" t="s">
        <v>356</v>
      </c>
      <c r="C272" s="100">
        <v>40.050831299999999</v>
      </c>
      <c r="D272" s="100" t="str">
        <f t="shared" si="2"/>
        <v>Rojo</v>
      </c>
      <c r="E272" s="100">
        <v>74.9672719</v>
      </c>
      <c r="F272" s="100" t="str">
        <f t="shared" si="3"/>
        <v>Amarillo</v>
      </c>
    </row>
    <row r="273" spans="1:6">
      <c r="A273" s="76">
        <v>70603</v>
      </c>
      <c r="B273" s="101" t="s">
        <v>357</v>
      </c>
      <c r="C273" s="100">
        <v>84.550797599999996</v>
      </c>
      <c r="D273" s="100" t="str">
        <f t="shared" si="2"/>
        <v>Amarillo</v>
      </c>
      <c r="E273" s="100">
        <v>92.942765499999993</v>
      </c>
      <c r="F273" s="100" t="str">
        <f t="shared" si="3"/>
        <v>Verde</v>
      </c>
    </row>
    <row r="274" spans="1:6">
      <c r="A274" s="76">
        <v>70701</v>
      </c>
      <c r="B274" s="101" t="s">
        <v>359</v>
      </c>
      <c r="C274" s="100">
        <v>23.888559600000001</v>
      </c>
      <c r="D274" s="100" t="str">
        <f t="shared" si="2"/>
        <v>Rojo</v>
      </c>
      <c r="E274" s="100">
        <v>41.969273700000002</v>
      </c>
      <c r="F274" s="100" t="str">
        <f t="shared" si="3"/>
        <v>Rojo</v>
      </c>
    </row>
    <row r="275" spans="1:6">
      <c r="A275" s="76">
        <v>70702</v>
      </c>
      <c r="B275" s="101" t="s">
        <v>360</v>
      </c>
      <c r="C275" s="100">
        <v>42.799857699999997</v>
      </c>
      <c r="D275" s="100" t="str">
        <f t="shared" si="2"/>
        <v>Rojo</v>
      </c>
      <c r="E275" s="100">
        <v>50.523803200000003</v>
      </c>
      <c r="F275" s="100" t="str">
        <f t="shared" si="3"/>
        <v>Naranja</v>
      </c>
    </row>
    <row r="276" spans="1:6">
      <c r="A276" s="76">
        <v>70703</v>
      </c>
      <c r="B276" s="101" t="s">
        <v>361</v>
      </c>
      <c r="C276" s="100">
        <v>66.320266399999994</v>
      </c>
      <c r="D276" s="100" t="str">
        <f t="shared" si="2"/>
        <v>Naranja</v>
      </c>
      <c r="E276" s="100">
        <v>82.451076799999996</v>
      </c>
      <c r="F276" s="100" t="str">
        <f t="shared" si="3"/>
        <v>Amarillo</v>
      </c>
    </row>
    <row r="277" spans="1:6">
      <c r="A277" s="76">
        <v>70704</v>
      </c>
      <c r="B277" s="101" t="s">
        <v>362</v>
      </c>
      <c r="C277" s="100">
        <v>44.236825500000002</v>
      </c>
      <c r="D277" s="100" t="str">
        <f t="shared" si="2"/>
        <v>Rojo</v>
      </c>
      <c r="E277" s="100">
        <v>57.440834299999999</v>
      </c>
      <c r="F277" s="100" t="str">
        <f t="shared" si="3"/>
        <v>Naranja</v>
      </c>
    </row>
    <row r="278" spans="1:6">
      <c r="A278" s="76">
        <v>70705</v>
      </c>
      <c r="B278" s="101" t="s">
        <v>363</v>
      </c>
      <c r="C278" s="100">
        <v>13.8288896</v>
      </c>
      <c r="D278" s="100" t="str">
        <f t="shared" si="2"/>
        <v>Rojo</v>
      </c>
      <c r="E278" s="100">
        <v>30.182819200000001</v>
      </c>
      <c r="F278" s="100" t="str">
        <f t="shared" si="3"/>
        <v>Rojo</v>
      </c>
    </row>
    <row r="279" spans="1:6">
      <c r="A279" s="76">
        <v>70706</v>
      </c>
      <c r="B279" s="101" t="s">
        <v>364</v>
      </c>
      <c r="C279" s="100">
        <v>88.309258700000001</v>
      </c>
      <c r="D279" s="100" t="str">
        <f t="shared" si="2"/>
        <v>Verde</v>
      </c>
      <c r="E279" s="100">
        <v>89.061052399999994</v>
      </c>
      <c r="F279" s="100" t="str">
        <f t="shared" si="3"/>
        <v>Verde</v>
      </c>
    </row>
    <row r="280" spans="1:6">
      <c r="A280" s="76">
        <v>70707</v>
      </c>
      <c r="B280" s="101" t="s">
        <v>365</v>
      </c>
      <c r="C280" s="100">
        <v>48.884339799999999</v>
      </c>
      <c r="D280" s="100" t="str">
        <f t="shared" si="2"/>
        <v>Rojo</v>
      </c>
      <c r="E280" s="100">
        <v>79.199237400000001</v>
      </c>
      <c r="F280" s="100" t="str">
        <f t="shared" si="3"/>
        <v>Amarillo</v>
      </c>
    </row>
    <row r="281" spans="1:6">
      <c r="A281" s="76">
        <v>70801</v>
      </c>
      <c r="B281" s="101" t="s">
        <v>367</v>
      </c>
      <c r="C281" s="100">
        <v>64.906925200000003</v>
      </c>
      <c r="D281" s="100" t="str">
        <f t="shared" si="2"/>
        <v>Naranja</v>
      </c>
      <c r="E281" s="100">
        <v>75.824964100000003</v>
      </c>
      <c r="F281" s="100" t="str">
        <f t="shared" si="3"/>
        <v>Amarillo</v>
      </c>
    </row>
    <row r="282" spans="1:6">
      <c r="A282" s="76">
        <v>70802</v>
      </c>
      <c r="B282" s="101" t="s">
        <v>368</v>
      </c>
      <c r="C282" s="100">
        <v>47.701983599999998</v>
      </c>
      <c r="D282" s="100" t="str">
        <f t="shared" si="2"/>
        <v>Rojo</v>
      </c>
      <c r="E282" s="100">
        <v>79.276595700000001</v>
      </c>
      <c r="F282" s="100" t="str">
        <f t="shared" si="3"/>
        <v>Amarillo</v>
      </c>
    </row>
    <row r="283" spans="1:6">
      <c r="A283" s="76">
        <v>70803</v>
      </c>
      <c r="B283" s="101" t="s">
        <v>369</v>
      </c>
      <c r="C283" s="100">
        <v>36.1454545</v>
      </c>
      <c r="D283" s="100" t="str">
        <f t="shared" si="2"/>
        <v>Rojo</v>
      </c>
      <c r="E283" s="100">
        <v>61.034231599999998</v>
      </c>
      <c r="F283" s="100" t="str">
        <f t="shared" si="3"/>
        <v>Naranja</v>
      </c>
    </row>
    <row r="284" spans="1:6">
      <c r="A284" s="76">
        <v>70804</v>
      </c>
      <c r="B284" s="101" t="s">
        <v>370</v>
      </c>
      <c r="C284" s="100">
        <v>40.6539991</v>
      </c>
      <c r="D284" s="100" t="str">
        <f t="shared" si="2"/>
        <v>Rojo</v>
      </c>
      <c r="E284" s="100">
        <v>58.3522727</v>
      </c>
      <c r="F284" s="100" t="str">
        <f t="shared" si="3"/>
        <v>Naranja</v>
      </c>
    </row>
    <row r="285" spans="1:6">
      <c r="A285" s="76">
        <v>70805</v>
      </c>
      <c r="B285" s="101" t="s">
        <v>371</v>
      </c>
      <c r="C285" s="100">
        <v>31.591796899999999</v>
      </c>
      <c r="D285" s="100" t="str">
        <f t="shared" si="2"/>
        <v>Rojo</v>
      </c>
      <c r="E285" s="100">
        <v>45.985037400000003</v>
      </c>
      <c r="F285" s="100" t="str">
        <f t="shared" si="3"/>
        <v>Rojo</v>
      </c>
    </row>
    <row r="286" spans="1:6">
      <c r="A286" s="76">
        <v>70901</v>
      </c>
      <c r="B286" s="101" t="s">
        <v>373</v>
      </c>
      <c r="C286" s="100">
        <v>69.713893799999994</v>
      </c>
      <c r="D286" s="100" t="str">
        <f t="shared" si="2"/>
        <v>Amarillo</v>
      </c>
      <c r="E286" s="100">
        <v>83.336259900000002</v>
      </c>
      <c r="F286" s="100" t="str">
        <f t="shared" si="3"/>
        <v>Amarillo</v>
      </c>
    </row>
    <row r="287" spans="1:6">
      <c r="A287" s="76">
        <v>70902</v>
      </c>
      <c r="B287" s="101" t="s">
        <v>374</v>
      </c>
      <c r="C287" s="100">
        <v>73.865275800000006</v>
      </c>
      <c r="D287" s="100" t="str">
        <f t="shared" si="2"/>
        <v>Amarillo</v>
      </c>
      <c r="E287" s="100">
        <v>84.733305299999998</v>
      </c>
      <c r="F287" s="100" t="str">
        <f t="shared" si="3"/>
        <v>Amarillo</v>
      </c>
    </row>
    <row r="288" spans="1:6">
      <c r="A288" s="76">
        <v>70903</v>
      </c>
      <c r="B288" s="101" t="s">
        <v>375</v>
      </c>
      <c r="C288" s="100">
        <v>87.170456799999997</v>
      </c>
      <c r="D288" s="100" t="str">
        <f t="shared" si="2"/>
        <v>Verde</v>
      </c>
      <c r="E288" s="100">
        <v>86.714068900000001</v>
      </c>
      <c r="F288" s="100" t="str">
        <f t="shared" si="3"/>
        <v>Verde</v>
      </c>
    </row>
    <row r="289" spans="1:6">
      <c r="A289" s="76">
        <v>70904</v>
      </c>
      <c r="B289" s="101" t="s">
        <v>376</v>
      </c>
      <c r="C289" s="100">
        <v>59.6206897</v>
      </c>
      <c r="D289" s="100" t="str">
        <f t="shared" si="2"/>
        <v>Naranja</v>
      </c>
      <c r="E289" s="100">
        <v>73.035185799999994</v>
      </c>
      <c r="F289" s="100" t="str">
        <f t="shared" si="3"/>
        <v>Amarillo</v>
      </c>
    </row>
    <row r="290" spans="1:6">
      <c r="A290" s="76">
        <v>71001</v>
      </c>
      <c r="B290" s="101" t="s">
        <v>378</v>
      </c>
      <c r="C290" s="100">
        <v>96.1872714</v>
      </c>
      <c r="D290" s="100" t="str">
        <f t="shared" si="2"/>
        <v>Verde</v>
      </c>
      <c r="E290" s="100">
        <v>98.831120799999994</v>
      </c>
      <c r="F290" s="100" t="str">
        <f t="shared" si="3"/>
        <v>Verde</v>
      </c>
    </row>
    <row r="291" spans="1:6">
      <c r="A291" s="76">
        <v>71002</v>
      </c>
      <c r="B291" s="101" t="s">
        <v>379</v>
      </c>
      <c r="C291" s="100">
        <v>71.685571899999999</v>
      </c>
      <c r="D291" s="100" t="str">
        <f t="shared" si="2"/>
        <v>Amarillo</v>
      </c>
      <c r="E291" s="100">
        <v>88.880738399999998</v>
      </c>
      <c r="F291" s="100" t="str">
        <f t="shared" si="3"/>
        <v>Verde</v>
      </c>
    </row>
    <row r="292" spans="1:6">
      <c r="A292" s="76">
        <v>71003</v>
      </c>
      <c r="B292" s="101" t="s">
        <v>380</v>
      </c>
      <c r="C292" s="100">
        <v>84.338726699999995</v>
      </c>
      <c r="D292" s="100" t="str">
        <f t="shared" si="2"/>
        <v>Amarillo</v>
      </c>
      <c r="E292" s="100">
        <v>94.461281700000001</v>
      </c>
      <c r="F292" s="100" t="str">
        <f t="shared" si="3"/>
        <v>Verde</v>
      </c>
    </row>
    <row r="293" spans="1:6">
      <c r="A293" s="76">
        <v>71004</v>
      </c>
      <c r="B293" s="101" t="s">
        <v>381</v>
      </c>
      <c r="C293" s="100">
        <v>82.959935799999997</v>
      </c>
      <c r="D293" s="100" t="str">
        <f t="shared" si="2"/>
        <v>Amarillo</v>
      </c>
      <c r="E293" s="100">
        <v>95.433645200000001</v>
      </c>
      <c r="F293" s="100" t="str">
        <f t="shared" si="3"/>
        <v>Verde</v>
      </c>
    </row>
    <row r="294" spans="1:6">
      <c r="A294" s="76">
        <v>71005</v>
      </c>
      <c r="B294" s="101" t="s">
        <v>280</v>
      </c>
      <c r="C294" s="100">
        <v>84.879159799999996</v>
      </c>
      <c r="D294" s="100" t="str">
        <f t="shared" si="2"/>
        <v>Amarillo</v>
      </c>
      <c r="E294" s="100">
        <v>96.161447199999998</v>
      </c>
      <c r="F294" s="100" t="str">
        <f t="shared" si="3"/>
        <v>Verde</v>
      </c>
    </row>
    <row r="295" spans="1:6">
      <c r="A295" s="76">
        <v>71101</v>
      </c>
      <c r="B295" s="101" t="s">
        <v>383</v>
      </c>
      <c r="C295" s="100">
        <v>38.230320200000001</v>
      </c>
      <c r="D295" s="100" t="str">
        <f t="shared" si="2"/>
        <v>Rojo</v>
      </c>
      <c r="E295" s="100">
        <v>53.048489400000001</v>
      </c>
      <c r="F295" s="100" t="str">
        <f t="shared" si="3"/>
        <v>Naranja</v>
      </c>
    </row>
    <row r="296" spans="1:6">
      <c r="A296" s="76">
        <v>71102</v>
      </c>
      <c r="B296" s="101" t="s">
        <v>384</v>
      </c>
      <c r="C296" s="100">
        <v>53.912256900000003</v>
      </c>
      <c r="D296" s="100" t="str">
        <f t="shared" si="2"/>
        <v>Naranja</v>
      </c>
      <c r="E296" s="100">
        <v>74.466737100000003</v>
      </c>
      <c r="F296" s="100" t="str">
        <f t="shared" si="3"/>
        <v>Amarillo</v>
      </c>
    </row>
    <row r="297" spans="1:6">
      <c r="A297" s="76">
        <v>71103</v>
      </c>
      <c r="B297" s="101" t="s">
        <v>385</v>
      </c>
      <c r="C297" s="100">
        <v>60.225762199999998</v>
      </c>
      <c r="D297" s="100" t="str">
        <f t="shared" si="2"/>
        <v>Naranja</v>
      </c>
      <c r="E297" s="100">
        <v>88.209586200000004</v>
      </c>
      <c r="F297" s="100" t="str">
        <f t="shared" si="3"/>
        <v>Verde</v>
      </c>
    </row>
    <row r="298" spans="1:6">
      <c r="A298" s="76">
        <v>71104</v>
      </c>
      <c r="B298" s="101" t="s">
        <v>386</v>
      </c>
      <c r="C298" s="100">
        <v>14.6447409</v>
      </c>
      <c r="D298" s="100" t="str">
        <f t="shared" si="2"/>
        <v>Rojo</v>
      </c>
      <c r="E298" s="100">
        <v>26.767757400000001</v>
      </c>
      <c r="F298" s="100" t="str">
        <f t="shared" si="3"/>
        <v>Rojo</v>
      </c>
    </row>
    <row r="299" spans="1:6">
      <c r="A299" s="76">
        <v>71105</v>
      </c>
      <c r="B299" s="101" t="s">
        <v>387</v>
      </c>
      <c r="C299" s="100">
        <v>76.651662599999995</v>
      </c>
      <c r="D299" s="100" t="str">
        <f t="shared" si="2"/>
        <v>Amarillo</v>
      </c>
      <c r="E299" s="100">
        <v>85.838046000000006</v>
      </c>
      <c r="F299" s="100" t="str">
        <f t="shared" si="3"/>
        <v>Verde</v>
      </c>
    </row>
    <row r="300" spans="1:6">
      <c r="A300" s="76">
        <v>71106</v>
      </c>
      <c r="B300" s="101" t="s">
        <v>388</v>
      </c>
      <c r="C300" s="100">
        <v>86.064030099999997</v>
      </c>
      <c r="D300" s="100" t="str">
        <f t="shared" si="2"/>
        <v>Verde</v>
      </c>
      <c r="E300" s="100">
        <v>95.855946799999998</v>
      </c>
      <c r="F300" s="100" t="str">
        <f t="shared" si="3"/>
        <v>Verde</v>
      </c>
    </row>
    <row r="301" spans="1:6">
      <c r="A301" s="76">
        <v>71201</v>
      </c>
      <c r="B301" s="101" t="s">
        <v>390</v>
      </c>
      <c r="C301" s="100">
        <v>48.65</v>
      </c>
      <c r="D301" s="100" t="str">
        <f t="shared" si="2"/>
        <v>Rojo</v>
      </c>
      <c r="E301" s="100">
        <v>69.821404400000006</v>
      </c>
      <c r="F301" s="100" t="str">
        <f t="shared" si="3"/>
        <v>Amarillo</v>
      </c>
    </row>
    <row r="302" spans="1:6">
      <c r="A302" s="76">
        <v>71301</v>
      </c>
      <c r="B302" s="101" t="s">
        <v>392</v>
      </c>
      <c r="C302" s="100">
        <v>64.778466800000004</v>
      </c>
      <c r="D302" s="100" t="str">
        <f t="shared" si="2"/>
        <v>Naranja</v>
      </c>
      <c r="E302" s="100">
        <v>82.881707700000007</v>
      </c>
      <c r="F302" s="100" t="str">
        <f t="shared" si="3"/>
        <v>Amarillo</v>
      </c>
    </row>
    <row r="303" spans="1:6">
      <c r="A303" s="76">
        <v>71302</v>
      </c>
      <c r="B303" s="101" t="s">
        <v>393</v>
      </c>
      <c r="C303" s="100">
        <v>77.125215400000002</v>
      </c>
      <c r="D303" s="100" t="str">
        <f t="shared" si="2"/>
        <v>Amarillo</v>
      </c>
      <c r="E303" s="100">
        <v>89.041560599999997</v>
      </c>
      <c r="F303" s="100" t="str">
        <f t="shared" si="3"/>
        <v>Verde</v>
      </c>
    </row>
    <row r="304" spans="1:6">
      <c r="A304" s="76">
        <v>71401</v>
      </c>
      <c r="B304" s="101" t="s">
        <v>395</v>
      </c>
      <c r="C304" s="100">
        <v>78.983884200000006</v>
      </c>
      <c r="D304" s="100" t="str">
        <f t="shared" si="2"/>
        <v>Amarillo</v>
      </c>
      <c r="E304" s="100">
        <v>91.016182000000001</v>
      </c>
      <c r="F304" s="100" t="str">
        <f t="shared" si="3"/>
        <v>Verde</v>
      </c>
    </row>
    <row r="305" spans="1:6">
      <c r="A305" s="76">
        <v>71402</v>
      </c>
      <c r="B305" s="101" t="s">
        <v>396</v>
      </c>
      <c r="C305" s="100">
        <v>91.420480100000006</v>
      </c>
      <c r="D305" s="100" t="str">
        <f t="shared" si="2"/>
        <v>Verde</v>
      </c>
      <c r="E305" s="100">
        <v>96.840181599999994</v>
      </c>
      <c r="F305" s="100" t="str">
        <f t="shared" si="3"/>
        <v>Verde</v>
      </c>
    </row>
    <row r="306" spans="1:6">
      <c r="A306" s="76">
        <v>71403</v>
      </c>
      <c r="B306" s="101" t="s">
        <v>397</v>
      </c>
      <c r="C306" s="100">
        <v>20.052857599999999</v>
      </c>
      <c r="D306" s="100" t="str">
        <f t="shared" si="2"/>
        <v>Rojo</v>
      </c>
      <c r="E306" s="100">
        <v>62.024568899999998</v>
      </c>
      <c r="F306" s="100" t="str">
        <f t="shared" si="3"/>
        <v>Naranja</v>
      </c>
    </row>
    <row r="307" spans="1:6">
      <c r="A307" s="76">
        <v>71501</v>
      </c>
      <c r="B307" s="101" t="s">
        <v>399</v>
      </c>
      <c r="C307" s="100">
        <v>61.942398900000001</v>
      </c>
      <c r="D307" s="100" t="str">
        <f t="shared" si="2"/>
        <v>Naranja</v>
      </c>
      <c r="E307" s="100">
        <v>70.885432199999997</v>
      </c>
      <c r="F307" s="100" t="str">
        <f t="shared" si="3"/>
        <v>Amarillo</v>
      </c>
    </row>
    <row r="308" spans="1:6">
      <c r="A308" s="76">
        <v>71502</v>
      </c>
      <c r="B308" s="101" t="s">
        <v>400</v>
      </c>
      <c r="C308" s="100">
        <v>35.343556499999998</v>
      </c>
      <c r="D308" s="100" t="str">
        <f t="shared" si="2"/>
        <v>Rojo</v>
      </c>
      <c r="E308" s="100">
        <v>51.138326300000003</v>
      </c>
      <c r="F308" s="100" t="str">
        <f t="shared" si="3"/>
        <v>Naranja</v>
      </c>
    </row>
    <row r="309" spans="1:6">
      <c r="A309" s="76">
        <v>71503</v>
      </c>
      <c r="B309" s="101" t="s">
        <v>330</v>
      </c>
      <c r="C309" s="100">
        <v>38.097303500000002</v>
      </c>
      <c r="D309" s="100" t="str">
        <f t="shared" si="2"/>
        <v>Rojo</v>
      </c>
      <c r="E309" s="100">
        <v>59.531632700000003</v>
      </c>
      <c r="F309" s="100" t="str">
        <f t="shared" si="3"/>
        <v>Naranja</v>
      </c>
    </row>
    <row r="310" spans="1:6">
      <c r="A310" s="76">
        <v>80101</v>
      </c>
      <c r="B310" s="101" t="s">
        <v>402</v>
      </c>
      <c r="C310" s="100">
        <v>93.926489000000004</v>
      </c>
      <c r="D310" s="100" t="str">
        <f t="shared" si="2"/>
        <v>Verde</v>
      </c>
      <c r="E310" s="100">
        <v>97.395172099999996</v>
      </c>
      <c r="F310" s="100" t="str">
        <f t="shared" si="3"/>
        <v>Verde</v>
      </c>
    </row>
    <row r="311" spans="1:6">
      <c r="A311" s="76">
        <v>80102</v>
      </c>
      <c r="B311" s="101" t="s">
        <v>384</v>
      </c>
      <c r="C311" s="100">
        <v>27.912341399999999</v>
      </c>
      <c r="D311" s="100" t="str">
        <f t="shared" si="2"/>
        <v>Rojo</v>
      </c>
      <c r="E311" s="100">
        <v>46.852785300000001</v>
      </c>
      <c r="F311" s="100" t="str">
        <f t="shared" si="3"/>
        <v>Rojo</v>
      </c>
    </row>
    <row r="312" spans="1:6">
      <c r="A312" s="76">
        <v>80201</v>
      </c>
      <c r="B312" s="101" t="s">
        <v>404</v>
      </c>
      <c r="C312" s="100">
        <v>69.235860299999999</v>
      </c>
      <c r="D312" s="100" t="str">
        <f t="shared" si="2"/>
        <v>Amarillo</v>
      </c>
      <c r="E312" s="100">
        <v>84.836502300000006</v>
      </c>
      <c r="F312" s="100" t="str">
        <f t="shared" si="3"/>
        <v>Amarillo</v>
      </c>
    </row>
    <row r="313" spans="1:6">
      <c r="A313" s="76">
        <v>80202</v>
      </c>
      <c r="B313" s="101" t="s">
        <v>405</v>
      </c>
      <c r="C313" s="100">
        <v>79.543282500000004</v>
      </c>
      <c r="D313" s="100" t="str">
        <f t="shared" si="2"/>
        <v>Amarillo</v>
      </c>
      <c r="E313" s="100">
        <v>86.706728400000003</v>
      </c>
      <c r="F313" s="100" t="str">
        <f t="shared" si="3"/>
        <v>Verde</v>
      </c>
    </row>
    <row r="314" spans="1:6">
      <c r="A314" s="76">
        <v>80301</v>
      </c>
      <c r="B314" s="101" t="s">
        <v>407</v>
      </c>
      <c r="C314" s="100">
        <v>38.116766699999999</v>
      </c>
      <c r="D314" s="100" t="str">
        <f t="shared" si="2"/>
        <v>Rojo</v>
      </c>
      <c r="E314" s="100">
        <v>56.718288399999999</v>
      </c>
      <c r="F314" s="100" t="str">
        <f t="shared" si="3"/>
        <v>Naranja</v>
      </c>
    </row>
    <row r="315" spans="1:6">
      <c r="A315" s="76">
        <v>80302</v>
      </c>
      <c r="B315" s="101" t="s">
        <v>408</v>
      </c>
      <c r="C315" s="100">
        <v>45.8188241</v>
      </c>
      <c r="D315" s="100" t="str">
        <f t="shared" si="2"/>
        <v>Rojo</v>
      </c>
      <c r="E315" s="100">
        <v>50.330359700000002</v>
      </c>
      <c r="F315" s="100" t="str">
        <f t="shared" si="3"/>
        <v>Naranja</v>
      </c>
    </row>
    <row r="316" spans="1:6">
      <c r="A316" s="76">
        <v>80303</v>
      </c>
      <c r="B316" s="101" t="s">
        <v>356</v>
      </c>
      <c r="C316" s="100">
        <v>42.945652199999998</v>
      </c>
      <c r="D316" s="100" t="str">
        <f t="shared" si="2"/>
        <v>Rojo</v>
      </c>
      <c r="E316" s="100">
        <v>65.853207600000005</v>
      </c>
      <c r="F316" s="100" t="str">
        <f t="shared" si="3"/>
        <v>Naranja</v>
      </c>
    </row>
    <row r="317" spans="1:6">
      <c r="A317" s="76">
        <v>80304</v>
      </c>
      <c r="B317" s="101" t="s">
        <v>409</v>
      </c>
      <c r="C317" s="100">
        <v>64.088151800000006</v>
      </c>
      <c r="D317" s="100" t="str">
        <f t="shared" si="2"/>
        <v>Naranja</v>
      </c>
      <c r="E317" s="100">
        <v>73.111363999999995</v>
      </c>
      <c r="F317" s="100" t="str">
        <f t="shared" si="3"/>
        <v>Amarillo</v>
      </c>
    </row>
    <row r="318" spans="1:6">
      <c r="A318" s="76">
        <v>80401</v>
      </c>
      <c r="B318" s="101" t="s">
        <v>411</v>
      </c>
      <c r="C318" s="100">
        <v>62.1626561</v>
      </c>
      <c r="D318" s="100" t="str">
        <f t="shared" si="2"/>
        <v>Naranja</v>
      </c>
      <c r="E318" s="100">
        <v>73.045000299999998</v>
      </c>
      <c r="F318" s="100" t="str">
        <f t="shared" si="3"/>
        <v>Amarillo</v>
      </c>
    </row>
    <row r="319" spans="1:6">
      <c r="A319" s="76">
        <v>80402</v>
      </c>
      <c r="B319" s="101" t="s">
        <v>412</v>
      </c>
      <c r="C319" s="100">
        <v>9.3629827999999993</v>
      </c>
      <c r="D319" s="100" t="str">
        <f t="shared" si="2"/>
        <v>Rojo</v>
      </c>
      <c r="E319" s="100">
        <v>29.540170499999999</v>
      </c>
      <c r="F319" s="100" t="str">
        <f t="shared" si="3"/>
        <v>Rojo</v>
      </c>
    </row>
    <row r="320" spans="1:6">
      <c r="A320" s="76">
        <v>80501</v>
      </c>
      <c r="B320" s="101" t="s">
        <v>342</v>
      </c>
      <c r="C320" s="100">
        <v>38.3064733</v>
      </c>
      <c r="D320" s="100" t="str">
        <f t="shared" si="2"/>
        <v>Rojo</v>
      </c>
      <c r="E320" s="100">
        <v>55.105936200000002</v>
      </c>
      <c r="F320" s="100" t="str">
        <f t="shared" si="3"/>
        <v>Naranja</v>
      </c>
    </row>
    <row r="321" spans="1:6">
      <c r="A321" s="76">
        <v>80601</v>
      </c>
      <c r="B321" s="101" t="s">
        <v>415</v>
      </c>
      <c r="C321" s="100">
        <v>14.220183499999999</v>
      </c>
      <c r="D321" s="100" t="str">
        <f t="shared" si="2"/>
        <v>Rojo</v>
      </c>
      <c r="E321" s="100">
        <v>36.376570999999998</v>
      </c>
      <c r="F321" s="100" t="str">
        <f t="shared" si="3"/>
        <v>Rojo</v>
      </c>
    </row>
    <row r="322" spans="1:6">
      <c r="A322" s="76">
        <v>80602</v>
      </c>
      <c r="B322" s="101" t="s">
        <v>416</v>
      </c>
      <c r="C322" s="100">
        <v>28.844186799999999</v>
      </c>
      <c r="D322" s="100" t="str">
        <f t="shared" si="2"/>
        <v>Rojo</v>
      </c>
      <c r="E322" s="100">
        <v>47.6655005</v>
      </c>
      <c r="F322" s="100" t="str">
        <f t="shared" si="3"/>
        <v>Rojo</v>
      </c>
    </row>
    <row r="323" spans="1:6">
      <c r="A323" s="76">
        <v>80701</v>
      </c>
      <c r="B323" s="101" t="s">
        <v>418</v>
      </c>
      <c r="C323" s="100">
        <v>45.96302</v>
      </c>
      <c r="D323" s="100" t="str">
        <f t="shared" si="2"/>
        <v>Rojo</v>
      </c>
      <c r="E323" s="100">
        <v>75.874858900000007</v>
      </c>
      <c r="F323" s="100" t="str">
        <f t="shared" si="3"/>
        <v>Amarillo</v>
      </c>
    </row>
    <row r="324" spans="1:6">
      <c r="A324" s="76">
        <v>80702</v>
      </c>
      <c r="B324" s="101" t="s">
        <v>387</v>
      </c>
      <c r="C324" s="100">
        <v>41.879251699999998</v>
      </c>
      <c r="D324" s="100" t="str">
        <f t="shared" si="2"/>
        <v>Rojo</v>
      </c>
      <c r="E324" s="100">
        <v>65.570999200000003</v>
      </c>
      <c r="F324" s="100" t="str">
        <f t="shared" si="3"/>
        <v>Naranja</v>
      </c>
    </row>
    <row r="325" spans="1:6">
      <c r="A325" s="76">
        <v>80703</v>
      </c>
      <c r="B325" s="101" t="s">
        <v>419</v>
      </c>
      <c r="C325" s="100">
        <v>15.745192299999999</v>
      </c>
      <c r="D325" s="100" t="str">
        <f t="shared" si="2"/>
        <v>Rojo</v>
      </c>
      <c r="E325" s="100">
        <v>66.603234999999998</v>
      </c>
      <c r="F325" s="100" t="str">
        <f t="shared" si="3"/>
        <v>Naranja</v>
      </c>
    </row>
    <row r="326" spans="1:6">
      <c r="A326" s="76">
        <v>80801</v>
      </c>
      <c r="B326" s="101" t="s">
        <v>421</v>
      </c>
      <c r="C326" s="100">
        <v>43.548828299999997</v>
      </c>
      <c r="D326" s="100" t="str">
        <f t="shared" si="2"/>
        <v>Rojo</v>
      </c>
      <c r="E326" s="100">
        <v>65.527476899999996</v>
      </c>
      <c r="F326" s="100" t="str">
        <f t="shared" si="3"/>
        <v>Naranja</v>
      </c>
    </row>
    <row r="327" spans="1:6">
      <c r="A327" s="76">
        <v>80802</v>
      </c>
      <c r="B327" s="101" t="s">
        <v>422</v>
      </c>
      <c r="C327" s="100">
        <v>36.109578999999997</v>
      </c>
      <c r="D327" s="100" t="str">
        <f t="shared" si="2"/>
        <v>Rojo</v>
      </c>
      <c r="E327" s="100">
        <v>51.298701299999998</v>
      </c>
      <c r="F327" s="100" t="str">
        <f t="shared" si="3"/>
        <v>Naranja</v>
      </c>
    </row>
    <row r="328" spans="1:6">
      <c r="A328" s="76">
        <v>80803</v>
      </c>
      <c r="B328" s="101" t="s">
        <v>423</v>
      </c>
      <c r="C328" s="100">
        <v>26.7637459</v>
      </c>
      <c r="D328" s="100" t="str">
        <f t="shared" si="2"/>
        <v>Rojo</v>
      </c>
      <c r="E328" s="100">
        <v>58.207319699999999</v>
      </c>
      <c r="F328" s="100" t="str">
        <f t="shared" si="3"/>
        <v>Naranja</v>
      </c>
    </row>
    <row r="329" spans="1:6">
      <c r="A329" s="76">
        <v>80901</v>
      </c>
      <c r="B329" s="101" t="s">
        <v>425</v>
      </c>
      <c r="C329" s="100">
        <v>1.7296605</v>
      </c>
      <c r="D329" s="100" t="str">
        <f t="shared" si="2"/>
        <v>Rojo</v>
      </c>
      <c r="E329" s="100">
        <v>9.0886011999999994</v>
      </c>
      <c r="F329" s="100" t="str">
        <f t="shared" si="3"/>
        <v>Rojo</v>
      </c>
    </row>
    <row r="330" spans="1:6">
      <c r="A330" s="76">
        <v>90101</v>
      </c>
      <c r="B330" s="101" t="s">
        <v>428</v>
      </c>
      <c r="C330" s="100">
        <v>94.364800099999997</v>
      </c>
      <c r="D330" s="100" t="str">
        <f t="shared" si="2"/>
        <v>Verde</v>
      </c>
      <c r="E330" s="100">
        <v>98.378473299999996</v>
      </c>
      <c r="F330" s="100" t="str">
        <f t="shared" si="3"/>
        <v>Verde</v>
      </c>
    </row>
    <row r="331" spans="1:6">
      <c r="A331" s="76">
        <v>90102</v>
      </c>
      <c r="B331" s="101" t="s">
        <v>429</v>
      </c>
      <c r="C331" s="100">
        <v>69.382059799999993</v>
      </c>
      <c r="D331" s="100" t="str">
        <f t="shared" si="2"/>
        <v>Amarillo</v>
      </c>
      <c r="E331" s="100">
        <v>90.686819299999996</v>
      </c>
      <c r="F331" s="100" t="str">
        <f t="shared" si="3"/>
        <v>Verde</v>
      </c>
    </row>
    <row r="332" spans="1:6">
      <c r="A332" s="76">
        <v>90103</v>
      </c>
      <c r="B332" s="101" t="s">
        <v>430</v>
      </c>
      <c r="C332" s="100">
        <v>22.481751800000001</v>
      </c>
      <c r="D332" s="100" t="str">
        <f t="shared" si="2"/>
        <v>Rojo</v>
      </c>
      <c r="E332" s="100">
        <v>59.595525000000002</v>
      </c>
      <c r="F332" s="100" t="str">
        <f t="shared" si="3"/>
        <v>Naranja</v>
      </c>
    </row>
    <row r="333" spans="1:6">
      <c r="A333" s="76">
        <v>90104</v>
      </c>
      <c r="B333" s="101" t="s">
        <v>431</v>
      </c>
      <c r="C333" s="100">
        <v>44.621061599999997</v>
      </c>
      <c r="D333" s="100" t="str">
        <f t="shared" si="2"/>
        <v>Rojo</v>
      </c>
      <c r="E333" s="100">
        <v>74.191652000000005</v>
      </c>
      <c r="F333" s="100" t="str">
        <f t="shared" si="3"/>
        <v>Amarillo</v>
      </c>
    </row>
    <row r="334" spans="1:6">
      <c r="A334" s="76">
        <v>90201</v>
      </c>
      <c r="B334" s="101" t="s">
        <v>433</v>
      </c>
      <c r="C334" s="100">
        <v>48.334527199999997</v>
      </c>
      <c r="D334" s="100" t="str">
        <f t="shared" si="2"/>
        <v>Rojo</v>
      </c>
      <c r="E334" s="100">
        <v>78.2007938</v>
      </c>
      <c r="F334" s="100" t="str">
        <f t="shared" si="3"/>
        <v>Amarillo</v>
      </c>
    </row>
    <row r="335" spans="1:6">
      <c r="A335" s="76">
        <v>90202</v>
      </c>
      <c r="B335" s="101" t="s">
        <v>280</v>
      </c>
      <c r="C335" s="100">
        <v>4.0685944999999997</v>
      </c>
      <c r="D335" s="100" t="str">
        <f t="shared" si="2"/>
        <v>Rojo</v>
      </c>
      <c r="E335" s="100">
        <v>11.001540800000001</v>
      </c>
      <c r="F335" s="100" t="str">
        <f t="shared" si="3"/>
        <v>Rojo</v>
      </c>
    </row>
    <row r="336" spans="1:6">
      <c r="A336" s="76">
        <v>90203</v>
      </c>
      <c r="B336" s="101" t="s">
        <v>434</v>
      </c>
      <c r="C336" s="100">
        <v>21.4857975</v>
      </c>
      <c r="D336" s="100" t="str">
        <f t="shared" si="2"/>
        <v>Rojo</v>
      </c>
      <c r="E336" s="100">
        <v>78.540826600000003</v>
      </c>
      <c r="F336" s="100" t="str">
        <f t="shared" si="3"/>
        <v>Amarillo</v>
      </c>
    </row>
    <row r="337" spans="1:6">
      <c r="A337" s="76">
        <v>90301</v>
      </c>
      <c r="B337" s="101" t="s">
        <v>436</v>
      </c>
      <c r="C337" s="100">
        <v>14.3826503</v>
      </c>
      <c r="D337" s="100" t="str">
        <f t="shared" si="2"/>
        <v>Rojo</v>
      </c>
      <c r="E337" s="100">
        <v>49.293361900000001</v>
      </c>
      <c r="F337" s="100" t="str">
        <f t="shared" si="3"/>
        <v>Rojo</v>
      </c>
    </row>
    <row r="338" spans="1:6">
      <c r="A338" s="76">
        <v>90302</v>
      </c>
      <c r="B338" s="101" t="s">
        <v>329</v>
      </c>
      <c r="C338" s="100">
        <v>13.385490799999999</v>
      </c>
      <c r="D338" s="100" t="str">
        <f t="shared" si="2"/>
        <v>Rojo</v>
      </c>
      <c r="E338" s="100">
        <v>56.096020199999998</v>
      </c>
      <c r="F338" s="100" t="str">
        <f t="shared" si="3"/>
        <v>Naranja</v>
      </c>
    </row>
    <row r="339" spans="1:6">
      <c r="A339" s="76">
        <v>90303</v>
      </c>
      <c r="B339" s="101" t="s">
        <v>437</v>
      </c>
      <c r="C339" s="100">
        <v>15.845983</v>
      </c>
      <c r="D339" s="100" t="str">
        <f t="shared" si="2"/>
        <v>Rojo</v>
      </c>
      <c r="E339" s="100">
        <v>55.838662100000001</v>
      </c>
      <c r="F339" s="100" t="str">
        <f t="shared" si="3"/>
        <v>Naranja</v>
      </c>
    </row>
    <row r="340" spans="1:6">
      <c r="A340" s="76">
        <v>90401</v>
      </c>
      <c r="B340" s="101" t="s">
        <v>356</v>
      </c>
      <c r="C340" s="100">
        <v>23.9852399</v>
      </c>
      <c r="D340" s="100" t="str">
        <f t="shared" si="2"/>
        <v>Rojo</v>
      </c>
      <c r="E340" s="100">
        <v>74.148936199999994</v>
      </c>
      <c r="F340" s="100" t="str">
        <f t="shared" si="3"/>
        <v>Amarillo</v>
      </c>
    </row>
    <row r="341" spans="1:6">
      <c r="A341" s="76">
        <v>90402</v>
      </c>
      <c r="B341" s="101" t="s">
        <v>99</v>
      </c>
      <c r="C341" s="100">
        <v>10.1003764</v>
      </c>
      <c r="D341" s="100" t="str">
        <f t="shared" si="2"/>
        <v>Rojo</v>
      </c>
      <c r="E341" s="100">
        <v>48.678500999999997</v>
      </c>
      <c r="F341" s="100" t="str">
        <f t="shared" si="3"/>
        <v>Rojo</v>
      </c>
    </row>
    <row r="342" spans="1:6">
      <c r="A342" s="76">
        <v>90501</v>
      </c>
      <c r="B342" s="101" t="s">
        <v>440</v>
      </c>
      <c r="C342" s="100">
        <v>20.293951400000001</v>
      </c>
      <c r="D342" s="100" t="str">
        <f t="shared" si="2"/>
        <v>Rojo</v>
      </c>
      <c r="E342" s="100">
        <v>59.325270500000002</v>
      </c>
      <c r="F342" s="100" t="str">
        <f t="shared" si="3"/>
        <v>Naranja</v>
      </c>
    </row>
    <row r="343" spans="1:6">
      <c r="A343" s="76">
        <v>90502</v>
      </c>
      <c r="B343" s="101" t="s">
        <v>441</v>
      </c>
      <c r="C343" s="100">
        <v>15.412315400000001</v>
      </c>
      <c r="D343" s="100" t="str">
        <f t="shared" si="2"/>
        <v>Rojo</v>
      </c>
      <c r="E343" s="100">
        <v>43.237787599999997</v>
      </c>
      <c r="F343" s="100" t="str">
        <f t="shared" si="3"/>
        <v>Rojo</v>
      </c>
    </row>
    <row r="344" spans="1:6">
      <c r="A344" s="76">
        <v>90503</v>
      </c>
      <c r="B344" s="101" t="s">
        <v>442</v>
      </c>
      <c r="C344" s="100">
        <v>5.2658487000000003</v>
      </c>
      <c r="D344" s="100" t="str">
        <f t="shared" si="2"/>
        <v>Rojo</v>
      </c>
      <c r="E344" s="100">
        <v>42.599118900000001</v>
      </c>
      <c r="F344" s="100" t="str">
        <f t="shared" si="3"/>
        <v>Rojo</v>
      </c>
    </row>
    <row r="345" spans="1:6">
      <c r="A345" s="76"/>
      <c r="B345" s="76"/>
      <c r="C345" s="76"/>
      <c r="D345" s="76"/>
      <c r="E345" s="76"/>
      <c r="F345" s="76"/>
    </row>
    <row r="346" spans="1:6">
      <c r="A346" s="76"/>
      <c r="B346" s="76"/>
      <c r="C346" s="76"/>
      <c r="D346" s="76"/>
      <c r="E346" s="76"/>
      <c r="F346" s="76"/>
    </row>
    <row r="347" spans="1:6">
      <c r="A347" s="76"/>
      <c r="B347" s="76"/>
      <c r="C347" s="76"/>
      <c r="D347" s="76"/>
      <c r="E347" s="76"/>
      <c r="F347" s="76"/>
    </row>
    <row r="348" spans="1:6">
      <c r="A348" s="76"/>
      <c r="B348" s="76"/>
      <c r="C348" s="76"/>
      <c r="D348" s="76"/>
      <c r="E348" s="76"/>
      <c r="F348" s="76"/>
    </row>
    <row r="349" spans="1:6">
      <c r="A349" s="76"/>
      <c r="B349" s="76"/>
      <c r="C349" s="76"/>
      <c r="D349" s="76"/>
      <c r="E349" s="76"/>
      <c r="F349" s="76"/>
    </row>
    <row r="350" spans="1:6">
      <c r="A350" s="76"/>
      <c r="B350" s="76"/>
      <c r="C350" s="76"/>
      <c r="D350" s="76"/>
      <c r="E350" s="76"/>
      <c r="F350" s="76"/>
    </row>
    <row r="351" spans="1:6">
      <c r="A351" s="76"/>
      <c r="B351" s="76"/>
      <c r="C351" s="76"/>
      <c r="D351" s="76"/>
      <c r="E351" s="76"/>
      <c r="F351" s="76"/>
    </row>
    <row r="352" spans="1:6">
      <c r="A352" s="76"/>
      <c r="B352" s="76"/>
      <c r="C352" s="76"/>
      <c r="D352" s="76"/>
      <c r="E352" s="76"/>
      <c r="F352" s="76"/>
    </row>
    <row r="353" spans="1:6">
      <c r="A353" s="76"/>
      <c r="B353" s="76"/>
      <c r="C353" s="76"/>
      <c r="D353" s="76"/>
      <c r="E353" s="76"/>
      <c r="F353" s="76"/>
    </row>
    <row r="354" spans="1:6">
      <c r="A354" s="76"/>
      <c r="B354" s="76"/>
      <c r="C354" s="76"/>
      <c r="D354" s="76"/>
      <c r="E354" s="76"/>
      <c r="F354" s="76"/>
    </row>
    <row r="355" spans="1:6">
      <c r="A355" s="76"/>
      <c r="B355" s="76"/>
      <c r="C355" s="76"/>
      <c r="D355" s="76"/>
      <c r="E355" s="76"/>
      <c r="F355" s="76"/>
    </row>
    <row r="356" spans="1:6">
      <c r="A356" s="76"/>
      <c r="B356" s="76"/>
      <c r="C356" s="76"/>
      <c r="D356" s="76"/>
      <c r="E356" s="76"/>
      <c r="F356" s="76"/>
    </row>
    <row r="357" spans="1:6">
      <c r="A357" s="76"/>
      <c r="B357" s="76"/>
      <c r="C357" s="76"/>
      <c r="D357" s="76"/>
      <c r="E357" s="76"/>
      <c r="F357" s="76"/>
    </row>
    <row r="358" spans="1:6">
      <c r="A358" s="76"/>
      <c r="B358" s="76"/>
      <c r="C358" s="76"/>
      <c r="D358" s="76"/>
      <c r="E358" s="76"/>
      <c r="F358" s="76"/>
    </row>
    <row r="359" spans="1:6">
      <c r="A359" s="76"/>
      <c r="B359" s="76"/>
      <c r="C359" s="76"/>
      <c r="D359" s="76"/>
      <c r="E359" s="76"/>
      <c r="F359" s="76"/>
    </row>
    <row r="360" spans="1:6">
      <c r="A360" s="76"/>
      <c r="B360" s="76"/>
      <c r="C360" s="76"/>
      <c r="D360" s="76"/>
      <c r="E360" s="76"/>
      <c r="F360" s="76"/>
    </row>
    <row r="361" spans="1:6">
      <c r="A361" s="76"/>
      <c r="B361" s="76"/>
      <c r="C361" s="76"/>
      <c r="D361" s="76"/>
      <c r="E361" s="76"/>
      <c r="F361" s="76"/>
    </row>
    <row r="362" spans="1:6">
      <c r="A362" s="76"/>
      <c r="B362" s="76"/>
      <c r="C362" s="76"/>
      <c r="D362" s="76"/>
      <c r="E362" s="76"/>
      <c r="F362" s="76"/>
    </row>
    <row r="363" spans="1:6">
      <c r="A363" s="76"/>
      <c r="B363" s="76"/>
      <c r="C363" s="76"/>
      <c r="D363" s="76"/>
      <c r="E363" s="76"/>
      <c r="F363" s="76"/>
    </row>
    <row r="364" spans="1:6">
      <c r="A364" s="76"/>
      <c r="B364" s="76"/>
      <c r="C364" s="76"/>
      <c r="D364" s="76"/>
      <c r="E364" s="76"/>
      <c r="F364" s="76"/>
    </row>
    <row r="365" spans="1:6">
      <c r="A365" s="76"/>
      <c r="B365" s="76"/>
      <c r="C365" s="76"/>
      <c r="D365" s="76"/>
      <c r="E365" s="76"/>
      <c r="F365" s="76"/>
    </row>
    <row r="366" spans="1:6">
      <c r="A366" s="76"/>
      <c r="B366" s="76"/>
      <c r="C366" s="76"/>
      <c r="D366" s="76"/>
      <c r="E366" s="76"/>
      <c r="F366" s="76"/>
    </row>
    <row r="367" spans="1:6">
      <c r="A367" s="76"/>
      <c r="B367" s="76"/>
      <c r="C367" s="76"/>
      <c r="D367" s="76"/>
      <c r="E367" s="76"/>
      <c r="F367" s="76"/>
    </row>
    <row r="368" spans="1:6">
      <c r="A368" s="76"/>
      <c r="B368" s="76"/>
      <c r="C368" s="76"/>
      <c r="D368" s="76"/>
      <c r="E368" s="76"/>
      <c r="F368" s="76"/>
    </row>
    <row r="369" spans="1:6">
      <c r="A369" s="76"/>
      <c r="B369" s="76"/>
      <c r="C369" s="76"/>
      <c r="D369" s="76"/>
      <c r="E369" s="76"/>
      <c r="F369" s="76"/>
    </row>
    <row r="370" spans="1:6">
      <c r="A370" s="76"/>
      <c r="B370" s="76"/>
      <c r="C370" s="76"/>
      <c r="D370" s="76"/>
      <c r="E370" s="76"/>
      <c r="F370" s="76"/>
    </row>
    <row r="371" spans="1:6">
      <c r="A371" s="76"/>
      <c r="B371" s="76"/>
      <c r="C371" s="76"/>
      <c r="D371" s="76"/>
      <c r="E371" s="76"/>
      <c r="F371" s="76"/>
    </row>
    <row r="372" spans="1:6">
      <c r="A372" s="76"/>
      <c r="B372" s="76"/>
      <c r="C372" s="76"/>
      <c r="D372" s="76"/>
      <c r="E372" s="76"/>
      <c r="F372" s="76"/>
    </row>
    <row r="373" spans="1:6">
      <c r="A373" s="76"/>
      <c r="B373" s="76"/>
      <c r="C373" s="76"/>
      <c r="D373" s="76"/>
      <c r="E373" s="76"/>
      <c r="F373" s="76"/>
    </row>
    <row r="374" spans="1:6">
      <c r="A374" s="76"/>
      <c r="B374" s="76"/>
      <c r="C374" s="76"/>
      <c r="D374" s="76"/>
      <c r="E374" s="76"/>
      <c r="F374" s="76"/>
    </row>
    <row r="375" spans="1:6">
      <c r="A375" s="76"/>
      <c r="B375" s="76"/>
      <c r="C375" s="76"/>
      <c r="D375" s="76"/>
      <c r="E375" s="76"/>
      <c r="F375" s="76"/>
    </row>
    <row r="376" spans="1:6">
      <c r="A376" s="76"/>
      <c r="B376" s="76"/>
      <c r="C376" s="76"/>
      <c r="D376" s="76"/>
      <c r="E376" s="76"/>
      <c r="F376" s="76"/>
    </row>
    <row r="377" spans="1:6">
      <c r="A377" s="76"/>
      <c r="B377" s="76"/>
      <c r="C377" s="76"/>
      <c r="D377" s="76"/>
      <c r="E377" s="76"/>
      <c r="F377" s="76"/>
    </row>
    <row r="378" spans="1:6">
      <c r="A378" s="76"/>
      <c r="B378" s="76"/>
      <c r="C378" s="76"/>
      <c r="D378" s="76"/>
      <c r="E378" s="76"/>
      <c r="F378" s="76"/>
    </row>
    <row r="379" spans="1:6">
      <c r="A379" s="76"/>
      <c r="B379" s="76"/>
      <c r="C379" s="76"/>
      <c r="D379" s="76"/>
      <c r="E379" s="76"/>
      <c r="F379" s="76"/>
    </row>
    <row r="380" spans="1:6">
      <c r="A380" s="76"/>
      <c r="B380" s="76"/>
      <c r="C380" s="76"/>
      <c r="D380" s="76"/>
      <c r="E380" s="76"/>
      <c r="F380" s="76"/>
    </row>
    <row r="381" spans="1:6">
      <c r="A381" s="76"/>
      <c r="B381" s="76"/>
      <c r="C381" s="76"/>
      <c r="D381" s="76"/>
      <c r="E381" s="76"/>
      <c r="F381" s="76"/>
    </row>
    <row r="382" spans="1:6">
      <c r="A382" s="76"/>
      <c r="B382" s="76"/>
      <c r="C382" s="76"/>
      <c r="D382" s="76"/>
      <c r="E382" s="76"/>
      <c r="F382" s="76"/>
    </row>
    <row r="383" spans="1:6">
      <c r="A383" s="76"/>
      <c r="B383" s="76"/>
      <c r="C383" s="76"/>
      <c r="D383" s="76"/>
      <c r="E383" s="76"/>
      <c r="F383" s="76"/>
    </row>
    <row r="384" spans="1:6">
      <c r="A384" s="76"/>
      <c r="B384" s="76"/>
      <c r="C384" s="76"/>
      <c r="D384" s="76"/>
      <c r="E384" s="76"/>
      <c r="F384" s="76"/>
    </row>
    <row r="385" spans="1:6">
      <c r="A385" s="76"/>
      <c r="B385" s="76"/>
      <c r="C385" s="76"/>
      <c r="D385" s="76"/>
      <c r="E385" s="76"/>
      <c r="F385" s="76"/>
    </row>
    <row r="386" spans="1:6">
      <c r="A386" s="76"/>
      <c r="B386" s="76"/>
      <c r="C386" s="76"/>
      <c r="D386" s="76"/>
      <c r="E386" s="76"/>
      <c r="F386" s="76"/>
    </row>
    <row r="387" spans="1:6">
      <c r="A387" s="76"/>
      <c r="B387" s="76"/>
      <c r="C387" s="76"/>
      <c r="D387" s="76"/>
      <c r="E387" s="76"/>
      <c r="F387" s="76"/>
    </row>
    <row r="388" spans="1:6">
      <c r="A388" s="76"/>
      <c r="B388" s="76"/>
      <c r="C388" s="76"/>
      <c r="D388" s="76"/>
      <c r="E388" s="76"/>
      <c r="F388" s="76"/>
    </row>
    <row r="389" spans="1:6">
      <c r="A389" s="76"/>
      <c r="B389" s="76"/>
      <c r="C389" s="76"/>
      <c r="D389" s="76"/>
      <c r="E389" s="76"/>
      <c r="F389" s="76"/>
    </row>
    <row r="390" spans="1:6">
      <c r="A390" s="76"/>
      <c r="B390" s="76"/>
      <c r="C390" s="76"/>
      <c r="D390" s="76"/>
      <c r="E390" s="76"/>
      <c r="F390" s="76"/>
    </row>
    <row r="391" spans="1:6">
      <c r="A391" s="76"/>
      <c r="B391" s="76"/>
      <c r="C391" s="76"/>
      <c r="D391" s="76"/>
      <c r="E391" s="76"/>
      <c r="F391" s="76"/>
    </row>
    <row r="392" spans="1:6">
      <c r="A392" s="76"/>
      <c r="B392" s="76"/>
      <c r="C392" s="76"/>
      <c r="D392" s="76"/>
      <c r="E392" s="76"/>
      <c r="F392" s="76"/>
    </row>
    <row r="393" spans="1:6">
      <c r="A393" s="76"/>
      <c r="B393" s="76"/>
      <c r="C393" s="76"/>
      <c r="D393" s="76"/>
      <c r="E393" s="76"/>
      <c r="F393" s="76"/>
    </row>
    <row r="394" spans="1:6">
      <c r="A394" s="76"/>
      <c r="B394" s="76"/>
      <c r="C394" s="76"/>
      <c r="D394" s="76"/>
      <c r="E394" s="76"/>
      <c r="F394" s="76"/>
    </row>
    <row r="395" spans="1:6">
      <c r="A395" s="76"/>
      <c r="B395" s="76"/>
      <c r="C395" s="76"/>
      <c r="D395" s="76"/>
      <c r="E395" s="76"/>
      <c r="F395" s="76"/>
    </row>
    <row r="396" spans="1:6">
      <c r="A396" s="76"/>
      <c r="B396" s="76"/>
      <c r="C396" s="76"/>
      <c r="D396" s="76"/>
      <c r="E396" s="76"/>
      <c r="F396" s="76"/>
    </row>
    <row r="397" spans="1:6">
      <c r="A397" s="76"/>
      <c r="B397" s="76"/>
      <c r="C397" s="76"/>
      <c r="D397" s="76"/>
      <c r="E397" s="76"/>
      <c r="F397" s="76"/>
    </row>
    <row r="398" spans="1:6">
      <c r="A398" s="76"/>
      <c r="B398" s="76"/>
      <c r="C398" s="76"/>
      <c r="D398" s="76"/>
      <c r="E398" s="76"/>
      <c r="F398" s="76"/>
    </row>
    <row r="399" spans="1:6">
      <c r="A399" s="76"/>
      <c r="B399" s="76"/>
      <c r="C399" s="76"/>
      <c r="D399" s="76"/>
      <c r="E399" s="76"/>
      <c r="F399" s="76"/>
    </row>
    <row r="400" spans="1:6">
      <c r="A400" s="76"/>
      <c r="B400" s="76"/>
      <c r="C400" s="76"/>
      <c r="D400" s="76"/>
      <c r="E400" s="76"/>
      <c r="F400" s="76"/>
    </row>
    <row r="401" spans="1:6">
      <c r="A401" s="76"/>
      <c r="B401" s="76"/>
      <c r="C401" s="76"/>
      <c r="D401" s="76"/>
      <c r="E401" s="76"/>
      <c r="F401" s="76"/>
    </row>
    <row r="402" spans="1:6">
      <c r="A402" s="76"/>
      <c r="B402" s="76"/>
      <c r="C402" s="76"/>
      <c r="D402" s="76"/>
      <c r="E402" s="76"/>
      <c r="F402" s="76"/>
    </row>
    <row r="403" spans="1:6">
      <c r="A403" s="76"/>
      <c r="B403" s="76"/>
      <c r="C403" s="76"/>
      <c r="D403" s="76"/>
      <c r="E403" s="76"/>
      <c r="F403" s="76"/>
    </row>
    <row r="404" spans="1:6">
      <c r="A404" s="76"/>
      <c r="B404" s="76"/>
      <c r="C404" s="76"/>
      <c r="D404" s="76"/>
      <c r="E404" s="76"/>
      <c r="F404" s="76"/>
    </row>
    <row r="405" spans="1:6">
      <c r="A405" s="76"/>
      <c r="B405" s="76"/>
      <c r="C405" s="76"/>
      <c r="D405" s="76"/>
      <c r="E405" s="76"/>
      <c r="F405" s="76"/>
    </row>
    <row r="406" spans="1:6">
      <c r="A406" s="76"/>
      <c r="B406" s="76"/>
      <c r="C406" s="76"/>
      <c r="D406" s="76"/>
      <c r="E406" s="76"/>
      <c r="F406" s="76"/>
    </row>
    <row r="407" spans="1:6">
      <c r="A407" s="76"/>
      <c r="B407" s="76"/>
      <c r="C407" s="76"/>
      <c r="D407" s="76"/>
      <c r="E407" s="76"/>
      <c r="F407" s="76"/>
    </row>
    <row r="408" spans="1:6">
      <c r="A408" s="76"/>
      <c r="B408" s="76"/>
      <c r="C408" s="76"/>
      <c r="D408" s="76"/>
      <c r="E408" s="76"/>
      <c r="F408" s="76"/>
    </row>
    <row r="409" spans="1:6">
      <c r="A409" s="76"/>
      <c r="B409" s="76"/>
      <c r="C409" s="76"/>
      <c r="D409" s="76"/>
      <c r="E409" s="76"/>
      <c r="F409" s="76"/>
    </row>
    <row r="410" spans="1:6">
      <c r="A410" s="76"/>
      <c r="B410" s="76"/>
      <c r="C410" s="76"/>
      <c r="D410" s="76"/>
      <c r="E410" s="76"/>
      <c r="F410" s="76"/>
    </row>
    <row r="411" spans="1:6">
      <c r="A411" s="76"/>
      <c r="B411" s="76"/>
      <c r="C411" s="76"/>
      <c r="D411" s="76"/>
      <c r="E411" s="76"/>
      <c r="F411" s="76"/>
    </row>
    <row r="412" spans="1:6">
      <c r="A412" s="76"/>
      <c r="B412" s="76"/>
      <c r="C412" s="76"/>
      <c r="D412" s="76"/>
      <c r="E412" s="76"/>
      <c r="F412" s="76"/>
    </row>
    <row r="413" spans="1:6">
      <c r="A413" s="76"/>
      <c r="B413" s="76"/>
      <c r="C413" s="76"/>
      <c r="D413" s="76"/>
      <c r="E413" s="76"/>
      <c r="F413" s="76"/>
    </row>
    <row r="414" spans="1:6">
      <c r="A414" s="76"/>
      <c r="B414" s="76"/>
      <c r="C414" s="76"/>
      <c r="D414" s="76"/>
      <c r="E414" s="76"/>
      <c r="F414" s="76"/>
    </row>
    <row r="415" spans="1:6">
      <c r="A415" s="76"/>
      <c r="B415" s="76"/>
      <c r="C415" s="76"/>
      <c r="D415" s="76"/>
      <c r="E415" s="76"/>
      <c r="F415" s="76"/>
    </row>
    <row r="416" spans="1:6">
      <c r="A416" s="76"/>
      <c r="B416" s="76"/>
      <c r="C416" s="76"/>
      <c r="D416" s="76"/>
      <c r="E416" s="76"/>
      <c r="F416" s="76"/>
    </row>
    <row r="417" spans="1:6">
      <c r="A417" s="76"/>
      <c r="B417" s="76"/>
      <c r="C417" s="76"/>
      <c r="D417" s="76"/>
      <c r="E417" s="76"/>
      <c r="F417" s="76"/>
    </row>
    <row r="418" spans="1:6">
      <c r="A418" s="76"/>
      <c r="B418" s="76"/>
      <c r="C418" s="76"/>
      <c r="D418" s="76"/>
      <c r="E418" s="76"/>
      <c r="F418" s="76"/>
    </row>
    <row r="419" spans="1:6">
      <c r="A419" s="76"/>
      <c r="B419" s="76"/>
      <c r="C419" s="76"/>
      <c r="D419" s="76"/>
      <c r="E419" s="76"/>
      <c r="F419" s="76"/>
    </row>
    <row r="420" spans="1:6">
      <c r="A420" s="76"/>
      <c r="B420" s="76"/>
      <c r="C420" s="76"/>
      <c r="D420" s="76"/>
      <c r="E420" s="76"/>
      <c r="F420" s="76"/>
    </row>
    <row r="421" spans="1:6">
      <c r="A421" s="76"/>
      <c r="B421" s="76"/>
      <c r="C421" s="76"/>
      <c r="D421" s="76"/>
      <c r="E421" s="76"/>
      <c r="F421" s="76"/>
    </row>
    <row r="422" spans="1:6">
      <c r="A422" s="76"/>
      <c r="B422" s="76"/>
      <c r="C422" s="76"/>
      <c r="D422" s="76"/>
      <c r="E422" s="76"/>
      <c r="F422" s="76"/>
    </row>
    <row r="423" spans="1:6">
      <c r="A423" s="76"/>
      <c r="B423" s="76"/>
      <c r="C423" s="76"/>
      <c r="D423" s="76"/>
      <c r="E423" s="76"/>
      <c r="F423" s="76"/>
    </row>
    <row r="424" spans="1:6">
      <c r="A424" s="76"/>
      <c r="B424" s="76"/>
      <c r="C424" s="76"/>
      <c r="D424" s="76"/>
      <c r="E424" s="76"/>
      <c r="F424" s="76"/>
    </row>
    <row r="425" spans="1:6">
      <c r="A425" s="76"/>
      <c r="B425" s="76"/>
      <c r="C425" s="76"/>
      <c r="D425" s="76"/>
      <c r="E425" s="76"/>
      <c r="F425" s="76"/>
    </row>
    <row r="426" spans="1:6">
      <c r="A426" s="76"/>
      <c r="B426" s="76"/>
      <c r="C426" s="76"/>
      <c r="D426" s="76"/>
      <c r="E426" s="76"/>
      <c r="F426" s="76"/>
    </row>
    <row r="427" spans="1:6">
      <c r="A427" s="76"/>
      <c r="B427" s="76"/>
      <c r="C427" s="76"/>
      <c r="D427" s="76"/>
      <c r="E427" s="76"/>
      <c r="F427" s="76"/>
    </row>
    <row r="428" spans="1:6">
      <c r="A428" s="76"/>
      <c r="B428" s="76"/>
      <c r="C428" s="76"/>
      <c r="D428" s="76"/>
      <c r="E428" s="76"/>
      <c r="F428" s="76"/>
    </row>
    <row r="429" spans="1:6">
      <c r="A429" s="76"/>
      <c r="B429" s="76"/>
      <c r="C429" s="76"/>
      <c r="D429" s="76"/>
      <c r="E429" s="76"/>
      <c r="F429" s="76"/>
    </row>
    <row r="430" spans="1:6">
      <c r="A430" s="76"/>
      <c r="B430" s="76"/>
      <c r="C430" s="76"/>
      <c r="D430" s="76"/>
      <c r="E430" s="76"/>
      <c r="F430" s="76"/>
    </row>
    <row r="431" spans="1:6">
      <c r="A431" s="76"/>
      <c r="B431" s="76"/>
      <c r="C431" s="76"/>
      <c r="D431" s="76"/>
      <c r="E431" s="76"/>
      <c r="F431" s="76"/>
    </row>
    <row r="432" spans="1:6">
      <c r="A432" s="76"/>
      <c r="B432" s="76"/>
      <c r="C432" s="76"/>
      <c r="D432" s="76"/>
      <c r="E432" s="76"/>
      <c r="F432" s="76"/>
    </row>
    <row r="433" spans="1:6">
      <c r="A433" s="76"/>
      <c r="B433" s="76"/>
      <c r="C433" s="76"/>
      <c r="D433" s="76"/>
      <c r="E433" s="76"/>
      <c r="F433" s="76"/>
    </row>
    <row r="434" spans="1:6">
      <c r="A434" s="76"/>
      <c r="B434" s="76"/>
      <c r="C434" s="76"/>
      <c r="D434" s="76"/>
      <c r="E434" s="76"/>
      <c r="F434" s="76"/>
    </row>
    <row r="435" spans="1:6">
      <c r="A435" s="76"/>
      <c r="B435" s="76"/>
      <c r="C435" s="76"/>
      <c r="D435" s="76"/>
      <c r="E435" s="76"/>
      <c r="F435" s="76"/>
    </row>
    <row r="436" spans="1:6">
      <c r="A436" s="76"/>
      <c r="B436" s="76"/>
      <c r="C436" s="76"/>
      <c r="D436" s="76"/>
      <c r="E436" s="76"/>
      <c r="F436" s="76"/>
    </row>
    <row r="437" spans="1:6">
      <c r="A437" s="76"/>
      <c r="B437" s="76"/>
      <c r="C437" s="76"/>
      <c r="D437" s="76"/>
      <c r="E437" s="76"/>
      <c r="F437" s="76"/>
    </row>
    <row r="438" spans="1:6">
      <c r="A438" s="76"/>
      <c r="B438" s="76"/>
      <c r="C438" s="76"/>
      <c r="D438" s="76"/>
      <c r="E438" s="76"/>
      <c r="F438" s="76"/>
    </row>
    <row r="439" spans="1:6">
      <c r="A439" s="76"/>
      <c r="B439" s="76"/>
      <c r="C439" s="76"/>
      <c r="D439" s="76"/>
      <c r="E439" s="76"/>
      <c r="F439" s="76"/>
    </row>
    <row r="440" spans="1:6">
      <c r="A440" s="76"/>
      <c r="B440" s="76"/>
      <c r="C440" s="76"/>
      <c r="D440" s="76"/>
      <c r="E440" s="76"/>
      <c r="F440" s="76"/>
    </row>
    <row r="441" spans="1:6">
      <c r="A441" s="76"/>
      <c r="B441" s="76"/>
      <c r="C441" s="76"/>
      <c r="D441" s="76"/>
      <c r="E441" s="76"/>
      <c r="F441" s="76"/>
    </row>
    <row r="442" spans="1:6">
      <c r="A442" s="76"/>
      <c r="B442" s="76"/>
      <c r="C442" s="76"/>
      <c r="D442" s="76"/>
      <c r="E442" s="76"/>
      <c r="F442" s="76"/>
    </row>
    <row r="443" spans="1:6">
      <c r="A443" s="76"/>
      <c r="B443" s="76"/>
      <c r="C443" s="76"/>
      <c r="D443" s="76"/>
      <c r="E443" s="76"/>
      <c r="F443" s="76"/>
    </row>
    <row r="444" spans="1:6">
      <c r="A444" s="76"/>
      <c r="B444" s="76"/>
      <c r="C444" s="76"/>
      <c r="D444" s="76"/>
      <c r="E444" s="76"/>
      <c r="F444" s="76"/>
    </row>
    <row r="445" spans="1:6">
      <c r="A445" s="76"/>
      <c r="B445" s="76"/>
      <c r="C445" s="76"/>
      <c r="D445" s="76"/>
      <c r="E445" s="76"/>
      <c r="F445" s="76"/>
    </row>
    <row r="446" spans="1:6">
      <c r="A446" s="76"/>
      <c r="B446" s="76"/>
      <c r="C446" s="76"/>
      <c r="D446" s="76"/>
      <c r="E446" s="76"/>
      <c r="F446" s="76"/>
    </row>
    <row r="447" spans="1:6">
      <c r="A447" s="76"/>
      <c r="B447" s="76"/>
      <c r="C447" s="76"/>
      <c r="D447" s="76"/>
      <c r="E447" s="76"/>
      <c r="F447" s="76"/>
    </row>
    <row r="448" spans="1:6">
      <c r="A448" s="76"/>
      <c r="B448" s="76"/>
      <c r="C448" s="76"/>
      <c r="D448" s="76"/>
      <c r="E448" s="76"/>
      <c r="F448" s="76"/>
    </row>
    <row r="449" spans="1:6">
      <c r="A449" s="76"/>
      <c r="B449" s="76"/>
      <c r="C449" s="76"/>
      <c r="D449" s="76"/>
      <c r="E449" s="76"/>
      <c r="F449" s="76"/>
    </row>
    <row r="450" spans="1:6">
      <c r="A450" s="76"/>
      <c r="B450" s="76"/>
      <c r="C450" s="76"/>
      <c r="D450" s="76"/>
      <c r="E450" s="76"/>
      <c r="F450" s="76"/>
    </row>
    <row r="451" spans="1:6">
      <c r="A451" s="76"/>
      <c r="B451" s="76"/>
      <c r="C451" s="76"/>
      <c r="D451" s="76"/>
      <c r="E451" s="76"/>
      <c r="F451" s="76"/>
    </row>
    <row r="452" spans="1:6">
      <c r="A452" s="76"/>
      <c r="B452" s="76"/>
      <c r="C452" s="76"/>
      <c r="D452" s="76"/>
      <c r="E452" s="76"/>
      <c r="F452" s="76"/>
    </row>
    <row r="453" spans="1:6">
      <c r="A453" s="76"/>
      <c r="B453" s="76"/>
      <c r="C453" s="76"/>
      <c r="D453" s="76"/>
      <c r="E453" s="76"/>
      <c r="F453" s="76"/>
    </row>
    <row r="454" spans="1:6">
      <c r="A454" s="76"/>
      <c r="B454" s="76"/>
      <c r="C454" s="76"/>
      <c r="D454" s="76"/>
      <c r="E454" s="76"/>
      <c r="F454" s="76"/>
    </row>
    <row r="455" spans="1:6">
      <c r="A455" s="76"/>
      <c r="B455" s="76"/>
      <c r="C455" s="76"/>
      <c r="D455" s="76"/>
      <c r="E455" s="76"/>
      <c r="F455" s="76"/>
    </row>
    <row r="456" spans="1:6">
      <c r="A456" s="76"/>
      <c r="B456" s="76"/>
      <c r="C456" s="76"/>
      <c r="D456" s="76"/>
      <c r="E456" s="76"/>
      <c r="F456" s="76"/>
    </row>
    <row r="457" spans="1:6">
      <c r="A457" s="76"/>
      <c r="B457" s="76"/>
      <c r="C457" s="76"/>
      <c r="D457" s="76"/>
      <c r="E457" s="76"/>
      <c r="F457" s="76"/>
    </row>
    <row r="458" spans="1:6">
      <c r="A458" s="76"/>
      <c r="B458" s="76"/>
      <c r="C458" s="76"/>
      <c r="D458" s="76"/>
      <c r="E458" s="76"/>
      <c r="F458" s="76"/>
    </row>
    <row r="459" spans="1:6">
      <c r="A459" s="76"/>
      <c r="B459" s="76"/>
      <c r="C459" s="76"/>
      <c r="D459" s="76"/>
      <c r="E459" s="76"/>
      <c r="F459" s="76"/>
    </row>
    <row r="460" spans="1:6">
      <c r="A460" s="76"/>
      <c r="B460" s="76"/>
      <c r="C460" s="76"/>
      <c r="D460" s="76"/>
      <c r="E460" s="76"/>
      <c r="F460" s="76"/>
    </row>
    <row r="461" spans="1:6">
      <c r="A461" s="76"/>
      <c r="B461" s="76"/>
      <c r="C461" s="76"/>
      <c r="D461" s="76"/>
      <c r="E461" s="76"/>
      <c r="F461" s="76"/>
    </row>
    <row r="462" spans="1:6">
      <c r="A462" s="76"/>
      <c r="B462" s="76"/>
      <c r="C462" s="76"/>
      <c r="D462" s="76"/>
      <c r="E462" s="76"/>
      <c r="F462" s="76"/>
    </row>
    <row r="463" spans="1:6">
      <c r="A463" s="76"/>
      <c r="B463" s="76"/>
      <c r="C463" s="76"/>
      <c r="D463" s="76"/>
      <c r="E463" s="76"/>
      <c r="F463" s="76"/>
    </row>
    <row r="464" spans="1:6">
      <c r="A464" s="76"/>
      <c r="B464" s="76"/>
      <c r="C464" s="76"/>
      <c r="D464" s="76"/>
      <c r="E464" s="76"/>
      <c r="F464" s="76"/>
    </row>
    <row r="465" spans="1:6">
      <c r="A465" s="76"/>
      <c r="B465" s="76"/>
      <c r="C465" s="76"/>
      <c r="D465" s="76"/>
      <c r="E465" s="76"/>
      <c r="F465" s="76"/>
    </row>
    <row r="466" spans="1:6">
      <c r="A466" s="76"/>
      <c r="B466" s="76"/>
      <c r="C466" s="76"/>
      <c r="D466" s="76"/>
      <c r="E466" s="76"/>
      <c r="F466" s="76"/>
    </row>
    <row r="467" spans="1:6">
      <c r="A467" s="76"/>
      <c r="B467" s="76"/>
      <c r="C467" s="76"/>
      <c r="D467" s="76"/>
      <c r="E467" s="76"/>
      <c r="F467" s="76"/>
    </row>
    <row r="468" spans="1:6">
      <c r="A468" s="76"/>
      <c r="B468" s="76"/>
      <c r="C468" s="76"/>
      <c r="D468" s="76"/>
      <c r="E468" s="76"/>
      <c r="F468" s="76"/>
    </row>
    <row r="469" spans="1:6">
      <c r="A469" s="76"/>
      <c r="B469" s="76"/>
      <c r="C469" s="76"/>
      <c r="D469" s="76"/>
      <c r="E469" s="76"/>
      <c r="F469" s="76"/>
    </row>
    <row r="470" spans="1:6">
      <c r="A470" s="76"/>
      <c r="B470" s="76"/>
      <c r="C470" s="76"/>
      <c r="D470" s="76"/>
      <c r="E470" s="76"/>
      <c r="F470" s="76"/>
    </row>
    <row r="471" spans="1:6">
      <c r="A471" s="76"/>
      <c r="B471" s="76"/>
      <c r="C471" s="76"/>
      <c r="D471" s="76"/>
      <c r="E471" s="76"/>
      <c r="F471" s="76"/>
    </row>
    <row r="472" spans="1:6">
      <c r="A472" s="76"/>
      <c r="B472" s="76"/>
      <c r="C472" s="76"/>
      <c r="D472" s="76"/>
      <c r="E472" s="76"/>
      <c r="F472" s="76"/>
    </row>
    <row r="473" spans="1:6">
      <c r="A473" s="76"/>
      <c r="B473" s="76"/>
      <c r="C473" s="76"/>
      <c r="D473" s="76"/>
      <c r="E473" s="76"/>
      <c r="F473" s="76"/>
    </row>
    <row r="474" spans="1:6">
      <c r="A474" s="76"/>
      <c r="B474" s="76"/>
      <c r="C474" s="76"/>
      <c r="D474" s="76"/>
      <c r="E474" s="76"/>
      <c r="F474" s="76"/>
    </row>
    <row r="475" spans="1:6">
      <c r="A475" s="76"/>
      <c r="B475" s="76"/>
      <c r="C475" s="76"/>
      <c r="D475" s="76"/>
      <c r="E475" s="76"/>
      <c r="F475" s="76"/>
    </row>
    <row r="476" spans="1:6">
      <c r="A476" s="76"/>
      <c r="B476" s="76"/>
      <c r="C476" s="76"/>
      <c r="D476" s="76"/>
      <c r="E476" s="76"/>
      <c r="F476" s="76"/>
    </row>
    <row r="477" spans="1:6">
      <c r="A477" s="76"/>
      <c r="B477" s="76"/>
      <c r="C477" s="76"/>
      <c r="D477" s="76"/>
      <c r="E477" s="76"/>
      <c r="F477" s="76"/>
    </row>
    <row r="478" spans="1:6">
      <c r="A478" s="76"/>
      <c r="B478" s="76"/>
      <c r="C478" s="76"/>
      <c r="D478" s="76"/>
      <c r="E478" s="76"/>
      <c r="F478" s="76"/>
    </row>
    <row r="479" spans="1:6">
      <c r="A479" s="76"/>
      <c r="B479" s="76"/>
      <c r="C479" s="76"/>
      <c r="D479" s="76"/>
      <c r="E479" s="76"/>
      <c r="F479" s="76"/>
    </row>
    <row r="480" spans="1:6">
      <c r="A480" s="76"/>
      <c r="B480" s="76"/>
      <c r="C480" s="76"/>
      <c r="D480" s="76"/>
      <c r="E480" s="76"/>
      <c r="F480" s="76"/>
    </row>
    <row r="481" spans="1:6">
      <c r="A481" s="76"/>
      <c r="B481" s="76"/>
      <c r="C481" s="76"/>
      <c r="D481" s="76"/>
      <c r="E481" s="76"/>
      <c r="F481" s="76"/>
    </row>
    <row r="482" spans="1:6">
      <c r="A482" s="76"/>
      <c r="B482" s="76"/>
      <c r="C482" s="76"/>
      <c r="D482" s="76"/>
      <c r="E482" s="76"/>
      <c r="F482" s="76"/>
    </row>
    <row r="483" spans="1:6">
      <c r="A483" s="76"/>
      <c r="B483" s="76"/>
      <c r="C483" s="76"/>
      <c r="D483" s="76"/>
      <c r="E483" s="76"/>
      <c r="F483" s="76"/>
    </row>
    <row r="484" spans="1:6">
      <c r="A484" s="76"/>
      <c r="B484" s="76"/>
      <c r="C484" s="76"/>
      <c r="D484" s="76"/>
      <c r="E484" s="76"/>
      <c r="F484" s="76"/>
    </row>
    <row r="485" spans="1:6">
      <c r="A485" s="76"/>
      <c r="B485" s="76"/>
      <c r="C485" s="76"/>
      <c r="D485" s="76"/>
      <c r="E485" s="76"/>
      <c r="F485" s="76"/>
    </row>
    <row r="486" spans="1:6">
      <c r="A486" s="76"/>
      <c r="B486" s="76"/>
      <c r="C486" s="76"/>
      <c r="D486" s="76"/>
      <c r="E486" s="76"/>
      <c r="F486" s="76"/>
    </row>
    <row r="487" spans="1:6">
      <c r="A487" s="76"/>
      <c r="B487" s="76"/>
      <c r="C487" s="76"/>
      <c r="D487" s="76"/>
      <c r="E487" s="76"/>
      <c r="F487" s="76"/>
    </row>
    <row r="488" spans="1:6">
      <c r="A488" s="76"/>
      <c r="B488" s="76"/>
      <c r="C488" s="76"/>
      <c r="D488" s="76"/>
      <c r="E488" s="76"/>
      <c r="F488" s="76"/>
    </row>
    <row r="489" spans="1:6">
      <c r="A489" s="76"/>
      <c r="B489" s="76"/>
      <c r="C489" s="76"/>
      <c r="D489" s="76"/>
      <c r="E489" s="76"/>
      <c r="F489" s="76"/>
    </row>
    <row r="490" spans="1:6">
      <c r="A490" s="76"/>
      <c r="B490" s="76"/>
      <c r="C490" s="76"/>
      <c r="D490" s="76"/>
      <c r="E490" s="76"/>
      <c r="F490" s="76"/>
    </row>
    <row r="491" spans="1:6">
      <c r="A491" s="76"/>
      <c r="B491" s="76"/>
      <c r="C491" s="76"/>
      <c r="D491" s="76"/>
      <c r="E491" s="76"/>
      <c r="F491" s="76"/>
    </row>
    <row r="492" spans="1:6">
      <c r="A492" s="76"/>
      <c r="B492" s="76"/>
      <c r="C492" s="76"/>
      <c r="D492" s="76"/>
      <c r="E492" s="76"/>
      <c r="F492" s="76"/>
    </row>
    <row r="493" spans="1:6">
      <c r="A493" s="76"/>
      <c r="B493" s="76"/>
      <c r="C493" s="76"/>
      <c r="D493" s="76"/>
      <c r="E493" s="76"/>
      <c r="F493" s="76"/>
    </row>
    <row r="494" spans="1:6">
      <c r="A494" s="76"/>
      <c r="B494" s="76"/>
      <c r="C494" s="76"/>
      <c r="D494" s="76"/>
      <c r="E494" s="76"/>
      <c r="F494" s="76"/>
    </row>
    <row r="495" spans="1:6">
      <c r="A495" s="76"/>
      <c r="B495" s="76"/>
      <c r="C495" s="76"/>
      <c r="D495" s="76"/>
      <c r="E495" s="76"/>
      <c r="F495" s="76"/>
    </row>
    <row r="496" spans="1:6">
      <c r="A496" s="76"/>
      <c r="B496" s="76"/>
      <c r="C496" s="76"/>
      <c r="D496" s="76"/>
      <c r="E496" s="76"/>
      <c r="F496" s="76"/>
    </row>
    <row r="497" spans="1:6">
      <c r="A497" s="76"/>
      <c r="B497" s="76"/>
      <c r="C497" s="76"/>
      <c r="D497" s="76"/>
      <c r="E497" s="76"/>
      <c r="F497" s="76"/>
    </row>
    <row r="498" spans="1:6">
      <c r="A498" s="76"/>
      <c r="B498" s="76"/>
      <c r="C498" s="76"/>
      <c r="D498" s="76"/>
      <c r="E498" s="76"/>
      <c r="F498" s="76"/>
    </row>
    <row r="499" spans="1:6">
      <c r="A499" s="76"/>
      <c r="B499" s="76"/>
      <c r="C499" s="76"/>
      <c r="D499" s="76"/>
      <c r="E499" s="76"/>
      <c r="F499" s="76"/>
    </row>
    <row r="500" spans="1:6">
      <c r="A500" s="76"/>
      <c r="B500" s="76"/>
      <c r="C500" s="76"/>
      <c r="D500" s="76"/>
      <c r="E500" s="76"/>
      <c r="F500" s="76"/>
    </row>
    <row r="501" spans="1:6">
      <c r="A501" s="76"/>
      <c r="B501" s="76"/>
      <c r="C501" s="76"/>
      <c r="D501" s="76"/>
      <c r="E501" s="76"/>
      <c r="F501" s="76"/>
    </row>
    <row r="502" spans="1:6">
      <c r="A502" s="76"/>
      <c r="B502" s="76"/>
      <c r="C502" s="76"/>
      <c r="D502" s="76"/>
      <c r="E502" s="76"/>
      <c r="F502" s="76"/>
    </row>
    <row r="503" spans="1:6">
      <c r="A503" s="76"/>
      <c r="B503" s="76"/>
      <c r="C503" s="76"/>
      <c r="D503" s="76"/>
      <c r="E503" s="76"/>
      <c r="F503" s="76"/>
    </row>
    <row r="504" spans="1:6">
      <c r="A504" s="76"/>
      <c r="B504" s="76"/>
      <c r="C504" s="76"/>
      <c r="D504" s="76"/>
      <c r="E504" s="76"/>
      <c r="F504" s="76"/>
    </row>
    <row r="505" spans="1:6">
      <c r="A505" s="76"/>
      <c r="B505" s="76"/>
      <c r="C505" s="76"/>
      <c r="D505" s="76"/>
      <c r="E505" s="76"/>
      <c r="F505" s="76"/>
    </row>
    <row r="506" spans="1:6">
      <c r="A506" s="76"/>
      <c r="B506" s="76"/>
      <c r="C506" s="76"/>
      <c r="D506" s="76"/>
      <c r="E506" s="76"/>
      <c r="F506" s="76"/>
    </row>
    <row r="507" spans="1:6">
      <c r="A507" s="76"/>
      <c r="B507" s="76"/>
      <c r="C507" s="76"/>
      <c r="D507" s="76"/>
      <c r="E507" s="76"/>
      <c r="F507" s="76"/>
    </row>
    <row r="508" spans="1:6">
      <c r="A508" s="76"/>
      <c r="B508" s="76"/>
      <c r="C508" s="76"/>
      <c r="D508" s="76"/>
      <c r="E508" s="76"/>
      <c r="F508" s="76"/>
    </row>
    <row r="509" spans="1:6">
      <c r="A509" s="76"/>
      <c r="B509" s="76"/>
      <c r="C509" s="76"/>
      <c r="D509" s="76"/>
      <c r="E509" s="76"/>
      <c r="F509" s="76"/>
    </row>
    <row r="510" spans="1:6">
      <c r="A510" s="76"/>
      <c r="B510" s="76"/>
      <c r="C510" s="76"/>
      <c r="D510" s="76"/>
      <c r="E510" s="76"/>
      <c r="F510" s="76"/>
    </row>
    <row r="511" spans="1:6">
      <c r="A511" s="76"/>
      <c r="B511" s="76"/>
      <c r="C511" s="76"/>
      <c r="D511" s="76"/>
      <c r="E511" s="76"/>
      <c r="F511" s="76"/>
    </row>
    <row r="512" spans="1:6">
      <c r="A512" s="76"/>
      <c r="B512" s="76"/>
      <c r="C512" s="76"/>
      <c r="D512" s="76"/>
      <c r="E512" s="76"/>
      <c r="F512" s="76"/>
    </row>
    <row r="513" spans="1:6">
      <c r="A513" s="76"/>
      <c r="B513" s="76"/>
      <c r="C513" s="76"/>
      <c r="D513" s="76"/>
      <c r="E513" s="76"/>
      <c r="F513" s="76"/>
    </row>
    <row r="514" spans="1:6">
      <c r="A514" s="76"/>
      <c r="B514" s="76"/>
      <c r="C514" s="76"/>
      <c r="D514" s="76"/>
      <c r="E514" s="76"/>
      <c r="F514" s="76"/>
    </row>
    <row r="515" spans="1:6">
      <c r="A515" s="76"/>
      <c r="B515" s="76"/>
      <c r="C515" s="76"/>
      <c r="D515" s="76"/>
      <c r="E515" s="76"/>
      <c r="F515" s="76"/>
    </row>
    <row r="516" spans="1:6">
      <c r="A516" s="76"/>
      <c r="B516" s="76"/>
      <c r="C516" s="76"/>
      <c r="D516" s="76"/>
      <c r="E516" s="76"/>
      <c r="F516" s="76"/>
    </row>
    <row r="517" spans="1:6">
      <c r="A517" s="76"/>
      <c r="B517" s="76"/>
      <c r="C517" s="76"/>
      <c r="D517" s="76"/>
      <c r="E517" s="76"/>
      <c r="F517" s="76"/>
    </row>
    <row r="518" spans="1:6">
      <c r="A518" s="76"/>
      <c r="B518" s="76"/>
      <c r="C518" s="76"/>
      <c r="D518" s="76"/>
      <c r="E518" s="76"/>
      <c r="F518" s="76"/>
    </row>
    <row r="519" spans="1:6">
      <c r="A519" s="76"/>
      <c r="B519" s="76"/>
      <c r="C519" s="76"/>
      <c r="D519" s="76"/>
      <c r="E519" s="76"/>
      <c r="F519" s="76"/>
    </row>
    <row r="520" spans="1:6">
      <c r="A520" s="76"/>
      <c r="B520" s="76"/>
      <c r="C520" s="76"/>
      <c r="D520" s="76"/>
      <c r="E520" s="76"/>
      <c r="F520" s="76"/>
    </row>
    <row r="521" spans="1:6">
      <c r="A521" s="76"/>
      <c r="B521" s="76"/>
      <c r="C521" s="76"/>
      <c r="D521" s="76"/>
      <c r="E521" s="76"/>
      <c r="F521" s="76"/>
    </row>
    <row r="522" spans="1:6">
      <c r="A522" s="76"/>
      <c r="B522" s="76"/>
      <c r="C522" s="76"/>
      <c r="D522" s="76"/>
      <c r="E522" s="76"/>
      <c r="F522" s="76"/>
    </row>
    <row r="523" spans="1:6">
      <c r="A523" s="76"/>
      <c r="B523" s="76"/>
      <c r="C523" s="76"/>
      <c r="D523" s="76"/>
      <c r="E523" s="76"/>
      <c r="F523" s="76"/>
    </row>
    <row r="524" spans="1:6">
      <c r="A524" s="76"/>
      <c r="B524" s="76"/>
      <c r="C524" s="76"/>
      <c r="D524" s="76"/>
      <c r="E524" s="76"/>
      <c r="F524" s="76"/>
    </row>
    <row r="525" spans="1:6">
      <c r="A525" s="76"/>
      <c r="B525" s="76"/>
      <c r="C525" s="76"/>
      <c r="D525" s="76"/>
      <c r="E525" s="76"/>
      <c r="F525" s="76"/>
    </row>
    <row r="526" spans="1:6">
      <c r="A526" s="76"/>
      <c r="B526" s="76"/>
      <c r="C526" s="76"/>
      <c r="D526" s="76"/>
      <c r="E526" s="76"/>
      <c r="F526" s="76"/>
    </row>
    <row r="527" spans="1:6">
      <c r="A527" s="76"/>
      <c r="B527" s="76"/>
      <c r="C527" s="76"/>
      <c r="D527" s="76"/>
      <c r="E527" s="76"/>
      <c r="F527" s="76"/>
    </row>
    <row r="528" spans="1:6">
      <c r="A528" s="76"/>
      <c r="B528" s="76"/>
      <c r="C528" s="76"/>
      <c r="D528" s="76"/>
      <c r="E528" s="76"/>
      <c r="F528" s="76"/>
    </row>
    <row r="529" spans="1:6">
      <c r="A529" s="76"/>
      <c r="B529" s="76"/>
      <c r="C529" s="76"/>
      <c r="D529" s="76"/>
      <c r="E529" s="76"/>
      <c r="F529" s="76"/>
    </row>
    <row r="530" spans="1:6">
      <c r="A530" s="76"/>
      <c r="B530" s="76"/>
      <c r="C530" s="76"/>
      <c r="D530" s="76"/>
      <c r="E530" s="76"/>
      <c r="F530" s="76"/>
    </row>
    <row r="531" spans="1:6">
      <c r="A531" s="76"/>
      <c r="B531" s="76"/>
      <c r="C531" s="76"/>
      <c r="D531" s="76"/>
      <c r="E531" s="76"/>
      <c r="F531" s="76"/>
    </row>
    <row r="532" spans="1:6">
      <c r="A532" s="76"/>
      <c r="B532" s="76"/>
      <c r="C532" s="76"/>
      <c r="D532" s="76"/>
      <c r="E532" s="76"/>
      <c r="F532" s="76"/>
    </row>
    <row r="533" spans="1:6">
      <c r="A533" s="76"/>
      <c r="B533" s="76"/>
      <c r="C533" s="76"/>
      <c r="D533" s="76"/>
      <c r="E533" s="76"/>
      <c r="F533" s="76"/>
    </row>
    <row r="534" spans="1:6">
      <c r="A534" s="76"/>
      <c r="B534" s="76"/>
      <c r="C534" s="76"/>
      <c r="D534" s="76"/>
      <c r="E534" s="76"/>
      <c r="F534" s="76"/>
    </row>
    <row r="535" spans="1:6">
      <c r="A535" s="76"/>
      <c r="B535" s="76"/>
      <c r="C535" s="76"/>
      <c r="D535" s="76"/>
      <c r="E535" s="76"/>
      <c r="F535" s="76"/>
    </row>
    <row r="536" spans="1:6">
      <c r="A536" s="76"/>
      <c r="B536" s="76"/>
      <c r="C536" s="76"/>
      <c r="D536" s="76"/>
      <c r="E536" s="76"/>
      <c r="F536" s="76"/>
    </row>
    <row r="537" spans="1:6">
      <c r="A537" s="76"/>
      <c r="B537" s="76"/>
      <c r="C537" s="76"/>
      <c r="D537" s="76"/>
      <c r="E537" s="76"/>
      <c r="F537" s="76"/>
    </row>
    <row r="538" spans="1:6">
      <c r="A538" s="76"/>
      <c r="B538" s="76"/>
      <c r="C538" s="76"/>
      <c r="D538" s="76"/>
      <c r="E538" s="76"/>
      <c r="F538" s="76"/>
    </row>
    <row r="539" spans="1:6">
      <c r="A539" s="76"/>
      <c r="B539" s="76"/>
      <c r="C539" s="76"/>
      <c r="D539" s="76"/>
      <c r="E539" s="76"/>
      <c r="F539" s="76"/>
    </row>
    <row r="540" spans="1:6">
      <c r="A540" s="76"/>
      <c r="B540" s="76"/>
      <c r="C540" s="76"/>
      <c r="D540" s="76"/>
      <c r="E540" s="76"/>
      <c r="F540" s="76"/>
    </row>
    <row r="541" spans="1:6">
      <c r="A541" s="76"/>
      <c r="B541" s="76"/>
      <c r="C541" s="76"/>
      <c r="D541" s="76"/>
      <c r="E541" s="76"/>
      <c r="F541" s="76"/>
    </row>
    <row r="542" spans="1:6">
      <c r="A542" s="76"/>
      <c r="B542" s="76"/>
      <c r="C542" s="76"/>
      <c r="D542" s="76"/>
      <c r="E542" s="76"/>
      <c r="F542" s="76"/>
    </row>
    <row r="543" spans="1:6">
      <c r="A543" s="76"/>
      <c r="B543" s="76"/>
      <c r="C543" s="76"/>
      <c r="D543" s="76"/>
      <c r="E543" s="76"/>
      <c r="F543" s="76"/>
    </row>
    <row r="544" spans="1:6">
      <c r="A544" s="76"/>
      <c r="B544" s="76"/>
      <c r="C544" s="76"/>
      <c r="D544" s="76"/>
      <c r="E544" s="76"/>
      <c r="F544" s="76"/>
    </row>
    <row r="545" spans="1:6">
      <c r="A545" s="76"/>
      <c r="B545" s="76"/>
      <c r="C545" s="76"/>
      <c r="D545" s="76"/>
      <c r="E545" s="76"/>
      <c r="F545" s="76"/>
    </row>
    <row r="546" spans="1:6">
      <c r="A546" s="76"/>
      <c r="B546" s="76"/>
      <c r="C546" s="76"/>
      <c r="D546" s="76"/>
      <c r="E546" s="76"/>
      <c r="F546" s="76"/>
    </row>
    <row r="547" spans="1:6">
      <c r="A547" s="76"/>
      <c r="B547" s="76"/>
      <c r="C547" s="76"/>
      <c r="D547" s="76"/>
      <c r="E547" s="76"/>
      <c r="F547" s="76"/>
    </row>
    <row r="548" spans="1:6">
      <c r="A548" s="76"/>
      <c r="B548" s="76"/>
      <c r="C548" s="76"/>
      <c r="D548" s="76"/>
      <c r="E548" s="76"/>
      <c r="F548" s="76"/>
    </row>
    <row r="549" spans="1:6">
      <c r="A549" s="76"/>
      <c r="B549" s="76"/>
      <c r="C549" s="76"/>
      <c r="D549" s="76"/>
      <c r="E549" s="76"/>
      <c r="F549" s="76"/>
    </row>
    <row r="550" spans="1:6">
      <c r="A550" s="76"/>
      <c r="B550" s="76"/>
      <c r="C550" s="76"/>
      <c r="D550" s="76"/>
      <c r="E550" s="76"/>
      <c r="F550" s="76"/>
    </row>
    <row r="551" spans="1:6">
      <c r="A551" s="76"/>
      <c r="B551" s="76"/>
      <c r="C551" s="76"/>
      <c r="D551" s="76"/>
      <c r="E551" s="76"/>
      <c r="F551" s="76"/>
    </row>
    <row r="552" spans="1:6">
      <c r="A552" s="76"/>
      <c r="B552" s="76"/>
      <c r="C552" s="76"/>
      <c r="D552" s="76"/>
      <c r="E552" s="76"/>
      <c r="F552" s="76"/>
    </row>
    <row r="553" spans="1:6">
      <c r="A553" s="76"/>
      <c r="B553" s="76"/>
      <c r="C553" s="76"/>
      <c r="D553" s="76"/>
      <c r="E553" s="76"/>
      <c r="F553" s="76"/>
    </row>
    <row r="554" spans="1:6">
      <c r="A554" s="76"/>
      <c r="B554" s="76"/>
      <c r="C554" s="76"/>
      <c r="D554" s="76"/>
      <c r="E554" s="76"/>
      <c r="F554" s="76"/>
    </row>
    <row r="555" spans="1:6">
      <c r="A555" s="76"/>
      <c r="B555" s="76"/>
      <c r="C555" s="76"/>
      <c r="D555" s="76"/>
      <c r="E555" s="76"/>
      <c r="F555" s="76"/>
    </row>
    <row r="556" spans="1:6">
      <c r="A556" s="76"/>
      <c r="B556" s="76"/>
      <c r="C556" s="76"/>
      <c r="D556" s="76"/>
      <c r="E556" s="76"/>
      <c r="F556" s="76"/>
    </row>
    <row r="557" spans="1:6">
      <c r="A557" s="76"/>
      <c r="B557" s="76"/>
      <c r="C557" s="76"/>
      <c r="D557" s="76"/>
      <c r="E557" s="76"/>
      <c r="F557" s="76"/>
    </row>
    <row r="558" spans="1:6">
      <c r="A558" s="76"/>
      <c r="B558" s="76"/>
      <c r="C558" s="76"/>
      <c r="D558" s="76"/>
      <c r="E558" s="76"/>
      <c r="F558" s="76"/>
    </row>
    <row r="559" spans="1:6">
      <c r="A559" s="76"/>
      <c r="B559" s="76"/>
      <c r="C559" s="76"/>
      <c r="D559" s="76"/>
      <c r="E559" s="76"/>
      <c r="F559" s="76"/>
    </row>
    <row r="560" spans="1:6">
      <c r="A560" s="76"/>
      <c r="B560" s="76"/>
      <c r="C560" s="76"/>
      <c r="D560" s="76"/>
      <c r="E560" s="76"/>
      <c r="F560" s="76"/>
    </row>
    <row r="561" spans="1:6">
      <c r="A561" s="76"/>
      <c r="B561" s="76"/>
      <c r="C561" s="76"/>
      <c r="D561" s="76"/>
      <c r="E561" s="76"/>
      <c r="F561" s="76"/>
    </row>
    <row r="562" spans="1:6">
      <c r="A562" s="76"/>
      <c r="B562" s="76"/>
      <c r="C562" s="76"/>
      <c r="D562" s="76"/>
      <c r="E562" s="76"/>
      <c r="F562" s="76"/>
    </row>
    <row r="563" spans="1:6">
      <c r="A563" s="76"/>
      <c r="B563" s="76"/>
      <c r="C563" s="76"/>
      <c r="D563" s="76"/>
      <c r="E563" s="76"/>
      <c r="F563" s="76"/>
    </row>
    <row r="564" spans="1:6">
      <c r="A564" s="76"/>
      <c r="B564" s="76"/>
      <c r="C564" s="76"/>
      <c r="D564" s="76"/>
      <c r="E564" s="76"/>
      <c r="F564" s="76"/>
    </row>
    <row r="565" spans="1:6">
      <c r="A565" s="76"/>
      <c r="B565" s="76"/>
      <c r="C565" s="76"/>
      <c r="D565" s="76"/>
      <c r="E565" s="76"/>
      <c r="F565" s="76"/>
    </row>
    <row r="566" spans="1:6">
      <c r="A566" s="76"/>
      <c r="B566" s="76"/>
      <c r="C566" s="76"/>
      <c r="D566" s="76"/>
      <c r="E566" s="76"/>
      <c r="F566" s="76"/>
    </row>
    <row r="567" spans="1:6">
      <c r="A567" s="76"/>
      <c r="B567" s="76"/>
      <c r="C567" s="76"/>
      <c r="D567" s="76"/>
      <c r="E567" s="76"/>
      <c r="F567" s="76"/>
    </row>
    <row r="568" spans="1:6">
      <c r="A568" s="76"/>
      <c r="B568" s="76"/>
      <c r="C568" s="76"/>
      <c r="D568" s="76"/>
      <c r="E568" s="76"/>
      <c r="F568" s="76"/>
    </row>
    <row r="569" spans="1:6">
      <c r="A569" s="76"/>
      <c r="B569" s="76"/>
      <c r="C569" s="76"/>
      <c r="D569" s="76"/>
      <c r="E569" s="76"/>
      <c r="F569" s="76"/>
    </row>
    <row r="570" spans="1:6">
      <c r="A570" s="76"/>
      <c r="B570" s="76"/>
      <c r="C570" s="76"/>
      <c r="D570" s="76"/>
      <c r="E570" s="76"/>
      <c r="F570" s="76"/>
    </row>
    <row r="571" spans="1:6">
      <c r="A571" s="76"/>
      <c r="B571" s="76"/>
      <c r="C571" s="76"/>
      <c r="D571" s="76"/>
      <c r="E571" s="76"/>
      <c r="F571" s="76"/>
    </row>
    <row r="572" spans="1:6">
      <c r="A572" s="76"/>
      <c r="B572" s="76"/>
      <c r="C572" s="76"/>
      <c r="D572" s="76"/>
      <c r="E572" s="76"/>
      <c r="F572" s="76"/>
    </row>
    <row r="573" spans="1:6">
      <c r="A573" s="76"/>
      <c r="B573" s="76"/>
      <c r="C573" s="76"/>
      <c r="D573" s="76"/>
      <c r="E573" s="76"/>
      <c r="F573" s="76"/>
    </row>
    <row r="574" spans="1:6">
      <c r="A574" s="76"/>
      <c r="B574" s="76"/>
      <c r="C574" s="76"/>
      <c r="D574" s="76"/>
      <c r="E574" s="76"/>
      <c r="F574" s="76"/>
    </row>
    <row r="575" spans="1:6">
      <c r="A575" s="76"/>
      <c r="B575" s="76"/>
      <c r="C575" s="76"/>
      <c r="D575" s="76"/>
      <c r="E575" s="76"/>
      <c r="F575" s="76"/>
    </row>
    <row r="576" spans="1:6">
      <c r="A576" s="76"/>
      <c r="B576" s="76"/>
      <c r="C576" s="76"/>
      <c r="D576" s="76"/>
      <c r="E576" s="76"/>
      <c r="F576" s="76"/>
    </row>
    <row r="577" spans="1:6">
      <c r="A577" s="76"/>
      <c r="B577" s="76"/>
      <c r="C577" s="76"/>
      <c r="D577" s="76"/>
      <c r="E577" s="76"/>
      <c r="F577" s="76"/>
    </row>
    <row r="578" spans="1:6">
      <c r="A578" s="76"/>
      <c r="B578" s="76"/>
      <c r="C578" s="76"/>
      <c r="D578" s="76"/>
      <c r="E578" s="76"/>
      <c r="F578" s="76"/>
    </row>
    <row r="579" spans="1:6">
      <c r="A579" s="76"/>
      <c r="B579" s="76"/>
      <c r="C579" s="76"/>
      <c r="D579" s="76"/>
      <c r="E579" s="76"/>
      <c r="F579" s="76"/>
    </row>
    <row r="580" spans="1:6">
      <c r="A580" s="76"/>
      <c r="B580" s="76"/>
      <c r="C580" s="76"/>
      <c r="D580" s="76"/>
      <c r="E580" s="76"/>
      <c r="F580" s="76"/>
    </row>
    <row r="581" spans="1:6">
      <c r="A581" s="76"/>
      <c r="B581" s="76"/>
      <c r="C581" s="76"/>
      <c r="D581" s="76"/>
      <c r="E581" s="76"/>
      <c r="F581" s="76"/>
    </row>
    <row r="582" spans="1:6">
      <c r="A582" s="76"/>
      <c r="B582" s="76"/>
      <c r="C582" s="76"/>
      <c r="D582" s="76"/>
      <c r="E582" s="76"/>
      <c r="F582" s="76"/>
    </row>
    <row r="583" spans="1:6">
      <c r="A583" s="76"/>
      <c r="B583" s="76"/>
      <c r="C583" s="76"/>
      <c r="D583" s="76"/>
      <c r="E583" s="76"/>
      <c r="F583" s="76"/>
    </row>
    <row r="584" spans="1:6">
      <c r="A584" s="76"/>
      <c r="B584" s="76"/>
      <c r="C584" s="76"/>
      <c r="D584" s="76"/>
      <c r="E584" s="76"/>
      <c r="F584" s="76"/>
    </row>
    <row r="585" spans="1:6">
      <c r="A585" s="76"/>
      <c r="B585" s="76"/>
      <c r="C585" s="76"/>
      <c r="D585" s="76"/>
      <c r="E585" s="76"/>
      <c r="F585" s="76"/>
    </row>
    <row r="586" spans="1:6">
      <c r="A586" s="76"/>
      <c r="B586" s="76"/>
      <c r="C586" s="76"/>
      <c r="D586" s="76"/>
      <c r="E586" s="76"/>
      <c r="F586" s="76"/>
    </row>
    <row r="587" spans="1:6">
      <c r="A587" s="76"/>
      <c r="B587" s="76"/>
      <c r="C587" s="76"/>
      <c r="D587" s="76"/>
      <c r="E587" s="76"/>
      <c r="F587" s="76"/>
    </row>
    <row r="588" spans="1:6">
      <c r="A588" s="76"/>
      <c r="B588" s="76"/>
      <c r="C588" s="76"/>
      <c r="D588" s="76"/>
      <c r="E588" s="76"/>
      <c r="F588" s="76"/>
    </row>
    <row r="589" spans="1:6">
      <c r="A589" s="76"/>
      <c r="B589" s="76"/>
      <c r="C589" s="76"/>
      <c r="D589" s="76"/>
      <c r="E589" s="76"/>
      <c r="F589" s="76"/>
    </row>
    <row r="590" spans="1:6">
      <c r="A590" s="76"/>
      <c r="B590" s="76"/>
      <c r="C590" s="76"/>
      <c r="D590" s="76"/>
      <c r="E590" s="76"/>
      <c r="F590" s="76"/>
    </row>
    <row r="591" spans="1:6">
      <c r="A591" s="76"/>
      <c r="B591" s="76"/>
      <c r="C591" s="76"/>
      <c r="D591" s="76"/>
      <c r="E591" s="76"/>
      <c r="F591" s="76"/>
    </row>
    <row r="592" spans="1:6">
      <c r="A592" s="76"/>
      <c r="B592" s="76"/>
      <c r="C592" s="76"/>
      <c r="D592" s="76"/>
      <c r="E592" s="76"/>
      <c r="F592" s="76"/>
    </row>
    <row r="593" spans="1:6">
      <c r="A593" s="76"/>
      <c r="B593" s="76"/>
      <c r="C593" s="76"/>
      <c r="D593" s="76"/>
      <c r="E593" s="76"/>
      <c r="F593" s="76"/>
    </row>
    <row r="594" spans="1:6">
      <c r="A594" s="76"/>
      <c r="B594" s="76"/>
      <c r="C594" s="76"/>
      <c r="D594" s="76"/>
      <c r="E594" s="76"/>
      <c r="F594" s="76"/>
    </row>
    <row r="595" spans="1:6">
      <c r="A595" s="76"/>
      <c r="B595" s="76"/>
      <c r="C595" s="76"/>
      <c r="D595" s="76"/>
      <c r="E595" s="76"/>
      <c r="F595" s="76"/>
    </row>
    <row r="596" spans="1:6">
      <c r="A596" s="76"/>
      <c r="B596" s="76"/>
      <c r="C596" s="76"/>
      <c r="D596" s="76"/>
      <c r="E596" s="76"/>
      <c r="F596" s="76"/>
    </row>
    <row r="597" spans="1:6">
      <c r="A597" s="76"/>
      <c r="B597" s="76"/>
      <c r="C597" s="76"/>
      <c r="D597" s="76"/>
      <c r="E597" s="76"/>
      <c r="F597" s="76"/>
    </row>
    <row r="598" spans="1:6">
      <c r="A598" s="76"/>
      <c r="B598" s="76"/>
      <c r="C598" s="76"/>
      <c r="D598" s="76"/>
      <c r="E598" s="76"/>
      <c r="F598" s="76"/>
    </row>
    <row r="599" spans="1:6">
      <c r="A599" s="76"/>
      <c r="B599" s="76"/>
      <c r="C599" s="76"/>
      <c r="D599" s="76"/>
      <c r="E599" s="76"/>
      <c r="F599" s="76"/>
    </row>
    <row r="600" spans="1:6">
      <c r="A600" s="76"/>
      <c r="B600" s="76"/>
      <c r="C600" s="76"/>
      <c r="D600" s="76"/>
      <c r="E600" s="76"/>
      <c r="F600" s="76"/>
    </row>
    <row r="601" spans="1:6">
      <c r="A601" s="76"/>
      <c r="B601" s="76"/>
      <c r="C601" s="76"/>
      <c r="D601" s="76"/>
      <c r="E601" s="76"/>
      <c r="F601" s="76"/>
    </row>
    <row r="602" spans="1:6">
      <c r="A602" s="76"/>
      <c r="B602" s="76"/>
      <c r="C602" s="76"/>
      <c r="D602" s="76"/>
      <c r="E602" s="76"/>
      <c r="F602" s="76"/>
    </row>
    <row r="603" spans="1:6">
      <c r="A603" s="76"/>
      <c r="B603" s="76"/>
      <c r="C603" s="76"/>
      <c r="D603" s="76"/>
      <c r="E603" s="76"/>
      <c r="F603" s="76"/>
    </row>
    <row r="604" spans="1:6">
      <c r="A604" s="76"/>
      <c r="B604" s="76"/>
      <c r="C604" s="76"/>
      <c r="D604" s="76"/>
      <c r="E604" s="76"/>
      <c r="F604" s="76"/>
    </row>
    <row r="605" spans="1:6">
      <c r="A605" s="76"/>
      <c r="B605" s="76"/>
      <c r="C605" s="76"/>
      <c r="D605" s="76"/>
      <c r="E605" s="76"/>
      <c r="F605" s="76"/>
    </row>
    <row r="606" spans="1:6">
      <c r="A606" s="76"/>
      <c r="B606" s="76"/>
      <c r="C606" s="76"/>
      <c r="D606" s="76"/>
      <c r="E606" s="76"/>
      <c r="F606" s="76"/>
    </row>
    <row r="607" spans="1:6">
      <c r="A607" s="76"/>
      <c r="B607" s="76"/>
      <c r="C607" s="76"/>
      <c r="D607" s="76"/>
      <c r="E607" s="76"/>
      <c r="F607" s="76"/>
    </row>
    <row r="608" spans="1:6">
      <c r="A608" s="76"/>
      <c r="B608" s="76"/>
      <c r="C608" s="76"/>
      <c r="D608" s="76"/>
      <c r="E608" s="76"/>
      <c r="F608" s="76"/>
    </row>
    <row r="609" spans="1:6">
      <c r="A609" s="76"/>
      <c r="B609" s="76"/>
      <c r="C609" s="76"/>
      <c r="D609" s="76"/>
      <c r="E609" s="76"/>
      <c r="F609" s="76"/>
    </row>
    <row r="610" spans="1:6">
      <c r="A610" s="76"/>
      <c r="B610" s="76"/>
      <c r="C610" s="76"/>
      <c r="D610" s="76"/>
      <c r="E610" s="76"/>
      <c r="F610" s="76"/>
    </row>
    <row r="611" spans="1:6">
      <c r="A611" s="76"/>
      <c r="B611" s="76"/>
      <c r="C611" s="76"/>
      <c r="D611" s="76"/>
      <c r="E611" s="76"/>
      <c r="F611" s="76"/>
    </row>
    <row r="612" spans="1:6">
      <c r="A612" s="76"/>
      <c r="B612" s="76"/>
      <c r="C612" s="76"/>
      <c r="D612" s="76"/>
      <c r="E612" s="76"/>
      <c r="F612" s="76"/>
    </row>
    <row r="613" spans="1:6">
      <c r="A613" s="76"/>
      <c r="B613" s="76"/>
      <c r="C613" s="76"/>
      <c r="D613" s="76"/>
      <c r="E613" s="76"/>
      <c r="F613" s="76"/>
    </row>
    <row r="614" spans="1:6">
      <c r="A614" s="76"/>
      <c r="B614" s="76"/>
      <c r="C614" s="76"/>
      <c r="D614" s="76"/>
      <c r="E614" s="76"/>
      <c r="F614" s="76"/>
    </row>
    <row r="615" spans="1:6">
      <c r="A615" s="76"/>
      <c r="B615" s="76"/>
      <c r="C615" s="76"/>
      <c r="D615" s="76"/>
      <c r="E615" s="76"/>
      <c r="F615" s="76"/>
    </row>
    <row r="616" spans="1:6">
      <c r="A616" s="76"/>
      <c r="B616" s="76"/>
      <c r="C616" s="76"/>
      <c r="D616" s="76"/>
      <c r="E616" s="76"/>
      <c r="F616" s="76"/>
    </row>
    <row r="617" spans="1:6">
      <c r="A617" s="76"/>
      <c r="B617" s="76"/>
      <c r="C617" s="76"/>
      <c r="D617" s="76"/>
      <c r="E617" s="76"/>
      <c r="F617" s="76"/>
    </row>
    <row r="618" spans="1:6">
      <c r="A618" s="76"/>
      <c r="B618" s="76"/>
      <c r="C618" s="76"/>
      <c r="D618" s="76"/>
      <c r="E618" s="76"/>
      <c r="F618" s="76"/>
    </row>
    <row r="619" spans="1:6">
      <c r="A619" s="76"/>
      <c r="B619" s="76"/>
      <c r="C619" s="76"/>
      <c r="D619" s="76"/>
      <c r="E619" s="76"/>
      <c r="F619" s="76"/>
    </row>
    <row r="620" spans="1:6">
      <c r="A620" s="76"/>
      <c r="B620" s="76"/>
      <c r="C620" s="76"/>
      <c r="D620" s="76"/>
      <c r="E620" s="76"/>
      <c r="F620" s="76"/>
    </row>
    <row r="621" spans="1:6">
      <c r="A621" s="76"/>
      <c r="B621" s="76"/>
      <c r="C621" s="76"/>
      <c r="D621" s="76"/>
      <c r="E621" s="76"/>
      <c r="F621" s="76"/>
    </row>
    <row r="622" spans="1:6">
      <c r="A622" s="76"/>
      <c r="B622" s="76"/>
      <c r="C622" s="76"/>
      <c r="D622" s="76"/>
      <c r="E622" s="76"/>
      <c r="F622" s="76"/>
    </row>
    <row r="623" spans="1:6">
      <c r="A623" s="76"/>
      <c r="B623" s="76"/>
      <c r="C623" s="76"/>
      <c r="D623" s="76"/>
      <c r="E623" s="76"/>
      <c r="F623" s="76"/>
    </row>
    <row r="624" spans="1:6">
      <c r="A624" s="76"/>
      <c r="B624" s="76"/>
      <c r="C624" s="76"/>
      <c r="D624" s="76"/>
      <c r="E624" s="76"/>
      <c r="F624" s="76"/>
    </row>
    <row r="625" spans="1:6">
      <c r="A625" s="76"/>
      <c r="B625" s="76"/>
      <c r="C625" s="76"/>
      <c r="D625" s="76"/>
      <c r="E625" s="76"/>
      <c r="F625" s="76"/>
    </row>
    <row r="626" spans="1:6">
      <c r="A626" s="76"/>
      <c r="B626" s="76"/>
      <c r="C626" s="76"/>
      <c r="D626" s="76"/>
      <c r="E626" s="76"/>
      <c r="F626" s="76"/>
    </row>
    <row r="627" spans="1:6">
      <c r="A627" s="76"/>
      <c r="B627" s="76"/>
      <c r="C627" s="76"/>
      <c r="D627" s="76"/>
      <c r="E627" s="76"/>
      <c r="F627" s="76"/>
    </row>
    <row r="628" spans="1:6">
      <c r="A628" s="76"/>
      <c r="B628" s="76"/>
      <c r="C628" s="76"/>
      <c r="D628" s="76"/>
      <c r="E628" s="76"/>
      <c r="F628" s="76"/>
    </row>
    <row r="629" spans="1:6">
      <c r="A629" s="76"/>
      <c r="B629" s="76"/>
      <c r="C629" s="76"/>
      <c r="D629" s="76"/>
      <c r="E629" s="76"/>
      <c r="F629" s="76"/>
    </row>
    <row r="630" spans="1:6">
      <c r="A630" s="76"/>
      <c r="B630" s="76"/>
      <c r="C630" s="76"/>
      <c r="D630" s="76"/>
      <c r="E630" s="76"/>
      <c r="F630" s="76"/>
    </row>
    <row r="631" spans="1:6">
      <c r="A631" s="76"/>
      <c r="B631" s="76"/>
      <c r="C631" s="76"/>
      <c r="D631" s="76"/>
      <c r="E631" s="76"/>
      <c r="F631" s="76"/>
    </row>
    <row r="632" spans="1:6">
      <c r="A632" s="76"/>
      <c r="B632" s="76"/>
      <c r="C632" s="76"/>
      <c r="D632" s="76"/>
      <c r="E632" s="76"/>
      <c r="F632" s="76"/>
    </row>
    <row r="633" spans="1:6">
      <c r="A633" s="76"/>
      <c r="B633" s="76"/>
      <c r="C633" s="76"/>
      <c r="D633" s="76"/>
      <c r="E633" s="76"/>
      <c r="F633" s="76"/>
    </row>
    <row r="634" spans="1:6">
      <c r="A634" s="76"/>
      <c r="B634" s="76"/>
      <c r="C634" s="76"/>
      <c r="D634" s="76"/>
      <c r="E634" s="76"/>
      <c r="F634" s="76"/>
    </row>
    <row r="635" spans="1:6">
      <c r="A635" s="76"/>
      <c r="B635" s="76"/>
      <c r="C635" s="76"/>
      <c r="D635" s="76"/>
      <c r="E635" s="76"/>
      <c r="F635" s="76"/>
    </row>
    <row r="636" spans="1:6">
      <c r="A636" s="76"/>
      <c r="B636" s="76"/>
      <c r="C636" s="76"/>
      <c r="D636" s="76"/>
      <c r="E636" s="76"/>
      <c r="F636" s="76"/>
    </row>
    <row r="637" spans="1:6">
      <c r="A637" s="76"/>
      <c r="B637" s="76"/>
      <c r="C637" s="76"/>
      <c r="D637" s="76"/>
      <c r="E637" s="76"/>
      <c r="F637" s="76"/>
    </row>
    <row r="638" spans="1:6">
      <c r="A638" s="76"/>
      <c r="B638" s="76"/>
      <c r="C638" s="76"/>
      <c r="D638" s="76"/>
      <c r="E638" s="76"/>
      <c r="F638" s="76"/>
    </row>
    <row r="639" spans="1:6">
      <c r="A639" s="76"/>
      <c r="B639" s="76"/>
      <c r="C639" s="76"/>
      <c r="D639" s="76"/>
      <c r="E639" s="76"/>
      <c r="F639" s="76"/>
    </row>
    <row r="640" spans="1:6">
      <c r="A640" s="76"/>
      <c r="B640" s="76"/>
      <c r="C640" s="76"/>
      <c r="D640" s="76"/>
      <c r="E640" s="76"/>
      <c r="F640" s="76"/>
    </row>
    <row r="641" spans="1:6">
      <c r="A641" s="76"/>
      <c r="B641" s="76"/>
      <c r="C641" s="76"/>
      <c r="D641" s="76"/>
      <c r="E641" s="76"/>
      <c r="F641" s="76"/>
    </row>
    <row r="642" spans="1:6">
      <c r="A642" s="76"/>
      <c r="B642" s="76"/>
      <c r="C642" s="76"/>
      <c r="D642" s="76"/>
      <c r="E642" s="76"/>
      <c r="F642" s="76"/>
    </row>
    <row r="643" spans="1:6">
      <c r="A643" s="76"/>
      <c r="B643" s="76"/>
      <c r="C643" s="76"/>
      <c r="D643" s="76"/>
      <c r="E643" s="76"/>
      <c r="F643" s="76"/>
    </row>
    <row r="644" spans="1:6">
      <c r="A644" s="76"/>
      <c r="B644" s="76"/>
      <c r="C644" s="76"/>
      <c r="D644" s="76"/>
      <c r="E644" s="76"/>
      <c r="F644" s="76"/>
    </row>
    <row r="645" spans="1:6">
      <c r="A645" s="76"/>
      <c r="B645" s="76"/>
      <c r="C645" s="76"/>
      <c r="D645" s="76"/>
      <c r="E645" s="76"/>
      <c r="F645" s="76"/>
    </row>
    <row r="646" spans="1:6">
      <c r="A646" s="76"/>
      <c r="B646" s="76"/>
      <c r="C646" s="76"/>
      <c r="D646" s="76"/>
      <c r="E646" s="76"/>
      <c r="F646" s="76"/>
    </row>
    <row r="647" spans="1:6">
      <c r="A647" s="76"/>
      <c r="B647" s="76"/>
      <c r="C647" s="76"/>
      <c r="D647" s="76"/>
      <c r="E647" s="76"/>
      <c r="F647" s="76"/>
    </row>
    <row r="648" spans="1:6">
      <c r="A648" s="76"/>
      <c r="B648" s="76"/>
      <c r="C648" s="76"/>
      <c r="D648" s="76"/>
      <c r="E648" s="76"/>
      <c r="F648" s="76"/>
    </row>
    <row r="649" spans="1:6">
      <c r="A649" s="76"/>
      <c r="B649" s="76"/>
      <c r="C649" s="76"/>
      <c r="D649" s="76"/>
      <c r="E649" s="76"/>
      <c r="F649" s="76"/>
    </row>
    <row r="650" spans="1:6">
      <c r="A650" s="76"/>
      <c r="B650" s="76"/>
      <c r="C650" s="76"/>
      <c r="D650" s="76"/>
      <c r="E650" s="76"/>
      <c r="F650" s="76"/>
    </row>
    <row r="651" spans="1:6">
      <c r="A651" s="76"/>
      <c r="B651" s="76"/>
      <c r="C651" s="76"/>
      <c r="D651" s="76"/>
      <c r="E651" s="76"/>
      <c r="F651" s="76"/>
    </row>
    <row r="652" spans="1:6">
      <c r="A652" s="76"/>
      <c r="B652" s="76"/>
      <c r="C652" s="76"/>
      <c r="D652" s="76"/>
      <c r="E652" s="76"/>
      <c r="F652" s="76"/>
    </row>
    <row r="653" spans="1:6">
      <c r="A653" s="76"/>
      <c r="B653" s="76"/>
      <c r="C653" s="76"/>
      <c r="D653" s="76"/>
      <c r="E653" s="76"/>
      <c r="F653" s="76"/>
    </row>
    <row r="654" spans="1:6">
      <c r="A654" s="76"/>
      <c r="B654" s="76"/>
      <c r="C654" s="76"/>
      <c r="D654" s="76"/>
      <c r="E654" s="76"/>
      <c r="F654" s="76"/>
    </row>
    <row r="655" spans="1:6">
      <c r="A655" s="76"/>
      <c r="B655" s="76"/>
      <c r="C655" s="76"/>
      <c r="D655" s="76"/>
      <c r="E655" s="76"/>
      <c r="F655" s="76"/>
    </row>
    <row r="656" spans="1:6">
      <c r="A656" s="76"/>
      <c r="B656" s="76"/>
      <c r="C656" s="76"/>
      <c r="D656" s="76"/>
      <c r="E656" s="76"/>
      <c r="F656" s="76"/>
    </row>
    <row r="657" spans="1:6">
      <c r="A657" s="76"/>
      <c r="B657" s="76"/>
      <c r="C657" s="76"/>
      <c r="D657" s="76"/>
      <c r="E657" s="76"/>
      <c r="F657" s="76"/>
    </row>
    <row r="658" spans="1:6">
      <c r="A658" s="76"/>
      <c r="B658" s="76"/>
      <c r="C658" s="76"/>
      <c r="D658" s="76"/>
      <c r="E658" s="76"/>
      <c r="F658" s="76"/>
    </row>
    <row r="659" spans="1:6">
      <c r="A659" s="76"/>
      <c r="B659" s="76"/>
      <c r="C659" s="76"/>
      <c r="D659" s="76"/>
      <c r="E659" s="76"/>
      <c r="F659" s="76"/>
    </row>
    <row r="660" spans="1:6">
      <c r="A660" s="76"/>
      <c r="B660" s="76"/>
      <c r="C660" s="76"/>
      <c r="D660" s="76"/>
      <c r="E660" s="76"/>
      <c r="F660" s="76"/>
    </row>
    <row r="661" spans="1:6">
      <c r="A661" s="76"/>
      <c r="B661" s="76"/>
      <c r="C661" s="76"/>
      <c r="D661" s="76"/>
      <c r="E661" s="76"/>
      <c r="F661" s="76"/>
    </row>
    <row r="662" spans="1:6">
      <c r="A662" s="76"/>
      <c r="B662" s="76"/>
      <c r="C662" s="76"/>
      <c r="D662" s="76"/>
      <c r="E662" s="76"/>
      <c r="F662" s="76"/>
    </row>
    <row r="663" spans="1:6">
      <c r="A663" s="76"/>
      <c r="B663" s="76"/>
      <c r="C663" s="76"/>
      <c r="D663" s="76"/>
      <c r="E663" s="76"/>
      <c r="F663" s="76"/>
    </row>
    <row r="664" spans="1:6">
      <c r="A664" s="76"/>
      <c r="B664" s="76"/>
      <c r="C664" s="76"/>
      <c r="D664" s="76"/>
      <c r="E664" s="76"/>
      <c r="F664" s="76"/>
    </row>
    <row r="665" spans="1:6">
      <c r="A665" s="76"/>
      <c r="B665" s="76"/>
      <c r="C665" s="76"/>
      <c r="D665" s="76"/>
      <c r="E665" s="76"/>
      <c r="F665" s="76"/>
    </row>
    <row r="666" spans="1:6">
      <c r="A666" s="76"/>
      <c r="B666" s="76"/>
      <c r="C666" s="76"/>
      <c r="D666" s="76"/>
      <c r="E666" s="76"/>
      <c r="F666" s="76"/>
    </row>
    <row r="667" spans="1:6">
      <c r="A667" s="76"/>
      <c r="B667" s="76"/>
      <c r="C667" s="76"/>
      <c r="D667" s="76"/>
      <c r="E667" s="76"/>
      <c r="F667" s="76"/>
    </row>
    <row r="668" spans="1:6">
      <c r="A668" s="76"/>
      <c r="B668" s="76"/>
      <c r="C668" s="76"/>
      <c r="D668" s="76"/>
      <c r="E668" s="76"/>
      <c r="F668" s="76"/>
    </row>
    <row r="669" spans="1:6">
      <c r="A669" s="76"/>
      <c r="B669" s="76"/>
      <c r="C669" s="76"/>
      <c r="D669" s="76"/>
      <c r="E669" s="76"/>
      <c r="F669" s="76"/>
    </row>
    <row r="670" spans="1:6">
      <c r="A670" s="76"/>
      <c r="B670" s="76"/>
      <c r="C670" s="76"/>
      <c r="D670" s="76"/>
      <c r="E670" s="76"/>
      <c r="F670" s="76"/>
    </row>
    <row r="671" spans="1:6">
      <c r="A671" s="76"/>
      <c r="B671" s="76"/>
      <c r="C671" s="76"/>
      <c r="D671" s="76"/>
      <c r="E671" s="76"/>
      <c r="F671" s="76"/>
    </row>
    <row r="672" spans="1:6">
      <c r="A672" s="76"/>
      <c r="B672" s="76"/>
      <c r="C672" s="76"/>
      <c r="D672" s="76"/>
      <c r="E672" s="76"/>
      <c r="F672" s="76"/>
    </row>
    <row r="673" spans="1:6">
      <c r="A673" s="76"/>
      <c r="B673" s="76"/>
      <c r="C673" s="76"/>
      <c r="D673" s="76"/>
      <c r="E673" s="76"/>
      <c r="F673" s="76"/>
    </row>
    <row r="674" spans="1:6">
      <c r="A674" s="76"/>
      <c r="B674" s="76"/>
      <c r="C674" s="76"/>
      <c r="D674" s="76"/>
      <c r="E674" s="76"/>
      <c r="F674" s="76"/>
    </row>
    <row r="675" spans="1:6">
      <c r="A675" s="76"/>
      <c r="B675" s="76"/>
      <c r="C675" s="76"/>
      <c r="D675" s="76"/>
      <c r="E675" s="76"/>
      <c r="F675" s="76"/>
    </row>
    <row r="676" spans="1:6">
      <c r="A676" s="76"/>
      <c r="B676" s="76"/>
      <c r="C676" s="76"/>
      <c r="D676" s="76"/>
      <c r="E676" s="76"/>
      <c r="F676" s="76"/>
    </row>
    <row r="677" spans="1:6">
      <c r="A677" s="76"/>
      <c r="B677" s="76"/>
      <c r="C677" s="76"/>
      <c r="D677" s="76"/>
      <c r="E677" s="76"/>
      <c r="F677" s="76"/>
    </row>
    <row r="678" spans="1:6">
      <c r="A678" s="76"/>
      <c r="B678" s="76"/>
      <c r="C678" s="76"/>
      <c r="D678" s="76"/>
      <c r="E678" s="76"/>
      <c r="F678" s="76"/>
    </row>
    <row r="679" spans="1:6">
      <c r="A679" s="76"/>
      <c r="B679" s="76"/>
      <c r="C679" s="76"/>
      <c r="D679" s="76"/>
      <c r="E679" s="76"/>
      <c r="F679" s="76"/>
    </row>
    <row r="680" spans="1:6">
      <c r="A680" s="76"/>
      <c r="B680" s="76"/>
      <c r="C680" s="76"/>
      <c r="D680" s="76"/>
      <c r="E680" s="76"/>
      <c r="F680" s="76"/>
    </row>
    <row r="681" spans="1:6">
      <c r="A681" s="76"/>
      <c r="B681" s="76"/>
      <c r="C681" s="76"/>
      <c r="D681" s="76"/>
      <c r="E681" s="76"/>
      <c r="F681" s="76"/>
    </row>
    <row r="682" spans="1:6">
      <c r="A682" s="76"/>
      <c r="B682" s="76"/>
      <c r="C682" s="76"/>
      <c r="D682" s="76"/>
      <c r="E682" s="76"/>
      <c r="F682" s="76"/>
    </row>
    <row r="683" spans="1:6">
      <c r="A683" s="76"/>
      <c r="B683" s="76"/>
      <c r="C683" s="76"/>
      <c r="D683" s="76"/>
      <c r="E683" s="76"/>
      <c r="F683" s="76"/>
    </row>
    <row r="684" spans="1:6">
      <c r="A684" s="76"/>
      <c r="B684" s="76"/>
      <c r="C684" s="76"/>
      <c r="D684" s="76"/>
      <c r="E684" s="76"/>
      <c r="F684" s="76"/>
    </row>
    <row r="685" spans="1:6">
      <c r="A685" s="76"/>
      <c r="B685" s="76"/>
      <c r="C685" s="76"/>
      <c r="D685" s="76"/>
      <c r="E685" s="76"/>
      <c r="F685" s="76"/>
    </row>
    <row r="686" spans="1:6">
      <c r="A686" s="76"/>
      <c r="B686" s="76"/>
      <c r="C686" s="76"/>
      <c r="D686" s="76"/>
      <c r="E686" s="76"/>
      <c r="F686" s="76"/>
    </row>
    <row r="687" spans="1:6">
      <c r="A687" s="76"/>
      <c r="B687" s="76"/>
      <c r="C687" s="76"/>
      <c r="D687" s="76"/>
      <c r="E687" s="76"/>
      <c r="F687" s="76"/>
    </row>
    <row r="688" spans="1:6">
      <c r="A688" s="76"/>
      <c r="B688" s="76"/>
      <c r="C688" s="76"/>
      <c r="D688" s="76"/>
      <c r="E688" s="76"/>
      <c r="F688" s="76"/>
    </row>
    <row r="689" spans="1:6">
      <c r="A689" s="76"/>
      <c r="B689" s="76"/>
      <c r="C689" s="76"/>
      <c r="D689" s="76"/>
      <c r="E689" s="76"/>
      <c r="F689" s="76"/>
    </row>
    <row r="690" spans="1:6">
      <c r="A690" s="76"/>
      <c r="B690" s="76"/>
      <c r="C690" s="76"/>
      <c r="D690" s="76"/>
      <c r="E690" s="76"/>
      <c r="F690" s="76"/>
    </row>
    <row r="691" spans="1:6">
      <c r="A691" s="76"/>
      <c r="B691" s="76"/>
      <c r="C691" s="76"/>
      <c r="D691" s="76"/>
      <c r="E691" s="76"/>
      <c r="F691" s="76"/>
    </row>
    <row r="692" spans="1:6">
      <c r="A692" s="76"/>
      <c r="B692" s="76"/>
      <c r="C692" s="76"/>
      <c r="D692" s="76"/>
      <c r="E692" s="76"/>
      <c r="F692" s="76"/>
    </row>
    <row r="693" spans="1:6">
      <c r="A693" s="76"/>
      <c r="B693" s="76"/>
      <c r="C693" s="76"/>
      <c r="D693" s="76"/>
      <c r="E693" s="76"/>
      <c r="F693" s="76"/>
    </row>
    <row r="694" spans="1:6">
      <c r="A694" s="76"/>
      <c r="B694" s="76"/>
      <c r="C694" s="76"/>
      <c r="D694" s="76"/>
      <c r="E694" s="76"/>
      <c r="F694" s="76"/>
    </row>
    <row r="695" spans="1:6">
      <c r="A695" s="76"/>
      <c r="B695" s="76"/>
      <c r="C695" s="76"/>
      <c r="D695" s="76"/>
      <c r="E695" s="76"/>
      <c r="F695" s="76"/>
    </row>
    <row r="696" spans="1:6">
      <c r="A696" s="76"/>
      <c r="B696" s="76"/>
      <c r="C696" s="76"/>
      <c r="D696" s="76"/>
      <c r="E696" s="76"/>
      <c r="F696" s="76"/>
    </row>
    <row r="697" spans="1:6">
      <c r="A697" s="76"/>
      <c r="B697" s="76"/>
      <c r="C697" s="76"/>
      <c r="D697" s="76"/>
      <c r="E697" s="76"/>
      <c r="F697" s="76"/>
    </row>
    <row r="698" spans="1:6">
      <c r="A698" s="76"/>
      <c r="B698" s="76"/>
      <c r="C698" s="76"/>
      <c r="D698" s="76"/>
      <c r="E698" s="76"/>
      <c r="F698" s="76"/>
    </row>
    <row r="699" spans="1:6">
      <c r="A699" s="76"/>
      <c r="B699" s="76"/>
      <c r="C699" s="76"/>
      <c r="D699" s="76"/>
      <c r="E699" s="76"/>
      <c r="F699" s="76"/>
    </row>
    <row r="700" spans="1:6">
      <c r="A700" s="76"/>
      <c r="B700" s="76"/>
      <c r="C700" s="76"/>
      <c r="D700" s="76"/>
      <c r="E700" s="76"/>
      <c r="F700" s="76"/>
    </row>
    <row r="701" spans="1:6">
      <c r="A701" s="76"/>
      <c r="B701" s="76"/>
      <c r="C701" s="76"/>
      <c r="D701" s="76"/>
      <c r="E701" s="76"/>
      <c r="F701" s="76"/>
    </row>
    <row r="702" spans="1:6">
      <c r="A702" s="76"/>
      <c r="B702" s="76"/>
      <c r="C702" s="76"/>
      <c r="D702" s="76"/>
      <c r="E702" s="76"/>
      <c r="F702" s="76"/>
    </row>
    <row r="703" spans="1:6">
      <c r="A703" s="76"/>
      <c r="B703" s="76"/>
      <c r="C703" s="76"/>
      <c r="D703" s="76"/>
      <c r="E703" s="76"/>
      <c r="F703" s="76"/>
    </row>
    <row r="704" spans="1:6">
      <c r="A704" s="76"/>
      <c r="B704" s="76"/>
      <c r="C704" s="76"/>
      <c r="D704" s="76"/>
      <c r="E704" s="76"/>
      <c r="F704" s="76"/>
    </row>
    <row r="705" spans="1:6">
      <c r="A705" s="76"/>
      <c r="B705" s="76"/>
      <c r="C705" s="76"/>
      <c r="D705" s="76"/>
      <c r="E705" s="76"/>
      <c r="F705" s="76"/>
    </row>
    <row r="706" spans="1:6">
      <c r="A706" s="76"/>
      <c r="B706" s="76"/>
      <c r="C706" s="76"/>
      <c r="D706" s="76"/>
      <c r="E706" s="76"/>
      <c r="F706" s="76"/>
    </row>
    <row r="707" spans="1:6">
      <c r="A707" s="76"/>
      <c r="B707" s="76"/>
      <c r="C707" s="76"/>
      <c r="D707" s="76"/>
      <c r="E707" s="76"/>
      <c r="F707" s="76"/>
    </row>
    <row r="708" spans="1:6">
      <c r="A708" s="76"/>
      <c r="B708" s="76"/>
      <c r="C708" s="76"/>
      <c r="D708" s="76"/>
      <c r="E708" s="76"/>
      <c r="F708" s="76"/>
    </row>
    <row r="709" spans="1:6">
      <c r="A709" s="76"/>
      <c r="B709" s="76"/>
      <c r="C709" s="76"/>
      <c r="D709" s="76"/>
      <c r="E709" s="76"/>
      <c r="F709" s="76"/>
    </row>
    <row r="710" spans="1:6">
      <c r="A710" s="76"/>
      <c r="B710" s="76"/>
      <c r="C710" s="76"/>
      <c r="D710" s="76"/>
      <c r="E710" s="76"/>
      <c r="F710" s="76"/>
    </row>
    <row r="711" spans="1:6">
      <c r="A711" s="76"/>
      <c r="B711" s="76"/>
      <c r="C711" s="76"/>
      <c r="D711" s="76"/>
      <c r="E711" s="76"/>
      <c r="F711" s="76"/>
    </row>
    <row r="712" spans="1:6">
      <c r="A712" s="76"/>
      <c r="B712" s="76"/>
      <c r="C712" s="76"/>
      <c r="D712" s="76"/>
      <c r="E712" s="76"/>
      <c r="F712" s="76"/>
    </row>
    <row r="713" spans="1:6">
      <c r="A713" s="76"/>
      <c r="B713" s="76"/>
      <c r="C713" s="76"/>
      <c r="D713" s="76"/>
      <c r="E713" s="76"/>
      <c r="F713" s="76"/>
    </row>
    <row r="714" spans="1:6">
      <c r="A714" s="76"/>
      <c r="B714" s="76"/>
      <c r="C714" s="76"/>
      <c r="D714" s="76"/>
      <c r="E714" s="76"/>
      <c r="F714" s="76"/>
    </row>
    <row r="715" spans="1:6">
      <c r="A715" s="76"/>
      <c r="B715" s="76"/>
      <c r="C715" s="76"/>
      <c r="D715" s="76"/>
      <c r="E715" s="76"/>
      <c r="F715" s="76"/>
    </row>
    <row r="716" spans="1:6">
      <c r="A716" s="76"/>
      <c r="B716" s="76"/>
      <c r="C716" s="76"/>
      <c r="D716" s="76"/>
      <c r="E716" s="76"/>
      <c r="F716" s="76"/>
    </row>
    <row r="717" spans="1:6">
      <c r="A717" s="76"/>
      <c r="B717" s="76"/>
      <c r="C717" s="76"/>
      <c r="D717" s="76"/>
      <c r="E717" s="76"/>
      <c r="F717" s="76"/>
    </row>
    <row r="718" spans="1:6">
      <c r="A718" s="76"/>
      <c r="B718" s="76"/>
      <c r="C718" s="76"/>
      <c r="D718" s="76"/>
      <c r="E718" s="76"/>
      <c r="F718" s="76"/>
    </row>
    <row r="719" spans="1:6">
      <c r="A719" s="76"/>
      <c r="B719" s="76"/>
      <c r="C719" s="76"/>
      <c r="D719" s="76"/>
      <c r="E719" s="76"/>
      <c r="F719" s="76"/>
    </row>
    <row r="720" spans="1:6">
      <c r="A720" s="76"/>
      <c r="B720" s="76"/>
      <c r="C720" s="76"/>
      <c r="D720" s="76"/>
      <c r="E720" s="76"/>
      <c r="F720" s="76"/>
    </row>
    <row r="721" spans="1:6">
      <c r="A721" s="76"/>
      <c r="B721" s="76"/>
      <c r="C721" s="76"/>
      <c r="D721" s="76"/>
      <c r="E721" s="76"/>
      <c r="F721" s="76"/>
    </row>
    <row r="722" spans="1:6">
      <c r="A722" s="76"/>
      <c r="B722" s="76"/>
      <c r="C722" s="76"/>
      <c r="D722" s="76"/>
      <c r="E722" s="76"/>
      <c r="F722" s="76"/>
    </row>
    <row r="723" spans="1:6">
      <c r="A723" s="76"/>
      <c r="B723" s="76"/>
      <c r="C723" s="76"/>
      <c r="D723" s="76"/>
      <c r="E723" s="76"/>
      <c r="F723" s="76"/>
    </row>
    <row r="724" spans="1:6">
      <c r="A724" s="76"/>
      <c r="B724" s="76"/>
      <c r="C724" s="76"/>
      <c r="D724" s="76"/>
      <c r="E724" s="76"/>
      <c r="F724" s="76"/>
    </row>
    <row r="725" spans="1:6">
      <c r="A725" s="76"/>
      <c r="B725" s="76"/>
      <c r="C725" s="76"/>
      <c r="D725" s="76"/>
      <c r="E725" s="76"/>
      <c r="F725" s="76"/>
    </row>
    <row r="726" spans="1:6">
      <c r="A726" s="76"/>
      <c r="B726" s="76"/>
      <c r="C726" s="76"/>
      <c r="D726" s="76"/>
      <c r="E726" s="76"/>
      <c r="F726" s="76"/>
    </row>
    <row r="727" spans="1:6">
      <c r="A727" s="76"/>
      <c r="B727" s="76"/>
      <c r="C727" s="76"/>
      <c r="D727" s="76"/>
      <c r="E727" s="76"/>
      <c r="F727" s="76"/>
    </row>
    <row r="728" spans="1:6">
      <c r="A728" s="76"/>
      <c r="B728" s="76"/>
      <c r="C728" s="76"/>
      <c r="D728" s="76"/>
      <c r="E728" s="76"/>
      <c r="F728" s="76"/>
    </row>
    <row r="729" spans="1:6">
      <c r="A729" s="76"/>
      <c r="B729" s="76"/>
      <c r="C729" s="76"/>
      <c r="D729" s="76"/>
      <c r="E729" s="76"/>
      <c r="F729" s="76"/>
    </row>
    <row r="730" spans="1:6">
      <c r="A730" s="76"/>
      <c r="B730" s="76"/>
      <c r="C730" s="76"/>
      <c r="D730" s="76"/>
      <c r="E730" s="76"/>
      <c r="F730" s="76"/>
    </row>
    <row r="731" spans="1:6">
      <c r="A731" s="76"/>
      <c r="B731" s="76"/>
      <c r="C731" s="76"/>
      <c r="D731" s="76"/>
      <c r="E731" s="76"/>
      <c r="F731" s="76"/>
    </row>
    <row r="732" spans="1:6">
      <c r="A732" s="76"/>
      <c r="B732" s="76"/>
      <c r="C732" s="76"/>
      <c r="D732" s="76"/>
      <c r="E732" s="76"/>
      <c r="F732" s="76"/>
    </row>
    <row r="733" spans="1:6">
      <c r="A733" s="76"/>
      <c r="B733" s="76"/>
      <c r="C733" s="76"/>
      <c r="D733" s="76"/>
      <c r="E733" s="76"/>
      <c r="F733" s="76"/>
    </row>
    <row r="734" spans="1:6">
      <c r="A734" s="76"/>
      <c r="B734" s="76"/>
      <c r="C734" s="76"/>
      <c r="D734" s="76"/>
      <c r="E734" s="76"/>
      <c r="F734" s="76"/>
    </row>
    <row r="735" spans="1:6">
      <c r="A735" s="76"/>
      <c r="B735" s="76"/>
      <c r="C735" s="76"/>
      <c r="D735" s="76"/>
      <c r="E735" s="76"/>
      <c r="F735" s="76"/>
    </row>
    <row r="736" spans="1:6">
      <c r="A736" s="76"/>
      <c r="B736" s="76"/>
      <c r="C736" s="76"/>
      <c r="D736" s="76"/>
      <c r="E736" s="76"/>
      <c r="F736" s="76"/>
    </row>
    <row r="737" spans="1:6">
      <c r="A737" s="76"/>
      <c r="B737" s="76"/>
      <c r="C737" s="76"/>
      <c r="D737" s="76"/>
      <c r="E737" s="76"/>
      <c r="F737" s="76"/>
    </row>
    <row r="738" spans="1:6">
      <c r="A738" s="76"/>
      <c r="B738" s="76"/>
      <c r="C738" s="76"/>
      <c r="D738" s="76"/>
      <c r="E738" s="76"/>
      <c r="F738" s="76"/>
    </row>
    <row r="739" spans="1:6">
      <c r="A739" s="76"/>
      <c r="B739" s="76"/>
      <c r="C739" s="76"/>
      <c r="D739" s="76"/>
      <c r="E739" s="76"/>
      <c r="F739" s="76"/>
    </row>
    <row r="740" spans="1:6">
      <c r="A740" s="76"/>
      <c r="B740" s="76"/>
      <c r="C740" s="76"/>
      <c r="D740" s="76"/>
      <c r="E740" s="76"/>
      <c r="F740" s="76"/>
    </row>
    <row r="741" spans="1:6">
      <c r="A741" s="76"/>
      <c r="B741" s="76"/>
      <c r="C741" s="76"/>
      <c r="D741" s="76"/>
      <c r="E741" s="76"/>
      <c r="F741" s="76"/>
    </row>
    <row r="742" spans="1:6">
      <c r="A742" s="76"/>
      <c r="B742" s="76"/>
      <c r="C742" s="76"/>
      <c r="D742" s="76"/>
      <c r="E742" s="76"/>
      <c r="F742" s="76"/>
    </row>
    <row r="743" spans="1:6">
      <c r="A743" s="76"/>
      <c r="B743" s="76"/>
      <c r="C743" s="76"/>
      <c r="D743" s="76"/>
      <c r="E743" s="76"/>
      <c r="F743" s="76"/>
    </row>
    <row r="744" spans="1:6">
      <c r="A744" s="76"/>
      <c r="B744" s="76"/>
      <c r="C744" s="76"/>
      <c r="D744" s="76"/>
      <c r="E744" s="76"/>
      <c r="F744" s="76"/>
    </row>
    <row r="745" spans="1:6">
      <c r="A745" s="76"/>
      <c r="B745" s="76"/>
      <c r="C745" s="76"/>
      <c r="D745" s="76"/>
      <c r="E745" s="76"/>
      <c r="F745" s="76"/>
    </row>
    <row r="746" spans="1:6">
      <c r="A746" s="76"/>
      <c r="B746" s="76"/>
      <c r="C746" s="76"/>
      <c r="D746" s="76"/>
      <c r="E746" s="76"/>
      <c r="F746" s="76"/>
    </row>
    <row r="747" spans="1:6">
      <c r="A747" s="76"/>
      <c r="B747" s="76"/>
      <c r="C747" s="76"/>
      <c r="D747" s="76"/>
      <c r="E747" s="76"/>
      <c r="F747" s="76"/>
    </row>
    <row r="748" spans="1:6">
      <c r="A748" s="76"/>
      <c r="B748" s="76"/>
      <c r="C748" s="76"/>
      <c r="D748" s="76"/>
      <c r="E748" s="76"/>
      <c r="F748" s="76"/>
    </row>
    <row r="749" spans="1:6">
      <c r="A749" s="76"/>
      <c r="B749" s="76"/>
      <c r="C749" s="76"/>
      <c r="D749" s="76"/>
      <c r="E749" s="76"/>
      <c r="F749" s="76"/>
    </row>
    <row r="750" spans="1:6">
      <c r="A750" s="76"/>
      <c r="B750" s="76"/>
      <c r="C750" s="76"/>
      <c r="D750" s="76"/>
      <c r="E750" s="76"/>
      <c r="F750" s="76"/>
    </row>
    <row r="751" spans="1:6">
      <c r="A751" s="76"/>
      <c r="B751" s="76"/>
      <c r="C751" s="76"/>
      <c r="D751" s="76"/>
      <c r="E751" s="76"/>
      <c r="F751" s="76"/>
    </row>
    <row r="752" spans="1:6">
      <c r="A752" s="76"/>
      <c r="B752" s="76"/>
      <c r="C752" s="76"/>
      <c r="D752" s="76"/>
      <c r="E752" s="76"/>
      <c r="F752" s="76"/>
    </row>
    <row r="753" spans="1:6">
      <c r="A753" s="76"/>
      <c r="B753" s="76"/>
      <c r="C753" s="76"/>
      <c r="D753" s="76"/>
      <c r="E753" s="76"/>
      <c r="F753" s="76"/>
    </row>
    <row r="754" spans="1:6">
      <c r="A754" s="76"/>
      <c r="B754" s="76"/>
      <c r="C754" s="76"/>
      <c r="D754" s="76"/>
      <c r="E754" s="76"/>
      <c r="F754" s="76"/>
    </row>
    <row r="755" spans="1:6">
      <c r="A755" s="76"/>
      <c r="B755" s="76"/>
      <c r="C755" s="76"/>
      <c r="D755" s="76"/>
      <c r="E755" s="76"/>
      <c r="F755" s="76"/>
    </row>
    <row r="756" spans="1:6">
      <c r="A756" s="76"/>
      <c r="B756" s="76"/>
      <c r="C756" s="76"/>
      <c r="D756" s="76"/>
      <c r="E756" s="76"/>
      <c r="F756" s="76"/>
    </row>
    <row r="757" spans="1:6">
      <c r="A757" s="76"/>
      <c r="B757" s="76"/>
      <c r="C757" s="76"/>
      <c r="D757" s="76"/>
      <c r="E757" s="76"/>
      <c r="F757" s="76"/>
    </row>
    <row r="758" spans="1:6">
      <c r="A758" s="76"/>
      <c r="B758" s="76"/>
      <c r="C758" s="76"/>
      <c r="D758" s="76"/>
      <c r="E758" s="76"/>
      <c r="F758" s="76"/>
    </row>
    <row r="759" spans="1:6">
      <c r="A759" s="76"/>
      <c r="B759" s="76"/>
      <c r="C759" s="76"/>
      <c r="D759" s="76"/>
      <c r="E759" s="76"/>
      <c r="F759" s="76"/>
    </row>
    <row r="760" spans="1:6">
      <c r="A760" s="76"/>
      <c r="B760" s="76"/>
      <c r="C760" s="76"/>
      <c r="D760" s="76"/>
      <c r="E760" s="76"/>
      <c r="F760" s="76"/>
    </row>
    <row r="761" spans="1:6">
      <c r="A761" s="76"/>
      <c r="B761" s="76"/>
      <c r="C761" s="76"/>
      <c r="D761" s="76"/>
      <c r="E761" s="76"/>
      <c r="F761" s="76"/>
    </row>
    <row r="762" spans="1:6">
      <c r="A762" s="76"/>
      <c r="B762" s="76"/>
      <c r="C762" s="76"/>
      <c r="D762" s="76"/>
      <c r="E762" s="76"/>
      <c r="F762" s="76"/>
    </row>
    <row r="763" spans="1:6">
      <c r="A763" s="76"/>
      <c r="B763" s="76"/>
      <c r="C763" s="76"/>
      <c r="D763" s="76"/>
      <c r="E763" s="76"/>
      <c r="F763" s="76"/>
    </row>
    <row r="764" spans="1:6">
      <c r="A764" s="76"/>
      <c r="B764" s="76"/>
      <c r="C764" s="76"/>
      <c r="D764" s="76"/>
      <c r="E764" s="76"/>
      <c r="F764" s="76"/>
    </row>
    <row r="765" spans="1:6">
      <c r="A765" s="76"/>
      <c r="B765" s="76"/>
      <c r="C765" s="76"/>
      <c r="D765" s="76"/>
      <c r="E765" s="76"/>
      <c r="F765" s="76"/>
    </row>
    <row r="766" spans="1:6">
      <c r="A766" s="76"/>
      <c r="B766" s="76"/>
      <c r="C766" s="76"/>
      <c r="D766" s="76"/>
      <c r="E766" s="76"/>
      <c r="F766" s="76"/>
    </row>
    <row r="767" spans="1:6">
      <c r="A767" s="76"/>
      <c r="B767" s="76"/>
      <c r="C767" s="76"/>
      <c r="D767" s="76"/>
      <c r="E767" s="76"/>
      <c r="F767" s="76"/>
    </row>
    <row r="768" spans="1:6">
      <c r="A768" s="76"/>
      <c r="B768" s="76"/>
      <c r="C768" s="76"/>
      <c r="D768" s="76"/>
      <c r="E768" s="76"/>
      <c r="F768" s="76"/>
    </row>
    <row r="769" spans="1:6">
      <c r="A769" s="76"/>
      <c r="B769" s="76"/>
      <c r="C769" s="76"/>
      <c r="D769" s="76"/>
      <c r="E769" s="76"/>
      <c r="F769" s="76"/>
    </row>
    <row r="770" spans="1:6">
      <c r="A770" s="76"/>
      <c r="B770" s="76"/>
      <c r="C770" s="76"/>
      <c r="D770" s="76"/>
      <c r="E770" s="76"/>
      <c r="F770" s="76"/>
    </row>
    <row r="771" spans="1:6">
      <c r="A771" s="76"/>
      <c r="B771" s="76"/>
      <c r="C771" s="76"/>
      <c r="D771" s="76"/>
      <c r="E771" s="76"/>
      <c r="F771" s="76"/>
    </row>
    <row r="772" spans="1:6">
      <c r="A772" s="76"/>
      <c r="B772" s="76"/>
      <c r="C772" s="76"/>
      <c r="D772" s="76"/>
      <c r="E772" s="76"/>
      <c r="F772" s="76"/>
    </row>
    <row r="773" spans="1:6">
      <c r="A773" s="76"/>
      <c r="B773" s="76"/>
      <c r="C773" s="76"/>
      <c r="D773" s="76"/>
      <c r="E773" s="76"/>
      <c r="F773" s="76"/>
    </row>
    <row r="774" spans="1:6">
      <c r="A774" s="76"/>
      <c r="B774" s="76"/>
      <c r="C774" s="76"/>
      <c r="D774" s="76"/>
      <c r="E774" s="76"/>
      <c r="F774" s="76"/>
    </row>
    <row r="775" spans="1:6">
      <c r="A775" s="76"/>
      <c r="B775" s="76"/>
      <c r="C775" s="76"/>
      <c r="D775" s="76"/>
      <c r="E775" s="76"/>
      <c r="F775" s="76"/>
    </row>
    <row r="776" spans="1:6">
      <c r="A776" s="76"/>
      <c r="B776" s="76"/>
      <c r="C776" s="76"/>
      <c r="D776" s="76"/>
      <c r="E776" s="76"/>
      <c r="F776" s="76"/>
    </row>
    <row r="777" spans="1:6">
      <c r="A777" s="76"/>
      <c r="B777" s="76"/>
      <c r="C777" s="76"/>
      <c r="D777" s="76"/>
      <c r="E777" s="76"/>
      <c r="F777" s="76"/>
    </row>
    <row r="778" spans="1:6">
      <c r="A778" s="76"/>
      <c r="B778" s="76"/>
      <c r="C778" s="76"/>
      <c r="D778" s="76"/>
      <c r="E778" s="76"/>
      <c r="F778" s="76"/>
    </row>
    <row r="779" spans="1:6">
      <c r="A779" s="76"/>
      <c r="B779" s="76"/>
      <c r="C779" s="76"/>
      <c r="D779" s="76"/>
      <c r="E779" s="76"/>
      <c r="F779" s="76"/>
    </row>
    <row r="780" spans="1:6">
      <c r="A780" s="76"/>
      <c r="B780" s="76"/>
      <c r="C780" s="76"/>
      <c r="D780" s="76"/>
      <c r="E780" s="76"/>
      <c r="F780" s="76"/>
    </row>
    <row r="781" spans="1:6">
      <c r="A781" s="76"/>
      <c r="B781" s="76"/>
      <c r="C781" s="76"/>
      <c r="D781" s="76"/>
      <c r="E781" s="76"/>
      <c r="F781" s="76"/>
    </row>
    <row r="782" spans="1:6">
      <c r="A782" s="76"/>
      <c r="B782" s="76"/>
      <c r="C782" s="76"/>
      <c r="D782" s="76"/>
      <c r="E782" s="76"/>
      <c r="F782" s="76"/>
    </row>
    <row r="783" spans="1:6">
      <c r="A783" s="76"/>
      <c r="B783" s="76"/>
      <c r="C783" s="76"/>
      <c r="D783" s="76"/>
      <c r="E783" s="76"/>
      <c r="F783" s="76"/>
    </row>
    <row r="784" spans="1:6">
      <c r="A784" s="76"/>
      <c r="B784" s="76"/>
      <c r="C784" s="76"/>
      <c r="D784" s="76"/>
      <c r="E784" s="76"/>
      <c r="F784" s="76"/>
    </row>
    <row r="785" spans="1:6">
      <c r="A785" s="76"/>
      <c r="B785" s="76"/>
      <c r="C785" s="76"/>
      <c r="D785" s="76"/>
      <c r="E785" s="76"/>
      <c r="F785" s="76"/>
    </row>
    <row r="786" spans="1:6">
      <c r="A786" s="76"/>
      <c r="B786" s="76"/>
      <c r="C786" s="76"/>
      <c r="D786" s="76"/>
      <c r="E786" s="76"/>
      <c r="F786" s="76"/>
    </row>
    <row r="787" spans="1:6">
      <c r="A787" s="76"/>
      <c r="B787" s="76"/>
      <c r="C787" s="76"/>
      <c r="D787" s="76"/>
      <c r="E787" s="76"/>
      <c r="F787" s="76"/>
    </row>
    <row r="788" spans="1:6">
      <c r="A788" s="76"/>
      <c r="B788" s="76"/>
      <c r="C788" s="76"/>
      <c r="D788" s="76"/>
      <c r="E788" s="76"/>
      <c r="F788" s="76"/>
    </row>
    <row r="789" spans="1:6">
      <c r="A789" s="76"/>
      <c r="B789" s="76"/>
      <c r="C789" s="76"/>
      <c r="D789" s="76"/>
      <c r="E789" s="76"/>
      <c r="F789" s="76"/>
    </row>
    <row r="790" spans="1:6">
      <c r="A790" s="76"/>
      <c r="B790" s="76"/>
      <c r="C790" s="76"/>
      <c r="D790" s="76"/>
      <c r="E790" s="76"/>
      <c r="F790" s="76"/>
    </row>
    <row r="791" spans="1:6">
      <c r="A791" s="76"/>
      <c r="B791" s="76"/>
      <c r="C791" s="76"/>
      <c r="D791" s="76"/>
      <c r="E791" s="76"/>
      <c r="F791" s="76"/>
    </row>
    <row r="792" spans="1:6">
      <c r="A792" s="76"/>
      <c r="B792" s="76"/>
      <c r="C792" s="76"/>
      <c r="D792" s="76"/>
      <c r="E792" s="76"/>
      <c r="F792" s="76"/>
    </row>
    <row r="793" spans="1:6">
      <c r="A793" s="76"/>
      <c r="B793" s="76"/>
      <c r="C793" s="76"/>
      <c r="D793" s="76"/>
      <c r="E793" s="76"/>
      <c r="F793" s="76"/>
    </row>
    <row r="794" spans="1:6">
      <c r="A794" s="76"/>
      <c r="B794" s="76"/>
      <c r="C794" s="76"/>
      <c r="D794" s="76"/>
      <c r="E794" s="76"/>
      <c r="F794" s="76"/>
    </row>
    <row r="795" spans="1:6">
      <c r="A795" s="76"/>
      <c r="B795" s="76"/>
      <c r="C795" s="76"/>
      <c r="D795" s="76"/>
      <c r="E795" s="76"/>
      <c r="F795" s="76"/>
    </row>
    <row r="796" spans="1:6">
      <c r="A796" s="76"/>
      <c r="B796" s="76"/>
      <c r="C796" s="76"/>
      <c r="D796" s="76"/>
      <c r="E796" s="76"/>
      <c r="F796" s="76"/>
    </row>
    <row r="797" spans="1:6">
      <c r="A797" s="76"/>
      <c r="B797" s="76"/>
      <c r="C797" s="76"/>
      <c r="D797" s="76"/>
      <c r="E797" s="76"/>
      <c r="F797" s="76"/>
    </row>
    <row r="798" spans="1:6">
      <c r="A798" s="76"/>
      <c r="B798" s="76"/>
      <c r="C798" s="76"/>
      <c r="D798" s="76"/>
      <c r="E798" s="76"/>
      <c r="F798" s="76"/>
    </row>
    <row r="799" spans="1:6">
      <c r="A799" s="76"/>
      <c r="B799" s="76"/>
      <c r="C799" s="76"/>
      <c r="D799" s="76"/>
      <c r="E799" s="76"/>
      <c r="F799" s="76"/>
    </row>
    <row r="800" spans="1:6">
      <c r="A800" s="76"/>
      <c r="B800" s="76"/>
      <c r="C800" s="76"/>
      <c r="D800" s="76"/>
      <c r="E800" s="76"/>
      <c r="F800" s="76"/>
    </row>
    <row r="801" spans="1:6">
      <c r="A801" s="76"/>
      <c r="B801" s="76"/>
      <c r="C801" s="76"/>
      <c r="D801" s="76"/>
      <c r="E801" s="76"/>
      <c r="F801" s="76"/>
    </row>
    <row r="802" spans="1:6">
      <c r="A802" s="76"/>
      <c r="B802" s="76"/>
      <c r="C802" s="76"/>
      <c r="D802" s="76"/>
      <c r="E802" s="76"/>
      <c r="F802" s="76"/>
    </row>
    <row r="803" spans="1:6">
      <c r="A803" s="76"/>
      <c r="B803" s="76"/>
      <c r="C803" s="76"/>
      <c r="D803" s="76"/>
      <c r="E803" s="76"/>
      <c r="F803" s="76"/>
    </row>
    <row r="804" spans="1:6">
      <c r="A804" s="76"/>
      <c r="B804" s="76"/>
      <c r="C804" s="76"/>
      <c r="D804" s="76"/>
      <c r="E804" s="76"/>
      <c r="F804" s="76"/>
    </row>
    <row r="805" spans="1:6">
      <c r="A805" s="76"/>
      <c r="B805" s="76"/>
      <c r="C805" s="76"/>
      <c r="D805" s="76"/>
      <c r="E805" s="76"/>
      <c r="F805" s="76"/>
    </row>
    <row r="806" spans="1:6">
      <c r="A806" s="76"/>
      <c r="B806" s="76"/>
      <c r="C806" s="76"/>
      <c r="D806" s="76"/>
      <c r="E806" s="76"/>
      <c r="F806" s="76"/>
    </row>
    <row r="807" spans="1:6">
      <c r="A807" s="76"/>
      <c r="B807" s="76"/>
      <c r="C807" s="76"/>
      <c r="D807" s="76"/>
      <c r="E807" s="76"/>
      <c r="F807" s="76"/>
    </row>
    <row r="808" spans="1:6">
      <c r="A808" s="76"/>
      <c r="B808" s="76"/>
      <c r="C808" s="76"/>
      <c r="D808" s="76"/>
      <c r="E808" s="76"/>
      <c r="F808" s="76"/>
    </row>
    <row r="809" spans="1:6">
      <c r="A809" s="76"/>
      <c r="B809" s="76"/>
      <c r="C809" s="76"/>
      <c r="D809" s="76"/>
      <c r="E809" s="76"/>
      <c r="F809" s="76"/>
    </row>
    <row r="810" spans="1:6">
      <c r="A810" s="76"/>
      <c r="B810" s="76"/>
      <c r="C810" s="76"/>
      <c r="D810" s="76"/>
      <c r="E810" s="76"/>
      <c r="F810" s="76"/>
    </row>
    <row r="811" spans="1:6">
      <c r="A811" s="76"/>
      <c r="B811" s="76"/>
      <c r="C811" s="76"/>
      <c r="D811" s="76"/>
      <c r="E811" s="76"/>
      <c r="F811" s="76"/>
    </row>
    <row r="812" spans="1:6">
      <c r="A812" s="76"/>
      <c r="B812" s="76"/>
      <c r="C812" s="76"/>
      <c r="D812" s="76"/>
      <c r="E812" s="76"/>
      <c r="F812" s="76"/>
    </row>
    <row r="813" spans="1:6">
      <c r="A813" s="76"/>
      <c r="B813" s="76"/>
      <c r="C813" s="76"/>
      <c r="D813" s="76"/>
      <c r="E813" s="76"/>
      <c r="F813" s="76"/>
    </row>
    <row r="814" spans="1:6">
      <c r="A814" s="76"/>
      <c r="B814" s="76"/>
      <c r="C814" s="76"/>
      <c r="D814" s="76"/>
      <c r="E814" s="76"/>
      <c r="F814" s="76"/>
    </row>
    <row r="815" spans="1:6">
      <c r="A815" s="76"/>
      <c r="B815" s="76"/>
      <c r="C815" s="76"/>
      <c r="D815" s="76"/>
      <c r="E815" s="76"/>
      <c r="F815" s="76"/>
    </row>
    <row r="816" spans="1:6">
      <c r="A816" s="76"/>
      <c r="B816" s="76"/>
      <c r="C816" s="76"/>
      <c r="D816" s="76"/>
      <c r="E816" s="76"/>
      <c r="F816" s="76"/>
    </row>
    <row r="817" spans="1:6">
      <c r="A817" s="76"/>
      <c r="B817" s="76"/>
      <c r="C817" s="76"/>
      <c r="D817" s="76"/>
      <c r="E817" s="76"/>
      <c r="F817" s="76"/>
    </row>
    <row r="818" spans="1:6">
      <c r="A818" s="76"/>
      <c r="B818" s="76"/>
      <c r="C818" s="76"/>
      <c r="D818" s="76"/>
      <c r="E818" s="76"/>
      <c r="F818" s="76"/>
    </row>
    <row r="819" spans="1:6">
      <c r="A819" s="76"/>
      <c r="B819" s="76"/>
      <c r="C819" s="76"/>
      <c r="D819" s="76"/>
      <c r="E819" s="76"/>
      <c r="F819" s="76"/>
    </row>
    <row r="820" spans="1:6">
      <c r="A820" s="76"/>
      <c r="B820" s="76"/>
      <c r="C820" s="76"/>
      <c r="D820" s="76"/>
      <c r="E820" s="76"/>
      <c r="F820" s="76"/>
    </row>
    <row r="821" spans="1:6">
      <c r="A821" s="76"/>
      <c r="B821" s="76"/>
      <c r="C821" s="76"/>
      <c r="D821" s="76"/>
      <c r="E821" s="76"/>
      <c r="F821" s="76"/>
    </row>
    <row r="822" spans="1:6">
      <c r="A822" s="76"/>
      <c r="B822" s="76"/>
      <c r="C822" s="76"/>
      <c r="D822" s="76"/>
      <c r="E822" s="76"/>
      <c r="F822" s="76"/>
    </row>
    <row r="823" spans="1:6">
      <c r="A823" s="76"/>
      <c r="B823" s="76"/>
      <c r="C823" s="76"/>
      <c r="D823" s="76"/>
      <c r="E823" s="76"/>
      <c r="F823" s="76"/>
    </row>
    <row r="824" spans="1:6">
      <c r="A824" s="76"/>
      <c r="B824" s="76"/>
      <c r="C824" s="76"/>
      <c r="D824" s="76"/>
      <c r="E824" s="76"/>
      <c r="F824" s="76"/>
    </row>
    <row r="825" spans="1:6">
      <c r="A825" s="76"/>
      <c r="B825" s="76"/>
      <c r="C825" s="76"/>
      <c r="D825" s="76"/>
      <c r="E825" s="76"/>
      <c r="F825" s="76"/>
    </row>
    <row r="826" spans="1:6">
      <c r="A826" s="76"/>
      <c r="B826" s="76"/>
      <c r="C826" s="76"/>
      <c r="D826" s="76"/>
      <c r="E826" s="76"/>
      <c r="F826" s="76"/>
    </row>
    <row r="827" spans="1:6">
      <c r="A827" s="76"/>
      <c r="B827" s="76"/>
      <c r="C827" s="76"/>
      <c r="D827" s="76"/>
      <c r="E827" s="76"/>
      <c r="F827" s="76"/>
    </row>
    <row r="828" spans="1:6">
      <c r="A828" s="76"/>
      <c r="B828" s="76"/>
      <c r="C828" s="76"/>
      <c r="D828" s="76"/>
      <c r="E828" s="76"/>
      <c r="F828" s="76"/>
    </row>
    <row r="829" spans="1:6">
      <c r="A829" s="76"/>
      <c r="B829" s="76"/>
      <c r="C829" s="76"/>
      <c r="D829" s="76"/>
      <c r="E829" s="76"/>
      <c r="F829" s="76"/>
    </row>
    <row r="830" spans="1:6">
      <c r="A830" s="76"/>
      <c r="B830" s="76"/>
      <c r="C830" s="76"/>
      <c r="D830" s="76"/>
      <c r="E830" s="76"/>
      <c r="F830" s="76"/>
    </row>
    <row r="831" spans="1:6">
      <c r="A831" s="76"/>
      <c r="B831" s="76"/>
      <c r="C831" s="76"/>
      <c r="D831" s="76"/>
      <c r="E831" s="76"/>
      <c r="F831" s="76"/>
    </row>
    <row r="832" spans="1:6">
      <c r="A832" s="76"/>
      <c r="B832" s="76"/>
      <c r="C832" s="76"/>
      <c r="D832" s="76"/>
      <c r="E832" s="76"/>
      <c r="F832" s="76"/>
    </row>
    <row r="833" spans="1:6">
      <c r="A833" s="76"/>
      <c r="B833" s="76"/>
      <c r="C833" s="76"/>
      <c r="D833" s="76"/>
      <c r="E833" s="76"/>
      <c r="F833" s="76"/>
    </row>
    <row r="834" spans="1:6">
      <c r="A834" s="76"/>
      <c r="B834" s="76"/>
      <c r="C834" s="76"/>
      <c r="D834" s="76"/>
      <c r="E834" s="76"/>
      <c r="F834" s="76"/>
    </row>
    <row r="835" spans="1:6">
      <c r="A835" s="76"/>
      <c r="B835" s="76"/>
      <c r="C835" s="76"/>
      <c r="D835" s="76"/>
      <c r="E835" s="76"/>
      <c r="F835" s="76"/>
    </row>
    <row r="836" spans="1:6">
      <c r="A836" s="76"/>
      <c r="B836" s="76"/>
      <c r="C836" s="76"/>
      <c r="D836" s="76"/>
      <c r="E836" s="76"/>
      <c r="F836" s="76"/>
    </row>
    <row r="837" spans="1:6">
      <c r="A837" s="76"/>
      <c r="B837" s="76"/>
      <c r="C837" s="76"/>
      <c r="D837" s="76"/>
      <c r="E837" s="76"/>
      <c r="F837" s="76"/>
    </row>
    <row r="838" spans="1:6">
      <c r="A838" s="76"/>
      <c r="B838" s="76"/>
      <c r="C838" s="76"/>
      <c r="D838" s="76"/>
      <c r="E838" s="76"/>
      <c r="F838" s="76"/>
    </row>
    <row r="839" spans="1:6">
      <c r="A839" s="76"/>
      <c r="B839" s="76"/>
      <c r="C839" s="76"/>
      <c r="D839" s="76"/>
      <c r="E839" s="76"/>
      <c r="F839" s="76"/>
    </row>
    <row r="840" spans="1:6">
      <c r="A840" s="76"/>
      <c r="B840" s="76"/>
      <c r="C840" s="76"/>
      <c r="D840" s="76"/>
      <c r="E840" s="76"/>
      <c r="F840" s="76"/>
    </row>
    <row r="841" spans="1:6">
      <c r="A841" s="76"/>
      <c r="B841" s="76"/>
      <c r="C841" s="76"/>
      <c r="D841" s="76"/>
      <c r="E841" s="76"/>
      <c r="F841" s="76"/>
    </row>
    <row r="842" spans="1:6">
      <c r="A842" s="76"/>
      <c r="B842" s="76"/>
      <c r="C842" s="76"/>
      <c r="D842" s="76"/>
      <c r="E842" s="76"/>
      <c r="F842" s="76"/>
    </row>
    <row r="843" spans="1:6">
      <c r="A843" s="76"/>
      <c r="B843" s="76"/>
      <c r="C843" s="76"/>
      <c r="D843" s="76"/>
      <c r="E843" s="76"/>
      <c r="F843" s="76"/>
    </row>
    <row r="844" spans="1:6">
      <c r="A844" s="76"/>
      <c r="B844" s="76"/>
      <c r="C844" s="76"/>
      <c r="D844" s="76"/>
      <c r="E844" s="76"/>
      <c r="F844" s="76"/>
    </row>
    <row r="845" spans="1:6">
      <c r="A845" s="76"/>
      <c r="B845" s="76"/>
      <c r="C845" s="76"/>
      <c r="D845" s="76"/>
      <c r="E845" s="76"/>
      <c r="F845" s="76"/>
    </row>
    <row r="846" spans="1:6">
      <c r="A846" s="76"/>
      <c r="B846" s="76"/>
      <c r="C846" s="76"/>
      <c r="D846" s="76"/>
      <c r="E846" s="76"/>
      <c r="F846" s="76"/>
    </row>
    <row r="847" spans="1:6">
      <c r="A847" s="76"/>
      <c r="B847" s="76"/>
      <c r="C847" s="76"/>
      <c r="D847" s="76"/>
      <c r="E847" s="76"/>
      <c r="F847" s="76"/>
    </row>
    <row r="848" spans="1:6">
      <c r="A848" s="76"/>
      <c r="B848" s="76"/>
      <c r="C848" s="76"/>
      <c r="D848" s="76"/>
      <c r="E848" s="76"/>
      <c r="F848" s="76"/>
    </row>
    <row r="849" spans="1:6">
      <c r="A849" s="76"/>
      <c r="B849" s="76"/>
      <c r="C849" s="76"/>
      <c r="D849" s="76"/>
      <c r="E849" s="76"/>
      <c r="F849" s="76"/>
    </row>
    <row r="850" spans="1:6">
      <c r="A850" s="76"/>
      <c r="B850" s="76"/>
      <c r="C850" s="76"/>
      <c r="D850" s="76"/>
      <c r="E850" s="76"/>
      <c r="F850" s="76"/>
    </row>
    <row r="851" spans="1:6">
      <c r="A851" s="76"/>
      <c r="B851" s="76"/>
      <c r="C851" s="76"/>
      <c r="D851" s="76"/>
      <c r="E851" s="76"/>
      <c r="F851" s="76"/>
    </row>
    <row r="852" spans="1:6">
      <c r="A852" s="76"/>
      <c r="B852" s="76"/>
      <c r="C852" s="76"/>
      <c r="D852" s="76"/>
      <c r="E852" s="76"/>
      <c r="F852" s="76"/>
    </row>
    <row r="853" spans="1:6">
      <c r="A853" s="76"/>
      <c r="B853" s="76"/>
      <c r="C853" s="76"/>
      <c r="D853" s="76"/>
      <c r="E853" s="76"/>
      <c r="F853" s="76"/>
    </row>
    <row r="854" spans="1:6">
      <c r="A854" s="76"/>
      <c r="B854" s="76"/>
      <c r="C854" s="76"/>
      <c r="D854" s="76"/>
      <c r="E854" s="76"/>
      <c r="F854" s="76"/>
    </row>
    <row r="855" spans="1:6">
      <c r="A855" s="76"/>
      <c r="B855" s="76"/>
      <c r="C855" s="76"/>
      <c r="D855" s="76"/>
      <c r="E855" s="76"/>
      <c r="F855" s="76"/>
    </row>
    <row r="856" spans="1:6">
      <c r="A856" s="76"/>
      <c r="B856" s="76"/>
      <c r="C856" s="76"/>
      <c r="D856" s="76"/>
      <c r="E856" s="76"/>
      <c r="F856" s="76"/>
    </row>
    <row r="857" spans="1:6">
      <c r="A857" s="76"/>
      <c r="B857" s="76"/>
      <c r="C857" s="76"/>
      <c r="D857" s="76"/>
      <c r="E857" s="76"/>
      <c r="F857" s="76"/>
    </row>
    <row r="858" spans="1:6">
      <c r="A858" s="76"/>
      <c r="B858" s="76"/>
      <c r="C858" s="76"/>
      <c r="D858" s="76"/>
      <c r="E858" s="76"/>
      <c r="F858" s="76"/>
    </row>
    <row r="859" spans="1:6">
      <c r="A859" s="76"/>
      <c r="B859" s="76"/>
      <c r="C859" s="76"/>
      <c r="D859" s="76"/>
      <c r="E859" s="76"/>
      <c r="F859" s="76"/>
    </row>
    <row r="860" spans="1:6">
      <c r="A860" s="76"/>
      <c r="B860" s="76"/>
      <c r="C860" s="76"/>
      <c r="D860" s="76"/>
      <c r="E860" s="76"/>
      <c r="F860" s="76"/>
    </row>
    <row r="861" spans="1:6">
      <c r="A861" s="76"/>
      <c r="B861" s="76"/>
      <c r="C861" s="76"/>
      <c r="D861" s="76"/>
      <c r="E861" s="76"/>
      <c r="F861" s="76"/>
    </row>
    <row r="862" spans="1:6">
      <c r="A862" s="76"/>
      <c r="B862" s="76"/>
      <c r="C862" s="76"/>
      <c r="D862" s="76"/>
      <c r="E862" s="76"/>
      <c r="F862" s="76"/>
    </row>
    <row r="863" spans="1:6">
      <c r="A863" s="76"/>
      <c r="B863" s="76"/>
      <c r="C863" s="76"/>
      <c r="D863" s="76"/>
      <c r="E863" s="76"/>
      <c r="F863" s="76"/>
    </row>
    <row r="864" spans="1:6">
      <c r="A864" s="76"/>
      <c r="B864" s="76"/>
      <c r="C864" s="76"/>
      <c r="D864" s="76"/>
      <c r="E864" s="76"/>
      <c r="F864" s="76"/>
    </row>
    <row r="865" spans="1:6">
      <c r="A865" s="76"/>
      <c r="B865" s="76"/>
      <c r="C865" s="76"/>
      <c r="D865" s="76"/>
      <c r="E865" s="76"/>
      <c r="F865" s="76"/>
    </row>
    <row r="866" spans="1:6">
      <c r="A866" s="76"/>
      <c r="B866" s="76"/>
      <c r="C866" s="76"/>
      <c r="D866" s="76"/>
      <c r="E866" s="76"/>
      <c r="F866" s="76"/>
    </row>
    <row r="867" spans="1:6">
      <c r="A867" s="76"/>
      <c r="B867" s="76"/>
      <c r="C867" s="76"/>
      <c r="D867" s="76"/>
      <c r="E867" s="76"/>
      <c r="F867" s="76"/>
    </row>
    <row r="868" spans="1:6">
      <c r="A868" s="76"/>
      <c r="B868" s="76"/>
      <c r="C868" s="76"/>
      <c r="D868" s="76"/>
      <c r="E868" s="76"/>
      <c r="F868" s="76"/>
    </row>
    <row r="869" spans="1:6">
      <c r="A869" s="76"/>
      <c r="B869" s="76"/>
      <c r="C869" s="76"/>
      <c r="D869" s="76"/>
      <c r="E869" s="76"/>
      <c r="F869" s="76"/>
    </row>
    <row r="870" spans="1:6">
      <c r="A870" s="76"/>
      <c r="B870" s="76"/>
      <c r="C870" s="76"/>
      <c r="D870" s="76"/>
      <c r="E870" s="76"/>
      <c r="F870" s="76"/>
    </row>
    <row r="871" spans="1:6">
      <c r="A871" s="76"/>
      <c r="B871" s="76"/>
      <c r="C871" s="76"/>
      <c r="D871" s="76"/>
      <c r="E871" s="76"/>
      <c r="F871" s="76"/>
    </row>
    <row r="872" spans="1:6">
      <c r="A872" s="76"/>
      <c r="B872" s="76"/>
      <c r="C872" s="76"/>
      <c r="D872" s="76"/>
      <c r="E872" s="76"/>
      <c r="F872" s="76"/>
    </row>
    <row r="873" spans="1:6">
      <c r="A873" s="76"/>
      <c r="B873" s="76"/>
      <c r="C873" s="76"/>
      <c r="D873" s="76"/>
      <c r="E873" s="76"/>
      <c r="F873" s="76"/>
    </row>
    <row r="874" spans="1:6">
      <c r="A874" s="76"/>
      <c r="B874" s="76"/>
      <c r="C874" s="76"/>
      <c r="D874" s="76"/>
      <c r="E874" s="76"/>
      <c r="F874" s="76"/>
    </row>
    <row r="875" spans="1:6">
      <c r="A875" s="76"/>
      <c r="B875" s="76"/>
      <c r="C875" s="76"/>
      <c r="D875" s="76"/>
      <c r="E875" s="76"/>
      <c r="F875" s="76"/>
    </row>
    <row r="876" spans="1:6">
      <c r="A876" s="76"/>
      <c r="B876" s="76"/>
      <c r="C876" s="76"/>
      <c r="D876" s="76"/>
      <c r="E876" s="76"/>
      <c r="F876" s="76"/>
    </row>
    <row r="877" spans="1:6">
      <c r="A877" s="76"/>
      <c r="B877" s="76"/>
      <c r="C877" s="76"/>
      <c r="D877" s="76"/>
      <c r="E877" s="76"/>
      <c r="F877" s="76"/>
    </row>
    <row r="878" spans="1:6">
      <c r="A878" s="76"/>
      <c r="B878" s="76"/>
      <c r="C878" s="76"/>
      <c r="D878" s="76"/>
      <c r="E878" s="76"/>
      <c r="F878" s="76"/>
    </row>
    <row r="879" spans="1:6">
      <c r="A879" s="76"/>
      <c r="B879" s="76"/>
      <c r="C879" s="76"/>
      <c r="D879" s="76"/>
      <c r="E879" s="76"/>
      <c r="F879" s="76"/>
    </row>
    <row r="880" spans="1:6">
      <c r="A880" s="76"/>
      <c r="B880" s="76"/>
      <c r="C880" s="76"/>
      <c r="D880" s="76"/>
      <c r="E880" s="76"/>
      <c r="F880" s="76"/>
    </row>
    <row r="881" spans="1:6">
      <c r="A881" s="76"/>
      <c r="B881" s="76"/>
      <c r="C881" s="76"/>
      <c r="D881" s="76"/>
      <c r="E881" s="76"/>
      <c r="F881" s="76"/>
    </row>
    <row r="882" spans="1:6">
      <c r="A882" s="76"/>
      <c r="B882" s="76"/>
      <c r="C882" s="76"/>
      <c r="D882" s="76"/>
      <c r="E882" s="76"/>
      <c r="F882" s="76"/>
    </row>
    <row r="883" spans="1:6">
      <c r="A883" s="76"/>
      <c r="B883" s="76"/>
      <c r="C883" s="76"/>
      <c r="D883" s="76"/>
      <c r="E883" s="76"/>
      <c r="F883" s="76"/>
    </row>
    <row r="884" spans="1:6">
      <c r="A884" s="76"/>
      <c r="B884" s="76"/>
      <c r="C884" s="76"/>
      <c r="D884" s="76"/>
      <c r="E884" s="76"/>
      <c r="F884" s="76"/>
    </row>
    <row r="885" spans="1:6">
      <c r="A885" s="76"/>
      <c r="B885" s="76"/>
      <c r="C885" s="76"/>
      <c r="D885" s="76"/>
      <c r="E885" s="76"/>
      <c r="F885" s="76"/>
    </row>
    <row r="886" spans="1:6">
      <c r="A886" s="76"/>
      <c r="B886" s="76"/>
      <c r="C886" s="76"/>
      <c r="D886" s="76"/>
      <c r="E886" s="76"/>
      <c r="F886" s="76"/>
    </row>
    <row r="887" spans="1:6">
      <c r="A887" s="76"/>
      <c r="B887" s="76"/>
      <c r="C887" s="76"/>
      <c r="D887" s="76"/>
      <c r="E887" s="76"/>
      <c r="F887" s="76"/>
    </row>
    <row r="888" spans="1:6">
      <c r="A888" s="76"/>
      <c r="B888" s="76"/>
      <c r="C888" s="76"/>
      <c r="D888" s="76"/>
      <c r="E888" s="76"/>
      <c r="F888" s="76"/>
    </row>
    <row r="889" spans="1:6">
      <c r="A889" s="76"/>
      <c r="B889" s="76"/>
      <c r="C889" s="76"/>
      <c r="D889" s="76"/>
      <c r="E889" s="76"/>
      <c r="F889" s="76"/>
    </row>
    <row r="890" spans="1:6">
      <c r="A890" s="76"/>
      <c r="B890" s="76"/>
      <c r="C890" s="76"/>
      <c r="D890" s="76"/>
      <c r="E890" s="76"/>
      <c r="F890" s="76"/>
    </row>
    <row r="891" spans="1:6">
      <c r="A891" s="76"/>
      <c r="B891" s="76"/>
      <c r="C891" s="76"/>
      <c r="D891" s="76"/>
      <c r="E891" s="76"/>
      <c r="F891" s="76"/>
    </row>
    <row r="892" spans="1:6">
      <c r="A892" s="76"/>
      <c r="B892" s="76"/>
      <c r="C892" s="76"/>
      <c r="D892" s="76"/>
      <c r="E892" s="76"/>
      <c r="F892" s="76"/>
    </row>
    <row r="893" spans="1:6">
      <c r="A893" s="76"/>
      <c r="B893" s="76"/>
      <c r="C893" s="76"/>
      <c r="D893" s="76"/>
      <c r="E893" s="76"/>
      <c r="F893" s="76"/>
    </row>
    <row r="894" spans="1:6">
      <c r="A894" s="76"/>
      <c r="B894" s="76"/>
      <c r="C894" s="76"/>
      <c r="D894" s="76"/>
      <c r="E894" s="76"/>
      <c r="F894" s="76"/>
    </row>
    <row r="895" spans="1:6">
      <c r="A895" s="76"/>
      <c r="B895" s="76"/>
      <c r="C895" s="76"/>
      <c r="D895" s="76"/>
      <c r="E895" s="76"/>
      <c r="F895" s="76"/>
    </row>
    <row r="896" spans="1:6">
      <c r="A896" s="76"/>
      <c r="B896" s="76"/>
      <c r="C896" s="76"/>
      <c r="D896" s="76"/>
      <c r="E896" s="76"/>
      <c r="F896" s="76"/>
    </row>
    <row r="897" spans="1:6">
      <c r="A897" s="76"/>
      <c r="B897" s="76"/>
      <c r="C897" s="76"/>
      <c r="D897" s="76"/>
      <c r="E897" s="76"/>
      <c r="F897" s="76"/>
    </row>
    <row r="898" spans="1:6">
      <c r="A898" s="76"/>
      <c r="B898" s="76"/>
      <c r="C898" s="76"/>
      <c r="D898" s="76"/>
      <c r="E898" s="76"/>
      <c r="F898" s="76"/>
    </row>
    <row r="899" spans="1:6">
      <c r="A899" s="76"/>
      <c r="B899" s="76"/>
      <c r="C899" s="76"/>
      <c r="D899" s="76"/>
      <c r="E899" s="76"/>
      <c r="F899" s="76"/>
    </row>
    <row r="900" spans="1:6">
      <c r="A900" s="76"/>
      <c r="B900" s="76"/>
      <c r="C900" s="76"/>
      <c r="D900" s="76"/>
      <c r="E900" s="76"/>
      <c r="F900" s="76"/>
    </row>
    <row r="901" spans="1:6">
      <c r="A901" s="76"/>
      <c r="B901" s="76"/>
      <c r="C901" s="76"/>
      <c r="D901" s="76"/>
      <c r="E901" s="76"/>
      <c r="F901" s="76"/>
    </row>
    <row r="902" spans="1:6">
      <c r="A902" s="76"/>
      <c r="B902" s="76"/>
      <c r="C902" s="76"/>
      <c r="D902" s="76"/>
      <c r="E902" s="76"/>
      <c r="F902" s="76"/>
    </row>
    <row r="903" spans="1:6">
      <c r="A903" s="76"/>
      <c r="B903" s="76"/>
      <c r="C903" s="76"/>
      <c r="D903" s="76"/>
      <c r="E903" s="76"/>
      <c r="F903" s="76"/>
    </row>
    <row r="904" spans="1:6">
      <c r="A904" s="76"/>
      <c r="B904" s="76"/>
      <c r="C904" s="76"/>
      <c r="D904" s="76"/>
      <c r="E904" s="76"/>
      <c r="F904" s="76"/>
    </row>
    <row r="905" spans="1:6">
      <c r="A905" s="76"/>
      <c r="B905" s="76"/>
      <c r="C905" s="76"/>
      <c r="D905" s="76"/>
      <c r="E905" s="76"/>
      <c r="F905" s="76"/>
    </row>
    <row r="906" spans="1:6">
      <c r="A906" s="76"/>
      <c r="B906" s="76"/>
      <c r="C906" s="76"/>
      <c r="D906" s="76"/>
      <c r="E906" s="76"/>
      <c r="F906" s="76"/>
    </row>
    <row r="907" spans="1:6">
      <c r="A907" s="76"/>
      <c r="B907" s="76"/>
      <c r="C907" s="76"/>
      <c r="D907" s="76"/>
      <c r="E907" s="76"/>
      <c r="F907" s="76"/>
    </row>
    <row r="908" spans="1:6">
      <c r="A908" s="76"/>
      <c r="B908" s="76"/>
      <c r="C908" s="76"/>
      <c r="D908" s="76"/>
      <c r="E908" s="76"/>
      <c r="F908" s="76"/>
    </row>
    <row r="909" spans="1:6">
      <c r="A909" s="76"/>
      <c r="B909" s="76"/>
      <c r="C909" s="76"/>
      <c r="D909" s="76"/>
      <c r="E909" s="76"/>
      <c r="F909" s="76"/>
    </row>
    <row r="910" spans="1:6">
      <c r="A910" s="76"/>
      <c r="B910" s="76"/>
      <c r="C910" s="76"/>
      <c r="D910" s="76"/>
      <c r="E910" s="76"/>
      <c r="F910" s="76"/>
    </row>
    <row r="911" spans="1:6">
      <c r="A911" s="76"/>
      <c r="B911" s="76"/>
      <c r="C911" s="76"/>
      <c r="D911" s="76"/>
      <c r="E911" s="76"/>
      <c r="F911" s="76"/>
    </row>
    <row r="912" spans="1:6">
      <c r="A912" s="76"/>
      <c r="B912" s="76"/>
      <c r="C912" s="76"/>
      <c r="D912" s="76"/>
      <c r="E912" s="76"/>
      <c r="F912" s="76"/>
    </row>
    <row r="913" spans="1:6">
      <c r="A913" s="76"/>
      <c r="B913" s="76"/>
      <c r="C913" s="76"/>
      <c r="D913" s="76"/>
      <c r="E913" s="76"/>
      <c r="F913" s="76"/>
    </row>
    <row r="914" spans="1:6">
      <c r="A914" s="76"/>
      <c r="B914" s="76"/>
      <c r="C914" s="76"/>
      <c r="D914" s="76"/>
      <c r="E914" s="76"/>
      <c r="F914" s="76"/>
    </row>
    <row r="915" spans="1:6">
      <c r="A915" s="76"/>
      <c r="B915" s="76"/>
      <c r="C915" s="76"/>
      <c r="D915" s="76"/>
      <c r="E915" s="76"/>
      <c r="F915" s="76"/>
    </row>
    <row r="916" spans="1:6">
      <c r="A916" s="76"/>
      <c r="B916" s="76"/>
      <c r="C916" s="76"/>
      <c r="D916" s="76"/>
      <c r="E916" s="76"/>
      <c r="F916" s="76"/>
    </row>
    <row r="917" spans="1:6">
      <c r="A917" s="76"/>
      <c r="B917" s="76"/>
      <c r="C917" s="76"/>
      <c r="D917" s="76"/>
      <c r="E917" s="76"/>
      <c r="F917" s="76"/>
    </row>
    <row r="918" spans="1:6">
      <c r="A918" s="76"/>
      <c r="B918" s="76"/>
      <c r="C918" s="76"/>
      <c r="D918" s="76"/>
      <c r="E918" s="76"/>
      <c r="F918" s="76"/>
    </row>
    <row r="919" spans="1:6">
      <c r="A919" s="76"/>
      <c r="B919" s="76"/>
      <c r="C919" s="76"/>
      <c r="D919" s="76"/>
      <c r="E919" s="76"/>
      <c r="F919" s="76"/>
    </row>
    <row r="920" spans="1:6">
      <c r="A920" s="76"/>
      <c r="B920" s="76"/>
      <c r="C920" s="76"/>
      <c r="D920" s="76"/>
      <c r="E920" s="76"/>
      <c r="F920" s="76"/>
    </row>
    <row r="921" spans="1:6">
      <c r="A921" s="76"/>
      <c r="B921" s="76"/>
      <c r="C921" s="76"/>
      <c r="D921" s="76"/>
      <c r="E921" s="76"/>
      <c r="F921" s="76"/>
    </row>
    <row r="922" spans="1:6">
      <c r="A922" s="76"/>
      <c r="B922" s="76"/>
      <c r="C922" s="76"/>
      <c r="D922" s="76"/>
      <c r="E922" s="76"/>
      <c r="F922" s="76"/>
    </row>
    <row r="923" spans="1:6">
      <c r="A923" s="76"/>
      <c r="B923" s="76"/>
      <c r="C923" s="76"/>
      <c r="D923" s="76"/>
      <c r="E923" s="76"/>
      <c r="F923" s="76"/>
    </row>
    <row r="924" spans="1:6">
      <c r="A924" s="76"/>
      <c r="B924" s="76"/>
      <c r="C924" s="76"/>
      <c r="D924" s="76"/>
      <c r="E924" s="76"/>
      <c r="F924" s="76"/>
    </row>
    <row r="925" spans="1:6">
      <c r="A925" s="76"/>
      <c r="B925" s="76"/>
      <c r="C925" s="76"/>
      <c r="D925" s="76"/>
      <c r="E925" s="76"/>
      <c r="F925" s="76"/>
    </row>
    <row r="926" spans="1:6">
      <c r="A926" s="76"/>
      <c r="B926" s="76"/>
      <c r="C926" s="76"/>
      <c r="D926" s="76"/>
      <c r="E926" s="76"/>
      <c r="F926" s="76"/>
    </row>
    <row r="927" spans="1:6">
      <c r="A927" s="76"/>
      <c r="B927" s="76"/>
      <c r="C927" s="76"/>
      <c r="D927" s="76"/>
      <c r="E927" s="76"/>
      <c r="F927" s="76"/>
    </row>
    <row r="928" spans="1:6">
      <c r="A928" s="76"/>
      <c r="B928" s="76"/>
      <c r="C928" s="76"/>
      <c r="D928" s="76"/>
      <c r="E928" s="76"/>
      <c r="F928" s="76"/>
    </row>
    <row r="929" spans="1:6">
      <c r="A929" s="76"/>
      <c r="B929" s="76"/>
      <c r="C929" s="76"/>
      <c r="D929" s="76"/>
      <c r="E929" s="76"/>
      <c r="F929" s="76"/>
    </row>
    <row r="930" spans="1:6">
      <c r="A930" s="76"/>
      <c r="B930" s="76"/>
      <c r="C930" s="76"/>
      <c r="D930" s="76"/>
      <c r="E930" s="76"/>
      <c r="F930" s="76"/>
    </row>
    <row r="931" spans="1:6">
      <c r="A931" s="76"/>
      <c r="B931" s="76"/>
      <c r="C931" s="76"/>
      <c r="D931" s="76"/>
      <c r="E931" s="76"/>
      <c r="F931" s="76"/>
    </row>
    <row r="932" spans="1:6">
      <c r="A932" s="76"/>
      <c r="B932" s="76"/>
      <c r="C932" s="76"/>
      <c r="D932" s="76"/>
      <c r="E932" s="76"/>
      <c r="F932" s="76"/>
    </row>
    <row r="933" spans="1:6">
      <c r="A933" s="76"/>
      <c r="B933" s="76"/>
      <c r="C933" s="76"/>
      <c r="D933" s="76"/>
      <c r="E933" s="76"/>
      <c r="F933" s="76"/>
    </row>
    <row r="934" spans="1:6">
      <c r="A934" s="76"/>
      <c r="B934" s="76"/>
      <c r="C934" s="76"/>
      <c r="D934" s="76"/>
      <c r="E934" s="76"/>
      <c r="F934" s="76"/>
    </row>
    <row r="935" spans="1:6">
      <c r="A935" s="76"/>
      <c r="B935" s="76"/>
      <c r="C935" s="76"/>
      <c r="D935" s="76"/>
      <c r="E935" s="76"/>
      <c r="F935" s="76"/>
    </row>
    <row r="936" spans="1:6">
      <c r="A936" s="76"/>
      <c r="B936" s="76"/>
      <c r="C936" s="76"/>
      <c r="D936" s="76"/>
      <c r="E936" s="76"/>
      <c r="F936" s="76"/>
    </row>
    <row r="937" spans="1:6">
      <c r="A937" s="76"/>
      <c r="B937" s="76"/>
      <c r="C937" s="76"/>
      <c r="D937" s="76"/>
      <c r="E937" s="76"/>
      <c r="F937" s="76"/>
    </row>
    <row r="938" spans="1:6">
      <c r="A938" s="76"/>
      <c r="B938" s="76"/>
      <c r="C938" s="76"/>
      <c r="D938" s="76"/>
      <c r="E938" s="76"/>
      <c r="F938" s="76"/>
    </row>
    <row r="939" spans="1:6">
      <c r="A939" s="76"/>
      <c r="B939" s="76"/>
      <c r="C939" s="76"/>
      <c r="D939" s="76"/>
      <c r="E939" s="76"/>
      <c r="F939" s="76"/>
    </row>
    <row r="940" spans="1:6">
      <c r="A940" s="76"/>
      <c r="B940" s="76"/>
      <c r="C940" s="76"/>
      <c r="D940" s="76"/>
      <c r="E940" s="76"/>
      <c r="F940" s="76"/>
    </row>
    <row r="941" spans="1:6">
      <c r="A941" s="76"/>
      <c r="B941" s="76"/>
      <c r="C941" s="76"/>
      <c r="D941" s="76"/>
      <c r="E941" s="76"/>
      <c r="F941" s="76"/>
    </row>
    <row r="942" spans="1:6">
      <c r="A942" s="76"/>
      <c r="B942" s="76"/>
      <c r="C942" s="76"/>
      <c r="D942" s="76"/>
      <c r="E942" s="76"/>
      <c r="F942" s="76"/>
    </row>
    <row r="943" spans="1:6">
      <c r="A943" s="76"/>
      <c r="B943" s="76"/>
      <c r="C943" s="76"/>
      <c r="D943" s="76"/>
      <c r="E943" s="76"/>
      <c r="F943" s="76"/>
    </row>
    <row r="944" spans="1:6">
      <c r="A944" s="76"/>
      <c r="B944" s="76"/>
      <c r="C944" s="76"/>
      <c r="D944" s="76"/>
      <c r="E944" s="76"/>
      <c r="F944" s="76"/>
    </row>
    <row r="945" spans="1:6">
      <c r="A945" s="76"/>
      <c r="B945" s="76"/>
      <c r="C945" s="76"/>
      <c r="D945" s="76"/>
      <c r="E945" s="76"/>
      <c r="F945" s="76"/>
    </row>
    <row r="946" spans="1:6">
      <c r="A946" s="76"/>
      <c r="B946" s="76"/>
      <c r="C946" s="76"/>
      <c r="D946" s="76"/>
      <c r="E946" s="76"/>
      <c r="F946" s="76"/>
    </row>
    <row r="947" spans="1:6">
      <c r="A947" s="76"/>
      <c r="B947" s="76"/>
      <c r="C947" s="76"/>
      <c r="D947" s="76"/>
      <c r="E947" s="76"/>
      <c r="F947" s="76"/>
    </row>
    <row r="948" spans="1:6">
      <c r="A948" s="76"/>
      <c r="B948" s="76"/>
      <c r="C948" s="76"/>
      <c r="D948" s="76"/>
      <c r="E948" s="76"/>
      <c r="F948" s="76"/>
    </row>
    <row r="949" spans="1:6">
      <c r="A949" s="76"/>
      <c r="B949" s="76"/>
      <c r="C949" s="76"/>
      <c r="D949" s="76"/>
      <c r="E949" s="76"/>
      <c r="F949" s="76"/>
    </row>
    <row r="950" spans="1:6">
      <c r="A950" s="76"/>
      <c r="B950" s="76"/>
      <c r="C950" s="76"/>
      <c r="D950" s="76"/>
      <c r="E950" s="76"/>
      <c r="F950" s="76"/>
    </row>
    <row r="951" spans="1:6">
      <c r="A951" s="76"/>
      <c r="B951" s="76"/>
      <c r="C951" s="76"/>
      <c r="D951" s="76"/>
      <c r="E951" s="76"/>
      <c r="F951" s="76"/>
    </row>
    <row r="952" spans="1:6">
      <c r="A952" s="76"/>
      <c r="B952" s="76"/>
      <c r="C952" s="76"/>
      <c r="D952" s="76"/>
      <c r="E952" s="76"/>
      <c r="F952" s="76"/>
    </row>
    <row r="953" spans="1:6">
      <c r="A953" s="76"/>
      <c r="B953" s="76"/>
      <c r="C953" s="76"/>
      <c r="D953" s="76"/>
      <c r="E953" s="76"/>
      <c r="F953" s="76"/>
    </row>
    <row r="954" spans="1:6">
      <c r="A954" s="76"/>
      <c r="B954" s="76"/>
      <c r="C954" s="76"/>
      <c r="D954" s="76"/>
      <c r="E954" s="76"/>
      <c r="F954" s="76"/>
    </row>
    <row r="955" spans="1:6">
      <c r="A955" s="76"/>
      <c r="B955" s="76"/>
      <c r="C955" s="76"/>
      <c r="D955" s="76"/>
      <c r="E955" s="76"/>
      <c r="F955" s="76"/>
    </row>
    <row r="956" spans="1:6">
      <c r="A956" s="76"/>
      <c r="B956" s="76"/>
      <c r="C956" s="76"/>
      <c r="D956" s="76"/>
      <c r="E956" s="76"/>
      <c r="F956" s="76"/>
    </row>
    <row r="957" spans="1:6">
      <c r="A957" s="76"/>
      <c r="B957" s="76"/>
      <c r="C957" s="76"/>
      <c r="D957" s="76"/>
      <c r="E957" s="76"/>
      <c r="F957" s="76"/>
    </row>
    <row r="958" spans="1:6">
      <c r="A958" s="76"/>
      <c r="B958" s="76"/>
      <c r="C958" s="76"/>
      <c r="D958" s="76"/>
      <c r="E958" s="76"/>
      <c r="F958" s="76"/>
    </row>
    <row r="959" spans="1:6">
      <c r="A959" s="76"/>
      <c r="B959" s="76"/>
      <c r="C959" s="76"/>
      <c r="D959" s="76"/>
      <c r="E959" s="76"/>
      <c r="F959" s="76"/>
    </row>
    <row r="960" spans="1:6">
      <c r="A960" s="76"/>
      <c r="B960" s="76"/>
      <c r="C960" s="76"/>
      <c r="D960" s="76"/>
      <c r="E960" s="76"/>
      <c r="F960" s="76"/>
    </row>
    <row r="961" spans="1:6">
      <c r="A961" s="76"/>
      <c r="B961" s="76"/>
      <c r="C961" s="76"/>
      <c r="D961" s="76"/>
      <c r="E961" s="76"/>
      <c r="F961" s="76"/>
    </row>
    <row r="962" spans="1:6">
      <c r="A962" s="76"/>
      <c r="B962" s="76"/>
      <c r="C962" s="76"/>
      <c r="D962" s="76"/>
      <c r="E962" s="76"/>
      <c r="F962" s="76"/>
    </row>
    <row r="963" spans="1:6">
      <c r="A963" s="76"/>
      <c r="B963" s="76"/>
      <c r="C963" s="76"/>
      <c r="D963" s="76"/>
      <c r="E963" s="76"/>
      <c r="F963" s="76"/>
    </row>
    <row r="964" spans="1:6">
      <c r="A964" s="76"/>
      <c r="B964" s="76"/>
      <c r="C964" s="76"/>
      <c r="D964" s="76"/>
      <c r="E964" s="76"/>
      <c r="F964" s="76"/>
    </row>
    <row r="965" spans="1:6">
      <c r="A965" s="76"/>
      <c r="B965" s="76"/>
      <c r="C965" s="76"/>
      <c r="D965" s="76"/>
      <c r="E965" s="76"/>
      <c r="F965" s="76"/>
    </row>
    <row r="966" spans="1:6">
      <c r="A966" s="76"/>
      <c r="B966" s="76"/>
      <c r="C966" s="76"/>
      <c r="D966" s="76"/>
      <c r="E966" s="76"/>
      <c r="F966" s="76"/>
    </row>
    <row r="967" spans="1:6">
      <c r="A967" s="76"/>
      <c r="B967" s="76"/>
      <c r="C967" s="76"/>
      <c r="D967" s="76"/>
      <c r="E967" s="76"/>
      <c r="F967" s="76"/>
    </row>
    <row r="968" spans="1:6">
      <c r="A968" s="76"/>
      <c r="B968" s="76"/>
      <c r="C968" s="76"/>
      <c r="D968" s="76"/>
      <c r="E968" s="76"/>
      <c r="F968" s="76"/>
    </row>
    <row r="969" spans="1:6">
      <c r="A969" s="76"/>
      <c r="B969" s="76"/>
      <c r="C969" s="76"/>
      <c r="D969" s="76"/>
      <c r="E969" s="76"/>
      <c r="F969" s="76"/>
    </row>
    <row r="970" spans="1:6">
      <c r="A970" s="76"/>
      <c r="B970" s="76"/>
      <c r="C970" s="76"/>
      <c r="D970" s="76"/>
      <c r="E970" s="76"/>
      <c r="F970" s="76"/>
    </row>
    <row r="971" spans="1:6">
      <c r="A971" s="76"/>
      <c r="B971" s="76"/>
      <c r="C971" s="76"/>
      <c r="D971" s="76"/>
      <c r="E971" s="76"/>
      <c r="F971" s="76"/>
    </row>
    <row r="972" spans="1:6">
      <c r="A972" s="76"/>
      <c r="B972" s="76"/>
      <c r="C972" s="76"/>
      <c r="D972" s="76"/>
      <c r="E972" s="76"/>
      <c r="F972" s="76"/>
    </row>
    <row r="973" spans="1:6">
      <c r="A973" s="76"/>
      <c r="B973" s="76"/>
      <c r="C973" s="76"/>
      <c r="D973" s="76"/>
      <c r="E973" s="76"/>
      <c r="F973" s="76"/>
    </row>
    <row r="974" spans="1:6">
      <c r="A974" s="76"/>
      <c r="B974" s="76"/>
      <c r="C974" s="76"/>
      <c r="D974" s="76"/>
      <c r="E974" s="76"/>
      <c r="F974" s="76"/>
    </row>
    <row r="975" spans="1:6">
      <c r="A975" s="76"/>
      <c r="B975" s="76"/>
      <c r="C975" s="76"/>
      <c r="D975" s="76"/>
      <c r="E975" s="76"/>
      <c r="F975" s="76"/>
    </row>
    <row r="976" spans="1:6">
      <c r="A976" s="76"/>
      <c r="B976" s="76"/>
      <c r="C976" s="76"/>
      <c r="D976" s="76"/>
      <c r="E976" s="76"/>
      <c r="F976" s="76"/>
    </row>
    <row r="977" spans="1:6">
      <c r="A977" s="76"/>
      <c r="B977" s="76"/>
      <c r="C977" s="76"/>
      <c r="D977" s="76"/>
      <c r="E977" s="76"/>
      <c r="F977" s="76"/>
    </row>
    <row r="978" spans="1:6">
      <c r="A978" s="76"/>
      <c r="B978" s="76"/>
      <c r="C978" s="76"/>
      <c r="D978" s="76"/>
      <c r="E978" s="76"/>
      <c r="F978" s="76"/>
    </row>
    <row r="979" spans="1:6">
      <c r="A979" s="76"/>
      <c r="B979" s="76"/>
      <c r="C979" s="76"/>
      <c r="D979" s="76"/>
      <c r="E979" s="76"/>
      <c r="F979" s="76"/>
    </row>
    <row r="980" spans="1:6">
      <c r="A980" s="76"/>
      <c r="B980" s="76"/>
      <c r="C980" s="76"/>
      <c r="D980" s="76"/>
      <c r="E980" s="76"/>
      <c r="F980" s="76"/>
    </row>
    <row r="981" spans="1:6">
      <c r="A981" s="76"/>
      <c r="B981" s="76"/>
      <c r="C981" s="76"/>
      <c r="D981" s="76"/>
      <c r="E981" s="76"/>
      <c r="F981" s="76"/>
    </row>
    <row r="982" spans="1:6">
      <c r="A982" s="76"/>
      <c r="B982" s="76"/>
      <c r="C982" s="76"/>
      <c r="D982" s="76"/>
      <c r="E982" s="76"/>
      <c r="F982" s="76"/>
    </row>
    <row r="983" spans="1:6">
      <c r="A983" s="76"/>
      <c r="B983" s="76"/>
      <c r="C983" s="76"/>
      <c r="D983" s="76"/>
      <c r="E983" s="76"/>
      <c r="F983" s="76"/>
    </row>
    <row r="984" spans="1:6">
      <c r="A984" s="76"/>
      <c r="B984" s="76"/>
      <c r="C984" s="76"/>
      <c r="D984" s="76"/>
      <c r="E984" s="76"/>
      <c r="F984" s="76"/>
    </row>
    <row r="985" spans="1:6">
      <c r="A985" s="76"/>
      <c r="B985" s="76"/>
      <c r="C985" s="76"/>
      <c r="D985" s="76"/>
      <c r="E985" s="76"/>
      <c r="F985" s="76"/>
    </row>
    <row r="986" spans="1:6">
      <c r="A986" s="76"/>
      <c r="B986" s="76"/>
      <c r="C986" s="76"/>
      <c r="D986" s="76"/>
      <c r="E986" s="76"/>
      <c r="F986" s="76"/>
    </row>
    <row r="987" spans="1:6">
      <c r="A987" s="76"/>
      <c r="B987" s="76"/>
      <c r="C987" s="76"/>
      <c r="D987" s="76"/>
      <c r="E987" s="76"/>
      <c r="F987" s="76"/>
    </row>
    <row r="988" spans="1:6">
      <c r="A988" s="76"/>
      <c r="B988" s="76"/>
      <c r="C988" s="76"/>
      <c r="D988" s="76"/>
      <c r="E988" s="76"/>
      <c r="F988" s="76"/>
    </row>
    <row r="989" spans="1:6">
      <c r="A989" s="76"/>
      <c r="B989" s="76"/>
      <c r="C989" s="76"/>
      <c r="D989" s="76"/>
      <c r="E989" s="76"/>
      <c r="F989" s="76"/>
    </row>
    <row r="990" spans="1:6">
      <c r="A990" s="76"/>
      <c r="B990" s="76"/>
      <c r="C990" s="76"/>
      <c r="D990" s="76"/>
      <c r="E990" s="76"/>
      <c r="F990" s="76"/>
    </row>
    <row r="991" spans="1:6">
      <c r="A991" s="76"/>
      <c r="B991" s="76"/>
      <c r="C991" s="76"/>
      <c r="D991" s="76"/>
      <c r="E991" s="76"/>
      <c r="F991" s="76"/>
    </row>
    <row r="992" spans="1:6">
      <c r="A992" s="76"/>
      <c r="B992" s="76"/>
      <c r="C992" s="76"/>
      <c r="D992" s="76"/>
      <c r="E992" s="76"/>
      <c r="F992" s="76"/>
    </row>
    <row r="993" spans="1:6">
      <c r="A993" s="76"/>
      <c r="B993" s="76"/>
      <c r="C993" s="76"/>
      <c r="D993" s="76"/>
      <c r="E993" s="76"/>
      <c r="F993" s="76"/>
    </row>
    <row r="994" spans="1:6">
      <c r="A994" s="76"/>
      <c r="B994" s="76"/>
      <c r="C994" s="76"/>
      <c r="D994" s="76"/>
      <c r="E994" s="76"/>
      <c r="F994" s="76"/>
    </row>
    <row r="995" spans="1:6">
      <c r="A995" s="76"/>
      <c r="B995" s="76"/>
      <c r="C995" s="76"/>
      <c r="D995" s="76"/>
      <c r="E995" s="76"/>
      <c r="F995" s="76"/>
    </row>
    <row r="996" spans="1:6">
      <c r="A996" s="76"/>
      <c r="B996" s="76"/>
      <c r="C996" s="76"/>
      <c r="D996" s="76"/>
      <c r="E996" s="76"/>
      <c r="F996" s="76"/>
    </row>
    <row r="997" spans="1:6">
      <c r="A997" s="76"/>
      <c r="B997" s="76"/>
      <c r="C997" s="76"/>
      <c r="D997" s="76"/>
      <c r="E997" s="76"/>
      <c r="F997" s="76"/>
    </row>
    <row r="998" spans="1:6">
      <c r="A998" s="76"/>
      <c r="B998" s="76"/>
      <c r="C998" s="76"/>
      <c r="D998" s="76"/>
      <c r="E998" s="76"/>
      <c r="F998" s="76"/>
    </row>
    <row r="999" spans="1:6">
      <c r="A999" s="76"/>
      <c r="B999" s="76"/>
      <c r="C999" s="76"/>
      <c r="D999" s="76"/>
      <c r="E999" s="76"/>
      <c r="F999" s="76"/>
    </row>
    <row r="1000" spans="1:6">
      <c r="A1000" s="76"/>
      <c r="B1000" s="76"/>
      <c r="C1000" s="76"/>
      <c r="D1000" s="76"/>
      <c r="E1000" s="76"/>
      <c r="F1000" s="76"/>
    </row>
  </sheetData>
  <autoFilter ref="A1:F344" xr:uid="{00000000-0009-0000-0000-000009000000}"/>
  <conditionalFormatting sqref="D1:F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Graficos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2025-09-05T18:42:09Z</dcterms:created>
  <dcterms:modified xsi:type="dcterms:W3CDTF">2026-05-04T18:10:01Z</dcterms:modified>
</cp:coreProperties>
</file>