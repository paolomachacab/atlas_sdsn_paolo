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695693464b2fe4e/Desktop/9no semestre/Prácticas/SDSN/Pasantia septiembre 2024/Atlas/Bases_datos_completadas/"/>
    </mc:Choice>
  </mc:AlternateContent>
  <xr:revisionPtr revIDLastSave="0" documentId="14_{8418D7D8-FFD1-4870-83E6-1AC9A1365D24}" xr6:coauthVersionLast="47" xr6:coauthVersionMax="47" xr10:uidLastSave="{00000000-0000-0000-0000-000000000000}"/>
  <bookViews>
    <workbookView xWindow="-120" yWindow="-120" windowWidth="20730" windowHeight="10545" firstSheet="1" activeTab="1" xr2:uid="{00000000-000D-0000-FFFF-FFFF00000000}"/>
  </bookViews>
  <sheets>
    <sheet name="Datos originales" sheetId="1" r:id="rId1"/>
    <sheet name="Datos procesados" sheetId="2" r:id="rId2"/>
    <sheet name="Indicador_MUN" sheetId="3" r:id="rId3"/>
    <sheet name="Absoluto_MUN" sheetId="4" r:id="rId4"/>
    <sheet name="Indicador_DEP" sheetId="5" r:id="rId5"/>
    <sheet name="Absoluto_DEP" sheetId="6" r:id="rId6"/>
    <sheet name="Umbral" sheetId="7" r:id="rId7"/>
  </sheets>
  <definedNames>
    <definedName name="_xlnm._FilterDatabase" localSheetId="3" hidden="1">Absoluto_MUN!$A$1:$D$344</definedName>
    <definedName name="_xlnm._FilterDatabase" localSheetId="1" hidden="1">'Datos procesados'!$A$1:$H$344</definedName>
    <definedName name="_xlnm._FilterDatabase" localSheetId="2" hidden="1">Indicador_MUN!$A$1:$D$346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0" i="1" l="1"/>
  <c r="J80" i="1"/>
  <c r="Q12" i="2"/>
  <c r="P12" i="2"/>
  <c r="O12" i="2"/>
  <c r="N12" i="2"/>
  <c r="M12" i="2"/>
  <c r="L12" i="2"/>
  <c r="H344" i="2"/>
  <c r="E344" i="2"/>
  <c r="H343" i="2"/>
  <c r="E343" i="2"/>
  <c r="H342" i="2"/>
  <c r="E342" i="2"/>
  <c r="H341" i="2"/>
  <c r="E341" i="2"/>
  <c r="H340" i="2"/>
  <c r="E340" i="2"/>
  <c r="H339" i="2"/>
  <c r="E339" i="2"/>
  <c r="H338" i="2"/>
  <c r="E338" i="2"/>
  <c r="H337" i="2"/>
  <c r="E337" i="2"/>
  <c r="H336" i="2"/>
  <c r="E336" i="2"/>
  <c r="H335" i="2"/>
  <c r="E335" i="2"/>
  <c r="H334" i="2"/>
  <c r="E334" i="2"/>
  <c r="H333" i="2"/>
  <c r="E333" i="2"/>
  <c r="H332" i="2"/>
  <c r="E332" i="2"/>
  <c r="H331" i="2"/>
  <c r="E331" i="2"/>
  <c r="H330" i="2"/>
  <c r="E330" i="2"/>
  <c r="H329" i="2"/>
  <c r="E329" i="2"/>
  <c r="H328" i="2"/>
  <c r="E328" i="2"/>
  <c r="H327" i="2"/>
  <c r="E327" i="2"/>
  <c r="H326" i="2"/>
  <c r="E326" i="2"/>
  <c r="H325" i="2"/>
  <c r="E325" i="2"/>
  <c r="H324" i="2"/>
  <c r="E324" i="2"/>
  <c r="H323" i="2"/>
  <c r="E323" i="2"/>
  <c r="H322" i="2"/>
  <c r="E322" i="2"/>
  <c r="H321" i="2"/>
  <c r="E321" i="2"/>
  <c r="H320" i="2"/>
  <c r="E320" i="2"/>
  <c r="H319" i="2"/>
  <c r="E319" i="2"/>
  <c r="H318" i="2"/>
  <c r="E318" i="2"/>
  <c r="H317" i="2"/>
  <c r="E317" i="2"/>
  <c r="H316" i="2"/>
  <c r="E316" i="2"/>
  <c r="H315" i="2"/>
  <c r="E315" i="2"/>
  <c r="H314" i="2"/>
  <c r="E314" i="2"/>
  <c r="H313" i="2"/>
  <c r="E313" i="2"/>
  <c r="H312" i="2"/>
  <c r="E312" i="2"/>
  <c r="H311" i="2"/>
  <c r="E311" i="2"/>
  <c r="H310" i="2"/>
  <c r="E310" i="2"/>
  <c r="H309" i="2"/>
  <c r="E309" i="2"/>
  <c r="H308" i="2"/>
  <c r="E308" i="2"/>
  <c r="H307" i="2"/>
  <c r="E307" i="2"/>
  <c r="H306" i="2"/>
  <c r="E306" i="2"/>
  <c r="H305" i="2"/>
  <c r="E305" i="2"/>
  <c r="H304" i="2"/>
  <c r="E304" i="2"/>
  <c r="H303" i="2"/>
  <c r="E303" i="2"/>
  <c r="H302" i="2"/>
  <c r="E302" i="2"/>
  <c r="H301" i="2"/>
  <c r="E301" i="2"/>
  <c r="H300" i="2"/>
  <c r="E300" i="2"/>
  <c r="H299" i="2"/>
  <c r="E299" i="2"/>
  <c r="H298" i="2"/>
  <c r="E298" i="2"/>
  <c r="H297" i="2"/>
  <c r="E297" i="2"/>
  <c r="H296" i="2"/>
  <c r="E296" i="2"/>
  <c r="H295" i="2"/>
  <c r="E295" i="2"/>
  <c r="H294" i="2"/>
  <c r="E294" i="2"/>
  <c r="H293" i="2"/>
  <c r="E293" i="2"/>
  <c r="H292" i="2"/>
  <c r="E292" i="2"/>
  <c r="H291" i="2"/>
  <c r="E291" i="2"/>
  <c r="H290" i="2"/>
  <c r="E290" i="2"/>
  <c r="H289" i="2"/>
  <c r="E289" i="2"/>
  <c r="H288" i="2"/>
  <c r="E288" i="2"/>
  <c r="H287" i="2"/>
  <c r="E287" i="2"/>
  <c r="H286" i="2"/>
  <c r="E286" i="2"/>
  <c r="H285" i="2"/>
  <c r="E285" i="2"/>
  <c r="H284" i="2"/>
  <c r="E284" i="2"/>
  <c r="H283" i="2"/>
  <c r="E283" i="2"/>
  <c r="H282" i="2"/>
  <c r="E282" i="2"/>
  <c r="H281" i="2"/>
  <c r="E281" i="2"/>
  <c r="H280" i="2"/>
  <c r="E280" i="2"/>
  <c r="H279" i="2"/>
  <c r="E279" i="2"/>
  <c r="H278" i="2"/>
  <c r="E278" i="2"/>
  <c r="H277" i="2"/>
  <c r="E277" i="2"/>
  <c r="H276" i="2"/>
  <c r="E276" i="2"/>
  <c r="H275" i="2"/>
  <c r="E275" i="2"/>
  <c r="H274" i="2"/>
  <c r="E274" i="2"/>
  <c r="H273" i="2"/>
  <c r="E273" i="2"/>
  <c r="H272" i="2"/>
  <c r="E272" i="2"/>
  <c r="H271" i="2"/>
  <c r="E271" i="2"/>
  <c r="H270" i="2"/>
  <c r="E270" i="2"/>
  <c r="H269" i="2"/>
  <c r="E269" i="2"/>
  <c r="H268" i="2"/>
  <c r="E268" i="2"/>
  <c r="H267" i="2"/>
  <c r="E267" i="2"/>
  <c r="H266" i="2"/>
  <c r="E266" i="2"/>
  <c r="H265" i="2"/>
  <c r="E265" i="2"/>
  <c r="H264" i="2"/>
  <c r="E264" i="2"/>
  <c r="H263" i="2"/>
  <c r="E263" i="2"/>
  <c r="H262" i="2"/>
  <c r="E262" i="2"/>
  <c r="H261" i="2"/>
  <c r="E261" i="2"/>
  <c r="H260" i="2"/>
  <c r="E260" i="2"/>
  <c r="H259" i="2"/>
  <c r="E259" i="2"/>
  <c r="H258" i="2"/>
  <c r="E258" i="2"/>
  <c r="H257" i="2"/>
  <c r="E257" i="2"/>
  <c r="H256" i="2"/>
  <c r="E256" i="2"/>
  <c r="H255" i="2"/>
  <c r="E255" i="2"/>
  <c r="H254" i="2"/>
  <c r="E254" i="2"/>
  <c r="H253" i="2"/>
  <c r="E253" i="2"/>
  <c r="H252" i="2"/>
  <c r="E252" i="2"/>
  <c r="H251" i="2"/>
  <c r="E251" i="2"/>
  <c r="H250" i="2"/>
  <c r="E250" i="2"/>
  <c r="H249" i="2"/>
  <c r="E249" i="2"/>
  <c r="H248" i="2"/>
  <c r="E248" i="2"/>
  <c r="H247" i="2"/>
  <c r="E247" i="2"/>
  <c r="H246" i="2"/>
  <c r="E246" i="2"/>
  <c r="H245" i="2"/>
  <c r="E245" i="2"/>
  <c r="H244" i="2"/>
  <c r="E244" i="2"/>
  <c r="H243" i="2"/>
  <c r="E243" i="2"/>
  <c r="M7" i="2" s="1"/>
  <c r="N7" i="2" s="1"/>
  <c r="H242" i="2"/>
  <c r="E242" i="2"/>
  <c r="H241" i="2"/>
  <c r="E241" i="2"/>
  <c r="H240" i="2"/>
  <c r="E240" i="2"/>
  <c r="H239" i="2"/>
  <c r="E239" i="2"/>
  <c r="H238" i="2"/>
  <c r="E238" i="2"/>
  <c r="H237" i="2"/>
  <c r="E237" i="2"/>
  <c r="H236" i="2"/>
  <c r="E236" i="2"/>
  <c r="H235" i="2"/>
  <c r="E235" i="2"/>
  <c r="H234" i="2"/>
  <c r="E234" i="2"/>
  <c r="H233" i="2"/>
  <c r="E233" i="2"/>
  <c r="H232" i="2"/>
  <c r="E232" i="2"/>
  <c r="H231" i="2"/>
  <c r="E231" i="2"/>
  <c r="H230" i="2"/>
  <c r="E230" i="2"/>
  <c r="H229" i="2"/>
  <c r="E229" i="2"/>
  <c r="H228" i="2"/>
  <c r="E228" i="2"/>
  <c r="H227" i="2"/>
  <c r="E227" i="2"/>
  <c r="H226" i="2"/>
  <c r="E226" i="2"/>
  <c r="H225" i="2"/>
  <c r="E225" i="2"/>
  <c r="H224" i="2"/>
  <c r="E224" i="2"/>
  <c r="H223" i="2"/>
  <c r="E223" i="2"/>
  <c r="H222" i="2"/>
  <c r="E222" i="2"/>
  <c r="H221" i="2"/>
  <c r="E221" i="2"/>
  <c r="H220" i="2"/>
  <c r="E220" i="2"/>
  <c r="H219" i="2"/>
  <c r="E219" i="2"/>
  <c r="H218" i="2"/>
  <c r="E218" i="2"/>
  <c r="H217" i="2"/>
  <c r="E217" i="2"/>
  <c r="H216" i="2"/>
  <c r="E216" i="2"/>
  <c r="H215" i="2"/>
  <c r="E215" i="2"/>
  <c r="H214" i="2"/>
  <c r="E214" i="2"/>
  <c r="H213" i="2"/>
  <c r="E213" i="2"/>
  <c r="H212" i="2"/>
  <c r="E212" i="2"/>
  <c r="H211" i="2"/>
  <c r="E211" i="2"/>
  <c r="H210" i="2"/>
  <c r="E210" i="2"/>
  <c r="H209" i="2"/>
  <c r="E209" i="2"/>
  <c r="H208" i="2"/>
  <c r="E208" i="2"/>
  <c r="H207" i="2"/>
  <c r="E207" i="2"/>
  <c r="H206" i="2"/>
  <c r="E206" i="2"/>
  <c r="H205" i="2"/>
  <c r="E205" i="2"/>
  <c r="H204" i="2"/>
  <c r="E204" i="2"/>
  <c r="H203" i="2"/>
  <c r="E203" i="2"/>
  <c r="H202" i="2"/>
  <c r="E202" i="2"/>
  <c r="H201" i="2"/>
  <c r="E201" i="2"/>
  <c r="M6" i="2" s="1"/>
  <c r="N6" i="2" s="1"/>
  <c r="H200" i="2"/>
  <c r="E200" i="2"/>
  <c r="H199" i="2"/>
  <c r="E199" i="2"/>
  <c r="H198" i="2"/>
  <c r="E198" i="2"/>
  <c r="H197" i="2"/>
  <c r="E197" i="2"/>
  <c r="H196" i="2"/>
  <c r="E196" i="2"/>
  <c r="H195" i="2"/>
  <c r="E195" i="2"/>
  <c r="H194" i="2"/>
  <c r="E194" i="2"/>
  <c r="H193" i="2"/>
  <c r="E193" i="2"/>
  <c r="H192" i="2"/>
  <c r="E192" i="2"/>
  <c r="H191" i="2"/>
  <c r="E191" i="2"/>
  <c r="H190" i="2"/>
  <c r="E190" i="2"/>
  <c r="H189" i="2"/>
  <c r="E189" i="2"/>
  <c r="H188" i="2"/>
  <c r="E188" i="2"/>
  <c r="H187" i="2"/>
  <c r="E187" i="2"/>
  <c r="H186" i="2"/>
  <c r="E186" i="2"/>
  <c r="H185" i="2"/>
  <c r="E185" i="2"/>
  <c r="H184" i="2"/>
  <c r="E184" i="2"/>
  <c r="H183" i="2"/>
  <c r="E183" i="2"/>
  <c r="H182" i="2"/>
  <c r="E182" i="2"/>
  <c r="H181" i="2"/>
  <c r="E181" i="2"/>
  <c r="H180" i="2"/>
  <c r="E180" i="2"/>
  <c r="H179" i="2"/>
  <c r="E179" i="2"/>
  <c r="H178" i="2"/>
  <c r="E178" i="2"/>
  <c r="H177" i="2"/>
  <c r="E177" i="2"/>
  <c r="H176" i="2"/>
  <c r="E176" i="2"/>
  <c r="H175" i="2"/>
  <c r="E175" i="2"/>
  <c r="H174" i="2"/>
  <c r="E174" i="2"/>
  <c r="H173" i="2"/>
  <c r="E173" i="2"/>
  <c r="H172" i="2"/>
  <c r="E172" i="2"/>
  <c r="H171" i="2"/>
  <c r="E171" i="2"/>
  <c r="H170" i="2"/>
  <c r="E170" i="2"/>
  <c r="H169" i="2"/>
  <c r="E169" i="2"/>
  <c r="H168" i="2"/>
  <c r="E168" i="2"/>
  <c r="H167" i="2"/>
  <c r="E167" i="2"/>
  <c r="M5" i="2" s="1"/>
  <c r="N5" i="2" s="1"/>
  <c r="H166" i="2"/>
  <c r="E166" i="2"/>
  <c r="H165" i="2"/>
  <c r="E165" i="2"/>
  <c r="H164" i="2"/>
  <c r="E164" i="2"/>
  <c r="H163" i="2"/>
  <c r="E163" i="2"/>
  <c r="H162" i="2"/>
  <c r="E162" i="2"/>
  <c r="H161" i="2"/>
  <c r="E161" i="2"/>
  <c r="H160" i="2"/>
  <c r="E160" i="2"/>
  <c r="H159" i="2"/>
  <c r="E159" i="2"/>
  <c r="H158" i="2"/>
  <c r="E158" i="2"/>
  <c r="H157" i="2"/>
  <c r="E157" i="2"/>
  <c r="H156" i="2"/>
  <c r="E156" i="2"/>
  <c r="H155" i="2"/>
  <c r="E155" i="2"/>
  <c r="H154" i="2"/>
  <c r="E154" i="2"/>
  <c r="H153" i="2"/>
  <c r="E153" i="2"/>
  <c r="H152" i="2"/>
  <c r="E152" i="2"/>
  <c r="H151" i="2"/>
  <c r="E151" i="2"/>
  <c r="H150" i="2"/>
  <c r="E150" i="2"/>
  <c r="H149" i="2"/>
  <c r="E149" i="2"/>
  <c r="H148" i="2"/>
  <c r="E148" i="2"/>
  <c r="H147" i="2"/>
  <c r="E147" i="2"/>
  <c r="H146" i="2"/>
  <c r="E146" i="2"/>
  <c r="H145" i="2"/>
  <c r="E145" i="2"/>
  <c r="H144" i="2"/>
  <c r="E144" i="2"/>
  <c r="H143" i="2"/>
  <c r="E143" i="2"/>
  <c r="H142" i="2"/>
  <c r="E142" i="2"/>
  <c r="H141" i="2"/>
  <c r="E141" i="2"/>
  <c r="H140" i="2"/>
  <c r="E140" i="2"/>
  <c r="H139" i="2"/>
  <c r="E139" i="2"/>
  <c r="H138" i="2"/>
  <c r="E138" i="2"/>
  <c r="H137" i="2"/>
  <c r="E137" i="2"/>
  <c r="H136" i="2"/>
  <c r="E136" i="2"/>
  <c r="H135" i="2"/>
  <c r="E135" i="2"/>
  <c r="H134" i="2"/>
  <c r="E134" i="2"/>
  <c r="H133" i="2"/>
  <c r="E133" i="2"/>
  <c r="H132" i="2"/>
  <c r="E132" i="2"/>
  <c r="H131" i="2"/>
  <c r="E131" i="2"/>
  <c r="H130" i="2"/>
  <c r="E130" i="2"/>
  <c r="H129" i="2"/>
  <c r="E129" i="2"/>
  <c r="H128" i="2"/>
  <c r="E128" i="2"/>
  <c r="H127" i="2"/>
  <c r="E127" i="2"/>
  <c r="H126" i="2"/>
  <c r="E126" i="2"/>
  <c r="H125" i="2"/>
  <c r="E125" i="2"/>
  <c r="H124" i="2"/>
  <c r="E124" i="2"/>
  <c r="H123" i="2"/>
  <c r="E123" i="2"/>
  <c r="H122" i="2"/>
  <c r="E122" i="2"/>
  <c r="H121" i="2"/>
  <c r="E121" i="2"/>
  <c r="H120" i="2"/>
  <c r="E120" i="2"/>
  <c r="H119" i="2"/>
  <c r="E119" i="2"/>
  <c r="H118" i="2"/>
  <c r="E118" i="2"/>
  <c r="H117" i="2"/>
  <c r="E117" i="2"/>
  <c r="H116" i="2"/>
  <c r="E116" i="2"/>
  <c r="H115" i="2"/>
  <c r="E115" i="2"/>
  <c r="H114" i="2"/>
  <c r="E114" i="2"/>
  <c r="H113" i="2"/>
  <c r="E113" i="2"/>
  <c r="H112" i="2"/>
  <c r="E112" i="2"/>
  <c r="H111" i="2"/>
  <c r="E111" i="2"/>
  <c r="H110" i="2"/>
  <c r="E110" i="2"/>
  <c r="H109" i="2"/>
  <c r="E109" i="2"/>
  <c r="H108" i="2"/>
  <c r="E108" i="2"/>
  <c r="H107" i="2"/>
  <c r="E107" i="2"/>
  <c r="H106" i="2"/>
  <c r="E106" i="2"/>
  <c r="H105" i="2"/>
  <c r="E105" i="2"/>
  <c r="H104" i="2"/>
  <c r="E104" i="2"/>
  <c r="H103" i="2"/>
  <c r="E103" i="2"/>
  <c r="H102" i="2"/>
  <c r="E102" i="2"/>
  <c r="H101" i="2"/>
  <c r="E101" i="2"/>
  <c r="H100" i="2"/>
  <c r="E100" i="2"/>
  <c r="H99" i="2"/>
  <c r="E99" i="2"/>
  <c r="H98" i="2"/>
  <c r="E98" i="2"/>
  <c r="H97" i="2"/>
  <c r="E97" i="2"/>
  <c r="H96" i="2"/>
  <c r="E96" i="2"/>
  <c r="H95" i="2"/>
  <c r="E95" i="2"/>
  <c r="H94" i="2"/>
  <c r="E94" i="2"/>
  <c r="H93" i="2"/>
  <c r="E93" i="2"/>
  <c r="H92" i="2"/>
  <c r="E92" i="2"/>
  <c r="H91" i="2"/>
  <c r="E91" i="2"/>
  <c r="H90" i="2"/>
  <c r="E90" i="2"/>
  <c r="H89" i="2"/>
  <c r="E89" i="2"/>
  <c r="H88" i="2"/>
  <c r="E88" i="2"/>
  <c r="H87" i="2"/>
  <c r="E87" i="2"/>
  <c r="H86" i="2"/>
  <c r="E86" i="2"/>
  <c r="H85" i="2"/>
  <c r="E85" i="2"/>
  <c r="H84" i="2"/>
  <c r="E84" i="2"/>
  <c r="H83" i="2"/>
  <c r="E83" i="2"/>
  <c r="H82" i="2"/>
  <c r="E82" i="2"/>
  <c r="H81" i="2"/>
  <c r="E81" i="2"/>
  <c r="H80" i="2"/>
  <c r="E80" i="2"/>
  <c r="H79" i="2"/>
  <c r="E79" i="2"/>
  <c r="H78" i="2"/>
  <c r="E78" i="2"/>
  <c r="H77" i="2"/>
  <c r="E77" i="2"/>
  <c r="H76" i="2"/>
  <c r="E76" i="2"/>
  <c r="H75" i="2"/>
  <c r="E75" i="2"/>
  <c r="H74" i="2"/>
  <c r="E74" i="2"/>
  <c r="H73" i="2"/>
  <c r="E73" i="2"/>
  <c r="H72" i="2"/>
  <c r="E72" i="2"/>
  <c r="H71" i="2"/>
  <c r="E71" i="2"/>
  <c r="H70" i="2"/>
  <c r="E70" i="2"/>
  <c r="H69" i="2"/>
  <c r="E69" i="2"/>
  <c r="H68" i="2"/>
  <c r="E68" i="2"/>
  <c r="H67" i="2"/>
  <c r="E67" i="2"/>
  <c r="H66" i="2"/>
  <c r="E66" i="2"/>
  <c r="H65" i="2"/>
  <c r="E65" i="2"/>
  <c r="H64" i="2"/>
  <c r="E64" i="2"/>
  <c r="H63" i="2"/>
  <c r="E63" i="2"/>
  <c r="H62" i="2"/>
  <c r="E62" i="2"/>
  <c r="H61" i="2"/>
  <c r="E61" i="2"/>
  <c r="H60" i="2"/>
  <c r="E60" i="2"/>
  <c r="H59" i="2"/>
  <c r="E59" i="2"/>
  <c r="H58" i="2"/>
  <c r="E58" i="2"/>
  <c r="H57" i="2"/>
  <c r="E57" i="2"/>
  <c r="H56" i="2"/>
  <c r="E56" i="2"/>
  <c r="H55" i="2"/>
  <c r="E55" i="2"/>
  <c r="H54" i="2"/>
  <c r="E54" i="2"/>
  <c r="H53" i="2"/>
  <c r="E53" i="2"/>
  <c r="H52" i="2"/>
  <c r="E52" i="2"/>
  <c r="H51" i="2"/>
  <c r="E51" i="2"/>
  <c r="H50" i="2"/>
  <c r="E50" i="2"/>
  <c r="H49" i="2"/>
  <c r="E49" i="2"/>
  <c r="H48" i="2"/>
  <c r="E48" i="2"/>
  <c r="H47" i="2"/>
  <c r="E47" i="2"/>
  <c r="H46" i="2"/>
  <c r="E46" i="2"/>
  <c r="H45" i="2"/>
  <c r="E45" i="2"/>
  <c r="H44" i="2"/>
  <c r="E44" i="2"/>
  <c r="H43" i="2"/>
  <c r="E43" i="2"/>
  <c r="H42" i="2"/>
  <c r="E42" i="2"/>
  <c r="H41" i="2"/>
  <c r="E41" i="2"/>
  <c r="H40" i="2"/>
  <c r="E40" i="2"/>
  <c r="H39" i="2"/>
  <c r="E39" i="2"/>
  <c r="H38" i="2"/>
  <c r="E38" i="2"/>
  <c r="H37" i="2"/>
  <c r="E37" i="2"/>
  <c r="H36" i="2"/>
  <c r="E36" i="2"/>
  <c r="H35" i="2"/>
  <c r="E35" i="2"/>
  <c r="H34" i="2"/>
  <c r="E34" i="2"/>
  <c r="H33" i="2"/>
  <c r="E33" i="2"/>
  <c r="H32" i="2"/>
  <c r="E32" i="2"/>
  <c r="H31" i="2"/>
  <c r="E31" i="2"/>
  <c r="M3" i="2" s="1"/>
  <c r="N3" i="2" s="1"/>
  <c r="H30" i="2"/>
  <c r="E30" i="2"/>
  <c r="H29" i="2"/>
  <c r="E29" i="2"/>
  <c r="H28" i="2"/>
  <c r="E28" i="2"/>
  <c r="H27" i="2"/>
  <c r="E27" i="2"/>
  <c r="H26" i="2"/>
  <c r="E26" i="2"/>
  <c r="H25" i="2"/>
  <c r="E25" i="2"/>
  <c r="H24" i="2"/>
  <c r="E24" i="2"/>
  <c r="H23" i="2"/>
  <c r="E23" i="2"/>
  <c r="H22" i="2"/>
  <c r="E22" i="2"/>
  <c r="H21" i="2"/>
  <c r="E21" i="2"/>
  <c r="H20" i="2"/>
  <c r="E20" i="2"/>
  <c r="H19" i="2"/>
  <c r="E19" i="2"/>
  <c r="H18" i="2"/>
  <c r="E18" i="2"/>
  <c r="H17" i="2"/>
  <c r="E17" i="2"/>
  <c r="H16" i="2"/>
  <c r="E16" i="2"/>
  <c r="H15" i="2"/>
  <c r="E15" i="2"/>
  <c r="H14" i="2"/>
  <c r="E14" i="2"/>
  <c r="H13" i="2"/>
  <c r="E13" i="2"/>
  <c r="H12" i="2"/>
  <c r="E12" i="2"/>
  <c r="O11" i="2"/>
  <c r="H11" i="2"/>
  <c r="E11" i="2"/>
  <c r="P10" i="2"/>
  <c r="Q10" i="2" s="1"/>
  <c r="M10" i="2"/>
  <c r="N10" i="2" s="1"/>
  <c r="L10" i="2"/>
  <c r="H10" i="2"/>
  <c r="E10" i="2"/>
  <c r="Q9" i="2"/>
  <c r="P9" i="2"/>
  <c r="N9" i="2"/>
  <c r="M9" i="2"/>
  <c r="L9" i="2"/>
  <c r="H9" i="2"/>
  <c r="E9" i="2"/>
  <c r="P8" i="2"/>
  <c r="Q8" i="2" s="1"/>
  <c r="M8" i="2"/>
  <c r="N8" i="2" s="1"/>
  <c r="L8" i="2"/>
  <c r="H8" i="2"/>
  <c r="E8" i="2"/>
  <c r="Q7" i="2"/>
  <c r="P7" i="2"/>
  <c r="L7" i="2"/>
  <c r="H7" i="2"/>
  <c r="E7" i="2"/>
  <c r="P6" i="2"/>
  <c r="Q6" i="2" s="1"/>
  <c r="L6" i="2"/>
  <c r="H6" i="2"/>
  <c r="E6" i="2"/>
  <c r="Q5" i="2"/>
  <c r="P5" i="2"/>
  <c r="L5" i="2"/>
  <c r="H5" i="2"/>
  <c r="E5" i="2"/>
  <c r="M2" i="2" s="1"/>
  <c r="P4" i="2"/>
  <c r="Q4" i="2" s="1"/>
  <c r="M4" i="2"/>
  <c r="N4" i="2" s="1"/>
  <c r="L4" i="2"/>
  <c r="H4" i="2"/>
  <c r="E4" i="2"/>
  <c r="Q3" i="2"/>
  <c r="P3" i="2"/>
  <c r="L3" i="2"/>
  <c r="L11" i="2" s="1"/>
  <c r="H3" i="2"/>
  <c r="E3" i="2"/>
  <c r="L2" i="2"/>
  <c r="H2" i="2"/>
  <c r="P2" i="2" s="1"/>
  <c r="E2" i="2"/>
  <c r="H308" i="1"/>
  <c r="H279" i="1"/>
  <c r="G279" i="1"/>
  <c r="H271" i="1"/>
  <c r="G271" i="1"/>
  <c r="H267" i="1"/>
  <c r="G267" i="1"/>
  <c r="H254" i="1"/>
  <c r="G254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J79" i="1" s="1"/>
  <c r="K70" i="1"/>
  <c r="K79" i="1" s="1"/>
  <c r="J70" i="1"/>
  <c r="J65" i="1"/>
  <c r="I65" i="1"/>
  <c r="I64" i="1"/>
  <c r="I66" i="1" s="1"/>
  <c r="J57" i="1"/>
  <c r="I57" i="1"/>
  <c r="I56" i="1"/>
  <c r="I58" i="1" s="1"/>
  <c r="J49" i="1"/>
  <c r="I49" i="1"/>
  <c r="I48" i="1"/>
  <c r="I50" i="1" s="1"/>
  <c r="J41" i="1"/>
  <c r="I41" i="1"/>
  <c r="I40" i="1"/>
  <c r="I42" i="1" s="1"/>
  <c r="J33" i="1"/>
  <c r="I33" i="1"/>
  <c r="I32" i="1"/>
  <c r="I34" i="1" s="1"/>
  <c r="J21" i="1"/>
  <c r="I22" i="1" s="1"/>
  <c r="J15" i="1"/>
  <c r="I15" i="1"/>
  <c r="I14" i="1"/>
  <c r="I16" i="1" s="1"/>
  <c r="J7" i="1"/>
  <c r="I7" i="1"/>
  <c r="I6" i="1"/>
  <c r="I8" i="1" s="1"/>
  <c r="Q2" i="2" l="1"/>
  <c r="P11" i="2"/>
  <c r="Q11" i="2" s="1"/>
  <c r="N2" i="2"/>
  <c r="M11" i="2"/>
  <c r="N11" i="2" s="1"/>
</calcChain>
</file>

<file path=xl/sharedStrings.xml><?xml version="1.0" encoding="utf-8"?>
<sst xmlns="http://schemas.openxmlformats.org/spreadsheetml/2006/main" count="1562" uniqueCount="405">
  <si>
    <t xml:space="preserve">Codigo </t>
  </si>
  <si>
    <t>Municipio</t>
  </si>
  <si>
    <t>Índice de tratamiento de agua residual 2013 %</t>
  </si>
  <si>
    <t>Vol. Tratado de aguas residuales 2013 (m3/período)</t>
  </si>
  <si>
    <t>Índice de tratamiento de agua residual 2024 %</t>
  </si>
  <si>
    <t>Vol. Tratado de aguas residuales 2024 (m3/período)</t>
  </si>
  <si>
    <t>Sucre</t>
  </si>
  <si>
    <t>SANTA CRUZ</t>
  </si>
  <si>
    <t>Yotala</t>
  </si>
  <si>
    <t>Santa Cruz de la Sierra (SAGUAPAC)</t>
  </si>
  <si>
    <t>Villa 1ro de Mayo</t>
  </si>
  <si>
    <t>Santa Cruz de la Sierra (COSPAIL)</t>
  </si>
  <si>
    <t>Plan 3000</t>
  </si>
  <si>
    <t>Santa Cruz de la Sierra (COOPAPPI)</t>
  </si>
  <si>
    <t>Santa Cruz de la Sierra (SAJUBA)</t>
  </si>
  <si>
    <t>Santa Cruz de la Sierra (COSPHUL R.L.)</t>
  </si>
  <si>
    <t>Santa Cruz de la Sierra (COSCHAL)</t>
  </si>
  <si>
    <t>Poroma</t>
  </si>
  <si>
    <t>Vol. Tratado de aguas residuales</t>
  </si>
  <si>
    <t>Azurduy</t>
  </si>
  <si>
    <t>Vol. De AP facturado</t>
  </si>
  <si>
    <t>Tarvita</t>
  </si>
  <si>
    <t>Total Vol Tratado</t>
  </si>
  <si>
    <t>Zudáñez</t>
  </si>
  <si>
    <t>Total Vol AP facturado</t>
  </si>
  <si>
    <t>Presto</t>
  </si>
  <si>
    <t>ITAR</t>
  </si>
  <si>
    <t>Mojocoya</t>
  </si>
  <si>
    <t>Icla</t>
  </si>
  <si>
    <t>EL TORNO</t>
  </si>
  <si>
    <t>Padilla</t>
  </si>
  <si>
    <t>El Torno (SEAPAS)</t>
  </si>
  <si>
    <t>El Torno (COOPLIM)</t>
  </si>
  <si>
    <t>Tomina</t>
  </si>
  <si>
    <t>Sopachuy</t>
  </si>
  <si>
    <t>Alcalá</t>
  </si>
  <si>
    <t>El Villar</t>
  </si>
  <si>
    <t>Monteagudo</t>
  </si>
  <si>
    <t>Huacareta</t>
  </si>
  <si>
    <t>Tarabuco</t>
  </si>
  <si>
    <t>MONTERO</t>
  </si>
  <si>
    <t>Yamparáez</t>
  </si>
  <si>
    <t>Camargo</t>
  </si>
  <si>
    <t>San Lucas</t>
  </si>
  <si>
    <t>Incahuasi</t>
  </si>
  <si>
    <t>Villa Charcas</t>
  </si>
  <si>
    <t>Villa Serrano</t>
  </si>
  <si>
    <t>Villa Abecia</t>
  </si>
  <si>
    <t>Culpina</t>
  </si>
  <si>
    <t>Las Carreras</t>
  </si>
  <si>
    <t>Villa Vaca Guzmán</t>
  </si>
  <si>
    <t>Huacaya (Autonomía Guaraní Chaqueño de Huacaya)</t>
  </si>
  <si>
    <t>Santa Cruz de la Sierra (COOPAARE R.L.)</t>
  </si>
  <si>
    <t>Santa Cruz de la Sierra (COOVIG)</t>
  </si>
  <si>
    <t>Santa Cruz de la Sierra (Aguas de colinas del Urubó)</t>
  </si>
  <si>
    <t>Macharetí</t>
  </si>
  <si>
    <t>Nuestra Señora de La Paz</t>
  </si>
  <si>
    <t>Palca</t>
  </si>
  <si>
    <t>Mecapaca</t>
  </si>
  <si>
    <t>Achocalla</t>
  </si>
  <si>
    <t>El Alto</t>
  </si>
  <si>
    <t>Achacachi</t>
  </si>
  <si>
    <t>Villa Ancoraimes</t>
  </si>
  <si>
    <t>Huarina</t>
  </si>
  <si>
    <t>Santiago de Huata</t>
  </si>
  <si>
    <t>Huatajata</t>
  </si>
  <si>
    <t>Chua Cocani</t>
  </si>
  <si>
    <t>Corocoro</t>
  </si>
  <si>
    <t>Caquiaviri</t>
  </si>
  <si>
    <t>Calacoto</t>
  </si>
  <si>
    <t>LA GUARDIA</t>
  </si>
  <si>
    <t>Comanche</t>
  </si>
  <si>
    <t>La Guardia (COOSPELCAR R.L.)</t>
  </si>
  <si>
    <t>La Guardia (COSIMBO R.L.)</t>
  </si>
  <si>
    <t>La Guardia (COSPLAG R.L.)</t>
  </si>
  <si>
    <t>La Guardia (COOSAJOSAM R.L.)</t>
  </si>
  <si>
    <t>Charaña</t>
  </si>
  <si>
    <t>Waldo Ballivián</t>
  </si>
  <si>
    <t>Nazacara de Pacajes</t>
  </si>
  <si>
    <t>Santiago de Callapa</t>
  </si>
  <si>
    <t>Puerto Acosta</t>
  </si>
  <si>
    <t>Mocomoco</t>
  </si>
  <si>
    <t>Puerto Mayor de Carabuco</t>
  </si>
  <si>
    <t>SAN CARLOS</t>
  </si>
  <si>
    <t>Humanata</t>
  </si>
  <si>
    <t>San Carlos (COSPUSFE R.L.)</t>
  </si>
  <si>
    <t>San Carlos (COSPUSAN R.L.)</t>
  </si>
  <si>
    <t>Escoma</t>
  </si>
  <si>
    <t>Chuma</t>
  </si>
  <si>
    <t>Ayata</t>
  </si>
  <si>
    <t>Aucapata</t>
  </si>
  <si>
    <t>Sorata</t>
  </si>
  <si>
    <t>Guanay</t>
  </si>
  <si>
    <t>Tacacoma</t>
  </si>
  <si>
    <t>FERNÁNDEZ ALONSO</t>
  </si>
  <si>
    <t>Quiabaya</t>
  </si>
  <si>
    <t>Fernández Alonso (COSEPFA)</t>
  </si>
  <si>
    <t xml:space="preserve">Fernández Alonso (CAPCHI R.L.) </t>
  </si>
  <si>
    <t>Combaya</t>
  </si>
  <si>
    <t>Tipuani</t>
  </si>
  <si>
    <t>Mapiri</t>
  </si>
  <si>
    <t>Teoponte</t>
  </si>
  <si>
    <t>Apolo</t>
  </si>
  <si>
    <t>Pelechuco</t>
  </si>
  <si>
    <t>Viacha</t>
  </si>
  <si>
    <t>Puerto Mayor de Guaqui</t>
  </si>
  <si>
    <t>ID</t>
  </si>
  <si>
    <t>Departamento</t>
  </si>
  <si>
    <t>Tiahuanacu</t>
  </si>
  <si>
    <t>Chuquisaca</t>
  </si>
  <si>
    <t>Desaguadero</t>
  </si>
  <si>
    <t>La Paz</t>
  </si>
  <si>
    <t>La (Marka) San Andrés de Machaca</t>
  </si>
  <si>
    <t>Cochabamba</t>
  </si>
  <si>
    <t>Jesús de Machaka</t>
  </si>
  <si>
    <t>Oruro</t>
  </si>
  <si>
    <t>Taraco</t>
  </si>
  <si>
    <t>Potosí</t>
  </si>
  <si>
    <t>Luribay</t>
  </si>
  <si>
    <t>Tarija</t>
  </si>
  <si>
    <t>Sapahaqui</t>
  </si>
  <si>
    <t>Santa Cruz</t>
  </si>
  <si>
    <t>Yaco</t>
  </si>
  <si>
    <t>Beni</t>
  </si>
  <si>
    <t>Malla</t>
  </si>
  <si>
    <t>Pando</t>
  </si>
  <si>
    <t>Cairoma</t>
  </si>
  <si>
    <t>Bolivia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</si>
  <si>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</si>
  <si>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</si>
  <si>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</si>
  <si>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</si>
  <si>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</si>
  <si>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</si>
  <si>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</si>
  <si>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</si>
  <si>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</si>
  <si>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</si>
  <si>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</si>
  <si>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</si>
  <si>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</si>
  <si>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</si>
  <si>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</si>
  <si>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</si>
  <si>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</si>
  <si>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</si>
  <si>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</si>
  <si>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</si>
  <si>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</si>
  <si>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</si>
  <si>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</si>
  <si>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</si>
  <si>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>Ixiamas</t>
  </si>
  <si>
    <t>San Buenaventura</t>
  </si>
  <si>
    <t>Charazani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</si>
  <si>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</si>
  <si>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</si>
  <si>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</si>
  <si>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</si>
  <si>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</si>
  <si>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</si>
  <si>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</si>
  <si>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</si>
  <si>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</si>
  <si>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</si>
  <si>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</si>
  <si>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>Aiquile</t>
  </si>
  <si>
    <t>Pasorapa</t>
  </si>
  <si>
    <t>Omereque</t>
  </si>
  <si>
    <t>Ayopaya</t>
  </si>
  <si>
    <t>Morochata</t>
  </si>
  <si>
    <t>Cocapata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</si>
  <si>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</si>
  <si>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</si>
  <si>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</si>
  <si>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</si>
  <si>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</si>
  <si>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</si>
  <si>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</si>
  <si>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</si>
  <si>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</si>
  <si>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Santiváñez</t>
  </si>
  <si>
    <t>Sicaya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</si>
  <si>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</si>
  <si>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</si>
  <si>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</si>
  <si>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</si>
  <si>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</si>
  <si>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</si>
  <si>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</si>
  <si>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</si>
  <si>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Sacaba</t>
  </si>
  <si>
    <t>Colomi</t>
  </si>
  <si>
    <t>Villa Tunari</t>
  </si>
  <si>
    <t>Tapacarí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</si>
  <si>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</si>
  <si>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</si>
  <si>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</si>
  <si>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</si>
  <si>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</si>
  <si>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</si>
  <si>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</si>
  <si>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</si>
  <si>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</si>
  <si>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</si>
  <si>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</si>
  <si>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</si>
  <si>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</si>
  <si>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</si>
  <si>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Villa Gualberto Villarroel</t>
  </si>
  <si>
    <t>Bolívar</t>
  </si>
  <si>
    <t>Tiraque</t>
  </si>
  <si>
    <t>Shinahota</t>
  </si>
  <si>
    <t>Caracollo</t>
  </si>
  <si>
    <t>El Choro</t>
  </si>
  <si>
    <t>Paria</t>
  </si>
  <si>
    <t>Challapata</t>
  </si>
  <si>
    <t>Santuario de Quillacas</t>
  </si>
  <si>
    <t>Corque</t>
  </si>
  <si>
    <t>Choquecota</t>
  </si>
  <si>
    <t>Curahuara de Carangas</t>
  </si>
  <si>
    <t>Turco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</si>
  <si>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</si>
  <si>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</si>
  <si>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</si>
  <si>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</si>
  <si>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</si>
  <si>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</si>
  <si>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</si>
  <si>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</si>
  <si>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Huanuni</t>
  </si>
  <si>
    <t>Machacamarca</t>
  </si>
  <si>
    <t>Salinas de Garci Mendoza (Autonomía Indígena Originario Campesina de Salinas)</t>
  </si>
  <si>
    <t>Pampa Aullagas</t>
  </si>
  <si>
    <t>Sabaya</t>
  </si>
  <si>
    <t>Coipasa</t>
  </si>
  <si>
    <t>Uru Chipaya (Nación Originaria Uru Chipaya)</t>
  </si>
  <si>
    <t>Toledo</t>
  </si>
  <si>
    <t>Eucaliptus</t>
  </si>
  <si>
    <t>Andamarca</t>
  </si>
  <si>
    <t>Belén de Andamarca</t>
  </si>
  <si>
    <t>Santiago de Huari</t>
  </si>
  <si>
    <t>La Rivera</t>
  </si>
  <si>
    <t>Todos Santos</t>
  </si>
  <si>
    <t>Carangas</t>
  </si>
  <si>
    <t>Santiago de Huayllamarca</t>
  </si>
  <si>
    <t>Tinguipaya</t>
  </si>
  <si>
    <t>Yocalla</t>
  </si>
  <si>
    <t>Urmiri</t>
  </si>
  <si>
    <t>Uncía</t>
  </si>
  <si>
    <t>Chayanta</t>
  </si>
  <si>
    <t>Llallagua</t>
  </si>
  <si>
    <t>Chuquihuta Ayllu Jucumani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</si>
  <si>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</si>
  <si>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</si>
  <si>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</si>
  <si>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</si>
  <si>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</si>
  <si>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</si>
  <si>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</si>
  <si>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</si>
  <si>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San Pedro</t>
  </si>
  <si>
    <t>Toro Toro</t>
  </si>
  <si>
    <t>Cotagaita</t>
  </si>
  <si>
    <t>Vitichi</t>
  </si>
  <si>
    <t>Sacaca</t>
  </si>
  <si>
    <t>Caripuyo</t>
  </si>
  <si>
    <t>Tupiza</t>
  </si>
  <si>
    <t>Atocha</t>
  </si>
  <si>
    <t>Colcha "K"</t>
  </si>
  <si>
    <t>San Pedro de Quemes</t>
  </si>
  <si>
    <t>San Pablo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</si>
  <si>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</si>
  <si>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</si>
  <si>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</si>
  <si>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</si>
  <si>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</si>
  <si>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</si>
  <si>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</si>
  <si>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</si>
  <si>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TIOC-Jatun Ayllu Yura</t>
  </si>
  <si>
    <t>Arampampa</t>
  </si>
  <si>
    <t>Acasio</t>
  </si>
  <si>
    <t>Llica</t>
  </si>
  <si>
    <t>Tahua</t>
  </si>
  <si>
    <t>Villazón</t>
  </si>
  <si>
    <t>San Agustín</t>
  </si>
  <si>
    <t>Padcaya</t>
  </si>
  <si>
    <t>Bermejo</t>
  </si>
  <si>
    <t>Yacuiba</t>
  </si>
  <si>
    <t>Caraparí</t>
  </si>
  <si>
    <t>Villa Montes</t>
  </si>
  <si>
    <t>Uriondo</t>
  </si>
  <si>
    <t>Yunchará</t>
  </si>
  <si>
    <t>San Lorenzo</t>
  </si>
  <si>
    <t>El Puente</t>
  </si>
  <si>
    <t>Vol. 2012</t>
  </si>
  <si>
    <t>Vol.2024</t>
  </si>
  <si>
    <t>Villa 1ro de Mayo (COOPAGUAS)</t>
  </si>
  <si>
    <t>Plan 3000 (COOPLAN R.L.)</t>
  </si>
  <si>
    <t>Cotoca</t>
  </si>
  <si>
    <t>Porongo</t>
  </si>
  <si>
    <t>El Carmen (COOSPELCAR R.L.)</t>
  </si>
  <si>
    <t>Warnes</t>
  </si>
  <si>
    <t>Okinawa Uno</t>
  </si>
  <si>
    <t>San Ignacio</t>
  </si>
  <si>
    <t>San Miguel</t>
  </si>
  <si>
    <t>San Rafael</t>
  </si>
  <si>
    <t>Buena Vista</t>
  </si>
  <si>
    <t>Yapacaní</t>
  </si>
  <si>
    <t>San Juan</t>
  </si>
  <si>
    <t>San José</t>
  </si>
  <si>
    <t>Pailón</t>
  </si>
  <si>
    <t>Roboré</t>
  </si>
  <si>
    <t>Portachuelo</t>
  </si>
  <si>
    <t>Santa Rosa</t>
  </si>
  <si>
    <t>Colpa Bélgica</t>
  </si>
  <si>
    <t>Lagunillas</t>
  </si>
  <si>
    <t>Charagua (Autonomía Guaraní Charagua Iyambae)</t>
  </si>
  <si>
    <t>Cabezas</t>
  </si>
  <si>
    <t>Cuevo</t>
  </si>
  <si>
    <t>Gutiérrez (Autonomía Indígena Kereimba Iyaambae)</t>
  </si>
  <si>
    <t>Camiri</t>
  </si>
  <si>
    <t>Boyuibe</t>
  </si>
  <si>
    <t>Vallegrande</t>
  </si>
  <si>
    <t>Trigal</t>
  </si>
  <si>
    <t>Moromoro</t>
  </si>
  <si>
    <t>Postrervalle</t>
  </si>
  <si>
    <t>Pucará</t>
  </si>
  <si>
    <t>Samaipata</t>
  </si>
  <si>
    <t>Pampagrande</t>
  </si>
  <si>
    <t>Mairana</t>
  </si>
  <si>
    <t>Quirusillas</t>
  </si>
  <si>
    <t>Montero</t>
  </si>
  <si>
    <t>NSD</t>
  </si>
  <si>
    <t>General Saavedra</t>
  </si>
  <si>
    <t>Mineros</t>
  </si>
  <si>
    <t>Concepción</t>
  </si>
  <si>
    <t>San Javier</t>
  </si>
  <si>
    <t>San Julián</t>
  </si>
  <si>
    <t>San Antonio de Lomerio</t>
  </si>
  <si>
    <t>San Ramón</t>
  </si>
  <si>
    <t>Cuatro Cañadas</t>
  </si>
  <si>
    <t>San Matías</t>
  </si>
  <si>
    <t>Comarapa</t>
  </si>
  <si>
    <t>Saipina</t>
  </si>
  <si>
    <t>Puerto Suárez</t>
  </si>
  <si>
    <t>Puerto Quijarro</t>
  </si>
  <si>
    <t>El Carmen Rivero Tórrez</t>
  </si>
  <si>
    <t>Ascención de Guarayos</t>
  </si>
  <si>
    <t>Urubichá</t>
  </si>
  <si>
    <t>Trinidad</t>
  </si>
  <si>
    <t>Riberalta</t>
  </si>
  <si>
    <t>Guayaramerín</t>
  </si>
  <si>
    <t>Reyes</t>
  </si>
  <si>
    <t>San Borja</t>
  </si>
  <si>
    <t>Puerto Menor de Rurrenabaque</t>
  </si>
  <si>
    <t>Santa Ana</t>
  </si>
  <si>
    <t>Exaltación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</si>
  <si>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</si>
  <si>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</si>
  <si>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</si>
  <si>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</si>
  <si>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</si>
  <si>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</si>
  <si>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</si>
  <si>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TIOC-Territorio Indígena Multiétnico</t>
  </si>
  <si>
    <t>Cobija</t>
  </si>
  <si>
    <t>Porvenir</t>
  </si>
  <si>
    <t>Bolpebra</t>
  </si>
  <si>
    <t>Bella Flor</t>
  </si>
  <si>
    <t>Puerto Rico</t>
  </si>
  <si>
    <t>Filadelfia</t>
  </si>
  <si>
    <t>Puerto Gonzalo Moreno</t>
  </si>
  <si>
    <t>Sena</t>
  </si>
  <si>
    <t>Ingavi</t>
  </si>
  <si>
    <t>Nueva Esperanza</t>
  </si>
  <si>
    <t>Villa Nueva</t>
  </si>
  <si>
    <t>Santos Mercado</t>
  </si>
  <si>
    <t>Numerador (Sumatoria de (indice de tratamiento de agua por población)) 2013</t>
  </si>
  <si>
    <t>Numerador (Sumatoria de (indice de tratamiento de agua por población)) 2024</t>
  </si>
  <si>
    <t>Numerador (Sumatoria de (indice de tratamiento de agua por población)) 2012</t>
  </si>
  <si>
    <t>Índice de tratamiento de agua residual 2012 %</t>
  </si>
  <si>
    <t>Santa Cruz de la Sierra</t>
  </si>
  <si>
    <t>La Guardia</t>
  </si>
  <si>
    <t>El Torno</t>
  </si>
  <si>
    <t>San Carlos</t>
  </si>
  <si>
    <t>Fernández Alonso</t>
  </si>
  <si>
    <t>sdg6_3_tratamiento_agua_residual_2013</t>
  </si>
  <si>
    <t>sdg6_3_tratamiento_agua_residual_2024</t>
  </si>
  <si>
    <t>sdg6_3_tratamiento_agua_residual_abs_2013</t>
  </si>
  <si>
    <t>sdg6_3_tratamiento_agua_residual_abs_2024</t>
  </si>
  <si>
    <t>id_departamento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</si>
  <si>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</si>
  <si>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</si>
  <si>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</si>
  <si>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</si>
  <si>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</si>
  <si>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</si>
  <si>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</si>
  <si>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</si>
  <si>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</si>
  <si>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</si>
  <si>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Gran Chaco</t>
  </si>
  <si>
    <t>Índice de tratamiento de agua 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</si>
</sst>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0.000"/>
    <numFmt numFmtId="166" formatCode="_(* #,##0_);_(* \(#,##0\);_(* &quot;-&quot;??_);_(@_)"/>
    <numFmt numFmtId="167" formatCode="_(* #,##0.00_);_(* \(#,##0.00\);_(* &quot;-&quot;??_);_(@_)"/>
    <numFmt numFmtId="168" formatCode="0.0"/>
    <numFmt numFmtId="169" formatCode="_(* #,##0.0_);_(* \(#,##0.0\);_(* &quot;-&quot;??_);_(@_)"/>
  </numFmts>
  <fonts count="10"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  <scheme val="minor"/>
    </font>
    <font>
      <sz val="10"/>
      <name val="Arial"/>
      <family val="2"/>
    </font>
    <font>
      <b/>
      <sz val="11"/>
      <color rgb="FFFFFFFF"/>
      <name val="Arial"/>
      <family val="2"/>
      <scheme val="minor"/>
    </font>
    <font>
      <sz val="11"/>
      <color theme="1"/>
      <name val="Arial"/>
      <family val="2"/>
    </font>
    <font>
      <b/>
      <sz val="9"/>
      <color theme="1"/>
      <name val="&quot;Aptos Display&quot;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17375D"/>
        <bgColor rgb="FF17375D"/>
      </patternFill>
    </fill>
    <fill>
      <patternFill patternType="solid">
        <fgColor rgb="FF808080"/>
        <bgColor rgb="FF808080"/>
      </patternFill>
    </fill>
    <fill>
      <patternFill patternType="solid">
        <fgColor rgb="FF00B050"/>
        <bgColor rgb="FF00B05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/>
    <xf numFmtId="0" fontId="2" fillId="0" borderId="1" xfId="0" applyFon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2" fillId="0" borderId="0" xfId="0" applyFont="1"/>
    <xf numFmtId="0" fontId="4" fillId="0" borderId="0" xfId="0" applyFont="1" applyAlignment="1">
      <alignment vertical="center"/>
    </xf>
    <xf numFmtId="4" fontId="4" fillId="0" borderId="0" xfId="0" applyNumberFormat="1" applyFont="1"/>
    <xf numFmtId="4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5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4" fontId="2" fillId="0" borderId="0" xfId="0" applyNumberFormat="1" applyFont="1"/>
    <xf numFmtId="0" fontId="1" fillId="0" borderId="1" xfId="0" applyFont="1" applyBorder="1" applyAlignment="1">
      <alignment vertical="center"/>
    </xf>
    <xf numFmtId="4" fontId="2" fillId="0" borderId="0" xfId="0" applyNumberFormat="1" applyFont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/>
    <xf numFmtId="0" fontId="2" fillId="0" borderId="3" xfId="0" applyFont="1" applyBorder="1"/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7" xfId="0" applyFont="1" applyBorder="1"/>
    <xf numFmtId="4" fontId="2" fillId="0" borderId="7" xfId="0" applyNumberFormat="1" applyFont="1" applyBorder="1"/>
    <xf numFmtId="4" fontId="4" fillId="0" borderId="7" xfId="0" applyNumberFormat="1" applyFont="1" applyBorder="1"/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2" fillId="0" borderId="12" xfId="0" applyFont="1" applyBorder="1" applyAlignment="1">
      <alignment vertical="center"/>
    </xf>
    <xf numFmtId="0" fontId="2" fillId="0" borderId="12" xfId="0" applyFont="1" applyBorder="1"/>
    <xf numFmtId="4" fontId="2" fillId="0" borderId="12" xfId="0" applyNumberFormat="1" applyFont="1" applyBorder="1"/>
    <xf numFmtId="0" fontId="2" fillId="0" borderId="15" xfId="0" applyFont="1" applyBorder="1" applyAlignment="1">
      <alignment vertical="center"/>
    </xf>
    <xf numFmtId="0" fontId="2" fillId="0" borderId="15" xfId="0" applyFont="1" applyBorder="1"/>
    <xf numFmtId="4" fontId="2" fillId="0" borderId="15" xfId="0" applyNumberFormat="1" applyFont="1" applyBorder="1"/>
    <xf numFmtId="4" fontId="2" fillId="0" borderId="2" xfId="0" applyNumberFormat="1" applyFont="1" applyBorder="1"/>
    <xf numFmtId="165" fontId="2" fillId="0" borderId="0" xfId="0" applyNumberFormat="1" applyFont="1" applyAlignment="1">
      <alignment vertical="center"/>
    </xf>
    <xf numFmtId="0" fontId="5" fillId="0" borderId="1" xfId="0" applyFont="1" applyBorder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2" fontId="1" fillId="0" borderId="1" xfId="0" applyNumberFormat="1" applyFont="1" applyBorder="1" applyAlignment="1">
      <alignment horizontal="center" vertical="center" wrapText="1"/>
    </xf>
    <xf numFmtId="3" fontId="2" fillId="0" borderId="1" xfId="0" applyNumberFormat="1" applyFont="1" applyBorder="1"/>
    <xf numFmtId="0" fontId="8" fillId="0" borderId="1" xfId="0" applyFont="1" applyBorder="1"/>
    <xf numFmtId="0" fontId="8" fillId="0" borderId="0" xfId="0" applyFont="1"/>
    <xf numFmtId="2" fontId="2" fillId="0" borderId="1" xfId="0" applyNumberFormat="1" applyFont="1" applyBorder="1"/>
    <xf numFmtId="2" fontId="2" fillId="0" borderId="0" xfId="0" applyNumberFormat="1" applyFont="1"/>
    <xf numFmtId="0" fontId="5" fillId="0" borderId="1" xfId="0" applyFont="1" applyBorder="1" applyAlignment="1">
      <alignment vertical="center" wrapText="1"/>
    </xf>
    <xf numFmtId="168" fontId="5" fillId="0" borderId="1" xfId="0" applyNumberFormat="1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168" fontId="2" fillId="0" borderId="1" xfId="0" applyNumberFormat="1" applyFont="1" applyBorder="1"/>
    <xf numFmtId="168" fontId="2" fillId="0" borderId="0" xfId="0" applyNumberFormat="1" applyFont="1"/>
    <xf numFmtId="3" fontId="2" fillId="0" borderId="0" xfId="0" applyNumberFormat="1" applyFont="1"/>
    <xf numFmtId="0" fontId="3" fillId="5" borderId="1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" fontId="2" fillId="0" borderId="8" xfId="0" applyNumberFormat="1" applyFont="1" applyBorder="1" applyAlignment="1">
      <alignment vertical="center"/>
    </xf>
    <xf numFmtId="0" fontId="6" fillId="0" borderId="13" xfId="0" applyFont="1" applyBorder="1"/>
    <xf numFmtId="4" fontId="2" fillId="0" borderId="5" xfId="0" applyNumberFormat="1" applyFont="1" applyBorder="1" applyAlignment="1">
      <alignment vertical="center"/>
    </xf>
    <xf numFmtId="0" fontId="6" fillId="0" borderId="14" xfId="0" applyFont="1" applyBorder="1"/>
    <xf numFmtId="0" fontId="2" fillId="0" borderId="8" xfId="0" applyFont="1" applyBorder="1" applyAlignment="1">
      <alignment vertical="center"/>
    </xf>
    <xf numFmtId="0" fontId="0" fillId="0" borderId="0" xfId="0"/>
    <xf numFmtId="0" fontId="2" fillId="0" borderId="6" xfId="0" applyFont="1" applyBorder="1" applyAlignment="1">
      <alignment vertical="center"/>
    </xf>
    <xf numFmtId="0" fontId="6" fillId="0" borderId="11" xfId="0" applyFont="1" applyBorder="1"/>
    <xf numFmtId="0" fontId="6" fillId="0" borderId="9" xfId="0" applyFont="1" applyBorder="1"/>
    <xf numFmtId="0" fontId="6" fillId="0" borderId="10" xfId="0" applyFont="1" applyBorder="1"/>
    <xf numFmtId="0" fontId="2" fillId="0" borderId="5" xfId="0" applyFont="1" applyBorder="1" applyAlignment="1">
      <alignment vertical="center"/>
    </xf>
    <xf numFmtId="0" fontId="4" fillId="0" borderId="2" xfId="0" applyFont="1" applyBorder="1"/>
    <xf numFmtId="166" fontId="4" fillId="0" borderId="2" xfId="0" applyNumberFormat="1" applyFont="1" applyBorder="1" applyAlignment="1">
      <alignment horizontal="right"/>
    </xf>
    <xf numFmtId="167" fontId="4" fillId="0" borderId="2" xfId="0" applyNumberFormat="1" applyFont="1" applyBorder="1" applyAlignment="1">
      <alignment horizontal="right"/>
    </xf>
    <xf numFmtId="0" fontId="2" fillId="0" borderId="16" xfId="0" applyFont="1" applyFill="1" applyBorder="1"/>
    <xf numFmtId="3" fontId="0" fillId="0" borderId="16" xfId="0" applyNumberFormat="1" applyBorder="1"/>
    <xf numFmtId="167" fontId="4" fillId="0" borderId="16" xfId="0" applyNumberFormat="1" applyFont="1" applyBorder="1" applyAlignment="1">
      <alignment horizontal="right"/>
    </xf>
    <xf numFmtId="168" fontId="2" fillId="0" borderId="2" xfId="0" applyNumberFormat="1" applyFont="1" applyBorder="1"/>
    <xf numFmtId="169" fontId="0" fillId="0" borderId="16" xfId="0" applyNumberFormat="1" applyBorder="1"/>
    <xf numFmtId="0" fontId="2" fillId="0" borderId="16" xfId="0" applyFont="1" applyBorder="1" applyAlignment="1">
      <alignment vertical="center"/>
    </xf>
    <xf numFmtId="4" fontId="0" fillId="0" borderId="1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16"/>
  <sheetViews>
    <sheetView topLeftCell="A71" workbookViewId="0">
      <selection activeCell="K77" sqref="K77"/>
    </sheetView>
  </sheetViews>
  <sheetFormatPr baseColWidth="10" defaultColWidth="12.5703125" defaultRowHeight="15.75" customHeight="1"/>
  <cols>
    <col min="10" max="11" width="14.5703125" customWidth="1"/>
  </cols>
  <sheetData>
    <row r="1" spans="1:19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4">
        <v>2012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ht="15.75" customHeight="1">
      <c r="A2" s="6">
        <v>10101</v>
      </c>
      <c r="B2" s="6" t="s">
        <v>6</v>
      </c>
      <c r="C2" s="7">
        <v>63.57</v>
      </c>
      <c r="D2" s="8">
        <v>3995786.4</v>
      </c>
      <c r="E2" s="7">
        <v>53.82</v>
      </c>
      <c r="F2" s="8">
        <v>4203191.3</v>
      </c>
      <c r="G2" s="9"/>
      <c r="H2" s="10" t="s">
        <v>7</v>
      </c>
      <c r="I2" s="11"/>
      <c r="J2" s="11"/>
      <c r="K2" s="11"/>
      <c r="L2" s="11"/>
      <c r="M2" s="11"/>
      <c r="N2" s="11"/>
      <c r="O2" s="11"/>
      <c r="P2" s="11"/>
    </row>
    <row r="3" spans="1:19">
      <c r="A3" s="6">
        <v>10102</v>
      </c>
      <c r="B3" s="6" t="s">
        <v>8</v>
      </c>
      <c r="C3" s="7">
        <v>0</v>
      </c>
      <c r="D3" s="7">
        <v>0</v>
      </c>
      <c r="E3" s="7">
        <v>0</v>
      </c>
      <c r="F3" s="7">
        <v>0</v>
      </c>
      <c r="G3" s="9"/>
      <c r="H3" s="9"/>
      <c r="I3" s="12" t="s">
        <v>9</v>
      </c>
      <c r="J3" s="12" t="s">
        <v>10</v>
      </c>
      <c r="K3" s="12" t="s">
        <v>11</v>
      </c>
      <c r="L3" s="12" t="s">
        <v>12</v>
      </c>
      <c r="M3" s="12" t="s">
        <v>13</v>
      </c>
      <c r="N3" s="12" t="s">
        <v>14</v>
      </c>
      <c r="O3" s="12" t="s">
        <v>15</v>
      </c>
      <c r="P3" s="12" t="s">
        <v>16</v>
      </c>
    </row>
    <row r="4" spans="1:19" ht="15.75" customHeight="1">
      <c r="A4" s="6">
        <v>10103</v>
      </c>
      <c r="B4" s="6" t="s">
        <v>17</v>
      </c>
      <c r="C4" s="7">
        <v>0</v>
      </c>
      <c r="D4" s="7">
        <v>0</v>
      </c>
      <c r="E4" s="7">
        <v>0</v>
      </c>
      <c r="F4" s="7">
        <v>0</v>
      </c>
      <c r="G4" s="9"/>
      <c r="H4" s="13" t="s">
        <v>18</v>
      </c>
      <c r="I4" s="14">
        <v>43078729</v>
      </c>
      <c r="J4" s="15">
        <v>5489856</v>
      </c>
      <c r="K4" s="15">
        <v>1358724</v>
      </c>
      <c r="L4" s="16">
        <v>0</v>
      </c>
      <c r="M4" s="16">
        <v>0</v>
      </c>
      <c r="N4" s="16">
        <v>0</v>
      </c>
      <c r="O4" s="16">
        <v>0</v>
      </c>
      <c r="P4" s="15">
        <v>397419</v>
      </c>
    </row>
    <row r="5" spans="1:19" ht="15.75" customHeight="1">
      <c r="A5" s="6">
        <v>10201</v>
      </c>
      <c r="B5" s="6" t="s">
        <v>19</v>
      </c>
      <c r="C5" s="7">
        <v>0</v>
      </c>
      <c r="D5" s="7">
        <v>0</v>
      </c>
      <c r="E5" s="7">
        <v>0</v>
      </c>
      <c r="F5" s="7">
        <v>0</v>
      </c>
      <c r="G5" s="9"/>
      <c r="H5" s="13" t="s">
        <v>20</v>
      </c>
      <c r="I5" s="14">
        <v>54383598</v>
      </c>
      <c r="J5" s="15">
        <v>5620065</v>
      </c>
      <c r="K5" s="15">
        <v>3046323</v>
      </c>
      <c r="L5" s="15">
        <v>5464822</v>
      </c>
      <c r="M5" s="15">
        <v>3383543</v>
      </c>
      <c r="N5" s="15">
        <v>2526017</v>
      </c>
      <c r="O5" s="15">
        <v>847715</v>
      </c>
      <c r="P5" s="15">
        <v>781677</v>
      </c>
    </row>
    <row r="6" spans="1:19" ht="15.75" customHeight="1">
      <c r="A6" s="6">
        <v>10202</v>
      </c>
      <c r="B6" s="6" t="s">
        <v>21</v>
      </c>
      <c r="C6" s="7">
        <v>0</v>
      </c>
      <c r="D6" s="7">
        <v>0</v>
      </c>
      <c r="E6" s="7">
        <v>0</v>
      </c>
      <c r="F6" s="7">
        <v>0</v>
      </c>
      <c r="G6" s="9"/>
      <c r="H6" s="13" t="s">
        <v>22</v>
      </c>
      <c r="I6" s="15">
        <f t="shared" ref="I6:I7" si="0">+SUM(I4:P4)</f>
        <v>50324728</v>
      </c>
      <c r="J6" s="11"/>
      <c r="K6" s="11"/>
      <c r="L6" s="11"/>
      <c r="M6" s="11"/>
      <c r="N6" s="11"/>
      <c r="O6" s="11"/>
      <c r="P6" s="11"/>
    </row>
    <row r="7" spans="1:19" ht="15.75" customHeight="1">
      <c r="A7" s="6">
        <v>10301</v>
      </c>
      <c r="B7" s="6" t="s">
        <v>23</v>
      </c>
      <c r="C7" s="7">
        <v>0</v>
      </c>
      <c r="D7" s="7">
        <v>0</v>
      </c>
      <c r="E7" s="7">
        <v>0</v>
      </c>
      <c r="F7" s="7">
        <v>0</v>
      </c>
      <c r="G7" s="9"/>
      <c r="H7" s="13" t="s">
        <v>24</v>
      </c>
      <c r="I7" s="15">
        <f t="shared" si="0"/>
        <v>76053760</v>
      </c>
      <c r="J7" s="16">
        <f>+I7*0.8</f>
        <v>60843008</v>
      </c>
      <c r="K7" s="11"/>
      <c r="L7" s="11"/>
      <c r="M7" s="11"/>
      <c r="N7" s="11"/>
      <c r="O7" s="11"/>
      <c r="P7" s="11"/>
    </row>
    <row r="8" spans="1:19" ht="15.75" customHeight="1">
      <c r="A8" s="6">
        <v>10302</v>
      </c>
      <c r="B8" s="6" t="s">
        <v>25</v>
      </c>
      <c r="C8" s="7">
        <v>0</v>
      </c>
      <c r="D8" s="7">
        <v>0</v>
      </c>
      <c r="E8" s="7">
        <v>0</v>
      </c>
      <c r="F8" s="7">
        <v>0</v>
      </c>
      <c r="G8" s="9"/>
      <c r="H8" s="13" t="s">
        <v>26</v>
      </c>
      <c r="I8" s="17">
        <f>+I6/J7</f>
        <v>0.82712426052308263</v>
      </c>
      <c r="J8" s="11"/>
      <c r="K8" s="11"/>
      <c r="L8" s="11"/>
      <c r="M8" s="11"/>
      <c r="N8" s="11"/>
      <c r="O8" s="11"/>
      <c r="P8" s="11"/>
    </row>
    <row r="9" spans="1:19">
      <c r="A9" s="6">
        <v>10303</v>
      </c>
      <c r="B9" s="6" t="s">
        <v>27</v>
      </c>
      <c r="C9" s="7">
        <v>0</v>
      </c>
      <c r="D9" s="7">
        <v>0</v>
      </c>
      <c r="E9" s="7">
        <v>0</v>
      </c>
      <c r="F9" s="7">
        <v>0</v>
      </c>
      <c r="G9" s="9"/>
      <c r="H9" s="9"/>
    </row>
    <row r="10" spans="1:19">
      <c r="A10" s="6">
        <v>10304</v>
      </c>
      <c r="B10" s="6" t="s">
        <v>28</v>
      </c>
      <c r="C10" s="7">
        <v>0</v>
      </c>
      <c r="D10" s="7">
        <v>0</v>
      </c>
      <c r="E10" s="7">
        <v>0</v>
      </c>
      <c r="F10" s="7">
        <v>0</v>
      </c>
      <c r="G10" s="9"/>
      <c r="H10" s="18" t="s">
        <v>29</v>
      </c>
      <c r="I10" s="12"/>
      <c r="J10" s="12"/>
      <c r="K10" s="12"/>
      <c r="L10" s="12"/>
      <c r="M10" s="12"/>
      <c r="N10" s="12"/>
      <c r="O10" s="12"/>
      <c r="P10" s="12"/>
    </row>
    <row r="11" spans="1:19">
      <c r="A11" s="6">
        <v>10401</v>
      </c>
      <c r="B11" s="6" t="s">
        <v>30</v>
      </c>
      <c r="C11" s="7">
        <v>0</v>
      </c>
      <c r="D11" s="7">
        <v>0</v>
      </c>
      <c r="E11" s="7">
        <v>0</v>
      </c>
      <c r="F11" s="7">
        <v>0</v>
      </c>
      <c r="G11" s="9"/>
      <c r="H11" s="9"/>
      <c r="I11" s="12" t="s">
        <v>31</v>
      </c>
      <c r="J11" s="12" t="s">
        <v>32</v>
      </c>
    </row>
    <row r="12" spans="1:19" ht="15.75" customHeight="1">
      <c r="A12" s="6">
        <v>10402</v>
      </c>
      <c r="B12" s="6" t="s">
        <v>33</v>
      </c>
      <c r="C12" s="7">
        <v>0</v>
      </c>
      <c r="D12" s="7">
        <v>0</v>
      </c>
      <c r="E12" s="7">
        <v>0</v>
      </c>
      <c r="F12" s="7">
        <v>0</v>
      </c>
      <c r="G12" s="9"/>
      <c r="H12" s="13" t="s">
        <v>18</v>
      </c>
      <c r="I12" s="14">
        <v>404422</v>
      </c>
      <c r="J12" s="15">
        <v>0</v>
      </c>
      <c r="K12" s="15"/>
      <c r="L12" s="16"/>
      <c r="M12" s="16"/>
      <c r="N12" s="16"/>
      <c r="O12" s="16"/>
      <c r="P12" s="15"/>
    </row>
    <row r="13" spans="1:19" ht="15.75" customHeight="1">
      <c r="A13" s="6">
        <v>10403</v>
      </c>
      <c r="B13" s="6" t="s">
        <v>34</v>
      </c>
      <c r="C13" s="7">
        <v>0</v>
      </c>
      <c r="D13" s="7">
        <v>0</v>
      </c>
      <c r="E13" s="7">
        <v>0</v>
      </c>
      <c r="F13" s="7">
        <v>0</v>
      </c>
      <c r="G13" s="9"/>
      <c r="H13" s="13" t="s">
        <v>20</v>
      </c>
      <c r="I13" s="14">
        <v>713321</v>
      </c>
      <c r="J13" s="15">
        <v>332442</v>
      </c>
      <c r="K13" s="15"/>
      <c r="L13" s="15"/>
      <c r="M13" s="15"/>
      <c r="N13" s="15"/>
      <c r="O13" s="15"/>
      <c r="P13" s="15"/>
    </row>
    <row r="14" spans="1:19" ht="15.75" customHeight="1">
      <c r="A14" s="6">
        <v>10404</v>
      </c>
      <c r="B14" s="6" t="s">
        <v>35</v>
      </c>
      <c r="C14" s="7">
        <v>0</v>
      </c>
      <c r="D14" s="7">
        <v>0</v>
      </c>
      <c r="E14" s="7">
        <v>0</v>
      </c>
      <c r="F14" s="7">
        <v>0</v>
      </c>
      <c r="G14" s="9"/>
      <c r="H14" s="13" t="s">
        <v>22</v>
      </c>
      <c r="I14" s="15">
        <f t="shared" ref="I14:I15" si="1">+SUM(I12:J12)</f>
        <v>404422</v>
      </c>
      <c r="J14" s="11"/>
      <c r="K14" s="11"/>
      <c r="L14" s="11"/>
      <c r="M14" s="11"/>
      <c r="N14" s="11"/>
      <c r="O14" s="11"/>
      <c r="P14" s="11"/>
    </row>
    <row r="15" spans="1:19" ht="15.75" customHeight="1">
      <c r="A15" s="6">
        <v>10405</v>
      </c>
      <c r="B15" s="6" t="s">
        <v>36</v>
      </c>
      <c r="C15" s="7">
        <v>0</v>
      </c>
      <c r="D15" s="7">
        <v>0</v>
      </c>
      <c r="E15" s="7">
        <v>0</v>
      </c>
      <c r="F15" s="7">
        <v>0</v>
      </c>
      <c r="G15" s="9"/>
      <c r="H15" s="13" t="s">
        <v>24</v>
      </c>
      <c r="I15" s="15">
        <f t="shared" si="1"/>
        <v>1045763</v>
      </c>
      <c r="J15" s="16">
        <f>+I15*0.8</f>
        <v>836610.4</v>
      </c>
      <c r="K15" s="11"/>
      <c r="L15" s="11"/>
      <c r="M15" s="11"/>
      <c r="N15" s="11"/>
      <c r="O15" s="11"/>
      <c r="P15" s="11"/>
    </row>
    <row r="16" spans="1:19" ht="15.75" customHeight="1">
      <c r="A16" s="6">
        <v>10501</v>
      </c>
      <c r="B16" s="6" t="s">
        <v>37</v>
      </c>
      <c r="C16" s="7">
        <v>0</v>
      </c>
      <c r="D16" s="7">
        <v>0</v>
      </c>
      <c r="E16" s="7">
        <v>0</v>
      </c>
      <c r="F16" s="7">
        <v>0</v>
      </c>
      <c r="G16" s="9"/>
      <c r="H16" s="13" t="s">
        <v>26</v>
      </c>
      <c r="I16" s="17">
        <f>+I14/J15</f>
        <v>0.48340541786236457</v>
      </c>
      <c r="J16" s="11"/>
      <c r="K16" s="11"/>
      <c r="L16" s="11"/>
      <c r="M16" s="11"/>
      <c r="N16" s="11"/>
      <c r="O16" s="11"/>
      <c r="P16" s="11"/>
    </row>
    <row r="17" spans="1:19">
      <c r="A17" s="6">
        <v>10502</v>
      </c>
      <c r="B17" s="6" t="s">
        <v>38</v>
      </c>
      <c r="C17" s="7">
        <v>0</v>
      </c>
      <c r="D17" s="7">
        <v>0</v>
      </c>
      <c r="E17" s="7">
        <v>0</v>
      </c>
      <c r="F17" s="7">
        <v>0</v>
      </c>
      <c r="G17" s="9"/>
      <c r="H17" s="9"/>
    </row>
    <row r="18" spans="1:19">
      <c r="A18" s="6">
        <v>10601</v>
      </c>
      <c r="B18" s="6" t="s">
        <v>39</v>
      </c>
      <c r="C18" s="7">
        <v>0</v>
      </c>
      <c r="D18" s="7">
        <v>0</v>
      </c>
      <c r="E18" s="7">
        <v>0</v>
      </c>
      <c r="F18" s="7">
        <v>0</v>
      </c>
      <c r="G18" s="9"/>
      <c r="H18" s="18" t="s">
        <v>40</v>
      </c>
      <c r="I18" s="12"/>
      <c r="J18" s="12"/>
    </row>
    <row r="19" spans="1:19">
      <c r="A19" s="6">
        <v>10602</v>
      </c>
      <c r="B19" s="6" t="s">
        <v>41</v>
      </c>
      <c r="C19" s="7">
        <v>0</v>
      </c>
      <c r="D19" s="7">
        <v>0</v>
      </c>
      <c r="E19" s="7">
        <v>0</v>
      </c>
      <c r="F19" s="7">
        <v>0</v>
      </c>
      <c r="G19" s="9"/>
      <c r="H19" s="9"/>
      <c r="I19" s="12" t="s">
        <v>31</v>
      </c>
    </row>
    <row r="20" spans="1:19" ht="15">
      <c r="A20" s="6">
        <v>10701</v>
      </c>
      <c r="B20" s="6" t="s">
        <v>42</v>
      </c>
      <c r="C20" s="7">
        <v>0</v>
      </c>
      <c r="D20" s="7">
        <v>0</v>
      </c>
      <c r="E20" s="7">
        <v>0</v>
      </c>
      <c r="F20" s="7">
        <v>0</v>
      </c>
      <c r="G20" s="9"/>
      <c r="H20" s="13" t="s">
        <v>18</v>
      </c>
      <c r="I20" s="14">
        <v>4573543.3</v>
      </c>
      <c r="J20" s="15"/>
    </row>
    <row r="21" spans="1:19" ht="15">
      <c r="A21" s="6">
        <v>10702</v>
      </c>
      <c r="B21" s="6" t="s">
        <v>43</v>
      </c>
      <c r="C21" s="7">
        <v>0</v>
      </c>
      <c r="D21" s="7">
        <v>0</v>
      </c>
      <c r="E21" s="7">
        <v>0</v>
      </c>
      <c r="F21" s="7">
        <v>0</v>
      </c>
      <c r="G21" s="9"/>
      <c r="H21" s="13" t="s">
        <v>20</v>
      </c>
      <c r="I21" s="14">
        <v>4392528</v>
      </c>
      <c r="J21" s="16">
        <f>+I21*0.8</f>
        <v>3514022.4000000004</v>
      </c>
    </row>
    <row r="22" spans="1:19" ht="15">
      <c r="A22" s="6">
        <v>10703</v>
      </c>
      <c r="B22" s="6" t="s">
        <v>44</v>
      </c>
      <c r="C22" s="7">
        <v>0</v>
      </c>
      <c r="D22" s="7">
        <v>0</v>
      </c>
      <c r="E22" s="7">
        <v>0</v>
      </c>
      <c r="F22" s="7">
        <v>0</v>
      </c>
      <c r="G22" s="9"/>
      <c r="H22" s="13" t="s">
        <v>26</v>
      </c>
      <c r="I22" s="17">
        <f>+I20/J21</f>
        <v>1.3015122783508719</v>
      </c>
      <c r="J22" s="11"/>
    </row>
    <row r="23" spans="1:19" ht="15">
      <c r="A23" s="6">
        <v>10704</v>
      </c>
      <c r="B23" s="6" t="s">
        <v>45</v>
      </c>
      <c r="C23" s="7">
        <v>0</v>
      </c>
      <c r="D23" s="7">
        <v>0</v>
      </c>
      <c r="E23" s="7">
        <v>0</v>
      </c>
      <c r="F23" s="7">
        <v>0</v>
      </c>
      <c r="G23" s="9"/>
      <c r="H23" s="13"/>
      <c r="I23" s="16"/>
    </row>
    <row r="24" spans="1:19" ht="15">
      <c r="A24" s="6">
        <v>10801</v>
      </c>
      <c r="B24" s="6" t="s">
        <v>46</v>
      </c>
      <c r="C24" s="7">
        <v>0</v>
      </c>
      <c r="D24" s="7">
        <v>0</v>
      </c>
      <c r="E24" s="7">
        <v>0</v>
      </c>
      <c r="F24" s="7">
        <v>0</v>
      </c>
      <c r="G24" s="9"/>
      <c r="H24" s="9"/>
      <c r="J24" s="11"/>
    </row>
    <row r="25" spans="1:19" ht="12.75">
      <c r="A25" s="6">
        <v>10901</v>
      </c>
      <c r="B25" s="6" t="s">
        <v>47</v>
      </c>
      <c r="C25" s="7">
        <v>0</v>
      </c>
      <c r="D25" s="7">
        <v>0</v>
      </c>
      <c r="E25" s="7">
        <v>0</v>
      </c>
      <c r="F25" s="7">
        <v>0</v>
      </c>
      <c r="G25" s="9"/>
      <c r="H25" s="9"/>
    </row>
    <row r="26" spans="1:19" ht="12.75">
      <c r="A26" s="6">
        <v>10902</v>
      </c>
      <c r="B26" s="6" t="s">
        <v>48</v>
      </c>
      <c r="C26" s="7">
        <v>0</v>
      </c>
      <c r="D26" s="7">
        <v>0</v>
      </c>
      <c r="E26" s="7">
        <v>0</v>
      </c>
      <c r="F26" s="7">
        <v>0</v>
      </c>
      <c r="G26" s="9"/>
      <c r="H26" s="9"/>
    </row>
    <row r="27" spans="1:19" ht="12.75">
      <c r="A27" s="6">
        <v>10903</v>
      </c>
      <c r="B27" s="6" t="s">
        <v>49</v>
      </c>
      <c r="C27" s="7">
        <v>0</v>
      </c>
      <c r="D27" s="7">
        <v>0</v>
      </c>
      <c r="E27" s="7">
        <v>0</v>
      </c>
      <c r="F27" s="7">
        <v>0</v>
      </c>
      <c r="G27" s="9"/>
      <c r="H27" s="19">
        <v>2024</v>
      </c>
    </row>
    <row r="28" spans="1:19" ht="15">
      <c r="A28" s="6">
        <v>11001</v>
      </c>
      <c r="B28" s="6" t="s">
        <v>50</v>
      </c>
      <c r="C28" s="7">
        <v>0</v>
      </c>
      <c r="D28" s="7">
        <v>0</v>
      </c>
      <c r="E28" s="7">
        <v>0</v>
      </c>
      <c r="F28" s="7">
        <v>0</v>
      </c>
      <c r="G28" s="9"/>
      <c r="H28" s="10" t="s">
        <v>7</v>
      </c>
      <c r="I28" s="11"/>
      <c r="J28" s="11"/>
      <c r="K28" s="11"/>
      <c r="L28" s="11"/>
      <c r="M28" s="11"/>
      <c r="N28" s="11"/>
      <c r="O28" s="11"/>
      <c r="P28" s="11"/>
    </row>
    <row r="29" spans="1:19" ht="12.75">
      <c r="A29" s="6">
        <v>11002</v>
      </c>
      <c r="B29" s="6" t="s">
        <v>51</v>
      </c>
      <c r="C29" s="7">
        <v>0</v>
      </c>
      <c r="D29" s="7">
        <v>0</v>
      </c>
      <c r="E29" s="7">
        <v>0</v>
      </c>
      <c r="F29" s="7">
        <v>0</v>
      </c>
      <c r="G29" s="9"/>
      <c r="H29" s="9"/>
      <c r="I29" s="12" t="s">
        <v>9</v>
      </c>
      <c r="J29" s="12" t="s">
        <v>10</v>
      </c>
      <c r="K29" s="12" t="s">
        <v>11</v>
      </c>
      <c r="L29" s="12" t="s">
        <v>12</v>
      </c>
      <c r="M29" s="12" t="s">
        <v>13</v>
      </c>
      <c r="N29" s="12" t="s">
        <v>14</v>
      </c>
      <c r="O29" s="12" t="s">
        <v>15</v>
      </c>
      <c r="P29" s="12" t="s">
        <v>16</v>
      </c>
      <c r="Q29" s="12" t="s">
        <v>52</v>
      </c>
      <c r="R29" s="12" t="s">
        <v>53</v>
      </c>
      <c r="S29" s="12" t="s">
        <v>54</v>
      </c>
    </row>
    <row r="30" spans="1:19" ht="15">
      <c r="A30" s="6">
        <v>11003</v>
      </c>
      <c r="B30" s="6" t="s">
        <v>55</v>
      </c>
      <c r="C30" s="7">
        <v>0</v>
      </c>
      <c r="D30" s="7">
        <v>0</v>
      </c>
      <c r="E30" s="7">
        <v>0</v>
      </c>
      <c r="F30" s="7">
        <v>0</v>
      </c>
      <c r="G30" s="9"/>
      <c r="H30" s="13" t="s">
        <v>18</v>
      </c>
      <c r="I30" s="14">
        <v>61892173.439999998</v>
      </c>
      <c r="J30" s="15">
        <v>6710239</v>
      </c>
      <c r="K30" s="15">
        <v>1762052</v>
      </c>
      <c r="L30" s="15">
        <v>5010756.4800000004</v>
      </c>
      <c r="M30" s="16">
        <v>0</v>
      </c>
      <c r="N30" s="16">
        <v>0</v>
      </c>
      <c r="O30" s="16">
        <v>0</v>
      </c>
      <c r="P30" s="15">
        <v>625228</v>
      </c>
      <c r="Q30" s="12">
        <v>0</v>
      </c>
      <c r="R30" s="12">
        <v>0</v>
      </c>
      <c r="S30" s="20">
        <v>281894</v>
      </c>
    </row>
    <row r="31" spans="1:19" ht="15">
      <c r="A31" s="6">
        <v>20101</v>
      </c>
      <c r="B31" s="6" t="s">
        <v>56</v>
      </c>
      <c r="C31" s="7">
        <v>0</v>
      </c>
      <c r="D31" s="7">
        <v>0</v>
      </c>
      <c r="E31" s="7">
        <v>0</v>
      </c>
      <c r="F31" s="8">
        <v>0</v>
      </c>
      <c r="G31" s="9"/>
      <c r="H31" s="13" t="s">
        <v>20</v>
      </c>
      <c r="I31" s="14">
        <v>70607530</v>
      </c>
      <c r="J31" s="15">
        <v>7055510</v>
      </c>
      <c r="K31" s="15">
        <v>3919373</v>
      </c>
      <c r="L31" s="15">
        <v>6720886</v>
      </c>
      <c r="M31" s="15">
        <v>0</v>
      </c>
      <c r="N31" s="15">
        <v>4688004</v>
      </c>
      <c r="O31" s="15">
        <v>1094338</v>
      </c>
      <c r="P31" s="15">
        <v>983286</v>
      </c>
      <c r="Q31" s="20">
        <v>424762</v>
      </c>
      <c r="R31" s="20">
        <v>171960</v>
      </c>
      <c r="S31" s="20">
        <v>696797</v>
      </c>
    </row>
    <row r="32" spans="1:19" ht="15">
      <c r="A32" s="6">
        <v>20102</v>
      </c>
      <c r="B32" s="6" t="s">
        <v>57</v>
      </c>
      <c r="C32" s="7">
        <v>0</v>
      </c>
      <c r="D32" s="7">
        <v>0</v>
      </c>
      <c r="E32" s="7">
        <v>0</v>
      </c>
      <c r="F32" s="7">
        <v>0</v>
      </c>
      <c r="G32" s="9"/>
      <c r="H32" s="13" t="s">
        <v>22</v>
      </c>
      <c r="I32" s="15">
        <f t="shared" ref="I32:I33" si="2">+SUM(I30:S30)</f>
        <v>76282342.920000002</v>
      </c>
      <c r="J32" s="11"/>
      <c r="K32" s="11"/>
      <c r="L32" s="11"/>
      <c r="M32" s="11"/>
      <c r="N32" s="11"/>
      <c r="O32" s="11"/>
      <c r="P32" s="11"/>
    </row>
    <row r="33" spans="1:16" ht="15">
      <c r="A33" s="6">
        <v>20103</v>
      </c>
      <c r="B33" s="6" t="s">
        <v>58</v>
      </c>
      <c r="C33" s="7">
        <v>0</v>
      </c>
      <c r="D33" s="7">
        <v>0</v>
      </c>
      <c r="E33" s="7">
        <v>0</v>
      </c>
      <c r="F33" s="7">
        <v>0</v>
      </c>
      <c r="G33" s="9"/>
      <c r="H33" s="13" t="s">
        <v>24</v>
      </c>
      <c r="I33" s="15">
        <f t="shared" si="2"/>
        <v>96362446</v>
      </c>
      <c r="J33" s="16">
        <f>+I33*0.8</f>
        <v>77089956.799999997</v>
      </c>
      <c r="K33" s="11"/>
      <c r="L33" s="11"/>
      <c r="M33" s="11"/>
      <c r="N33" s="11"/>
      <c r="O33" s="11"/>
      <c r="P33" s="11"/>
    </row>
    <row r="34" spans="1:16" ht="15">
      <c r="A34" s="6">
        <v>20104</v>
      </c>
      <c r="B34" s="6" t="s">
        <v>59</v>
      </c>
      <c r="C34" s="7">
        <v>0</v>
      </c>
      <c r="D34" s="7">
        <v>0</v>
      </c>
      <c r="E34" s="7">
        <v>0</v>
      </c>
      <c r="F34" s="7">
        <v>0</v>
      </c>
      <c r="G34" s="9"/>
      <c r="H34" s="13" t="s">
        <v>26</v>
      </c>
      <c r="I34" s="17">
        <f>+I32/J33</f>
        <v>0.98952374714523128</v>
      </c>
      <c r="J34" s="11"/>
      <c r="K34" s="11"/>
      <c r="L34" s="11"/>
      <c r="M34" s="11"/>
      <c r="N34" s="11"/>
      <c r="O34" s="11"/>
      <c r="P34" s="11"/>
    </row>
    <row r="35" spans="1:16" ht="12.75">
      <c r="A35" s="6">
        <v>20105</v>
      </c>
      <c r="B35" s="6" t="s">
        <v>60</v>
      </c>
      <c r="C35" s="7">
        <v>26.44</v>
      </c>
      <c r="D35" s="8">
        <v>10911456</v>
      </c>
      <c r="E35" s="7">
        <v>39.619999999999997</v>
      </c>
      <c r="F35" s="8">
        <v>19651291.780000001</v>
      </c>
      <c r="G35" s="9"/>
      <c r="H35" s="9"/>
    </row>
    <row r="36" spans="1:16" ht="12.75">
      <c r="A36" s="6">
        <v>20201</v>
      </c>
      <c r="B36" s="6" t="s">
        <v>61</v>
      </c>
      <c r="C36" s="7">
        <v>0</v>
      </c>
      <c r="D36" s="7">
        <v>0</v>
      </c>
      <c r="E36" s="7">
        <v>0</v>
      </c>
      <c r="F36" s="7">
        <v>0</v>
      </c>
      <c r="G36" s="9"/>
      <c r="H36" s="18" t="s">
        <v>29</v>
      </c>
      <c r="I36" s="12"/>
      <c r="J36" s="12"/>
      <c r="K36" s="12"/>
    </row>
    <row r="37" spans="1:16" ht="12.75">
      <c r="A37" s="6">
        <v>20202</v>
      </c>
      <c r="B37" s="6" t="s">
        <v>62</v>
      </c>
      <c r="C37" s="7">
        <v>0</v>
      </c>
      <c r="D37" s="7">
        <v>0</v>
      </c>
      <c r="E37" s="7">
        <v>0</v>
      </c>
      <c r="F37" s="7">
        <v>0</v>
      </c>
      <c r="G37" s="9"/>
      <c r="H37" s="9"/>
      <c r="I37" s="12" t="s">
        <v>31</v>
      </c>
      <c r="J37" s="12" t="s">
        <v>32</v>
      </c>
    </row>
    <row r="38" spans="1:16" ht="15">
      <c r="A38" s="6">
        <v>20204</v>
      </c>
      <c r="B38" s="6" t="s">
        <v>63</v>
      </c>
      <c r="C38" s="7">
        <v>0</v>
      </c>
      <c r="D38" s="7">
        <v>0</v>
      </c>
      <c r="E38" s="7">
        <v>0</v>
      </c>
      <c r="F38" s="7">
        <v>0</v>
      </c>
      <c r="G38" s="9"/>
      <c r="H38" s="13" t="s">
        <v>18</v>
      </c>
      <c r="I38" s="14">
        <v>303487</v>
      </c>
      <c r="J38" s="15">
        <v>0</v>
      </c>
      <c r="K38" s="15"/>
    </row>
    <row r="39" spans="1:16" ht="15">
      <c r="A39" s="6">
        <v>20205</v>
      </c>
      <c r="B39" s="6" t="s">
        <v>64</v>
      </c>
      <c r="C39" s="7">
        <v>0</v>
      </c>
      <c r="D39" s="7">
        <v>0</v>
      </c>
      <c r="E39" s="7">
        <v>0</v>
      </c>
      <c r="F39" s="7">
        <v>0</v>
      </c>
      <c r="G39" s="9"/>
      <c r="H39" s="13" t="s">
        <v>20</v>
      </c>
      <c r="I39" s="14">
        <v>1009875</v>
      </c>
      <c r="J39" s="15">
        <v>540613</v>
      </c>
      <c r="K39" s="15"/>
    </row>
    <row r="40" spans="1:16" ht="15">
      <c r="A40" s="6">
        <v>20206</v>
      </c>
      <c r="B40" s="6" t="s">
        <v>65</v>
      </c>
      <c r="C40" s="7">
        <v>0</v>
      </c>
      <c r="D40" s="7">
        <v>0</v>
      </c>
      <c r="E40" s="7">
        <v>0</v>
      </c>
      <c r="F40" s="7">
        <v>0</v>
      </c>
      <c r="G40" s="9"/>
      <c r="H40" s="13" t="s">
        <v>22</v>
      </c>
      <c r="I40" s="15">
        <f t="shared" ref="I40:I41" si="3">+SUM(I38:J38)</f>
        <v>303487</v>
      </c>
      <c r="J40" s="11"/>
      <c r="K40" s="11"/>
    </row>
    <row r="41" spans="1:16" ht="15">
      <c r="A41" s="6">
        <v>20203</v>
      </c>
      <c r="B41" s="6" t="s">
        <v>66</v>
      </c>
      <c r="C41" s="7">
        <v>0</v>
      </c>
      <c r="D41" s="7">
        <v>0</v>
      </c>
      <c r="E41" s="7">
        <v>0</v>
      </c>
      <c r="F41" s="7">
        <v>0</v>
      </c>
      <c r="G41" s="9"/>
      <c r="H41" s="13" t="s">
        <v>24</v>
      </c>
      <c r="I41" s="15">
        <f t="shared" si="3"/>
        <v>1550488</v>
      </c>
      <c r="J41" s="16">
        <f>+I41*0.8</f>
        <v>1240390.4000000001</v>
      </c>
      <c r="K41" s="11"/>
    </row>
    <row r="42" spans="1:16" ht="15">
      <c r="A42" s="6">
        <v>20301</v>
      </c>
      <c r="B42" s="6" t="s">
        <v>67</v>
      </c>
      <c r="C42" s="7">
        <v>0</v>
      </c>
      <c r="D42" s="7">
        <v>0</v>
      </c>
      <c r="E42" s="7">
        <v>0</v>
      </c>
      <c r="F42" s="7">
        <v>0</v>
      </c>
      <c r="G42" s="9"/>
      <c r="H42" s="13" t="s">
        <v>26</v>
      </c>
      <c r="I42" s="17">
        <f>+I40/J41</f>
        <v>0.24467054888525416</v>
      </c>
      <c r="J42" s="11"/>
      <c r="K42" s="11"/>
    </row>
    <row r="43" spans="1:16" ht="12.75">
      <c r="A43" s="6">
        <v>20302</v>
      </c>
      <c r="B43" s="6" t="s">
        <v>68</v>
      </c>
      <c r="C43" s="7">
        <v>0</v>
      </c>
      <c r="D43" s="7">
        <v>0</v>
      </c>
      <c r="E43" s="7">
        <v>0</v>
      </c>
      <c r="F43" s="7">
        <v>0</v>
      </c>
      <c r="G43" s="9"/>
      <c r="H43" s="9"/>
    </row>
    <row r="44" spans="1:16" ht="12.75">
      <c r="A44" s="6">
        <v>20303</v>
      </c>
      <c r="B44" s="6" t="s">
        <v>69</v>
      </c>
      <c r="C44" s="7">
        <v>0</v>
      </c>
      <c r="D44" s="7">
        <v>0</v>
      </c>
      <c r="E44" s="7">
        <v>0</v>
      </c>
      <c r="F44" s="7">
        <v>0</v>
      </c>
      <c r="G44" s="9"/>
      <c r="H44" s="18" t="s">
        <v>70</v>
      </c>
      <c r="I44" s="12"/>
      <c r="J44" s="12"/>
      <c r="K44" s="12"/>
    </row>
    <row r="45" spans="1:16" ht="12.75">
      <c r="A45" s="6">
        <v>20304</v>
      </c>
      <c r="B45" s="6" t="s">
        <v>71</v>
      </c>
      <c r="C45" s="7">
        <v>0</v>
      </c>
      <c r="D45" s="7">
        <v>0</v>
      </c>
      <c r="E45" s="7">
        <v>0</v>
      </c>
      <c r="F45" s="7">
        <v>0</v>
      </c>
      <c r="G45" s="9"/>
      <c r="H45" s="9"/>
      <c r="I45" s="12" t="s">
        <v>72</v>
      </c>
      <c r="J45" s="12" t="s">
        <v>73</v>
      </c>
      <c r="K45" s="12" t="s">
        <v>74</v>
      </c>
      <c r="L45" s="12" t="s">
        <v>75</v>
      </c>
    </row>
    <row r="46" spans="1:16" ht="15">
      <c r="A46" s="6">
        <v>20305</v>
      </c>
      <c r="B46" s="6" t="s">
        <v>76</v>
      </c>
      <c r="C46" s="7">
        <v>0</v>
      </c>
      <c r="D46" s="7">
        <v>0</v>
      </c>
      <c r="E46" s="7">
        <v>0</v>
      </c>
      <c r="F46" s="7">
        <v>0</v>
      </c>
      <c r="G46" s="9"/>
      <c r="H46" s="13" t="s">
        <v>18</v>
      </c>
      <c r="I46" s="14">
        <v>0</v>
      </c>
      <c r="J46" s="15">
        <v>0</v>
      </c>
      <c r="K46" s="20">
        <v>414846</v>
      </c>
      <c r="L46" s="12">
        <v>0</v>
      </c>
    </row>
    <row r="47" spans="1:16" ht="15">
      <c r="A47" s="6">
        <v>20306</v>
      </c>
      <c r="B47" s="6" t="s">
        <v>77</v>
      </c>
      <c r="C47" s="7">
        <v>0</v>
      </c>
      <c r="D47" s="7">
        <v>0</v>
      </c>
      <c r="E47" s="7">
        <v>0</v>
      </c>
      <c r="F47" s="7">
        <v>0</v>
      </c>
      <c r="G47" s="9"/>
      <c r="H47" s="13" t="s">
        <v>20</v>
      </c>
      <c r="I47" s="14">
        <v>3023897</v>
      </c>
      <c r="J47" s="15">
        <v>990894</v>
      </c>
      <c r="K47" s="20">
        <v>912643</v>
      </c>
      <c r="L47" s="20">
        <v>137852</v>
      </c>
    </row>
    <row r="48" spans="1:16" ht="15">
      <c r="A48" s="6">
        <v>20307</v>
      </c>
      <c r="B48" s="6" t="s">
        <v>78</v>
      </c>
      <c r="C48" s="7">
        <v>0</v>
      </c>
      <c r="D48" s="7">
        <v>0</v>
      </c>
      <c r="E48" s="7">
        <v>0</v>
      </c>
      <c r="F48" s="7">
        <v>0</v>
      </c>
      <c r="G48" s="9"/>
      <c r="H48" s="13" t="s">
        <v>22</v>
      </c>
      <c r="I48" s="15">
        <f t="shared" ref="I48:I49" si="4">+SUM(I46:L46)</f>
        <v>414846</v>
      </c>
      <c r="J48" s="11"/>
      <c r="K48" s="11"/>
    </row>
    <row r="49" spans="1:11" ht="15">
      <c r="A49" s="6">
        <v>20308</v>
      </c>
      <c r="B49" s="6" t="s">
        <v>79</v>
      </c>
      <c r="C49" s="7">
        <v>0</v>
      </c>
      <c r="D49" s="7">
        <v>0</v>
      </c>
      <c r="E49" s="7">
        <v>0</v>
      </c>
      <c r="F49" s="7">
        <v>0</v>
      </c>
      <c r="G49" s="9"/>
      <c r="H49" s="13" t="s">
        <v>24</v>
      </c>
      <c r="I49" s="15">
        <f t="shared" si="4"/>
        <v>5065286</v>
      </c>
      <c r="J49" s="16">
        <f>+I49*0.8</f>
        <v>4052228.8000000003</v>
      </c>
      <c r="K49" s="11"/>
    </row>
    <row r="50" spans="1:11" ht="15">
      <c r="A50" s="6">
        <v>20401</v>
      </c>
      <c r="B50" s="6" t="s">
        <v>80</v>
      </c>
      <c r="C50" s="7">
        <v>0</v>
      </c>
      <c r="D50" s="7">
        <v>0</v>
      </c>
      <c r="E50" s="7">
        <v>0</v>
      </c>
      <c r="F50" s="7">
        <v>0</v>
      </c>
      <c r="G50" s="9"/>
      <c r="H50" s="13" t="s">
        <v>26</v>
      </c>
      <c r="I50" s="17">
        <f>+I48/J49</f>
        <v>0.10237477212540416</v>
      </c>
      <c r="J50" s="11"/>
      <c r="K50" s="11"/>
    </row>
    <row r="51" spans="1:11" ht="12.75">
      <c r="A51" s="6">
        <v>20402</v>
      </c>
      <c r="B51" s="6" t="s">
        <v>81</v>
      </c>
      <c r="C51" s="7">
        <v>0</v>
      </c>
      <c r="D51" s="7">
        <v>0</v>
      </c>
      <c r="E51" s="7">
        <v>0</v>
      </c>
      <c r="F51" s="7">
        <v>0</v>
      </c>
      <c r="G51" s="9"/>
      <c r="H51" s="9"/>
    </row>
    <row r="52" spans="1:11" ht="12.75">
      <c r="A52" s="6">
        <v>20403</v>
      </c>
      <c r="B52" s="6" t="s">
        <v>82</v>
      </c>
      <c r="C52" s="7">
        <v>0</v>
      </c>
      <c r="D52" s="7">
        <v>0</v>
      </c>
      <c r="E52" s="7">
        <v>0</v>
      </c>
      <c r="F52" s="7">
        <v>0</v>
      </c>
      <c r="G52" s="9"/>
      <c r="H52" s="18" t="s">
        <v>83</v>
      </c>
    </row>
    <row r="53" spans="1:11" ht="12.75">
      <c r="A53" s="6">
        <v>20404</v>
      </c>
      <c r="B53" s="6" t="s">
        <v>84</v>
      </c>
      <c r="C53" s="7">
        <v>0</v>
      </c>
      <c r="D53" s="7">
        <v>0</v>
      </c>
      <c r="E53" s="7">
        <v>0</v>
      </c>
      <c r="F53" s="7">
        <v>0</v>
      </c>
      <c r="G53" s="9"/>
      <c r="H53" s="9"/>
      <c r="I53" s="12" t="s">
        <v>85</v>
      </c>
      <c r="J53" s="12" t="s">
        <v>86</v>
      </c>
    </row>
    <row r="54" spans="1:11" ht="15">
      <c r="A54" s="6">
        <v>20405</v>
      </c>
      <c r="B54" s="6" t="s">
        <v>87</v>
      </c>
      <c r="C54" s="7">
        <v>0</v>
      </c>
      <c r="D54" s="7">
        <v>0</v>
      </c>
      <c r="E54" s="7">
        <v>0</v>
      </c>
      <c r="F54" s="7">
        <v>0</v>
      </c>
      <c r="G54" s="9"/>
      <c r="H54" s="13" t="s">
        <v>18</v>
      </c>
      <c r="I54" s="14">
        <v>257218</v>
      </c>
      <c r="J54" s="15">
        <v>0</v>
      </c>
      <c r="K54" s="20"/>
    </row>
    <row r="55" spans="1:11" ht="15">
      <c r="A55" s="6">
        <v>20501</v>
      </c>
      <c r="B55" s="6" t="s">
        <v>88</v>
      </c>
      <c r="C55" s="7">
        <v>0</v>
      </c>
      <c r="D55" s="7">
        <v>0</v>
      </c>
      <c r="E55" s="7">
        <v>0</v>
      </c>
      <c r="F55" s="7">
        <v>0</v>
      </c>
      <c r="G55" s="9"/>
      <c r="H55" s="13" t="s">
        <v>20</v>
      </c>
      <c r="I55" s="14">
        <v>367356</v>
      </c>
      <c r="J55" s="15">
        <v>205800</v>
      </c>
      <c r="K55" s="20"/>
    </row>
    <row r="56" spans="1:11" ht="15">
      <c r="A56" s="6">
        <v>20502</v>
      </c>
      <c r="B56" s="6" t="s">
        <v>89</v>
      </c>
      <c r="C56" s="7">
        <v>0</v>
      </c>
      <c r="D56" s="7">
        <v>0</v>
      </c>
      <c r="E56" s="7">
        <v>0</v>
      </c>
      <c r="F56" s="7">
        <v>0</v>
      </c>
      <c r="G56" s="9"/>
      <c r="H56" s="13" t="s">
        <v>22</v>
      </c>
      <c r="I56" s="15">
        <f t="shared" ref="I56:I57" si="5">+SUM(I54:J54)</f>
        <v>257218</v>
      </c>
      <c r="J56" s="11"/>
      <c r="K56" s="11"/>
    </row>
    <row r="57" spans="1:11" ht="15">
      <c r="A57" s="6">
        <v>20503</v>
      </c>
      <c r="B57" s="6" t="s">
        <v>90</v>
      </c>
      <c r="C57" s="7">
        <v>0</v>
      </c>
      <c r="D57" s="7">
        <v>0</v>
      </c>
      <c r="E57" s="7">
        <v>0</v>
      </c>
      <c r="F57" s="7">
        <v>0</v>
      </c>
      <c r="G57" s="9"/>
      <c r="H57" s="13" t="s">
        <v>24</v>
      </c>
      <c r="I57" s="15">
        <f t="shared" si="5"/>
        <v>573156</v>
      </c>
      <c r="J57" s="16">
        <f>+I57*0.8</f>
        <v>458524.80000000005</v>
      </c>
      <c r="K57" s="11"/>
    </row>
    <row r="58" spans="1:11" ht="15">
      <c r="A58" s="6">
        <v>20601</v>
      </c>
      <c r="B58" s="6" t="s">
        <v>91</v>
      </c>
      <c r="C58" s="7">
        <v>0</v>
      </c>
      <c r="D58" s="7">
        <v>0</v>
      </c>
      <c r="E58" s="7">
        <v>0</v>
      </c>
      <c r="F58" s="7">
        <v>0</v>
      </c>
      <c r="G58" s="9"/>
      <c r="H58" s="13" t="s">
        <v>26</v>
      </c>
      <c r="I58" s="17">
        <f>+I56/J57</f>
        <v>0.56096856702189279</v>
      </c>
      <c r="J58" s="11"/>
      <c r="K58" s="11"/>
    </row>
    <row r="59" spans="1:11" ht="12.75">
      <c r="A59" s="6">
        <v>20602</v>
      </c>
      <c r="B59" s="6" t="s">
        <v>92</v>
      </c>
      <c r="C59" s="7">
        <v>0</v>
      </c>
      <c r="D59" s="7">
        <v>0</v>
      </c>
      <c r="E59" s="7">
        <v>0</v>
      </c>
      <c r="F59" s="7">
        <v>0</v>
      </c>
      <c r="G59" s="9"/>
      <c r="H59" s="9"/>
    </row>
    <row r="60" spans="1:11" ht="12.75">
      <c r="A60" s="6">
        <v>20603</v>
      </c>
      <c r="B60" s="6" t="s">
        <v>93</v>
      </c>
      <c r="C60" s="7">
        <v>0</v>
      </c>
      <c r="D60" s="7">
        <v>0</v>
      </c>
      <c r="E60" s="7">
        <v>0</v>
      </c>
      <c r="F60" s="7">
        <v>0</v>
      </c>
      <c r="G60" s="9"/>
      <c r="H60" s="18" t="s">
        <v>94</v>
      </c>
    </row>
    <row r="61" spans="1:11" ht="12.75">
      <c r="A61" s="6">
        <v>20604</v>
      </c>
      <c r="B61" s="6" t="s">
        <v>95</v>
      </c>
      <c r="C61" s="7">
        <v>0</v>
      </c>
      <c r="D61" s="7">
        <v>0</v>
      </c>
      <c r="E61" s="7">
        <v>0</v>
      </c>
      <c r="F61" s="7">
        <v>0</v>
      </c>
      <c r="G61" s="9"/>
      <c r="H61" s="9"/>
      <c r="I61" s="12" t="s">
        <v>96</v>
      </c>
      <c r="J61" s="12" t="s">
        <v>97</v>
      </c>
    </row>
    <row r="62" spans="1:11" ht="15">
      <c r="A62" s="6">
        <v>20605</v>
      </c>
      <c r="B62" s="6" t="s">
        <v>98</v>
      </c>
      <c r="C62" s="7">
        <v>0</v>
      </c>
      <c r="D62" s="7">
        <v>0</v>
      </c>
      <c r="E62" s="7">
        <v>0</v>
      </c>
      <c r="F62" s="7">
        <v>0</v>
      </c>
      <c r="G62" s="9"/>
      <c r="H62" s="13" t="s">
        <v>18</v>
      </c>
      <c r="I62" s="14">
        <v>143088</v>
      </c>
      <c r="J62" s="15">
        <v>0</v>
      </c>
    </row>
    <row r="63" spans="1:11" ht="15">
      <c r="A63" s="6">
        <v>20606</v>
      </c>
      <c r="B63" s="6" t="s">
        <v>99</v>
      </c>
      <c r="C63" s="7">
        <v>0</v>
      </c>
      <c r="D63" s="7">
        <v>0</v>
      </c>
      <c r="E63" s="7">
        <v>0</v>
      </c>
      <c r="F63" s="7">
        <v>0</v>
      </c>
      <c r="G63" s="9"/>
      <c r="H63" s="13" t="s">
        <v>20</v>
      </c>
      <c r="I63" s="14">
        <v>198171</v>
      </c>
      <c r="J63" s="15">
        <v>164837</v>
      </c>
    </row>
    <row r="64" spans="1:11" ht="15">
      <c r="A64" s="6">
        <v>20607</v>
      </c>
      <c r="B64" s="6" t="s">
        <v>100</v>
      </c>
      <c r="C64" s="7">
        <v>0</v>
      </c>
      <c r="D64" s="7">
        <v>0</v>
      </c>
      <c r="E64" s="7">
        <v>0</v>
      </c>
      <c r="F64" s="7">
        <v>0</v>
      </c>
      <c r="G64" s="9"/>
      <c r="H64" s="13" t="s">
        <v>22</v>
      </c>
      <c r="I64" s="15">
        <f t="shared" ref="I64:I65" si="6">+SUM(I62:J62)</f>
        <v>143088</v>
      </c>
      <c r="J64" s="11"/>
    </row>
    <row r="65" spans="1:11" ht="15">
      <c r="A65" s="6">
        <v>20608</v>
      </c>
      <c r="B65" s="6" t="s">
        <v>101</v>
      </c>
      <c r="C65" s="7">
        <v>0</v>
      </c>
      <c r="D65" s="7">
        <v>0</v>
      </c>
      <c r="E65" s="7">
        <v>0</v>
      </c>
      <c r="F65" s="7">
        <v>0</v>
      </c>
      <c r="G65" s="9"/>
      <c r="H65" s="13" t="s">
        <v>24</v>
      </c>
      <c r="I65" s="15">
        <f t="shared" si="6"/>
        <v>363008</v>
      </c>
      <c r="J65" s="16">
        <f>+I65*0.8</f>
        <v>290406.40000000002</v>
      </c>
    </row>
    <row r="66" spans="1:11" ht="15">
      <c r="A66" s="6">
        <v>20701</v>
      </c>
      <c r="B66" s="6" t="s">
        <v>102</v>
      </c>
      <c r="C66" s="7">
        <v>0</v>
      </c>
      <c r="D66" s="7">
        <v>0</v>
      </c>
      <c r="E66" s="7">
        <v>0</v>
      </c>
      <c r="F66" s="7">
        <v>0</v>
      </c>
      <c r="G66" s="9"/>
      <c r="H66" s="13" t="s">
        <v>26</v>
      </c>
      <c r="I66" s="17">
        <f>+I64/J65</f>
        <v>0.4927164139633286</v>
      </c>
      <c r="J66" s="11"/>
    </row>
    <row r="67" spans="1:11" ht="12.75">
      <c r="A67" s="6">
        <v>20702</v>
      </c>
      <c r="B67" s="6" t="s">
        <v>103</v>
      </c>
      <c r="C67" s="7">
        <v>0</v>
      </c>
      <c r="D67" s="7">
        <v>0</v>
      </c>
      <c r="E67" s="7">
        <v>0</v>
      </c>
      <c r="F67" s="7">
        <v>0</v>
      </c>
      <c r="G67" s="9"/>
      <c r="H67" s="9"/>
    </row>
    <row r="68" spans="1:11" ht="12.75">
      <c r="A68" s="6">
        <v>20801</v>
      </c>
      <c r="B68" s="6" t="s">
        <v>104</v>
      </c>
      <c r="C68" s="7">
        <v>0</v>
      </c>
      <c r="D68" s="7">
        <v>0</v>
      </c>
      <c r="E68" s="7">
        <v>117.07</v>
      </c>
      <c r="F68" s="8">
        <v>1069850</v>
      </c>
      <c r="G68" s="9"/>
      <c r="H68" s="9"/>
    </row>
    <row r="69" spans="1:11" ht="105">
      <c r="A69" s="6">
        <v>20802</v>
      </c>
      <c r="B69" s="6" t="s">
        <v>105</v>
      </c>
      <c r="C69" s="7">
        <v>0</v>
      </c>
      <c r="D69" s="7">
        <v>0</v>
      </c>
      <c r="E69" s="7">
        <v>0</v>
      </c>
      <c r="F69" s="7">
        <v>0</v>
      </c>
      <c r="G69" s="9"/>
      <c r="H69" s="21" t="s">
        <v>106</v>
      </c>
      <c r="I69" s="21" t="s">
        <v>107</v>
      </c>
      <c r="J69" s="2" t="s">
        <v>3</v>
      </c>
      <c r="K69" s="2" t="s">
        <v>5</v>
      </c>
    </row>
    <row r="70" spans="1:11" ht="12.75">
      <c r="A70" s="6">
        <v>20803</v>
      </c>
      <c r="B70" s="6" t="s">
        <v>108</v>
      </c>
      <c r="C70" s="7">
        <v>0</v>
      </c>
      <c r="D70" s="7">
        <v>0</v>
      </c>
      <c r="E70" s="7">
        <v>0</v>
      </c>
      <c r="F70" s="7">
        <v>0</v>
      </c>
      <c r="G70" s="9"/>
      <c r="H70" s="6">
        <v>1</v>
      </c>
      <c r="I70" s="7" t="s">
        <v>109</v>
      </c>
      <c r="J70" s="8">
        <f>SUM(D2:D30)</f>
        <v>3995786.4</v>
      </c>
      <c r="K70" s="8">
        <f>SUM(F2:F30)</f>
        <v>4203191.3</v>
      </c>
    </row>
    <row r="71" spans="1:11" ht="12.75">
      <c r="A71" s="6">
        <v>20804</v>
      </c>
      <c r="B71" s="6" t="s">
        <v>110</v>
      </c>
      <c r="C71" s="7">
        <v>0</v>
      </c>
      <c r="D71" s="7">
        <v>0</v>
      </c>
      <c r="E71" s="7">
        <v>0</v>
      </c>
      <c r="F71" s="7">
        <v>0</v>
      </c>
      <c r="G71" s="9"/>
      <c r="H71" s="6">
        <v>2</v>
      </c>
      <c r="I71" s="7" t="s">
        <v>111</v>
      </c>
      <c r="J71" s="7">
        <f>SUM(D31:D117)</f>
        <v>10911456</v>
      </c>
      <c r="K71" s="8">
        <f>SUM(F31:F117)</f>
        <v>20721141.780000001</v>
      </c>
    </row>
    <row r="72" spans="1:11" ht="12.75">
      <c r="A72" s="6">
        <v>20805</v>
      </c>
      <c r="B72" s="6" t="s">
        <v>112</v>
      </c>
      <c r="C72" s="7">
        <v>0</v>
      </c>
      <c r="D72" s="7">
        <v>0</v>
      </c>
      <c r="E72" s="7">
        <v>0</v>
      </c>
      <c r="F72" s="7">
        <v>0</v>
      </c>
      <c r="G72" s="9"/>
      <c r="H72" s="6">
        <v>3</v>
      </c>
      <c r="I72" s="7" t="s">
        <v>113</v>
      </c>
      <c r="J72" s="8">
        <f>SUM(D118:D165)</f>
        <v>15822263.220000001</v>
      </c>
      <c r="K72" s="8">
        <f>SUM(F118:F165)</f>
        <v>11857658.720000001</v>
      </c>
    </row>
    <row r="73" spans="1:11" ht="12.75">
      <c r="A73" s="6">
        <v>20806</v>
      </c>
      <c r="B73" s="6" t="s">
        <v>114</v>
      </c>
      <c r="C73" s="7">
        <v>0</v>
      </c>
      <c r="D73" s="7">
        <v>0</v>
      </c>
      <c r="E73" s="7">
        <v>0</v>
      </c>
      <c r="F73" s="7">
        <v>0</v>
      </c>
      <c r="G73" s="9"/>
      <c r="H73" s="6">
        <v>4</v>
      </c>
      <c r="I73" s="7" t="s">
        <v>115</v>
      </c>
      <c r="J73" s="7">
        <f>SUM(D166:D200)</f>
        <v>0</v>
      </c>
      <c r="K73" s="7">
        <f>SUM(F166:F200)</f>
        <v>496929.6</v>
      </c>
    </row>
    <row r="74" spans="1:11" ht="12.75">
      <c r="A74" s="6">
        <v>20807</v>
      </c>
      <c r="B74" s="6" t="s">
        <v>116</v>
      </c>
      <c r="C74" s="7">
        <v>0</v>
      </c>
      <c r="D74" s="7">
        <v>0</v>
      </c>
      <c r="E74" s="7">
        <v>0</v>
      </c>
      <c r="F74" s="7">
        <v>0</v>
      </c>
      <c r="G74" s="9"/>
      <c r="H74" s="6">
        <v>5</v>
      </c>
      <c r="I74" s="7" t="s">
        <v>117</v>
      </c>
      <c r="J74" s="7">
        <f>SUM(D201:D242)</f>
        <v>0</v>
      </c>
      <c r="K74" s="7">
        <f>SUM(F201:F242)</f>
        <v>247977.34</v>
      </c>
    </row>
    <row r="75" spans="1:11" ht="12.75">
      <c r="A75" s="6">
        <v>20901</v>
      </c>
      <c r="B75" s="6" t="s">
        <v>118</v>
      </c>
      <c r="C75" s="7">
        <v>0</v>
      </c>
      <c r="D75" s="7">
        <v>0</v>
      </c>
      <c r="E75" s="7">
        <v>0</v>
      </c>
      <c r="F75" s="7">
        <v>0</v>
      </c>
      <c r="G75" s="9"/>
      <c r="H75" s="6">
        <v>6</v>
      </c>
      <c r="I75" s="7" t="s">
        <v>119</v>
      </c>
      <c r="J75" s="8">
        <f>SUM(D243:D253)</f>
        <v>11074063</v>
      </c>
      <c r="K75" s="8">
        <f>SUM(F243:F253)</f>
        <v>14771763.6</v>
      </c>
    </row>
    <row r="76" spans="1:11" ht="12.75">
      <c r="A76" s="6">
        <v>20902</v>
      </c>
      <c r="B76" s="6" t="s">
        <v>120</v>
      </c>
      <c r="C76" s="7">
        <v>0</v>
      </c>
      <c r="D76" s="7">
        <v>0</v>
      </c>
      <c r="E76" s="7">
        <v>0</v>
      </c>
      <c r="F76" s="7">
        <v>0</v>
      </c>
      <c r="G76" s="9"/>
      <c r="H76" s="6">
        <v>7</v>
      </c>
      <c r="I76" s="7" t="s">
        <v>121</v>
      </c>
      <c r="J76" s="8">
        <f>SUM(D254:D325)</f>
        <v>56854412.899999999</v>
      </c>
      <c r="K76" s="8">
        <f>SUM(F254:F325)</f>
        <v>81886861.219999999</v>
      </c>
    </row>
    <row r="77" spans="1:11" ht="12.75">
      <c r="A77" s="6">
        <v>20903</v>
      </c>
      <c r="B77" s="6" t="s">
        <v>122</v>
      </c>
      <c r="C77" s="7">
        <v>0</v>
      </c>
      <c r="D77" s="7">
        <v>0</v>
      </c>
      <c r="E77" s="7">
        <v>0</v>
      </c>
      <c r="F77" s="7">
        <v>0</v>
      </c>
      <c r="G77" s="9"/>
      <c r="H77" s="6">
        <v>8</v>
      </c>
      <c r="I77" s="7" t="s">
        <v>123</v>
      </c>
      <c r="J77" s="8">
        <f>SUM(D326:D345)</f>
        <v>2786112</v>
      </c>
      <c r="K77" s="8">
        <f>SUM(F326:F345)</f>
        <v>2289998</v>
      </c>
    </row>
    <row r="78" spans="1:11" ht="12.75">
      <c r="A78" s="6">
        <v>20904</v>
      </c>
      <c r="B78" s="6" t="s">
        <v>124</v>
      </c>
      <c r="C78" s="7">
        <v>0</v>
      </c>
      <c r="D78" s="7">
        <v>0</v>
      </c>
      <c r="E78" s="7">
        <v>0</v>
      </c>
      <c r="F78" s="7">
        <v>0</v>
      </c>
      <c r="G78" s="9"/>
      <c r="H78" s="6">
        <v>9</v>
      </c>
      <c r="I78" s="7" t="s">
        <v>125</v>
      </c>
      <c r="J78" s="7">
        <f>SUM(D346:D360)</f>
        <v>0</v>
      </c>
      <c r="K78" s="7">
        <f>SUM(F346:F360)</f>
        <v>0</v>
      </c>
    </row>
    <row r="79" spans="1:11" ht="15">
      <c r="A79" s="6">
        <v>20905</v>
      </c>
      <c r="B79" s="6" t="s">
        <v>126</v>
      </c>
      <c r="C79" s="7">
        <v>0</v>
      </c>
      <c r="D79" s="7">
        <v>0</v>
      </c>
      <c r="E79" s="7">
        <v>0</v>
      </c>
      <c r="F79" s="7">
        <v>0</v>
      </c>
      <c r="G79" s="9"/>
      <c r="H79" s="23">
        <v>11</v>
      </c>
      <c r="I79" s="78" t="s">
        <v>127</v>
      </c>
      <c r="J79" s="40">
        <f t="shared" ref="J79:K79" si="7">SUM(J70:J78)</f>
        <v>101444093.52000001</v>
      </c>
      <c r="K79" s="40">
        <f t="shared" si="7"/>
        <v>136475521.56</v>
      </c>
    </row>
    <row r="80" spans="1:11" ht="12.75">
      <c r="A80" s="6">
        <v>21001</v>
      </c>
      <c r="B80" s="6" t="s">
        <v>128</v>
      </c>
      <c r="C80" s="7">
        <v>0</v>
      </c>
      <c r="D80" s="7">
        <v>0</v>
      </c>
      <c r="E80" s="7">
        <v>0</v>
      </c>
      <c r="F80" s="7">
        <v>0</v>
      </c>
      <c r="G80" s="9"/>
      <c r="H80" s="86">
        <v>10</v>
      </c>
      <c r="I80" s="81" t="s">
        <v>403</v>
      </c>
      <c r="J80" s="87">
        <f>SUM(D246:D248)</f>
        <v>2049840</v>
      </c>
      <c r="K80" s="87">
        <f>SUM(F246:F248)</f>
        <v>2176947.6</v>
      </c>
    </row>
    <row r="81" spans="1:8" ht="12.75">
      <c r="A81" s="6">
        <v>21002</v>
      </c>
      <c r="B81" s="6" t="s">
        <v>129</v>
      </c>
      <c r="C81" s="7">
        <v>0</v>
      </c>
      <c r="D81" s="7">
        <v>0</v>
      </c>
      <c r="E81" s="7">
        <v>0</v>
      </c>
      <c r="F81" s="7">
        <v>0</v>
      </c>
      <c r="G81" s="9"/>
      <c r="H81" s="9"/>
    </row>
    <row r="82" spans="1:8" ht="12.75">
      <c r="A82" s="6">
        <v>21003</v>
      </c>
      <c r="B82" s="6" t="s">
        <v>130</v>
      </c>
      <c r="C82" s="7">
        <v>0</v>
      </c>
      <c r="D82" s="7">
        <v>0</v>
      </c>
      <c r="E82" s="7">
        <v>0</v>
      </c>
      <c r="F82" s="7">
        <v>0</v>
      </c>
      <c r="G82" s="9"/>
      <c r="H82" s="9"/>
    </row>
    <row r="83" spans="1:8" ht="12.75">
      <c r="A83" s="6">
        <v>21004</v>
      </c>
      <c r="B83" s="6" t="s">
        <v>131</v>
      </c>
      <c r="C83" s="7">
        <v>0</v>
      </c>
      <c r="D83" s="7">
        <v>0</v>
      </c>
      <c r="E83" s="7">
        <v>0</v>
      </c>
      <c r="F83" s="7">
        <v>0</v>
      </c>
      <c r="G83" s="9"/>
      <c r="H83" s="9"/>
    </row>
    <row r="84" spans="1:8" ht="12.75">
      <c r="A84" s="6">
        <v>21005</v>
      </c>
      <c r="B84" s="6" t="s">
        <v>132</v>
      </c>
      <c r="C84" s="7">
        <v>0</v>
      </c>
      <c r="D84" s="7">
        <v>0</v>
      </c>
      <c r="E84" s="7">
        <v>0</v>
      </c>
      <c r="F84" s="7">
        <v>0</v>
      </c>
      <c r="G84" s="9"/>
      <c r="H84" s="9"/>
    </row>
    <row r="85" spans="1:8" ht="12.75">
      <c r="A85" s="6">
        <v>21006</v>
      </c>
      <c r="B85" s="6" t="s">
        <v>133</v>
      </c>
      <c r="C85" s="7">
        <v>0</v>
      </c>
      <c r="D85" s="7">
        <v>0</v>
      </c>
      <c r="E85" s="7">
        <v>0</v>
      </c>
      <c r="F85" s="7">
        <v>0</v>
      </c>
      <c r="G85" s="9"/>
      <c r="H85" s="9"/>
    </row>
    <row r="86" spans="1:8" ht="12.75">
      <c r="A86" s="6">
        <v>21101</v>
      </c>
      <c r="B86" s="6" t="s">
        <v>134</v>
      </c>
      <c r="C86" s="7">
        <v>0</v>
      </c>
      <c r="D86" s="7">
        <v>0</v>
      </c>
      <c r="E86" s="7">
        <v>0</v>
      </c>
      <c r="F86" s="7">
        <v>0</v>
      </c>
      <c r="G86" s="9"/>
      <c r="H86" s="9"/>
    </row>
    <row r="87" spans="1:8" ht="12.75">
      <c r="A87" s="6">
        <v>21102</v>
      </c>
      <c r="B87" s="6" t="s">
        <v>135</v>
      </c>
      <c r="C87" s="7">
        <v>0</v>
      </c>
      <c r="D87" s="7">
        <v>0</v>
      </c>
      <c r="E87" s="7">
        <v>0</v>
      </c>
      <c r="F87" s="7">
        <v>0</v>
      </c>
      <c r="G87" s="9"/>
      <c r="H87" s="9"/>
    </row>
    <row r="88" spans="1:8" ht="12.75">
      <c r="A88" s="6">
        <v>21103</v>
      </c>
      <c r="B88" s="6" t="s">
        <v>136</v>
      </c>
      <c r="C88" s="7">
        <v>0</v>
      </c>
      <c r="D88" s="7">
        <v>0</v>
      </c>
      <c r="E88" s="7">
        <v>0</v>
      </c>
      <c r="F88" s="7">
        <v>0</v>
      </c>
      <c r="G88" s="9"/>
      <c r="H88" s="9"/>
    </row>
    <row r="89" spans="1:8" ht="12.75">
      <c r="A89" s="6">
        <v>21104</v>
      </c>
      <c r="B89" s="6" t="s">
        <v>137</v>
      </c>
      <c r="C89" s="7">
        <v>0</v>
      </c>
      <c r="D89" s="7">
        <v>0</v>
      </c>
      <c r="E89" s="7">
        <v>0</v>
      </c>
      <c r="F89" s="7">
        <v>0</v>
      </c>
      <c r="G89" s="9"/>
      <c r="H89" s="9"/>
    </row>
    <row r="90" spans="1:8" ht="12.75">
      <c r="A90" s="6">
        <v>21105</v>
      </c>
      <c r="B90" s="6" t="s">
        <v>138</v>
      </c>
      <c r="C90" s="7">
        <v>0</v>
      </c>
      <c r="D90" s="7">
        <v>0</v>
      </c>
      <c r="E90" s="7">
        <v>0</v>
      </c>
      <c r="F90" s="7">
        <v>0</v>
      </c>
      <c r="G90" s="9"/>
      <c r="H90" s="9"/>
    </row>
    <row r="91" spans="1:8" ht="12.75">
      <c r="A91" s="6">
        <v>21201</v>
      </c>
      <c r="B91" s="6" t="s">
        <v>139</v>
      </c>
      <c r="C91" s="7">
        <v>0</v>
      </c>
      <c r="D91" s="7">
        <v>0</v>
      </c>
      <c r="E91" s="7">
        <v>0</v>
      </c>
      <c r="F91" s="7">
        <v>0</v>
      </c>
      <c r="G91" s="9"/>
      <c r="H91" s="9"/>
    </row>
    <row r="92" spans="1:8" ht="12.75">
      <c r="A92" s="6">
        <v>21202</v>
      </c>
      <c r="B92" s="6" t="s">
        <v>140</v>
      </c>
      <c r="C92" s="7">
        <v>0</v>
      </c>
      <c r="D92" s="7">
        <v>0</v>
      </c>
      <c r="E92" s="7">
        <v>0</v>
      </c>
      <c r="F92" s="7">
        <v>0</v>
      </c>
      <c r="G92" s="9"/>
      <c r="H92" s="9"/>
    </row>
    <row r="93" spans="1:8" ht="12.75">
      <c r="A93" s="6">
        <v>21203</v>
      </c>
      <c r="B93" s="6" t="s">
        <v>141</v>
      </c>
      <c r="C93" s="7">
        <v>0</v>
      </c>
      <c r="D93" s="7">
        <v>0</v>
      </c>
      <c r="E93" s="7">
        <v>0</v>
      </c>
      <c r="F93" s="7">
        <v>0</v>
      </c>
      <c r="G93" s="9"/>
      <c r="H93" s="9"/>
    </row>
    <row r="94" spans="1:8" ht="12.75">
      <c r="A94" s="6">
        <v>21204</v>
      </c>
      <c r="B94" s="6" t="s">
        <v>142</v>
      </c>
      <c r="C94" s="7">
        <v>0</v>
      </c>
      <c r="D94" s="7">
        <v>0</v>
      </c>
      <c r="E94" s="7">
        <v>0</v>
      </c>
      <c r="F94" s="7">
        <v>0</v>
      </c>
      <c r="G94" s="9"/>
      <c r="H94" s="9"/>
    </row>
    <row r="95" spans="1:8" ht="12.75">
      <c r="A95" s="6">
        <v>21301</v>
      </c>
      <c r="B95" s="6" t="s">
        <v>143</v>
      </c>
      <c r="C95" s="7">
        <v>0</v>
      </c>
      <c r="D95" s="7">
        <v>0</v>
      </c>
      <c r="E95" s="7">
        <v>0</v>
      </c>
      <c r="F95" s="7">
        <v>0</v>
      </c>
      <c r="G95" s="9"/>
      <c r="H95" s="9"/>
    </row>
    <row r="96" spans="1:8" ht="12.75">
      <c r="A96" s="6">
        <v>21302</v>
      </c>
      <c r="B96" s="6" t="s">
        <v>144</v>
      </c>
      <c r="C96" s="7">
        <v>0</v>
      </c>
      <c r="D96" s="7">
        <v>0</v>
      </c>
      <c r="E96" s="7">
        <v>0</v>
      </c>
      <c r="F96" s="7">
        <v>0</v>
      </c>
      <c r="G96" s="9"/>
      <c r="H96" s="9"/>
    </row>
    <row r="97" spans="1:8" ht="12.75">
      <c r="A97" s="6">
        <v>21303</v>
      </c>
      <c r="B97" s="6" t="s">
        <v>145</v>
      </c>
      <c r="C97" s="7">
        <v>0</v>
      </c>
      <c r="D97" s="7">
        <v>0</v>
      </c>
      <c r="E97" s="7">
        <v>0</v>
      </c>
      <c r="F97" s="7">
        <v>0</v>
      </c>
      <c r="G97" s="9"/>
      <c r="H97" s="9"/>
    </row>
    <row r="98" spans="1:8" ht="12.75">
      <c r="A98" s="6">
        <v>21304</v>
      </c>
      <c r="B98" s="6" t="s">
        <v>146</v>
      </c>
      <c r="C98" s="7">
        <v>0</v>
      </c>
      <c r="D98" s="7">
        <v>0</v>
      </c>
      <c r="E98" s="7">
        <v>0</v>
      </c>
      <c r="F98" s="7">
        <v>0</v>
      </c>
      <c r="G98" s="9"/>
      <c r="H98" s="9"/>
    </row>
    <row r="99" spans="1:8" ht="12.75">
      <c r="A99" s="6">
        <v>21305</v>
      </c>
      <c r="B99" s="6" t="s">
        <v>147</v>
      </c>
      <c r="C99" s="7">
        <v>0</v>
      </c>
      <c r="D99" s="7">
        <v>0</v>
      </c>
      <c r="E99" s="7">
        <v>0</v>
      </c>
      <c r="F99" s="7">
        <v>0</v>
      </c>
      <c r="G99" s="9"/>
      <c r="H99" s="9"/>
    </row>
    <row r="100" spans="1:8" ht="12.75">
      <c r="A100" s="6">
        <v>21306</v>
      </c>
      <c r="B100" s="6" t="s">
        <v>148</v>
      </c>
      <c r="C100" s="7">
        <v>0</v>
      </c>
      <c r="D100" s="7">
        <v>0</v>
      </c>
      <c r="E100" s="7">
        <v>0</v>
      </c>
      <c r="F100" s="7">
        <v>0</v>
      </c>
      <c r="G100" s="9"/>
      <c r="H100" s="9"/>
    </row>
    <row r="101" spans="1:8" ht="12.75">
      <c r="A101" s="6">
        <v>21307</v>
      </c>
      <c r="B101" s="6" t="s">
        <v>149</v>
      </c>
      <c r="C101" s="7">
        <v>0</v>
      </c>
      <c r="D101" s="7">
        <v>0</v>
      </c>
      <c r="E101" s="7">
        <v>0</v>
      </c>
      <c r="F101" s="7">
        <v>0</v>
      </c>
      <c r="G101" s="9"/>
      <c r="H101" s="9"/>
    </row>
    <row r="102" spans="1:8" ht="12.75">
      <c r="A102" s="6">
        <v>21401</v>
      </c>
      <c r="B102" s="6" t="s">
        <v>150</v>
      </c>
      <c r="C102" s="7">
        <v>0</v>
      </c>
      <c r="D102" s="7">
        <v>0</v>
      </c>
      <c r="E102" s="7">
        <v>0</v>
      </c>
      <c r="F102" s="7">
        <v>0</v>
      </c>
      <c r="G102" s="9"/>
      <c r="H102" s="9"/>
    </row>
    <row r="103" spans="1:8" ht="12.75">
      <c r="A103" s="6">
        <v>21402</v>
      </c>
      <c r="B103" s="6" t="s">
        <v>151</v>
      </c>
      <c r="C103" s="7">
        <v>0</v>
      </c>
      <c r="D103" s="7">
        <v>0</v>
      </c>
      <c r="E103" s="7">
        <v>0</v>
      </c>
      <c r="F103" s="7">
        <v>0</v>
      </c>
      <c r="G103" s="9"/>
      <c r="H103" s="9"/>
    </row>
    <row r="104" spans="1:8" ht="12.75">
      <c r="A104" s="6">
        <v>21501</v>
      </c>
      <c r="B104" s="6" t="s">
        <v>152</v>
      </c>
      <c r="C104" s="7">
        <v>0</v>
      </c>
      <c r="D104" s="7">
        <v>0</v>
      </c>
      <c r="E104" s="7">
        <v>0</v>
      </c>
      <c r="F104" s="7">
        <v>0</v>
      </c>
      <c r="G104" s="9"/>
      <c r="H104" s="9"/>
    </row>
    <row r="105" spans="1:8" ht="12.75">
      <c r="A105" s="6">
        <v>21502</v>
      </c>
      <c r="B105" s="6" t="s">
        <v>153</v>
      </c>
      <c r="C105" s="7">
        <v>0</v>
      </c>
      <c r="D105" s="7">
        <v>0</v>
      </c>
      <c r="E105" s="7">
        <v>0</v>
      </c>
      <c r="F105" s="7">
        <v>0</v>
      </c>
      <c r="G105" s="9"/>
      <c r="H105" s="9"/>
    </row>
    <row r="106" spans="1:8" ht="12.75">
      <c r="A106" s="6">
        <v>21601</v>
      </c>
      <c r="B106" s="6" t="s">
        <v>154</v>
      </c>
      <c r="C106" s="7">
        <v>0</v>
      </c>
      <c r="D106" s="7">
        <v>0</v>
      </c>
      <c r="E106" s="7">
        <v>0</v>
      </c>
      <c r="F106" s="7">
        <v>0</v>
      </c>
      <c r="G106" s="9"/>
      <c r="H106" s="9"/>
    </row>
    <row r="107" spans="1:8" ht="12.75">
      <c r="A107" s="6">
        <v>21602</v>
      </c>
      <c r="B107" s="6" t="s">
        <v>155</v>
      </c>
      <c r="C107" s="7">
        <v>0</v>
      </c>
      <c r="D107" s="7">
        <v>0</v>
      </c>
      <c r="E107" s="7">
        <v>0</v>
      </c>
      <c r="F107" s="7">
        <v>0</v>
      </c>
      <c r="G107" s="9"/>
      <c r="H107" s="9"/>
    </row>
    <row r="108" spans="1:8" ht="12.75">
      <c r="A108" s="6">
        <v>21701</v>
      </c>
      <c r="B108" s="6" t="s">
        <v>156</v>
      </c>
      <c r="C108" s="7">
        <v>0</v>
      </c>
      <c r="D108" s="7">
        <v>0</v>
      </c>
      <c r="E108" s="7">
        <v>0</v>
      </c>
      <c r="F108" s="7">
        <v>0</v>
      </c>
      <c r="G108" s="9"/>
      <c r="H108" s="9"/>
    </row>
    <row r="109" spans="1:8" ht="12.75">
      <c r="A109" s="6">
        <v>21702</v>
      </c>
      <c r="B109" s="6" t="s">
        <v>157</v>
      </c>
      <c r="C109" s="7">
        <v>0</v>
      </c>
      <c r="D109" s="7">
        <v>0</v>
      </c>
      <c r="E109" s="7">
        <v>0</v>
      </c>
      <c r="F109" s="7">
        <v>0</v>
      </c>
      <c r="G109" s="9"/>
      <c r="H109" s="9"/>
    </row>
    <row r="110" spans="1:8" ht="12.75">
      <c r="A110" s="6">
        <v>21703</v>
      </c>
      <c r="B110" s="6" t="s">
        <v>158</v>
      </c>
      <c r="C110" s="7">
        <v>0</v>
      </c>
      <c r="D110" s="7">
        <v>0</v>
      </c>
      <c r="E110" s="7">
        <v>0</v>
      </c>
      <c r="F110" s="7">
        <v>0</v>
      </c>
      <c r="G110" s="9"/>
      <c r="H110" s="9"/>
    </row>
    <row r="111" spans="1:8" ht="12.75">
      <c r="A111" s="6">
        <v>21801</v>
      </c>
      <c r="B111" s="6" t="s">
        <v>159</v>
      </c>
      <c r="C111" s="7">
        <v>0</v>
      </c>
      <c r="D111" s="7">
        <v>0</v>
      </c>
      <c r="E111" s="7">
        <v>0</v>
      </c>
      <c r="F111" s="7">
        <v>0</v>
      </c>
      <c r="G111" s="9"/>
      <c r="H111" s="9"/>
    </row>
    <row r="112" spans="1:8" ht="12.75">
      <c r="A112" s="6">
        <v>21802</v>
      </c>
      <c r="B112" s="6" t="s">
        <v>160</v>
      </c>
      <c r="C112" s="7">
        <v>0</v>
      </c>
      <c r="D112" s="7">
        <v>0</v>
      </c>
      <c r="E112" s="7">
        <v>0</v>
      </c>
      <c r="F112" s="7">
        <v>0</v>
      </c>
      <c r="G112" s="9"/>
      <c r="H112" s="9"/>
    </row>
    <row r="113" spans="1:8" ht="12.75">
      <c r="A113" s="6">
        <v>21803</v>
      </c>
      <c r="B113" s="6" t="s">
        <v>161</v>
      </c>
      <c r="C113" s="7">
        <v>0</v>
      </c>
      <c r="D113" s="7">
        <v>0</v>
      </c>
      <c r="E113" s="7">
        <v>0</v>
      </c>
      <c r="F113" s="7">
        <v>0</v>
      </c>
      <c r="G113" s="9"/>
      <c r="H113" s="9"/>
    </row>
    <row r="114" spans="1:8" ht="12.75">
      <c r="A114" s="6">
        <v>21901</v>
      </c>
      <c r="B114" s="6" t="s">
        <v>162</v>
      </c>
      <c r="C114" s="7">
        <v>0</v>
      </c>
      <c r="D114" s="7">
        <v>0</v>
      </c>
      <c r="E114" s="7">
        <v>0</v>
      </c>
      <c r="F114" s="7">
        <v>0</v>
      </c>
      <c r="G114" s="9"/>
      <c r="H114" s="9"/>
    </row>
    <row r="115" spans="1:8" ht="12.75">
      <c r="A115" s="6">
        <v>21902</v>
      </c>
      <c r="B115" s="6" t="s">
        <v>163</v>
      </c>
      <c r="C115" s="7">
        <v>0</v>
      </c>
      <c r="D115" s="7">
        <v>0</v>
      </c>
      <c r="E115" s="7">
        <v>0</v>
      </c>
      <c r="F115" s="7">
        <v>0</v>
      </c>
      <c r="G115" s="9"/>
      <c r="H115" s="9"/>
    </row>
    <row r="116" spans="1:8" ht="12.75">
      <c r="A116" s="6">
        <v>22001</v>
      </c>
      <c r="B116" s="6" t="s">
        <v>164</v>
      </c>
      <c r="C116" s="7">
        <v>0</v>
      </c>
      <c r="D116" s="7">
        <v>0</v>
      </c>
      <c r="E116" s="7">
        <v>0</v>
      </c>
      <c r="F116" s="7">
        <v>0</v>
      </c>
      <c r="G116" s="9"/>
      <c r="H116" s="9"/>
    </row>
    <row r="117" spans="1:8" ht="12.75">
      <c r="A117" s="6">
        <v>22002</v>
      </c>
      <c r="B117" s="6" t="s">
        <v>165</v>
      </c>
      <c r="C117" s="7">
        <v>0</v>
      </c>
      <c r="D117" s="7">
        <v>0</v>
      </c>
      <c r="E117" s="7">
        <v>0</v>
      </c>
      <c r="F117" s="7">
        <v>0</v>
      </c>
      <c r="G117" s="9"/>
      <c r="H117" s="9"/>
    </row>
    <row r="118" spans="1:8" ht="12.75">
      <c r="A118" s="6">
        <v>30101</v>
      </c>
      <c r="B118" s="6" t="s">
        <v>113</v>
      </c>
      <c r="C118" s="7">
        <v>120.5</v>
      </c>
      <c r="D118" s="8">
        <v>15822263.220000001</v>
      </c>
      <c r="E118" s="7">
        <v>56.02</v>
      </c>
      <c r="F118" s="8">
        <v>8870156.6400000006</v>
      </c>
      <c r="G118" s="9"/>
      <c r="H118" s="9"/>
    </row>
    <row r="119" spans="1:8" ht="12.75">
      <c r="A119" s="6">
        <v>30201</v>
      </c>
      <c r="B119" s="6" t="s">
        <v>166</v>
      </c>
      <c r="C119" s="7">
        <v>0</v>
      </c>
      <c r="D119" s="7">
        <v>0</v>
      </c>
      <c r="E119" s="7">
        <v>0</v>
      </c>
      <c r="F119" s="7">
        <v>0</v>
      </c>
      <c r="G119" s="9"/>
      <c r="H119" s="9"/>
    </row>
    <row r="120" spans="1:8" ht="12.75">
      <c r="A120" s="6">
        <v>30202</v>
      </c>
      <c r="B120" s="6" t="s">
        <v>167</v>
      </c>
      <c r="C120" s="7">
        <v>0</v>
      </c>
      <c r="D120" s="7">
        <v>0</v>
      </c>
      <c r="E120" s="7">
        <v>0</v>
      </c>
      <c r="F120" s="7">
        <v>0</v>
      </c>
      <c r="G120" s="9"/>
      <c r="H120" s="9"/>
    </row>
    <row r="121" spans="1:8" ht="12.75">
      <c r="A121" s="6">
        <v>30203</v>
      </c>
      <c r="B121" s="6" t="s">
        <v>168</v>
      </c>
      <c r="C121" s="7">
        <v>0</v>
      </c>
      <c r="D121" s="7">
        <v>0</v>
      </c>
      <c r="E121" s="7">
        <v>0</v>
      </c>
      <c r="F121" s="7">
        <v>0</v>
      </c>
      <c r="G121" s="9"/>
      <c r="H121" s="9"/>
    </row>
    <row r="122" spans="1:8" ht="12.75">
      <c r="A122" s="6">
        <v>30301</v>
      </c>
      <c r="B122" s="6" t="s">
        <v>169</v>
      </c>
      <c r="C122" s="7">
        <v>0</v>
      </c>
      <c r="D122" s="7">
        <v>0</v>
      </c>
      <c r="E122" s="7">
        <v>0</v>
      </c>
      <c r="F122" s="7">
        <v>0</v>
      </c>
      <c r="G122" s="9"/>
      <c r="H122" s="9"/>
    </row>
    <row r="123" spans="1:8" ht="12.75">
      <c r="A123" s="6">
        <v>30302</v>
      </c>
      <c r="B123" s="6" t="s">
        <v>170</v>
      </c>
      <c r="C123" s="7">
        <v>0</v>
      </c>
      <c r="D123" s="7">
        <v>0</v>
      </c>
      <c r="E123" s="7">
        <v>0</v>
      </c>
      <c r="F123" s="7">
        <v>0</v>
      </c>
      <c r="G123" s="9"/>
      <c r="H123" s="9"/>
    </row>
    <row r="124" spans="1:8" ht="12.75">
      <c r="A124" s="6">
        <v>30303</v>
      </c>
      <c r="B124" s="6" t="s">
        <v>171</v>
      </c>
      <c r="C124" s="7">
        <v>0</v>
      </c>
      <c r="D124" s="7">
        <v>0</v>
      </c>
      <c r="E124" s="7">
        <v>0</v>
      </c>
      <c r="F124" s="7">
        <v>0</v>
      </c>
      <c r="G124" s="9"/>
      <c r="H124" s="9"/>
    </row>
    <row r="125" spans="1:8" ht="12.75">
      <c r="A125" s="6">
        <v>30401</v>
      </c>
      <c r="B125" s="6" t="s">
        <v>172</v>
      </c>
      <c r="C125" s="7">
        <v>0</v>
      </c>
      <c r="D125" s="7">
        <v>0</v>
      </c>
      <c r="E125" s="7">
        <v>0</v>
      </c>
      <c r="F125" s="7">
        <v>0</v>
      </c>
      <c r="G125" s="9"/>
      <c r="H125" s="9"/>
    </row>
    <row r="126" spans="1:8" ht="12.75">
      <c r="A126" s="6">
        <v>30402</v>
      </c>
      <c r="B126" s="6" t="s">
        <v>173</v>
      </c>
      <c r="C126" s="7">
        <v>0</v>
      </c>
      <c r="D126" s="7">
        <v>0</v>
      </c>
      <c r="E126" s="7">
        <v>0</v>
      </c>
      <c r="F126" s="7">
        <v>0</v>
      </c>
      <c r="G126" s="9"/>
      <c r="H126" s="9"/>
    </row>
    <row r="127" spans="1:8" ht="12.75">
      <c r="A127" s="6">
        <v>30403</v>
      </c>
      <c r="B127" s="6" t="s">
        <v>174</v>
      </c>
      <c r="C127" s="7">
        <v>0</v>
      </c>
      <c r="D127" s="7">
        <v>0</v>
      </c>
      <c r="E127" s="7">
        <v>0</v>
      </c>
      <c r="F127" s="7">
        <v>0</v>
      </c>
      <c r="G127" s="9"/>
      <c r="H127" s="9"/>
    </row>
    <row r="128" spans="1:8" ht="12.75">
      <c r="A128" s="6">
        <v>30404</v>
      </c>
      <c r="B128" s="6" t="s">
        <v>175</v>
      </c>
      <c r="C128" s="7">
        <v>0</v>
      </c>
      <c r="D128" s="7">
        <v>0</v>
      </c>
      <c r="E128" s="7">
        <v>0</v>
      </c>
      <c r="F128" s="7">
        <v>0</v>
      </c>
      <c r="G128" s="9"/>
      <c r="H128" s="9"/>
    </row>
    <row r="129" spans="1:8" ht="12.75">
      <c r="A129" s="6">
        <v>30501</v>
      </c>
      <c r="B129" s="6" t="s">
        <v>176</v>
      </c>
      <c r="C129" s="7">
        <v>0</v>
      </c>
      <c r="D129" s="7">
        <v>0</v>
      </c>
      <c r="E129" s="7">
        <v>0</v>
      </c>
      <c r="F129" s="7">
        <v>0</v>
      </c>
      <c r="G129" s="9"/>
      <c r="H129" s="9"/>
    </row>
    <row r="130" spans="1:8" ht="12.75">
      <c r="A130" s="6">
        <v>30502</v>
      </c>
      <c r="B130" s="6" t="s">
        <v>177</v>
      </c>
      <c r="C130" s="7">
        <v>0</v>
      </c>
      <c r="D130" s="7">
        <v>0</v>
      </c>
      <c r="E130" s="7">
        <v>0</v>
      </c>
      <c r="F130" s="7">
        <v>0</v>
      </c>
      <c r="G130" s="9"/>
      <c r="H130" s="9"/>
    </row>
    <row r="131" spans="1:8" ht="12.75">
      <c r="A131" s="6">
        <v>30601</v>
      </c>
      <c r="B131" s="6" t="s">
        <v>178</v>
      </c>
      <c r="C131" s="7">
        <v>0</v>
      </c>
      <c r="D131" s="7">
        <v>0</v>
      </c>
      <c r="E131" s="7">
        <v>0</v>
      </c>
      <c r="F131" s="7">
        <v>0</v>
      </c>
      <c r="G131" s="9"/>
      <c r="H131" s="9"/>
    </row>
    <row r="132" spans="1:8" ht="12.75">
      <c r="A132" s="6">
        <v>30602</v>
      </c>
      <c r="B132" s="6" t="s">
        <v>179</v>
      </c>
      <c r="C132" s="7">
        <v>0</v>
      </c>
      <c r="D132" s="7">
        <v>0</v>
      </c>
      <c r="E132" s="7">
        <v>0</v>
      </c>
      <c r="F132" s="7">
        <v>0</v>
      </c>
      <c r="G132" s="9"/>
      <c r="H132" s="9"/>
    </row>
    <row r="133" spans="1:8" ht="12.75">
      <c r="A133" s="6">
        <v>30701</v>
      </c>
      <c r="B133" s="6" t="s">
        <v>180</v>
      </c>
      <c r="C133" s="7">
        <v>0</v>
      </c>
      <c r="D133" s="7">
        <v>0</v>
      </c>
      <c r="E133" s="7">
        <v>0</v>
      </c>
      <c r="F133" s="7">
        <v>0</v>
      </c>
      <c r="G133" s="9"/>
      <c r="H133" s="9"/>
    </row>
    <row r="134" spans="1:8" ht="12.75">
      <c r="A134" s="6">
        <v>30702</v>
      </c>
      <c r="B134" s="6" t="s">
        <v>181</v>
      </c>
      <c r="C134" s="7">
        <v>0</v>
      </c>
      <c r="D134" s="7">
        <v>0</v>
      </c>
      <c r="E134" s="7">
        <v>0</v>
      </c>
      <c r="F134" s="7">
        <v>0</v>
      </c>
      <c r="G134" s="9"/>
      <c r="H134" s="9"/>
    </row>
    <row r="135" spans="1:8" ht="12.75">
      <c r="A135" s="6">
        <v>30703</v>
      </c>
      <c r="B135" s="6" t="s">
        <v>182</v>
      </c>
      <c r="C135" s="7">
        <v>0</v>
      </c>
      <c r="D135" s="7">
        <v>0</v>
      </c>
      <c r="E135" s="7">
        <v>0</v>
      </c>
      <c r="F135" s="7">
        <v>0</v>
      </c>
      <c r="G135" s="9"/>
      <c r="H135" s="9"/>
    </row>
    <row r="136" spans="1:8" ht="12.75">
      <c r="A136" s="6">
        <v>30801</v>
      </c>
      <c r="B136" s="6" t="s">
        <v>183</v>
      </c>
      <c r="C136" s="7">
        <v>0</v>
      </c>
      <c r="D136" s="7">
        <v>0</v>
      </c>
      <c r="E136" s="7">
        <v>0</v>
      </c>
      <c r="F136" s="7">
        <v>0</v>
      </c>
      <c r="G136" s="9"/>
      <c r="H136" s="9"/>
    </row>
    <row r="137" spans="1:8" ht="12.75">
      <c r="A137" s="6">
        <v>30802</v>
      </c>
      <c r="B137" s="6" t="s">
        <v>184</v>
      </c>
      <c r="C137" s="7">
        <v>0</v>
      </c>
      <c r="D137" s="7">
        <v>0</v>
      </c>
      <c r="E137" s="7">
        <v>0</v>
      </c>
      <c r="F137" s="7">
        <v>0</v>
      </c>
      <c r="G137" s="9"/>
      <c r="H137" s="9"/>
    </row>
    <row r="138" spans="1:8" ht="12.75">
      <c r="A138" s="6">
        <v>30803</v>
      </c>
      <c r="B138" s="6" t="s">
        <v>185</v>
      </c>
      <c r="C138" s="7">
        <v>0</v>
      </c>
      <c r="D138" s="7">
        <v>0</v>
      </c>
      <c r="E138" s="7">
        <v>0</v>
      </c>
      <c r="F138" s="7">
        <v>0</v>
      </c>
      <c r="G138" s="9"/>
      <c r="H138" s="9"/>
    </row>
    <row r="139" spans="1:8" ht="12.75">
      <c r="A139" s="6">
        <v>30901</v>
      </c>
      <c r="B139" s="6" t="s">
        <v>186</v>
      </c>
      <c r="C139" s="7">
        <v>0</v>
      </c>
      <c r="D139" s="7">
        <v>0</v>
      </c>
      <c r="E139" s="7">
        <v>0</v>
      </c>
      <c r="F139" s="7">
        <v>0</v>
      </c>
      <c r="G139" s="9"/>
      <c r="H139" s="9"/>
    </row>
    <row r="140" spans="1:8" ht="12.75">
      <c r="A140" s="6">
        <v>30902</v>
      </c>
      <c r="B140" s="6" t="s">
        <v>187</v>
      </c>
      <c r="C140" s="7">
        <v>0</v>
      </c>
      <c r="D140" s="7">
        <v>0</v>
      </c>
      <c r="E140" s="7">
        <v>0</v>
      </c>
      <c r="F140" s="7">
        <v>0</v>
      </c>
      <c r="G140" s="9"/>
      <c r="H140" s="9"/>
    </row>
    <row r="141" spans="1:8" ht="12.75">
      <c r="A141" s="6">
        <v>30903</v>
      </c>
      <c r="B141" s="6" t="s">
        <v>188</v>
      </c>
      <c r="C141" s="7">
        <v>0</v>
      </c>
      <c r="D141" s="7">
        <v>0</v>
      </c>
      <c r="E141" s="7">
        <v>0</v>
      </c>
      <c r="F141" s="7">
        <v>0</v>
      </c>
      <c r="G141" s="9"/>
      <c r="H141" s="9"/>
    </row>
    <row r="142" spans="1:8" ht="12.75">
      <c r="A142" s="6">
        <v>30904</v>
      </c>
      <c r="B142" s="6" t="s">
        <v>189</v>
      </c>
      <c r="C142" s="7">
        <v>0</v>
      </c>
      <c r="D142" s="7">
        <v>0</v>
      </c>
      <c r="E142" s="7">
        <v>0</v>
      </c>
      <c r="F142" s="7">
        <v>0</v>
      </c>
      <c r="G142" s="9"/>
      <c r="H142" s="9"/>
    </row>
    <row r="143" spans="1:8" ht="12.75">
      <c r="A143" s="6">
        <v>30905</v>
      </c>
      <c r="B143" s="6" t="s">
        <v>190</v>
      </c>
      <c r="C143" s="7">
        <v>0</v>
      </c>
      <c r="D143" s="7">
        <v>0</v>
      </c>
      <c r="E143" s="7">
        <v>0</v>
      </c>
      <c r="F143" s="7">
        <v>0</v>
      </c>
      <c r="G143" s="9"/>
      <c r="H143" s="9"/>
    </row>
    <row r="144" spans="1:8" ht="12.75">
      <c r="A144" s="6">
        <v>31001</v>
      </c>
      <c r="B144" s="6" t="s">
        <v>191</v>
      </c>
      <c r="C144" s="7">
        <v>0</v>
      </c>
      <c r="D144" s="7">
        <v>0</v>
      </c>
      <c r="E144" s="7">
        <v>401.38</v>
      </c>
      <c r="F144" s="8">
        <v>2585353.2799999998</v>
      </c>
      <c r="G144" s="9"/>
      <c r="H144" s="9"/>
    </row>
    <row r="145" spans="1:8" ht="12.75">
      <c r="A145" s="6">
        <v>31002</v>
      </c>
      <c r="B145" s="6" t="s">
        <v>192</v>
      </c>
      <c r="C145" s="7">
        <v>0</v>
      </c>
      <c r="D145" s="7">
        <v>0</v>
      </c>
      <c r="E145" s="7">
        <v>0</v>
      </c>
      <c r="F145" s="7">
        <v>0</v>
      </c>
      <c r="G145" s="9"/>
      <c r="H145" s="9"/>
    </row>
    <row r="146" spans="1:8" ht="12.75">
      <c r="A146" s="6">
        <v>31003</v>
      </c>
      <c r="B146" s="6" t="s">
        <v>193</v>
      </c>
      <c r="C146" s="7">
        <v>0</v>
      </c>
      <c r="D146" s="7">
        <v>0</v>
      </c>
      <c r="E146" s="7">
        <v>0</v>
      </c>
      <c r="F146" s="7">
        <v>0</v>
      </c>
      <c r="G146" s="9"/>
      <c r="H146" s="9"/>
    </row>
    <row r="147" spans="1:8" ht="12.75">
      <c r="A147" s="6">
        <v>31101</v>
      </c>
      <c r="B147" s="6" t="s">
        <v>194</v>
      </c>
      <c r="C147" s="7">
        <v>0</v>
      </c>
      <c r="D147" s="7">
        <v>0</v>
      </c>
      <c r="E147" s="7">
        <v>0</v>
      </c>
      <c r="F147" s="7">
        <v>0</v>
      </c>
      <c r="G147" s="9"/>
      <c r="H147" s="9"/>
    </row>
    <row r="148" spans="1:8" ht="12.75">
      <c r="A148" s="6">
        <v>31201</v>
      </c>
      <c r="B148" s="6" t="s">
        <v>195</v>
      </c>
      <c r="C148" s="7">
        <v>0</v>
      </c>
      <c r="D148" s="7">
        <v>0</v>
      </c>
      <c r="E148" s="7">
        <v>0</v>
      </c>
      <c r="F148" s="7">
        <v>0</v>
      </c>
      <c r="G148" s="9"/>
      <c r="H148" s="9"/>
    </row>
    <row r="149" spans="1:8" ht="12.75">
      <c r="A149" s="6">
        <v>31202</v>
      </c>
      <c r="B149" s="6" t="s">
        <v>196</v>
      </c>
      <c r="C149" s="7">
        <v>0</v>
      </c>
      <c r="D149" s="7">
        <v>0</v>
      </c>
      <c r="E149" s="7">
        <v>0</v>
      </c>
      <c r="F149" s="7">
        <v>0</v>
      </c>
      <c r="G149" s="9"/>
      <c r="H149" s="9"/>
    </row>
    <row r="150" spans="1:8" ht="12.75">
      <c r="A150" s="6">
        <v>31203</v>
      </c>
      <c r="B150" s="6" t="s">
        <v>197</v>
      </c>
      <c r="C150" s="7">
        <v>0</v>
      </c>
      <c r="D150" s="7">
        <v>0</v>
      </c>
      <c r="E150" s="7">
        <v>0</v>
      </c>
      <c r="F150" s="7">
        <v>0</v>
      </c>
      <c r="G150" s="9"/>
      <c r="H150" s="9"/>
    </row>
    <row r="151" spans="1:8" ht="12.75">
      <c r="A151" s="6">
        <v>31204</v>
      </c>
      <c r="B151" s="6" t="s">
        <v>198</v>
      </c>
      <c r="C151" s="7">
        <v>0</v>
      </c>
      <c r="D151" s="7">
        <v>0</v>
      </c>
      <c r="E151" s="7">
        <v>0</v>
      </c>
      <c r="F151" s="7">
        <v>0</v>
      </c>
      <c r="G151" s="9"/>
      <c r="H151" s="9"/>
    </row>
    <row r="152" spans="1:8" ht="12.75">
      <c r="A152" s="6">
        <v>31205</v>
      </c>
      <c r="B152" s="6" t="s">
        <v>199</v>
      </c>
      <c r="C152" s="7">
        <v>0</v>
      </c>
      <c r="D152" s="7">
        <v>0</v>
      </c>
      <c r="E152" s="7">
        <v>0</v>
      </c>
      <c r="F152" s="7">
        <v>0</v>
      </c>
      <c r="G152" s="9"/>
      <c r="H152" s="9"/>
    </row>
    <row r="153" spans="1:8" ht="12.75">
      <c r="A153" s="6">
        <v>31206</v>
      </c>
      <c r="B153" s="6" t="s">
        <v>200</v>
      </c>
      <c r="C153" s="7">
        <v>0</v>
      </c>
      <c r="D153" s="7">
        <v>0</v>
      </c>
      <c r="E153" s="7">
        <v>0</v>
      </c>
      <c r="F153" s="7">
        <v>0</v>
      </c>
      <c r="G153" s="9"/>
      <c r="H153" s="9"/>
    </row>
    <row r="154" spans="1:8" ht="12.75">
      <c r="A154" s="6">
        <v>31301</v>
      </c>
      <c r="B154" s="6" t="s">
        <v>201</v>
      </c>
      <c r="C154" s="7">
        <v>0</v>
      </c>
      <c r="D154" s="7">
        <v>0</v>
      </c>
      <c r="E154" s="7">
        <v>0</v>
      </c>
      <c r="F154" s="7">
        <v>0</v>
      </c>
      <c r="G154" s="9"/>
      <c r="H154" s="9"/>
    </row>
    <row r="155" spans="1:8" ht="12.75">
      <c r="A155" s="6">
        <v>31302</v>
      </c>
      <c r="B155" s="6" t="s">
        <v>202</v>
      </c>
      <c r="C155" s="7">
        <v>0</v>
      </c>
      <c r="D155" s="7">
        <v>0</v>
      </c>
      <c r="E155" s="7">
        <v>0</v>
      </c>
      <c r="F155" s="7">
        <v>0</v>
      </c>
      <c r="G155" s="9"/>
      <c r="H155" s="9"/>
    </row>
    <row r="156" spans="1:8" ht="12.75">
      <c r="A156" s="6">
        <v>31303</v>
      </c>
      <c r="B156" s="6" t="s">
        <v>203</v>
      </c>
      <c r="C156" s="7">
        <v>0</v>
      </c>
      <c r="D156" s="7">
        <v>0</v>
      </c>
      <c r="E156" s="7">
        <v>0</v>
      </c>
      <c r="F156" s="7">
        <v>0</v>
      </c>
      <c r="G156" s="9"/>
      <c r="H156" s="9"/>
    </row>
    <row r="157" spans="1:8" ht="12.75">
      <c r="A157" s="6">
        <v>31304</v>
      </c>
      <c r="B157" s="6" t="s">
        <v>204</v>
      </c>
      <c r="C157" s="7">
        <v>0</v>
      </c>
      <c r="D157" s="7">
        <v>0</v>
      </c>
      <c r="E157" s="7">
        <v>0</v>
      </c>
      <c r="F157" s="7">
        <v>0</v>
      </c>
      <c r="G157" s="9"/>
      <c r="H157" s="9"/>
    </row>
    <row r="158" spans="1:8" ht="12.75">
      <c r="A158" s="6">
        <v>31401</v>
      </c>
      <c r="B158" s="6" t="s">
        <v>205</v>
      </c>
      <c r="C158" s="7">
        <v>0</v>
      </c>
      <c r="D158" s="7">
        <v>0</v>
      </c>
      <c r="E158" s="7">
        <v>0</v>
      </c>
      <c r="F158" s="7">
        <v>0</v>
      </c>
      <c r="G158" s="9"/>
      <c r="H158" s="9"/>
    </row>
    <row r="159" spans="1:8" ht="12.75">
      <c r="A159" s="6">
        <v>31402</v>
      </c>
      <c r="B159" s="6" t="s">
        <v>206</v>
      </c>
      <c r="C159" s="7">
        <v>0</v>
      </c>
      <c r="D159" s="7">
        <v>0</v>
      </c>
      <c r="E159" s="7">
        <v>0</v>
      </c>
      <c r="F159" s="7">
        <v>0</v>
      </c>
      <c r="G159" s="9"/>
      <c r="H159" s="9"/>
    </row>
    <row r="160" spans="1:8" ht="12.75">
      <c r="A160" s="6">
        <v>31403</v>
      </c>
      <c r="B160" s="6" t="s">
        <v>207</v>
      </c>
      <c r="C160" s="7">
        <v>0</v>
      </c>
      <c r="D160" s="7">
        <v>0</v>
      </c>
      <c r="E160" s="7">
        <v>0</v>
      </c>
      <c r="F160" s="7">
        <v>0</v>
      </c>
      <c r="G160" s="9"/>
      <c r="H160" s="9"/>
    </row>
    <row r="161" spans="1:8" ht="12.75">
      <c r="A161" s="6">
        <v>31404</v>
      </c>
      <c r="B161" s="6" t="s">
        <v>208</v>
      </c>
      <c r="C161" s="7">
        <v>0</v>
      </c>
      <c r="D161" s="7">
        <v>0</v>
      </c>
      <c r="E161" s="7">
        <v>0</v>
      </c>
      <c r="F161" s="7">
        <v>0</v>
      </c>
      <c r="G161" s="9"/>
      <c r="H161" s="9"/>
    </row>
    <row r="162" spans="1:8" ht="12.75">
      <c r="A162" s="6">
        <v>31405</v>
      </c>
      <c r="B162" s="6" t="s">
        <v>209</v>
      </c>
      <c r="C162" s="7">
        <v>0</v>
      </c>
      <c r="D162" s="7">
        <v>0</v>
      </c>
      <c r="E162" s="7">
        <v>0</v>
      </c>
      <c r="F162" s="7">
        <v>0</v>
      </c>
      <c r="G162" s="9"/>
      <c r="H162" s="9"/>
    </row>
    <row r="163" spans="1:8" ht="12.75">
      <c r="A163" s="6">
        <v>31501</v>
      </c>
      <c r="B163" s="6" t="s">
        <v>210</v>
      </c>
      <c r="C163" s="7">
        <v>0</v>
      </c>
      <c r="D163" s="7">
        <v>0</v>
      </c>
      <c r="E163" s="7">
        <v>0</v>
      </c>
      <c r="F163" s="7">
        <v>0</v>
      </c>
      <c r="G163" s="9"/>
      <c r="H163" s="9"/>
    </row>
    <row r="164" spans="1:8" ht="12.75">
      <c r="A164" s="6">
        <v>31601</v>
      </c>
      <c r="B164" s="6" t="s">
        <v>211</v>
      </c>
      <c r="C164" s="7">
        <v>0</v>
      </c>
      <c r="D164" s="7">
        <v>0</v>
      </c>
      <c r="E164" s="7">
        <v>100</v>
      </c>
      <c r="F164" s="8">
        <v>107142.39999999999</v>
      </c>
      <c r="G164" s="22"/>
      <c r="H164" s="9"/>
    </row>
    <row r="165" spans="1:8" ht="12.75">
      <c r="A165" s="6">
        <v>31602</v>
      </c>
      <c r="B165" s="6" t="s">
        <v>212</v>
      </c>
      <c r="C165" s="7">
        <v>0</v>
      </c>
      <c r="D165" s="7">
        <v>0</v>
      </c>
      <c r="E165" s="7">
        <v>57.26</v>
      </c>
      <c r="F165" s="8">
        <v>295006.40000000002</v>
      </c>
      <c r="G165" s="9"/>
      <c r="H165" s="9"/>
    </row>
    <row r="166" spans="1:8" ht="12.75">
      <c r="A166" s="6">
        <v>40101</v>
      </c>
      <c r="B166" s="6" t="s">
        <v>115</v>
      </c>
      <c r="C166" s="7">
        <v>0</v>
      </c>
      <c r="D166" s="7">
        <v>0</v>
      </c>
      <c r="E166" s="7">
        <v>0</v>
      </c>
      <c r="F166" s="7">
        <v>0</v>
      </c>
      <c r="G166" s="9"/>
      <c r="H166" s="9"/>
    </row>
    <row r="167" spans="1:8" ht="12.75">
      <c r="A167" s="6">
        <v>40102</v>
      </c>
      <c r="B167" s="6" t="s">
        <v>213</v>
      </c>
      <c r="C167" s="7">
        <v>0</v>
      </c>
      <c r="D167" s="7">
        <v>0</v>
      </c>
      <c r="E167" s="7">
        <v>0</v>
      </c>
      <c r="F167" s="7">
        <v>0</v>
      </c>
      <c r="G167" s="9"/>
      <c r="H167" s="9"/>
    </row>
    <row r="168" spans="1:8" ht="12.75">
      <c r="A168" s="6">
        <v>40103</v>
      </c>
      <c r="B168" s="6" t="s">
        <v>214</v>
      </c>
      <c r="C168" s="7">
        <v>0</v>
      </c>
      <c r="D168" s="7">
        <v>0</v>
      </c>
      <c r="E168" s="7">
        <v>0</v>
      </c>
      <c r="F168" s="7">
        <v>0</v>
      </c>
      <c r="G168" s="9"/>
      <c r="H168" s="9"/>
    </row>
    <row r="169" spans="1:8" ht="12.75">
      <c r="A169" s="6">
        <v>40104</v>
      </c>
      <c r="B169" s="6" t="s">
        <v>215</v>
      </c>
      <c r="C169" s="7">
        <v>0</v>
      </c>
      <c r="D169" s="7">
        <v>0</v>
      </c>
      <c r="E169" s="7">
        <v>0</v>
      </c>
      <c r="F169" s="7">
        <v>0</v>
      </c>
      <c r="G169" s="9"/>
      <c r="H169" s="9"/>
    </row>
    <row r="170" spans="1:8" ht="12.75">
      <c r="A170" s="6">
        <v>40201</v>
      </c>
      <c r="B170" s="6" t="s">
        <v>216</v>
      </c>
      <c r="C170" s="7">
        <v>0</v>
      </c>
      <c r="D170" s="7">
        <v>0</v>
      </c>
      <c r="E170" s="7">
        <v>123.41</v>
      </c>
      <c r="F170" s="8">
        <v>496929.6</v>
      </c>
      <c r="G170" s="9"/>
      <c r="H170" s="9"/>
    </row>
    <row r="171" spans="1:8" ht="12.75">
      <c r="A171" s="6">
        <v>40202</v>
      </c>
      <c r="B171" s="6" t="s">
        <v>217</v>
      </c>
      <c r="C171" s="7">
        <v>0</v>
      </c>
      <c r="D171" s="7">
        <v>0</v>
      </c>
      <c r="E171" s="7">
        <v>0</v>
      </c>
      <c r="F171" s="7">
        <v>0</v>
      </c>
      <c r="G171" s="9"/>
      <c r="H171" s="9"/>
    </row>
    <row r="172" spans="1:8" ht="12.75">
      <c r="A172" s="6">
        <v>40301</v>
      </c>
      <c r="B172" s="6" t="s">
        <v>218</v>
      </c>
      <c r="C172" s="7">
        <v>0</v>
      </c>
      <c r="D172" s="7">
        <v>0</v>
      </c>
      <c r="E172" s="7">
        <v>0</v>
      </c>
      <c r="F172" s="7">
        <v>0</v>
      </c>
      <c r="G172" s="9"/>
      <c r="H172" s="9"/>
    </row>
    <row r="173" spans="1:8" ht="12.75">
      <c r="A173" s="6">
        <v>40302</v>
      </c>
      <c r="B173" s="6" t="s">
        <v>219</v>
      </c>
      <c r="C173" s="7">
        <v>0</v>
      </c>
      <c r="D173" s="7">
        <v>0</v>
      </c>
      <c r="E173" s="7">
        <v>0</v>
      </c>
      <c r="F173" s="7">
        <v>0</v>
      </c>
      <c r="G173" s="9"/>
      <c r="H173" s="9"/>
    </row>
    <row r="174" spans="1:8" ht="12.75">
      <c r="A174" s="6">
        <v>40401</v>
      </c>
      <c r="B174" s="6" t="s">
        <v>220</v>
      </c>
      <c r="C174" s="7">
        <v>0</v>
      </c>
      <c r="D174" s="7">
        <v>0</v>
      </c>
      <c r="E174" s="7">
        <v>0</v>
      </c>
      <c r="F174" s="7">
        <v>0</v>
      </c>
      <c r="G174" s="9"/>
      <c r="H174" s="9"/>
    </row>
    <row r="175" spans="1:8" ht="12.75">
      <c r="A175" s="6">
        <v>40402</v>
      </c>
      <c r="B175" s="6" t="s">
        <v>221</v>
      </c>
      <c r="C175" s="7">
        <v>0</v>
      </c>
      <c r="D175" s="7">
        <v>0</v>
      </c>
      <c r="E175" s="7">
        <v>0</v>
      </c>
      <c r="F175" s="7">
        <v>0</v>
      </c>
      <c r="G175" s="9"/>
      <c r="H175" s="9"/>
    </row>
    <row r="176" spans="1:8" ht="12.75">
      <c r="A176" s="6">
        <v>40501</v>
      </c>
      <c r="B176" s="6" t="s">
        <v>222</v>
      </c>
      <c r="C176" s="7">
        <v>0</v>
      </c>
      <c r="D176" s="7">
        <v>0</v>
      </c>
      <c r="E176" s="7">
        <v>0</v>
      </c>
      <c r="F176" s="7">
        <v>0</v>
      </c>
      <c r="G176" s="9"/>
      <c r="H176" s="9"/>
    </row>
    <row r="177" spans="1:8" ht="12.75">
      <c r="A177" s="6">
        <v>40502</v>
      </c>
      <c r="B177" s="6" t="s">
        <v>223</v>
      </c>
      <c r="C177" s="7">
        <v>0</v>
      </c>
      <c r="D177" s="7">
        <v>0</v>
      </c>
      <c r="E177" s="7">
        <v>0</v>
      </c>
      <c r="F177" s="7">
        <v>0</v>
      </c>
      <c r="G177" s="9"/>
      <c r="H177" s="9"/>
    </row>
    <row r="178" spans="1:8" ht="12.75">
      <c r="A178" s="6">
        <v>40503</v>
      </c>
      <c r="B178" s="6" t="s">
        <v>224</v>
      </c>
      <c r="C178" s="7">
        <v>0</v>
      </c>
      <c r="D178" s="7">
        <v>0</v>
      </c>
      <c r="E178" s="7">
        <v>0</v>
      </c>
      <c r="F178" s="7">
        <v>0</v>
      </c>
      <c r="G178" s="9"/>
      <c r="H178" s="9"/>
    </row>
    <row r="179" spans="1:8" ht="12.75">
      <c r="A179" s="6">
        <v>40504</v>
      </c>
      <c r="B179" s="6" t="s">
        <v>225</v>
      </c>
      <c r="C179" s="7">
        <v>0</v>
      </c>
      <c r="D179" s="7">
        <v>0</v>
      </c>
      <c r="E179" s="7">
        <v>0</v>
      </c>
      <c r="F179" s="7">
        <v>0</v>
      </c>
      <c r="G179" s="9"/>
      <c r="H179" s="9"/>
    </row>
    <row r="180" spans="1:8" ht="12.75">
      <c r="A180" s="6">
        <v>40505</v>
      </c>
      <c r="B180" s="6" t="s">
        <v>226</v>
      </c>
      <c r="C180" s="7">
        <v>0</v>
      </c>
      <c r="D180" s="7">
        <v>0</v>
      </c>
      <c r="E180" s="7">
        <v>0</v>
      </c>
      <c r="F180" s="7">
        <v>0</v>
      </c>
      <c r="G180" s="9"/>
      <c r="H180" s="9"/>
    </row>
    <row r="181" spans="1:8" ht="12.75">
      <c r="A181" s="6">
        <v>40601</v>
      </c>
      <c r="B181" s="6" t="s">
        <v>227</v>
      </c>
      <c r="C181" s="7">
        <v>0</v>
      </c>
      <c r="D181" s="7">
        <v>0</v>
      </c>
      <c r="E181" s="7">
        <v>0</v>
      </c>
      <c r="F181" s="7">
        <v>0</v>
      </c>
      <c r="G181" s="9"/>
      <c r="H181" s="9"/>
    </row>
    <row r="182" spans="1:8" ht="12.75">
      <c r="A182" s="6">
        <v>40602</v>
      </c>
      <c r="B182" s="6" t="s">
        <v>228</v>
      </c>
      <c r="C182" s="7">
        <v>0</v>
      </c>
      <c r="D182" s="7">
        <v>0</v>
      </c>
      <c r="E182" s="7">
        <v>0</v>
      </c>
      <c r="F182" s="7">
        <v>0</v>
      </c>
      <c r="G182" s="9"/>
      <c r="H182" s="9"/>
    </row>
    <row r="183" spans="1:8" ht="12.75">
      <c r="A183" s="6">
        <v>40603</v>
      </c>
      <c r="B183" s="6" t="s">
        <v>229</v>
      </c>
      <c r="C183" s="7">
        <v>0</v>
      </c>
      <c r="D183" s="7">
        <v>0</v>
      </c>
      <c r="E183" s="7">
        <v>0</v>
      </c>
      <c r="F183" s="7">
        <v>0</v>
      </c>
      <c r="G183" s="9"/>
      <c r="H183" s="9"/>
    </row>
    <row r="184" spans="1:8" ht="12.75">
      <c r="A184" s="6">
        <v>40701</v>
      </c>
      <c r="B184" s="6" t="s">
        <v>230</v>
      </c>
      <c r="C184" s="7">
        <v>0</v>
      </c>
      <c r="D184" s="7">
        <v>0</v>
      </c>
      <c r="E184" s="7">
        <v>0</v>
      </c>
      <c r="F184" s="7">
        <v>0</v>
      </c>
      <c r="G184" s="9"/>
      <c r="H184" s="9"/>
    </row>
    <row r="185" spans="1:8" ht="12.75">
      <c r="A185" s="6">
        <v>40702</v>
      </c>
      <c r="B185" s="6" t="s">
        <v>231</v>
      </c>
      <c r="C185" s="7">
        <v>0</v>
      </c>
      <c r="D185" s="7">
        <v>0</v>
      </c>
      <c r="E185" s="7">
        <v>0</v>
      </c>
      <c r="F185" s="7">
        <v>0</v>
      </c>
      <c r="G185" s="9"/>
      <c r="H185" s="9"/>
    </row>
    <row r="186" spans="1:8" ht="12.75">
      <c r="A186" s="6">
        <v>40801</v>
      </c>
      <c r="B186" s="6" t="s">
        <v>232</v>
      </c>
      <c r="C186" s="7">
        <v>0</v>
      </c>
      <c r="D186" s="7">
        <v>0</v>
      </c>
      <c r="E186" s="7">
        <v>0</v>
      </c>
      <c r="F186" s="7">
        <v>0</v>
      </c>
      <c r="G186" s="9"/>
      <c r="H186" s="9"/>
    </row>
    <row r="187" spans="1:8" ht="12.75">
      <c r="A187" s="6">
        <v>40802</v>
      </c>
      <c r="B187" s="6" t="s">
        <v>233</v>
      </c>
      <c r="C187" s="7">
        <v>0</v>
      </c>
      <c r="D187" s="7">
        <v>0</v>
      </c>
      <c r="E187" s="7">
        <v>0</v>
      </c>
      <c r="F187" s="7">
        <v>0</v>
      </c>
      <c r="G187" s="9"/>
      <c r="H187" s="9"/>
    </row>
    <row r="188" spans="1:8" ht="12.75">
      <c r="A188" s="6">
        <v>40901</v>
      </c>
      <c r="B188" s="6" t="s">
        <v>234</v>
      </c>
      <c r="C188" s="7">
        <v>0</v>
      </c>
      <c r="D188" s="7">
        <v>0</v>
      </c>
      <c r="E188" s="7">
        <v>0</v>
      </c>
      <c r="F188" s="7">
        <v>0</v>
      </c>
      <c r="G188" s="9"/>
      <c r="H188" s="9"/>
    </row>
    <row r="189" spans="1:8" ht="12.75">
      <c r="A189" s="6">
        <v>40902</v>
      </c>
      <c r="B189" s="6" t="s">
        <v>235</v>
      </c>
      <c r="C189" s="7">
        <v>0</v>
      </c>
      <c r="D189" s="7">
        <v>0</v>
      </c>
      <c r="E189" s="7">
        <v>0</v>
      </c>
      <c r="F189" s="7">
        <v>0</v>
      </c>
      <c r="G189" s="9"/>
      <c r="H189" s="9"/>
    </row>
    <row r="190" spans="1:8" ht="12.75">
      <c r="A190" s="6">
        <v>40903</v>
      </c>
      <c r="B190" s="6" t="s">
        <v>236</v>
      </c>
      <c r="C190" s="7">
        <v>0</v>
      </c>
      <c r="D190" s="7">
        <v>0</v>
      </c>
      <c r="E190" s="7">
        <v>0</v>
      </c>
      <c r="F190" s="7">
        <v>0</v>
      </c>
      <c r="G190" s="9"/>
      <c r="H190" s="9"/>
    </row>
    <row r="191" spans="1:8" ht="12.75">
      <c r="A191" s="6">
        <v>41001</v>
      </c>
      <c r="B191" s="6" t="s">
        <v>237</v>
      </c>
      <c r="C191" s="7">
        <v>0</v>
      </c>
      <c r="D191" s="7">
        <v>0</v>
      </c>
      <c r="E191" s="7">
        <v>0</v>
      </c>
      <c r="F191" s="7">
        <v>0</v>
      </c>
      <c r="G191" s="9"/>
      <c r="H191" s="9"/>
    </row>
    <row r="192" spans="1:8" ht="12.75">
      <c r="A192" s="6">
        <v>41101</v>
      </c>
      <c r="B192" s="6" t="s">
        <v>238</v>
      </c>
      <c r="C192" s="7">
        <v>0</v>
      </c>
      <c r="D192" s="7">
        <v>0</v>
      </c>
      <c r="E192" s="7">
        <v>0</v>
      </c>
      <c r="F192" s="7">
        <v>0</v>
      </c>
      <c r="G192" s="9"/>
      <c r="H192" s="9"/>
    </row>
    <row r="193" spans="1:8" ht="12.75">
      <c r="A193" s="6">
        <v>41201</v>
      </c>
      <c r="B193" s="6" t="s">
        <v>239</v>
      </c>
      <c r="C193" s="7">
        <v>0</v>
      </c>
      <c r="D193" s="7">
        <v>0</v>
      </c>
      <c r="E193" s="7">
        <v>0</v>
      </c>
      <c r="F193" s="7">
        <v>0</v>
      </c>
      <c r="G193" s="9"/>
      <c r="H193" s="9"/>
    </row>
    <row r="194" spans="1:8" ht="12.75">
      <c r="A194" s="6">
        <v>41202</v>
      </c>
      <c r="B194" s="6" t="s">
        <v>240</v>
      </c>
      <c r="C194" s="7">
        <v>0</v>
      </c>
      <c r="D194" s="7">
        <v>0</v>
      </c>
      <c r="E194" s="7">
        <v>0</v>
      </c>
      <c r="F194" s="7">
        <v>0</v>
      </c>
      <c r="G194" s="9"/>
      <c r="H194" s="9"/>
    </row>
    <row r="195" spans="1:8" ht="12.75">
      <c r="A195" s="6">
        <v>41301</v>
      </c>
      <c r="B195" s="6" t="s">
        <v>195</v>
      </c>
      <c r="C195" s="7">
        <v>0</v>
      </c>
      <c r="D195" s="7">
        <v>0</v>
      </c>
      <c r="E195" s="7">
        <v>0</v>
      </c>
      <c r="F195" s="7">
        <v>0</v>
      </c>
      <c r="G195" s="9"/>
      <c r="H195" s="9"/>
    </row>
    <row r="196" spans="1:8" ht="12.75">
      <c r="A196" s="6">
        <v>41401</v>
      </c>
      <c r="B196" s="6" t="s">
        <v>241</v>
      </c>
      <c r="C196" s="7">
        <v>0</v>
      </c>
      <c r="D196" s="7">
        <v>0</v>
      </c>
      <c r="E196" s="7">
        <v>0</v>
      </c>
      <c r="F196" s="7">
        <v>0</v>
      </c>
      <c r="G196" s="9"/>
      <c r="H196" s="9"/>
    </row>
    <row r="197" spans="1:8" ht="12.75">
      <c r="A197" s="6">
        <v>41501</v>
      </c>
      <c r="B197" s="6" t="s">
        <v>242</v>
      </c>
      <c r="C197" s="7">
        <v>0</v>
      </c>
      <c r="D197" s="7">
        <v>0</v>
      </c>
      <c r="E197" s="7">
        <v>0</v>
      </c>
      <c r="F197" s="7">
        <v>0</v>
      </c>
      <c r="G197" s="9"/>
      <c r="H197" s="9"/>
    </row>
    <row r="198" spans="1:8" ht="12.75">
      <c r="A198" s="6">
        <v>41502</v>
      </c>
      <c r="B198" s="6" t="s">
        <v>243</v>
      </c>
      <c r="C198" s="7">
        <v>0</v>
      </c>
      <c r="D198" s="7">
        <v>0</v>
      </c>
      <c r="E198" s="7">
        <v>0</v>
      </c>
      <c r="F198" s="7">
        <v>0</v>
      </c>
      <c r="G198" s="9"/>
      <c r="H198" s="9"/>
    </row>
    <row r="199" spans="1:8" ht="12.75">
      <c r="A199" s="6">
        <v>41503</v>
      </c>
      <c r="B199" s="6" t="s">
        <v>244</v>
      </c>
      <c r="C199" s="7">
        <v>0</v>
      </c>
      <c r="D199" s="7">
        <v>0</v>
      </c>
      <c r="E199" s="7">
        <v>0</v>
      </c>
      <c r="F199" s="7">
        <v>0</v>
      </c>
      <c r="G199" s="9"/>
      <c r="H199" s="9"/>
    </row>
    <row r="200" spans="1:8" ht="12.75">
      <c r="A200" s="6">
        <v>41601</v>
      </c>
      <c r="B200" s="6" t="s">
        <v>245</v>
      </c>
      <c r="C200" s="7">
        <v>0</v>
      </c>
      <c r="D200" s="7">
        <v>0</v>
      </c>
      <c r="E200" s="7">
        <v>0</v>
      </c>
      <c r="F200" s="7">
        <v>0</v>
      </c>
      <c r="G200" s="9"/>
      <c r="H200" s="9"/>
    </row>
    <row r="201" spans="1:8" ht="12.75">
      <c r="A201" s="6">
        <v>50101</v>
      </c>
      <c r="B201" s="6" t="s">
        <v>117</v>
      </c>
      <c r="C201" s="7">
        <v>0</v>
      </c>
      <c r="D201" s="7">
        <v>0</v>
      </c>
      <c r="E201" s="7">
        <v>0</v>
      </c>
      <c r="F201" s="7">
        <v>0</v>
      </c>
      <c r="G201" s="9"/>
      <c r="H201" s="9"/>
    </row>
    <row r="202" spans="1:8" ht="12.75">
      <c r="A202" s="6">
        <v>50102</v>
      </c>
      <c r="B202" s="6" t="s">
        <v>246</v>
      </c>
      <c r="C202" s="7">
        <v>0</v>
      </c>
      <c r="D202" s="7">
        <v>0</v>
      </c>
      <c r="E202" s="7">
        <v>0</v>
      </c>
      <c r="F202" s="7">
        <v>0</v>
      </c>
      <c r="G202" s="9"/>
      <c r="H202" s="9"/>
    </row>
    <row r="203" spans="1:8" ht="12.75">
      <c r="A203" s="6">
        <v>50103</v>
      </c>
      <c r="B203" s="6" t="s">
        <v>247</v>
      </c>
      <c r="C203" s="7">
        <v>0</v>
      </c>
      <c r="D203" s="7">
        <v>0</v>
      </c>
      <c r="E203" s="7">
        <v>0</v>
      </c>
      <c r="F203" s="7">
        <v>0</v>
      </c>
      <c r="G203" s="9"/>
      <c r="H203" s="9"/>
    </row>
    <row r="204" spans="1:8" ht="12.75">
      <c r="A204" s="6">
        <v>50104</v>
      </c>
      <c r="B204" s="6" t="s">
        <v>248</v>
      </c>
      <c r="C204" s="7">
        <v>0</v>
      </c>
      <c r="D204" s="7">
        <v>0</v>
      </c>
      <c r="E204" s="7">
        <v>0</v>
      </c>
      <c r="F204" s="7">
        <v>0</v>
      </c>
      <c r="G204" s="9"/>
      <c r="H204" s="9"/>
    </row>
    <row r="205" spans="1:8" ht="12.75">
      <c r="A205" s="6">
        <v>50201</v>
      </c>
      <c r="B205" s="6" t="s">
        <v>249</v>
      </c>
      <c r="C205" s="7">
        <v>0</v>
      </c>
      <c r="D205" s="7">
        <v>0</v>
      </c>
      <c r="E205" s="7">
        <v>0</v>
      </c>
      <c r="F205" s="7">
        <v>0</v>
      </c>
      <c r="G205" s="9"/>
      <c r="H205" s="9"/>
    </row>
    <row r="206" spans="1:8" ht="12.75">
      <c r="A206" s="6">
        <v>50202</v>
      </c>
      <c r="B206" s="6" t="s">
        <v>250</v>
      </c>
      <c r="C206" s="7">
        <v>0</v>
      </c>
      <c r="D206" s="7">
        <v>0</v>
      </c>
      <c r="E206" s="7">
        <v>0</v>
      </c>
      <c r="F206" s="7">
        <v>0</v>
      </c>
      <c r="G206" s="9"/>
      <c r="H206" s="9"/>
    </row>
    <row r="207" spans="1:8" ht="12.75">
      <c r="A207" s="6">
        <v>50203</v>
      </c>
      <c r="B207" s="6" t="s">
        <v>251</v>
      </c>
      <c r="C207" s="7">
        <v>0</v>
      </c>
      <c r="D207" s="7">
        <v>0</v>
      </c>
      <c r="E207" s="7">
        <v>0</v>
      </c>
      <c r="F207" s="7">
        <v>0</v>
      </c>
      <c r="G207" s="9"/>
      <c r="H207" s="9"/>
    </row>
    <row r="208" spans="1:8" ht="12.75">
      <c r="A208" s="6">
        <v>50204</v>
      </c>
      <c r="B208" s="6" t="s">
        <v>252</v>
      </c>
      <c r="C208" s="7">
        <v>0</v>
      </c>
      <c r="D208" s="7">
        <v>0</v>
      </c>
      <c r="E208" s="7">
        <v>0</v>
      </c>
      <c r="F208" s="7">
        <v>0</v>
      </c>
      <c r="G208" s="9"/>
      <c r="H208" s="9"/>
    </row>
    <row r="209" spans="1:8" ht="12.75">
      <c r="A209" s="6">
        <v>50301</v>
      </c>
      <c r="B209" s="6" t="s">
        <v>253</v>
      </c>
      <c r="C209" s="7">
        <v>0</v>
      </c>
      <c r="D209" s="7">
        <v>0</v>
      </c>
      <c r="E209" s="7">
        <v>0</v>
      </c>
      <c r="F209" s="7">
        <v>0</v>
      </c>
      <c r="G209" s="9"/>
      <c r="H209" s="9"/>
    </row>
    <row r="210" spans="1:8" ht="12.75">
      <c r="A210" s="6">
        <v>50302</v>
      </c>
      <c r="B210" s="6" t="s">
        <v>254</v>
      </c>
      <c r="C210" s="7">
        <v>0</v>
      </c>
      <c r="D210" s="7">
        <v>0</v>
      </c>
      <c r="E210" s="7">
        <v>0</v>
      </c>
      <c r="F210" s="7">
        <v>0</v>
      </c>
      <c r="G210" s="9"/>
      <c r="H210" s="9"/>
    </row>
    <row r="211" spans="1:8" ht="12.75">
      <c r="A211" s="6">
        <v>50303</v>
      </c>
      <c r="B211" s="6" t="s">
        <v>255</v>
      </c>
      <c r="C211" s="7">
        <v>0</v>
      </c>
      <c r="D211" s="7">
        <v>0</v>
      </c>
      <c r="E211" s="7">
        <v>0</v>
      </c>
      <c r="F211" s="7">
        <v>0</v>
      </c>
      <c r="G211" s="9"/>
      <c r="H211" s="9"/>
    </row>
    <row r="212" spans="1:8" ht="12.75">
      <c r="A212" s="6">
        <v>50401</v>
      </c>
      <c r="B212" s="6" t="s">
        <v>256</v>
      </c>
      <c r="C212" s="7">
        <v>0</v>
      </c>
      <c r="D212" s="7">
        <v>0</v>
      </c>
      <c r="E212" s="7">
        <v>0</v>
      </c>
      <c r="F212" s="7">
        <v>0</v>
      </c>
      <c r="G212" s="9"/>
      <c r="H212" s="9"/>
    </row>
    <row r="213" spans="1:8" ht="12.75">
      <c r="A213" s="6">
        <v>50402</v>
      </c>
      <c r="B213" s="6" t="s">
        <v>257</v>
      </c>
      <c r="C213" s="7">
        <v>0</v>
      </c>
      <c r="D213" s="7">
        <v>0</v>
      </c>
      <c r="E213" s="7">
        <v>0</v>
      </c>
      <c r="F213" s="7">
        <v>0</v>
      </c>
      <c r="G213" s="9"/>
      <c r="H213" s="9"/>
    </row>
    <row r="214" spans="1:8" ht="12.75">
      <c r="A214" s="6">
        <v>50403</v>
      </c>
      <c r="B214" s="6" t="s">
        <v>258</v>
      </c>
      <c r="C214" s="7">
        <v>0</v>
      </c>
      <c r="D214" s="7">
        <v>0</v>
      </c>
      <c r="E214" s="7">
        <v>0</v>
      </c>
      <c r="F214" s="7">
        <v>0</v>
      </c>
      <c r="G214" s="9"/>
      <c r="H214" s="9"/>
    </row>
    <row r="215" spans="1:8" ht="12.75">
      <c r="A215" s="6">
        <v>50404</v>
      </c>
      <c r="B215" s="6" t="s">
        <v>259</v>
      </c>
      <c r="C215" s="7">
        <v>0</v>
      </c>
      <c r="D215" s="7">
        <v>0</v>
      </c>
      <c r="E215" s="7">
        <v>0</v>
      </c>
      <c r="F215" s="7">
        <v>0</v>
      </c>
      <c r="G215" s="9"/>
      <c r="H215" s="9"/>
    </row>
    <row r="216" spans="1:8" ht="12.75">
      <c r="A216" s="6">
        <v>50405</v>
      </c>
      <c r="B216" s="6" t="s">
        <v>260</v>
      </c>
      <c r="C216" s="7">
        <v>0</v>
      </c>
      <c r="D216" s="7">
        <v>0</v>
      </c>
      <c r="E216" s="7">
        <v>0</v>
      </c>
      <c r="F216" s="7">
        <v>0</v>
      </c>
      <c r="G216" s="9"/>
      <c r="H216" s="9"/>
    </row>
    <row r="217" spans="1:8" ht="12.75">
      <c r="A217" s="6">
        <v>50501</v>
      </c>
      <c r="B217" s="6" t="s">
        <v>261</v>
      </c>
      <c r="C217" s="7">
        <v>0</v>
      </c>
      <c r="D217" s="7">
        <v>0</v>
      </c>
      <c r="E217" s="7">
        <v>0</v>
      </c>
      <c r="F217" s="7">
        <v>0</v>
      </c>
      <c r="G217" s="9"/>
      <c r="H217" s="9"/>
    </row>
    <row r="218" spans="1:8" ht="12.75">
      <c r="A218" s="6">
        <v>50502</v>
      </c>
      <c r="B218" s="6" t="s">
        <v>262</v>
      </c>
      <c r="C218" s="7">
        <v>0</v>
      </c>
      <c r="D218" s="7">
        <v>0</v>
      </c>
      <c r="E218" s="7">
        <v>0</v>
      </c>
      <c r="F218" s="7">
        <v>0</v>
      </c>
      <c r="G218" s="9"/>
      <c r="H218" s="9"/>
    </row>
    <row r="219" spans="1:8" ht="12.75">
      <c r="A219" s="6">
        <v>50601</v>
      </c>
      <c r="B219" s="6" t="s">
        <v>263</v>
      </c>
      <c r="C219" s="7">
        <v>0</v>
      </c>
      <c r="D219" s="7">
        <v>0</v>
      </c>
      <c r="E219" s="7">
        <v>0</v>
      </c>
      <c r="F219" s="7">
        <v>0</v>
      </c>
      <c r="G219" s="9"/>
      <c r="H219" s="9"/>
    </row>
    <row r="220" spans="1:8" ht="12.75">
      <c r="A220" s="6">
        <v>50602</v>
      </c>
      <c r="B220" s="6" t="s">
        <v>264</v>
      </c>
      <c r="C220" s="7">
        <v>0</v>
      </c>
      <c r="D220" s="7">
        <v>0</v>
      </c>
      <c r="E220" s="7">
        <v>0</v>
      </c>
      <c r="F220" s="7">
        <v>0</v>
      </c>
      <c r="G220" s="9"/>
      <c r="H220" s="9"/>
    </row>
    <row r="221" spans="1:8" ht="12.75">
      <c r="A221" s="6">
        <v>50701</v>
      </c>
      <c r="B221" s="6" t="s">
        <v>265</v>
      </c>
      <c r="C221" s="7">
        <v>0</v>
      </c>
      <c r="D221" s="7">
        <v>0</v>
      </c>
      <c r="E221" s="7">
        <v>0</v>
      </c>
      <c r="F221" s="7">
        <v>0</v>
      </c>
      <c r="G221" s="9"/>
      <c r="H221" s="9"/>
    </row>
    <row r="222" spans="1:8" ht="12.75">
      <c r="A222" s="6">
        <v>50702</v>
      </c>
      <c r="B222" s="6" t="s">
        <v>266</v>
      </c>
      <c r="C222" s="7">
        <v>0</v>
      </c>
      <c r="D222" s="7">
        <v>0</v>
      </c>
      <c r="E222" s="7">
        <v>0</v>
      </c>
      <c r="F222" s="7">
        <v>0</v>
      </c>
      <c r="G222" s="9"/>
      <c r="H222" s="9"/>
    </row>
    <row r="223" spans="1:8" ht="12.75">
      <c r="A223" s="6">
        <v>50801</v>
      </c>
      <c r="B223" s="6" t="s">
        <v>267</v>
      </c>
      <c r="C223" s="7">
        <v>0</v>
      </c>
      <c r="D223" s="7">
        <v>0</v>
      </c>
      <c r="E223" s="7">
        <v>0</v>
      </c>
      <c r="F223" s="7">
        <v>0</v>
      </c>
      <c r="G223" s="9"/>
      <c r="H223" s="9"/>
    </row>
    <row r="224" spans="1:8" ht="12.75">
      <c r="A224" s="6">
        <v>50802</v>
      </c>
      <c r="B224" s="6" t="s">
        <v>268</v>
      </c>
      <c r="C224" s="7">
        <v>0</v>
      </c>
      <c r="D224" s="7">
        <v>0</v>
      </c>
      <c r="E224" s="7">
        <v>0</v>
      </c>
      <c r="F224" s="7">
        <v>0</v>
      </c>
      <c r="G224" s="9"/>
      <c r="H224" s="9"/>
    </row>
    <row r="225" spans="1:8" ht="12.75">
      <c r="A225" s="6">
        <v>50901</v>
      </c>
      <c r="B225" s="6" t="s">
        <v>269</v>
      </c>
      <c r="C225" s="7">
        <v>0</v>
      </c>
      <c r="D225" s="7">
        <v>0</v>
      </c>
      <c r="E225" s="7">
        <v>0</v>
      </c>
      <c r="F225" s="7">
        <v>0</v>
      </c>
      <c r="G225" s="9"/>
      <c r="H225" s="9"/>
    </row>
    <row r="226" spans="1:8" ht="12.75">
      <c r="A226" s="6">
        <v>50902</v>
      </c>
      <c r="B226" s="6" t="s">
        <v>270</v>
      </c>
      <c r="C226" s="7">
        <v>0</v>
      </c>
      <c r="D226" s="7">
        <v>0</v>
      </c>
      <c r="E226" s="7">
        <v>0</v>
      </c>
      <c r="F226" s="7">
        <v>0</v>
      </c>
      <c r="G226" s="9"/>
      <c r="H226" s="9"/>
    </row>
    <row r="227" spans="1:8" ht="12.75">
      <c r="A227" s="6">
        <v>51001</v>
      </c>
      <c r="B227" s="6" t="s">
        <v>271</v>
      </c>
      <c r="C227" s="7">
        <v>0</v>
      </c>
      <c r="D227" s="7">
        <v>0</v>
      </c>
      <c r="E227" s="7">
        <v>0</v>
      </c>
      <c r="F227" s="7">
        <v>0</v>
      </c>
      <c r="G227" s="9"/>
      <c r="H227" s="9"/>
    </row>
    <row r="228" spans="1:8" ht="12.75">
      <c r="A228" s="6">
        <v>51002</v>
      </c>
      <c r="B228" s="6" t="s">
        <v>272</v>
      </c>
      <c r="C228" s="7">
        <v>0</v>
      </c>
      <c r="D228" s="7">
        <v>0</v>
      </c>
      <c r="E228" s="7">
        <v>0</v>
      </c>
      <c r="F228" s="7">
        <v>0</v>
      </c>
      <c r="G228" s="9"/>
      <c r="H228" s="9"/>
    </row>
    <row r="229" spans="1:8" ht="12.75">
      <c r="A229" s="6">
        <v>51003</v>
      </c>
      <c r="B229" s="6" t="s">
        <v>273</v>
      </c>
      <c r="C229" s="7">
        <v>0</v>
      </c>
      <c r="D229" s="7">
        <v>0</v>
      </c>
      <c r="E229" s="7">
        <v>0</v>
      </c>
      <c r="F229" s="7">
        <v>0</v>
      </c>
      <c r="G229" s="9"/>
      <c r="H229" s="9"/>
    </row>
    <row r="230" spans="1:8" ht="12.75">
      <c r="A230" s="6">
        <v>51101</v>
      </c>
      <c r="B230" s="6" t="s">
        <v>274</v>
      </c>
      <c r="C230" s="7">
        <v>0</v>
      </c>
      <c r="D230" s="7">
        <v>0</v>
      </c>
      <c r="E230" s="7">
        <v>0</v>
      </c>
      <c r="F230" s="7">
        <v>0</v>
      </c>
      <c r="G230" s="9"/>
      <c r="H230" s="9"/>
    </row>
    <row r="231" spans="1:8" ht="12.75">
      <c r="A231" s="6">
        <v>51102</v>
      </c>
      <c r="B231" s="6" t="s">
        <v>275</v>
      </c>
      <c r="C231" s="7">
        <v>0</v>
      </c>
      <c r="D231" s="7">
        <v>0</v>
      </c>
      <c r="E231" s="7">
        <v>0</v>
      </c>
      <c r="F231" s="7">
        <v>0</v>
      </c>
      <c r="G231" s="9"/>
      <c r="H231" s="9"/>
    </row>
    <row r="232" spans="1:8" ht="12.75">
      <c r="A232" s="6">
        <v>51103</v>
      </c>
      <c r="B232" s="6" t="s">
        <v>276</v>
      </c>
      <c r="C232" s="7">
        <v>0</v>
      </c>
      <c r="D232" s="7">
        <v>0</v>
      </c>
      <c r="E232" s="7">
        <v>0</v>
      </c>
      <c r="F232" s="7">
        <v>0</v>
      </c>
      <c r="G232" s="9"/>
      <c r="H232" s="9"/>
    </row>
    <row r="233" spans="1:8" ht="12.75">
      <c r="A233" s="6">
        <v>51201</v>
      </c>
      <c r="B233" s="6" t="s">
        <v>277</v>
      </c>
      <c r="C233" s="7">
        <v>0</v>
      </c>
      <c r="D233" s="7">
        <v>0</v>
      </c>
      <c r="E233" s="7">
        <v>0</v>
      </c>
      <c r="F233" s="7">
        <v>0</v>
      </c>
      <c r="G233" s="9"/>
      <c r="H233" s="9"/>
    </row>
    <row r="234" spans="1:8" ht="12.75">
      <c r="A234" s="6">
        <v>51202</v>
      </c>
      <c r="B234" s="6" t="s">
        <v>278</v>
      </c>
      <c r="C234" s="7">
        <v>0</v>
      </c>
      <c r="D234" s="7">
        <v>0</v>
      </c>
      <c r="E234" s="7">
        <v>0</v>
      </c>
      <c r="F234" s="7">
        <v>0</v>
      </c>
      <c r="G234" s="9"/>
      <c r="H234" s="9"/>
    </row>
    <row r="235" spans="1:8" ht="12.75">
      <c r="A235" s="6">
        <v>51203</v>
      </c>
      <c r="B235" s="6" t="s">
        <v>279</v>
      </c>
      <c r="C235" s="7">
        <v>0</v>
      </c>
      <c r="D235" s="7">
        <v>0</v>
      </c>
      <c r="E235" s="7">
        <v>0</v>
      </c>
      <c r="F235" s="7">
        <v>0</v>
      </c>
      <c r="G235" s="9"/>
      <c r="H235" s="9"/>
    </row>
    <row r="236" spans="1:8" ht="12.75">
      <c r="A236" s="6">
        <v>51204</v>
      </c>
      <c r="B236" s="6" t="s">
        <v>280</v>
      </c>
      <c r="C236" s="7">
        <v>0</v>
      </c>
      <c r="D236" s="7">
        <v>0</v>
      </c>
      <c r="E236" s="7">
        <v>0</v>
      </c>
      <c r="F236" s="7">
        <v>0</v>
      </c>
      <c r="G236" s="9"/>
      <c r="H236" s="9"/>
    </row>
    <row r="237" spans="1:8" ht="12.75">
      <c r="A237" s="6">
        <v>51301</v>
      </c>
      <c r="B237" s="6" t="s">
        <v>281</v>
      </c>
      <c r="C237" s="7">
        <v>0</v>
      </c>
      <c r="D237" s="7">
        <v>0</v>
      </c>
      <c r="E237" s="7">
        <v>0</v>
      </c>
      <c r="F237" s="7">
        <v>0</v>
      </c>
      <c r="G237" s="9"/>
      <c r="H237" s="9"/>
    </row>
    <row r="238" spans="1:8" ht="12.75">
      <c r="A238" s="6">
        <v>51302</v>
      </c>
      <c r="B238" s="6" t="s">
        <v>282</v>
      </c>
      <c r="C238" s="7">
        <v>0</v>
      </c>
      <c r="D238" s="7">
        <v>0</v>
      </c>
      <c r="E238" s="7">
        <v>0</v>
      </c>
      <c r="F238" s="7">
        <v>0</v>
      </c>
      <c r="G238" s="9"/>
      <c r="H238" s="9"/>
    </row>
    <row r="239" spans="1:8" ht="12.75">
      <c r="A239" s="6">
        <v>51401</v>
      </c>
      <c r="B239" s="6" t="s">
        <v>283</v>
      </c>
      <c r="C239" s="7">
        <v>0</v>
      </c>
      <c r="D239" s="7">
        <v>0</v>
      </c>
      <c r="E239" s="7">
        <v>0</v>
      </c>
      <c r="F239" s="7">
        <v>0</v>
      </c>
      <c r="G239" s="9"/>
      <c r="H239" s="9"/>
    </row>
    <row r="240" spans="1:8" ht="12.75">
      <c r="A240" s="6">
        <v>51402</v>
      </c>
      <c r="B240" s="6" t="s">
        <v>284</v>
      </c>
      <c r="C240" s="7">
        <v>0</v>
      </c>
      <c r="D240" s="7">
        <v>0</v>
      </c>
      <c r="E240" s="7">
        <v>0</v>
      </c>
      <c r="F240" s="7">
        <v>0</v>
      </c>
      <c r="G240" s="9"/>
      <c r="H240" s="9"/>
    </row>
    <row r="241" spans="1:8" ht="12.75">
      <c r="A241" s="6">
        <v>51501</v>
      </c>
      <c r="B241" s="6" t="s">
        <v>285</v>
      </c>
      <c r="C241" s="7">
        <v>0</v>
      </c>
      <c r="D241" s="7">
        <v>0</v>
      </c>
      <c r="E241" s="7">
        <v>32.9</v>
      </c>
      <c r="F241" s="8">
        <v>247977.34</v>
      </c>
      <c r="G241" s="9"/>
      <c r="H241" s="9"/>
    </row>
    <row r="242" spans="1:8" ht="12.75">
      <c r="A242" s="6">
        <v>51601</v>
      </c>
      <c r="B242" s="6" t="s">
        <v>286</v>
      </c>
      <c r="C242" s="7">
        <v>0</v>
      </c>
      <c r="D242" s="7">
        <v>0</v>
      </c>
      <c r="E242" s="7">
        <v>0</v>
      </c>
      <c r="F242" s="7">
        <v>0</v>
      </c>
      <c r="G242" s="9"/>
      <c r="H242" s="9"/>
    </row>
    <row r="243" spans="1:8" ht="12.75">
      <c r="A243" s="6">
        <v>60101</v>
      </c>
      <c r="B243" s="6" t="s">
        <v>119</v>
      </c>
      <c r="C243" s="7">
        <v>104.6</v>
      </c>
      <c r="D243" s="8">
        <v>7647480</v>
      </c>
      <c r="E243" s="7">
        <v>119.4</v>
      </c>
      <c r="F243" s="8">
        <v>11416032</v>
      </c>
      <c r="G243" s="9"/>
      <c r="H243" s="9"/>
    </row>
    <row r="244" spans="1:8" ht="12.75">
      <c r="A244" s="6">
        <v>60201</v>
      </c>
      <c r="B244" s="6" t="s">
        <v>287</v>
      </c>
      <c r="C244" s="7">
        <v>0</v>
      </c>
      <c r="D244" s="7">
        <v>0</v>
      </c>
      <c r="E244" s="7">
        <v>0</v>
      </c>
      <c r="F244" s="7">
        <v>0</v>
      </c>
      <c r="G244" s="9"/>
      <c r="H244" s="9"/>
    </row>
    <row r="245" spans="1:8" ht="12.75">
      <c r="A245" s="6">
        <v>60202</v>
      </c>
      <c r="B245" s="6" t="s">
        <v>288</v>
      </c>
      <c r="C245" s="7">
        <v>87.5</v>
      </c>
      <c r="D245" s="8">
        <v>1376743</v>
      </c>
      <c r="E245" s="7">
        <v>52.5</v>
      </c>
      <c r="F245" s="8">
        <v>1178784</v>
      </c>
      <c r="G245" s="9"/>
      <c r="H245" s="9"/>
    </row>
    <row r="246" spans="1:8" ht="12.75">
      <c r="A246" s="6">
        <v>60301</v>
      </c>
      <c r="B246" s="6" t="s">
        <v>289</v>
      </c>
      <c r="C246" s="7">
        <v>126.13</v>
      </c>
      <c r="D246" s="8">
        <v>2049840</v>
      </c>
      <c r="E246" s="7">
        <v>116.53</v>
      </c>
      <c r="F246" s="8">
        <v>2176947.6</v>
      </c>
      <c r="G246" s="9"/>
      <c r="H246" s="9"/>
    </row>
    <row r="247" spans="1:8" ht="12.75">
      <c r="A247" s="6">
        <v>60302</v>
      </c>
      <c r="B247" s="6" t="s">
        <v>290</v>
      </c>
      <c r="C247" s="7">
        <v>0</v>
      </c>
      <c r="D247" s="7">
        <v>0</v>
      </c>
      <c r="E247" s="7">
        <v>0</v>
      </c>
      <c r="F247" s="7">
        <v>0</v>
      </c>
      <c r="G247" s="9"/>
      <c r="H247" s="9"/>
    </row>
    <row r="248" spans="1:8" ht="12.75">
      <c r="A248" s="6">
        <v>60303</v>
      </c>
      <c r="B248" s="6" t="s">
        <v>291</v>
      </c>
      <c r="C248" s="7">
        <v>0</v>
      </c>
      <c r="D248" s="7">
        <v>0</v>
      </c>
      <c r="E248" s="7">
        <v>0</v>
      </c>
      <c r="F248" s="7">
        <v>0</v>
      </c>
      <c r="G248" s="9"/>
      <c r="H248" s="9"/>
    </row>
    <row r="249" spans="1:8" ht="12.75">
      <c r="A249" s="6">
        <v>60401</v>
      </c>
      <c r="B249" s="6" t="s">
        <v>292</v>
      </c>
      <c r="C249" s="7">
        <v>0</v>
      </c>
      <c r="D249" s="7">
        <v>0</v>
      </c>
      <c r="E249" s="7">
        <v>0</v>
      </c>
      <c r="F249" s="7">
        <v>0</v>
      </c>
      <c r="G249" s="9"/>
      <c r="H249" s="9"/>
    </row>
    <row r="250" spans="1:8" ht="12.75">
      <c r="A250" s="6">
        <v>60402</v>
      </c>
      <c r="B250" s="6" t="s">
        <v>293</v>
      </c>
      <c r="C250" s="7">
        <v>0</v>
      </c>
      <c r="D250" s="7">
        <v>0</v>
      </c>
      <c r="E250" s="7">
        <v>0</v>
      </c>
      <c r="F250" s="7">
        <v>0</v>
      </c>
      <c r="G250" s="9"/>
      <c r="H250" s="9"/>
    </row>
    <row r="251" spans="1:8" ht="12.75">
      <c r="A251" s="6">
        <v>60501</v>
      </c>
      <c r="B251" s="6" t="s">
        <v>294</v>
      </c>
      <c r="C251" s="7">
        <v>0</v>
      </c>
      <c r="D251" s="7">
        <v>0</v>
      </c>
      <c r="E251" s="7">
        <v>0</v>
      </c>
      <c r="F251" s="7">
        <v>0</v>
      </c>
      <c r="G251" s="9"/>
      <c r="H251" s="9"/>
    </row>
    <row r="252" spans="1:8" ht="12.75">
      <c r="A252" s="6">
        <v>60502</v>
      </c>
      <c r="B252" s="6" t="s">
        <v>295</v>
      </c>
      <c r="C252" s="7">
        <v>0</v>
      </c>
      <c r="D252" s="7">
        <v>0</v>
      </c>
      <c r="E252" s="7">
        <v>0</v>
      </c>
      <c r="F252" s="7">
        <v>0</v>
      </c>
      <c r="G252" s="9"/>
      <c r="H252" s="9"/>
    </row>
    <row r="253" spans="1:8" ht="12.75">
      <c r="A253" s="23">
        <v>60601</v>
      </c>
      <c r="B253" s="23" t="s">
        <v>200</v>
      </c>
      <c r="C253" s="24">
        <v>0</v>
      </c>
      <c r="D253" s="24">
        <v>0</v>
      </c>
      <c r="E253" s="24">
        <v>0</v>
      </c>
      <c r="F253" s="25">
        <v>0</v>
      </c>
      <c r="G253" s="26" t="s">
        <v>296</v>
      </c>
      <c r="H253" s="27" t="s">
        <v>297</v>
      </c>
    </row>
    <row r="254" spans="1:8" ht="15">
      <c r="A254" s="73">
        <v>70101</v>
      </c>
      <c r="B254" s="28" t="s">
        <v>9</v>
      </c>
      <c r="C254" s="29">
        <v>99.02</v>
      </c>
      <c r="D254" s="30">
        <v>43078729</v>
      </c>
      <c r="E254" s="29">
        <v>109.57</v>
      </c>
      <c r="F254" s="31">
        <v>61892173.439999998</v>
      </c>
      <c r="G254" s="67">
        <f>SUM(D254:D264)</f>
        <v>50324728</v>
      </c>
      <c r="H254" s="69">
        <f>SUM(F254:F264)</f>
        <v>76282342.920000002</v>
      </c>
    </row>
    <row r="255" spans="1:8" ht="15">
      <c r="A255" s="75"/>
      <c r="B255" s="6" t="s">
        <v>298</v>
      </c>
      <c r="C255" s="7">
        <v>122.1</v>
      </c>
      <c r="D255" s="8">
        <v>5489856</v>
      </c>
      <c r="E255" s="7">
        <v>118.88</v>
      </c>
      <c r="F255" s="32">
        <v>6710239</v>
      </c>
      <c r="G255" s="72"/>
      <c r="H255" s="76"/>
    </row>
    <row r="256" spans="1:8" ht="15">
      <c r="A256" s="75"/>
      <c r="B256" s="6" t="s">
        <v>11</v>
      </c>
      <c r="C256" s="7">
        <v>55.75</v>
      </c>
      <c r="D256" s="8">
        <v>1358724</v>
      </c>
      <c r="E256" s="7">
        <v>56.2</v>
      </c>
      <c r="F256" s="32">
        <v>1762052</v>
      </c>
      <c r="G256" s="72"/>
      <c r="H256" s="76"/>
    </row>
    <row r="257" spans="1:8" ht="15">
      <c r="A257" s="75"/>
      <c r="B257" s="6" t="s">
        <v>299</v>
      </c>
      <c r="C257" s="7">
        <v>0</v>
      </c>
      <c r="D257" s="7">
        <v>0</v>
      </c>
      <c r="E257" s="7">
        <v>93.19</v>
      </c>
      <c r="F257" s="32">
        <v>5010756.4800000004</v>
      </c>
      <c r="G257" s="72"/>
      <c r="H257" s="76"/>
    </row>
    <row r="258" spans="1:8" ht="15">
      <c r="A258" s="75"/>
      <c r="B258" s="6" t="s">
        <v>13</v>
      </c>
      <c r="C258" s="7">
        <v>0</v>
      </c>
      <c r="D258" s="7">
        <v>0</v>
      </c>
      <c r="E258" s="7">
        <v>0</v>
      </c>
      <c r="F258" s="33">
        <v>0</v>
      </c>
      <c r="G258" s="72"/>
      <c r="H258" s="76"/>
    </row>
    <row r="259" spans="1:8" ht="15">
      <c r="A259" s="75"/>
      <c r="B259" s="6" t="s">
        <v>14</v>
      </c>
      <c r="C259" s="7">
        <v>0</v>
      </c>
      <c r="D259" s="7">
        <v>0</v>
      </c>
      <c r="E259" s="7">
        <v>0</v>
      </c>
      <c r="F259" s="33">
        <v>0</v>
      </c>
      <c r="G259" s="72"/>
      <c r="H259" s="76"/>
    </row>
    <row r="260" spans="1:8" ht="15">
      <c r="A260" s="75"/>
      <c r="B260" s="6" t="s">
        <v>15</v>
      </c>
      <c r="C260" s="7">
        <v>0</v>
      </c>
      <c r="D260" s="7">
        <v>0</v>
      </c>
      <c r="E260" s="7">
        <v>0</v>
      </c>
      <c r="F260" s="33">
        <v>0</v>
      </c>
      <c r="G260" s="72"/>
      <c r="H260" s="76"/>
    </row>
    <row r="261" spans="1:8" ht="15">
      <c r="A261" s="75"/>
      <c r="B261" s="6" t="s">
        <v>16</v>
      </c>
      <c r="C261" s="7">
        <v>63.55</v>
      </c>
      <c r="D261" s="8">
        <v>397419</v>
      </c>
      <c r="E261" s="7">
        <v>79.48</v>
      </c>
      <c r="F261" s="32">
        <v>625228</v>
      </c>
      <c r="G261" s="72"/>
      <c r="H261" s="76"/>
    </row>
    <row r="262" spans="1:8" ht="12.75">
      <c r="A262" s="75"/>
      <c r="B262" s="6" t="s">
        <v>52</v>
      </c>
      <c r="C262" s="7">
        <v>0</v>
      </c>
      <c r="D262" s="7">
        <v>0</v>
      </c>
      <c r="E262" s="7">
        <v>0</v>
      </c>
      <c r="F262" s="7">
        <v>0</v>
      </c>
      <c r="G262" s="72"/>
      <c r="H262" s="76"/>
    </row>
    <row r="263" spans="1:8" ht="12.75">
      <c r="A263" s="75"/>
      <c r="B263" s="6" t="s">
        <v>53</v>
      </c>
      <c r="C263" s="7">
        <v>0</v>
      </c>
      <c r="D263" s="7">
        <v>0</v>
      </c>
      <c r="E263" s="7">
        <v>0</v>
      </c>
      <c r="F263" s="7">
        <v>0</v>
      </c>
      <c r="G263" s="72"/>
      <c r="H263" s="76"/>
    </row>
    <row r="264" spans="1:8" ht="12.75">
      <c r="A264" s="74"/>
      <c r="B264" s="34" t="s">
        <v>54</v>
      </c>
      <c r="C264" s="35">
        <v>0</v>
      </c>
      <c r="D264" s="35">
        <v>0</v>
      </c>
      <c r="E264" s="35">
        <v>50.57</v>
      </c>
      <c r="F264" s="36">
        <v>281894</v>
      </c>
      <c r="G264" s="68"/>
      <c r="H264" s="70"/>
    </row>
    <row r="265" spans="1:8" ht="12.75">
      <c r="A265" s="37">
        <v>70102</v>
      </c>
      <c r="B265" s="37" t="s">
        <v>300</v>
      </c>
      <c r="C265" s="38">
        <v>75</v>
      </c>
      <c r="D265" s="39">
        <v>446811.6</v>
      </c>
      <c r="E265" s="38">
        <v>26.76</v>
      </c>
      <c r="F265" s="39">
        <v>343796.98</v>
      </c>
      <c r="G265" s="9"/>
      <c r="H265" s="9"/>
    </row>
    <row r="266" spans="1:8" ht="12.75">
      <c r="A266" s="23">
        <v>70103</v>
      </c>
      <c r="B266" s="23" t="s">
        <v>301</v>
      </c>
      <c r="C266" s="24">
        <v>0</v>
      </c>
      <c r="D266" s="24">
        <v>0</v>
      </c>
      <c r="E266" s="24">
        <v>108.71</v>
      </c>
      <c r="F266" s="40">
        <v>147063.06</v>
      </c>
      <c r="G266" s="9"/>
      <c r="H266" s="9"/>
    </row>
    <row r="267" spans="1:8" ht="12.75">
      <c r="A267" s="73">
        <v>70104</v>
      </c>
      <c r="B267" s="28" t="s">
        <v>302</v>
      </c>
      <c r="C267" s="29">
        <v>0</v>
      </c>
      <c r="D267" s="29">
        <v>0</v>
      </c>
      <c r="E267" s="29">
        <v>0</v>
      </c>
      <c r="F267" s="29">
        <v>0</v>
      </c>
      <c r="G267" s="71">
        <f>SUM(D267:D270)</f>
        <v>0</v>
      </c>
      <c r="H267" s="77">
        <f>SUM(F267:F270)</f>
        <v>414846</v>
      </c>
    </row>
    <row r="268" spans="1:8" ht="12.75">
      <c r="A268" s="75"/>
      <c r="B268" s="6" t="s">
        <v>73</v>
      </c>
      <c r="C268" s="7">
        <v>0</v>
      </c>
      <c r="D268" s="7">
        <v>0</v>
      </c>
      <c r="E268" s="7">
        <v>0</v>
      </c>
      <c r="F268" s="7">
        <v>0</v>
      </c>
      <c r="G268" s="72"/>
      <c r="H268" s="76"/>
    </row>
    <row r="269" spans="1:8" ht="12.75">
      <c r="A269" s="75"/>
      <c r="B269" s="6" t="s">
        <v>74</v>
      </c>
      <c r="C269" s="7">
        <v>0</v>
      </c>
      <c r="D269" s="7">
        <v>0</v>
      </c>
      <c r="E269" s="7">
        <v>56.82</v>
      </c>
      <c r="F269" s="8">
        <v>414846</v>
      </c>
      <c r="G269" s="72"/>
      <c r="H269" s="76"/>
    </row>
    <row r="270" spans="1:8" ht="12.75">
      <c r="A270" s="74"/>
      <c r="B270" s="34" t="s">
        <v>75</v>
      </c>
      <c r="C270" s="35">
        <v>0</v>
      </c>
      <c r="D270" s="35">
        <v>0</v>
      </c>
      <c r="E270" s="35">
        <v>0</v>
      </c>
      <c r="F270" s="35">
        <v>0</v>
      </c>
      <c r="G270" s="68"/>
      <c r="H270" s="70"/>
    </row>
    <row r="271" spans="1:8" ht="12.75">
      <c r="A271" s="73">
        <v>70105</v>
      </c>
      <c r="B271" s="28" t="s">
        <v>31</v>
      </c>
      <c r="C271" s="29">
        <v>70.87</v>
      </c>
      <c r="D271" s="30">
        <v>404422</v>
      </c>
      <c r="E271" s="29">
        <v>37.56</v>
      </c>
      <c r="F271" s="30">
        <v>303487</v>
      </c>
      <c r="G271" s="67">
        <f>SUM(D271:D272)</f>
        <v>404422</v>
      </c>
      <c r="H271" s="69">
        <f>SUM(F271:F272)</f>
        <v>303487</v>
      </c>
    </row>
    <row r="272" spans="1:8" ht="12.75">
      <c r="A272" s="74"/>
      <c r="B272" s="34" t="s">
        <v>32</v>
      </c>
      <c r="C272" s="35">
        <v>0</v>
      </c>
      <c r="D272" s="35">
        <v>0</v>
      </c>
      <c r="E272" s="35">
        <v>0</v>
      </c>
      <c r="F272" s="35">
        <v>0</v>
      </c>
      <c r="G272" s="68"/>
      <c r="H272" s="70"/>
    </row>
    <row r="273" spans="1:8" ht="12.75">
      <c r="A273" s="37">
        <v>70201</v>
      </c>
      <c r="B273" s="37" t="s">
        <v>303</v>
      </c>
      <c r="C273" s="38">
        <v>77.25</v>
      </c>
      <c r="D273" s="39">
        <v>614952</v>
      </c>
      <c r="E273" s="38">
        <v>48.96</v>
      </c>
      <c r="F273" s="39">
        <v>585080</v>
      </c>
      <c r="G273" s="9"/>
      <c r="H273" s="9"/>
    </row>
    <row r="274" spans="1:8" ht="12.75">
      <c r="A274" s="6">
        <v>70202</v>
      </c>
      <c r="B274" s="6" t="s">
        <v>304</v>
      </c>
      <c r="C274" s="7">
        <v>0</v>
      </c>
      <c r="D274" s="7">
        <v>0</v>
      </c>
      <c r="E274" s="7">
        <v>0</v>
      </c>
      <c r="F274" s="7">
        <v>0</v>
      </c>
      <c r="G274" s="9"/>
      <c r="H274" s="9"/>
    </row>
    <row r="275" spans="1:8" ht="12.75">
      <c r="A275" s="6">
        <v>70301</v>
      </c>
      <c r="B275" s="6" t="s">
        <v>305</v>
      </c>
      <c r="C275" s="7">
        <v>33.94</v>
      </c>
      <c r="D275" s="8">
        <v>291236</v>
      </c>
      <c r="E275" s="7">
        <v>19.739999999999998</v>
      </c>
      <c r="F275" s="8">
        <v>214104</v>
      </c>
      <c r="G275" s="9"/>
      <c r="H275" s="9"/>
    </row>
    <row r="276" spans="1:8" ht="12.75">
      <c r="A276" s="6">
        <v>70302</v>
      </c>
      <c r="B276" s="6" t="s">
        <v>306</v>
      </c>
      <c r="C276" s="7">
        <v>0</v>
      </c>
      <c r="D276" s="7">
        <v>0</v>
      </c>
      <c r="E276" s="7">
        <v>0</v>
      </c>
      <c r="F276" s="7">
        <v>0</v>
      </c>
      <c r="G276" s="9"/>
      <c r="H276" s="9"/>
    </row>
    <row r="277" spans="1:8" ht="12.75">
      <c r="A277" s="6">
        <v>70303</v>
      </c>
      <c r="B277" s="6" t="s">
        <v>307</v>
      </c>
      <c r="C277" s="7">
        <v>0</v>
      </c>
      <c r="D277" s="7">
        <v>0</v>
      </c>
      <c r="E277" s="7">
        <v>0</v>
      </c>
      <c r="F277" s="7">
        <v>0</v>
      </c>
      <c r="G277" s="9"/>
      <c r="H277" s="9"/>
    </row>
    <row r="278" spans="1:8" ht="12.75">
      <c r="A278" s="23">
        <v>70401</v>
      </c>
      <c r="B278" s="23" t="s">
        <v>308</v>
      </c>
      <c r="C278" s="24">
        <v>0</v>
      </c>
      <c r="D278" s="24">
        <v>0</v>
      </c>
      <c r="E278" s="24">
        <v>0</v>
      </c>
      <c r="F278" s="24">
        <v>0</v>
      </c>
      <c r="G278" s="9"/>
      <c r="H278" s="9"/>
    </row>
    <row r="279" spans="1:8" ht="12.75">
      <c r="A279" s="73">
        <v>70402</v>
      </c>
      <c r="B279" s="28" t="s">
        <v>85</v>
      </c>
      <c r="C279" s="29">
        <v>0</v>
      </c>
      <c r="D279" s="29">
        <v>0</v>
      </c>
      <c r="E279" s="29">
        <v>87.52</v>
      </c>
      <c r="F279" s="30">
        <v>257218</v>
      </c>
      <c r="G279" s="71">
        <f>SUM(D279:D280)</f>
        <v>0</v>
      </c>
      <c r="H279" s="69">
        <f>SUM(F279:F280)</f>
        <v>257218</v>
      </c>
    </row>
    <row r="280" spans="1:8" ht="12.75">
      <c r="A280" s="74"/>
      <c r="B280" s="34" t="s">
        <v>86</v>
      </c>
      <c r="C280" s="35">
        <v>0</v>
      </c>
      <c r="D280" s="35">
        <v>0</v>
      </c>
      <c r="E280" s="35">
        <v>0</v>
      </c>
      <c r="F280" s="35">
        <v>0</v>
      </c>
      <c r="G280" s="68"/>
      <c r="H280" s="70"/>
    </row>
    <row r="281" spans="1:8" ht="12.75">
      <c r="A281" s="37">
        <v>70403</v>
      </c>
      <c r="B281" s="37" t="s">
        <v>309</v>
      </c>
      <c r="C281" s="38">
        <v>27.82</v>
      </c>
      <c r="D281" s="39">
        <v>198720</v>
      </c>
      <c r="E281" s="38">
        <v>25.4</v>
      </c>
      <c r="F281" s="39">
        <v>305519.2</v>
      </c>
      <c r="G281" s="9"/>
      <c r="H281" s="9"/>
    </row>
    <row r="282" spans="1:8" ht="12.75">
      <c r="A282" s="6">
        <v>70404</v>
      </c>
      <c r="B282" s="6" t="s">
        <v>310</v>
      </c>
      <c r="C282" s="7">
        <v>0</v>
      </c>
      <c r="D282" s="7">
        <v>0</v>
      </c>
      <c r="E282" s="7">
        <v>0</v>
      </c>
      <c r="F282" s="7">
        <v>0</v>
      </c>
      <c r="G282" s="9"/>
      <c r="H282" s="9"/>
    </row>
    <row r="283" spans="1:8" ht="12.75">
      <c r="A283" s="6">
        <v>70501</v>
      </c>
      <c r="B283" s="6" t="s">
        <v>311</v>
      </c>
      <c r="C283" s="7">
        <v>0</v>
      </c>
      <c r="D283" s="7">
        <v>0</v>
      </c>
      <c r="E283" s="7">
        <v>0</v>
      </c>
      <c r="F283" s="7">
        <v>0</v>
      </c>
      <c r="G283" s="9"/>
      <c r="H283" s="9"/>
    </row>
    <row r="284" spans="1:8" ht="12.75">
      <c r="A284" s="6">
        <v>70502</v>
      </c>
      <c r="B284" s="6" t="s">
        <v>312</v>
      </c>
      <c r="C284" s="7">
        <v>0</v>
      </c>
      <c r="D284" s="7">
        <v>0</v>
      </c>
      <c r="E284" s="7">
        <v>0</v>
      </c>
      <c r="F284" s="7">
        <v>0</v>
      </c>
      <c r="G284" s="9"/>
      <c r="H284" s="9"/>
    </row>
    <row r="285" spans="1:8" ht="12.75">
      <c r="A285" s="6">
        <v>70503</v>
      </c>
      <c r="B285" s="6" t="s">
        <v>313</v>
      </c>
      <c r="C285" s="7">
        <v>0</v>
      </c>
      <c r="D285" s="7">
        <v>0</v>
      </c>
      <c r="E285" s="7">
        <v>65.89</v>
      </c>
      <c r="F285" s="8">
        <v>403044.1</v>
      </c>
      <c r="G285" s="9"/>
      <c r="H285" s="9"/>
    </row>
    <row r="286" spans="1:8" ht="12.75">
      <c r="A286" s="6">
        <v>70601</v>
      </c>
      <c r="B286" s="6" t="s">
        <v>314</v>
      </c>
      <c r="C286" s="7">
        <v>0</v>
      </c>
      <c r="D286" s="7">
        <v>0</v>
      </c>
      <c r="E286" s="7">
        <v>84.61</v>
      </c>
      <c r="F286" s="8">
        <v>586388</v>
      </c>
      <c r="G286" s="9"/>
      <c r="H286" s="9"/>
    </row>
    <row r="287" spans="1:8" ht="12.75">
      <c r="A287" s="6">
        <v>70602</v>
      </c>
      <c r="B287" s="6" t="s">
        <v>315</v>
      </c>
      <c r="C287" s="7">
        <v>0</v>
      </c>
      <c r="D287" s="7">
        <v>0</v>
      </c>
      <c r="E287" s="7">
        <v>0</v>
      </c>
      <c r="F287" s="7">
        <v>0</v>
      </c>
      <c r="G287" s="9"/>
      <c r="H287" s="9"/>
    </row>
    <row r="288" spans="1:8" ht="12.75">
      <c r="A288" s="6">
        <v>70603</v>
      </c>
      <c r="B288" s="6" t="s">
        <v>316</v>
      </c>
      <c r="C288" s="7">
        <v>0</v>
      </c>
      <c r="D288" s="7">
        <v>0</v>
      </c>
      <c r="E288" s="7">
        <v>0</v>
      </c>
      <c r="F288" s="7">
        <v>0</v>
      </c>
      <c r="G288" s="9"/>
      <c r="H288" s="9"/>
    </row>
    <row r="289" spans="1:8" ht="12.75">
      <c r="A289" s="6">
        <v>70701</v>
      </c>
      <c r="B289" s="6" t="s">
        <v>317</v>
      </c>
      <c r="C289" s="7">
        <v>0</v>
      </c>
      <c r="D289" s="7">
        <v>0</v>
      </c>
      <c r="E289" s="7">
        <v>0</v>
      </c>
      <c r="F289" s="7">
        <v>0</v>
      </c>
      <c r="G289" s="9"/>
      <c r="H289" s="9"/>
    </row>
    <row r="290" spans="1:8" ht="12.75">
      <c r="A290" s="6">
        <v>70702</v>
      </c>
      <c r="B290" s="6" t="s">
        <v>318</v>
      </c>
      <c r="C290" s="7">
        <v>0</v>
      </c>
      <c r="D290" s="7">
        <v>0</v>
      </c>
      <c r="E290" s="7">
        <v>0</v>
      </c>
      <c r="F290" s="7">
        <v>0</v>
      </c>
      <c r="G290" s="9"/>
      <c r="H290" s="9"/>
    </row>
    <row r="291" spans="1:8" ht="12.75">
      <c r="A291" s="6">
        <v>70703</v>
      </c>
      <c r="B291" s="6" t="s">
        <v>319</v>
      </c>
      <c r="C291" s="7">
        <v>0</v>
      </c>
      <c r="D291" s="7">
        <v>0</v>
      </c>
      <c r="E291" s="7">
        <v>0</v>
      </c>
      <c r="F291" s="7">
        <v>0</v>
      </c>
      <c r="G291" s="9"/>
      <c r="H291" s="9"/>
    </row>
    <row r="292" spans="1:8" ht="12.75">
      <c r="A292" s="6">
        <v>70704</v>
      </c>
      <c r="B292" s="6" t="s">
        <v>320</v>
      </c>
      <c r="C292" s="7">
        <v>0</v>
      </c>
      <c r="D292" s="7">
        <v>0</v>
      </c>
      <c r="E292" s="7">
        <v>0</v>
      </c>
      <c r="F292" s="7">
        <v>0</v>
      </c>
      <c r="G292" s="9"/>
      <c r="H292" s="9"/>
    </row>
    <row r="293" spans="1:8" ht="12.75">
      <c r="A293" s="6">
        <v>70705</v>
      </c>
      <c r="B293" s="6" t="s">
        <v>321</v>
      </c>
      <c r="C293" s="7">
        <v>0</v>
      </c>
      <c r="D293" s="7">
        <v>0</v>
      </c>
      <c r="E293" s="7">
        <v>0</v>
      </c>
      <c r="F293" s="7">
        <v>0</v>
      </c>
      <c r="G293" s="9"/>
      <c r="H293" s="9"/>
    </row>
    <row r="294" spans="1:8" ht="12.75">
      <c r="A294" s="6">
        <v>70706</v>
      </c>
      <c r="B294" s="6" t="s">
        <v>322</v>
      </c>
      <c r="C294" s="7">
        <v>0</v>
      </c>
      <c r="D294" s="7">
        <v>0</v>
      </c>
      <c r="E294" s="7">
        <v>0</v>
      </c>
      <c r="F294" s="7">
        <v>0</v>
      </c>
      <c r="G294" s="9"/>
      <c r="H294" s="9"/>
    </row>
    <row r="295" spans="1:8" ht="12.75">
      <c r="A295" s="6">
        <v>70707</v>
      </c>
      <c r="B295" s="6" t="s">
        <v>323</v>
      </c>
      <c r="C295" s="7">
        <v>0</v>
      </c>
      <c r="D295" s="7">
        <v>0</v>
      </c>
      <c r="E295" s="7">
        <v>0</v>
      </c>
      <c r="F295" s="7">
        <v>0</v>
      </c>
      <c r="G295" s="9"/>
      <c r="H295" s="9"/>
    </row>
    <row r="296" spans="1:8" ht="12.75">
      <c r="A296" s="6">
        <v>70801</v>
      </c>
      <c r="B296" s="6" t="s">
        <v>324</v>
      </c>
      <c r="C296" s="7">
        <v>0</v>
      </c>
      <c r="D296" s="7">
        <v>0</v>
      </c>
      <c r="E296" s="7">
        <v>107.31</v>
      </c>
      <c r="F296" s="8">
        <v>505522.08</v>
      </c>
      <c r="G296" s="9"/>
      <c r="H296" s="9"/>
    </row>
    <row r="297" spans="1:8" ht="12.75">
      <c r="A297" s="6">
        <v>70802</v>
      </c>
      <c r="B297" s="6" t="s">
        <v>325</v>
      </c>
      <c r="C297" s="7">
        <v>0</v>
      </c>
      <c r="D297" s="7">
        <v>0</v>
      </c>
      <c r="E297" s="7">
        <v>0</v>
      </c>
      <c r="F297" s="7">
        <v>0</v>
      </c>
      <c r="G297" s="9"/>
      <c r="H297" s="9"/>
    </row>
    <row r="298" spans="1:8" ht="12.75">
      <c r="A298" s="6">
        <v>70803</v>
      </c>
      <c r="B298" s="6" t="s">
        <v>326</v>
      </c>
      <c r="C298" s="7">
        <v>0</v>
      </c>
      <c r="D298" s="7">
        <v>0</v>
      </c>
      <c r="E298" s="7">
        <v>0</v>
      </c>
      <c r="F298" s="7">
        <v>0</v>
      </c>
      <c r="G298" s="9"/>
      <c r="H298" s="9"/>
    </row>
    <row r="299" spans="1:8" ht="12.75">
      <c r="A299" s="6">
        <v>70804</v>
      </c>
      <c r="B299" s="6" t="s">
        <v>327</v>
      </c>
      <c r="C299" s="7">
        <v>0</v>
      </c>
      <c r="D299" s="7">
        <v>0</v>
      </c>
      <c r="E299" s="7">
        <v>0</v>
      </c>
      <c r="F299" s="7">
        <v>0</v>
      </c>
      <c r="G299" s="22"/>
      <c r="H299" s="9"/>
    </row>
    <row r="300" spans="1:8" ht="12.75">
      <c r="A300" s="6">
        <v>70805</v>
      </c>
      <c r="B300" s="6" t="s">
        <v>328</v>
      </c>
      <c r="C300" s="7">
        <v>0</v>
      </c>
      <c r="D300" s="7">
        <v>0</v>
      </c>
      <c r="E300" s="7">
        <v>0</v>
      </c>
      <c r="F300" s="7">
        <v>0</v>
      </c>
      <c r="G300" s="22"/>
      <c r="H300" s="9"/>
    </row>
    <row r="301" spans="1:8" ht="12.75">
      <c r="A301" s="6">
        <v>70901</v>
      </c>
      <c r="B301" s="6" t="s">
        <v>329</v>
      </c>
      <c r="C301" s="7">
        <v>0</v>
      </c>
      <c r="D301" s="7">
        <v>0</v>
      </c>
      <c r="E301" s="7">
        <v>0</v>
      </c>
      <c r="F301" s="7">
        <v>0</v>
      </c>
      <c r="G301" s="9"/>
      <c r="H301" s="41"/>
    </row>
    <row r="302" spans="1:8" ht="12.75">
      <c r="A302" s="6">
        <v>70902</v>
      </c>
      <c r="B302" s="6" t="s">
        <v>330</v>
      </c>
      <c r="C302" s="7">
        <v>0</v>
      </c>
      <c r="D302" s="7">
        <v>0</v>
      </c>
      <c r="E302" s="7">
        <v>0</v>
      </c>
      <c r="F302" s="7">
        <v>0</v>
      </c>
      <c r="G302" s="9"/>
      <c r="H302" s="9"/>
    </row>
    <row r="303" spans="1:8" ht="12.75">
      <c r="A303" s="6">
        <v>70903</v>
      </c>
      <c r="B303" s="6" t="s">
        <v>331</v>
      </c>
      <c r="C303" s="7">
        <v>0</v>
      </c>
      <c r="D303" s="7">
        <v>0</v>
      </c>
      <c r="E303" s="7">
        <v>22.65</v>
      </c>
      <c r="F303" s="8">
        <v>67955</v>
      </c>
      <c r="G303" s="9"/>
      <c r="H303" s="9"/>
    </row>
    <row r="304" spans="1:8" ht="12.75">
      <c r="A304" s="6">
        <v>70904</v>
      </c>
      <c r="B304" s="6" t="s">
        <v>332</v>
      </c>
      <c r="C304" s="7">
        <v>0</v>
      </c>
      <c r="D304" s="7">
        <v>0</v>
      </c>
      <c r="E304" s="7">
        <v>0</v>
      </c>
      <c r="F304" s="7">
        <v>0</v>
      </c>
      <c r="G304" s="9"/>
      <c r="H304" s="9"/>
    </row>
    <row r="305" spans="1:8" ht="12.75">
      <c r="A305" s="6">
        <v>71001</v>
      </c>
      <c r="B305" s="6" t="s">
        <v>333</v>
      </c>
      <c r="C305" s="7" t="s">
        <v>334</v>
      </c>
      <c r="D305" s="8">
        <v>4573543.3</v>
      </c>
      <c r="E305" s="7">
        <v>8.99</v>
      </c>
      <c r="F305" s="8">
        <v>426674.88</v>
      </c>
      <c r="G305" s="9"/>
      <c r="H305" s="9"/>
    </row>
    <row r="306" spans="1:8" ht="12.75">
      <c r="A306" s="6">
        <v>71002</v>
      </c>
      <c r="B306" s="6" t="s">
        <v>335</v>
      </c>
      <c r="C306" s="7">
        <v>0</v>
      </c>
      <c r="D306" s="7">
        <v>0</v>
      </c>
      <c r="E306" s="7">
        <v>0</v>
      </c>
      <c r="F306" s="7">
        <v>0</v>
      </c>
      <c r="G306" s="9"/>
      <c r="H306" s="9"/>
    </row>
    <row r="307" spans="1:8" ht="12.75">
      <c r="A307" s="23">
        <v>71003</v>
      </c>
      <c r="B307" s="23" t="s">
        <v>336</v>
      </c>
      <c r="C307" s="24">
        <v>0</v>
      </c>
      <c r="D307" s="24">
        <v>0</v>
      </c>
      <c r="E307" s="24">
        <v>74.72</v>
      </c>
      <c r="F307" s="40">
        <v>515196</v>
      </c>
      <c r="G307" s="9"/>
      <c r="H307" s="9"/>
    </row>
    <row r="308" spans="1:8" ht="12.75">
      <c r="A308" s="73">
        <v>71004</v>
      </c>
      <c r="B308" s="28" t="s">
        <v>96</v>
      </c>
      <c r="C308" s="29">
        <v>0</v>
      </c>
      <c r="D308" s="29">
        <v>0</v>
      </c>
      <c r="E308" s="29">
        <v>90.26</v>
      </c>
      <c r="F308" s="30">
        <v>143088</v>
      </c>
      <c r="G308" s="71">
        <v>0</v>
      </c>
      <c r="H308" s="69">
        <f>F308</f>
        <v>143088</v>
      </c>
    </row>
    <row r="309" spans="1:8" ht="12.75">
      <c r="A309" s="74"/>
      <c r="B309" s="34" t="s">
        <v>97</v>
      </c>
      <c r="C309" s="35">
        <v>0</v>
      </c>
      <c r="D309" s="35">
        <v>0</v>
      </c>
      <c r="E309" s="35">
        <v>0</v>
      </c>
      <c r="F309" s="35">
        <v>0</v>
      </c>
      <c r="G309" s="68"/>
      <c r="H309" s="70"/>
    </row>
    <row r="310" spans="1:8" ht="12.75">
      <c r="A310" s="37">
        <v>71005</v>
      </c>
      <c r="B310" s="37" t="s">
        <v>261</v>
      </c>
      <c r="C310" s="38">
        <v>0</v>
      </c>
      <c r="D310" s="38">
        <v>0</v>
      </c>
      <c r="E310" s="38">
        <v>0</v>
      </c>
      <c r="F310" s="38">
        <v>0</v>
      </c>
      <c r="G310" s="9"/>
      <c r="H310" s="9"/>
    </row>
    <row r="311" spans="1:8" ht="12.75">
      <c r="A311" s="6">
        <v>71101</v>
      </c>
      <c r="B311" s="6" t="s">
        <v>337</v>
      </c>
      <c r="C311" s="7">
        <v>0</v>
      </c>
      <c r="D311" s="7">
        <v>0</v>
      </c>
      <c r="E311" s="7">
        <v>0</v>
      </c>
      <c r="F311" s="7">
        <v>0</v>
      </c>
      <c r="G311" s="9"/>
      <c r="H311" s="9"/>
    </row>
    <row r="312" spans="1:8" ht="12.75">
      <c r="A312" s="6">
        <v>71102</v>
      </c>
      <c r="B312" s="6" t="s">
        <v>338</v>
      </c>
      <c r="C312" s="7">
        <v>0</v>
      </c>
      <c r="D312" s="7">
        <v>0</v>
      </c>
      <c r="E312" s="7">
        <v>0</v>
      </c>
      <c r="F312" s="7">
        <v>0</v>
      </c>
      <c r="G312" s="9"/>
      <c r="H312" s="9"/>
    </row>
    <row r="313" spans="1:8" ht="12.75">
      <c r="A313" s="6">
        <v>71104</v>
      </c>
      <c r="B313" s="6" t="s">
        <v>339</v>
      </c>
      <c r="C313" s="7">
        <v>0</v>
      </c>
      <c r="D313" s="7">
        <v>0</v>
      </c>
      <c r="E313" s="7">
        <v>0</v>
      </c>
      <c r="F313" s="7">
        <v>0</v>
      </c>
      <c r="G313" s="9"/>
      <c r="H313" s="9"/>
    </row>
    <row r="314" spans="1:8" ht="12.75">
      <c r="A314" s="6">
        <v>71105</v>
      </c>
      <c r="B314" s="6" t="s">
        <v>340</v>
      </c>
      <c r="C314" s="7">
        <v>0</v>
      </c>
      <c r="D314" s="7">
        <v>0</v>
      </c>
      <c r="E314" s="7">
        <v>0</v>
      </c>
      <c r="F314" s="7">
        <v>0</v>
      </c>
      <c r="G314" s="9"/>
      <c r="H314" s="9"/>
    </row>
    <row r="315" spans="1:8" ht="12.75">
      <c r="A315" s="6">
        <v>71103</v>
      </c>
      <c r="B315" s="6" t="s">
        <v>341</v>
      </c>
      <c r="C315" s="7">
        <v>0</v>
      </c>
      <c r="D315" s="7">
        <v>0</v>
      </c>
      <c r="E315" s="7">
        <v>0</v>
      </c>
      <c r="F315" s="7">
        <v>0</v>
      </c>
      <c r="G315" s="9"/>
      <c r="H315" s="9"/>
    </row>
    <row r="316" spans="1:8" ht="12.75">
      <c r="A316" s="6">
        <v>71106</v>
      </c>
      <c r="B316" s="6" t="s">
        <v>342</v>
      </c>
      <c r="C316" s="7">
        <v>0</v>
      </c>
      <c r="D316" s="7">
        <v>0</v>
      </c>
      <c r="E316" s="7">
        <v>87.19</v>
      </c>
      <c r="F316" s="8">
        <v>385536</v>
      </c>
      <c r="G316" s="9"/>
      <c r="H316" s="9"/>
    </row>
    <row r="317" spans="1:8" ht="12.75">
      <c r="A317" s="6">
        <v>71201</v>
      </c>
      <c r="B317" s="6" t="s">
        <v>343</v>
      </c>
      <c r="C317" s="7">
        <v>0</v>
      </c>
      <c r="D317" s="7">
        <v>0</v>
      </c>
      <c r="E317" s="7">
        <v>0</v>
      </c>
      <c r="F317" s="7">
        <v>0</v>
      </c>
      <c r="G317" s="9"/>
      <c r="H317" s="9"/>
    </row>
    <row r="318" spans="1:8" ht="12.75">
      <c r="A318" s="6">
        <v>71301</v>
      </c>
      <c r="B318" s="6" t="s">
        <v>344</v>
      </c>
      <c r="C318" s="7">
        <v>0</v>
      </c>
      <c r="D318" s="7">
        <v>0</v>
      </c>
      <c r="E318" s="7">
        <v>0</v>
      </c>
      <c r="F318" s="7">
        <v>0</v>
      </c>
      <c r="G318" s="9"/>
      <c r="H318" s="9"/>
    </row>
    <row r="319" spans="1:8" ht="12.75">
      <c r="A319" s="6">
        <v>71302</v>
      </c>
      <c r="B319" s="6" t="s">
        <v>345</v>
      </c>
      <c r="C319" s="7">
        <v>0</v>
      </c>
      <c r="D319" s="7">
        <v>0</v>
      </c>
      <c r="E319" s="7">
        <v>0</v>
      </c>
      <c r="F319" s="7">
        <v>0</v>
      </c>
      <c r="G319" s="9"/>
      <c r="H319" s="9"/>
    </row>
    <row r="320" spans="1:8" ht="12.75">
      <c r="A320" s="6">
        <v>71401</v>
      </c>
      <c r="B320" s="6" t="s">
        <v>346</v>
      </c>
      <c r="C320" s="7">
        <v>0</v>
      </c>
      <c r="D320" s="7">
        <v>0</v>
      </c>
      <c r="E320" s="7">
        <v>0</v>
      </c>
      <c r="F320" s="7">
        <v>0</v>
      </c>
      <c r="G320" s="9"/>
      <c r="H320" s="9"/>
    </row>
    <row r="321" spans="1:8" ht="12.75">
      <c r="A321" s="6">
        <v>71402</v>
      </c>
      <c r="B321" s="6" t="s">
        <v>347</v>
      </c>
      <c r="C321" s="7">
        <v>0</v>
      </c>
      <c r="D321" s="7">
        <v>0</v>
      </c>
      <c r="E321" s="7">
        <v>0</v>
      </c>
      <c r="F321" s="7">
        <v>0</v>
      </c>
      <c r="G321" s="9"/>
      <c r="H321" s="9"/>
    </row>
    <row r="322" spans="1:8" ht="12.75">
      <c r="A322" s="6">
        <v>71403</v>
      </c>
      <c r="B322" s="6" t="s">
        <v>348</v>
      </c>
      <c r="C322" s="7">
        <v>0</v>
      </c>
      <c r="D322" s="7">
        <v>0</v>
      </c>
      <c r="E322" s="7">
        <v>0</v>
      </c>
      <c r="F322" s="7">
        <v>0</v>
      </c>
      <c r="G322" s="9"/>
      <c r="H322" s="9"/>
    </row>
    <row r="323" spans="1:8" ht="12.75">
      <c r="A323" s="6">
        <v>71501</v>
      </c>
      <c r="B323" s="6" t="s">
        <v>349</v>
      </c>
      <c r="C323" s="7">
        <v>0</v>
      </c>
      <c r="D323" s="7">
        <v>0</v>
      </c>
      <c r="E323" s="7">
        <v>0</v>
      </c>
      <c r="F323" s="7">
        <v>0</v>
      </c>
      <c r="G323" s="9"/>
      <c r="H323" s="9"/>
    </row>
    <row r="324" spans="1:8" ht="12.75">
      <c r="A324" s="6">
        <v>71502</v>
      </c>
      <c r="B324" s="6" t="s">
        <v>350</v>
      </c>
      <c r="C324" s="7">
        <v>0</v>
      </c>
      <c r="D324" s="7">
        <v>0</v>
      </c>
      <c r="E324" s="7">
        <v>0</v>
      </c>
      <c r="F324" s="7">
        <v>0</v>
      </c>
      <c r="G324" s="9"/>
      <c r="H324" s="9"/>
    </row>
    <row r="325" spans="1:8" ht="12.75">
      <c r="A325" s="6">
        <v>71503</v>
      </c>
      <c r="B325" s="6" t="s">
        <v>295</v>
      </c>
      <c r="C325" s="7">
        <v>0</v>
      </c>
      <c r="D325" s="7">
        <v>0</v>
      </c>
      <c r="E325" s="7">
        <v>0</v>
      </c>
      <c r="F325" s="7">
        <v>0</v>
      </c>
      <c r="G325" s="9"/>
      <c r="H325" s="9"/>
    </row>
    <row r="326" spans="1:8" ht="12.75">
      <c r="A326" s="6">
        <v>80101</v>
      </c>
      <c r="B326" s="6" t="s">
        <v>351</v>
      </c>
      <c r="C326" s="7">
        <v>170.49</v>
      </c>
      <c r="D326" s="8">
        <v>2786112</v>
      </c>
      <c r="E326" s="7">
        <v>198.04</v>
      </c>
      <c r="F326" s="8">
        <v>2289998</v>
      </c>
      <c r="G326" s="9"/>
      <c r="H326" s="9"/>
    </row>
    <row r="327" spans="1:8" ht="12.75">
      <c r="A327" s="6">
        <v>80102</v>
      </c>
      <c r="B327" s="6" t="s">
        <v>338</v>
      </c>
      <c r="C327" s="7">
        <v>0</v>
      </c>
      <c r="D327" s="7">
        <v>0</v>
      </c>
      <c r="E327" s="7">
        <v>0</v>
      </c>
      <c r="F327" s="7">
        <v>0</v>
      </c>
      <c r="G327" s="9"/>
      <c r="H327" s="9"/>
    </row>
    <row r="328" spans="1:8" ht="12.75">
      <c r="A328" s="6">
        <v>80201</v>
      </c>
      <c r="B328" s="6" t="s">
        <v>352</v>
      </c>
      <c r="C328" s="7">
        <v>0</v>
      </c>
      <c r="D328" s="7">
        <v>0</v>
      </c>
      <c r="E328" s="7">
        <v>0</v>
      </c>
      <c r="F328" s="7">
        <v>0</v>
      </c>
      <c r="G328" s="9"/>
      <c r="H328" s="9"/>
    </row>
    <row r="329" spans="1:8" ht="12.75">
      <c r="A329" s="6">
        <v>80202</v>
      </c>
      <c r="B329" s="6" t="s">
        <v>353</v>
      </c>
      <c r="C329" s="7">
        <v>0</v>
      </c>
      <c r="D329" s="7">
        <v>0</v>
      </c>
      <c r="E329" s="7">
        <v>0</v>
      </c>
      <c r="F329" s="7">
        <v>0</v>
      </c>
      <c r="G329" s="9"/>
      <c r="H329" s="9"/>
    </row>
    <row r="330" spans="1:8" ht="12.75">
      <c r="A330" s="6">
        <v>80301</v>
      </c>
      <c r="B330" s="6" t="s">
        <v>354</v>
      </c>
      <c r="C330" s="7">
        <v>0</v>
      </c>
      <c r="D330" s="7">
        <v>0</v>
      </c>
      <c r="E330" s="7">
        <v>0</v>
      </c>
      <c r="F330" s="7">
        <v>0</v>
      </c>
      <c r="G330" s="9"/>
      <c r="H330" s="9"/>
    </row>
    <row r="331" spans="1:8" ht="12.75">
      <c r="A331" s="6">
        <v>80302</v>
      </c>
      <c r="B331" s="6" t="s">
        <v>355</v>
      </c>
      <c r="C331" s="7">
        <v>0</v>
      </c>
      <c r="D331" s="7">
        <v>0</v>
      </c>
      <c r="E331" s="7">
        <v>0</v>
      </c>
      <c r="F331" s="7">
        <v>0</v>
      </c>
      <c r="G331" s="9"/>
      <c r="H331" s="9"/>
    </row>
    <row r="332" spans="1:8" ht="12.75">
      <c r="A332" s="6">
        <v>80303</v>
      </c>
      <c r="B332" s="6" t="s">
        <v>315</v>
      </c>
      <c r="C332" s="7">
        <v>0</v>
      </c>
      <c r="D332" s="7">
        <v>0</v>
      </c>
      <c r="E332" s="7">
        <v>0</v>
      </c>
      <c r="F332" s="7">
        <v>0</v>
      </c>
      <c r="G332" s="9"/>
      <c r="H332" s="9"/>
    </row>
    <row r="333" spans="1:8" ht="12.75">
      <c r="A333" s="6">
        <v>80304</v>
      </c>
      <c r="B333" s="6" t="s">
        <v>356</v>
      </c>
      <c r="C333" s="7">
        <v>0</v>
      </c>
      <c r="D333" s="7">
        <v>0</v>
      </c>
      <c r="E333" s="7">
        <v>0</v>
      </c>
      <c r="F333" s="7">
        <v>0</v>
      </c>
      <c r="G333" s="9"/>
      <c r="H333" s="9"/>
    </row>
    <row r="334" spans="1:8" ht="12.75">
      <c r="A334" s="6">
        <v>80401</v>
      </c>
      <c r="B334" s="6" t="s">
        <v>357</v>
      </c>
      <c r="C334" s="7">
        <v>0</v>
      </c>
      <c r="D334" s="7">
        <v>0</v>
      </c>
      <c r="E334" s="7">
        <v>0</v>
      </c>
      <c r="F334" s="7">
        <v>0</v>
      </c>
      <c r="G334" s="9"/>
      <c r="H334" s="9"/>
    </row>
    <row r="335" spans="1:8" ht="12.75">
      <c r="A335" s="6">
        <v>80402</v>
      </c>
      <c r="B335" s="6" t="s">
        <v>358</v>
      </c>
      <c r="C335" s="7">
        <v>0</v>
      </c>
      <c r="D335" s="7">
        <v>0</v>
      </c>
      <c r="E335" s="7">
        <v>0</v>
      </c>
      <c r="F335" s="7">
        <v>0</v>
      </c>
      <c r="G335" s="9"/>
      <c r="H335" s="9"/>
    </row>
    <row r="336" spans="1:8" ht="12.75">
      <c r="A336" s="6">
        <v>80501</v>
      </c>
      <c r="B336" s="6" t="s">
        <v>305</v>
      </c>
      <c r="C336" s="7">
        <v>0</v>
      </c>
      <c r="D336" s="7">
        <v>0</v>
      </c>
      <c r="E336" s="7">
        <v>0</v>
      </c>
      <c r="F336" s="7">
        <v>0</v>
      </c>
      <c r="G336" s="9"/>
      <c r="H336" s="9"/>
    </row>
    <row r="337" spans="1:8" ht="12.75">
      <c r="A337" s="6">
        <v>80601</v>
      </c>
      <c r="B337" s="6" t="s">
        <v>359</v>
      </c>
      <c r="C337" s="7">
        <v>0</v>
      </c>
      <c r="D337" s="7">
        <v>0</v>
      </c>
      <c r="E337" s="7">
        <v>0</v>
      </c>
      <c r="F337" s="7">
        <v>0</v>
      </c>
      <c r="G337" s="9"/>
      <c r="H337" s="9"/>
    </row>
    <row r="338" spans="1:8" ht="12.75">
      <c r="A338" s="6">
        <v>80602</v>
      </c>
      <c r="B338" s="6" t="s">
        <v>360</v>
      </c>
      <c r="C338" s="7">
        <v>0</v>
      </c>
      <c r="D338" s="7">
        <v>0</v>
      </c>
      <c r="E338" s="7">
        <v>0</v>
      </c>
      <c r="F338" s="7">
        <v>0</v>
      </c>
      <c r="G338" s="9"/>
      <c r="H338" s="9"/>
    </row>
    <row r="339" spans="1:8" ht="12.75">
      <c r="A339" s="6">
        <v>80701</v>
      </c>
      <c r="B339" s="6" t="s">
        <v>361</v>
      </c>
      <c r="C339" s="7">
        <v>0</v>
      </c>
      <c r="D339" s="7">
        <v>0</v>
      </c>
      <c r="E339" s="7">
        <v>0</v>
      </c>
      <c r="F339" s="7">
        <v>0</v>
      </c>
      <c r="G339" s="9"/>
      <c r="H339" s="9"/>
    </row>
    <row r="340" spans="1:8" ht="12.75">
      <c r="A340" s="6">
        <v>80702</v>
      </c>
      <c r="B340" s="6" t="s">
        <v>341</v>
      </c>
      <c r="C340" s="7">
        <v>0</v>
      </c>
      <c r="D340" s="7">
        <v>0</v>
      </c>
      <c r="E340" s="7">
        <v>0</v>
      </c>
      <c r="F340" s="7">
        <v>0</v>
      </c>
      <c r="G340" s="9"/>
      <c r="H340" s="9"/>
    </row>
    <row r="341" spans="1:8" ht="12.75">
      <c r="A341" s="6">
        <v>80703</v>
      </c>
      <c r="B341" s="6" t="s">
        <v>362</v>
      </c>
      <c r="C341" s="7">
        <v>0</v>
      </c>
      <c r="D341" s="7">
        <v>0</v>
      </c>
      <c r="E341" s="7">
        <v>0</v>
      </c>
      <c r="F341" s="7">
        <v>0</v>
      </c>
      <c r="G341" s="9"/>
      <c r="H341" s="9"/>
    </row>
    <row r="342" spans="1:8" ht="12.75">
      <c r="A342" s="6">
        <v>80801</v>
      </c>
      <c r="B342" s="6" t="s">
        <v>363</v>
      </c>
      <c r="C342" s="7">
        <v>0</v>
      </c>
      <c r="D342" s="7">
        <v>0</v>
      </c>
      <c r="E342" s="7">
        <v>0</v>
      </c>
      <c r="F342" s="7">
        <v>0</v>
      </c>
      <c r="G342" s="9"/>
      <c r="H342" s="9"/>
    </row>
    <row r="343" spans="1:8" ht="12.75">
      <c r="A343" s="6">
        <v>80802</v>
      </c>
      <c r="B343" s="6" t="s">
        <v>364</v>
      </c>
      <c r="C343" s="7">
        <v>0</v>
      </c>
      <c r="D343" s="7">
        <v>0</v>
      </c>
      <c r="E343" s="7">
        <v>0</v>
      </c>
      <c r="F343" s="7">
        <v>0</v>
      </c>
      <c r="G343" s="9"/>
      <c r="H343" s="9"/>
    </row>
    <row r="344" spans="1:8" ht="12.75">
      <c r="A344" s="6">
        <v>80803</v>
      </c>
      <c r="B344" s="6" t="s">
        <v>365</v>
      </c>
      <c r="C344" s="7">
        <v>0</v>
      </c>
      <c r="D344" s="7">
        <v>0</v>
      </c>
      <c r="E344" s="7">
        <v>0</v>
      </c>
      <c r="F344" s="7">
        <v>0</v>
      </c>
      <c r="G344" s="9"/>
      <c r="H344" s="9"/>
    </row>
    <row r="345" spans="1:8" ht="12.75">
      <c r="A345" s="6">
        <v>80901</v>
      </c>
      <c r="B345" s="6" t="s">
        <v>366</v>
      </c>
      <c r="C345" s="7">
        <v>0</v>
      </c>
      <c r="D345" s="7">
        <v>0</v>
      </c>
      <c r="E345" s="7">
        <v>0</v>
      </c>
      <c r="F345" s="7">
        <v>0</v>
      </c>
      <c r="G345" s="9"/>
      <c r="H345" s="9"/>
    </row>
    <row r="346" spans="1:8" ht="12.75">
      <c r="A346" s="6">
        <v>90101</v>
      </c>
      <c r="B346" s="6" t="s">
        <v>367</v>
      </c>
      <c r="C346" s="7">
        <v>0</v>
      </c>
      <c r="D346" s="7">
        <v>0</v>
      </c>
      <c r="E346" s="7">
        <v>0</v>
      </c>
      <c r="F346" s="7">
        <v>0</v>
      </c>
      <c r="G346" s="9"/>
      <c r="H346" s="9"/>
    </row>
    <row r="347" spans="1:8" ht="12.75">
      <c r="A347" s="6">
        <v>90102</v>
      </c>
      <c r="B347" s="6" t="s">
        <v>368</v>
      </c>
      <c r="C347" s="7">
        <v>0</v>
      </c>
      <c r="D347" s="7">
        <v>0</v>
      </c>
      <c r="E347" s="7">
        <v>0</v>
      </c>
      <c r="F347" s="7">
        <v>0</v>
      </c>
      <c r="G347" s="9"/>
      <c r="H347" s="9"/>
    </row>
    <row r="348" spans="1:8" ht="12.75">
      <c r="A348" s="6">
        <v>90103</v>
      </c>
      <c r="B348" s="6" t="s">
        <v>369</v>
      </c>
      <c r="C348" s="7">
        <v>0</v>
      </c>
      <c r="D348" s="7">
        <v>0</v>
      </c>
      <c r="E348" s="7">
        <v>0</v>
      </c>
      <c r="F348" s="7">
        <v>0</v>
      </c>
      <c r="G348" s="9"/>
      <c r="H348" s="9"/>
    </row>
    <row r="349" spans="1:8" ht="12.75">
      <c r="A349" s="6">
        <v>90104</v>
      </c>
      <c r="B349" s="6" t="s">
        <v>370</v>
      </c>
      <c r="C349" s="7">
        <v>0</v>
      </c>
      <c r="D349" s="7">
        <v>0</v>
      </c>
      <c r="E349" s="7">
        <v>0</v>
      </c>
      <c r="F349" s="7">
        <v>0</v>
      </c>
      <c r="G349" s="9"/>
      <c r="H349" s="9"/>
    </row>
    <row r="350" spans="1:8" ht="12.75">
      <c r="A350" s="6">
        <v>90201</v>
      </c>
      <c r="B350" s="6" t="s">
        <v>371</v>
      </c>
      <c r="C350" s="7">
        <v>0</v>
      </c>
      <c r="D350" s="7">
        <v>0</v>
      </c>
      <c r="E350" s="7">
        <v>0</v>
      </c>
      <c r="F350" s="7">
        <v>0</v>
      </c>
      <c r="G350" s="9"/>
      <c r="H350" s="9"/>
    </row>
    <row r="351" spans="1:8" ht="12.75">
      <c r="A351" s="6">
        <v>90202</v>
      </c>
      <c r="B351" s="6" t="s">
        <v>261</v>
      </c>
      <c r="C351" s="7">
        <v>0</v>
      </c>
      <c r="D351" s="7">
        <v>0</v>
      </c>
      <c r="E351" s="7">
        <v>0</v>
      </c>
      <c r="F351" s="7">
        <v>0</v>
      </c>
      <c r="G351" s="9"/>
      <c r="H351" s="9"/>
    </row>
    <row r="352" spans="1:8" ht="12.75">
      <c r="A352" s="6">
        <v>90203</v>
      </c>
      <c r="B352" s="6" t="s">
        <v>372</v>
      </c>
      <c r="C352" s="7">
        <v>0</v>
      </c>
      <c r="D352" s="7">
        <v>0</v>
      </c>
      <c r="E352" s="7">
        <v>0</v>
      </c>
      <c r="F352" s="7">
        <v>0</v>
      </c>
      <c r="G352" s="9"/>
      <c r="H352" s="9"/>
    </row>
    <row r="353" spans="1:8" ht="12.75">
      <c r="A353" s="6">
        <v>90301</v>
      </c>
      <c r="B353" s="6" t="s">
        <v>373</v>
      </c>
      <c r="C353" s="7">
        <v>0</v>
      </c>
      <c r="D353" s="7">
        <v>0</v>
      </c>
      <c r="E353" s="7">
        <v>0</v>
      </c>
      <c r="F353" s="7">
        <v>0</v>
      </c>
      <c r="G353" s="9"/>
      <c r="H353" s="9"/>
    </row>
    <row r="354" spans="1:8" ht="12.75">
      <c r="A354" s="6">
        <v>90302</v>
      </c>
      <c r="B354" s="6" t="s">
        <v>294</v>
      </c>
      <c r="C354" s="7">
        <v>0</v>
      </c>
      <c r="D354" s="7">
        <v>0</v>
      </c>
      <c r="E354" s="7">
        <v>0</v>
      </c>
      <c r="F354" s="7">
        <v>0</v>
      </c>
      <c r="G354" s="9"/>
      <c r="H354" s="9"/>
    </row>
    <row r="355" spans="1:8" ht="12.75">
      <c r="A355" s="6">
        <v>90303</v>
      </c>
      <c r="B355" s="6" t="s">
        <v>374</v>
      </c>
      <c r="C355" s="7">
        <v>0</v>
      </c>
      <c r="D355" s="7">
        <v>0</v>
      </c>
      <c r="E355" s="7">
        <v>0</v>
      </c>
      <c r="F355" s="7">
        <v>0</v>
      </c>
      <c r="G355" s="9"/>
      <c r="H355" s="9"/>
    </row>
    <row r="356" spans="1:8" ht="12.75">
      <c r="A356" s="6">
        <v>90401</v>
      </c>
      <c r="B356" s="6" t="s">
        <v>315</v>
      </c>
      <c r="C356" s="7">
        <v>0</v>
      </c>
      <c r="D356" s="7">
        <v>0</v>
      </c>
      <c r="E356" s="7">
        <v>0</v>
      </c>
      <c r="F356" s="7">
        <v>0</v>
      </c>
      <c r="G356" s="9"/>
      <c r="H356" s="9"/>
    </row>
    <row r="357" spans="1:8" ht="12.75">
      <c r="A357" s="6">
        <v>90402</v>
      </c>
      <c r="B357" s="6" t="s">
        <v>375</v>
      </c>
      <c r="C357" s="7">
        <v>0</v>
      </c>
      <c r="D357" s="7">
        <v>0</v>
      </c>
      <c r="E357" s="7">
        <v>0</v>
      </c>
      <c r="F357" s="7">
        <v>0</v>
      </c>
      <c r="G357" s="9"/>
      <c r="H357" s="9"/>
    </row>
    <row r="358" spans="1:8" ht="12.75">
      <c r="A358" s="6">
        <v>90501</v>
      </c>
      <c r="B358" s="6" t="s">
        <v>376</v>
      </c>
      <c r="C358" s="7">
        <v>0</v>
      </c>
      <c r="D358" s="7">
        <v>0</v>
      </c>
      <c r="E358" s="7">
        <v>0</v>
      </c>
      <c r="F358" s="7">
        <v>0</v>
      </c>
      <c r="G358" s="9"/>
      <c r="H358" s="9"/>
    </row>
    <row r="359" spans="1:8" ht="12.75">
      <c r="A359" s="6">
        <v>90502</v>
      </c>
      <c r="B359" s="6" t="s">
        <v>377</v>
      </c>
      <c r="C359" s="7">
        <v>0</v>
      </c>
      <c r="D359" s="7">
        <v>0</v>
      </c>
      <c r="E359" s="7">
        <v>0</v>
      </c>
      <c r="F359" s="7">
        <v>0</v>
      </c>
      <c r="G359" s="9"/>
      <c r="H359" s="9"/>
    </row>
    <row r="360" spans="1:8" ht="12.75">
      <c r="A360" s="6">
        <v>90503</v>
      </c>
      <c r="B360" s="6" t="s">
        <v>378</v>
      </c>
      <c r="C360" s="7">
        <v>0</v>
      </c>
      <c r="D360" s="7">
        <v>0</v>
      </c>
      <c r="E360" s="7">
        <v>0</v>
      </c>
      <c r="F360" s="7">
        <v>0</v>
      </c>
      <c r="G360" s="9"/>
      <c r="H360" s="9"/>
    </row>
    <row r="361" spans="1:8" ht="12.75">
      <c r="A361" s="9"/>
      <c r="B361" s="9"/>
      <c r="G361" s="9"/>
      <c r="H361" s="9"/>
    </row>
    <row r="362" spans="1:8" ht="12.75">
      <c r="A362" s="9"/>
      <c r="B362" s="9"/>
      <c r="G362" s="9"/>
      <c r="H362" s="9"/>
    </row>
    <row r="363" spans="1:8" ht="12.75">
      <c r="A363" s="9"/>
      <c r="B363" s="9"/>
      <c r="G363" s="9"/>
      <c r="H363" s="9"/>
    </row>
    <row r="364" spans="1:8" ht="12.75">
      <c r="A364" s="9"/>
      <c r="B364" s="9"/>
      <c r="G364" s="9"/>
      <c r="H364" s="9"/>
    </row>
    <row r="365" spans="1:8" ht="12.75">
      <c r="A365" s="9"/>
      <c r="B365" s="9"/>
      <c r="G365" s="9"/>
      <c r="H365" s="9"/>
    </row>
    <row r="366" spans="1:8" ht="12.75">
      <c r="A366" s="9"/>
      <c r="B366" s="9"/>
      <c r="G366" s="9"/>
      <c r="H366" s="9"/>
    </row>
    <row r="367" spans="1:8" ht="12.75">
      <c r="A367" s="9"/>
      <c r="B367" s="9"/>
      <c r="G367" s="9"/>
      <c r="H367" s="9"/>
    </row>
    <row r="368" spans="1:8" ht="12.75">
      <c r="A368" s="9"/>
      <c r="B368" s="9"/>
      <c r="G368" s="9"/>
      <c r="H368" s="9"/>
    </row>
    <row r="369" spans="1:8" ht="12.75">
      <c r="A369" s="9"/>
      <c r="B369" s="9"/>
      <c r="G369" s="9"/>
      <c r="H369" s="9"/>
    </row>
    <row r="370" spans="1:8" ht="12.75">
      <c r="A370" s="9"/>
      <c r="B370" s="9"/>
      <c r="G370" s="9"/>
      <c r="H370" s="9"/>
    </row>
    <row r="371" spans="1:8" ht="12.75">
      <c r="A371" s="9"/>
      <c r="B371" s="9"/>
      <c r="G371" s="9"/>
      <c r="H371" s="9"/>
    </row>
    <row r="372" spans="1:8" ht="12.75">
      <c r="A372" s="9"/>
      <c r="B372" s="9"/>
      <c r="G372" s="9"/>
      <c r="H372" s="9"/>
    </row>
    <row r="373" spans="1:8" ht="12.75">
      <c r="A373" s="9"/>
      <c r="B373" s="9"/>
      <c r="G373" s="9"/>
      <c r="H373" s="9"/>
    </row>
    <row r="374" spans="1:8" ht="12.75">
      <c r="A374" s="9"/>
      <c r="B374" s="9"/>
      <c r="G374" s="9"/>
      <c r="H374" s="9"/>
    </row>
    <row r="375" spans="1:8" ht="12.75">
      <c r="A375" s="9"/>
      <c r="B375" s="9"/>
      <c r="G375" s="9"/>
      <c r="H375" s="9"/>
    </row>
    <row r="376" spans="1:8" ht="12.75">
      <c r="A376" s="9"/>
      <c r="B376" s="9"/>
      <c r="G376" s="9"/>
      <c r="H376" s="9"/>
    </row>
    <row r="377" spans="1:8" ht="12.75">
      <c r="A377" s="9"/>
      <c r="B377" s="9"/>
      <c r="G377" s="9"/>
      <c r="H377" s="9"/>
    </row>
    <row r="378" spans="1:8" ht="12.75">
      <c r="A378" s="9"/>
      <c r="B378" s="9"/>
      <c r="G378" s="9"/>
      <c r="H378" s="9"/>
    </row>
    <row r="379" spans="1:8" ht="12.75">
      <c r="A379" s="9"/>
      <c r="B379" s="9"/>
      <c r="G379" s="9"/>
      <c r="H379" s="9"/>
    </row>
    <row r="380" spans="1:8" ht="12.75">
      <c r="A380" s="9"/>
      <c r="B380" s="9"/>
      <c r="G380" s="9"/>
      <c r="H380" s="9"/>
    </row>
    <row r="381" spans="1:8" ht="12.75">
      <c r="A381" s="9"/>
      <c r="B381" s="9"/>
      <c r="G381" s="9"/>
      <c r="H381" s="9"/>
    </row>
    <row r="382" spans="1:8" ht="12.75">
      <c r="A382" s="9"/>
      <c r="B382" s="9"/>
      <c r="G382" s="9"/>
      <c r="H382" s="9"/>
    </row>
    <row r="383" spans="1:8" ht="12.75">
      <c r="A383" s="9"/>
      <c r="B383" s="9"/>
      <c r="G383" s="9"/>
      <c r="H383" s="9"/>
    </row>
    <row r="384" spans="1:8" ht="12.75">
      <c r="A384" s="9"/>
      <c r="B384" s="9"/>
      <c r="G384" s="9"/>
      <c r="H384" s="9"/>
    </row>
    <row r="385" spans="1:8" ht="12.75">
      <c r="A385" s="9"/>
      <c r="B385" s="9"/>
      <c r="G385" s="9"/>
      <c r="H385" s="9"/>
    </row>
    <row r="386" spans="1:8" ht="12.75">
      <c r="A386" s="9"/>
      <c r="B386" s="9"/>
      <c r="G386" s="9"/>
      <c r="H386" s="9"/>
    </row>
    <row r="387" spans="1:8" ht="12.75">
      <c r="A387" s="9"/>
      <c r="B387" s="9"/>
      <c r="G387" s="9"/>
      <c r="H387" s="9"/>
    </row>
    <row r="388" spans="1:8" ht="12.75">
      <c r="A388" s="9"/>
      <c r="B388" s="9"/>
      <c r="G388" s="9"/>
      <c r="H388" s="9"/>
    </row>
    <row r="389" spans="1:8" ht="12.75">
      <c r="A389" s="9"/>
      <c r="B389" s="9"/>
      <c r="G389" s="9"/>
      <c r="H389" s="9"/>
    </row>
    <row r="390" spans="1:8" ht="12.75">
      <c r="A390" s="9"/>
      <c r="B390" s="9"/>
      <c r="G390" s="9"/>
      <c r="H390" s="9"/>
    </row>
    <row r="391" spans="1:8" ht="12.75">
      <c r="A391" s="9"/>
      <c r="B391" s="9"/>
      <c r="G391" s="9"/>
      <c r="H391" s="9"/>
    </row>
    <row r="392" spans="1:8" ht="12.75">
      <c r="A392" s="9"/>
      <c r="B392" s="9"/>
      <c r="G392" s="9"/>
      <c r="H392" s="9"/>
    </row>
    <row r="393" spans="1:8" ht="12.75">
      <c r="A393" s="9"/>
      <c r="B393" s="9"/>
      <c r="G393" s="9"/>
      <c r="H393" s="9"/>
    </row>
    <row r="394" spans="1:8" ht="12.75">
      <c r="A394" s="9"/>
      <c r="B394" s="9"/>
      <c r="G394" s="9"/>
      <c r="H394" s="9"/>
    </row>
    <row r="395" spans="1:8" ht="12.75">
      <c r="A395" s="9"/>
      <c r="B395" s="9"/>
      <c r="G395" s="9"/>
      <c r="H395" s="9"/>
    </row>
    <row r="396" spans="1:8" ht="12.75">
      <c r="A396" s="9"/>
      <c r="B396" s="9"/>
      <c r="G396" s="9"/>
      <c r="H396" s="9"/>
    </row>
    <row r="397" spans="1:8" ht="12.75">
      <c r="A397" s="9"/>
      <c r="B397" s="9"/>
      <c r="G397" s="9"/>
      <c r="H397" s="9"/>
    </row>
    <row r="398" spans="1:8" ht="12.75">
      <c r="A398" s="9"/>
      <c r="B398" s="9"/>
      <c r="G398" s="9"/>
      <c r="H398" s="9"/>
    </row>
    <row r="399" spans="1:8" ht="12.75">
      <c r="A399" s="9"/>
      <c r="B399" s="9"/>
      <c r="G399" s="9"/>
      <c r="H399" s="9"/>
    </row>
    <row r="400" spans="1:8" ht="12.75">
      <c r="A400" s="9"/>
      <c r="B400" s="9"/>
      <c r="G400" s="9"/>
      <c r="H400" s="9"/>
    </row>
    <row r="401" spans="1:8" ht="12.75">
      <c r="A401" s="9"/>
      <c r="B401" s="9"/>
      <c r="G401" s="9"/>
      <c r="H401" s="9"/>
    </row>
    <row r="402" spans="1:8" ht="12.75">
      <c r="A402" s="9"/>
      <c r="B402" s="9"/>
      <c r="G402" s="9"/>
      <c r="H402" s="9"/>
    </row>
    <row r="403" spans="1:8" ht="12.75">
      <c r="A403" s="9"/>
      <c r="B403" s="9"/>
      <c r="G403" s="9"/>
      <c r="H403" s="9"/>
    </row>
    <row r="404" spans="1:8" ht="12.75">
      <c r="A404" s="9"/>
      <c r="B404" s="9"/>
      <c r="G404" s="9"/>
      <c r="H404" s="9"/>
    </row>
    <row r="405" spans="1:8" ht="12.75">
      <c r="A405" s="9"/>
      <c r="B405" s="9"/>
      <c r="G405" s="9"/>
      <c r="H405" s="9"/>
    </row>
    <row r="406" spans="1:8" ht="12.75">
      <c r="A406" s="9"/>
      <c r="B406" s="9"/>
      <c r="G406" s="9"/>
      <c r="H406" s="9"/>
    </row>
    <row r="407" spans="1:8" ht="12.75">
      <c r="A407" s="9"/>
      <c r="B407" s="9"/>
      <c r="G407" s="9"/>
      <c r="H407" s="9"/>
    </row>
    <row r="408" spans="1:8" ht="12.75">
      <c r="A408" s="9"/>
      <c r="B408" s="9"/>
      <c r="G408" s="9"/>
      <c r="H408" s="9"/>
    </row>
    <row r="409" spans="1:8" ht="12.75">
      <c r="A409" s="9"/>
      <c r="B409" s="9"/>
      <c r="G409" s="9"/>
      <c r="H409" s="9"/>
    </row>
    <row r="410" spans="1:8" ht="12.75">
      <c r="A410" s="9"/>
      <c r="B410" s="9"/>
      <c r="G410" s="9"/>
      <c r="H410" s="9"/>
    </row>
    <row r="411" spans="1:8" ht="12.75">
      <c r="A411" s="9"/>
      <c r="B411" s="9"/>
      <c r="G411" s="9"/>
      <c r="H411" s="9"/>
    </row>
    <row r="412" spans="1:8" ht="12.75">
      <c r="A412" s="9"/>
      <c r="B412" s="9"/>
      <c r="G412" s="9"/>
      <c r="H412" s="9"/>
    </row>
    <row r="413" spans="1:8" ht="12.75">
      <c r="A413" s="9"/>
      <c r="B413" s="9"/>
      <c r="G413" s="9"/>
      <c r="H413" s="9"/>
    </row>
    <row r="414" spans="1:8" ht="12.75">
      <c r="A414" s="9"/>
      <c r="B414" s="9"/>
      <c r="G414" s="9"/>
      <c r="H414" s="9"/>
    </row>
    <row r="415" spans="1:8" ht="12.75">
      <c r="A415" s="9"/>
      <c r="B415" s="9"/>
      <c r="G415" s="9"/>
      <c r="H415" s="9"/>
    </row>
    <row r="416" spans="1:8" ht="12.75">
      <c r="A416" s="9"/>
      <c r="B416" s="9"/>
      <c r="G416" s="9"/>
      <c r="H416" s="9"/>
    </row>
    <row r="417" spans="1:8" ht="12.75">
      <c r="A417" s="9"/>
      <c r="B417" s="9"/>
      <c r="G417" s="9"/>
      <c r="H417" s="9"/>
    </row>
    <row r="418" spans="1:8" ht="12.75">
      <c r="A418" s="9"/>
      <c r="B418" s="9"/>
      <c r="G418" s="9"/>
      <c r="H418" s="9"/>
    </row>
    <row r="419" spans="1:8" ht="12.75">
      <c r="A419" s="9"/>
      <c r="B419" s="9"/>
      <c r="G419" s="9"/>
      <c r="H419" s="9"/>
    </row>
    <row r="420" spans="1:8" ht="12.75">
      <c r="A420" s="9"/>
      <c r="B420" s="9"/>
      <c r="G420" s="9"/>
      <c r="H420" s="9"/>
    </row>
    <row r="421" spans="1:8" ht="12.75">
      <c r="A421" s="9"/>
      <c r="B421" s="9"/>
      <c r="G421" s="9"/>
      <c r="H421" s="9"/>
    </row>
    <row r="422" spans="1:8" ht="12.75">
      <c r="A422" s="9"/>
      <c r="B422" s="9"/>
      <c r="G422" s="9"/>
      <c r="H422" s="9"/>
    </row>
    <row r="423" spans="1:8" ht="12.75">
      <c r="A423" s="9"/>
      <c r="B423" s="9"/>
      <c r="G423" s="9"/>
      <c r="H423" s="9"/>
    </row>
    <row r="424" spans="1:8" ht="12.75">
      <c r="A424" s="9"/>
      <c r="B424" s="9"/>
      <c r="G424" s="9"/>
      <c r="H424" s="9"/>
    </row>
    <row r="425" spans="1:8" ht="12.75">
      <c r="A425" s="9"/>
      <c r="B425" s="9"/>
      <c r="G425" s="9"/>
      <c r="H425" s="9"/>
    </row>
    <row r="426" spans="1:8" ht="12.75">
      <c r="A426" s="9"/>
      <c r="B426" s="9"/>
      <c r="G426" s="9"/>
      <c r="H426" s="9"/>
    </row>
    <row r="427" spans="1:8" ht="12.75">
      <c r="A427" s="9"/>
      <c r="B427" s="9"/>
      <c r="G427" s="9"/>
      <c r="H427" s="9"/>
    </row>
    <row r="428" spans="1:8" ht="12.75">
      <c r="A428" s="9"/>
      <c r="B428" s="9"/>
      <c r="G428" s="9"/>
      <c r="H428" s="9"/>
    </row>
    <row r="429" spans="1:8" ht="12.75">
      <c r="A429" s="9"/>
      <c r="B429" s="9"/>
      <c r="G429" s="9"/>
      <c r="H429" s="9"/>
    </row>
    <row r="430" spans="1:8" ht="12.75">
      <c r="A430" s="9"/>
      <c r="B430" s="9"/>
      <c r="G430" s="9"/>
      <c r="H430" s="9"/>
    </row>
    <row r="431" spans="1:8" ht="12.75">
      <c r="A431" s="9"/>
      <c r="B431" s="9"/>
      <c r="G431" s="9"/>
      <c r="H431" s="9"/>
    </row>
    <row r="432" spans="1:8" ht="12.75">
      <c r="A432" s="9"/>
      <c r="B432" s="9"/>
      <c r="G432" s="9"/>
      <c r="H432" s="9"/>
    </row>
    <row r="433" spans="1:8" ht="12.75">
      <c r="A433" s="9"/>
      <c r="B433" s="9"/>
      <c r="G433" s="9"/>
      <c r="H433" s="9"/>
    </row>
    <row r="434" spans="1:8" ht="12.75">
      <c r="A434" s="9"/>
      <c r="B434" s="9"/>
      <c r="G434" s="9"/>
      <c r="H434" s="9"/>
    </row>
    <row r="435" spans="1:8" ht="12.75">
      <c r="A435" s="9"/>
      <c r="B435" s="9"/>
      <c r="G435" s="9"/>
      <c r="H435" s="9"/>
    </row>
    <row r="436" spans="1:8" ht="12.75">
      <c r="A436" s="9"/>
      <c r="B436" s="9"/>
      <c r="G436" s="9"/>
      <c r="H436" s="9"/>
    </row>
    <row r="437" spans="1:8" ht="12.75">
      <c r="A437" s="9"/>
      <c r="B437" s="9"/>
      <c r="G437" s="9"/>
      <c r="H437" s="9"/>
    </row>
    <row r="438" spans="1:8" ht="12.75">
      <c r="A438" s="9"/>
      <c r="B438" s="9"/>
      <c r="G438" s="9"/>
      <c r="H438" s="9"/>
    </row>
    <row r="439" spans="1:8" ht="12.75">
      <c r="A439" s="9"/>
      <c r="B439" s="9"/>
      <c r="G439" s="9"/>
      <c r="H439" s="9"/>
    </row>
    <row r="440" spans="1:8" ht="12.75">
      <c r="A440" s="9"/>
      <c r="B440" s="9"/>
      <c r="G440" s="9"/>
      <c r="H440" s="9"/>
    </row>
    <row r="441" spans="1:8" ht="12.75">
      <c r="A441" s="9"/>
      <c r="B441" s="9"/>
      <c r="G441" s="9"/>
      <c r="H441" s="9"/>
    </row>
    <row r="442" spans="1:8" ht="12.75">
      <c r="A442" s="9"/>
      <c r="B442" s="9"/>
      <c r="G442" s="9"/>
      <c r="H442" s="9"/>
    </row>
    <row r="443" spans="1:8" ht="12.75">
      <c r="A443" s="9"/>
      <c r="B443" s="9"/>
      <c r="G443" s="9"/>
      <c r="H443" s="9"/>
    </row>
    <row r="444" spans="1:8" ht="12.75">
      <c r="A444" s="9"/>
      <c r="B444" s="9"/>
      <c r="G444" s="9"/>
      <c r="H444" s="9"/>
    </row>
    <row r="445" spans="1:8" ht="12.75">
      <c r="A445" s="9"/>
      <c r="B445" s="9"/>
      <c r="G445" s="9"/>
      <c r="H445" s="9"/>
    </row>
    <row r="446" spans="1:8" ht="12.75">
      <c r="A446" s="9"/>
      <c r="B446" s="9"/>
      <c r="G446" s="9"/>
      <c r="H446" s="9"/>
    </row>
    <row r="447" spans="1:8" ht="12.75">
      <c r="A447" s="9"/>
      <c r="B447" s="9"/>
      <c r="G447" s="9"/>
      <c r="H447" s="9"/>
    </row>
    <row r="448" spans="1:8" ht="12.75">
      <c r="A448" s="9"/>
      <c r="B448" s="9"/>
      <c r="G448" s="9"/>
      <c r="H448" s="9"/>
    </row>
    <row r="449" spans="1:8" ht="12.75">
      <c r="A449" s="9"/>
      <c r="B449" s="9"/>
      <c r="G449" s="9"/>
      <c r="H449" s="9"/>
    </row>
    <row r="450" spans="1:8" ht="12.75">
      <c r="A450" s="9"/>
      <c r="B450" s="9"/>
      <c r="G450" s="9"/>
      <c r="H450" s="9"/>
    </row>
    <row r="451" spans="1:8" ht="12.75">
      <c r="A451" s="9"/>
      <c r="B451" s="9"/>
      <c r="G451" s="9"/>
      <c r="H451" s="9"/>
    </row>
    <row r="452" spans="1:8" ht="12.75">
      <c r="A452" s="9"/>
      <c r="B452" s="9"/>
      <c r="G452" s="9"/>
      <c r="H452" s="9"/>
    </row>
    <row r="453" spans="1:8" ht="12.75">
      <c r="A453" s="9"/>
      <c r="B453" s="9"/>
      <c r="G453" s="9"/>
      <c r="H453" s="9"/>
    </row>
    <row r="454" spans="1:8" ht="12.75">
      <c r="A454" s="9"/>
      <c r="B454" s="9"/>
      <c r="G454" s="9"/>
      <c r="H454" s="9"/>
    </row>
    <row r="455" spans="1:8" ht="12.75">
      <c r="A455" s="9"/>
      <c r="B455" s="9"/>
      <c r="G455" s="9"/>
      <c r="H455" s="9"/>
    </row>
    <row r="456" spans="1:8" ht="12.75">
      <c r="A456" s="9"/>
      <c r="B456" s="9"/>
      <c r="G456" s="9"/>
      <c r="H456" s="9"/>
    </row>
    <row r="457" spans="1:8" ht="12.75">
      <c r="A457" s="9"/>
      <c r="B457" s="9"/>
      <c r="G457" s="9"/>
      <c r="H457" s="9"/>
    </row>
    <row r="458" spans="1:8" ht="12.75">
      <c r="A458" s="9"/>
      <c r="B458" s="9"/>
      <c r="G458" s="9"/>
      <c r="H458" s="9"/>
    </row>
    <row r="459" spans="1:8" ht="12.75">
      <c r="A459" s="9"/>
      <c r="B459" s="9"/>
      <c r="G459" s="9"/>
      <c r="H459" s="9"/>
    </row>
    <row r="460" spans="1:8" ht="12.75">
      <c r="A460" s="9"/>
      <c r="B460" s="9"/>
      <c r="G460" s="9"/>
      <c r="H460" s="9"/>
    </row>
    <row r="461" spans="1:8" ht="12.75">
      <c r="A461" s="9"/>
      <c r="B461" s="9"/>
      <c r="G461" s="9"/>
      <c r="H461" s="9"/>
    </row>
    <row r="462" spans="1:8" ht="12.75">
      <c r="A462" s="9"/>
      <c r="B462" s="9"/>
      <c r="G462" s="9"/>
      <c r="H462" s="9"/>
    </row>
    <row r="463" spans="1:8" ht="12.75">
      <c r="A463" s="9"/>
      <c r="B463" s="9"/>
      <c r="G463" s="9"/>
      <c r="H463" s="9"/>
    </row>
    <row r="464" spans="1:8" ht="12.75">
      <c r="A464" s="9"/>
      <c r="B464" s="9"/>
      <c r="G464" s="9"/>
      <c r="H464" s="9"/>
    </row>
    <row r="465" spans="1:8" ht="12.75">
      <c r="A465" s="9"/>
      <c r="B465" s="9"/>
      <c r="G465" s="9"/>
      <c r="H465" s="9"/>
    </row>
    <row r="466" spans="1:8" ht="12.75">
      <c r="A466" s="9"/>
      <c r="B466" s="9"/>
      <c r="G466" s="9"/>
      <c r="H466" s="9"/>
    </row>
    <row r="467" spans="1:8" ht="12.75">
      <c r="A467" s="9"/>
      <c r="B467" s="9"/>
      <c r="G467" s="9"/>
      <c r="H467" s="9"/>
    </row>
    <row r="468" spans="1:8" ht="12.75">
      <c r="A468" s="9"/>
      <c r="B468" s="9"/>
      <c r="G468" s="9"/>
      <c r="H468" s="9"/>
    </row>
    <row r="469" spans="1:8" ht="12.75">
      <c r="A469" s="9"/>
      <c r="B469" s="9"/>
      <c r="G469" s="9"/>
      <c r="H469" s="9"/>
    </row>
    <row r="470" spans="1:8" ht="12.75">
      <c r="A470" s="9"/>
      <c r="B470" s="9"/>
      <c r="G470" s="9"/>
      <c r="H470" s="9"/>
    </row>
    <row r="471" spans="1:8" ht="12.75">
      <c r="A471" s="9"/>
      <c r="B471" s="9"/>
      <c r="G471" s="9"/>
      <c r="H471" s="9"/>
    </row>
    <row r="472" spans="1:8" ht="12.75">
      <c r="A472" s="9"/>
      <c r="B472" s="9"/>
      <c r="G472" s="9"/>
      <c r="H472" s="9"/>
    </row>
    <row r="473" spans="1:8" ht="12.75">
      <c r="A473" s="9"/>
      <c r="B473" s="9"/>
      <c r="G473" s="9"/>
      <c r="H473" s="9"/>
    </row>
    <row r="474" spans="1:8" ht="12.75">
      <c r="A474" s="9"/>
      <c r="B474" s="9"/>
      <c r="G474" s="9"/>
      <c r="H474" s="9"/>
    </row>
    <row r="475" spans="1:8" ht="12.75">
      <c r="A475" s="9"/>
      <c r="B475" s="9"/>
      <c r="G475" s="9"/>
      <c r="H475" s="9"/>
    </row>
    <row r="476" spans="1:8" ht="12.75">
      <c r="A476" s="9"/>
      <c r="B476" s="9"/>
      <c r="G476" s="9"/>
      <c r="H476" s="9"/>
    </row>
    <row r="477" spans="1:8" ht="12.75">
      <c r="A477" s="9"/>
      <c r="B477" s="9"/>
      <c r="G477" s="9"/>
      <c r="H477" s="9"/>
    </row>
    <row r="478" spans="1:8" ht="12.75">
      <c r="A478" s="9"/>
      <c r="B478" s="9"/>
      <c r="G478" s="9"/>
      <c r="H478" s="9"/>
    </row>
    <row r="479" spans="1:8" ht="12.75">
      <c r="A479" s="9"/>
      <c r="B479" s="9"/>
      <c r="G479" s="9"/>
      <c r="H479" s="9"/>
    </row>
    <row r="480" spans="1:8" ht="12.75">
      <c r="A480" s="9"/>
      <c r="B480" s="9"/>
      <c r="G480" s="9"/>
      <c r="H480" s="9"/>
    </row>
    <row r="481" spans="1:8" ht="12.75">
      <c r="A481" s="9"/>
      <c r="B481" s="9"/>
      <c r="G481" s="9"/>
      <c r="H481" s="9"/>
    </row>
    <row r="482" spans="1:8" ht="12.75">
      <c r="A482" s="9"/>
      <c r="B482" s="9"/>
      <c r="G482" s="9"/>
      <c r="H482" s="9"/>
    </row>
    <row r="483" spans="1:8" ht="12.75">
      <c r="A483" s="9"/>
      <c r="B483" s="9"/>
      <c r="G483" s="9"/>
      <c r="H483" s="9"/>
    </row>
    <row r="484" spans="1:8" ht="12.75">
      <c r="A484" s="9"/>
      <c r="B484" s="9"/>
      <c r="G484" s="9"/>
      <c r="H484" s="9"/>
    </row>
    <row r="485" spans="1:8" ht="12.75">
      <c r="A485" s="9"/>
      <c r="B485" s="9"/>
      <c r="G485" s="9"/>
      <c r="H485" s="9"/>
    </row>
    <row r="486" spans="1:8" ht="12.75">
      <c r="A486" s="9"/>
      <c r="B486" s="9"/>
      <c r="G486" s="9"/>
      <c r="H486" s="9"/>
    </row>
    <row r="487" spans="1:8" ht="12.75">
      <c r="A487" s="9"/>
      <c r="B487" s="9"/>
      <c r="G487" s="9"/>
      <c r="H487" s="9"/>
    </row>
    <row r="488" spans="1:8" ht="12.75">
      <c r="A488" s="9"/>
      <c r="B488" s="9"/>
      <c r="G488" s="9"/>
      <c r="H488" s="9"/>
    </row>
    <row r="489" spans="1:8" ht="12.75">
      <c r="A489" s="9"/>
      <c r="B489" s="9"/>
      <c r="G489" s="9"/>
      <c r="H489" s="9"/>
    </row>
    <row r="490" spans="1:8" ht="12.75">
      <c r="A490" s="9"/>
      <c r="B490" s="9"/>
      <c r="G490" s="9"/>
      <c r="H490" s="9"/>
    </row>
    <row r="491" spans="1:8" ht="12.75">
      <c r="A491" s="9"/>
      <c r="B491" s="9"/>
      <c r="G491" s="9"/>
      <c r="H491" s="9"/>
    </row>
    <row r="492" spans="1:8" ht="12.75">
      <c r="A492" s="9"/>
      <c r="B492" s="9"/>
      <c r="G492" s="9"/>
      <c r="H492" s="9"/>
    </row>
    <row r="493" spans="1:8" ht="12.75">
      <c r="A493" s="9"/>
      <c r="B493" s="9"/>
      <c r="G493" s="9"/>
      <c r="H493" s="9"/>
    </row>
    <row r="494" spans="1:8" ht="12.75">
      <c r="A494" s="9"/>
      <c r="B494" s="9"/>
      <c r="G494" s="9"/>
      <c r="H494" s="9"/>
    </row>
    <row r="495" spans="1:8" ht="12.75">
      <c r="A495" s="9"/>
      <c r="B495" s="9"/>
      <c r="G495" s="9"/>
      <c r="H495" s="9"/>
    </row>
    <row r="496" spans="1:8" ht="12.75">
      <c r="A496" s="9"/>
      <c r="B496" s="9"/>
      <c r="G496" s="9"/>
      <c r="H496" s="9"/>
    </row>
    <row r="497" spans="1:8" ht="12.75">
      <c r="A497" s="9"/>
      <c r="B497" s="9"/>
      <c r="G497" s="9"/>
      <c r="H497" s="9"/>
    </row>
    <row r="498" spans="1:8" ht="12.75">
      <c r="A498" s="9"/>
      <c r="B498" s="9"/>
      <c r="G498" s="9"/>
      <c r="H498" s="9"/>
    </row>
    <row r="499" spans="1:8" ht="12.75">
      <c r="A499" s="9"/>
      <c r="B499" s="9"/>
      <c r="G499" s="9"/>
      <c r="H499" s="9"/>
    </row>
    <row r="500" spans="1:8" ht="12.75">
      <c r="A500" s="9"/>
      <c r="B500" s="9"/>
      <c r="G500" s="9"/>
      <c r="H500" s="9"/>
    </row>
    <row r="501" spans="1:8" ht="12.75">
      <c r="A501" s="9"/>
      <c r="B501" s="9"/>
      <c r="G501" s="9"/>
      <c r="H501" s="9"/>
    </row>
    <row r="502" spans="1:8" ht="12.75">
      <c r="A502" s="9"/>
      <c r="B502" s="9"/>
      <c r="G502" s="9"/>
      <c r="H502" s="9"/>
    </row>
    <row r="503" spans="1:8" ht="12.75">
      <c r="A503" s="9"/>
      <c r="B503" s="9"/>
      <c r="G503" s="9"/>
      <c r="H503" s="9"/>
    </row>
    <row r="504" spans="1:8" ht="12.75">
      <c r="A504" s="9"/>
      <c r="B504" s="9"/>
      <c r="G504" s="9"/>
      <c r="H504" s="9"/>
    </row>
    <row r="505" spans="1:8" ht="12.75">
      <c r="A505" s="9"/>
      <c r="B505" s="9"/>
      <c r="G505" s="9"/>
      <c r="H505" s="9"/>
    </row>
    <row r="506" spans="1:8" ht="12.75">
      <c r="A506" s="9"/>
      <c r="B506" s="9"/>
      <c r="G506" s="9"/>
      <c r="H506" s="9"/>
    </row>
    <row r="507" spans="1:8" ht="12.75">
      <c r="A507" s="9"/>
      <c r="B507" s="9"/>
      <c r="G507" s="9"/>
      <c r="H507" s="9"/>
    </row>
    <row r="508" spans="1:8" ht="12.75">
      <c r="A508" s="9"/>
      <c r="B508" s="9"/>
      <c r="G508" s="9"/>
      <c r="H508" s="9"/>
    </row>
    <row r="509" spans="1:8" ht="12.75">
      <c r="A509" s="9"/>
      <c r="B509" s="9"/>
      <c r="G509" s="9"/>
      <c r="H509" s="9"/>
    </row>
    <row r="510" spans="1:8" ht="12.75">
      <c r="A510" s="9"/>
      <c r="B510" s="9"/>
      <c r="G510" s="9"/>
      <c r="H510" s="9"/>
    </row>
    <row r="511" spans="1:8" ht="12.75">
      <c r="A511" s="9"/>
      <c r="B511" s="9"/>
      <c r="G511" s="9"/>
      <c r="H511" s="9"/>
    </row>
    <row r="512" spans="1:8" ht="12.75">
      <c r="A512" s="9"/>
      <c r="B512" s="9"/>
      <c r="G512" s="9"/>
      <c r="H512" s="9"/>
    </row>
    <row r="513" spans="1:8" ht="12.75">
      <c r="A513" s="9"/>
      <c r="B513" s="9"/>
      <c r="G513" s="9"/>
      <c r="H513" s="9"/>
    </row>
    <row r="514" spans="1:8" ht="12.75">
      <c r="A514" s="9"/>
      <c r="B514" s="9"/>
      <c r="G514" s="9"/>
      <c r="H514" s="9"/>
    </row>
    <row r="515" spans="1:8" ht="12.75">
      <c r="A515" s="9"/>
      <c r="B515" s="9"/>
      <c r="G515" s="9"/>
      <c r="H515" s="9"/>
    </row>
    <row r="516" spans="1:8" ht="12.75">
      <c r="A516" s="9"/>
      <c r="B516" s="9"/>
      <c r="G516" s="9"/>
      <c r="H516" s="9"/>
    </row>
    <row r="517" spans="1:8" ht="12.75">
      <c r="A517" s="9"/>
      <c r="B517" s="9"/>
      <c r="G517" s="9"/>
      <c r="H517" s="9"/>
    </row>
    <row r="518" spans="1:8" ht="12.75">
      <c r="A518" s="9"/>
      <c r="B518" s="9"/>
      <c r="G518" s="9"/>
      <c r="H518" s="9"/>
    </row>
    <row r="519" spans="1:8" ht="12.75">
      <c r="A519" s="9"/>
      <c r="B519" s="9"/>
      <c r="G519" s="9"/>
      <c r="H519" s="9"/>
    </row>
    <row r="520" spans="1:8" ht="12.75">
      <c r="A520" s="9"/>
      <c r="B520" s="9"/>
      <c r="G520" s="9"/>
      <c r="H520" s="9"/>
    </row>
    <row r="521" spans="1:8" ht="12.75">
      <c r="A521" s="9"/>
      <c r="B521" s="9"/>
      <c r="G521" s="9"/>
      <c r="H521" s="9"/>
    </row>
    <row r="522" spans="1:8" ht="12.75">
      <c r="A522" s="9"/>
      <c r="B522" s="9"/>
      <c r="G522" s="9"/>
      <c r="H522" s="9"/>
    </row>
    <row r="523" spans="1:8" ht="12.75">
      <c r="A523" s="9"/>
      <c r="B523" s="9"/>
      <c r="G523" s="9"/>
      <c r="H523" s="9"/>
    </row>
    <row r="524" spans="1:8" ht="12.75">
      <c r="A524" s="9"/>
      <c r="B524" s="9"/>
      <c r="G524" s="9"/>
      <c r="H524" s="9"/>
    </row>
    <row r="525" spans="1:8" ht="12.75">
      <c r="A525" s="9"/>
      <c r="B525" s="9"/>
      <c r="G525" s="9"/>
      <c r="H525" s="9"/>
    </row>
    <row r="526" spans="1:8" ht="12.75">
      <c r="A526" s="9"/>
      <c r="B526" s="9"/>
      <c r="G526" s="9"/>
      <c r="H526" s="9"/>
    </row>
    <row r="527" spans="1:8" ht="12.75">
      <c r="A527" s="9"/>
      <c r="B527" s="9"/>
      <c r="G527" s="9"/>
      <c r="H527" s="9"/>
    </row>
    <row r="528" spans="1:8" ht="12.75">
      <c r="A528" s="9"/>
      <c r="B528" s="9"/>
      <c r="G528" s="9"/>
      <c r="H528" s="9"/>
    </row>
    <row r="529" spans="1:8" ht="12.75">
      <c r="A529" s="9"/>
      <c r="B529" s="9"/>
      <c r="G529" s="9"/>
      <c r="H529" s="9"/>
    </row>
    <row r="530" spans="1:8" ht="12.75">
      <c r="A530" s="9"/>
      <c r="B530" s="9"/>
      <c r="G530" s="9"/>
      <c r="H530" s="9"/>
    </row>
    <row r="531" spans="1:8" ht="12.75">
      <c r="A531" s="9"/>
      <c r="B531" s="9"/>
      <c r="G531" s="9"/>
      <c r="H531" s="9"/>
    </row>
    <row r="532" spans="1:8" ht="12.75">
      <c r="A532" s="9"/>
      <c r="B532" s="9"/>
      <c r="G532" s="9"/>
      <c r="H532" s="9"/>
    </row>
    <row r="533" spans="1:8" ht="12.75">
      <c r="A533" s="9"/>
      <c r="B533" s="9"/>
      <c r="G533" s="9"/>
      <c r="H533" s="9"/>
    </row>
    <row r="534" spans="1:8" ht="12.75">
      <c r="A534" s="9"/>
      <c r="B534" s="9"/>
      <c r="G534" s="9"/>
      <c r="H534" s="9"/>
    </row>
    <row r="535" spans="1:8" ht="12.75">
      <c r="A535" s="9"/>
      <c r="B535" s="9"/>
      <c r="G535" s="9"/>
      <c r="H535" s="9"/>
    </row>
    <row r="536" spans="1:8" ht="12.75">
      <c r="A536" s="9"/>
      <c r="B536" s="9"/>
      <c r="G536" s="9"/>
      <c r="H536" s="9"/>
    </row>
    <row r="537" spans="1:8" ht="12.75">
      <c r="A537" s="9"/>
      <c r="B537" s="9"/>
      <c r="G537" s="9"/>
      <c r="H537" s="9"/>
    </row>
    <row r="538" spans="1:8" ht="12.75">
      <c r="A538" s="9"/>
      <c r="B538" s="9"/>
      <c r="G538" s="9"/>
      <c r="H538" s="9"/>
    </row>
    <row r="539" spans="1:8" ht="12.75">
      <c r="A539" s="9"/>
      <c r="B539" s="9"/>
      <c r="G539" s="9"/>
      <c r="H539" s="9"/>
    </row>
    <row r="540" spans="1:8" ht="12.75">
      <c r="A540" s="9"/>
      <c r="B540" s="9"/>
      <c r="G540" s="9"/>
      <c r="H540" s="9"/>
    </row>
    <row r="541" spans="1:8" ht="12.75">
      <c r="A541" s="9"/>
      <c r="B541" s="9"/>
      <c r="G541" s="9"/>
      <c r="H541" s="9"/>
    </row>
    <row r="542" spans="1:8" ht="12.75">
      <c r="A542" s="9"/>
      <c r="B542" s="9"/>
      <c r="G542" s="9"/>
      <c r="H542" s="9"/>
    </row>
    <row r="543" spans="1:8" ht="12.75">
      <c r="A543" s="9"/>
      <c r="B543" s="9"/>
      <c r="G543" s="9"/>
      <c r="H543" s="9"/>
    </row>
    <row r="544" spans="1:8" ht="12.75">
      <c r="A544" s="9"/>
      <c r="B544" s="9"/>
      <c r="G544" s="9"/>
      <c r="H544" s="9"/>
    </row>
    <row r="545" spans="1:8" ht="12.75">
      <c r="A545" s="9"/>
      <c r="B545" s="9"/>
      <c r="G545" s="9"/>
      <c r="H545" s="9"/>
    </row>
    <row r="546" spans="1:8" ht="12.75">
      <c r="A546" s="9"/>
      <c r="B546" s="9"/>
      <c r="G546" s="9"/>
      <c r="H546" s="9"/>
    </row>
    <row r="547" spans="1:8" ht="12.75">
      <c r="A547" s="9"/>
      <c r="B547" s="9"/>
      <c r="G547" s="9"/>
      <c r="H547" s="9"/>
    </row>
    <row r="548" spans="1:8" ht="12.75">
      <c r="A548" s="9"/>
      <c r="B548" s="9"/>
      <c r="G548" s="9"/>
      <c r="H548" s="9"/>
    </row>
    <row r="549" spans="1:8" ht="12.75">
      <c r="A549" s="9"/>
      <c r="B549" s="9"/>
      <c r="G549" s="9"/>
      <c r="H549" s="9"/>
    </row>
    <row r="550" spans="1:8" ht="12.75">
      <c r="A550" s="9"/>
      <c r="B550" s="9"/>
      <c r="G550" s="9"/>
      <c r="H550" s="9"/>
    </row>
    <row r="551" spans="1:8" ht="12.75">
      <c r="A551" s="9"/>
      <c r="B551" s="9"/>
      <c r="G551" s="9"/>
      <c r="H551" s="9"/>
    </row>
    <row r="552" spans="1:8" ht="12.75">
      <c r="A552" s="9"/>
      <c r="B552" s="9"/>
      <c r="G552" s="9"/>
      <c r="H552" s="9"/>
    </row>
    <row r="553" spans="1:8" ht="12.75">
      <c r="A553" s="9"/>
      <c r="B553" s="9"/>
      <c r="G553" s="9"/>
      <c r="H553" s="9"/>
    </row>
    <row r="554" spans="1:8" ht="12.75">
      <c r="A554" s="9"/>
      <c r="B554" s="9"/>
      <c r="G554" s="9"/>
      <c r="H554" s="9"/>
    </row>
    <row r="555" spans="1:8" ht="12.75">
      <c r="A555" s="9"/>
      <c r="B555" s="9"/>
      <c r="G555" s="9"/>
      <c r="H555" s="9"/>
    </row>
    <row r="556" spans="1:8" ht="12.75">
      <c r="A556" s="9"/>
      <c r="B556" s="9"/>
      <c r="G556" s="9"/>
      <c r="H556" s="9"/>
    </row>
    <row r="557" spans="1:8" ht="12.75">
      <c r="A557" s="9"/>
      <c r="B557" s="9"/>
      <c r="G557" s="9"/>
      <c r="H557" s="9"/>
    </row>
    <row r="558" spans="1:8" ht="12.75">
      <c r="A558" s="9"/>
      <c r="B558" s="9"/>
      <c r="G558" s="9"/>
      <c r="H558" s="9"/>
    </row>
    <row r="559" spans="1:8" ht="12.75">
      <c r="A559" s="9"/>
      <c r="B559" s="9"/>
      <c r="G559" s="9"/>
      <c r="H559" s="9"/>
    </row>
    <row r="560" spans="1:8" ht="12.75">
      <c r="A560" s="9"/>
      <c r="B560" s="9"/>
      <c r="G560" s="9"/>
      <c r="H560" s="9"/>
    </row>
    <row r="561" spans="1:8" ht="12.75">
      <c r="A561" s="9"/>
      <c r="B561" s="9"/>
      <c r="G561" s="9"/>
      <c r="H561" s="9"/>
    </row>
    <row r="562" spans="1:8" ht="12.75">
      <c r="A562" s="9"/>
      <c r="B562" s="9"/>
      <c r="G562" s="9"/>
      <c r="H562" s="9"/>
    </row>
    <row r="563" spans="1:8" ht="12.75">
      <c r="A563" s="9"/>
      <c r="B563" s="9"/>
      <c r="G563" s="9"/>
      <c r="H563" s="9"/>
    </row>
    <row r="564" spans="1:8" ht="12.75">
      <c r="A564" s="9"/>
      <c r="B564" s="9"/>
      <c r="G564" s="9"/>
      <c r="H564" s="9"/>
    </row>
    <row r="565" spans="1:8" ht="12.75">
      <c r="A565" s="9"/>
      <c r="B565" s="9"/>
      <c r="G565" s="9"/>
      <c r="H565" s="9"/>
    </row>
    <row r="566" spans="1:8" ht="12.75">
      <c r="A566" s="9"/>
      <c r="B566" s="9"/>
      <c r="G566" s="9"/>
      <c r="H566" s="9"/>
    </row>
    <row r="567" spans="1:8" ht="12.75">
      <c r="A567" s="9"/>
      <c r="B567" s="9"/>
      <c r="G567" s="9"/>
      <c r="H567" s="9"/>
    </row>
    <row r="568" spans="1:8" ht="12.75">
      <c r="A568" s="9"/>
      <c r="B568" s="9"/>
      <c r="G568" s="9"/>
      <c r="H568" s="9"/>
    </row>
    <row r="569" spans="1:8" ht="12.75">
      <c r="A569" s="9"/>
      <c r="B569" s="9"/>
      <c r="G569" s="9"/>
      <c r="H569" s="9"/>
    </row>
    <row r="570" spans="1:8" ht="12.75">
      <c r="A570" s="9"/>
      <c r="B570" s="9"/>
      <c r="G570" s="9"/>
      <c r="H570" s="9"/>
    </row>
    <row r="571" spans="1:8" ht="12.75">
      <c r="A571" s="9"/>
      <c r="B571" s="9"/>
      <c r="G571" s="9"/>
      <c r="H571" s="9"/>
    </row>
    <row r="572" spans="1:8" ht="12.75">
      <c r="A572" s="9"/>
      <c r="B572" s="9"/>
      <c r="G572" s="9"/>
      <c r="H572" s="9"/>
    </row>
    <row r="573" spans="1:8" ht="12.75">
      <c r="A573" s="9"/>
      <c r="B573" s="9"/>
      <c r="G573" s="9"/>
      <c r="H573" s="9"/>
    </row>
    <row r="574" spans="1:8" ht="12.75">
      <c r="A574" s="9"/>
      <c r="B574" s="9"/>
      <c r="G574" s="9"/>
      <c r="H574" s="9"/>
    </row>
    <row r="575" spans="1:8" ht="12.75">
      <c r="A575" s="9"/>
      <c r="B575" s="9"/>
      <c r="G575" s="9"/>
      <c r="H575" s="9"/>
    </row>
    <row r="576" spans="1:8" ht="12.75">
      <c r="A576" s="9"/>
      <c r="B576" s="9"/>
      <c r="G576" s="9"/>
      <c r="H576" s="9"/>
    </row>
    <row r="577" spans="1:8" ht="12.75">
      <c r="A577" s="9"/>
      <c r="B577" s="9"/>
      <c r="G577" s="9"/>
      <c r="H577" s="9"/>
    </row>
    <row r="578" spans="1:8" ht="12.75">
      <c r="A578" s="9"/>
      <c r="B578" s="9"/>
      <c r="G578" s="9"/>
      <c r="H578" s="9"/>
    </row>
    <row r="579" spans="1:8" ht="12.75">
      <c r="A579" s="9"/>
      <c r="B579" s="9"/>
      <c r="G579" s="9"/>
      <c r="H579" s="9"/>
    </row>
    <row r="580" spans="1:8" ht="12.75">
      <c r="A580" s="9"/>
      <c r="B580" s="9"/>
      <c r="G580" s="9"/>
      <c r="H580" s="9"/>
    </row>
    <row r="581" spans="1:8" ht="12.75">
      <c r="A581" s="9"/>
      <c r="B581" s="9"/>
      <c r="G581" s="9"/>
      <c r="H581" s="9"/>
    </row>
    <row r="582" spans="1:8" ht="12.75">
      <c r="A582" s="9"/>
      <c r="B582" s="9"/>
      <c r="G582" s="9"/>
      <c r="H582" s="9"/>
    </row>
    <row r="583" spans="1:8" ht="12.75">
      <c r="A583" s="9"/>
      <c r="B583" s="9"/>
      <c r="G583" s="9"/>
      <c r="H583" s="9"/>
    </row>
    <row r="584" spans="1:8" ht="12.75">
      <c r="A584" s="9"/>
      <c r="B584" s="9"/>
      <c r="G584" s="9"/>
      <c r="H584" s="9"/>
    </row>
    <row r="585" spans="1:8" ht="12.75">
      <c r="A585" s="9"/>
      <c r="B585" s="9"/>
      <c r="G585" s="9"/>
      <c r="H585" s="9"/>
    </row>
    <row r="586" spans="1:8" ht="12.75">
      <c r="A586" s="9"/>
      <c r="B586" s="9"/>
      <c r="G586" s="9"/>
      <c r="H586" s="9"/>
    </row>
    <row r="587" spans="1:8" ht="12.75">
      <c r="A587" s="9"/>
      <c r="B587" s="9"/>
      <c r="G587" s="9"/>
      <c r="H587" s="9"/>
    </row>
    <row r="588" spans="1:8" ht="12.75">
      <c r="A588" s="9"/>
      <c r="B588" s="9"/>
      <c r="G588" s="9"/>
      <c r="H588" s="9"/>
    </row>
    <row r="589" spans="1:8" ht="12.75">
      <c r="A589" s="9"/>
      <c r="B589" s="9"/>
      <c r="G589" s="9"/>
      <c r="H589" s="9"/>
    </row>
    <row r="590" spans="1:8" ht="12.75">
      <c r="A590" s="9"/>
      <c r="B590" s="9"/>
      <c r="G590" s="9"/>
      <c r="H590" s="9"/>
    </row>
    <row r="591" spans="1:8" ht="12.75">
      <c r="A591" s="9"/>
      <c r="B591" s="9"/>
      <c r="G591" s="9"/>
      <c r="H591" s="9"/>
    </row>
    <row r="592" spans="1:8" ht="12.75">
      <c r="A592" s="9"/>
      <c r="B592" s="9"/>
      <c r="G592" s="9"/>
      <c r="H592" s="9"/>
    </row>
    <row r="593" spans="1:8" ht="12.75">
      <c r="A593" s="9"/>
      <c r="B593" s="9"/>
      <c r="G593" s="9"/>
      <c r="H593" s="9"/>
    </row>
    <row r="594" spans="1:8" ht="12.75">
      <c r="A594" s="9"/>
      <c r="B594" s="9"/>
      <c r="G594" s="9"/>
      <c r="H594" s="9"/>
    </row>
    <row r="595" spans="1:8" ht="12.75">
      <c r="A595" s="9"/>
      <c r="B595" s="9"/>
      <c r="G595" s="9"/>
      <c r="H595" s="9"/>
    </row>
    <row r="596" spans="1:8" ht="12.75">
      <c r="A596" s="9"/>
      <c r="B596" s="9"/>
      <c r="G596" s="9"/>
      <c r="H596" s="9"/>
    </row>
    <row r="597" spans="1:8" ht="12.75">
      <c r="A597" s="9"/>
      <c r="B597" s="9"/>
      <c r="G597" s="9"/>
      <c r="H597" s="9"/>
    </row>
    <row r="598" spans="1:8" ht="12.75">
      <c r="A598" s="9"/>
      <c r="B598" s="9"/>
      <c r="G598" s="9"/>
      <c r="H598" s="9"/>
    </row>
    <row r="599" spans="1:8" ht="12.75">
      <c r="A599" s="9"/>
      <c r="B599" s="9"/>
      <c r="G599" s="9"/>
      <c r="H599" s="9"/>
    </row>
    <row r="600" spans="1:8" ht="12.75">
      <c r="A600" s="9"/>
      <c r="B600" s="9"/>
      <c r="G600" s="9"/>
      <c r="H600" s="9"/>
    </row>
    <row r="601" spans="1:8" ht="12.75">
      <c r="A601" s="9"/>
      <c r="B601" s="9"/>
      <c r="G601" s="9"/>
      <c r="H601" s="9"/>
    </row>
    <row r="602" spans="1:8" ht="12.75">
      <c r="A602" s="9"/>
      <c r="B602" s="9"/>
      <c r="G602" s="9"/>
      <c r="H602" s="9"/>
    </row>
    <row r="603" spans="1:8" ht="12.75">
      <c r="A603" s="9"/>
      <c r="B603" s="9"/>
      <c r="G603" s="9"/>
      <c r="H603" s="9"/>
    </row>
    <row r="604" spans="1:8" ht="12.75">
      <c r="A604" s="9"/>
      <c r="B604" s="9"/>
      <c r="G604" s="9"/>
      <c r="H604" s="9"/>
    </row>
    <row r="605" spans="1:8" ht="12.75">
      <c r="A605" s="9"/>
      <c r="B605" s="9"/>
      <c r="G605" s="9"/>
      <c r="H605" s="9"/>
    </row>
    <row r="606" spans="1:8" ht="12.75">
      <c r="A606" s="9"/>
      <c r="B606" s="9"/>
      <c r="G606" s="9"/>
      <c r="H606" s="9"/>
    </row>
    <row r="607" spans="1:8" ht="12.75">
      <c r="A607" s="9"/>
      <c r="B607" s="9"/>
      <c r="G607" s="9"/>
      <c r="H607" s="9"/>
    </row>
    <row r="608" spans="1:8" ht="12.75">
      <c r="A608" s="9"/>
      <c r="B608" s="9"/>
      <c r="G608" s="9"/>
      <c r="H608" s="9"/>
    </row>
    <row r="609" spans="1:8" ht="12.75">
      <c r="A609" s="9"/>
      <c r="B609" s="9"/>
      <c r="G609" s="9"/>
      <c r="H609" s="9"/>
    </row>
    <row r="610" spans="1:8" ht="12.75">
      <c r="A610" s="9"/>
      <c r="B610" s="9"/>
      <c r="G610" s="9"/>
      <c r="H610" s="9"/>
    </row>
    <row r="611" spans="1:8" ht="12.75">
      <c r="A611" s="9"/>
      <c r="B611" s="9"/>
      <c r="G611" s="9"/>
      <c r="H611" s="9"/>
    </row>
    <row r="612" spans="1:8" ht="12.75">
      <c r="A612" s="9"/>
      <c r="B612" s="9"/>
      <c r="G612" s="9"/>
      <c r="H612" s="9"/>
    </row>
    <row r="613" spans="1:8" ht="12.75">
      <c r="A613" s="9"/>
      <c r="B613" s="9"/>
      <c r="G613" s="9"/>
      <c r="H613" s="9"/>
    </row>
    <row r="614" spans="1:8" ht="12.75">
      <c r="A614" s="9"/>
      <c r="B614" s="9"/>
      <c r="G614" s="9"/>
      <c r="H614" s="9"/>
    </row>
    <row r="615" spans="1:8" ht="12.75">
      <c r="A615" s="9"/>
      <c r="B615" s="9"/>
      <c r="G615" s="9"/>
      <c r="H615" s="9"/>
    </row>
    <row r="616" spans="1:8" ht="12.75">
      <c r="A616" s="9"/>
      <c r="B616" s="9"/>
      <c r="G616" s="9"/>
      <c r="H616" s="9"/>
    </row>
    <row r="617" spans="1:8" ht="12.75">
      <c r="A617" s="9"/>
      <c r="B617" s="9"/>
      <c r="G617" s="9"/>
      <c r="H617" s="9"/>
    </row>
    <row r="618" spans="1:8" ht="12.75">
      <c r="A618" s="9"/>
      <c r="B618" s="9"/>
      <c r="G618" s="9"/>
      <c r="H618" s="9"/>
    </row>
    <row r="619" spans="1:8" ht="12.75">
      <c r="A619" s="9"/>
      <c r="B619" s="9"/>
      <c r="G619" s="9"/>
      <c r="H619" s="9"/>
    </row>
    <row r="620" spans="1:8" ht="12.75">
      <c r="A620" s="9"/>
      <c r="B620" s="9"/>
      <c r="G620" s="9"/>
      <c r="H620" s="9"/>
    </row>
    <row r="621" spans="1:8" ht="12.75">
      <c r="A621" s="9"/>
      <c r="B621" s="9"/>
      <c r="G621" s="9"/>
      <c r="H621" s="9"/>
    </row>
    <row r="622" spans="1:8" ht="12.75">
      <c r="A622" s="9"/>
      <c r="B622" s="9"/>
      <c r="G622" s="9"/>
      <c r="H622" s="9"/>
    </row>
    <row r="623" spans="1:8" ht="12.75">
      <c r="A623" s="9"/>
      <c r="B623" s="9"/>
      <c r="G623" s="9"/>
      <c r="H623" s="9"/>
    </row>
    <row r="624" spans="1:8" ht="12.75">
      <c r="A624" s="9"/>
      <c r="B624" s="9"/>
      <c r="G624" s="9"/>
      <c r="H624" s="9"/>
    </row>
    <row r="625" spans="1:8" ht="12.75">
      <c r="A625" s="9"/>
      <c r="B625" s="9"/>
      <c r="G625" s="9"/>
      <c r="H625" s="9"/>
    </row>
    <row r="626" spans="1:8" ht="12.75">
      <c r="A626" s="9"/>
      <c r="B626" s="9"/>
      <c r="G626" s="9"/>
      <c r="H626" s="9"/>
    </row>
    <row r="627" spans="1:8" ht="12.75">
      <c r="A627" s="9"/>
      <c r="B627" s="9"/>
      <c r="G627" s="9"/>
      <c r="H627" s="9"/>
    </row>
    <row r="628" spans="1:8" ht="12.75">
      <c r="A628" s="9"/>
      <c r="B628" s="9"/>
      <c r="G628" s="9"/>
      <c r="H628" s="9"/>
    </row>
    <row r="629" spans="1:8" ht="12.75">
      <c r="A629" s="9"/>
      <c r="B629" s="9"/>
      <c r="G629" s="9"/>
      <c r="H629" s="9"/>
    </row>
    <row r="630" spans="1:8" ht="12.75">
      <c r="A630" s="9"/>
      <c r="B630" s="9"/>
      <c r="G630" s="9"/>
      <c r="H630" s="9"/>
    </row>
    <row r="631" spans="1:8" ht="12.75">
      <c r="A631" s="9"/>
      <c r="B631" s="9"/>
      <c r="G631" s="9"/>
      <c r="H631" s="9"/>
    </row>
    <row r="632" spans="1:8" ht="12.75">
      <c r="A632" s="9"/>
      <c r="B632" s="9"/>
      <c r="G632" s="9"/>
      <c r="H632" s="9"/>
    </row>
    <row r="633" spans="1:8" ht="12.75">
      <c r="A633" s="9"/>
      <c r="B633" s="9"/>
      <c r="G633" s="9"/>
      <c r="H633" s="9"/>
    </row>
    <row r="634" spans="1:8" ht="12.75">
      <c r="A634" s="9"/>
      <c r="B634" s="9"/>
      <c r="G634" s="9"/>
      <c r="H634" s="9"/>
    </row>
    <row r="635" spans="1:8" ht="12.75">
      <c r="A635" s="9"/>
      <c r="B635" s="9"/>
      <c r="G635" s="9"/>
      <c r="H635" s="9"/>
    </row>
    <row r="636" spans="1:8" ht="12.75">
      <c r="A636" s="9"/>
      <c r="B636" s="9"/>
      <c r="G636" s="9"/>
      <c r="H636" s="9"/>
    </row>
    <row r="637" spans="1:8" ht="12.75">
      <c r="A637" s="9"/>
      <c r="B637" s="9"/>
      <c r="G637" s="9"/>
      <c r="H637" s="9"/>
    </row>
    <row r="638" spans="1:8" ht="12.75">
      <c r="A638" s="9"/>
      <c r="B638" s="9"/>
      <c r="G638" s="9"/>
      <c r="H638" s="9"/>
    </row>
    <row r="639" spans="1:8" ht="12.75">
      <c r="A639" s="9"/>
      <c r="B639" s="9"/>
      <c r="G639" s="9"/>
      <c r="H639" s="9"/>
    </row>
    <row r="640" spans="1:8" ht="12.75">
      <c r="A640" s="9"/>
      <c r="B640" s="9"/>
      <c r="G640" s="9"/>
      <c r="H640" s="9"/>
    </row>
    <row r="641" spans="1:8" ht="12.75">
      <c r="A641" s="9"/>
      <c r="B641" s="9"/>
      <c r="G641" s="9"/>
      <c r="H641" s="9"/>
    </row>
    <row r="642" spans="1:8" ht="12.75">
      <c r="A642" s="9"/>
      <c r="B642" s="9"/>
      <c r="G642" s="9"/>
      <c r="H642" s="9"/>
    </row>
    <row r="643" spans="1:8" ht="12.75">
      <c r="A643" s="9"/>
      <c r="B643" s="9"/>
      <c r="G643" s="9"/>
      <c r="H643" s="9"/>
    </row>
    <row r="644" spans="1:8" ht="12.75">
      <c r="A644" s="9"/>
      <c r="B644" s="9"/>
      <c r="G644" s="9"/>
      <c r="H644" s="9"/>
    </row>
    <row r="645" spans="1:8" ht="12.75">
      <c r="A645" s="9"/>
      <c r="B645" s="9"/>
      <c r="G645" s="9"/>
      <c r="H645" s="9"/>
    </row>
    <row r="646" spans="1:8" ht="12.75">
      <c r="A646" s="9"/>
      <c r="B646" s="9"/>
      <c r="G646" s="9"/>
      <c r="H646" s="9"/>
    </row>
    <row r="647" spans="1:8" ht="12.75">
      <c r="A647" s="9"/>
      <c r="B647" s="9"/>
      <c r="G647" s="9"/>
      <c r="H647" s="9"/>
    </row>
    <row r="648" spans="1:8" ht="12.75">
      <c r="A648" s="9"/>
      <c r="B648" s="9"/>
      <c r="G648" s="9"/>
      <c r="H648" s="9"/>
    </row>
    <row r="649" spans="1:8" ht="12.75">
      <c r="A649" s="9"/>
      <c r="B649" s="9"/>
      <c r="G649" s="9"/>
      <c r="H649" s="9"/>
    </row>
    <row r="650" spans="1:8" ht="12.75">
      <c r="A650" s="9"/>
      <c r="B650" s="9"/>
      <c r="G650" s="9"/>
      <c r="H650" s="9"/>
    </row>
    <row r="651" spans="1:8" ht="12.75">
      <c r="A651" s="9"/>
      <c r="B651" s="9"/>
      <c r="G651" s="9"/>
      <c r="H651" s="9"/>
    </row>
    <row r="652" spans="1:8" ht="12.75">
      <c r="A652" s="9"/>
      <c r="B652" s="9"/>
      <c r="G652" s="9"/>
      <c r="H652" s="9"/>
    </row>
    <row r="653" spans="1:8" ht="12.75">
      <c r="A653" s="9"/>
      <c r="B653" s="9"/>
      <c r="G653" s="9"/>
      <c r="H653" s="9"/>
    </row>
    <row r="654" spans="1:8" ht="12.75">
      <c r="A654" s="9"/>
      <c r="B654" s="9"/>
      <c r="G654" s="9"/>
      <c r="H654" s="9"/>
    </row>
    <row r="655" spans="1:8" ht="12.75">
      <c r="A655" s="9"/>
      <c r="B655" s="9"/>
      <c r="G655" s="9"/>
      <c r="H655" s="9"/>
    </row>
    <row r="656" spans="1:8" ht="12.75">
      <c r="A656" s="9"/>
      <c r="B656" s="9"/>
      <c r="G656" s="9"/>
      <c r="H656" s="9"/>
    </row>
    <row r="657" spans="1:8" ht="12.75">
      <c r="A657" s="9"/>
      <c r="B657" s="9"/>
      <c r="G657" s="9"/>
      <c r="H657" s="9"/>
    </row>
    <row r="658" spans="1:8" ht="12.75">
      <c r="A658" s="9"/>
      <c r="B658" s="9"/>
      <c r="G658" s="9"/>
      <c r="H658" s="9"/>
    </row>
    <row r="659" spans="1:8" ht="12.75">
      <c r="A659" s="9"/>
      <c r="B659" s="9"/>
      <c r="G659" s="9"/>
      <c r="H659" s="9"/>
    </row>
    <row r="660" spans="1:8" ht="12.75">
      <c r="A660" s="9"/>
      <c r="B660" s="9"/>
      <c r="G660" s="9"/>
      <c r="H660" s="9"/>
    </row>
    <row r="661" spans="1:8" ht="12.75">
      <c r="A661" s="9"/>
      <c r="B661" s="9"/>
      <c r="G661" s="9"/>
      <c r="H661" s="9"/>
    </row>
    <row r="662" spans="1:8" ht="12.75">
      <c r="A662" s="9"/>
      <c r="B662" s="9"/>
      <c r="G662" s="9"/>
      <c r="H662" s="9"/>
    </row>
    <row r="663" spans="1:8" ht="12.75">
      <c r="A663" s="9"/>
      <c r="B663" s="9"/>
      <c r="G663" s="9"/>
      <c r="H663" s="9"/>
    </row>
    <row r="664" spans="1:8" ht="12.75">
      <c r="A664" s="9"/>
      <c r="B664" s="9"/>
      <c r="G664" s="9"/>
      <c r="H664" s="9"/>
    </row>
    <row r="665" spans="1:8" ht="12.75">
      <c r="A665" s="9"/>
      <c r="B665" s="9"/>
      <c r="G665" s="9"/>
      <c r="H665" s="9"/>
    </row>
    <row r="666" spans="1:8" ht="12.75">
      <c r="A666" s="9"/>
      <c r="B666" s="9"/>
      <c r="G666" s="9"/>
      <c r="H666" s="9"/>
    </row>
    <row r="667" spans="1:8" ht="12.75">
      <c r="A667" s="9"/>
      <c r="B667" s="9"/>
      <c r="G667" s="9"/>
      <c r="H667" s="9"/>
    </row>
    <row r="668" spans="1:8" ht="12.75">
      <c r="A668" s="9"/>
      <c r="B668" s="9"/>
      <c r="G668" s="9"/>
      <c r="H668" s="9"/>
    </row>
    <row r="669" spans="1:8" ht="12.75">
      <c r="A669" s="9"/>
      <c r="B669" s="9"/>
      <c r="G669" s="9"/>
      <c r="H669" s="9"/>
    </row>
    <row r="670" spans="1:8" ht="12.75">
      <c r="A670" s="9"/>
      <c r="B670" s="9"/>
      <c r="G670" s="9"/>
      <c r="H670" s="9"/>
    </row>
    <row r="671" spans="1:8" ht="12.75">
      <c r="A671" s="9"/>
      <c r="B671" s="9"/>
      <c r="G671" s="9"/>
      <c r="H671" s="9"/>
    </row>
    <row r="672" spans="1:8" ht="12.75">
      <c r="A672" s="9"/>
      <c r="B672" s="9"/>
      <c r="G672" s="9"/>
      <c r="H672" s="9"/>
    </row>
    <row r="673" spans="1:8" ht="12.75">
      <c r="A673" s="9"/>
      <c r="B673" s="9"/>
      <c r="G673" s="9"/>
      <c r="H673" s="9"/>
    </row>
    <row r="674" spans="1:8" ht="12.75">
      <c r="A674" s="9"/>
      <c r="B674" s="9"/>
      <c r="G674" s="9"/>
      <c r="H674" s="9"/>
    </row>
    <row r="675" spans="1:8" ht="12.75">
      <c r="A675" s="9"/>
      <c r="B675" s="9"/>
      <c r="G675" s="9"/>
      <c r="H675" s="9"/>
    </row>
    <row r="676" spans="1:8" ht="12.75">
      <c r="A676" s="9"/>
      <c r="B676" s="9"/>
      <c r="G676" s="9"/>
      <c r="H676" s="9"/>
    </row>
    <row r="677" spans="1:8" ht="12.75">
      <c r="A677" s="9"/>
      <c r="B677" s="9"/>
      <c r="G677" s="9"/>
      <c r="H677" s="9"/>
    </row>
    <row r="678" spans="1:8" ht="12.75">
      <c r="A678" s="9"/>
      <c r="B678" s="9"/>
      <c r="G678" s="9"/>
      <c r="H678" s="9"/>
    </row>
    <row r="679" spans="1:8" ht="12.75">
      <c r="A679" s="9"/>
      <c r="B679" s="9"/>
      <c r="G679" s="9"/>
      <c r="H679" s="9"/>
    </row>
    <row r="680" spans="1:8" ht="12.75">
      <c r="A680" s="9"/>
      <c r="B680" s="9"/>
      <c r="G680" s="9"/>
      <c r="H680" s="9"/>
    </row>
    <row r="681" spans="1:8" ht="12.75">
      <c r="A681" s="9"/>
      <c r="B681" s="9"/>
      <c r="G681" s="9"/>
      <c r="H681" s="9"/>
    </row>
    <row r="682" spans="1:8" ht="12.75">
      <c r="A682" s="9"/>
      <c r="B682" s="9"/>
      <c r="G682" s="9"/>
      <c r="H682" s="9"/>
    </row>
    <row r="683" spans="1:8" ht="12.75">
      <c r="A683" s="9"/>
      <c r="B683" s="9"/>
      <c r="G683" s="9"/>
      <c r="H683" s="9"/>
    </row>
    <row r="684" spans="1:8" ht="12.75">
      <c r="A684" s="9"/>
      <c r="B684" s="9"/>
      <c r="G684" s="9"/>
      <c r="H684" s="9"/>
    </row>
    <row r="685" spans="1:8" ht="12.75">
      <c r="A685" s="9"/>
      <c r="B685" s="9"/>
      <c r="G685" s="9"/>
      <c r="H685" s="9"/>
    </row>
    <row r="686" spans="1:8" ht="12.75">
      <c r="A686" s="9"/>
      <c r="B686" s="9"/>
      <c r="G686" s="9"/>
      <c r="H686" s="9"/>
    </row>
    <row r="687" spans="1:8" ht="12.75">
      <c r="A687" s="9"/>
      <c r="B687" s="9"/>
      <c r="G687" s="9"/>
      <c r="H687" s="9"/>
    </row>
    <row r="688" spans="1:8" ht="12.75">
      <c r="A688" s="9"/>
      <c r="B688" s="9"/>
      <c r="G688" s="9"/>
      <c r="H688" s="9"/>
    </row>
    <row r="689" spans="1:8" ht="12.75">
      <c r="A689" s="9"/>
      <c r="B689" s="9"/>
      <c r="G689" s="9"/>
      <c r="H689" s="9"/>
    </row>
    <row r="690" spans="1:8" ht="12.75">
      <c r="A690" s="9"/>
      <c r="B690" s="9"/>
      <c r="G690" s="9"/>
      <c r="H690" s="9"/>
    </row>
    <row r="691" spans="1:8" ht="12.75">
      <c r="A691" s="9"/>
      <c r="B691" s="9"/>
      <c r="G691" s="9"/>
      <c r="H691" s="9"/>
    </row>
    <row r="692" spans="1:8" ht="12.75">
      <c r="A692" s="9"/>
      <c r="B692" s="9"/>
      <c r="G692" s="9"/>
      <c r="H692" s="9"/>
    </row>
    <row r="693" spans="1:8" ht="12.75">
      <c r="A693" s="9"/>
      <c r="B693" s="9"/>
      <c r="G693" s="9"/>
      <c r="H693" s="9"/>
    </row>
    <row r="694" spans="1:8" ht="12.75">
      <c r="A694" s="9"/>
      <c r="B694" s="9"/>
      <c r="G694" s="9"/>
      <c r="H694" s="9"/>
    </row>
    <row r="695" spans="1:8" ht="12.75">
      <c r="A695" s="9"/>
      <c r="B695" s="9"/>
      <c r="G695" s="9"/>
      <c r="H695" s="9"/>
    </row>
    <row r="696" spans="1:8" ht="12.75">
      <c r="A696" s="9"/>
      <c r="B696" s="9"/>
      <c r="G696" s="9"/>
      <c r="H696" s="9"/>
    </row>
    <row r="697" spans="1:8" ht="12.75">
      <c r="A697" s="9"/>
      <c r="B697" s="9"/>
      <c r="G697" s="9"/>
      <c r="H697" s="9"/>
    </row>
    <row r="698" spans="1:8" ht="12.75">
      <c r="A698" s="9"/>
      <c r="B698" s="9"/>
      <c r="G698" s="9"/>
      <c r="H698" s="9"/>
    </row>
    <row r="699" spans="1:8" ht="12.75">
      <c r="A699" s="9"/>
      <c r="B699" s="9"/>
      <c r="G699" s="9"/>
      <c r="H699" s="9"/>
    </row>
    <row r="700" spans="1:8" ht="12.75">
      <c r="A700" s="9"/>
      <c r="B700" s="9"/>
      <c r="G700" s="9"/>
      <c r="H700" s="9"/>
    </row>
    <row r="701" spans="1:8" ht="12.75">
      <c r="A701" s="9"/>
      <c r="B701" s="9"/>
      <c r="G701" s="9"/>
      <c r="H701" s="9"/>
    </row>
    <row r="702" spans="1:8" ht="12.75">
      <c r="A702" s="9"/>
      <c r="B702" s="9"/>
      <c r="G702" s="9"/>
      <c r="H702" s="9"/>
    </row>
    <row r="703" spans="1:8" ht="12.75">
      <c r="A703" s="9"/>
      <c r="B703" s="9"/>
      <c r="G703" s="9"/>
      <c r="H703" s="9"/>
    </row>
    <row r="704" spans="1:8" ht="12.75">
      <c r="A704" s="9"/>
      <c r="B704" s="9"/>
      <c r="G704" s="9"/>
      <c r="H704" s="9"/>
    </row>
    <row r="705" spans="1:8" ht="12.75">
      <c r="A705" s="9"/>
      <c r="B705" s="9"/>
      <c r="G705" s="9"/>
      <c r="H705" s="9"/>
    </row>
    <row r="706" spans="1:8" ht="12.75">
      <c r="A706" s="9"/>
      <c r="B706" s="9"/>
      <c r="G706" s="9"/>
      <c r="H706" s="9"/>
    </row>
    <row r="707" spans="1:8" ht="12.75">
      <c r="A707" s="9"/>
      <c r="B707" s="9"/>
      <c r="G707" s="9"/>
      <c r="H707" s="9"/>
    </row>
    <row r="708" spans="1:8" ht="12.75">
      <c r="A708" s="9"/>
      <c r="B708" s="9"/>
      <c r="G708" s="9"/>
      <c r="H708" s="9"/>
    </row>
    <row r="709" spans="1:8" ht="12.75">
      <c r="A709" s="9"/>
      <c r="B709" s="9"/>
      <c r="G709" s="9"/>
      <c r="H709" s="9"/>
    </row>
    <row r="710" spans="1:8" ht="12.75">
      <c r="A710" s="9"/>
      <c r="B710" s="9"/>
      <c r="G710" s="9"/>
      <c r="H710" s="9"/>
    </row>
    <row r="711" spans="1:8" ht="12.75">
      <c r="A711" s="9"/>
      <c r="B711" s="9"/>
      <c r="G711" s="9"/>
      <c r="H711" s="9"/>
    </row>
    <row r="712" spans="1:8" ht="12.75">
      <c r="A712" s="9"/>
      <c r="B712" s="9"/>
      <c r="G712" s="9"/>
      <c r="H712" s="9"/>
    </row>
    <row r="713" spans="1:8" ht="12.75">
      <c r="A713" s="9"/>
      <c r="B713" s="9"/>
      <c r="G713" s="9"/>
      <c r="H713" s="9"/>
    </row>
    <row r="714" spans="1:8" ht="12.75">
      <c r="A714" s="9"/>
      <c r="B714" s="9"/>
      <c r="G714" s="9"/>
      <c r="H714" s="9"/>
    </row>
    <row r="715" spans="1:8" ht="12.75">
      <c r="A715" s="9"/>
      <c r="B715" s="9"/>
      <c r="G715" s="9"/>
      <c r="H715" s="9"/>
    </row>
    <row r="716" spans="1:8" ht="12.75">
      <c r="A716" s="9"/>
      <c r="B716" s="9"/>
      <c r="G716" s="9"/>
      <c r="H716" s="9"/>
    </row>
    <row r="717" spans="1:8" ht="12.75">
      <c r="A717" s="9"/>
      <c r="B717" s="9"/>
      <c r="G717" s="9"/>
      <c r="H717" s="9"/>
    </row>
    <row r="718" spans="1:8" ht="12.75">
      <c r="A718" s="9"/>
      <c r="B718" s="9"/>
      <c r="G718" s="9"/>
      <c r="H718" s="9"/>
    </row>
    <row r="719" spans="1:8" ht="12.75">
      <c r="A719" s="9"/>
      <c r="B719" s="9"/>
      <c r="G719" s="9"/>
      <c r="H719" s="9"/>
    </row>
    <row r="720" spans="1:8" ht="12.75">
      <c r="A720" s="9"/>
      <c r="B720" s="9"/>
      <c r="G720" s="9"/>
      <c r="H720" s="9"/>
    </row>
    <row r="721" spans="1:8" ht="12.75">
      <c r="A721" s="9"/>
      <c r="B721" s="9"/>
      <c r="G721" s="9"/>
      <c r="H721" s="9"/>
    </row>
    <row r="722" spans="1:8" ht="12.75">
      <c r="A722" s="9"/>
      <c r="B722" s="9"/>
      <c r="G722" s="9"/>
      <c r="H722" s="9"/>
    </row>
    <row r="723" spans="1:8" ht="12.75">
      <c r="A723" s="9"/>
      <c r="B723" s="9"/>
      <c r="G723" s="9"/>
      <c r="H723" s="9"/>
    </row>
    <row r="724" spans="1:8" ht="12.75">
      <c r="A724" s="9"/>
      <c r="B724" s="9"/>
      <c r="G724" s="9"/>
      <c r="H724" s="9"/>
    </row>
    <row r="725" spans="1:8" ht="12.75">
      <c r="A725" s="9"/>
      <c r="B725" s="9"/>
      <c r="G725" s="9"/>
      <c r="H725" s="9"/>
    </row>
    <row r="726" spans="1:8" ht="12.75">
      <c r="A726" s="9"/>
      <c r="B726" s="9"/>
      <c r="G726" s="9"/>
      <c r="H726" s="9"/>
    </row>
    <row r="727" spans="1:8" ht="12.75">
      <c r="A727" s="9"/>
      <c r="B727" s="9"/>
      <c r="G727" s="9"/>
      <c r="H727" s="9"/>
    </row>
    <row r="728" spans="1:8" ht="12.75">
      <c r="A728" s="9"/>
      <c r="B728" s="9"/>
      <c r="G728" s="9"/>
      <c r="H728" s="9"/>
    </row>
    <row r="729" spans="1:8" ht="12.75">
      <c r="A729" s="9"/>
      <c r="B729" s="9"/>
      <c r="G729" s="9"/>
      <c r="H729" s="9"/>
    </row>
    <row r="730" spans="1:8" ht="12.75">
      <c r="A730" s="9"/>
      <c r="B730" s="9"/>
      <c r="G730" s="9"/>
      <c r="H730" s="9"/>
    </row>
    <row r="731" spans="1:8" ht="12.75">
      <c r="A731" s="9"/>
      <c r="B731" s="9"/>
      <c r="G731" s="9"/>
      <c r="H731" s="9"/>
    </row>
    <row r="732" spans="1:8" ht="12.75">
      <c r="A732" s="9"/>
      <c r="B732" s="9"/>
      <c r="G732" s="9"/>
      <c r="H732" s="9"/>
    </row>
    <row r="733" spans="1:8" ht="12.75">
      <c r="A733" s="9"/>
      <c r="B733" s="9"/>
      <c r="G733" s="9"/>
      <c r="H733" s="9"/>
    </row>
    <row r="734" spans="1:8" ht="12.75">
      <c r="A734" s="9"/>
      <c r="B734" s="9"/>
      <c r="G734" s="9"/>
      <c r="H734" s="9"/>
    </row>
    <row r="735" spans="1:8" ht="12.75">
      <c r="A735" s="9"/>
      <c r="B735" s="9"/>
      <c r="G735" s="9"/>
      <c r="H735" s="9"/>
    </row>
    <row r="736" spans="1:8" ht="12.75">
      <c r="A736" s="9"/>
      <c r="B736" s="9"/>
      <c r="G736" s="9"/>
      <c r="H736" s="9"/>
    </row>
    <row r="737" spans="1:8" ht="12.75">
      <c r="A737" s="9"/>
      <c r="B737" s="9"/>
      <c r="G737" s="9"/>
      <c r="H737" s="9"/>
    </row>
    <row r="738" spans="1:8" ht="12.75">
      <c r="A738" s="9"/>
      <c r="B738" s="9"/>
      <c r="G738" s="9"/>
      <c r="H738" s="9"/>
    </row>
    <row r="739" spans="1:8" ht="12.75">
      <c r="A739" s="9"/>
      <c r="B739" s="9"/>
      <c r="G739" s="9"/>
      <c r="H739" s="9"/>
    </row>
    <row r="740" spans="1:8" ht="12.75">
      <c r="A740" s="9"/>
      <c r="B740" s="9"/>
      <c r="G740" s="9"/>
      <c r="H740" s="9"/>
    </row>
    <row r="741" spans="1:8" ht="12.75">
      <c r="A741" s="9"/>
      <c r="B741" s="9"/>
      <c r="G741" s="9"/>
      <c r="H741" s="9"/>
    </row>
    <row r="742" spans="1:8" ht="12.75">
      <c r="A742" s="9"/>
      <c r="B742" s="9"/>
      <c r="G742" s="9"/>
      <c r="H742" s="9"/>
    </row>
    <row r="743" spans="1:8" ht="12.75">
      <c r="A743" s="9"/>
      <c r="B743" s="9"/>
      <c r="G743" s="9"/>
      <c r="H743" s="9"/>
    </row>
    <row r="744" spans="1:8" ht="12.75">
      <c r="A744" s="9"/>
      <c r="B744" s="9"/>
      <c r="G744" s="9"/>
      <c r="H744" s="9"/>
    </row>
    <row r="745" spans="1:8" ht="12.75">
      <c r="A745" s="9"/>
      <c r="B745" s="9"/>
      <c r="G745" s="9"/>
      <c r="H745" s="9"/>
    </row>
    <row r="746" spans="1:8" ht="12.75">
      <c r="A746" s="9"/>
      <c r="B746" s="9"/>
      <c r="G746" s="9"/>
      <c r="H746" s="9"/>
    </row>
    <row r="747" spans="1:8" ht="12.75">
      <c r="A747" s="9"/>
      <c r="B747" s="9"/>
      <c r="G747" s="9"/>
      <c r="H747" s="9"/>
    </row>
    <row r="748" spans="1:8" ht="12.75">
      <c r="A748" s="9"/>
      <c r="B748" s="9"/>
      <c r="G748" s="9"/>
      <c r="H748" s="9"/>
    </row>
    <row r="749" spans="1:8" ht="12.75">
      <c r="A749" s="9"/>
      <c r="B749" s="9"/>
      <c r="G749" s="9"/>
      <c r="H749" s="9"/>
    </row>
    <row r="750" spans="1:8" ht="12.75">
      <c r="A750" s="9"/>
      <c r="B750" s="9"/>
      <c r="G750" s="9"/>
      <c r="H750" s="9"/>
    </row>
    <row r="751" spans="1:8" ht="12.75">
      <c r="A751" s="9"/>
      <c r="B751" s="9"/>
      <c r="G751" s="9"/>
      <c r="H751" s="9"/>
    </row>
    <row r="752" spans="1:8" ht="12.75">
      <c r="A752" s="9"/>
      <c r="B752" s="9"/>
      <c r="G752" s="9"/>
      <c r="H752" s="9"/>
    </row>
    <row r="753" spans="1:8" ht="12.75">
      <c r="A753" s="9"/>
      <c r="B753" s="9"/>
      <c r="G753" s="9"/>
      <c r="H753" s="9"/>
    </row>
    <row r="754" spans="1:8" ht="12.75">
      <c r="A754" s="9"/>
      <c r="B754" s="9"/>
      <c r="G754" s="9"/>
      <c r="H754" s="9"/>
    </row>
    <row r="755" spans="1:8" ht="12.75">
      <c r="A755" s="9"/>
      <c r="B755" s="9"/>
      <c r="G755" s="9"/>
      <c r="H755" s="9"/>
    </row>
    <row r="756" spans="1:8" ht="12.75">
      <c r="A756" s="9"/>
      <c r="B756" s="9"/>
      <c r="G756" s="9"/>
      <c r="H756" s="9"/>
    </row>
    <row r="757" spans="1:8" ht="12.75">
      <c r="A757" s="9"/>
      <c r="B757" s="9"/>
      <c r="G757" s="9"/>
      <c r="H757" s="9"/>
    </row>
    <row r="758" spans="1:8" ht="12.75">
      <c r="A758" s="9"/>
      <c r="B758" s="9"/>
      <c r="G758" s="9"/>
      <c r="H758" s="9"/>
    </row>
    <row r="759" spans="1:8" ht="12.75">
      <c r="A759" s="9"/>
      <c r="B759" s="9"/>
      <c r="G759" s="9"/>
      <c r="H759" s="9"/>
    </row>
    <row r="760" spans="1:8" ht="12.75">
      <c r="A760" s="9"/>
      <c r="B760" s="9"/>
      <c r="G760" s="9"/>
      <c r="H760" s="9"/>
    </row>
    <row r="761" spans="1:8" ht="12.75">
      <c r="A761" s="9"/>
      <c r="B761" s="9"/>
      <c r="G761" s="9"/>
      <c r="H761" s="9"/>
    </row>
    <row r="762" spans="1:8" ht="12.75">
      <c r="A762" s="9"/>
      <c r="B762" s="9"/>
      <c r="G762" s="9"/>
      <c r="H762" s="9"/>
    </row>
    <row r="763" spans="1:8" ht="12.75">
      <c r="A763" s="9"/>
      <c r="B763" s="9"/>
      <c r="G763" s="9"/>
      <c r="H763" s="9"/>
    </row>
    <row r="764" spans="1:8" ht="12.75">
      <c r="A764" s="9"/>
      <c r="B764" s="9"/>
      <c r="G764" s="9"/>
      <c r="H764" s="9"/>
    </row>
    <row r="765" spans="1:8" ht="12.75">
      <c r="A765" s="9"/>
      <c r="B765" s="9"/>
      <c r="G765" s="9"/>
      <c r="H765" s="9"/>
    </row>
    <row r="766" spans="1:8" ht="12.75">
      <c r="A766" s="9"/>
      <c r="B766" s="9"/>
      <c r="G766" s="9"/>
      <c r="H766" s="9"/>
    </row>
    <row r="767" spans="1:8" ht="12.75">
      <c r="A767" s="9"/>
      <c r="B767" s="9"/>
      <c r="G767" s="9"/>
      <c r="H767" s="9"/>
    </row>
    <row r="768" spans="1:8" ht="12.75">
      <c r="A768" s="9"/>
      <c r="B768" s="9"/>
      <c r="G768" s="9"/>
      <c r="H768" s="9"/>
    </row>
    <row r="769" spans="1:8" ht="12.75">
      <c r="A769" s="9"/>
      <c r="B769" s="9"/>
      <c r="G769" s="9"/>
      <c r="H769" s="9"/>
    </row>
    <row r="770" spans="1:8" ht="12.75">
      <c r="A770" s="9"/>
      <c r="B770" s="9"/>
      <c r="G770" s="9"/>
      <c r="H770" s="9"/>
    </row>
    <row r="771" spans="1:8" ht="12.75">
      <c r="A771" s="9"/>
      <c r="B771" s="9"/>
      <c r="G771" s="9"/>
      <c r="H771" s="9"/>
    </row>
    <row r="772" spans="1:8" ht="12.75">
      <c r="A772" s="9"/>
      <c r="B772" s="9"/>
      <c r="G772" s="9"/>
      <c r="H772" s="9"/>
    </row>
    <row r="773" spans="1:8" ht="12.75">
      <c r="A773" s="9"/>
      <c r="B773" s="9"/>
      <c r="G773" s="9"/>
      <c r="H773" s="9"/>
    </row>
    <row r="774" spans="1:8" ht="12.75">
      <c r="A774" s="9"/>
      <c r="B774" s="9"/>
      <c r="G774" s="9"/>
      <c r="H774" s="9"/>
    </row>
    <row r="775" spans="1:8" ht="12.75">
      <c r="A775" s="9"/>
      <c r="B775" s="9"/>
      <c r="G775" s="9"/>
      <c r="H775" s="9"/>
    </row>
    <row r="776" spans="1:8" ht="12.75">
      <c r="A776" s="9"/>
      <c r="B776" s="9"/>
      <c r="G776" s="9"/>
      <c r="H776" s="9"/>
    </row>
    <row r="777" spans="1:8" ht="12.75">
      <c r="A777" s="9"/>
      <c r="B777" s="9"/>
      <c r="G777" s="9"/>
      <c r="H777" s="9"/>
    </row>
    <row r="778" spans="1:8" ht="12.75">
      <c r="A778" s="9"/>
      <c r="B778" s="9"/>
      <c r="G778" s="9"/>
      <c r="H778" s="9"/>
    </row>
    <row r="779" spans="1:8" ht="12.75">
      <c r="A779" s="9"/>
      <c r="B779" s="9"/>
      <c r="G779" s="9"/>
      <c r="H779" s="9"/>
    </row>
    <row r="780" spans="1:8" ht="12.75">
      <c r="A780" s="9"/>
      <c r="B780" s="9"/>
      <c r="G780" s="9"/>
      <c r="H780" s="9"/>
    </row>
    <row r="781" spans="1:8" ht="12.75">
      <c r="A781" s="9"/>
      <c r="B781" s="9"/>
      <c r="G781" s="9"/>
      <c r="H781" s="9"/>
    </row>
    <row r="782" spans="1:8" ht="12.75">
      <c r="A782" s="9"/>
      <c r="B782" s="9"/>
      <c r="G782" s="9"/>
      <c r="H782" s="9"/>
    </row>
    <row r="783" spans="1:8" ht="12.75">
      <c r="A783" s="9"/>
      <c r="B783" s="9"/>
      <c r="G783" s="9"/>
      <c r="H783" s="9"/>
    </row>
    <row r="784" spans="1:8" ht="12.75">
      <c r="A784" s="9"/>
      <c r="B784" s="9"/>
      <c r="G784" s="9"/>
      <c r="H784" s="9"/>
    </row>
    <row r="785" spans="1:8" ht="12.75">
      <c r="A785" s="9"/>
      <c r="B785" s="9"/>
      <c r="G785" s="9"/>
      <c r="H785" s="9"/>
    </row>
    <row r="786" spans="1:8" ht="12.75">
      <c r="A786" s="9"/>
      <c r="B786" s="9"/>
      <c r="G786" s="9"/>
      <c r="H786" s="9"/>
    </row>
    <row r="787" spans="1:8" ht="12.75">
      <c r="A787" s="9"/>
      <c r="B787" s="9"/>
      <c r="G787" s="9"/>
      <c r="H787" s="9"/>
    </row>
    <row r="788" spans="1:8" ht="12.75">
      <c r="A788" s="9"/>
      <c r="B788" s="9"/>
      <c r="G788" s="9"/>
      <c r="H788" s="9"/>
    </row>
    <row r="789" spans="1:8" ht="12.75">
      <c r="A789" s="9"/>
      <c r="B789" s="9"/>
      <c r="G789" s="9"/>
      <c r="H789" s="9"/>
    </row>
    <row r="790" spans="1:8" ht="12.75">
      <c r="A790" s="9"/>
      <c r="B790" s="9"/>
      <c r="G790" s="9"/>
      <c r="H790" s="9"/>
    </row>
    <row r="791" spans="1:8" ht="12.75">
      <c r="A791" s="9"/>
      <c r="B791" s="9"/>
      <c r="G791" s="9"/>
      <c r="H791" s="9"/>
    </row>
    <row r="792" spans="1:8" ht="12.75">
      <c r="A792" s="9"/>
      <c r="B792" s="9"/>
      <c r="G792" s="9"/>
      <c r="H792" s="9"/>
    </row>
    <row r="793" spans="1:8" ht="12.75">
      <c r="A793" s="9"/>
      <c r="B793" s="9"/>
      <c r="G793" s="9"/>
      <c r="H793" s="9"/>
    </row>
    <row r="794" spans="1:8" ht="12.75">
      <c r="A794" s="9"/>
      <c r="B794" s="9"/>
      <c r="G794" s="9"/>
      <c r="H794" s="9"/>
    </row>
    <row r="795" spans="1:8" ht="12.75">
      <c r="A795" s="9"/>
      <c r="B795" s="9"/>
      <c r="G795" s="9"/>
      <c r="H795" s="9"/>
    </row>
    <row r="796" spans="1:8" ht="12.75">
      <c r="A796" s="9"/>
      <c r="B796" s="9"/>
      <c r="G796" s="9"/>
      <c r="H796" s="9"/>
    </row>
    <row r="797" spans="1:8" ht="12.75">
      <c r="A797" s="9"/>
      <c r="B797" s="9"/>
      <c r="G797" s="9"/>
      <c r="H797" s="9"/>
    </row>
    <row r="798" spans="1:8" ht="12.75">
      <c r="A798" s="9"/>
      <c r="B798" s="9"/>
      <c r="G798" s="9"/>
      <c r="H798" s="9"/>
    </row>
    <row r="799" spans="1:8" ht="12.75">
      <c r="A799" s="9"/>
      <c r="B799" s="9"/>
      <c r="G799" s="9"/>
      <c r="H799" s="9"/>
    </row>
    <row r="800" spans="1:8" ht="12.75">
      <c r="A800" s="9"/>
      <c r="B800" s="9"/>
      <c r="G800" s="9"/>
      <c r="H800" s="9"/>
    </row>
    <row r="801" spans="1:8" ht="12.75">
      <c r="A801" s="9"/>
      <c r="B801" s="9"/>
      <c r="G801" s="9"/>
      <c r="H801" s="9"/>
    </row>
    <row r="802" spans="1:8" ht="12.75">
      <c r="A802" s="9"/>
      <c r="B802" s="9"/>
      <c r="G802" s="9"/>
      <c r="H802" s="9"/>
    </row>
    <row r="803" spans="1:8" ht="12.75">
      <c r="A803" s="9"/>
      <c r="B803" s="9"/>
      <c r="G803" s="9"/>
      <c r="H803" s="9"/>
    </row>
    <row r="804" spans="1:8" ht="12.75">
      <c r="A804" s="9"/>
      <c r="B804" s="9"/>
      <c r="G804" s="9"/>
      <c r="H804" s="9"/>
    </row>
    <row r="805" spans="1:8" ht="12.75">
      <c r="A805" s="9"/>
      <c r="B805" s="9"/>
      <c r="G805" s="9"/>
      <c r="H805" s="9"/>
    </row>
    <row r="806" spans="1:8" ht="12.75">
      <c r="A806" s="9"/>
      <c r="B806" s="9"/>
      <c r="G806" s="9"/>
      <c r="H806" s="9"/>
    </row>
    <row r="807" spans="1:8" ht="12.75">
      <c r="A807" s="9"/>
      <c r="B807" s="9"/>
      <c r="G807" s="9"/>
      <c r="H807" s="9"/>
    </row>
    <row r="808" spans="1:8" ht="12.75">
      <c r="A808" s="9"/>
      <c r="B808" s="9"/>
      <c r="G808" s="9"/>
      <c r="H808" s="9"/>
    </row>
    <row r="809" spans="1:8" ht="12.75">
      <c r="A809" s="9"/>
      <c r="B809" s="9"/>
      <c r="G809" s="9"/>
      <c r="H809" s="9"/>
    </row>
    <row r="810" spans="1:8" ht="12.75">
      <c r="A810" s="9"/>
      <c r="B810" s="9"/>
      <c r="G810" s="9"/>
      <c r="H810" s="9"/>
    </row>
    <row r="811" spans="1:8" ht="12.75">
      <c r="A811" s="9"/>
      <c r="B811" s="9"/>
      <c r="G811" s="9"/>
      <c r="H811" s="9"/>
    </row>
    <row r="812" spans="1:8" ht="12.75">
      <c r="A812" s="9"/>
      <c r="B812" s="9"/>
      <c r="G812" s="9"/>
      <c r="H812" s="9"/>
    </row>
    <row r="813" spans="1:8" ht="12.75">
      <c r="A813" s="9"/>
      <c r="B813" s="9"/>
      <c r="G813" s="9"/>
      <c r="H813" s="9"/>
    </row>
    <row r="814" spans="1:8" ht="12.75">
      <c r="A814" s="9"/>
      <c r="B814" s="9"/>
      <c r="G814" s="9"/>
      <c r="H814" s="9"/>
    </row>
    <row r="815" spans="1:8" ht="12.75">
      <c r="A815" s="9"/>
      <c r="B815" s="9"/>
      <c r="G815" s="9"/>
      <c r="H815" s="9"/>
    </row>
    <row r="816" spans="1:8" ht="12.75">
      <c r="A816" s="9"/>
      <c r="B816" s="9"/>
      <c r="G816" s="9"/>
      <c r="H816" s="9"/>
    </row>
    <row r="817" spans="1:8" ht="12.75">
      <c r="A817" s="9"/>
      <c r="B817" s="9"/>
      <c r="G817" s="9"/>
      <c r="H817" s="9"/>
    </row>
    <row r="818" spans="1:8" ht="12.75">
      <c r="A818" s="9"/>
      <c r="B818" s="9"/>
      <c r="G818" s="9"/>
      <c r="H818" s="9"/>
    </row>
    <row r="819" spans="1:8" ht="12.75">
      <c r="A819" s="9"/>
      <c r="B819" s="9"/>
      <c r="G819" s="9"/>
      <c r="H819" s="9"/>
    </row>
    <row r="820" spans="1:8" ht="12.75">
      <c r="A820" s="9"/>
      <c r="B820" s="9"/>
      <c r="G820" s="9"/>
      <c r="H820" s="9"/>
    </row>
    <row r="821" spans="1:8" ht="12.75">
      <c r="A821" s="9"/>
      <c r="B821" s="9"/>
      <c r="G821" s="9"/>
      <c r="H821" s="9"/>
    </row>
    <row r="822" spans="1:8" ht="12.75">
      <c r="A822" s="9"/>
      <c r="B822" s="9"/>
      <c r="G822" s="9"/>
      <c r="H822" s="9"/>
    </row>
    <row r="823" spans="1:8" ht="12.75">
      <c r="A823" s="9"/>
      <c r="B823" s="9"/>
      <c r="G823" s="9"/>
      <c r="H823" s="9"/>
    </row>
    <row r="824" spans="1:8" ht="12.75">
      <c r="A824" s="9"/>
      <c r="B824" s="9"/>
      <c r="G824" s="9"/>
      <c r="H824" s="9"/>
    </row>
    <row r="825" spans="1:8" ht="12.75">
      <c r="A825" s="9"/>
      <c r="B825" s="9"/>
      <c r="G825" s="9"/>
      <c r="H825" s="9"/>
    </row>
    <row r="826" spans="1:8" ht="12.75">
      <c r="A826" s="9"/>
      <c r="B826" s="9"/>
      <c r="G826" s="9"/>
      <c r="H826" s="9"/>
    </row>
    <row r="827" spans="1:8" ht="12.75">
      <c r="A827" s="9"/>
      <c r="B827" s="9"/>
      <c r="G827" s="9"/>
      <c r="H827" s="9"/>
    </row>
    <row r="828" spans="1:8" ht="12.75">
      <c r="A828" s="9"/>
      <c r="B828" s="9"/>
      <c r="G828" s="9"/>
      <c r="H828" s="9"/>
    </row>
    <row r="829" spans="1:8" ht="12.75">
      <c r="A829" s="9"/>
      <c r="B829" s="9"/>
      <c r="G829" s="9"/>
      <c r="H829" s="9"/>
    </row>
    <row r="830" spans="1:8" ht="12.75">
      <c r="A830" s="9"/>
      <c r="B830" s="9"/>
      <c r="G830" s="9"/>
      <c r="H830" s="9"/>
    </row>
    <row r="831" spans="1:8" ht="12.75">
      <c r="A831" s="9"/>
      <c r="B831" s="9"/>
      <c r="G831" s="9"/>
      <c r="H831" s="9"/>
    </row>
    <row r="832" spans="1:8" ht="12.75">
      <c r="A832" s="9"/>
      <c r="B832" s="9"/>
      <c r="G832" s="9"/>
      <c r="H832" s="9"/>
    </row>
    <row r="833" spans="1:8" ht="12.75">
      <c r="A833" s="9"/>
      <c r="B833" s="9"/>
      <c r="G833" s="9"/>
      <c r="H833" s="9"/>
    </row>
    <row r="834" spans="1:8" ht="12.75">
      <c r="A834" s="9"/>
      <c r="B834" s="9"/>
      <c r="G834" s="9"/>
      <c r="H834" s="9"/>
    </row>
    <row r="835" spans="1:8" ht="12.75">
      <c r="A835" s="9"/>
      <c r="B835" s="9"/>
      <c r="G835" s="9"/>
      <c r="H835" s="9"/>
    </row>
    <row r="836" spans="1:8" ht="12.75">
      <c r="A836" s="9"/>
      <c r="B836" s="9"/>
      <c r="G836" s="9"/>
      <c r="H836" s="9"/>
    </row>
    <row r="837" spans="1:8" ht="12.75">
      <c r="A837" s="9"/>
      <c r="B837" s="9"/>
      <c r="G837" s="9"/>
      <c r="H837" s="9"/>
    </row>
    <row r="838" spans="1:8" ht="12.75">
      <c r="A838" s="9"/>
      <c r="B838" s="9"/>
      <c r="G838" s="9"/>
      <c r="H838" s="9"/>
    </row>
    <row r="839" spans="1:8" ht="12.75">
      <c r="A839" s="9"/>
      <c r="B839" s="9"/>
      <c r="G839" s="9"/>
      <c r="H839" s="9"/>
    </row>
    <row r="840" spans="1:8" ht="12.75">
      <c r="A840" s="9"/>
      <c r="B840" s="9"/>
      <c r="G840" s="9"/>
      <c r="H840" s="9"/>
    </row>
    <row r="841" spans="1:8" ht="12.75">
      <c r="A841" s="9"/>
      <c r="B841" s="9"/>
      <c r="G841" s="9"/>
      <c r="H841" s="9"/>
    </row>
    <row r="842" spans="1:8" ht="12.75">
      <c r="A842" s="9"/>
      <c r="B842" s="9"/>
      <c r="G842" s="9"/>
      <c r="H842" s="9"/>
    </row>
    <row r="843" spans="1:8" ht="12.75">
      <c r="A843" s="9"/>
      <c r="B843" s="9"/>
      <c r="G843" s="9"/>
      <c r="H843" s="9"/>
    </row>
    <row r="844" spans="1:8" ht="12.75">
      <c r="A844" s="9"/>
      <c r="B844" s="9"/>
      <c r="G844" s="9"/>
      <c r="H844" s="9"/>
    </row>
    <row r="845" spans="1:8" ht="12.75">
      <c r="A845" s="9"/>
      <c r="B845" s="9"/>
      <c r="G845" s="9"/>
      <c r="H845" s="9"/>
    </row>
    <row r="846" spans="1:8" ht="12.75">
      <c r="A846" s="9"/>
      <c r="B846" s="9"/>
      <c r="G846" s="9"/>
      <c r="H846" s="9"/>
    </row>
    <row r="847" spans="1:8" ht="12.75">
      <c r="A847" s="9"/>
      <c r="B847" s="9"/>
      <c r="G847" s="9"/>
      <c r="H847" s="9"/>
    </row>
    <row r="848" spans="1:8" ht="12.75">
      <c r="A848" s="9"/>
      <c r="B848" s="9"/>
      <c r="G848" s="9"/>
      <c r="H848" s="9"/>
    </row>
    <row r="849" spans="1:8" ht="12.75">
      <c r="A849" s="9"/>
      <c r="B849" s="9"/>
      <c r="G849" s="9"/>
      <c r="H849" s="9"/>
    </row>
    <row r="850" spans="1:8" ht="12.75">
      <c r="A850" s="9"/>
      <c r="B850" s="9"/>
      <c r="G850" s="9"/>
      <c r="H850" s="9"/>
    </row>
    <row r="851" spans="1:8" ht="12.75">
      <c r="A851" s="9"/>
      <c r="B851" s="9"/>
      <c r="G851" s="9"/>
      <c r="H851" s="9"/>
    </row>
    <row r="852" spans="1:8" ht="12.75">
      <c r="A852" s="9"/>
      <c r="B852" s="9"/>
      <c r="G852" s="9"/>
      <c r="H852" s="9"/>
    </row>
    <row r="853" spans="1:8" ht="12.75">
      <c r="A853" s="9"/>
      <c r="B853" s="9"/>
      <c r="G853" s="9"/>
      <c r="H853" s="9"/>
    </row>
    <row r="854" spans="1:8" ht="12.75">
      <c r="A854" s="9"/>
      <c r="B854" s="9"/>
      <c r="G854" s="9"/>
      <c r="H854" s="9"/>
    </row>
    <row r="855" spans="1:8" ht="12.75">
      <c r="A855" s="9"/>
      <c r="B855" s="9"/>
      <c r="G855" s="9"/>
      <c r="H855" s="9"/>
    </row>
    <row r="856" spans="1:8" ht="12.75">
      <c r="A856" s="9"/>
      <c r="B856" s="9"/>
      <c r="G856" s="9"/>
      <c r="H856" s="9"/>
    </row>
    <row r="857" spans="1:8" ht="12.75">
      <c r="A857" s="9"/>
      <c r="B857" s="9"/>
      <c r="G857" s="9"/>
      <c r="H857" s="9"/>
    </row>
    <row r="858" spans="1:8" ht="12.75">
      <c r="A858" s="9"/>
      <c r="B858" s="9"/>
      <c r="G858" s="9"/>
      <c r="H858" s="9"/>
    </row>
    <row r="859" spans="1:8" ht="12.75">
      <c r="A859" s="9"/>
      <c r="B859" s="9"/>
      <c r="G859" s="9"/>
      <c r="H859" s="9"/>
    </row>
    <row r="860" spans="1:8" ht="12.75">
      <c r="A860" s="9"/>
      <c r="B860" s="9"/>
      <c r="G860" s="9"/>
      <c r="H860" s="9"/>
    </row>
    <row r="861" spans="1:8" ht="12.75">
      <c r="A861" s="9"/>
      <c r="B861" s="9"/>
      <c r="G861" s="9"/>
      <c r="H861" s="9"/>
    </row>
    <row r="862" spans="1:8" ht="12.75">
      <c r="A862" s="9"/>
      <c r="B862" s="9"/>
      <c r="G862" s="9"/>
      <c r="H862" s="9"/>
    </row>
    <row r="863" spans="1:8" ht="12.75">
      <c r="A863" s="9"/>
      <c r="B863" s="9"/>
      <c r="G863" s="9"/>
      <c r="H863" s="9"/>
    </row>
    <row r="864" spans="1:8" ht="12.75">
      <c r="A864" s="9"/>
      <c r="B864" s="9"/>
      <c r="G864" s="9"/>
      <c r="H864" s="9"/>
    </row>
    <row r="865" spans="1:8" ht="12.75">
      <c r="A865" s="9"/>
      <c r="B865" s="9"/>
      <c r="G865" s="9"/>
      <c r="H865" s="9"/>
    </row>
    <row r="866" spans="1:8" ht="12.75">
      <c r="A866" s="9"/>
      <c r="B866" s="9"/>
      <c r="G866" s="9"/>
      <c r="H866" s="9"/>
    </row>
    <row r="867" spans="1:8" ht="12.75">
      <c r="A867" s="9"/>
      <c r="B867" s="9"/>
      <c r="G867" s="9"/>
      <c r="H867" s="9"/>
    </row>
    <row r="868" spans="1:8" ht="12.75">
      <c r="A868" s="9"/>
      <c r="B868" s="9"/>
      <c r="G868" s="9"/>
      <c r="H868" s="9"/>
    </row>
    <row r="869" spans="1:8" ht="12.75">
      <c r="A869" s="9"/>
      <c r="B869" s="9"/>
      <c r="G869" s="9"/>
      <c r="H869" s="9"/>
    </row>
    <row r="870" spans="1:8" ht="12.75">
      <c r="A870" s="9"/>
      <c r="B870" s="9"/>
      <c r="G870" s="9"/>
      <c r="H870" s="9"/>
    </row>
    <row r="871" spans="1:8" ht="12.75">
      <c r="A871" s="9"/>
      <c r="B871" s="9"/>
      <c r="G871" s="9"/>
      <c r="H871" s="9"/>
    </row>
    <row r="872" spans="1:8" ht="12.75">
      <c r="A872" s="9"/>
      <c r="B872" s="9"/>
      <c r="G872" s="9"/>
      <c r="H872" s="9"/>
    </row>
    <row r="873" spans="1:8" ht="12.75">
      <c r="A873" s="9"/>
      <c r="B873" s="9"/>
      <c r="G873" s="9"/>
      <c r="H873" s="9"/>
    </row>
    <row r="874" spans="1:8" ht="12.75">
      <c r="A874" s="9"/>
      <c r="B874" s="9"/>
      <c r="G874" s="9"/>
      <c r="H874" s="9"/>
    </row>
    <row r="875" spans="1:8" ht="12.75">
      <c r="A875" s="9"/>
      <c r="B875" s="9"/>
      <c r="G875" s="9"/>
      <c r="H875" s="9"/>
    </row>
    <row r="876" spans="1:8" ht="12.75">
      <c r="A876" s="9"/>
      <c r="B876" s="9"/>
      <c r="G876" s="9"/>
      <c r="H876" s="9"/>
    </row>
    <row r="877" spans="1:8" ht="12.75">
      <c r="A877" s="9"/>
      <c r="B877" s="9"/>
      <c r="G877" s="9"/>
      <c r="H877" s="9"/>
    </row>
    <row r="878" spans="1:8" ht="12.75">
      <c r="A878" s="9"/>
      <c r="B878" s="9"/>
      <c r="G878" s="9"/>
      <c r="H878" s="9"/>
    </row>
    <row r="879" spans="1:8" ht="12.75">
      <c r="A879" s="9"/>
      <c r="B879" s="9"/>
      <c r="G879" s="9"/>
      <c r="H879" s="9"/>
    </row>
    <row r="880" spans="1:8" ht="12.75">
      <c r="A880" s="9"/>
      <c r="B880" s="9"/>
      <c r="G880" s="9"/>
      <c r="H880" s="9"/>
    </row>
    <row r="881" spans="1:8" ht="12.75">
      <c r="A881" s="9"/>
      <c r="B881" s="9"/>
      <c r="G881" s="9"/>
      <c r="H881" s="9"/>
    </row>
    <row r="882" spans="1:8" ht="12.75">
      <c r="A882" s="9"/>
      <c r="B882" s="9"/>
      <c r="G882" s="9"/>
      <c r="H882" s="9"/>
    </row>
    <row r="883" spans="1:8" ht="12.75">
      <c r="A883" s="9"/>
      <c r="B883" s="9"/>
      <c r="G883" s="9"/>
      <c r="H883" s="9"/>
    </row>
    <row r="884" spans="1:8" ht="12.75">
      <c r="A884" s="9"/>
      <c r="B884" s="9"/>
      <c r="G884" s="9"/>
      <c r="H884" s="9"/>
    </row>
    <row r="885" spans="1:8" ht="12.75">
      <c r="A885" s="9"/>
      <c r="B885" s="9"/>
      <c r="G885" s="9"/>
      <c r="H885" s="9"/>
    </row>
    <row r="886" spans="1:8" ht="12.75">
      <c r="A886" s="9"/>
      <c r="B886" s="9"/>
      <c r="G886" s="9"/>
      <c r="H886" s="9"/>
    </row>
    <row r="887" spans="1:8" ht="12.75">
      <c r="A887" s="9"/>
      <c r="B887" s="9"/>
      <c r="G887" s="9"/>
      <c r="H887" s="9"/>
    </row>
    <row r="888" spans="1:8" ht="12.75">
      <c r="A888" s="9"/>
      <c r="B888" s="9"/>
      <c r="G888" s="9"/>
      <c r="H888" s="9"/>
    </row>
    <row r="889" spans="1:8" ht="12.75">
      <c r="A889" s="9"/>
      <c r="B889" s="9"/>
      <c r="G889" s="9"/>
      <c r="H889" s="9"/>
    </row>
    <row r="890" spans="1:8" ht="12.75">
      <c r="A890" s="9"/>
      <c r="B890" s="9"/>
      <c r="G890" s="9"/>
      <c r="H890" s="9"/>
    </row>
    <row r="891" spans="1:8" ht="12.75">
      <c r="A891" s="9"/>
      <c r="B891" s="9"/>
      <c r="G891" s="9"/>
      <c r="H891" s="9"/>
    </row>
    <row r="892" spans="1:8" ht="12.75">
      <c r="A892" s="9"/>
      <c r="B892" s="9"/>
      <c r="G892" s="9"/>
      <c r="H892" s="9"/>
    </row>
    <row r="893" spans="1:8" ht="12.75">
      <c r="A893" s="9"/>
      <c r="B893" s="9"/>
      <c r="G893" s="9"/>
      <c r="H893" s="9"/>
    </row>
    <row r="894" spans="1:8" ht="12.75">
      <c r="A894" s="9"/>
      <c r="B894" s="9"/>
      <c r="G894" s="9"/>
      <c r="H894" s="9"/>
    </row>
    <row r="895" spans="1:8" ht="12.75">
      <c r="A895" s="9"/>
      <c r="B895" s="9"/>
      <c r="G895" s="9"/>
      <c r="H895" s="9"/>
    </row>
    <row r="896" spans="1:8" ht="12.75">
      <c r="A896" s="9"/>
      <c r="B896" s="9"/>
      <c r="G896" s="9"/>
      <c r="H896" s="9"/>
    </row>
    <row r="897" spans="1:8" ht="12.75">
      <c r="A897" s="9"/>
      <c r="B897" s="9"/>
      <c r="G897" s="9"/>
      <c r="H897" s="9"/>
    </row>
    <row r="898" spans="1:8" ht="12.75">
      <c r="A898" s="9"/>
      <c r="B898" s="9"/>
      <c r="G898" s="9"/>
      <c r="H898" s="9"/>
    </row>
    <row r="899" spans="1:8" ht="12.75">
      <c r="A899" s="9"/>
      <c r="B899" s="9"/>
      <c r="G899" s="9"/>
      <c r="H899" s="9"/>
    </row>
    <row r="900" spans="1:8" ht="12.75">
      <c r="A900" s="9"/>
      <c r="B900" s="9"/>
      <c r="G900" s="9"/>
      <c r="H900" s="9"/>
    </row>
    <row r="901" spans="1:8" ht="12.75">
      <c r="A901" s="9"/>
      <c r="B901" s="9"/>
      <c r="G901" s="9"/>
      <c r="H901" s="9"/>
    </row>
    <row r="902" spans="1:8" ht="12.75">
      <c r="A902" s="9"/>
      <c r="B902" s="9"/>
      <c r="G902" s="9"/>
      <c r="H902" s="9"/>
    </row>
    <row r="903" spans="1:8" ht="12.75">
      <c r="A903" s="9"/>
      <c r="B903" s="9"/>
      <c r="G903" s="9"/>
      <c r="H903" s="9"/>
    </row>
    <row r="904" spans="1:8" ht="12.75">
      <c r="A904" s="9"/>
      <c r="B904" s="9"/>
      <c r="G904" s="9"/>
      <c r="H904" s="9"/>
    </row>
    <row r="905" spans="1:8" ht="12.75">
      <c r="A905" s="9"/>
      <c r="B905" s="9"/>
      <c r="G905" s="9"/>
      <c r="H905" s="9"/>
    </row>
    <row r="906" spans="1:8" ht="12.75">
      <c r="A906" s="9"/>
      <c r="B906" s="9"/>
      <c r="G906" s="9"/>
      <c r="H906" s="9"/>
    </row>
    <row r="907" spans="1:8" ht="12.75">
      <c r="A907" s="9"/>
      <c r="B907" s="9"/>
      <c r="G907" s="9"/>
      <c r="H907" s="9"/>
    </row>
    <row r="908" spans="1:8" ht="12.75">
      <c r="A908" s="9"/>
      <c r="B908" s="9"/>
      <c r="G908" s="9"/>
      <c r="H908" s="9"/>
    </row>
    <row r="909" spans="1:8" ht="12.75">
      <c r="A909" s="9"/>
      <c r="B909" s="9"/>
      <c r="G909" s="9"/>
      <c r="H909" s="9"/>
    </row>
    <row r="910" spans="1:8" ht="12.75">
      <c r="A910" s="9"/>
      <c r="B910" s="9"/>
      <c r="G910" s="9"/>
      <c r="H910" s="9"/>
    </row>
    <row r="911" spans="1:8" ht="12.75">
      <c r="A911" s="9"/>
      <c r="B911" s="9"/>
      <c r="G911" s="9"/>
      <c r="H911" s="9"/>
    </row>
    <row r="912" spans="1:8" ht="12.75">
      <c r="A912" s="9"/>
      <c r="B912" s="9"/>
      <c r="G912" s="9"/>
      <c r="H912" s="9"/>
    </row>
    <row r="913" spans="1:8" ht="12.75">
      <c r="A913" s="9"/>
      <c r="B913" s="9"/>
      <c r="G913" s="9"/>
      <c r="H913" s="9"/>
    </row>
    <row r="914" spans="1:8" ht="12.75">
      <c r="A914" s="9"/>
      <c r="B914" s="9"/>
      <c r="G914" s="9"/>
      <c r="H914" s="9"/>
    </row>
    <row r="915" spans="1:8" ht="12.75">
      <c r="A915" s="9"/>
      <c r="B915" s="9"/>
      <c r="G915" s="9"/>
      <c r="H915" s="9"/>
    </row>
    <row r="916" spans="1:8" ht="12.75">
      <c r="A916" s="9"/>
      <c r="B916" s="9"/>
      <c r="G916" s="9"/>
      <c r="H916" s="9"/>
    </row>
    <row r="917" spans="1:8" ht="12.75">
      <c r="A917" s="9"/>
      <c r="B917" s="9"/>
      <c r="G917" s="9"/>
      <c r="H917" s="9"/>
    </row>
    <row r="918" spans="1:8" ht="12.75">
      <c r="A918" s="9"/>
      <c r="B918" s="9"/>
      <c r="G918" s="9"/>
      <c r="H918" s="9"/>
    </row>
    <row r="919" spans="1:8" ht="12.75">
      <c r="A919" s="9"/>
      <c r="B919" s="9"/>
      <c r="G919" s="9"/>
      <c r="H919" s="9"/>
    </row>
    <row r="920" spans="1:8" ht="12.75">
      <c r="A920" s="9"/>
      <c r="B920" s="9"/>
      <c r="G920" s="9"/>
      <c r="H920" s="9"/>
    </row>
    <row r="921" spans="1:8" ht="12.75">
      <c r="A921" s="9"/>
      <c r="B921" s="9"/>
      <c r="G921" s="9"/>
      <c r="H921" s="9"/>
    </row>
    <row r="922" spans="1:8" ht="12.75">
      <c r="A922" s="9"/>
      <c r="B922" s="9"/>
      <c r="G922" s="9"/>
      <c r="H922" s="9"/>
    </row>
    <row r="923" spans="1:8" ht="12.75">
      <c r="A923" s="9"/>
      <c r="B923" s="9"/>
      <c r="G923" s="9"/>
      <c r="H923" s="9"/>
    </row>
    <row r="924" spans="1:8" ht="12.75">
      <c r="A924" s="9"/>
      <c r="B924" s="9"/>
      <c r="G924" s="9"/>
      <c r="H924" s="9"/>
    </row>
    <row r="925" spans="1:8" ht="12.75">
      <c r="A925" s="9"/>
      <c r="B925" s="9"/>
      <c r="G925" s="9"/>
      <c r="H925" s="9"/>
    </row>
    <row r="926" spans="1:8" ht="12.75">
      <c r="A926" s="9"/>
      <c r="B926" s="9"/>
      <c r="G926" s="9"/>
      <c r="H926" s="9"/>
    </row>
    <row r="927" spans="1:8" ht="12.75">
      <c r="A927" s="9"/>
      <c r="B927" s="9"/>
      <c r="G927" s="9"/>
      <c r="H927" s="9"/>
    </row>
    <row r="928" spans="1:8" ht="12.75">
      <c r="A928" s="9"/>
      <c r="B928" s="9"/>
      <c r="G928" s="9"/>
      <c r="H928" s="9"/>
    </row>
    <row r="929" spans="1:8" ht="12.75">
      <c r="A929" s="9"/>
      <c r="B929" s="9"/>
      <c r="G929" s="9"/>
      <c r="H929" s="9"/>
    </row>
    <row r="930" spans="1:8" ht="12.75">
      <c r="A930" s="9"/>
      <c r="B930" s="9"/>
      <c r="G930" s="9"/>
      <c r="H930" s="9"/>
    </row>
    <row r="931" spans="1:8" ht="12.75">
      <c r="A931" s="9"/>
      <c r="B931" s="9"/>
      <c r="G931" s="9"/>
      <c r="H931" s="9"/>
    </row>
    <row r="932" spans="1:8" ht="12.75">
      <c r="A932" s="9"/>
      <c r="B932" s="9"/>
      <c r="G932" s="9"/>
      <c r="H932" s="9"/>
    </row>
    <row r="933" spans="1:8" ht="12.75">
      <c r="A933" s="9"/>
      <c r="B933" s="9"/>
      <c r="G933" s="9"/>
      <c r="H933" s="9"/>
    </row>
    <row r="934" spans="1:8" ht="12.75">
      <c r="A934" s="9"/>
      <c r="B934" s="9"/>
      <c r="G934" s="9"/>
      <c r="H934" s="9"/>
    </row>
    <row r="935" spans="1:8" ht="12.75">
      <c r="A935" s="9"/>
      <c r="B935" s="9"/>
      <c r="G935" s="9"/>
      <c r="H935" s="9"/>
    </row>
    <row r="936" spans="1:8" ht="12.75">
      <c r="A936" s="9"/>
      <c r="B936" s="9"/>
      <c r="G936" s="9"/>
      <c r="H936" s="9"/>
    </row>
    <row r="937" spans="1:8" ht="12.75">
      <c r="A937" s="9"/>
      <c r="B937" s="9"/>
      <c r="G937" s="9"/>
      <c r="H937" s="9"/>
    </row>
    <row r="938" spans="1:8" ht="12.75">
      <c r="A938" s="9"/>
      <c r="B938" s="9"/>
      <c r="G938" s="9"/>
      <c r="H938" s="9"/>
    </row>
    <row r="939" spans="1:8" ht="12.75">
      <c r="A939" s="9"/>
      <c r="B939" s="9"/>
      <c r="G939" s="9"/>
      <c r="H939" s="9"/>
    </row>
    <row r="940" spans="1:8" ht="12.75">
      <c r="A940" s="9"/>
      <c r="B940" s="9"/>
      <c r="G940" s="9"/>
      <c r="H940" s="9"/>
    </row>
    <row r="941" spans="1:8" ht="12.75">
      <c r="A941" s="9"/>
      <c r="B941" s="9"/>
      <c r="G941" s="9"/>
      <c r="H941" s="9"/>
    </row>
    <row r="942" spans="1:8" ht="12.75">
      <c r="A942" s="9"/>
      <c r="B942" s="9"/>
      <c r="G942" s="9"/>
      <c r="H942" s="9"/>
    </row>
    <row r="943" spans="1:8" ht="12.75">
      <c r="A943" s="9"/>
      <c r="B943" s="9"/>
      <c r="G943" s="9"/>
      <c r="H943" s="9"/>
    </row>
    <row r="944" spans="1:8" ht="12.75">
      <c r="A944" s="9"/>
      <c r="B944" s="9"/>
      <c r="G944" s="9"/>
      <c r="H944" s="9"/>
    </row>
    <row r="945" spans="1:8" ht="12.75">
      <c r="A945" s="9"/>
      <c r="B945" s="9"/>
      <c r="G945" s="9"/>
      <c r="H945" s="9"/>
    </row>
    <row r="946" spans="1:8" ht="12.75">
      <c r="A946" s="9"/>
      <c r="B946" s="9"/>
      <c r="G946" s="9"/>
      <c r="H946" s="9"/>
    </row>
    <row r="947" spans="1:8" ht="12.75">
      <c r="A947" s="9"/>
      <c r="B947" s="9"/>
      <c r="G947" s="9"/>
      <c r="H947" s="9"/>
    </row>
    <row r="948" spans="1:8" ht="12.75">
      <c r="A948" s="9"/>
      <c r="B948" s="9"/>
      <c r="G948" s="9"/>
      <c r="H948" s="9"/>
    </row>
    <row r="949" spans="1:8" ht="12.75">
      <c r="A949" s="9"/>
      <c r="B949" s="9"/>
      <c r="G949" s="9"/>
      <c r="H949" s="9"/>
    </row>
    <row r="950" spans="1:8" ht="12.75">
      <c r="A950" s="9"/>
      <c r="B950" s="9"/>
      <c r="G950" s="9"/>
      <c r="H950" s="9"/>
    </row>
    <row r="951" spans="1:8" ht="12.75">
      <c r="A951" s="9"/>
      <c r="B951" s="9"/>
      <c r="G951" s="9"/>
      <c r="H951" s="9"/>
    </row>
    <row r="952" spans="1:8" ht="12.75">
      <c r="A952" s="9"/>
      <c r="B952" s="9"/>
      <c r="G952" s="9"/>
      <c r="H952" s="9"/>
    </row>
    <row r="953" spans="1:8" ht="12.75">
      <c r="A953" s="9"/>
      <c r="B953" s="9"/>
      <c r="G953" s="9"/>
      <c r="H953" s="9"/>
    </row>
    <row r="954" spans="1:8" ht="12.75">
      <c r="A954" s="9"/>
      <c r="B954" s="9"/>
      <c r="G954" s="9"/>
      <c r="H954" s="9"/>
    </row>
    <row r="955" spans="1:8" ht="12.75">
      <c r="A955" s="9"/>
      <c r="B955" s="9"/>
      <c r="G955" s="9"/>
      <c r="H955" s="9"/>
    </row>
    <row r="956" spans="1:8" ht="12.75">
      <c r="A956" s="9"/>
      <c r="B956" s="9"/>
      <c r="G956" s="9"/>
      <c r="H956" s="9"/>
    </row>
    <row r="957" spans="1:8" ht="12.75">
      <c r="A957" s="9"/>
      <c r="B957" s="9"/>
      <c r="G957" s="9"/>
      <c r="H957" s="9"/>
    </row>
    <row r="958" spans="1:8" ht="12.75">
      <c r="A958" s="9"/>
      <c r="B958" s="9"/>
      <c r="G958" s="9"/>
      <c r="H958" s="9"/>
    </row>
    <row r="959" spans="1:8" ht="12.75">
      <c r="A959" s="9"/>
      <c r="B959" s="9"/>
      <c r="G959" s="9"/>
      <c r="H959" s="9"/>
    </row>
    <row r="960" spans="1:8" ht="12.75">
      <c r="A960" s="9"/>
      <c r="B960" s="9"/>
      <c r="G960" s="9"/>
      <c r="H960" s="9"/>
    </row>
    <row r="961" spans="1:8" ht="12.75">
      <c r="A961" s="9"/>
      <c r="B961" s="9"/>
      <c r="G961" s="9"/>
      <c r="H961" s="9"/>
    </row>
    <row r="962" spans="1:8" ht="12.75">
      <c r="A962" s="9"/>
      <c r="B962" s="9"/>
      <c r="G962" s="9"/>
      <c r="H962" s="9"/>
    </row>
    <row r="963" spans="1:8" ht="12.75">
      <c r="A963" s="9"/>
      <c r="B963" s="9"/>
      <c r="G963" s="9"/>
      <c r="H963" s="9"/>
    </row>
    <row r="964" spans="1:8" ht="12.75">
      <c r="A964" s="9"/>
      <c r="B964" s="9"/>
      <c r="G964" s="9"/>
      <c r="H964" s="9"/>
    </row>
    <row r="965" spans="1:8" ht="12.75">
      <c r="A965" s="9"/>
      <c r="B965" s="9"/>
      <c r="G965" s="9"/>
      <c r="H965" s="9"/>
    </row>
    <row r="966" spans="1:8" ht="12.75">
      <c r="A966" s="9"/>
      <c r="B966" s="9"/>
      <c r="G966" s="9"/>
      <c r="H966" s="9"/>
    </row>
    <row r="967" spans="1:8" ht="12.75">
      <c r="A967" s="9"/>
      <c r="B967" s="9"/>
      <c r="G967" s="9"/>
      <c r="H967" s="9"/>
    </row>
    <row r="968" spans="1:8" ht="12.75">
      <c r="A968" s="9"/>
      <c r="B968" s="9"/>
      <c r="G968" s="9"/>
      <c r="H968" s="9"/>
    </row>
    <row r="969" spans="1:8" ht="12.75">
      <c r="A969" s="9"/>
      <c r="B969" s="9"/>
      <c r="G969" s="9"/>
      <c r="H969" s="9"/>
    </row>
    <row r="970" spans="1:8" ht="12.75">
      <c r="A970" s="9"/>
      <c r="B970" s="9"/>
      <c r="G970" s="9"/>
      <c r="H970" s="9"/>
    </row>
    <row r="971" spans="1:8" ht="12.75">
      <c r="A971" s="9"/>
      <c r="B971" s="9"/>
      <c r="G971" s="9"/>
      <c r="H971" s="9"/>
    </row>
    <row r="972" spans="1:8" ht="12.75">
      <c r="A972" s="9"/>
      <c r="B972" s="9"/>
      <c r="G972" s="9"/>
      <c r="H972" s="9"/>
    </row>
    <row r="973" spans="1:8" ht="12.75">
      <c r="A973" s="9"/>
      <c r="B973" s="9"/>
      <c r="G973" s="9"/>
      <c r="H973" s="9"/>
    </row>
    <row r="974" spans="1:8" ht="12.75">
      <c r="A974" s="9"/>
      <c r="B974" s="9"/>
      <c r="G974" s="9"/>
      <c r="H974" s="9"/>
    </row>
    <row r="975" spans="1:8" ht="12.75">
      <c r="A975" s="9"/>
      <c r="B975" s="9"/>
      <c r="G975" s="9"/>
      <c r="H975" s="9"/>
    </row>
    <row r="976" spans="1:8" ht="12.75">
      <c r="A976" s="9"/>
      <c r="B976" s="9"/>
      <c r="G976" s="9"/>
      <c r="H976" s="9"/>
    </row>
    <row r="977" spans="1:8" ht="12.75">
      <c r="A977" s="9"/>
      <c r="B977" s="9"/>
      <c r="G977" s="9"/>
      <c r="H977" s="9"/>
    </row>
    <row r="978" spans="1:8" ht="12.75">
      <c r="A978" s="9"/>
      <c r="B978" s="9"/>
      <c r="G978" s="9"/>
      <c r="H978" s="9"/>
    </row>
    <row r="979" spans="1:8" ht="12.75">
      <c r="A979" s="9"/>
      <c r="B979" s="9"/>
      <c r="G979" s="9"/>
      <c r="H979" s="9"/>
    </row>
    <row r="980" spans="1:8" ht="12.75">
      <c r="A980" s="9"/>
      <c r="B980" s="9"/>
      <c r="G980" s="9"/>
      <c r="H980" s="9"/>
    </row>
    <row r="981" spans="1:8" ht="12.75">
      <c r="A981" s="9"/>
      <c r="B981" s="9"/>
      <c r="G981" s="9"/>
      <c r="H981" s="9"/>
    </row>
    <row r="982" spans="1:8" ht="12.75">
      <c r="A982" s="9"/>
      <c r="B982" s="9"/>
      <c r="G982" s="9"/>
      <c r="H982" s="9"/>
    </row>
    <row r="983" spans="1:8" ht="12.75">
      <c r="A983" s="9"/>
      <c r="B983" s="9"/>
      <c r="G983" s="9"/>
      <c r="H983" s="9"/>
    </row>
    <row r="984" spans="1:8" ht="12.75">
      <c r="A984" s="9"/>
      <c r="B984" s="9"/>
      <c r="G984" s="9"/>
      <c r="H984" s="9"/>
    </row>
    <row r="985" spans="1:8" ht="12.75">
      <c r="A985" s="9"/>
      <c r="B985" s="9"/>
      <c r="G985" s="9"/>
      <c r="H985" s="9"/>
    </row>
    <row r="986" spans="1:8" ht="12.75">
      <c r="A986" s="9"/>
      <c r="B986" s="9"/>
      <c r="G986" s="9"/>
      <c r="H986" s="9"/>
    </row>
    <row r="987" spans="1:8" ht="12.75">
      <c r="A987" s="9"/>
      <c r="B987" s="9"/>
      <c r="G987" s="9"/>
      <c r="H987" s="9"/>
    </row>
    <row r="988" spans="1:8" ht="12.75">
      <c r="A988" s="9"/>
      <c r="B988" s="9"/>
      <c r="G988" s="9"/>
      <c r="H988" s="9"/>
    </row>
    <row r="989" spans="1:8" ht="12.75">
      <c r="A989" s="9"/>
      <c r="B989" s="9"/>
      <c r="G989" s="9"/>
      <c r="H989" s="9"/>
    </row>
    <row r="990" spans="1:8" ht="12.75">
      <c r="A990" s="9"/>
      <c r="B990" s="9"/>
      <c r="G990" s="9"/>
      <c r="H990" s="9"/>
    </row>
    <row r="991" spans="1:8" ht="12.75">
      <c r="A991" s="9"/>
      <c r="B991" s="9"/>
      <c r="G991" s="9"/>
      <c r="H991" s="9"/>
    </row>
    <row r="992" spans="1:8" ht="12.75">
      <c r="A992" s="9"/>
      <c r="B992" s="9"/>
      <c r="G992" s="9"/>
      <c r="H992" s="9"/>
    </row>
    <row r="993" spans="1:8" ht="12.75">
      <c r="A993" s="9"/>
      <c r="B993" s="9"/>
      <c r="G993" s="9"/>
      <c r="H993" s="9"/>
    </row>
    <row r="994" spans="1:8" ht="12.75">
      <c r="A994" s="9"/>
      <c r="B994" s="9"/>
      <c r="G994" s="9"/>
      <c r="H994" s="9"/>
    </row>
    <row r="995" spans="1:8" ht="12.75">
      <c r="A995" s="9"/>
      <c r="B995" s="9"/>
      <c r="G995" s="9"/>
      <c r="H995" s="9"/>
    </row>
    <row r="996" spans="1:8" ht="12.75">
      <c r="A996" s="9"/>
      <c r="B996" s="9"/>
      <c r="G996" s="9"/>
      <c r="H996" s="9"/>
    </row>
    <row r="997" spans="1:8" ht="12.75">
      <c r="A997" s="9"/>
      <c r="B997" s="9"/>
      <c r="G997" s="9"/>
      <c r="H997" s="9"/>
    </row>
    <row r="998" spans="1:8" ht="12.75">
      <c r="A998" s="9"/>
      <c r="B998" s="9"/>
      <c r="G998" s="9"/>
      <c r="H998" s="9"/>
    </row>
    <row r="999" spans="1:8" ht="12.75">
      <c r="A999" s="9"/>
      <c r="B999" s="9"/>
      <c r="G999" s="9"/>
      <c r="H999" s="9"/>
    </row>
    <row r="1000" spans="1:8" ht="12.75">
      <c r="A1000" s="9"/>
      <c r="B1000" s="9"/>
      <c r="G1000" s="9"/>
      <c r="H1000" s="9"/>
    </row>
    <row r="1001" spans="1:8" ht="12.75">
      <c r="A1001" s="9"/>
      <c r="B1001" s="9"/>
      <c r="G1001" s="9"/>
      <c r="H1001" s="9"/>
    </row>
    <row r="1002" spans="1:8" ht="12.75">
      <c r="A1002" s="9"/>
      <c r="B1002" s="9"/>
      <c r="G1002" s="9"/>
      <c r="H1002" s="9"/>
    </row>
    <row r="1003" spans="1:8" ht="12.75">
      <c r="A1003" s="9"/>
      <c r="B1003" s="9"/>
      <c r="G1003" s="9"/>
      <c r="H1003" s="9"/>
    </row>
    <row r="1004" spans="1:8" ht="12.75">
      <c r="A1004" s="9"/>
      <c r="B1004" s="9"/>
      <c r="G1004" s="9"/>
      <c r="H1004" s="9"/>
    </row>
    <row r="1005" spans="1:8" ht="12.75">
      <c r="A1005" s="9"/>
      <c r="B1005" s="9"/>
      <c r="G1005" s="9"/>
      <c r="H1005" s="9"/>
    </row>
    <row r="1006" spans="1:8" ht="12.75">
      <c r="A1006" s="9"/>
      <c r="B1006" s="9"/>
      <c r="G1006" s="9"/>
      <c r="H1006" s="9"/>
    </row>
    <row r="1007" spans="1:8" ht="12.75">
      <c r="A1007" s="9"/>
      <c r="B1007" s="9"/>
      <c r="G1007" s="9"/>
      <c r="H1007" s="9"/>
    </row>
    <row r="1008" spans="1:8" ht="12.75">
      <c r="A1008" s="9"/>
      <c r="B1008" s="9"/>
      <c r="G1008" s="9"/>
      <c r="H1008" s="9"/>
    </row>
    <row r="1009" spans="1:8" ht="12.75">
      <c r="A1009" s="9"/>
      <c r="B1009" s="9"/>
      <c r="G1009" s="9"/>
      <c r="H1009" s="9"/>
    </row>
    <row r="1010" spans="1:8" ht="12.75">
      <c r="A1010" s="9"/>
      <c r="B1010" s="9"/>
      <c r="G1010" s="9"/>
      <c r="H1010" s="9"/>
    </row>
    <row r="1011" spans="1:8" ht="12.75">
      <c r="A1011" s="9"/>
      <c r="B1011" s="9"/>
      <c r="G1011" s="9"/>
      <c r="H1011" s="9"/>
    </row>
    <row r="1012" spans="1:8" ht="12.75">
      <c r="A1012" s="9"/>
      <c r="B1012" s="9"/>
      <c r="G1012" s="9"/>
      <c r="H1012" s="9"/>
    </row>
    <row r="1013" spans="1:8" ht="12.75">
      <c r="A1013" s="9"/>
      <c r="B1013" s="9"/>
      <c r="G1013" s="9"/>
      <c r="H1013" s="9"/>
    </row>
    <row r="1014" spans="1:8" ht="12.75">
      <c r="A1014" s="9"/>
      <c r="B1014" s="9"/>
      <c r="G1014" s="9"/>
      <c r="H1014" s="9"/>
    </row>
    <row r="1015" spans="1:8" ht="12.75">
      <c r="A1015" s="9"/>
      <c r="B1015" s="9"/>
      <c r="G1015" s="9"/>
      <c r="H1015" s="9"/>
    </row>
    <row r="1016" spans="1:8" ht="12.75">
      <c r="A1016" s="9"/>
      <c r="B1016" s="9"/>
      <c r="G1016" s="9"/>
      <c r="H1016" s="9"/>
    </row>
  </sheetData>
  <mergeCells count="15">
    <mergeCell ref="A279:A280"/>
    <mergeCell ref="A308:A309"/>
    <mergeCell ref="A254:A264"/>
    <mergeCell ref="G254:G264"/>
    <mergeCell ref="H254:H264"/>
    <mergeCell ref="A267:A270"/>
    <mergeCell ref="H267:H270"/>
    <mergeCell ref="A271:A272"/>
    <mergeCell ref="H279:H280"/>
    <mergeCell ref="G271:G272"/>
    <mergeCell ref="H271:H272"/>
    <mergeCell ref="G267:G270"/>
    <mergeCell ref="G279:G280"/>
    <mergeCell ref="G308:G309"/>
    <mergeCell ref="H308:H30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1008"/>
  <sheetViews>
    <sheetView tabSelected="1" workbookViewId="0">
      <pane ySplit="1" topLeftCell="A2" activePane="bottomLeft" state="frozen"/>
      <selection pane="bottomLeft" activeCell="A12" sqref="A12"/>
    </sheetView>
  </sheetViews>
  <sheetFormatPr baseColWidth="10" defaultColWidth="12.5703125" defaultRowHeight="15.75" customHeight="1"/>
  <sheetData>
    <row r="1" spans="1:30" ht="33.75" customHeight="1">
      <c r="A1" s="42" t="s">
        <v>0</v>
      </c>
      <c r="B1" s="42" t="s">
        <v>1</v>
      </c>
      <c r="C1" s="1" t="s">
        <v>2</v>
      </c>
      <c r="D1" s="43">
        <v>2013</v>
      </c>
      <c r="E1" s="44" t="s">
        <v>379</v>
      </c>
      <c r="F1" s="1" t="s">
        <v>4</v>
      </c>
      <c r="G1" s="43">
        <v>2024</v>
      </c>
      <c r="H1" s="44" t="s">
        <v>380</v>
      </c>
      <c r="I1" s="45"/>
      <c r="J1" s="21" t="s">
        <v>106</v>
      </c>
      <c r="K1" s="21" t="s">
        <v>107</v>
      </c>
      <c r="L1" s="43">
        <v>2013</v>
      </c>
      <c r="M1" s="44" t="s">
        <v>381</v>
      </c>
      <c r="N1" s="46" t="s">
        <v>382</v>
      </c>
      <c r="O1" s="43">
        <v>2024</v>
      </c>
      <c r="P1" s="44" t="s">
        <v>380</v>
      </c>
      <c r="Q1" s="46" t="s">
        <v>4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>
      <c r="A2" s="7">
        <v>10101</v>
      </c>
      <c r="B2" s="7" t="s">
        <v>6</v>
      </c>
      <c r="C2" s="7">
        <v>63.57</v>
      </c>
      <c r="D2" s="47">
        <v>264549</v>
      </c>
      <c r="E2" s="48">
        <f t="shared" ref="E2:E256" si="0">+C2*D2</f>
        <v>16817379.93</v>
      </c>
      <c r="F2" s="7">
        <v>53.82</v>
      </c>
      <c r="G2" s="47">
        <v>296746</v>
      </c>
      <c r="H2" s="48">
        <f t="shared" ref="H2:H256" si="1">+F2*G2</f>
        <v>15970869.720000001</v>
      </c>
      <c r="I2" s="49"/>
      <c r="J2" s="7">
        <v>1</v>
      </c>
      <c r="K2" s="7" t="s">
        <v>109</v>
      </c>
      <c r="L2" s="47">
        <f t="shared" ref="L2:M2" si="2">SUM(D2:D30)</f>
        <v>583015.00000000012</v>
      </c>
      <c r="M2" s="7">
        <f t="shared" si="2"/>
        <v>16817379.93</v>
      </c>
      <c r="N2" s="50">
        <f t="shared" ref="N2:N10" si="3">M2/L2</f>
        <v>28.845535586562946</v>
      </c>
      <c r="O2" s="47">
        <v>606027</v>
      </c>
      <c r="P2" s="7">
        <f>SUM(H2:H30)</f>
        <v>15970869.720000001</v>
      </c>
      <c r="Q2" s="50">
        <f t="shared" ref="Q2:Q12" si="4">+P2/O2</f>
        <v>26.353396333826712</v>
      </c>
    </row>
    <row r="3" spans="1:30">
      <c r="A3" s="7">
        <v>10102</v>
      </c>
      <c r="B3" s="7" t="s">
        <v>8</v>
      </c>
      <c r="C3" s="7">
        <v>0</v>
      </c>
      <c r="D3" s="47">
        <v>9443.9166666666661</v>
      </c>
      <c r="E3" s="48">
        <f t="shared" si="0"/>
        <v>0</v>
      </c>
      <c r="F3" s="7">
        <v>0</v>
      </c>
      <c r="G3" s="47">
        <v>9256</v>
      </c>
      <c r="H3" s="48">
        <f t="shared" si="1"/>
        <v>0</v>
      </c>
      <c r="J3" s="7">
        <v>2</v>
      </c>
      <c r="K3" s="7" t="s">
        <v>111</v>
      </c>
      <c r="L3" s="47">
        <f t="shared" ref="L3:M3" si="5">SUM(D31:D117)</f>
        <v>2745308.4166666688</v>
      </c>
      <c r="M3" s="7">
        <f t="shared" si="5"/>
        <v>22515416.056666669</v>
      </c>
      <c r="N3" s="50">
        <f t="shared" si="3"/>
        <v>8.2014158846329934</v>
      </c>
      <c r="O3" s="47">
        <v>3030917</v>
      </c>
      <c r="P3" s="7">
        <f>SUM(H31:H117)</f>
        <v>48390153.280000001</v>
      </c>
      <c r="Q3" s="50">
        <f t="shared" si="4"/>
        <v>15.965515809241889</v>
      </c>
    </row>
    <row r="4" spans="1:30">
      <c r="A4" s="7">
        <v>10103</v>
      </c>
      <c r="B4" s="7" t="s">
        <v>17</v>
      </c>
      <c r="C4" s="7">
        <v>0</v>
      </c>
      <c r="D4" s="47">
        <v>16291.75</v>
      </c>
      <c r="E4" s="48">
        <f t="shared" si="0"/>
        <v>0</v>
      </c>
      <c r="F4" s="7">
        <v>0</v>
      </c>
      <c r="G4" s="47">
        <v>13649</v>
      </c>
      <c r="H4" s="48">
        <f t="shared" si="1"/>
        <v>0</v>
      </c>
      <c r="J4" s="7">
        <v>3</v>
      </c>
      <c r="K4" s="7" t="s">
        <v>113</v>
      </c>
      <c r="L4" s="47">
        <f t="shared" ref="L4:M4" si="6">SUM(D118:D165)</f>
        <v>1783893.9999999998</v>
      </c>
      <c r="M4" s="7">
        <f t="shared" si="6"/>
        <v>76493882</v>
      </c>
      <c r="N4" s="50">
        <f t="shared" si="3"/>
        <v>42.880284366672015</v>
      </c>
      <c r="O4" s="47">
        <v>2016357</v>
      </c>
      <c r="P4" s="7">
        <f>SUM(H118:H165)</f>
        <v>128624105.78</v>
      </c>
      <c r="Q4" s="50">
        <f t="shared" si="4"/>
        <v>63.790343565152405</v>
      </c>
    </row>
    <row r="5" spans="1:30">
      <c r="A5" s="7">
        <v>10201</v>
      </c>
      <c r="B5" s="7" t="s">
        <v>19</v>
      </c>
      <c r="C5" s="7">
        <v>0</v>
      </c>
      <c r="D5" s="47">
        <v>10422.916666666666</v>
      </c>
      <c r="E5" s="48">
        <f t="shared" si="0"/>
        <v>0</v>
      </c>
      <c r="F5" s="7">
        <v>0</v>
      </c>
      <c r="G5" s="47">
        <v>7903</v>
      </c>
      <c r="H5" s="48">
        <f t="shared" si="1"/>
        <v>0</v>
      </c>
      <c r="J5" s="7">
        <v>4</v>
      </c>
      <c r="K5" s="7" t="s">
        <v>115</v>
      </c>
      <c r="L5" s="47">
        <f t="shared" ref="L5:M5" si="7">SUM(D166:D200)</f>
        <v>500994.00000000006</v>
      </c>
      <c r="M5" s="7">
        <f t="shared" si="7"/>
        <v>0</v>
      </c>
      <c r="N5" s="50">
        <f t="shared" si="3"/>
        <v>0</v>
      </c>
      <c r="O5" s="47">
        <v>571471</v>
      </c>
      <c r="P5" s="7">
        <f>SUM(H166:H200)</f>
        <v>4372046.07</v>
      </c>
      <c r="Q5" s="50">
        <f t="shared" si="4"/>
        <v>7.6505125719415341</v>
      </c>
    </row>
    <row r="6" spans="1:30">
      <c r="A6" s="7">
        <v>10202</v>
      </c>
      <c r="B6" s="7" t="s">
        <v>21</v>
      </c>
      <c r="C6" s="7">
        <v>0</v>
      </c>
      <c r="D6" s="47">
        <v>14473.583333333334</v>
      </c>
      <c r="E6" s="48">
        <f t="shared" si="0"/>
        <v>0</v>
      </c>
      <c r="F6" s="7">
        <v>0</v>
      </c>
      <c r="G6" s="47">
        <v>16812</v>
      </c>
      <c r="H6" s="48">
        <f t="shared" si="1"/>
        <v>0</v>
      </c>
      <c r="J6" s="7">
        <v>5</v>
      </c>
      <c r="K6" s="7" t="s">
        <v>117</v>
      </c>
      <c r="L6" s="47">
        <f t="shared" ref="L6:M6" si="8">SUM(D201:D242)</f>
        <v>831248.25</v>
      </c>
      <c r="M6" s="7">
        <f t="shared" si="8"/>
        <v>0</v>
      </c>
      <c r="N6" s="50">
        <f t="shared" si="3"/>
        <v>0</v>
      </c>
      <c r="O6" s="47">
        <v>861292</v>
      </c>
      <c r="P6" s="7">
        <f>SUM(H201:H242)</f>
        <v>1623286</v>
      </c>
      <c r="Q6" s="50">
        <f t="shared" si="4"/>
        <v>1.8847104117999471</v>
      </c>
    </row>
    <row r="7" spans="1:30">
      <c r="A7" s="7">
        <v>10301</v>
      </c>
      <c r="B7" s="7" t="s">
        <v>23</v>
      </c>
      <c r="C7" s="7">
        <v>0</v>
      </c>
      <c r="D7" s="47">
        <v>11556.333333333334</v>
      </c>
      <c r="E7" s="48">
        <f t="shared" si="0"/>
        <v>0</v>
      </c>
      <c r="F7" s="7">
        <v>0</v>
      </c>
      <c r="G7" s="47">
        <v>13694</v>
      </c>
      <c r="H7" s="48">
        <f t="shared" si="1"/>
        <v>0</v>
      </c>
      <c r="J7" s="7">
        <v>6</v>
      </c>
      <c r="K7" s="7" t="s">
        <v>119</v>
      </c>
      <c r="L7" s="47">
        <f t="shared" ref="L7:M7" si="9">SUM(D243:D253)</f>
        <v>487742.33333333331</v>
      </c>
      <c r="M7" s="7">
        <f t="shared" si="9"/>
        <v>36501801.222499996</v>
      </c>
      <c r="N7" s="50">
        <f t="shared" si="3"/>
        <v>74.838288021954213</v>
      </c>
      <c r="O7" s="47">
        <v>534210</v>
      </c>
      <c r="P7" s="7">
        <f>SUM(H243:H253)</f>
        <v>41824845.620000005</v>
      </c>
      <c r="Q7" s="50">
        <f t="shared" si="4"/>
        <v>78.292891596937537</v>
      </c>
    </row>
    <row r="8" spans="1:30">
      <c r="A8" s="7">
        <v>10302</v>
      </c>
      <c r="B8" s="7" t="s">
        <v>25</v>
      </c>
      <c r="C8" s="7">
        <v>0</v>
      </c>
      <c r="D8" s="47">
        <v>12397.833333333334</v>
      </c>
      <c r="E8" s="48">
        <f t="shared" si="0"/>
        <v>0</v>
      </c>
      <c r="F8" s="7">
        <v>0</v>
      </c>
      <c r="G8" s="47">
        <v>12539</v>
      </c>
      <c r="H8" s="48">
        <f t="shared" si="1"/>
        <v>0</v>
      </c>
      <c r="J8" s="7">
        <v>7</v>
      </c>
      <c r="K8" s="7" t="s">
        <v>121</v>
      </c>
      <c r="L8" s="47">
        <f t="shared" ref="L8:M8" si="10">SUM(D254:D309)</f>
        <v>2696498.916666667</v>
      </c>
      <c r="M8" s="7">
        <f t="shared" si="10"/>
        <v>153005616.0866667</v>
      </c>
      <c r="N8" s="50">
        <f t="shared" si="3"/>
        <v>56.742324330620448</v>
      </c>
      <c r="O8" s="47">
        <v>3122605</v>
      </c>
      <c r="P8" s="7">
        <f>SUM(H254:H309)</f>
        <v>189906452.13999996</v>
      </c>
      <c r="Q8" s="50">
        <f t="shared" si="4"/>
        <v>60.816674584201316</v>
      </c>
    </row>
    <row r="9" spans="1:30">
      <c r="A9" s="7">
        <v>10303</v>
      </c>
      <c r="B9" s="7" t="s">
        <v>27</v>
      </c>
      <c r="C9" s="7">
        <v>0</v>
      </c>
      <c r="D9" s="47">
        <v>8150.25</v>
      </c>
      <c r="E9" s="48">
        <f t="shared" si="0"/>
        <v>0</v>
      </c>
      <c r="F9" s="7">
        <v>0</v>
      </c>
      <c r="G9" s="47">
        <v>9055</v>
      </c>
      <c r="H9" s="48">
        <f t="shared" si="1"/>
        <v>0</v>
      </c>
      <c r="J9" s="7">
        <v>8</v>
      </c>
      <c r="K9" s="7" t="s">
        <v>123</v>
      </c>
      <c r="L9" s="47">
        <f t="shared" ref="L9:M9" si="11">SUM(D310:D329)</f>
        <v>427529.00000000006</v>
      </c>
      <c r="M9" s="7">
        <f t="shared" si="11"/>
        <v>18486017.587500002</v>
      </c>
      <c r="N9" s="50">
        <f t="shared" si="3"/>
        <v>43.239213217115093</v>
      </c>
      <c r="O9" s="47">
        <v>488260</v>
      </c>
      <c r="P9" s="7">
        <f>SUM(H310:H329)</f>
        <v>25465765.559999999</v>
      </c>
      <c r="Q9" s="50">
        <f t="shared" si="4"/>
        <v>52.156157702863226</v>
      </c>
    </row>
    <row r="10" spans="1:30">
      <c r="A10" s="7">
        <v>10304</v>
      </c>
      <c r="B10" s="7" t="s">
        <v>28</v>
      </c>
      <c r="C10" s="7">
        <v>0</v>
      </c>
      <c r="D10" s="47">
        <v>7889.083333333333</v>
      </c>
      <c r="E10" s="48">
        <f t="shared" si="0"/>
        <v>0</v>
      </c>
      <c r="F10" s="7">
        <v>0</v>
      </c>
      <c r="G10" s="47">
        <v>9155</v>
      </c>
      <c r="H10" s="48">
        <f t="shared" si="1"/>
        <v>0</v>
      </c>
      <c r="J10" s="7">
        <v>9</v>
      </c>
      <c r="K10" s="7" t="s">
        <v>125</v>
      </c>
      <c r="L10" s="47">
        <f t="shared" ref="L10:M10" si="12">SUM(D330:D344)</f>
        <v>112415.83333333336</v>
      </c>
      <c r="M10" s="7">
        <f t="shared" si="12"/>
        <v>0</v>
      </c>
      <c r="N10" s="50">
        <f t="shared" si="3"/>
        <v>0</v>
      </c>
      <c r="O10" s="47">
        <v>134194</v>
      </c>
      <c r="P10" s="7">
        <f>SUM(H330:H344)</f>
        <v>0</v>
      </c>
      <c r="Q10" s="50">
        <f t="shared" si="4"/>
        <v>0</v>
      </c>
    </row>
    <row r="11" spans="1:30" ht="15.75" customHeight="1">
      <c r="A11" s="7">
        <v>10401</v>
      </c>
      <c r="B11" s="7" t="s">
        <v>30</v>
      </c>
      <c r="C11" s="7">
        <v>0</v>
      </c>
      <c r="D11" s="47">
        <v>10283.75</v>
      </c>
      <c r="E11" s="48">
        <f t="shared" si="0"/>
        <v>0</v>
      </c>
      <c r="F11" s="7">
        <v>0</v>
      </c>
      <c r="G11" s="47">
        <v>9192</v>
      </c>
      <c r="H11" s="48">
        <f t="shared" si="1"/>
        <v>0</v>
      </c>
      <c r="J11" s="24">
        <v>11</v>
      </c>
      <c r="K11" s="78" t="s">
        <v>127</v>
      </c>
      <c r="L11" s="79">
        <f t="shared" ref="L11:M11" si="13">SUM(L2:L10)</f>
        <v>10168645.750000002</v>
      </c>
      <c r="M11" s="79">
        <f t="shared" si="13"/>
        <v>323820112.88333333</v>
      </c>
      <c r="N11" s="80">
        <f>+M11/L11</f>
        <v>31.844959579138969</v>
      </c>
      <c r="O11" s="79">
        <f t="shared" ref="O11:P11" si="14">SUM(O2:O10)</f>
        <v>11365333</v>
      </c>
      <c r="P11" s="79">
        <f t="shared" si="14"/>
        <v>456177524.16999996</v>
      </c>
      <c r="Q11" s="80">
        <f t="shared" si="4"/>
        <v>40.137629418337319</v>
      </c>
    </row>
    <row r="12" spans="1:30" ht="15">
      <c r="A12" s="7">
        <v>10402</v>
      </c>
      <c r="B12" s="7" t="s">
        <v>33</v>
      </c>
      <c r="C12" s="7">
        <v>0</v>
      </c>
      <c r="D12" s="47">
        <v>8495.25</v>
      </c>
      <c r="E12" s="48">
        <f t="shared" si="0"/>
        <v>0</v>
      </c>
      <c r="F12" s="7">
        <v>0</v>
      </c>
      <c r="G12" s="47">
        <v>8509</v>
      </c>
      <c r="H12" s="48">
        <f t="shared" si="1"/>
        <v>0</v>
      </c>
      <c r="J12" s="81">
        <v>10</v>
      </c>
      <c r="K12" s="81" t="s">
        <v>403</v>
      </c>
      <c r="L12" s="82">
        <f>SUM(D246:D248)</f>
        <v>148460.16666666666</v>
      </c>
      <c r="M12" s="82">
        <f>SUM(E246:E248)</f>
        <v>11691504.730833333</v>
      </c>
      <c r="N12" s="83">
        <f>+M12/L12</f>
        <v>78.751795807180599</v>
      </c>
      <c r="O12" s="82">
        <f>SUM(G246:G248)</f>
        <v>159264</v>
      </c>
      <c r="P12" s="82">
        <f>SUM(H246:H248)</f>
        <v>11377290.02</v>
      </c>
      <c r="Q12" s="83">
        <f>+P12/O12</f>
        <v>71.43667131303998</v>
      </c>
    </row>
    <row r="13" spans="1:30">
      <c r="A13" s="7">
        <v>10403</v>
      </c>
      <c r="B13" s="7" t="s">
        <v>34</v>
      </c>
      <c r="C13" s="7">
        <v>0</v>
      </c>
      <c r="D13" s="47">
        <v>7281.166666666667</v>
      </c>
      <c r="E13" s="48">
        <f t="shared" si="0"/>
        <v>0</v>
      </c>
      <c r="F13" s="7">
        <v>0</v>
      </c>
      <c r="G13" s="47">
        <v>6942</v>
      </c>
      <c r="H13" s="48">
        <f t="shared" si="1"/>
        <v>0</v>
      </c>
      <c r="N13" s="51"/>
      <c r="Q13" s="51"/>
    </row>
    <row r="14" spans="1:30">
      <c r="A14" s="7">
        <v>10404</v>
      </c>
      <c r="B14" s="7" t="s">
        <v>35</v>
      </c>
      <c r="C14" s="7">
        <v>0</v>
      </c>
      <c r="D14" s="47">
        <v>4807.5</v>
      </c>
      <c r="E14" s="48">
        <f t="shared" si="0"/>
        <v>0</v>
      </c>
      <c r="F14" s="7">
        <v>0</v>
      </c>
      <c r="G14" s="47">
        <v>3768</v>
      </c>
      <c r="H14" s="48">
        <f t="shared" si="1"/>
        <v>0</v>
      </c>
      <c r="N14" s="51"/>
      <c r="Q14" s="51"/>
    </row>
    <row r="15" spans="1:30">
      <c r="A15" s="7">
        <v>10405</v>
      </c>
      <c r="B15" s="7" t="s">
        <v>36</v>
      </c>
      <c r="C15" s="7">
        <v>0</v>
      </c>
      <c r="D15" s="47">
        <v>4564.083333333333</v>
      </c>
      <c r="E15" s="48">
        <f t="shared" si="0"/>
        <v>0</v>
      </c>
      <c r="F15" s="7">
        <v>0</v>
      </c>
      <c r="G15" s="47">
        <v>5654</v>
      </c>
      <c r="H15" s="48">
        <f t="shared" si="1"/>
        <v>0</v>
      </c>
      <c r="N15" s="51"/>
      <c r="Q15" s="51"/>
    </row>
    <row r="16" spans="1:30">
      <c r="A16" s="7">
        <v>10501</v>
      </c>
      <c r="B16" s="7" t="s">
        <v>37</v>
      </c>
      <c r="C16" s="7">
        <v>0</v>
      </c>
      <c r="D16" s="47">
        <v>24323.25</v>
      </c>
      <c r="E16" s="48">
        <f t="shared" si="0"/>
        <v>0</v>
      </c>
      <c r="F16" s="7">
        <v>0</v>
      </c>
      <c r="G16" s="47">
        <v>24546</v>
      </c>
      <c r="H16" s="48">
        <f t="shared" si="1"/>
        <v>0</v>
      </c>
      <c r="N16" s="51"/>
      <c r="Q16" s="51"/>
    </row>
    <row r="17" spans="1:17">
      <c r="A17" s="7">
        <v>10502</v>
      </c>
      <c r="B17" s="7" t="s">
        <v>38</v>
      </c>
      <c r="C17" s="7">
        <v>0</v>
      </c>
      <c r="D17" s="47">
        <v>8253.25</v>
      </c>
      <c r="E17" s="48">
        <f t="shared" si="0"/>
        <v>0</v>
      </c>
      <c r="F17" s="7">
        <v>0</v>
      </c>
      <c r="G17" s="47">
        <v>7200</v>
      </c>
      <c r="H17" s="48">
        <f t="shared" si="1"/>
        <v>0</v>
      </c>
      <c r="N17" s="51"/>
      <c r="Q17" s="51"/>
    </row>
    <row r="18" spans="1:17">
      <c r="A18" s="7">
        <v>10601</v>
      </c>
      <c r="B18" s="7" t="s">
        <v>39</v>
      </c>
      <c r="C18" s="7">
        <v>0</v>
      </c>
      <c r="D18" s="47">
        <v>16642.25</v>
      </c>
      <c r="E18" s="48">
        <f t="shared" si="0"/>
        <v>0</v>
      </c>
      <c r="F18" s="7">
        <v>0</v>
      </c>
      <c r="G18" s="47">
        <v>13323</v>
      </c>
      <c r="H18" s="48">
        <f t="shared" si="1"/>
        <v>0</v>
      </c>
      <c r="N18" s="51"/>
      <c r="Q18" s="51"/>
    </row>
    <row r="19" spans="1:17">
      <c r="A19" s="7">
        <v>10602</v>
      </c>
      <c r="B19" s="7" t="s">
        <v>41</v>
      </c>
      <c r="C19" s="7">
        <v>0</v>
      </c>
      <c r="D19" s="47">
        <v>9975.0833333333339</v>
      </c>
      <c r="E19" s="48">
        <f t="shared" si="0"/>
        <v>0</v>
      </c>
      <c r="F19" s="7">
        <v>0</v>
      </c>
      <c r="G19" s="47">
        <v>8480</v>
      </c>
      <c r="H19" s="48">
        <f t="shared" si="1"/>
        <v>0</v>
      </c>
      <c r="N19" s="51"/>
      <c r="Q19" s="51"/>
    </row>
    <row r="20" spans="1:17">
      <c r="A20" s="7">
        <v>10701</v>
      </c>
      <c r="B20" s="7" t="s">
        <v>42</v>
      </c>
      <c r="C20" s="7">
        <v>0</v>
      </c>
      <c r="D20" s="47">
        <v>15566.416666666666</v>
      </c>
      <c r="E20" s="48">
        <f t="shared" si="0"/>
        <v>0</v>
      </c>
      <c r="F20" s="7">
        <v>0</v>
      </c>
      <c r="G20" s="47">
        <v>14713</v>
      </c>
      <c r="H20" s="48">
        <f t="shared" si="1"/>
        <v>0</v>
      </c>
      <c r="N20" s="51"/>
      <c r="Q20" s="51"/>
    </row>
    <row r="21" spans="1:17">
      <c r="A21" s="7">
        <v>10702</v>
      </c>
      <c r="B21" s="7" t="s">
        <v>43</v>
      </c>
      <c r="C21" s="7">
        <v>0</v>
      </c>
      <c r="D21" s="47">
        <v>32036.25</v>
      </c>
      <c r="E21" s="48">
        <f t="shared" si="0"/>
        <v>0</v>
      </c>
      <c r="F21" s="7">
        <v>0</v>
      </c>
      <c r="G21" s="47">
        <v>26715</v>
      </c>
      <c r="H21" s="48">
        <f t="shared" si="1"/>
        <v>0</v>
      </c>
      <c r="N21" s="51"/>
      <c r="Q21" s="51"/>
    </row>
    <row r="22" spans="1:17" ht="14.25">
      <c r="A22" s="7">
        <v>10703</v>
      </c>
      <c r="B22" s="7" t="s">
        <v>44</v>
      </c>
      <c r="C22" s="7">
        <v>0</v>
      </c>
      <c r="D22" s="47">
        <v>13341.666666666666</v>
      </c>
      <c r="E22" s="48">
        <f t="shared" si="0"/>
        <v>0</v>
      </c>
      <c r="F22" s="7">
        <v>0</v>
      </c>
      <c r="G22" s="47">
        <v>16484</v>
      </c>
      <c r="H22" s="48">
        <f t="shared" si="1"/>
        <v>0</v>
      </c>
      <c r="N22" s="51"/>
      <c r="Q22" s="51"/>
    </row>
    <row r="23" spans="1:17" ht="14.25">
      <c r="A23" s="7">
        <v>10704</v>
      </c>
      <c r="B23" s="7" t="s">
        <v>45</v>
      </c>
      <c r="C23" s="7">
        <v>0</v>
      </c>
      <c r="D23" s="47">
        <v>15994.333333333334</v>
      </c>
      <c r="E23" s="48">
        <f t="shared" si="0"/>
        <v>0</v>
      </c>
      <c r="F23" s="7">
        <v>0</v>
      </c>
      <c r="G23" s="47">
        <v>14282</v>
      </c>
      <c r="H23" s="48">
        <f t="shared" si="1"/>
        <v>0</v>
      </c>
      <c r="N23" s="51"/>
      <c r="Q23" s="51"/>
    </row>
    <row r="24" spans="1:17" ht="14.25">
      <c r="A24" s="7">
        <v>10801</v>
      </c>
      <c r="B24" s="7" t="s">
        <v>46</v>
      </c>
      <c r="C24" s="7">
        <v>0</v>
      </c>
      <c r="D24" s="47">
        <v>10989.833333333334</v>
      </c>
      <c r="E24" s="48">
        <f t="shared" si="0"/>
        <v>0</v>
      </c>
      <c r="F24" s="7">
        <v>0</v>
      </c>
      <c r="G24" s="47">
        <v>9107</v>
      </c>
      <c r="H24" s="48">
        <f t="shared" si="1"/>
        <v>0</v>
      </c>
      <c r="N24" s="51"/>
      <c r="Q24" s="51"/>
    </row>
    <row r="25" spans="1:17" ht="14.25">
      <c r="A25" s="7">
        <v>10901</v>
      </c>
      <c r="B25" s="7" t="s">
        <v>47</v>
      </c>
      <c r="C25" s="7">
        <v>0</v>
      </c>
      <c r="D25" s="47">
        <v>3669.0833333333335</v>
      </c>
      <c r="E25" s="48">
        <f t="shared" si="0"/>
        <v>0</v>
      </c>
      <c r="F25" s="7">
        <v>0</v>
      </c>
      <c r="G25" s="47">
        <v>5375</v>
      </c>
      <c r="H25" s="48">
        <f t="shared" si="1"/>
        <v>0</v>
      </c>
      <c r="N25" s="51"/>
      <c r="Q25" s="51"/>
    </row>
    <row r="26" spans="1:17" ht="14.25">
      <c r="A26" s="7">
        <v>10902</v>
      </c>
      <c r="B26" s="7" t="s">
        <v>48</v>
      </c>
      <c r="C26" s="7">
        <v>0</v>
      </c>
      <c r="D26" s="47">
        <v>17490.75</v>
      </c>
      <c r="E26" s="48">
        <f t="shared" si="0"/>
        <v>0</v>
      </c>
      <c r="F26" s="7">
        <v>0</v>
      </c>
      <c r="G26" s="47">
        <v>14848</v>
      </c>
      <c r="H26" s="48">
        <f t="shared" si="1"/>
        <v>0</v>
      </c>
      <c r="N26" s="51"/>
      <c r="Q26" s="51"/>
    </row>
    <row r="27" spans="1:17" ht="14.25">
      <c r="A27" s="7">
        <v>10903</v>
      </c>
      <c r="B27" s="7" t="s">
        <v>49</v>
      </c>
      <c r="C27" s="7">
        <v>0</v>
      </c>
      <c r="D27" s="47">
        <v>4165.333333333333</v>
      </c>
      <c r="E27" s="48">
        <f t="shared" si="0"/>
        <v>0</v>
      </c>
      <c r="F27" s="7">
        <v>0</v>
      </c>
      <c r="G27" s="47">
        <v>5016</v>
      </c>
      <c r="H27" s="48">
        <f t="shared" si="1"/>
        <v>0</v>
      </c>
      <c r="N27" s="51"/>
      <c r="Q27" s="51"/>
    </row>
    <row r="28" spans="1:17" ht="14.25">
      <c r="A28" s="7">
        <v>11001</v>
      </c>
      <c r="B28" s="7" t="s">
        <v>50</v>
      </c>
      <c r="C28" s="7">
        <v>0</v>
      </c>
      <c r="D28" s="47">
        <v>10016.833333333334</v>
      </c>
      <c r="E28" s="48">
        <f t="shared" si="0"/>
        <v>0</v>
      </c>
      <c r="F28" s="7">
        <v>0</v>
      </c>
      <c r="G28" s="47">
        <v>13282</v>
      </c>
      <c r="H28" s="48">
        <f t="shared" si="1"/>
        <v>0</v>
      </c>
      <c r="N28" s="51"/>
      <c r="Q28" s="51"/>
    </row>
    <row r="29" spans="1:17" ht="14.25">
      <c r="A29" s="7">
        <v>11002</v>
      </c>
      <c r="B29" s="7" t="s">
        <v>51</v>
      </c>
      <c r="C29" s="7">
        <v>0</v>
      </c>
      <c r="D29" s="47">
        <v>2541.5</v>
      </c>
      <c r="E29" s="48">
        <f t="shared" si="0"/>
        <v>0</v>
      </c>
      <c r="F29" s="7">
        <v>0</v>
      </c>
      <c r="G29" s="47">
        <v>2547</v>
      </c>
      <c r="H29" s="48">
        <f t="shared" si="1"/>
        <v>0</v>
      </c>
      <c r="N29" s="51"/>
      <c r="Q29" s="51"/>
    </row>
    <row r="30" spans="1:17" ht="14.25">
      <c r="A30" s="7">
        <v>11003</v>
      </c>
      <c r="B30" s="7" t="s">
        <v>55</v>
      </c>
      <c r="C30" s="7">
        <v>0</v>
      </c>
      <c r="D30" s="47">
        <v>7402.75</v>
      </c>
      <c r="E30" s="48">
        <f t="shared" si="0"/>
        <v>0</v>
      </c>
      <c r="F30" s="7">
        <v>0</v>
      </c>
      <c r="G30" s="47">
        <v>7235</v>
      </c>
      <c r="H30" s="48">
        <f t="shared" si="1"/>
        <v>0</v>
      </c>
      <c r="N30" s="51"/>
      <c r="Q30" s="51"/>
    </row>
    <row r="31" spans="1:17" ht="14.25">
      <c r="A31" s="7">
        <v>20101</v>
      </c>
      <c r="B31" s="7" t="s">
        <v>56</v>
      </c>
      <c r="C31" s="7">
        <v>0</v>
      </c>
      <c r="D31" s="47">
        <v>765714.91666666663</v>
      </c>
      <c r="E31" s="48">
        <f t="shared" si="0"/>
        <v>0</v>
      </c>
      <c r="F31" s="7">
        <v>0</v>
      </c>
      <c r="G31" s="47">
        <v>757431</v>
      </c>
      <c r="H31" s="48">
        <f t="shared" si="1"/>
        <v>0</v>
      </c>
      <c r="N31" s="51"/>
      <c r="Q31" s="51"/>
    </row>
    <row r="32" spans="1:17" ht="14.25">
      <c r="A32" s="7">
        <v>20102</v>
      </c>
      <c r="B32" s="7" t="s">
        <v>57</v>
      </c>
      <c r="C32" s="7">
        <v>0</v>
      </c>
      <c r="D32" s="47">
        <v>17047.583333333332</v>
      </c>
      <c r="E32" s="48">
        <f t="shared" si="0"/>
        <v>0</v>
      </c>
      <c r="F32" s="7">
        <v>0</v>
      </c>
      <c r="G32" s="47">
        <v>21729</v>
      </c>
      <c r="H32" s="48">
        <f t="shared" si="1"/>
        <v>0</v>
      </c>
      <c r="N32" s="51"/>
      <c r="Q32" s="51"/>
    </row>
    <row r="33" spans="1:17" ht="14.25">
      <c r="A33" s="7">
        <v>20103</v>
      </c>
      <c r="B33" s="7" t="s">
        <v>58</v>
      </c>
      <c r="C33" s="7">
        <v>0</v>
      </c>
      <c r="D33" s="47">
        <v>16218.333333333334</v>
      </c>
      <c r="E33" s="48">
        <f t="shared" si="0"/>
        <v>0</v>
      </c>
      <c r="F33" s="7">
        <v>0</v>
      </c>
      <c r="G33" s="47">
        <v>20446</v>
      </c>
      <c r="H33" s="48">
        <f t="shared" si="1"/>
        <v>0</v>
      </c>
      <c r="N33" s="51"/>
      <c r="Q33" s="51"/>
    </row>
    <row r="34" spans="1:17" ht="14.25">
      <c r="A34" s="7">
        <v>20104</v>
      </c>
      <c r="B34" s="7" t="s">
        <v>59</v>
      </c>
      <c r="C34" s="7">
        <v>0</v>
      </c>
      <c r="D34" s="47">
        <v>24410.75</v>
      </c>
      <c r="E34" s="48">
        <f t="shared" si="0"/>
        <v>0</v>
      </c>
      <c r="F34" s="7">
        <v>0</v>
      </c>
      <c r="G34" s="47">
        <v>46188</v>
      </c>
      <c r="H34" s="48">
        <f t="shared" si="1"/>
        <v>0</v>
      </c>
      <c r="N34" s="51"/>
      <c r="Q34" s="51"/>
    </row>
    <row r="35" spans="1:17" ht="14.25">
      <c r="A35" s="7">
        <v>20105</v>
      </c>
      <c r="B35" s="7" t="s">
        <v>60</v>
      </c>
      <c r="C35" s="7">
        <v>26.44</v>
      </c>
      <c r="D35" s="47">
        <v>851566.41666666663</v>
      </c>
      <c r="E35" s="48">
        <f t="shared" si="0"/>
        <v>22515416.056666669</v>
      </c>
      <c r="F35" s="7">
        <v>39.619999999999997</v>
      </c>
      <c r="G35" s="47">
        <v>885825</v>
      </c>
      <c r="H35" s="48">
        <f t="shared" si="1"/>
        <v>35096386.5</v>
      </c>
      <c r="N35" s="51"/>
      <c r="Q35" s="51"/>
    </row>
    <row r="36" spans="1:17" ht="14.25">
      <c r="A36" s="7">
        <v>20201</v>
      </c>
      <c r="B36" s="7" t="s">
        <v>61</v>
      </c>
      <c r="C36" s="7">
        <v>0</v>
      </c>
      <c r="D36" s="47">
        <v>46157.916666666664</v>
      </c>
      <c r="E36" s="48">
        <f t="shared" si="0"/>
        <v>0</v>
      </c>
      <c r="F36" s="7">
        <v>0</v>
      </c>
      <c r="G36" s="47">
        <v>47257</v>
      </c>
      <c r="H36" s="48">
        <f t="shared" si="1"/>
        <v>0</v>
      </c>
      <c r="N36" s="51"/>
      <c r="Q36" s="51"/>
    </row>
    <row r="37" spans="1:17" ht="14.25">
      <c r="A37" s="7">
        <v>20202</v>
      </c>
      <c r="B37" s="7" t="s">
        <v>62</v>
      </c>
      <c r="C37" s="7">
        <v>0</v>
      </c>
      <c r="D37" s="47">
        <v>13454.083333333334</v>
      </c>
      <c r="E37" s="48">
        <f t="shared" si="0"/>
        <v>0</v>
      </c>
      <c r="F37" s="7">
        <v>0</v>
      </c>
      <c r="G37" s="47">
        <v>16953</v>
      </c>
      <c r="H37" s="48">
        <f t="shared" si="1"/>
        <v>0</v>
      </c>
      <c r="N37" s="51"/>
      <c r="Q37" s="51"/>
    </row>
    <row r="38" spans="1:17" ht="14.25">
      <c r="A38" s="7">
        <v>20203</v>
      </c>
      <c r="B38" s="7" t="s">
        <v>66</v>
      </c>
      <c r="C38" s="7">
        <v>0</v>
      </c>
      <c r="D38" s="47">
        <v>5188.25</v>
      </c>
      <c r="E38" s="48">
        <f t="shared" si="0"/>
        <v>0</v>
      </c>
      <c r="F38" s="7">
        <v>0</v>
      </c>
      <c r="G38" s="47">
        <v>7226</v>
      </c>
      <c r="H38" s="48">
        <f t="shared" si="1"/>
        <v>0</v>
      </c>
      <c r="N38" s="51"/>
      <c r="Q38" s="51"/>
    </row>
    <row r="39" spans="1:17" ht="14.25">
      <c r="A39" s="7">
        <v>20204</v>
      </c>
      <c r="B39" s="7" t="s">
        <v>63</v>
      </c>
      <c r="C39" s="7">
        <v>0</v>
      </c>
      <c r="D39" s="47">
        <v>8008.916666666667</v>
      </c>
      <c r="E39" s="48">
        <f t="shared" si="0"/>
        <v>0</v>
      </c>
      <c r="F39" s="7">
        <v>0</v>
      </c>
      <c r="G39" s="47">
        <v>8679</v>
      </c>
      <c r="H39" s="48">
        <f t="shared" si="1"/>
        <v>0</v>
      </c>
      <c r="N39" s="51"/>
      <c r="Q39" s="51"/>
    </row>
    <row r="40" spans="1:17" ht="14.25">
      <c r="A40" s="7">
        <v>20205</v>
      </c>
      <c r="B40" s="7" t="s">
        <v>64</v>
      </c>
      <c r="C40" s="7">
        <v>0</v>
      </c>
      <c r="D40" s="47">
        <v>8622.4166666666661</v>
      </c>
      <c r="E40" s="48">
        <f t="shared" si="0"/>
        <v>0</v>
      </c>
      <c r="F40" s="7">
        <v>0</v>
      </c>
      <c r="G40" s="47">
        <v>9287</v>
      </c>
      <c r="H40" s="48">
        <f t="shared" si="1"/>
        <v>0</v>
      </c>
      <c r="N40" s="51"/>
      <c r="Q40" s="51"/>
    </row>
    <row r="41" spans="1:17" ht="14.25">
      <c r="A41" s="7">
        <v>20206</v>
      </c>
      <c r="B41" s="7" t="s">
        <v>65</v>
      </c>
      <c r="C41" s="7">
        <v>0</v>
      </c>
      <c r="D41" s="47">
        <v>4026.25</v>
      </c>
      <c r="E41" s="48">
        <f t="shared" si="0"/>
        <v>0</v>
      </c>
      <c r="F41" s="7">
        <v>0</v>
      </c>
      <c r="G41" s="47">
        <v>5118</v>
      </c>
      <c r="H41" s="48">
        <f t="shared" si="1"/>
        <v>0</v>
      </c>
      <c r="N41" s="51"/>
      <c r="Q41" s="51"/>
    </row>
    <row r="42" spans="1:17" ht="14.25">
      <c r="A42" s="7">
        <v>20301</v>
      </c>
      <c r="B42" s="7" t="s">
        <v>67</v>
      </c>
      <c r="C42" s="7">
        <v>0</v>
      </c>
      <c r="D42" s="47">
        <v>10889</v>
      </c>
      <c r="E42" s="48">
        <f t="shared" si="0"/>
        <v>0</v>
      </c>
      <c r="F42" s="7">
        <v>0</v>
      </c>
      <c r="G42" s="47">
        <v>13551</v>
      </c>
      <c r="H42" s="48">
        <f t="shared" si="1"/>
        <v>0</v>
      </c>
      <c r="N42" s="51"/>
      <c r="Q42" s="51"/>
    </row>
    <row r="43" spans="1:17" ht="14.25">
      <c r="A43" s="7">
        <v>20302</v>
      </c>
      <c r="B43" s="7" t="s">
        <v>68</v>
      </c>
      <c r="C43" s="7">
        <v>0</v>
      </c>
      <c r="D43" s="47">
        <v>14760.583333333334</v>
      </c>
      <c r="E43" s="48">
        <f t="shared" si="0"/>
        <v>0</v>
      </c>
      <c r="F43" s="7">
        <v>0</v>
      </c>
      <c r="G43" s="47">
        <v>15570</v>
      </c>
      <c r="H43" s="48">
        <f t="shared" si="1"/>
        <v>0</v>
      </c>
      <c r="N43" s="51"/>
      <c r="Q43" s="51"/>
    </row>
    <row r="44" spans="1:17" ht="14.25">
      <c r="A44" s="7">
        <v>20303</v>
      </c>
      <c r="B44" s="7" t="s">
        <v>69</v>
      </c>
      <c r="C44" s="7">
        <v>0</v>
      </c>
      <c r="D44" s="47">
        <v>10074</v>
      </c>
      <c r="E44" s="48">
        <f t="shared" si="0"/>
        <v>0</v>
      </c>
      <c r="F44" s="7">
        <v>0</v>
      </c>
      <c r="G44" s="47">
        <v>12219</v>
      </c>
      <c r="H44" s="48">
        <f t="shared" si="1"/>
        <v>0</v>
      </c>
      <c r="N44" s="51"/>
      <c r="Q44" s="51"/>
    </row>
    <row r="45" spans="1:17" ht="14.25">
      <c r="A45" s="7">
        <v>20304</v>
      </c>
      <c r="B45" s="7" t="s">
        <v>71</v>
      </c>
      <c r="C45" s="7">
        <v>0</v>
      </c>
      <c r="D45" s="47">
        <v>3993.1666666666665</v>
      </c>
      <c r="E45" s="48">
        <f t="shared" si="0"/>
        <v>0</v>
      </c>
      <c r="F45" s="7">
        <v>0</v>
      </c>
      <c r="G45" s="47">
        <v>5238</v>
      </c>
      <c r="H45" s="48">
        <f t="shared" si="1"/>
        <v>0</v>
      </c>
      <c r="N45" s="51"/>
      <c r="Q45" s="51"/>
    </row>
    <row r="46" spans="1:17" ht="14.25">
      <c r="A46" s="7">
        <v>20305</v>
      </c>
      <c r="B46" s="7" t="s">
        <v>76</v>
      </c>
      <c r="C46" s="7">
        <v>0</v>
      </c>
      <c r="D46" s="47">
        <v>3327.25</v>
      </c>
      <c r="E46" s="48">
        <f t="shared" si="0"/>
        <v>0</v>
      </c>
      <c r="F46" s="7">
        <v>0</v>
      </c>
      <c r="G46" s="47">
        <v>4221</v>
      </c>
      <c r="H46" s="48">
        <f t="shared" si="1"/>
        <v>0</v>
      </c>
      <c r="N46" s="51"/>
      <c r="Q46" s="51"/>
    </row>
    <row r="47" spans="1:17" ht="14.25">
      <c r="A47" s="7">
        <v>20306</v>
      </c>
      <c r="B47" s="7" t="s">
        <v>77</v>
      </c>
      <c r="C47" s="7">
        <v>0</v>
      </c>
      <c r="D47" s="47">
        <v>5183.416666666667</v>
      </c>
      <c r="E47" s="48">
        <f t="shared" si="0"/>
        <v>0</v>
      </c>
      <c r="F47" s="7">
        <v>0</v>
      </c>
      <c r="G47" s="47">
        <v>6442</v>
      </c>
      <c r="H47" s="48">
        <f t="shared" si="1"/>
        <v>0</v>
      </c>
      <c r="N47" s="51"/>
      <c r="Q47" s="51"/>
    </row>
    <row r="48" spans="1:17" ht="14.25">
      <c r="A48" s="7">
        <v>20307</v>
      </c>
      <c r="B48" s="7" t="s">
        <v>78</v>
      </c>
      <c r="C48" s="7">
        <v>0</v>
      </c>
      <c r="D48" s="7">
        <v>902.58333333333326</v>
      </c>
      <c r="E48" s="48">
        <f t="shared" si="0"/>
        <v>0</v>
      </c>
      <c r="F48" s="7">
        <v>0</v>
      </c>
      <c r="G48" s="47">
        <v>4022</v>
      </c>
      <c r="H48" s="48">
        <f t="shared" si="1"/>
        <v>0</v>
      </c>
      <c r="N48" s="51"/>
      <c r="Q48" s="51"/>
    </row>
    <row r="49" spans="1:17" ht="14.25">
      <c r="A49" s="7">
        <v>20308</v>
      </c>
      <c r="B49" s="7" t="s">
        <v>79</v>
      </c>
      <c r="C49" s="7">
        <v>0</v>
      </c>
      <c r="D49" s="47">
        <v>7351.333333333333</v>
      </c>
      <c r="E49" s="48">
        <f t="shared" si="0"/>
        <v>0</v>
      </c>
      <c r="F49" s="7">
        <v>0</v>
      </c>
      <c r="G49" s="47">
        <v>8037</v>
      </c>
      <c r="H49" s="48">
        <f t="shared" si="1"/>
        <v>0</v>
      </c>
      <c r="N49" s="51"/>
      <c r="Q49" s="51"/>
    </row>
    <row r="50" spans="1:17" ht="14.25">
      <c r="A50" s="7">
        <v>20401</v>
      </c>
      <c r="B50" s="7" t="s">
        <v>80</v>
      </c>
      <c r="C50" s="7">
        <v>0</v>
      </c>
      <c r="D50" s="47">
        <v>11516.833333333334</v>
      </c>
      <c r="E50" s="48">
        <f t="shared" si="0"/>
        <v>0</v>
      </c>
      <c r="F50" s="7">
        <v>0</v>
      </c>
      <c r="G50" s="47">
        <v>14012</v>
      </c>
      <c r="H50" s="48">
        <f t="shared" si="1"/>
        <v>0</v>
      </c>
      <c r="N50" s="51"/>
      <c r="Q50" s="51"/>
    </row>
    <row r="51" spans="1:17" ht="14.25">
      <c r="A51" s="7">
        <v>20402</v>
      </c>
      <c r="B51" s="7" t="s">
        <v>81</v>
      </c>
      <c r="C51" s="7">
        <v>0</v>
      </c>
      <c r="D51" s="47">
        <v>15843.833333333334</v>
      </c>
      <c r="E51" s="48">
        <f t="shared" si="0"/>
        <v>0</v>
      </c>
      <c r="F51" s="7">
        <v>0</v>
      </c>
      <c r="G51" s="47">
        <v>17811</v>
      </c>
      <c r="H51" s="48">
        <f t="shared" si="1"/>
        <v>0</v>
      </c>
      <c r="N51" s="51"/>
      <c r="Q51" s="51"/>
    </row>
    <row r="52" spans="1:17" ht="14.25">
      <c r="A52" s="7">
        <v>20403</v>
      </c>
      <c r="B52" s="7" t="s">
        <v>82</v>
      </c>
      <c r="C52" s="7">
        <v>0</v>
      </c>
      <c r="D52" s="47">
        <v>14817.916666666666</v>
      </c>
      <c r="E52" s="48">
        <f t="shared" si="0"/>
        <v>0</v>
      </c>
      <c r="F52" s="7">
        <v>0</v>
      </c>
      <c r="G52" s="47">
        <v>17336</v>
      </c>
      <c r="H52" s="48">
        <f t="shared" si="1"/>
        <v>0</v>
      </c>
      <c r="N52" s="51"/>
      <c r="Q52" s="51"/>
    </row>
    <row r="53" spans="1:17" ht="14.25">
      <c r="A53" s="7">
        <v>20404</v>
      </c>
      <c r="B53" s="7" t="s">
        <v>84</v>
      </c>
      <c r="C53" s="7">
        <v>0</v>
      </c>
      <c r="D53" s="47">
        <v>5368.333333333333</v>
      </c>
      <c r="E53" s="48">
        <f t="shared" si="0"/>
        <v>0</v>
      </c>
      <c r="F53" s="7">
        <v>0</v>
      </c>
      <c r="G53" s="47">
        <v>5658</v>
      </c>
      <c r="H53" s="48">
        <f t="shared" si="1"/>
        <v>0</v>
      </c>
      <c r="N53" s="51"/>
      <c r="Q53" s="51"/>
    </row>
    <row r="54" spans="1:17" ht="14.25">
      <c r="A54" s="7">
        <v>20405</v>
      </c>
      <c r="B54" s="7" t="s">
        <v>87</v>
      </c>
      <c r="C54" s="7">
        <v>0</v>
      </c>
      <c r="D54" s="47">
        <v>7323.583333333333</v>
      </c>
      <c r="E54" s="48">
        <f t="shared" si="0"/>
        <v>0</v>
      </c>
      <c r="F54" s="7">
        <v>0</v>
      </c>
      <c r="G54" s="47">
        <v>8837</v>
      </c>
      <c r="H54" s="48">
        <f t="shared" si="1"/>
        <v>0</v>
      </c>
      <c r="N54" s="51"/>
      <c r="Q54" s="51"/>
    </row>
    <row r="55" spans="1:17" ht="14.25">
      <c r="A55" s="7">
        <v>20501</v>
      </c>
      <c r="B55" s="7" t="s">
        <v>88</v>
      </c>
      <c r="C55" s="7">
        <v>0</v>
      </c>
      <c r="D55" s="47">
        <v>12002.75</v>
      </c>
      <c r="E55" s="48">
        <f t="shared" si="0"/>
        <v>0</v>
      </c>
      <c r="F55" s="7">
        <v>0</v>
      </c>
      <c r="G55" s="47">
        <v>17830</v>
      </c>
      <c r="H55" s="48">
        <f t="shared" si="1"/>
        <v>0</v>
      </c>
      <c r="N55" s="51"/>
      <c r="Q55" s="51"/>
    </row>
    <row r="56" spans="1:17" ht="14.25">
      <c r="A56" s="7">
        <v>20502</v>
      </c>
      <c r="B56" s="7" t="s">
        <v>89</v>
      </c>
      <c r="C56" s="7">
        <v>0</v>
      </c>
      <c r="D56" s="47">
        <v>8461.5833333333339</v>
      </c>
      <c r="E56" s="48">
        <f t="shared" si="0"/>
        <v>0</v>
      </c>
      <c r="F56" s="7">
        <v>0</v>
      </c>
      <c r="G56" s="47">
        <v>9029</v>
      </c>
      <c r="H56" s="48">
        <f t="shared" si="1"/>
        <v>0</v>
      </c>
      <c r="N56" s="51"/>
      <c r="Q56" s="51"/>
    </row>
    <row r="57" spans="1:17" ht="14.25">
      <c r="A57" s="7">
        <v>20503</v>
      </c>
      <c r="B57" s="7" t="s">
        <v>90</v>
      </c>
      <c r="C57" s="7">
        <v>0</v>
      </c>
      <c r="D57" s="47">
        <v>5597.166666666667</v>
      </c>
      <c r="E57" s="48">
        <f t="shared" si="0"/>
        <v>0</v>
      </c>
      <c r="F57" s="7">
        <v>0</v>
      </c>
      <c r="G57" s="47">
        <v>6721</v>
      </c>
      <c r="H57" s="48">
        <f t="shared" si="1"/>
        <v>0</v>
      </c>
      <c r="N57" s="51"/>
      <c r="Q57" s="51"/>
    </row>
    <row r="58" spans="1:17" ht="14.25">
      <c r="A58" s="7">
        <v>20601</v>
      </c>
      <c r="B58" s="7" t="s">
        <v>91</v>
      </c>
      <c r="C58" s="7">
        <v>0</v>
      </c>
      <c r="D58" s="47">
        <v>24059.583333333332</v>
      </c>
      <c r="E58" s="48">
        <f t="shared" si="0"/>
        <v>0</v>
      </c>
      <c r="F58" s="7">
        <v>0</v>
      </c>
      <c r="G58" s="47">
        <v>30083</v>
      </c>
      <c r="H58" s="48">
        <f t="shared" si="1"/>
        <v>0</v>
      </c>
      <c r="N58" s="51"/>
      <c r="Q58" s="51"/>
    </row>
    <row r="59" spans="1:17" ht="14.25">
      <c r="A59" s="7">
        <v>20602</v>
      </c>
      <c r="B59" s="7" t="s">
        <v>92</v>
      </c>
      <c r="C59" s="7">
        <v>0</v>
      </c>
      <c r="D59" s="47">
        <v>14921.166666666666</v>
      </c>
      <c r="E59" s="48">
        <f t="shared" si="0"/>
        <v>0</v>
      </c>
      <c r="F59" s="7">
        <v>0</v>
      </c>
      <c r="G59" s="47">
        <v>16386</v>
      </c>
      <c r="H59" s="48">
        <f t="shared" si="1"/>
        <v>0</v>
      </c>
      <c r="N59" s="51"/>
      <c r="Q59" s="51"/>
    </row>
    <row r="60" spans="1:17" ht="14.25">
      <c r="A60" s="7">
        <v>20603</v>
      </c>
      <c r="B60" s="7" t="s">
        <v>93</v>
      </c>
      <c r="C60" s="7">
        <v>0</v>
      </c>
      <c r="D60" s="47">
        <v>8313.5833333333339</v>
      </c>
      <c r="E60" s="48">
        <f t="shared" si="0"/>
        <v>0</v>
      </c>
      <c r="F60" s="7">
        <v>0</v>
      </c>
      <c r="G60" s="47">
        <v>9761</v>
      </c>
      <c r="H60" s="48">
        <f t="shared" si="1"/>
        <v>0</v>
      </c>
      <c r="N60" s="51"/>
      <c r="Q60" s="51"/>
    </row>
    <row r="61" spans="1:17" ht="14.25">
      <c r="A61" s="7">
        <v>20604</v>
      </c>
      <c r="B61" s="7" t="s">
        <v>95</v>
      </c>
      <c r="C61" s="7">
        <v>0</v>
      </c>
      <c r="D61" s="47">
        <v>2812.3333333333335</v>
      </c>
      <c r="E61" s="48">
        <f t="shared" si="0"/>
        <v>0</v>
      </c>
      <c r="F61" s="7">
        <v>0</v>
      </c>
      <c r="G61" s="47">
        <v>4224</v>
      </c>
      <c r="H61" s="48">
        <f t="shared" si="1"/>
        <v>0</v>
      </c>
      <c r="N61" s="51"/>
      <c r="Q61" s="51"/>
    </row>
    <row r="62" spans="1:17" ht="14.25">
      <c r="A62" s="7">
        <v>20605</v>
      </c>
      <c r="B62" s="7" t="s">
        <v>98</v>
      </c>
      <c r="C62" s="7">
        <v>0</v>
      </c>
      <c r="D62" s="47">
        <v>3714.1666666666665</v>
      </c>
      <c r="E62" s="48">
        <f t="shared" si="0"/>
        <v>0</v>
      </c>
      <c r="F62" s="7">
        <v>0</v>
      </c>
      <c r="G62" s="47">
        <v>3529</v>
      </c>
      <c r="H62" s="48">
        <f t="shared" si="1"/>
        <v>0</v>
      </c>
      <c r="N62" s="51"/>
      <c r="Q62" s="51"/>
    </row>
    <row r="63" spans="1:17" ht="14.25">
      <c r="A63" s="7">
        <v>20606</v>
      </c>
      <c r="B63" s="7" t="s">
        <v>99</v>
      </c>
      <c r="C63" s="7">
        <v>0</v>
      </c>
      <c r="D63" s="47">
        <v>9795.9166666666661</v>
      </c>
      <c r="E63" s="48">
        <f t="shared" si="0"/>
        <v>0</v>
      </c>
      <c r="F63" s="7">
        <v>0</v>
      </c>
      <c r="G63" s="47">
        <v>7716</v>
      </c>
      <c r="H63" s="48">
        <f t="shared" si="1"/>
        <v>0</v>
      </c>
      <c r="N63" s="51"/>
      <c r="Q63" s="51"/>
    </row>
    <row r="64" spans="1:17" ht="14.25">
      <c r="A64" s="7">
        <v>20607</v>
      </c>
      <c r="B64" s="7" t="s">
        <v>100</v>
      </c>
      <c r="C64" s="7">
        <v>0</v>
      </c>
      <c r="D64" s="47">
        <v>14553.666666666666</v>
      </c>
      <c r="E64" s="48">
        <f t="shared" si="0"/>
        <v>0</v>
      </c>
      <c r="F64" s="7">
        <v>0</v>
      </c>
      <c r="G64" s="47">
        <v>21843</v>
      </c>
      <c r="H64" s="48">
        <f t="shared" si="1"/>
        <v>0</v>
      </c>
      <c r="N64" s="51"/>
      <c r="Q64" s="51"/>
    </row>
    <row r="65" spans="1:17" ht="14.25">
      <c r="A65" s="7">
        <v>20608</v>
      </c>
      <c r="B65" s="7" t="s">
        <v>101</v>
      </c>
      <c r="C65" s="7">
        <v>0</v>
      </c>
      <c r="D65" s="47">
        <v>9684.8333333333339</v>
      </c>
      <c r="E65" s="48">
        <f t="shared" si="0"/>
        <v>0</v>
      </c>
      <c r="F65" s="7">
        <v>0</v>
      </c>
      <c r="G65" s="47">
        <v>13379</v>
      </c>
      <c r="H65" s="48">
        <f t="shared" si="1"/>
        <v>0</v>
      </c>
      <c r="N65" s="51"/>
      <c r="Q65" s="51"/>
    </row>
    <row r="66" spans="1:17" ht="14.25">
      <c r="A66" s="7">
        <v>20701</v>
      </c>
      <c r="B66" s="7" t="s">
        <v>102</v>
      </c>
      <c r="C66" s="7">
        <v>0</v>
      </c>
      <c r="D66" s="47">
        <v>20212</v>
      </c>
      <c r="E66" s="48">
        <f t="shared" si="0"/>
        <v>0</v>
      </c>
      <c r="F66" s="7">
        <v>0</v>
      </c>
      <c r="G66" s="47">
        <v>19156</v>
      </c>
      <c r="H66" s="48">
        <f t="shared" si="1"/>
        <v>0</v>
      </c>
      <c r="N66" s="51"/>
      <c r="Q66" s="51"/>
    </row>
    <row r="67" spans="1:17" ht="14.25">
      <c r="A67" s="7">
        <v>20702</v>
      </c>
      <c r="B67" s="7" t="s">
        <v>103</v>
      </c>
      <c r="C67" s="7">
        <v>0</v>
      </c>
      <c r="D67" s="47">
        <v>6970</v>
      </c>
      <c r="E67" s="48">
        <f t="shared" si="0"/>
        <v>0</v>
      </c>
      <c r="F67" s="7">
        <v>0</v>
      </c>
      <c r="G67" s="47">
        <v>9060</v>
      </c>
      <c r="H67" s="48">
        <f t="shared" si="1"/>
        <v>0</v>
      </c>
      <c r="N67" s="51"/>
      <c r="Q67" s="51"/>
    </row>
    <row r="68" spans="1:17" ht="14.25">
      <c r="A68" s="7">
        <v>20801</v>
      </c>
      <c r="B68" s="7" t="s">
        <v>104</v>
      </c>
      <c r="C68" s="7">
        <v>0</v>
      </c>
      <c r="D68" s="47">
        <v>83459.833333333328</v>
      </c>
      <c r="E68" s="48">
        <f t="shared" si="0"/>
        <v>0</v>
      </c>
      <c r="F68" s="7">
        <v>117.07</v>
      </c>
      <c r="G68" s="47">
        <v>113554</v>
      </c>
      <c r="H68" s="48">
        <f t="shared" si="1"/>
        <v>13293766.779999999</v>
      </c>
      <c r="N68" s="51"/>
      <c r="Q68" s="51"/>
    </row>
    <row r="69" spans="1:17" ht="14.25">
      <c r="A69" s="7">
        <v>20802</v>
      </c>
      <c r="B69" s="7" t="s">
        <v>105</v>
      </c>
      <c r="C69" s="7">
        <v>0</v>
      </c>
      <c r="D69" s="47">
        <v>7387.5</v>
      </c>
      <c r="E69" s="48">
        <f t="shared" si="0"/>
        <v>0</v>
      </c>
      <c r="F69" s="7">
        <v>0</v>
      </c>
      <c r="G69" s="47">
        <v>8592</v>
      </c>
      <c r="H69" s="48">
        <f t="shared" si="1"/>
        <v>0</v>
      </c>
      <c r="N69" s="51"/>
      <c r="Q69" s="51"/>
    </row>
    <row r="70" spans="1:17" ht="14.25">
      <c r="A70" s="7">
        <v>20803</v>
      </c>
      <c r="B70" s="7" t="s">
        <v>108</v>
      </c>
      <c r="C70" s="7">
        <v>0</v>
      </c>
      <c r="D70" s="47">
        <v>12310.583333333334</v>
      </c>
      <c r="E70" s="48">
        <f t="shared" si="0"/>
        <v>0</v>
      </c>
      <c r="F70" s="7">
        <v>0</v>
      </c>
      <c r="G70" s="47">
        <v>13648</v>
      </c>
      <c r="H70" s="48">
        <f t="shared" si="1"/>
        <v>0</v>
      </c>
      <c r="N70" s="51"/>
      <c r="Q70" s="51"/>
    </row>
    <row r="71" spans="1:17" ht="14.25">
      <c r="A71" s="7">
        <v>20804</v>
      </c>
      <c r="B71" s="7" t="s">
        <v>110</v>
      </c>
      <c r="C71" s="7">
        <v>0</v>
      </c>
      <c r="D71" s="47">
        <v>7062.833333333333</v>
      </c>
      <c r="E71" s="48">
        <f t="shared" si="0"/>
        <v>0</v>
      </c>
      <c r="F71" s="7">
        <v>0</v>
      </c>
      <c r="G71" s="47">
        <v>7897</v>
      </c>
      <c r="H71" s="48">
        <f t="shared" si="1"/>
        <v>0</v>
      </c>
      <c r="N71" s="51"/>
      <c r="Q71" s="51"/>
    </row>
    <row r="72" spans="1:17" ht="14.25">
      <c r="A72" s="7">
        <v>20805</v>
      </c>
      <c r="B72" s="7" t="s">
        <v>112</v>
      </c>
      <c r="C72" s="7">
        <v>0</v>
      </c>
      <c r="D72" s="47">
        <v>6294.25</v>
      </c>
      <c r="E72" s="48">
        <f t="shared" si="0"/>
        <v>0</v>
      </c>
      <c r="F72" s="7">
        <v>0</v>
      </c>
      <c r="G72" s="47">
        <v>7936</v>
      </c>
      <c r="H72" s="48">
        <f t="shared" si="1"/>
        <v>0</v>
      </c>
      <c r="N72" s="51"/>
      <c r="Q72" s="51"/>
    </row>
    <row r="73" spans="1:17" ht="14.25">
      <c r="A73" s="7">
        <v>20806</v>
      </c>
      <c r="B73" s="7" t="s">
        <v>114</v>
      </c>
      <c r="C73" s="7">
        <v>0</v>
      </c>
      <c r="D73" s="47">
        <v>15203.75</v>
      </c>
      <c r="E73" s="48">
        <f t="shared" si="0"/>
        <v>0</v>
      </c>
      <c r="F73" s="7">
        <v>0</v>
      </c>
      <c r="G73" s="47">
        <v>17016</v>
      </c>
      <c r="H73" s="48">
        <f t="shared" si="1"/>
        <v>0</v>
      </c>
      <c r="N73" s="51"/>
      <c r="Q73" s="51"/>
    </row>
    <row r="74" spans="1:17" ht="14.25">
      <c r="A74" s="7">
        <v>20807</v>
      </c>
      <c r="B74" s="7" t="s">
        <v>116</v>
      </c>
      <c r="C74" s="7">
        <v>0</v>
      </c>
      <c r="D74" s="47">
        <v>6681.083333333333</v>
      </c>
      <c r="E74" s="48">
        <f t="shared" si="0"/>
        <v>0</v>
      </c>
      <c r="F74" s="7">
        <v>0</v>
      </c>
      <c r="G74" s="47">
        <v>7540</v>
      </c>
      <c r="H74" s="48">
        <f t="shared" si="1"/>
        <v>0</v>
      </c>
      <c r="N74" s="51"/>
      <c r="Q74" s="51"/>
    </row>
    <row r="75" spans="1:17" ht="14.25">
      <c r="A75" s="7">
        <v>20901</v>
      </c>
      <c r="B75" s="7" t="s">
        <v>118</v>
      </c>
      <c r="C75" s="7">
        <v>0</v>
      </c>
      <c r="D75" s="47">
        <v>11102.666666666666</v>
      </c>
      <c r="E75" s="48">
        <f t="shared" si="0"/>
        <v>0</v>
      </c>
      <c r="F75" s="7">
        <v>0</v>
      </c>
      <c r="G75" s="47">
        <v>10703</v>
      </c>
      <c r="H75" s="48">
        <f t="shared" si="1"/>
        <v>0</v>
      </c>
      <c r="N75" s="51"/>
      <c r="Q75" s="51"/>
    </row>
    <row r="76" spans="1:17" ht="14.25">
      <c r="A76" s="7">
        <v>20902</v>
      </c>
      <c r="B76" s="7" t="s">
        <v>120</v>
      </c>
      <c r="C76" s="7">
        <v>0</v>
      </c>
      <c r="D76" s="47">
        <v>12818.416666666666</v>
      </c>
      <c r="E76" s="48">
        <f t="shared" si="0"/>
        <v>0</v>
      </c>
      <c r="F76" s="7">
        <v>0</v>
      </c>
      <c r="G76" s="47">
        <v>16497</v>
      </c>
      <c r="H76" s="48">
        <f t="shared" si="1"/>
        <v>0</v>
      </c>
      <c r="N76" s="51"/>
      <c r="Q76" s="51"/>
    </row>
    <row r="77" spans="1:17" ht="14.25">
      <c r="A77" s="7">
        <v>20903</v>
      </c>
      <c r="B77" s="7" t="s">
        <v>122</v>
      </c>
      <c r="C77" s="7">
        <v>0</v>
      </c>
      <c r="D77" s="47">
        <v>7730.083333333333</v>
      </c>
      <c r="E77" s="48">
        <f t="shared" si="0"/>
        <v>0</v>
      </c>
      <c r="F77" s="7">
        <v>0</v>
      </c>
      <c r="G77" s="47">
        <v>12296</v>
      </c>
      <c r="H77" s="48">
        <f t="shared" si="1"/>
        <v>0</v>
      </c>
      <c r="N77" s="51"/>
      <c r="Q77" s="51"/>
    </row>
    <row r="78" spans="1:17" ht="14.25">
      <c r="A78" s="7">
        <v>20904</v>
      </c>
      <c r="B78" s="7" t="s">
        <v>124</v>
      </c>
      <c r="C78" s="7">
        <v>0</v>
      </c>
      <c r="D78" s="47">
        <v>5189.75</v>
      </c>
      <c r="E78" s="48">
        <f t="shared" si="0"/>
        <v>0</v>
      </c>
      <c r="F78" s="7">
        <v>0</v>
      </c>
      <c r="G78" s="47">
        <v>5297</v>
      </c>
      <c r="H78" s="48">
        <f t="shared" si="1"/>
        <v>0</v>
      </c>
      <c r="N78" s="51"/>
      <c r="Q78" s="51"/>
    </row>
    <row r="79" spans="1:17" ht="14.25">
      <c r="A79" s="7">
        <v>20905</v>
      </c>
      <c r="B79" s="7" t="s">
        <v>126</v>
      </c>
      <c r="C79" s="7">
        <v>0</v>
      </c>
      <c r="D79" s="47">
        <v>11541.916666666666</v>
      </c>
      <c r="E79" s="48">
        <f t="shared" si="0"/>
        <v>0</v>
      </c>
      <c r="F79" s="7">
        <v>0</v>
      </c>
      <c r="G79" s="47">
        <v>13598</v>
      </c>
      <c r="H79" s="48">
        <f t="shared" si="1"/>
        <v>0</v>
      </c>
      <c r="N79" s="51"/>
      <c r="Q79" s="51"/>
    </row>
    <row r="80" spans="1:17" ht="14.25">
      <c r="A80" s="7">
        <v>21001</v>
      </c>
      <c r="B80" s="7" t="s">
        <v>128</v>
      </c>
      <c r="C80" s="7">
        <v>0</v>
      </c>
      <c r="D80" s="47">
        <v>15047.166666666666</v>
      </c>
      <c r="E80" s="48">
        <f t="shared" si="0"/>
        <v>0</v>
      </c>
      <c r="F80" s="7">
        <v>0</v>
      </c>
      <c r="G80" s="47">
        <v>18679</v>
      </c>
      <c r="H80" s="48">
        <f t="shared" si="1"/>
        <v>0</v>
      </c>
      <c r="N80" s="51"/>
      <c r="Q80" s="51"/>
    </row>
    <row r="81" spans="1:17" ht="14.25">
      <c r="A81" s="7">
        <v>21002</v>
      </c>
      <c r="B81" s="7" t="s">
        <v>129</v>
      </c>
      <c r="C81" s="7">
        <v>0</v>
      </c>
      <c r="D81" s="47">
        <v>8484.4166666666661</v>
      </c>
      <c r="E81" s="48">
        <f t="shared" si="0"/>
        <v>0</v>
      </c>
      <c r="F81" s="7">
        <v>0</v>
      </c>
      <c r="G81" s="47">
        <v>10887</v>
      </c>
      <c r="H81" s="48">
        <f t="shared" si="1"/>
        <v>0</v>
      </c>
      <c r="N81" s="51"/>
      <c r="Q81" s="51"/>
    </row>
    <row r="82" spans="1:17" ht="14.25">
      <c r="A82" s="7">
        <v>21003</v>
      </c>
      <c r="B82" s="7" t="s">
        <v>130</v>
      </c>
      <c r="C82" s="7">
        <v>0</v>
      </c>
      <c r="D82" s="47">
        <v>10883.583333333334</v>
      </c>
      <c r="E82" s="48">
        <f t="shared" si="0"/>
        <v>0</v>
      </c>
      <c r="F82" s="7">
        <v>0</v>
      </c>
      <c r="G82" s="47">
        <v>15565</v>
      </c>
      <c r="H82" s="48">
        <f t="shared" si="1"/>
        <v>0</v>
      </c>
      <c r="N82" s="51"/>
      <c r="Q82" s="51"/>
    </row>
    <row r="83" spans="1:17" ht="14.25">
      <c r="A83" s="7">
        <v>21004</v>
      </c>
      <c r="B83" s="7" t="s">
        <v>131</v>
      </c>
      <c r="C83" s="7">
        <v>0</v>
      </c>
      <c r="D83" s="47">
        <v>19943.75</v>
      </c>
      <c r="E83" s="48">
        <f t="shared" si="0"/>
        <v>0</v>
      </c>
      <c r="F83" s="7">
        <v>0</v>
      </c>
      <c r="G83" s="47">
        <v>23505</v>
      </c>
      <c r="H83" s="48">
        <f t="shared" si="1"/>
        <v>0</v>
      </c>
      <c r="N83" s="51"/>
      <c r="Q83" s="51"/>
    </row>
    <row r="84" spans="1:17" ht="14.25">
      <c r="A84" s="7">
        <v>21005</v>
      </c>
      <c r="B84" s="7" t="s">
        <v>132</v>
      </c>
      <c r="C84" s="7">
        <v>0</v>
      </c>
      <c r="D84" s="47">
        <v>8049.583333333333</v>
      </c>
      <c r="E84" s="48">
        <f t="shared" si="0"/>
        <v>0</v>
      </c>
      <c r="F84" s="7">
        <v>0</v>
      </c>
      <c r="G84" s="47">
        <v>9552</v>
      </c>
      <c r="H84" s="48">
        <f t="shared" si="1"/>
        <v>0</v>
      </c>
      <c r="N84" s="51"/>
      <c r="Q84" s="51"/>
    </row>
    <row r="85" spans="1:17" ht="14.25">
      <c r="A85" s="7">
        <v>21006</v>
      </c>
      <c r="B85" s="7" t="s">
        <v>133</v>
      </c>
      <c r="C85" s="7">
        <v>0</v>
      </c>
      <c r="D85" s="47">
        <v>5687.083333333333</v>
      </c>
      <c r="E85" s="48">
        <f t="shared" si="0"/>
        <v>0</v>
      </c>
      <c r="F85" s="7">
        <v>0</v>
      </c>
      <c r="G85" s="47">
        <v>7877</v>
      </c>
      <c r="H85" s="48">
        <f t="shared" si="1"/>
        <v>0</v>
      </c>
      <c r="N85" s="51"/>
      <c r="Q85" s="51"/>
    </row>
    <row r="86" spans="1:17" ht="14.25">
      <c r="A86" s="7">
        <v>21101</v>
      </c>
      <c r="B86" s="7" t="s">
        <v>134</v>
      </c>
      <c r="C86" s="7">
        <v>0</v>
      </c>
      <c r="D86" s="47">
        <v>17863</v>
      </c>
      <c r="E86" s="48">
        <f t="shared" si="0"/>
        <v>0</v>
      </c>
      <c r="F86" s="7">
        <v>0</v>
      </c>
      <c r="G86" s="47">
        <v>18303</v>
      </c>
      <c r="H86" s="48">
        <f t="shared" si="1"/>
        <v>0</v>
      </c>
      <c r="N86" s="51"/>
      <c r="Q86" s="51"/>
    </row>
    <row r="87" spans="1:17" ht="14.25">
      <c r="A87" s="7">
        <v>21102</v>
      </c>
      <c r="B87" s="7" t="s">
        <v>135</v>
      </c>
      <c r="C87" s="7">
        <v>0</v>
      </c>
      <c r="D87" s="47">
        <v>17776.25</v>
      </c>
      <c r="E87" s="48">
        <f t="shared" si="0"/>
        <v>0</v>
      </c>
      <c r="F87" s="7">
        <v>0</v>
      </c>
      <c r="G87" s="47">
        <v>23279</v>
      </c>
      <c r="H87" s="48">
        <f t="shared" si="1"/>
        <v>0</v>
      </c>
      <c r="N87" s="51"/>
      <c r="Q87" s="51"/>
    </row>
    <row r="88" spans="1:17" ht="14.25">
      <c r="A88" s="7">
        <v>21103</v>
      </c>
      <c r="B88" s="7" t="s">
        <v>136</v>
      </c>
      <c r="C88" s="7">
        <v>0</v>
      </c>
      <c r="D88" s="47">
        <v>6519.583333333333</v>
      </c>
      <c r="E88" s="48">
        <f t="shared" si="0"/>
        <v>0</v>
      </c>
      <c r="F88" s="7">
        <v>0</v>
      </c>
      <c r="G88" s="47">
        <v>7615</v>
      </c>
      <c r="H88" s="48">
        <f t="shared" si="1"/>
        <v>0</v>
      </c>
      <c r="N88" s="51"/>
      <c r="Q88" s="51"/>
    </row>
    <row r="89" spans="1:17" ht="14.25">
      <c r="A89" s="7">
        <v>21104</v>
      </c>
      <c r="B89" s="7" t="s">
        <v>137</v>
      </c>
      <c r="C89" s="7">
        <v>0</v>
      </c>
      <c r="D89" s="47">
        <v>24931.5</v>
      </c>
      <c r="E89" s="48">
        <f t="shared" si="0"/>
        <v>0</v>
      </c>
      <c r="F89" s="7">
        <v>0</v>
      </c>
      <c r="G89" s="47">
        <v>27137</v>
      </c>
      <c r="H89" s="48">
        <f t="shared" si="1"/>
        <v>0</v>
      </c>
      <c r="N89" s="51"/>
      <c r="Q89" s="51"/>
    </row>
    <row r="90" spans="1:17" ht="14.25">
      <c r="A90" s="7">
        <v>21105</v>
      </c>
      <c r="B90" s="7" t="s">
        <v>138</v>
      </c>
      <c r="C90" s="7">
        <v>0</v>
      </c>
      <c r="D90" s="47">
        <v>40628.75</v>
      </c>
      <c r="E90" s="48">
        <f t="shared" si="0"/>
        <v>0</v>
      </c>
      <c r="F90" s="7">
        <v>0</v>
      </c>
      <c r="G90" s="47">
        <v>45587</v>
      </c>
      <c r="H90" s="48">
        <f t="shared" si="1"/>
        <v>0</v>
      </c>
      <c r="N90" s="51"/>
      <c r="Q90" s="51"/>
    </row>
    <row r="91" spans="1:17" ht="14.25">
      <c r="A91" s="7">
        <v>21201</v>
      </c>
      <c r="B91" s="7" t="s">
        <v>139</v>
      </c>
      <c r="C91" s="7">
        <v>0</v>
      </c>
      <c r="D91" s="47">
        <v>31767.833333333332</v>
      </c>
      <c r="E91" s="48">
        <f t="shared" si="0"/>
        <v>0</v>
      </c>
      <c r="F91" s="7">
        <v>0</v>
      </c>
      <c r="G91" s="47">
        <v>49850</v>
      </c>
      <c r="H91" s="48">
        <f t="shared" si="1"/>
        <v>0</v>
      </c>
      <c r="N91" s="51"/>
      <c r="Q91" s="51"/>
    </row>
    <row r="92" spans="1:17" ht="14.25">
      <c r="A92" s="7">
        <v>21202</v>
      </c>
      <c r="B92" s="7" t="s">
        <v>140</v>
      </c>
      <c r="C92" s="7">
        <v>0</v>
      </c>
      <c r="D92" s="47">
        <v>25707.75</v>
      </c>
      <c r="E92" s="48">
        <f t="shared" si="0"/>
        <v>0</v>
      </c>
      <c r="F92" s="7">
        <v>0</v>
      </c>
      <c r="G92" s="47">
        <v>38652</v>
      </c>
      <c r="H92" s="48">
        <f t="shared" si="1"/>
        <v>0</v>
      </c>
      <c r="N92" s="51"/>
      <c r="Q92" s="51"/>
    </row>
    <row r="93" spans="1:17" ht="14.25">
      <c r="A93" s="7">
        <v>21203</v>
      </c>
      <c r="B93" s="7" t="s">
        <v>141</v>
      </c>
      <c r="C93" s="7">
        <v>0</v>
      </c>
      <c r="D93" s="47">
        <v>17691.083333333332</v>
      </c>
      <c r="E93" s="48">
        <f t="shared" si="0"/>
        <v>0</v>
      </c>
      <c r="F93" s="7">
        <v>0</v>
      </c>
      <c r="G93" s="47">
        <v>20607</v>
      </c>
      <c r="H93" s="48">
        <f t="shared" si="1"/>
        <v>0</v>
      </c>
      <c r="N93" s="51"/>
      <c r="Q93" s="51"/>
    </row>
    <row r="94" spans="1:17" ht="14.25">
      <c r="A94" s="7">
        <v>21204</v>
      </c>
      <c r="B94" s="7" t="s">
        <v>142</v>
      </c>
      <c r="C94" s="7">
        <v>0</v>
      </c>
      <c r="D94" s="47">
        <v>6614.833333333333</v>
      </c>
      <c r="E94" s="48">
        <f t="shared" si="0"/>
        <v>0</v>
      </c>
      <c r="F94" s="7">
        <v>0</v>
      </c>
      <c r="G94" s="47">
        <v>7900</v>
      </c>
      <c r="H94" s="48">
        <f t="shared" si="1"/>
        <v>0</v>
      </c>
      <c r="N94" s="51"/>
      <c r="Q94" s="51"/>
    </row>
    <row r="95" spans="1:17" ht="14.25">
      <c r="A95" s="7">
        <v>21301</v>
      </c>
      <c r="B95" s="7" t="s">
        <v>143</v>
      </c>
      <c r="C95" s="7">
        <v>0</v>
      </c>
      <c r="D95" s="47">
        <v>31526.416666666668</v>
      </c>
      <c r="E95" s="48">
        <f t="shared" si="0"/>
        <v>0</v>
      </c>
      <c r="F95" s="7">
        <v>0</v>
      </c>
      <c r="G95" s="47">
        <v>33885</v>
      </c>
      <c r="H95" s="48">
        <f t="shared" si="1"/>
        <v>0</v>
      </c>
      <c r="N95" s="51"/>
      <c r="Q95" s="51"/>
    </row>
    <row r="96" spans="1:17" ht="14.25">
      <c r="A96" s="7">
        <v>21302</v>
      </c>
      <c r="B96" s="7" t="s">
        <v>144</v>
      </c>
      <c r="C96" s="7">
        <v>0</v>
      </c>
      <c r="D96" s="47">
        <v>8919.5833333333339</v>
      </c>
      <c r="E96" s="48">
        <f t="shared" si="0"/>
        <v>0</v>
      </c>
      <c r="F96" s="7">
        <v>0</v>
      </c>
      <c r="G96" s="47">
        <v>9102</v>
      </c>
      <c r="H96" s="48">
        <f t="shared" si="1"/>
        <v>0</v>
      </c>
      <c r="N96" s="51"/>
      <c r="Q96" s="51"/>
    </row>
    <row r="97" spans="1:17" ht="14.25">
      <c r="A97" s="7">
        <v>21303</v>
      </c>
      <c r="B97" s="7" t="s">
        <v>145</v>
      </c>
      <c r="C97" s="7">
        <v>0</v>
      </c>
      <c r="D97" s="47">
        <v>8086.333333333333</v>
      </c>
      <c r="E97" s="48">
        <f t="shared" si="0"/>
        <v>0</v>
      </c>
      <c r="F97" s="7">
        <v>0</v>
      </c>
      <c r="G97" s="47">
        <v>11258</v>
      </c>
      <c r="H97" s="48">
        <f t="shared" si="1"/>
        <v>0</v>
      </c>
      <c r="N97" s="51"/>
      <c r="Q97" s="51"/>
    </row>
    <row r="98" spans="1:17" ht="14.25">
      <c r="A98" s="7">
        <v>21304</v>
      </c>
      <c r="B98" s="7" t="s">
        <v>146</v>
      </c>
      <c r="C98" s="7">
        <v>0</v>
      </c>
      <c r="D98" s="47">
        <v>12655.833333333334</v>
      </c>
      <c r="E98" s="48">
        <f t="shared" si="0"/>
        <v>0</v>
      </c>
      <c r="F98" s="7">
        <v>0</v>
      </c>
      <c r="G98" s="47">
        <v>15327</v>
      </c>
      <c r="H98" s="48">
        <f t="shared" si="1"/>
        <v>0</v>
      </c>
      <c r="N98" s="51"/>
      <c r="Q98" s="51"/>
    </row>
    <row r="99" spans="1:17" ht="14.25">
      <c r="A99" s="7">
        <v>21305</v>
      </c>
      <c r="B99" s="7" t="s">
        <v>147</v>
      </c>
      <c r="C99" s="7">
        <v>0</v>
      </c>
      <c r="D99" s="47">
        <v>23048.833333333332</v>
      </c>
      <c r="E99" s="48">
        <f t="shared" si="0"/>
        <v>0</v>
      </c>
      <c r="F99" s="7">
        <v>0</v>
      </c>
      <c r="G99" s="47">
        <v>25148</v>
      </c>
      <c r="H99" s="48">
        <f t="shared" si="1"/>
        <v>0</v>
      </c>
      <c r="N99" s="51"/>
      <c r="Q99" s="51"/>
    </row>
    <row r="100" spans="1:17" ht="14.25">
      <c r="A100" s="7">
        <v>21306</v>
      </c>
      <c r="B100" s="7" t="s">
        <v>148</v>
      </c>
      <c r="C100" s="7">
        <v>0</v>
      </c>
      <c r="D100" s="47">
        <v>10096.583333333334</v>
      </c>
      <c r="E100" s="48">
        <f t="shared" si="0"/>
        <v>0</v>
      </c>
      <c r="F100" s="7">
        <v>0</v>
      </c>
      <c r="G100" s="47">
        <v>12490</v>
      </c>
      <c r="H100" s="48">
        <f t="shared" si="1"/>
        <v>0</v>
      </c>
      <c r="N100" s="51"/>
      <c r="Q100" s="51"/>
    </row>
    <row r="101" spans="1:17" ht="14.25">
      <c r="A101" s="7">
        <v>21307</v>
      </c>
      <c r="B101" s="7" t="s">
        <v>149</v>
      </c>
      <c r="C101" s="7">
        <v>0</v>
      </c>
      <c r="D101" s="47">
        <v>5082.333333333333</v>
      </c>
      <c r="E101" s="48">
        <f t="shared" si="0"/>
        <v>0</v>
      </c>
      <c r="F101" s="7">
        <v>0</v>
      </c>
      <c r="G101" s="47">
        <v>5526</v>
      </c>
      <c r="H101" s="48">
        <f t="shared" si="1"/>
        <v>0</v>
      </c>
      <c r="N101" s="51"/>
      <c r="Q101" s="51"/>
    </row>
    <row r="102" spans="1:17" ht="14.25">
      <c r="A102" s="7">
        <v>21401</v>
      </c>
      <c r="B102" s="7" t="s">
        <v>150</v>
      </c>
      <c r="C102" s="7">
        <v>0</v>
      </c>
      <c r="D102" s="47">
        <v>20089.833333333332</v>
      </c>
      <c r="E102" s="48">
        <f t="shared" si="0"/>
        <v>0</v>
      </c>
      <c r="F102" s="7">
        <v>0</v>
      </c>
      <c r="G102" s="47">
        <v>27711</v>
      </c>
      <c r="H102" s="48">
        <f t="shared" si="1"/>
        <v>0</v>
      </c>
      <c r="N102" s="51"/>
      <c r="Q102" s="51"/>
    </row>
    <row r="103" spans="1:17" ht="14.25">
      <c r="A103" s="7">
        <v>21402</v>
      </c>
      <c r="B103" s="7" t="s">
        <v>151</v>
      </c>
      <c r="C103" s="7">
        <v>0</v>
      </c>
      <c r="D103" s="47">
        <v>17480</v>
      </c>
      <c r="E103" s="48">
        <f t="shared" si="0"/>
        <v>0</v>
      </c>
      <c r="F103" s="7">
        <v>0</v>
      </c>
      <c r="G103" s="47">
        <v>23530</v>
      </c>
      <c r="H103" s="48">
        <f t="shared" si="1"/>
        <v>0</v>
      </c>
      <c r="N103" s="51"/>
      <c r="Q103" s="51"/>
    </row>
    <row r="104" spans="1:17" ht="14.25">
      <c r="A104" s="7">
        <v>21501</v>
      </c>
      <c r="B104" s="7" t="s">
        <v>152</v>
      </c>
      <c r="C104" s="7">
        <v>0</v>
      </c>
      <c r="D104" s="47">
        <v>9631.4166666666661</v>
      </c>
      <c r="E104" s="48">
        <f t="shared" si="0"/>
        <v>0</v>
      </c>
      <c r="F104" s="7">
        <v>0</v>
      </c>
      <c r="G104" s="47">
        <v>12595</v>
      </c>
      <c r="H104" s="48">
        <f t="shared" si="1"/>
        <v>0</v>
      </c>
      <c r="N104" s="51"/>
      <c r="Q104" s="51"/>
    </row>
    <row r="105" spans="1:17" ht="14.25">
      <c r="A105" s="7">
        <v>21502</v>
      </c>
      <c r="B105" s="7" t="s">
        <v>153</v>
      </c>
      <c r="C105" s="7">
        <v>0</v>
      </c>
      <c r="D105" s="47">
        <v>8827.1666666666661</v>
      </c>
      <c r="E105" s="48">
        <f t="shared" si="0"/>
        <v>0</v>
      </c>
      <c r="F105" s="7">
        <v>0</v>
      </c>
      <c r="G105" s="47">
        <v>10105</v>
      </c>
      <c r="H105" s="48">
        <f t="shared" si="1"/>
        <v>0</v>
      </c>
      <c r="N105" s="51"/>
      <c r="Q105" s="51"/>
    </row>
    <row r="106" spans="1:17" ht="14.25">
      <c r="A106" s="7">
        <v>21601</v>
      </c>
      <c r="B106" s="7" t="s">
        <v>154</v>
      </c>
      <c r="C106" s="7">
        <v>0</v>
      </c>
      <c r="D106" s="47">
        <v>13251.333333333334</v>
      </c>
      <c r="E106" s="48">
        <f t="shared" si="0"/>
        <v>0</v>
      </c>
      <c r="F106" s="7">
        <v>0</v>
      </c>
      <c r="G106" s="47">
        <v>15763</v>
      </c>
      <c r="H106" s="48">
        <f t="shared" si="1"/>
        <v>0</v>
      </c>
      <c r="N106" s="51"/>
      <c r="Q106" s="51"/>
    </row>
    <row r="107" spans="1:17" ht="14.25">
      <c r="A107" s="7">
        <v>21602</v>
      </c>
      <c r="B107" s="7" t="s">
        <v>155</v>
      </c>
      <c r="C107" s="7">
        <v>0</v>
      </c>
      <c r="D107" s="47">
        <v>3562.1666666666665</v>
      </c>
      <c r="E107" s="48">
        <f t="shared" si="0"/>
        <v>0</v>
      </c>
      <c r="F107" s="7">
        <v>0</v>
      </c>
      <c r="G107" s="47">
        <v>6611</v>
      </c>
      <c r="H107" s="48">
        <f t="shared" si="1"/>
        <v>0</v>
      </c>
      <c r="N107" s="51"/>
      <c r="Q107" s="51"/>
    </row>
    <row r="108" spans="1:17" ht="14.25">
      <c r="A108" s="7">
        <v>21701</v>
      </c>
      <c r="B108" s="7" t="s">
        <v>156</v>
      </c>
      <c r="C108" s="7">
        <v>0</v>
      </c>
      <c r="D108" s="47">
        <v>15142</v>
      </c>
      <c r="E108" s="48">
        <f t="shared" si="0"/>
        <v>0</v>
      </c>
      <c r="F108" s="7">
        <v>0</v>
      </c>
      <c r="G108" s="47">
        <v>17463</v>
      </c>
      <c r="H108" s="48">
        <f t="shared" si="1"/>
        <v>0</v>
      </c>
      <c r="N108" s="51"/>
      <c r="Q108" s="51"/>
    </row>
    <row r="109" spans="1:17" ht="14.25">
      <c r="A109" s="7">
        <v>21702</v>
      </c>
      <c r="B109" s="7" t="s">
        <v>157</v>
      </c>
      <c r="C109" s="7">
        <v>0</v>
      </c>
      <c r="D109" s="47">
        <v>6311.333333333333</v>
      </c>
      <c r="E109" s="48">
        <f t="shared" si="0"/>
        <v>0</v>
      </c>
      <c r="F109" s="7">
        <v>0</v>
      </c>
      <c r="G109" s="47">
        <v>9164</v>
      </c>
      <c r="H109" s="48">
        <f t="shared" si="1"/>
        <v>0</v>
      </c>
      <c r="N109" s="51"/>
      <c r="Q109" s="51"/>
    </row>
    <row r="110" spans="1:17" ht="14.25">
      <c r="A110" s="7">
        <v>21703</v>
      </c>
      <c r="B110" s="7" t="s">
        <v>158</v>
      </c>
      <c r="C110" s="7">
        <v>0</v>
      </c>
      <c r="D110" s="47">
        <v>6366.333333333333</v>
      </c>
      <c r="E110" s="48">
        <f t="shared" si="0"/>
        <v>0</v>
      </c>
      <c r="F110" s="7">
        <v>0</v>
      </c>
      <c r="G110" s="47">
        <v>7525</v>
      </c>
      <c r="H110" s="48">
        <f t="shared" si="1"/>
        <v>0</v>
      </c>
      <c r="N110" s="51"/>
      <c r="Q110" s="51"/>
    </row>
    <row r="111" spans="1:17" ht="14.25">
      <c r="A111" s="7">
        <v>21801</v>
      </c>
      <c r="B111" s="7" t="s">
        <v>159</v>
      </c>
      <c r="C111" s="7">
        <v>0</v>
      </c>
      <c r="D111" s="47">
        <v>8887.9166666666661</v>
      </c>
      <c r="E111" s="48">
        <f t="shared" si="0"/>
        <v>0</v>
      </c>
      <c r="F111" s="7">
        <v>0</v>
      </c>
      <c r="G111" s="47">
        <v>9217</v>
      </c>
      <c r="H111" s="48">
        <f t="shared" si="1"/>
        <v>0</v>
      </c>
      <c r="N111" s="51"/>
      <c r="Q111" s="51"/>
    </row>
    <row r="112" spans="1:17" ht="14.25">
      <c r="A112" s="7">
        <v>21802</v>
      </c>
      <c r="B112" s="7" t="s">
        <v>160</v>
      </c>
      <c r="C112" s="7">
        <v>0</v>
      </c>
      <c r="D112" s="47">
        <v>6973.5</v>
      </c>
      <c r="E112" s="48">
        <f t="shared" si="0"/>
        <v>0</v>
      </c>
      <c r="F112" s="7">
        <v>0</v>
      </c>
      <c r="G112" s="47">
        <v>6649</v>
      </c>
      <c r="H112" s="48">
        <f t="shared" si="1"/>
        <v>0</v>
      </c>
      <c r="N112" s="51"/>
      <c r="Q112" s="51"/>
    </row>
    <row r="113" spans="1:17" ht="14.25">
      <c r="A113" s="7">
        <v>21803</v>
      </c>
      <c r="B113" s="7" t="s">
        <v>161</v>
      </c>
      <c r="C113" s="7">
        <v>0</v>
      </c>
      <c r="D113" s="47">
        <v>2008</v>
      </c>
      <c r="E113" s="48">
        <f t="shared" si="0"/>
        <v>0</v>
      </c>
      <c r="F113" s="7">
        <v>0</v>
      </c>
      <c r="G113" s="47">
        <v>2052</v>
      </c>
      <c r="H113" s="48">
        <f t="shared" si="1"/>
        <v>0</v>
      </c>
      <c r="N113" s="51"/>
      <c r="Q113" s="51"/>
    </row>
    <row r="114" spans="1:17" ht="14.25">
      <c r="A114" s="7">
        <v>21901</v>
      </c>
      <c r="B114" s="7" t="s">
        <v>162</v>
      </c>
      <c r="C114" s="7">
        <v>0</v>
      </c>
      <c r="D114" s="47">
        <v>4777.333333333333</v>
      </c>
      <c r="E114" s="48">
        <f t="shared" si="0"/>
        <v>0</v>
      </c>
      <c r="F114" s="7">
        <v>0</v>
      </c>
      <c r="G114" s="47">
        <v>6805</v>
      </c>
      <c r="H114" s="48">
        <f t="shared" si="1"/>
        <v>0</v>
      </c>
      <c r="N114" s="51"/>
      <c r="Q114" s="51"/>
    </row>
    <row r="115" spans="1:17" ht="14.25">
      <c r="A115" s="7">
        <v>21902</v>
      </c>
      <c r="B115" s="7" t="s">
        <v>163</v>
      </c>
      <c r="C115" s="7">
        <v>0</v>
      </c>
      <c r="D115" s="47">
        <v>3086.8333333333335</v>
      </c>
      <c r="E115" s="48">
        <f t="shared" si="0"/>
        <v>0</v>
      </c>
      <c r="F115" s="7">
        <v>0</v>
      </c>
      <c r="G115" s="47">
        <v>5351</v>
      </c>
      <c r="H115" s="48">
        <f t="shared" si="1"/>
        <v>0</v>
      </c>
      <c r="N115" s="51"/>
      <c r="Q115" s="51"/>
    </row>
    <row r="116" spans="1:17" ht="14.25">
      <c r="A116" s="7">
        <v>22001</v>
      </c>
      <c r="B116" s="7" t="s">
        <v>164</v>
      </c>
      <c r="C116" s="7">
        <v>0</v>
      </c>
      <c r="D116" s="47">
        <v>51108.833333333336</v>
      </c>
      <c r="E116" s="48">
        <f t="shared" si="0"/>
        <v>0</v>
      </c>
      <c r="F116" s="7">
        <v>0</v>
      </c>
      <c r="G116" s="47">
        <v>59676</v>
      </c>
      <c r="H116" s="48">
        <f t="shared" si="1"/>
        <v>0</v>
      </c>
      <c r="N116" s="51"/>
      <c r="Q116" s="51"/>
    </row>
    <row r="117" spans="1:17" ht="14.25">
      <c r="A117" s="7">
        <v>22002</v>
      </c>
      <c r="B117" s="7" t="s">
        <v>165</v>
      </c>
      <c r="C117" s="7">
        <v>0</v>
      </c>
      <c r="D117" s="47">
        <v>11143.25</v>
      </c>
      <c r="E117" s="48">
        <f t="shared" si="0"/>
        <v>0</v>
      </c>
      <c r="F117" s="7">
        <v>0</v>
      </c>
      <c r="G117" s="47">
        <v>10585</v>
      </c>
      <c r="H117" s="48">
        <f t="shared" si="1"/>
        <v>0</v>
      </c>
      <c r="N117" s="51"/>
      <c r="Q117" s="51"/>
    </row>
    <row r="118" spans="1:17" ht="14.25">
      <c r="A118" s="7">
        <v>30101</v>
      </c>
      <c r="B118" s="7" t="s">
        <v>113</v>
      </c>
      <c r="C118" s="7">
        <v>120.5</v>
      </c>
      <c r="D118" s="47">
        <v>634804</v>
      </c>
      <c r="E118" s="48">
        <f t="shared" si="0"/>
        <v>76493882</v>
      </c>
      <c r="F118" s="7">
        <v>56.02</v>
      </c>
      <c r="G118" s="47">
        <v>665505</v>
      </c>
      <c r="H118" s="48">
        <f t="shared" si="1"/>
        <v>37281590.100000001</v>
      </c>
      <c r="N118" s="51"/>
      <c r="Q118" s="51"/>
    </row>
    <row r="119" spans="1:17" ht="14.25">
      <c r="A119" s="7">
        <v>30201</v>
      </c>
      <c r="B119" s="7" t="s">
        <v>166</v>
      </c>
      <c r="C119" s="7">
        <v>0</v>
      </c>
      <c r="D119" s="47">
        <v>23255</v>
      </c>
      <c r="E119" s="48">
        <f t="shared" si="0"/>
        <v>0</v>
      </c>
      <c r="F119" s="7">
        <v>0</v>
      </c>
      <c r="G119" s="47">
        <v>23123</v>
      </c>
      <c r="H119" s="48">
        <f t="shared" si="1"/>
        <v>0</v>
      </c>
      <c r="N119" s="51"/>
      <c r="Q119" s="51"/>
    </row>
    <row r="120" spans="1:17" ht="14.25">
      <c r="A120" s="7">
        <v>30202</v>
      </c>
      <c r="B120" s="7" t="s">
        <v>167</v>
      </c>
      <c r="C120" s="7">
        <v>0</v>
      </c>
      <c r="D120" s="47">
        <v>6821.5</v>
      </c>
      <c r="E120" s="48">
        <f t="shared" si="0"/>
        <v>0</v>
      </c>
      <c r="F120" s="7">
        <v>0</v>
      </c>
      <c r="G120" s="47">
        <v>6475</v>
      </c>
      <c r="H120" s="48">
        <f t="shared" si="1"/>
        <v>0</v>
      </c>
      <c r="N120" s="51"/>
      <c r="Q120" s="51"/>
    </row>
    <row r="121" spans="1:17" ht="14.25">
      <c r="A121" s="7">
        <v>30203</v>
      </c>
      <c r="B121" s="7" t="s">
        <v>168</v>
      </c>
      <c r="C121" s="7">
        <v>0</v>
      </c>
      <c r="D121" s="47">
        <v>5731.083333333333</v>
      </c>
      <c r="E121" s="48">
        <f t="shared" si="0"/>
        <v>0</v>
      </c>
      <c r="F121" s="7">
        <v>0</v>
      </c>
      <c r="G121" s="47">
        <v>6700</v>
      </c>
      <c r="H121" s="48">
        <f t="shared" si="1"/>
        <v>0</v>
      </c>
      <c r="N121" s="51"/>
      <c r="Q121" s="51"/>
    </row>
    <row r="122" spans="1:17" ht="14.25">
      <c r="A122" s="7">
        <v>30301</v>
      </c>
      <c r="B122" s="7" t="s">
        <v>169</v>
      </c>
      <c r="C122" s="7">
        <v>0</v>
      </c>
      <c r="D122" s="47">
        <v>23504.416666666668</v>
      </c>
      <c r="E122" s="48">
        <f t="shared" si="0"/>
        <v>0</v>
      </c>
      <c r="F122" s="7">
        <v>0</v>
      </c>
      <c r="G122" s="47">
        <v>21815</v>
      </c>
      <c r="H122" s="48">
        <f t="shared" si="1"/>
        <v>0</v>
      </c>
      <c r="N122" s="51"/>
      <c r="Q122" s="51"/>
    </row>
    <row r="123" spans="1:17" ht="14.25">
      <c r="A123" s="7">
        <v>30302</v>
      </c>
      <c r="B123" s="7" t="s">
        <v>170</v>
      </c>
      <c r="C123" s="7">
        <v>0</v>
      </c>
      <c r="D123" s="47">
        <v>12957.25</v>
      </c>
      <c r="E123" s="48">
        <f t="shared" si="0"/>
        <v>0</v>
      </c>
      <c r="F123" s="7">
        <v>0</v>
      </c>
      <c r="G123" s="47">
        <v>14720</v>
      </c>
      <c r="H123" s="48">
        <f t="shared" si="1"/>
        <v>0</v>
      </c>
      <c r="N123" s="51"/>
      <c r="Q123" s="51"/>
    </row>
    <row r="124" spans="1:17" ht="14.25">
      <c r="A124" s="7">
        <v>30303</v>
      </c>
      <c r="B124" s="7" t="s">
        <v>171</v>
      </c>
      <c r="C124" s="7">
        <v>0</v>
      </c>
      <c r="D124" s="47">
        <v>18203.666666666668</v>
      </c>
      <c r="E124" s="48">
        <f t="shared" si="0"/>
        <v>0</v>
      </c>
      <c r="F124" s="7">
        <v>0</v>
      </c>
      <c r="G124" s="47">
        <v>19608</v>
      </c>
      <c r="H124" s="48">
        <f t="shared" si="1"/>
        <v>0</v>
      </c>
      <c r="N124" s="51"/>
      <c r="Q124" s="51"/>
    </row>
    <row r="125" spans="1:17" ht="14.25">
      <c r="A125" s="7">
        <v>30401</v>
      </c>
      <c r="B125" s="7" t="s">
        <v>172</v>
      </c>
      <c r="C125" s="7">
        <v>0</v>
      </c>
      <c r="D125" s="47">
        <v>8494.5833333333339</v>
      </c>
      <c r="E125" s="48">
        <f t="shared" si="0"/>
        <v>0</v>
      </c>
      <c r="F125" s="7">
        <v>0</v>
      </c>
      <c r="G125" s="47">
        <v>11273</v>
      </c>
      <c r="H125" s="48">
        <f t="shared" si="1"/>
        <v>0</v>
      </c>
      <c r="N125" s="51"/>
      <c r="Q125" s="51"/>
    </row>
    <row r="126" spans="1:17" ht="14.25">
      <c r="A126" s="7">
        <v>30402</v>
      </c>
      <c r="B126" s="7" t="s">
        <v>173</v>
      </c>
      <c r="C126" s="7">
        <v>0</v>
      </c>
      <c r="D126" s="47">
        <v>7203.916666666667</v>
      </c>
      <c r="E126" s="48">
        <f t="shared" si="0"/>
        <v>0</v>
      </c>
      <c r="F126" s="7">
        <v>0</v>
      </c>
      <c r="G126" s="47">
        <v>7335</v>
      </c>
      <c r="H126" s="48">
        <f t="shared" si="1"/>
        <v>0</v>
      </c>
      <c r="N126" s="51"/>
      <c r="Q126" s="51"/>
    </row>
    <row r="127" spans="1:17" ht="14.25">
      <c r="A127" s="7">
        <v>30403</v>
      </c>
      <c r="B127" s="7" t="s">
        <v>174</v>
      </c>
      <c r="C127" s="7">
        <v>0</v>
      </c>
      <c r="D127" s="47">
        <v>18439.166666666668</v>
      </c>
      <c r="E127" s="48">
        <f t="shared" si="0"/>
        <v>0</v>
      </c>
      <c r="F127" s="7">
        <v>0</v>
      </c>
      <c r="G127" s="47">
        <v>29375</v>
      </c>
      <c r="H127" s="48">
        <f t="shared" si="1"/>
        <v>0</v>
      </c>
      <c r="N127" s="51"/>
      <c r="Q127" s="51"/>
    </row>
    <row r="128" spans="1:17" ht="14.25">
      <c r="A128" s="7">
        <v>30404</v>
      </c>
      <c r="B128" s="7" t="s">
        <v>175</v>
      </c>
      <c r="C128" s="7">
        <v>0</v>
      </c>
      <c r="D128" s="47">
        <v>4417.75</v>
      </c>
      <c r="E128" s="48">
        <f t="shared" si="0"/>
        <v>0</v>
      </c>
      <c r="F128" s="7">
        <v>0</v>
      </c>
      <c r="G128" s="47">
        <v>4987</v>
      </c>
      <c r="H128" s="48">
        <f t="shared" si="1"/>
        <v>0</v>
      </c>
      <c r="N128" s="51"/>
      <c r="Q128" s="51"/>
    </row>
    <row r="129" spans="1:17" ht="14.25">
      <c r="A129" s="7">
        <v>30501</v>
      </c>
      <c r="B129" s="7" t="s">
        <v>176</v>
      </c>
      <c r="C129" s="7">
        <v>0</v>
      </c>
      <c r="D129" s="47">
        <v>9643.9166666666661</v>
      </c>
      <c r="E129" s="48">
        <f t="shared" si="0"/>
        <v>0</v>
      </c>
      <c r="F129" s="7">
        <v>0</v>
      </c>
      <c r="G129" s="47">
        <v>11183</v>
      </c>
      <c r="H129" s="48">
        <f t="shared" si="1"/>
        <v>0</v>
      </c>
      <c r="N129" s="51"/>
      <c r="Q129" s="51"/>
    </row>
    <row r="130" spans="1:17" ht="14.25">
      <c r="A130" s="7">
        <v>30502</v>
      </c>
      <c r="B130" s="7" t="s">
        <v>177</v>
      </c>
      <c r="C130" s="7">
        <v>0</v>
      </c>
      <c r="D130" s="47">
        <v>8895.75</v>
      </c>
      <c r="E130" s="48">
        <f t="shared" si="0"/>
        <v>0</v>
      </c>
      <c r="F130" s="7">
        <v>0</v>
      </c>
      <c r="G130" s="47">
        <v>8409</v>
      </c>
      <c r="H130" s="48">
        <f t="shared" si="1"/>
        <v>0</v>
      </c>
      <c r="N130" s="51"/>
      <c r="Q130" s="51"/>
    </row>
    <row r="131" spans="1:17" ht="14.25">
      <c r="A131" s="7">
        <v>30601</v>
      </c>
      <c r="B131" s="7" t="s">
        <v>178</v>
      </c>
      <c r="C131" s="7">
        <v>0</v>
      </c>
      <c r="D131" s="47">
        <v>10599.916666666666</v>
      </c>
      <c r="E131" s="48">
        <f t="shared" si="0"/>
        <v>0</v>
      </c>
      <c r="F131" s="7">
        <v>0</v>
      </c>
      <c r="G131" s="47">
        <v>10632</v>
      </c>
      <c r="H131" s="48">
        <f t="shared" si="1"/>
        <v>0</v>
      </c>
      <c r="N131" s="51"/>
      <c r="Q131" s="51"/>
    </row>
    <row r="132" spans="1:17" ht="14.25">
      <c r="A132" s="7">
        <v>30602</v>
      </c>
      <c r="B132" s="7" t="s">
        <v>179</v>
      </c>
      <c r="C132" s="7">
        <v>0</v>
      </c>
      <c r="D132" s="47">
        <v>10294.416666666666</v>
      </c>
      <c r="E132" s="48">
        <f t="shared" si="0"/>
        <v>0</v>
      </c>
      <c r="F132" s="7">
        <v>0</v>
      </c>
      <c r="G132" s="47">
        <v>10750</v>
      </c>
      <c r="H132" s="48">
        <f t="shared" si="1"/>
        <v>0</v>
      </c>
      <c r="N132" s="51"/>
      <c r="Q132" s="51"/>
    </row>
    <row r="133" spans="1:17" ht="14.25">
      <c r="A133" s="7">
        <v>30701</v>
      </c>
      <c r="B133" s="7" t="s">
        <v>180</v>
      </c>
      <c r="C133" s="7">
        <v>0</v>
      </c>
      <c r="D133" s="47">
        <v>19472.833333333332</v>
      </c>
      <c r="E133" s="48">
        <f t="shared" si="0"/>
        <v>0</v>
      </c>
      <c r="F133" s="7">
        <v>0</v>
      </c>
      <c r="G133" s="47">
        <v>19427</v>
      </c>
      <c r="H133" s="48">
        <f t="shared" si="1"/>
        <v>0</v>
      </c>
      <c r="N133" s="51"/>
      <c r="Q133" s="51"/>
    </row>
    <row r="134" spans="1:17" ht="14.25">
      <c r="A134" s="7">
        <v>30702</v>
      </c>
      <c r="B134" s="7" t="s">
        <v>181</v>
      </c>
      <c r="C134" s="7">
        <v>0</v>
      </c>
      <c r="D134" s="47">
        <v>6644.75</v>
      </c>
      <c r="E134" s="48">
        <f t="shared" si="0"/>
        <v>0</v>
      </c>
      <c r="F134" s="7">
        <v>0</v>
      </c>
      <c r="G134" s="47">
        <v>7940</v>
      </c>
      <c r="H134" s="48">
        <f t="shared" si="1"/>
        <v>0</v>
      </c>
      <c r="N134" s="51"/>
      <c r="Q134" s="51"/>
    </row>
    <row r="135" spans="1:17" ht="14.25">
      <c r="A135" s="7">
        <v>30703</v>
      </c>
      <c r="B135" s="7" t="s">
        <v>182</v>
      </c>
      <c r="C135" s="7">
        <v>0</v>
      </c>
      <c r="D135" s="47">
        <v>3760</v>
      </c>
      <c r="E135" s="48">
        <f t="shared" si="0"/>
        <v>0</v>
      </c>
      <c r="F135" s="7">
        <v>0</v>
      </c>
      <c r="G135" s="47">
        <v>3980</v>
      </c>
      <c r="H135" s="48">
        <f t="shared" si="1"/>
        <v>0</v>
      </c>
      <c r="N135" s="51"/>
      <c r="Q135" s="51"/>
    </row>
    <row r="136" spans="1:17" ht="14.25">
      <c r="A136" s="7">
        <v>30801</v>
      </c>
      <c r="B136" s="7" t="s">
        <v>183</v>
      </c>
      <c r="C136" s="7">
        <v>0</v>
      </c>
      <c r="D136" s="47">
        <v>21837</v>
      </c>
      <c r="E136" s="48">
        <f t="shared" si="0"/>
        <v>0</v>
      </c>
      <c r="F136" s="7">
        <v>0</v>
      </c>
      <c r="G136" s="47">
        <v>21155</v>
      </c>
      <c r="H136" s="48">
        <f t="shared" si="1"/>
        <v>0</v>
      </c>
      <c r="N136" s="51"/>
      <c r="Q136" s="51"/>
    </row>
    <row r="137" spans="1:17" ht="14.25">
      <c r="A137" s="7">
        <v>30802</v>
      </c>
      <c r="B137" s="7" t="s">
        <v>184</v>
      </c>
      <c r="C137" s="7">
        <v>0</v>
      </c>
      <c r="D137" s="47">
        <v>7084.083333333333</v>
      </c>
      <c r="E137" s="48">
        <f t="shared" si="0"/>
        <v>0</v>
      </c>
      <c r="F137" s="7">
        <v>0</v>
      </c>
      <c r="G137" s="47">
        <v>7382</v>
      </c>
      <c r="H137" s="48">
        <f t="shared" si="1"/>
        <v>0</v>
      </c>
      <c r="N137" s="51"/>
      <c r="Q137" s="51"/>
    </row>
    <row r="138" spans="1:17" ht="14.25">
      <c r="A138" s="7">
        <v>30803</v>
      </c>
      <c r="B138" s="7" t="s">
        <v>185</v>
      </c>
      <c r="C138" s="7">
        <v>0</v>
      </c>
      <c r="D138" s="47">
        <v>5804.083333333333</v>
      </c>
      <c r="E138" s="48">
        <f t="shared" si="0"/>
        <v>0</v>
      </c>
      <c r="F138" s="7">
        <v>0</v>
      </c>
      <c r="G138" s="47">
        <v>8687</v>
      </c>
      <c r="H138" s="48">
        <f t="shared" si="1"/>
        <v>0</v>
      </c>
      <c r="N138" s="51"/>
      <c r="Q138" s="51"/>
    </row>
    <row r="139" spans="1:17" ht="14.25">
      <c r="A139" s="7">
        <v>30901</v>
      </c>
      <c r="B139" s="7" t="s">
        <v>186</v>
      </c>
      <c r="C139" s="7">
        <v>0</v>
      </c>
      <c r="D139" s="47">
        <v>139645.25</v>
      </c>
      <c r="E139" s="48">
        <f t="shared" si="0"/>
        <v>0</v>
      </c>
      <c r="F139" s="7">
        <v>0</v>
      </c>
      <c r="G139" s="47">
        <v>166741</v>
      </c>
      <c r="H139" s="48">
        <f t="shared" si="1"/>
        <v>0</v>
      </c>
      <c r="N139" s="51"/>
      <c r="Q139" s="51"/>
    </row>
    <row r="140" spans="1:17" ht="14.25">
      <c r="A140" s="7">
        <v>30902</v>
      </c>
      <c r="B140" s="7" t="s">
        <v>187</v>
      </c>
      <c r="C140" s="7">
        <v>0</v>
      </c>
      <c r="D140" s="47">
        <v>42765.75</v>
      </c>
      <c r="E140" s="48">
        <f t="shared" si="0"/>
        <v>0</v>
      </c>
      <c r="F140" s="7">
        <v>0</v>
      </c>
      <c r="G140" s="47">
        <v>55908</v>
      </c>
      <c r="H140" s="48">
        <f t="shared" si="1"/>
        <v>0</v>
      </c>
      <c r="N140" s="51"/>
      <c r="Q140" s="51"/>
    </row>
    <row r="141" spans="1:17" ht="14.25">
      <c r="A141" s="7">
        <v>30903</v>
      </c>
      <c r="B141" s="7" t="s">
        <v>188</v>
      </c>
      <c r="C141" s="7">
        <v>0</v>
      </c>
      <c r="D141" s="47">
        <v>54565.333333333336</v>
      </c>
      <c r="E141" s="48">
        <f t="shared" si="0"/>
        <v>0</v>
      </c>
      <c r="F141" s="7">
        <v>0</v>
      </c>
      <c r="G141" s="47">
        <v>61840</v>
      </c>
      <c r="H141" s="48">
        <f t="shared" si="1"/>
        <v>0</v>
      </c>
      <c r="N141" s="51"/>
      <c r="Q141" s="51"/>
    </row>
    <row r="142" spans="1:17" ht="14.25">
      <c r="A142" s="7">
        <v>30904</v>
      </c>
      <c r="B142" s="7" t="s">
        <v>189</v>
      </c>
      <c r="C142" s="7">
        <v>0</v>
      </c>
      <c r="D142" s="47">
        <v>52309.333333333336</v>
      </c>
      <c r="E142" s="48">
        <f t="shared" si="0"/>
        <v>0</v>
      </c>
      <c r="F142" s="7">
        <v>0</v>
      </c>
      <c r="G142" s="47">
        <v>56064</v>
      </c>
      <c r="H142" s="48">
        <f t="shared" si="1"/>
        <v>0</v>
      </c>
      <c r="N142" s="51"/>
      <c r="Q142" s="51"/>
    </row>
    <row r="143" spans="1:17" ht="14.25">
      <c r="A143" s="7">
        <v>30905</v>
      </c>
      <c r="B143" s="7" t="s">
        <v>190</v>
      </c>
      <c r="C143" s="7">
        <v>0</v>
      </c>
      <c r="D143" s="47">
        <v>53199.583333333336</v>
      </c>
      <c r="E143" s="48">
        <f t="shared" si="0"/>
        <v>0</v>
      </c>
      <c r="F143" s="7">
        <v>0</v>
      </c>
      <c r="G143" s="47">
        <v>66505</v>
      </c>
      <c r="H143" s="48">
        <f t="shared" si="1"/>
        <v>0</v>
      </c>
      <c r="N143" s="51"/>
      <c r="Q143" s="51"/>
    </row>
    <row r="144" spans="1:17" ht="14.25">
      <c r="A144" s="7">
        <v>31001</v>
      </c>
      <c r="B144" s="7" t="s">
        <v>191</v>
      </c>
      <c r="C144" s="7">
        <v>0</v>
      </c>
      <c r="D144" s="47">
        <v>176351.5</v>
      </c>
      <c r="E144" s="48">
        <f t="shared" si="0"/>
        <v>0</v>
      </c>
      <c r="F144" s="7">
        <v>401.38</v>
      </c>
      <c r="G144" s="47">
        <v>219092</v>
      </c>
      <c r="H144" s="48">
        <f t="shared" si="1"/>
        <v>87939146.959999993</v>
      </c>
      <c r="N144" s="51"/>
      <c r="Q144" s="51"/>
    </row>
    <row r="145" spans="1:17" ht="14.25">
      <c r="A145" s="7">
        <v>31002</v>
      </c>
      <c r="B145" s="7" t="s">
        <v>192</v>
      </c>
      <c r="C145" s="7">
        <v>0</v>
      </c>
      <c r="D145" s="47">
        <v>19498.416666666668</v>
      </c>
      <c r="E145" s="48">
        <f t="shared" si="0"/>
        <v>0</v>
      </c>
      <c r="F145" s="7">
        <v>0</v>
      </c>
      <c r="G145" s="47">
        <v>21846</v>
      </c>
      <c r="H145" s="48">
        <f t="shared" si="1"/>
        <v>0</v>
      </c>
      <c r="N145" s="51"/>
      <c r="Q145" s="51"/>
    </row>
    <row r="146" spans="1:17" ht="14.25">
      <c r="A146" s="7">
        <v>31003</v>
      </c>
      <c r="B146" s="7" t="s">
        <v>193</v>
      </c>
      <c r="C146" s="7">
        <v>0</v>
      </c>
      <c r="D146" s="47">
        <v>73249.416666666672</v>
      </c>
      <c r="E146" s="48">
        <f t="shared" si="0"/>
        <v>0</v>
      </c>
      <c r="F146" s="7">
        <v>0</v>
      </c>
      <c r="G146" s="47">
        <v>93747</v>
      </c>
      <c r="H146" s="48">
        <f t="shared" si="1"/>
        <v>0</v>
      </c>
      <c r="N146" s="51"/>
      <c r="Q146" s="51"/>
    </row>
    <row r="147" spans="1:17" ht="14.25">
      <c r="A147" s="7">
        <v>31101</v>
      </c>
      <c r="B147" s="7" t="s">
        <v>194</v>
      </c>
      <c r="C147" s="7">
        <v>0</v>
      </c>
      <c r="D147" s="47">
        <v>24628.416666666668</v>
      </c>
      <c r="E147" s="48">
        <f t="shared" si="0"/>
        <v>0</v>
      </c>
      <c r="F147" s="7">
        <v>0</v>
      </c>
      <c r="G147" s="47">
        <v>24666</v>
      </c>
      <c r="H147" s="48">
        <f t="shared" si="1"/>
        <v>0</v>
      </c>
      <c r="N147" s="51"/>
      <c r="Q147" s="51"/>
    </row>
    <row r="148" spans="1:17" ht="14.25">
      <c r="A148" s="7">
        <v>31201</v>
      </c>
      <c r="B148" s="7" t="s">
        <v>195</v>
      </c>
      <c r="C148" s="7">
        <v>0</v>
      </c>
      <c r="D148" s="47">
        <v>14678</v>
      </c>
      <c r="E148" s="48">
        <f t="shared" si="0"/>
        <v>0</v>
      </c>
      <c r="F148" s="7">
        <v>0</v>
      </c>
      <c r="G148" s="47">
        <v>14821</v>
      </c>
      <c r="H148" s="48">
        <f t="shared" si="1"/>
        <v>0</v>
      </c>
      <c r="N148" s="51"/>
      <c r="Q148" s="51"/>
    </row>
    <row r="149" spans="1:17" ht="14.25">
      <c r="A149" s="7">
        <v>31202</v>
      </c>
      <c r="B149" s="7" t="s">
        <v>196</v>
      </c>
      <c r="C149" s="7">
        <v>0</v>
      </c>
      <c r="D149" s="47">
        <v>10298.416666666666</v>
      </c>
      <c r="E149" s="48">
        <f t="shared" si="0"/>
        <v>0</v>
      </c>
      <c r="F149" s="7">
        <v>0</v>
      </c>
      <c r="G149" s="47">
        <v>11865</v>
      </c>
      <c r="H149" s="48">
        <f t="shared" si="1"/>
        <v>0</v>
      </c>
      <c r="N149" s="51"/>
      <c r="Q149" s="51"/>
    </row>
    <row r="150" spans="1:17" ht="14.25">
      <c r="A150" s="7">
        <v>31203</v>
      </c>
      <c r="B150" s="7" t="s">
        <v>197</v>
      </c>
      <c r="C150" s="7">
        <v>0</v>
      </c>
      <c r="D150" s="47">
        <v>10875.666666666666</v>
      </c>
      <c r="E150" s="48">
        <f t="shared" si="0"/>
        <v>0</v>
      </c>
      <c r="F150" s="7">
        <v>0</v>
      </c>
      <c r="G150" s="47">
        <v>12258</v>
      </c>
      <c r="H150" s="48">
        <f t="shared" si="1"/>
        <v>0</v>
      </c>
      <c r="N150" s="51"/>
      <c r="Q150" s="51"/>
    </row>
    <row r="151" spans="1:17" ht="14.25">
      <c r="A151" s="7">
        <v>31204</v>
      </c>
      <c r="B151" s="7" t="s">
        <v>198</v>
      </c>
      <c r="C151" s="7">
        <v>0</v>
      </c>
      <c r="D151" s="47">
        <v>22218.083333333332</v>
      </c>
      <c r="E151" s="48">
        <f t="shared" si="0"/>
        <v>0</v>
      </c>
      <c r="F151" s="7">
        <v>0</v>
      </c>
      <c r="G151" s="47">
        <v>27521</v>
      </c>
      <c r="H151" s="48">
        <f t="shared" si="1"/>
        <v>0</v>
      </c>
      <c r="N151" s="51"/>
      <c r="Q151" s="51"/>
    </row>
    <row r="152" spans="1:17" ht="14.25">
      <c r="A152" s="7">
        <v>31205</v>
      </c>
      <c r="B152" s="7" t="s">
        <v>199</v>
      </c>
      <c r="C152" s="7">
        <v>0</v>
      </c>
      <c r="D152" s="47">
        <v>48124.333333333336</v>
      </c>
      <c r="E152" s="48">
        <f t="shared" si="0"/>
        <v>0</v>
      </c>
      <c r="F152" s="7">
        <v>0</v>
      </c>
      <c r="G152" s="47">
        <v>64595</v>
      </c>
      <c r="H152" s="48">
        <f t="shared" si="1"/>
        <v>0</v>
      </c>
      <c r="N152" s="51"/>
      <c r="Q152" s="51"/>
    </row>
    <row r="153" spans="1:17" ht="14.25">
      <c r="A153" s="7">
        <v>31206</v>
      </c>
      <c r="B153" s="7" t="s">
        <v>200</v>
      </c>
      <c r="C153" s="7">
        <v>0</v>
      </c>
      <c r="D153" s="47">
        <v>32735.833333333332</v>
      </c>
      <c r="E153" s="48">
        <f t="shared" si="0"/>
        <v>0</v>
      </c>
      <c r="F153" s="7">
        <v>0</v>
      </c>
      <c r="G153" s="47">
        <v>45780</v>
      </c>
      <c r="H153" s="48">
        <f t="shared" si="1"/>
        <v>0</v>
      </c>
      <c r="N153" s="51"/>
      <c r="Q153" s="51"/>
    </row>
    <row r="154" spans="1:17" ht="14.25">
      <c r="A154" s="7">
        <v>31301</v>
      </c>
      <c r="B154" s="7" t="s">
        <v>201</v>
      </c>
      <c r="C154" s="7">
        <v>0</v>
      </c>
      <c r="D154" s="47">
        <v>19866.666666666668</v>
      </c>
      <c r="E154" s="48">
        <f t="shared" si="0"/>
        <v>0</v>
      </c>
      <c r="F154" s="7">
        <v>0</v>
      </c>
      <c r="G154" s="47">
        <v>19896</v>
      </c>
      <c r="H154" s="48">
        <f t="shared" si="1"/>
        <v>0</v>
      </c>
      <c r="N154" s="51"/>
      <c r="Q154" s="51"/>
    </row>
    <row r="155" spans="1:17" ht="14.25">
      <c r="A155" s="7">
        <v>31302</v>
      </c>
      <c r="B155" s="7" t="s">
        <v>202</v>
      </c>
      <c r="C155" s="7">
        <v>0</v>
      </c>
      <c r="D155" s="47">
        <v>5441.083333333333</v>
      </c>
      <c r="E155" s="48">
        <f t="shared" si="0"/>
        <v>0</v>
      </c>
      <c r="F155" s="7">
        <v>0</v>
      </c>
      <c r="G155" s="47">
        <v>5244</v>
      </c>
      <c r="H155" s="48">
        <f t="shared" si="1"/>
        <v>0</v>
      </c>
      <c r="N155" s="51"/>
      <c r="Q155" s="51"/>
    </row>
    <row r="156" spans="1:17" ht="14.25">
      <c r="A156" s="7">
        <v>31303</v>
      </c>
      <c r="B156" s="7" t="s">
        <v>203</v>
      </c>
      <c r="C156" s="7">
        <v>0</v>
      </c>
      <c r="D156" s="47">
        <v>3452.4166666666665</v>
      </c>
      <c r="E156" s="48">
        <f t="shared" si="0"/>
        <v>0</v>
      </c>
      <c r="F156" s="7">
        <v>0</v>
      </c>
      <c r="G156" s="47">
        <v>3512</v>
      </c>
      <c r="H156" s="48">
        <f t="shared" si="1"/>
        <v>0</v>
      </c>
      <c r="N156" s="51"/>
      <c r="Q156" s="51"/>
    </row>
    <row r="157" spans="1:17" ht="14.25">
      <c r="A157" s="7">
        <v>31304</v>
      </c>
      <c r="B157" s="7" t="s">
        <v>204</v>
      </c>
      <c r="C157" s="7">
        <v>0</v>
      </c>
      <c r="D157" s="47">
        <v>7121</v>
      </c>
      <c r="E157" s="48">
        <f t="shared" si="0"/>
        <v>0</v>
      </c>
      <c r="F157" s="7">
        <v>0</v>
      </c>
      <c r="G157" s="47">
        <v>8056</v>
      </c>
      <c r="H157" s="48">
        <f t="shared" si="1"/>
        <v>0</v>
      </c>
      <c r="N157" s="51"/>
      <c r="Q157" s="51"/>
    </row>
    <row r="158" spans="1:17" ht="14.25">
      <c r="A158" s="7">
        <v>31401</v>
      </c>
      <c r="B158" s="7" t="s">
        <v>205</v>
      </c>
      <c r="C158" s="7">
        <v>0</v>
      </c>
      <c r="D158" s="47">
        <v>29417.083333333332</v>
      </c>
      <c r="E158" s="48">
        <f t="shared" si="0"/>
        <v>0</v>
      </c>
      <c r="F158" s="7">
        <v>0</v>
      </c>
      <c r="G158" s="47">
        <v>35248</v>
      </c>
      <c r="H158" s="48">
        <f t="shared" si="1"/>
        <v>0</v>
      </c>
      <c r="N158" s="51"/>
      <c r="Q158" s="51"/>
    </row>
    <row r="159" spans="1:17" ht="14.25">
      <c r="A159" s="7">
        <v>31402</v>
      </c>
      <c r="B159" s="7" t="s">
        <v>206</v>
      </c>
      <c r="C159" s="7">
        <v>0</v>
      </c>
      <c r="D159" s="47">
        <v>8173.666666666667</v>
      </c>
      <c r="E159" s="48">
        <f t="shared" si="0"/>
        <v>0</v>
      </c>
      <c r="F159" s="7">
        <v>0</v>
      </c>
      <c r="G159" s="47">
        <v>8599</v>
      </c>
      <c r="H159" s="48">
        <f t="shared" si="1"/>
        <v>0</v>
      </c>
      <c r="N159" s="51"/>
      <c r="Q159" s="51"/>
    </row>
    <row r="160" spans="1:17" ht="14.25">
      <c r="A160" s="7">
        <v>31403</v>
      </c>
      <c r="B160" s="7" t="s">
        <v>207</v>
      </c>
      <c r="C160" s="7">
        <v>0</v>
      </c>
      <c r="D160" s="47">
        <v>13519.666666666666</v>
      </c>
      <c r="E160" s="48">
        <f t="shared" si="0"/>
        <v>0</v>
      </c>
      <c r="F160" s="7">
        <v>0</v>
      </c>
      <c r="G160" s="47">
        <v>13054</v>
      </c>
      <c r="H160" s="48">
        <f t="shared" si="1"/>
        <v>0</v>
      </c>
      <c r="N160" s="51"/>
      <c r="Q160" s="51"/>
    </row>
    <row r="161" spans="1:17" ht="14.25">
      <c r="A161" s="7">
        <v>31404</v>
      </c>
      <c r="B161" s="7" t="s">
        <v>208</v>
      </c>
      <c r="C161" s="7">
        <v>0</v>
      </c>
      <c r="D161" s="47">
        <v>1301.6666666666667</v>
      </c>
      <c r="E161" s="48">
        <f t="shared" si="0"/>
        <v>0</v>
      </c>
      <c r="F161" s="7">
        <v>0</v>
      </c>
      <c r="G161" s="47">
        <v>1287</v>
      </c>
      <c r="H161" s="48">
        <f t="shared" si="1"/>
        <v>0</v>
      </c>
      <c r="N161" s="51"/>
      <c r="Q161" s="51"/>
    </row>
    <row r="162" spans="1:17" ht="14.25">
      <c r="A162" s="7">
        <v>31405</v>
      </c>
      <c r="B162" s="7" t="s">
        <v>209</v>
      </c>
      <c r="C162" s="7">
        <v>0</v>
      </c>
      <c r="D162" s="47">
        <v>2855.8333333333335</v>
      </c>
      <c r="E162" s="48">
        <f t="shared" si="0"/>
        <v>0</v>
      </c>
      <c r="F162" s="7">
        <v>0</v>
      </c>
      <c r="G162" s="47">
        <v>3822</v>
      </c>
      <c r="H162" s="48">
        <f t="shared" si="1"/>
        <v>0</v>
      </c>
      <c r="N162" s="51"/>
      <c r="Q162" s="51"/>
    </row>
    <row r="163" spans="1:17" ht="14.25">
      <c r="A163" s="7">
        <v>31501</v>
      </c>
      <c r="B163" s="7" t="s">
        <v>210</v>
      </c>
      <c r="C163" s="7">
        <v>0</v>
      </c>
      <c r="D163" s="47">
        <v>7362.583333333333</v>
      </c>
      <c r="E163" s="48">
        <f t="shared" si="0"/>
        <v>0</v>
      </c>
      <c r="F163" s="7">
        <v>0</v>
      </c>
      <c r="G163" s="47">
        <v>8282</v>
      </c>
      <c r="H163" s="48">
        <f t="shared" si="1"/>
        <v>0</v>
      </c>
      <c r="N163" s="51"/>
      <c r="Q163" s="51"/>
    </row>
    <row r="164" spans="1:17" ht="14.25">
      <c r="A164" s="7">
        <v>31601</v>
      </c>
      <c r="B164" s="7" t="s">
        <v>211</v>
      </c>
      <c r="C164" s="7">
        <v>0</v>
      </c>
      <c r="D164" s="47">
        <v>21001.333333333332</v>
      </c>
      <c r="E164" s="48">
        <f t="shared" si="0"/>
        <v>0</v>
      </c>
      <c r="F164" s="7">
        <v>100</v>
      </c>
      <c r="G164" s="47">
        <v>18475</v>
      </c>
      <c r="H164" s="48">
        <f t="shared" si="1"/>
        <v>1847500</v>
      </c>
      <c r="N164" s="51"/>
      <c r="Q164" s="51"/>
    </row>
    <row r="165" spans="1:17" ht="14.25">
      <c r="A165" s="7">
        <v>31602</v>
      </c>
      <c r="B165" s="7" t="s">
        <v>212</v>
      </c>
      <c r="C165" s="7">
        <v>0</v>
      </c>
      <c r="D165" s="47">
        <v>21368.583333333332</v>
      </c>
      <c r="E165" s="48">
        <f t="shared" si="0"/>
        <v>0</v>
      </c>
      <c r="F165" s="7">
        <v>57.26</v>
      </c>
      <c r="G165" s="47">
        <v>27172</v>
      </c>
      <c r="H165" s="48">
        <f t="shared" si="1"/>
        <v>1555868.72</v>
      </c>
      <c r="N165" s="51"/>
      <c r="Q165" s="51"/>
    </row>
    <row r="166" spans="1:17" ht="14.25">
      <c r="A166" s="7">
        <v>40101</v>
      </c>
      <c r="B166" s="7" t="s">
        <v>115</v>
      </c>
      <c r="C166" s="7">
        <v>0</v>
      </c>
      <c r="D166" s="47">
        <v>267726.91666666669</v>
      </c>
      <c r="E166" s="48">
        <f t="shared" si="0"/>
        <v>0</v>
      </c>
      <c r="F166" s="7">
        <v>0</v>
      </c>
      <c r="G166" s="47">
        <v>298350</v>
      </c>
      <c r="H166" s="48">
        <f t="shared" si="1"/>
        <v>0</v>
      </c>
      <c r="N166" s="51"/>
      <c r="Q166" s="51"/>
    </row>
    <row r="167" spans="1:17" ht="14.25">
      <c r="A167" s="7">
        <v>40102</v>
      </c>
      <c r="B167" s="7" t="s">
        <v>213</v>
      </c>
      <c r="C167" s="7">
        <v>0</v>
      </c>
      <c r="D167" s="47">
        <v>23092.916666666668</v>
      </c>
      <c r="E167" s="48">
        <f t="shared" si="0"/>
        <v>0</v>
      </c>
      <c r="F167" s="7">
        <v>0</v>
      </c>
      <c r="G167" s="47">
        <v>22850</v>
      </c>
      <c r="H167" s="48">
        <f t="shared" si="1"/>
        <v>0</v>
      </c>
      <c r="N167" s="51"/>
      <c r="Q167" s="51"/>
    </row>
    <row r="168" spans="1:17" ht="14.25">
      <c r="A168" s="7">
        <v>40103</v>
      </c>
      <c r="B168" s="7" t="s">
        <v>214</v>
      </c>
      <c r="C168" s="7">
        <v>0</v>
      </c>
      <c r="D168" s="47">
        <v>8831</v>
      </c>
      <c r="E168" s="48">
        <f t="shared" si="0"/>
        <v>0</v>
      </c>
      <c r="F168" s="7">
        <v>0</v>
      </c>
      <c r="G168" s="47">
        <v>9997</v>
      </c>
      <c r="H168" s="48">
        <f t="shared" si="1"/>
        <v>0</v>
      </c>
      <c r="N168" s="51"/>
      <c r="Q168" s="51"/>
    </row>
    <row r="169" spans="1:17" ht="14.25">
      <c r="A169" s="7">
        <v>40104</v>
      </c>
      <c r="B169" s="7" t="s">
        <v>215</v>
      </c>
      <c r="C169" s="7">
        <v>0</v>
      </c>
      <c r="D169" s="47">
        <v>13089.166666666666</v>
      </c>
      <c r="E169" s="48">
        <f t="shared" si="0"/>
        <v>0</v>
      </c>
      <c r="F169" s="7">
        <v>0</v>
      </c>
      <c r="G169" s="47">
        <v>15764</v>
      </c>
      <c r="H169" s="48">
        <f t="shared" si="1"/>
        <v>0</v>
      </c>
      <c r="N169" s="51"/>
      <c r="Q169" s="51"/>
    </row>
    <row r="170" spans="1:17" ht="14.25">
      <c r="A170" s="7">
        <v>40201</v>
      </c>
      <c r="B170" s="7" t="s">
        <v>216</v>
      </c>
      <c r="C170" s="7">
        <v>0</v>
      </c>
      <c r="D170" s="47">
        <v>29460.416666666668</v>
      </c>
      <c r="E170" s="48">
        <f t="shared" si="0"/>
        <v>0</v>
      </c>
      <c r="F170" s="7">
        <v>123.41</v>
      </c>
      <c r="G170" s="47">
        <v>35427</v>
      </c>
      <c r="H170" s="48">
        <f t="shared" si="1"/>
        <v>4372046.07</v>
      </c>
      <c r="N170" s="51"/>
      <c r="Q170" s="51"/>
    </row>
    <row r="171" spans="1:17" ht="14.25">
      <c r="A171" s="7">
        <v>40202</v>
      </c>
      <c r="B171" s="7" t="s">
        <v>217</v>
      </c>
      <c r="C171" s="7">
        <v>0</v>
      </c>
      <c r="D171" s="47">
        <v>4143.5</v>
      </c>
      <c r="E171" s="48">
        <f t="shared" si="0"/>
        <v>0</v>
      </c>
      <c r="F171" s="7">
        <v>0</v>
      </c>
      <c r="G171" s="47">
        <v>5161</v>
      </c>
      <c r="H171" s="48">
        <f t="shared" si="1"/>
        <v>0</v>
      </c>
      <c r="N171" s="51"/>
      <c r="Q171" s="51"/>
    </row>
    <row r="172" spans="1:17" ht="14.25">
      <c r="A172" s="7">
        <v>40301</v>
      </c>
      <c r="B172" s="7" t="s">
        <v>218</v>
      </c>
      <c r="C172" s="7">
        <v>0</v>
      </c>
      <c r="D172" s="47">
        <v>9794.3333333333339</v>
      </c>
      <c r="E172" s="48">
        <f t="shared" si="0"/>
        <v>0</v>
      </c>
      <c r="F172" s="7">
        <v>0</v>
      </c>
      <c r="G172" s="47">
        <v>16101</v>
      </c>
      <c r="H172" s="48">
        <f t="shared" si="1"/>
        <v>0</v>
      </c>
      <c r="N172" s="51"/>
      <c r="Q172" s="51"/>
    </row>
    <row r="173" spans="1:17" ht="14.25">
      <c r="A173" s="7">
        <v>40302</v>
      </c>
      <c r="B173" s="7" t="s">
        <v>219</v>
      </c>
      <c r="C173" s="7">
        <v>0</v>
      </c>
      <c r="D173" s="47">
        <v>1904.5</v>
      </c>
      <c r="E173" s="48">
        <f t="shared" si="0"/>
        <v>0</v>
      </c>
      <c r="F173" s="7">
        <v>0</v>
      </c>
      <c r="G173" s="47">
        <v>2504</v>
      </c>
      <c r="H173" s="48">
        <f t="shared" si="1"/>
        <v>0</v>
      </c>
      <c r="N173" s="51"/>
      <c r="Q173" s="51"/>
    </row>
    <row r="174" spans="1:17" ht="14.25">
      <c r="A174" s="7">
        <v>40401</v>
      </c>
      <c r="B174" s="7" t="s">
        <v>220</v>
      </c>
      <c r="C174" s="7">
        <v>0</v>
      </c>
      <c r="D174" s="47">
        <v>4392.25</v>
      </c>
      <c r="E174" s="48">
        <f t="shared" si="0"/>
        <v>0</v>
      </c>
      <c r="F174" s="7">
        <v>0</v>
      </c>
      <c r="G174" s="47">
        <v>6683</v>
      </c>
      <c r="H174" s="48">
        <f t="shared" si="1"/>
        <v>0</v>
      </c>
      <c r="N174" s="51"/>
      <c r="Q174" s="51"/>
    </row>
    <row r="175" spans="1:17" ht="14.25">
      <c r="A175" s="7">
        <v>40402</v>
      </c>
      <c r="B175" s="7" t="s">
        <v>221</v>
      </c>
      <c r="C175" s="7">
        <v>0</v>
      </c>
      <c r="D175" s="47">
        <v>5256.666666666667</v>
      </c>
      <c r="E175" s="48">
        <f t="shared" si="0"/>
        <v>0</v>
      </c>
      <c r="F175" s="7">
        <v>0</v>
      </c>
      <c r="G175" s="47">
        <v>5803</v>
      </c>
      <c r="H175" s="48">
        <f t="shared" si="1"/>
        <v>0</v>
      </c>
      <c r="N175" s="51"/>
      <c r="Q175" s="51"/>
    </row>
    <row r="176" spans="1:17" ht="14.25">
      <c r="A176" s="7">
        <v>40501</v>
      </c>
      <c r="B176" s="7" t="s">
        <v>222</v>
      </c>
      <c r="C176" s="7">
        <v>0</v>
      </c>
      <c r="D176" s="47">
        <v>1253.6666666666667</v>
      </c>
      <c r="E176" s="48">
        <f t="shared" si="0"/>
        <v>0</v>
      </c>
      <c r="F176" s="7">
        <v>0</v>
      </c>
      <c r="G176" s="47">
        <v>4011</v>
      </c>
      <c r="H176" s="48">
        <f t="shared" si="1"/>
        <v>0</v>
      </c>
      <c r="N176" s="51"/>
      <c r="Q176" s="51"/>
    </row>
    <row r="177" spans="1:17" ht="14.25">
      <c r="A177" s="7">
        <v>40502</v>
      </c>
      <c r="B177" s="7" t="s">
        <v>223</v>
      </c>
      <c r="C177" s="7">
        <v>0</v>
      </c>
      <c r="D177" s="47">
        <v>4223.666666666667</v>
      </c>
      <c r="E177" s="48">
        <f t="shared" si="0"/>
        <v>0</v>
      </c>
      <c r="F177" s="7">
        <v>0</v>
      </c>
      <c r="G177" s="47">
        <v>4231</v>
      </c>
      <c r="H177" s="48">
        <f t="shared" si="1"/>
        <v>0</v>
      </c>
      <c r="N177" s="51"/>
      <c r="Q177" s="51"/>
    </row>
    <row r="178" spans="1:17" ht="14.25">
      <c r="A178" s="7">
        <v>40503</v>
      </c>
      <c r="B178" s="7" t="s">
        <v>224</v>
      </c>
      <c r="C178" s="7">
        <v>0</v>
      </c>
      <c r="D178" s="47">
        <v>1929.5</v>
      </c>
      <c r="E178" s="48">
        <f t="shared" si="0"/>
        <v>0</v>
      </c>
      <c r="F178" s="7">
        <v>0</v>
      </c>
      <c r="G178" s="47">
        <v>1517</v>
      </c>
      <c r="H178" s="48">
        <f t="shared" si="1"/>
        <v>0</v>
      </c>
      <c r="N178" s="51"/>
      <c r="Q178" s="51"/>
    </row>
    <row r="179" spans="1:17" ht="14.25">
      <c r="A179" s="7">
        <v>40504</v>
      </c>
      <c r="B179" s="7" t="s">
        <v>225</v>
      </c>
      <c r="C179" s="7">
        <v>0</v>
      </c>
      <c r="D179" s="7">
        <v>544.08333333333337</v>
      </c>
      <c r="E179" s="48">
        <f t="shared" si="0"/>
        <v>0</v>
      </c>
      <c r="F179" s="7">
        <v>0</v>
      </c>
      <c r="G179" s="7">
        <v>875</v>
      </c>
      <c r="H179" s="48">
        <f t="shared" si="1"/>
        <v>0</v>
      </c>
      <c r="N179" s="51"/>
      <c r="Q179" s="51"/>
    </row>
    <row r="180" spans="1:17" ht="14.25">
      <c r="A180" s="7">
        <v>40505</v>
      </c>
      <c r="B180" s="7" t="s">
        <v>226</v>
      </c>
      <c r="C180" s="7">
        <v>0</v>
      </c>
      <c r="D180" s="47">
        <v>2800.3333333333335</v>
      </c>
      <c r="E180" s="48">
        <f t="shared" si="0"/>
        <v>0</v>
      </c>
      <c r="F180" s="7">
        <v>0</v>
      </c>
      <c r="G180" s="47">
        <v>3882</v>
      </c>
      <c r="H180" s="48">
        <f t="shared" si="1"/>
        <v>0</v>
      </c>
      <c r="N180" s="51"/>
      <c r="Q180" s="51"/>
    </row>
    <row r="181" spans="1:17" ht="14.25">
      <c r="A181" s="7">
        <v>40601</v>
      </c>
      <c r="B181" s="7" t="s">
        <v>227</v>
      </c>
      <c r="C181" s="7">
        <v>0</v>
      </c>
      <c r="D181" s="47">
        <v>7720.5</v>
      </c>
      <c r="E181" s="48">
        <f t="shared" si="0"/>
        <v>0</v>
      </c>
      <c r="F181" s="7">
        <v>0</v>
      </c>
      <c r="G181" s="47">
        <v>9189</v>
      </c>
      <c r="H181" s="48">
        <f t="shared" si="1"/>
        <v>0</v>
      </c>
      <c r="N181" s="51"/>
      <c r="Q181" s="51"/>
    </row>
    <row r="182" spans="1:17" ht="14.25">
      <c r="A182" s="7">
        <v>40602</v>
      </c>
      <c r="B182" s="7" t="s">
        <v>228</v>
      </c>
      <c r="C182" s="7">
        <v>0</v>
      </c>
      <c r="D182" s="47">
        <v>5813</v>
      </c>
      <c r="E182" s="48">
        <f t="shared" si="0"/>
        <v>0</v>
      </c>
      <c r="F182" s="7">
        <v>0</v>
      </c>
      <c r="G182" s="47">
        <v>4251</v>
      </c>
      <c r="H182" s="48">
        <f t="shared" si="1"/>
        <v>0</v>
      </c>
      <c r="N182" s="51"/>
      <c r="Q182" s="51"/>
    </row>
    <row r="183" spans="1:17" ht="14.25">
      <c r="A183" s="7">
        <v>40603</v>
      </c>
      <c r="B183" s="7" t="s">
        <v>229</v>
      </c>
      <c r="C183" s="7">
        <v>0</v>
      </c>
      <c r="D183" s="47">
        <v>3297.5</v>
      </c>
      <c r="E183" s="48">
        <f t="shared" si="0"/>
        <v>0</v>
      </c>
      <c r="F183" s="7">
        <v>0</v>
      </c>
      <c r="G183" s="47">
        <v>3666</v>
      </c>
      <c r="H183" s="48">
        <f t="shared" si="1"/>
        <v>0</v>
      </c>
      <c r="N183" s="51"/>
      <c r="Q183" s="51"/>
    </row>
    <row r="184" spans="1:17" ht="14.25">
      <c r="A184" s="7">
        <v>40701</v>
      </c>
      <c r="B184" s="7" t="s">
        <v>230</v>
      </c>
      <c r="C184" s="7">
        <v>0</v>
      </c>
      <c r="D184" s="47">
        <v>24297.083333333332</v>
      </c>
      <c r="E184" s="48">
        <f t="shared" si="0"/>
        <v>0</v>
      </c>
      <c r="F184" s="7">
        <v>0</v>
      </c>
      <c r="G184" s="47">
        <v>20118</v>
      </c>
      <c r="H184" s="48">
        <f t="shared" si="1"/>
        <v>0</v>
      </c>
      <c r="N184" s="51"/>
      <c r="Q184" s="51"/>
    </row>
    <row r="185" spans="1:17" ht="14.25">
      <c r="A185" s="7">
        <v>40702</v>
      </c>
      <c r="B185" s="7" t="s">
        <v>231</v>
      </c>
      <c r="C185" s="7">
        <v>0</v>
      </c>
      <c r="D185" s="47">
        <v>4928.333333333333</v>
      </c>
      <c r="E185" s="48">
        <f t="shared" si="0"/>
        <v>0</v>
      </c>
      <c r="F185" s="7">
        <v>0</v>
      </c>
      <c r="G185" s="47">
        <v>6120</v>
      </c>
      <c r="H185" s="48">
        <f t="shared" si="1"/>
        <v>0</v>
      </c>
      <c r="N185" s="51"/>
      <c r="Q185" s="51"/>
    </row>
    <row r="186" spans="1:17" ht="14.25">
      <c r="A186" s="7">
        <v>40801</v>
      </c>
      <c r="B186" s="7" t="s">
        <v>232</v>
      </c>
      <c r="C186" s="7">
        <v>0</v>
      </c>
      <c r="D186" s="47">
        <v>12216</v>
      </c>
      <c r="E186" s="48">
        <f t="shared" si="0"/>
        <v>0</v>
      </c>
      <c r="F186" s="7">
        <v>0</v>
      </c>
      <c r="G186" s="47">
        <v>15934</v>
      </c>
      <c r="H186" s="48">
        <f t="shared" si="1"/>
        <v>0</v>
      </c>
      <c r="N186" s="51"/>
      <c r="Q186" s="51"/>
    </row>
    <row r="187" spans="1:17" ht="14.25">
      <c r="A187" s="7">
        <v>40802</v>
      </c>
      <c r="B187" s="7" t="s">
        <v>233</v>
      </c>
      <c r="C187" s="7">
        <v>0</v>
      </c>
      <c r="D187" s="47">
        <v>2991.6666666666665</v>
      </c>
      <c r="E187" s="48">
        <f t="shared" si="0"/>
        <v>0</v>
      </c>
      <c r="F187" s="7">
        <v>0</v>
      </c>
      <c r="G187" s="47">
        <v>3197</v>
      </c>
      <c r="H187" s="48">
        <f t="shared" si="1"/>
        <v>0</v>
      </c>
      <c r="N187" s="51"/>
      <c r="Q187" s="51"/>
    </row>
    <row r="188" spans="1:17" ht="14.25">
      <c r="A188" s="7">
        <v>40901</v>
      </c>
      <c r="B188" s="7" t="s">
        <v>234</v>
      </c>
      <c r="C188" s="7">
        <v>0</v>
      </c>
      <c r="D188" s="47">
        <v>8641.8333333333339</v>
      </c>
      <c r="E188" s="48">
        <f t="shared" si="0"/>
        <v>0</v>
      </c>
      <c r="F188" s="7">
        <v>0</v>
      </c>
      <c r="G188" s="47">
        <v>15504</v>
      </c>
      <c r="H188" s="48">
        <f t="shared" si="1"/>
        <v>0</v>
      </c>
      <c r="N188" s="51"/>
      <c r="Q188" s="51"/>
    </row>
    <row r="189" spans="1:17" ht="14.25">
      <c r="A189" s="7">
        <v>40902</v>
      </c>
      <c r="B189" s="7" t="s">
        <v>235</v>
      </c>
      <c r="C189" s="7">
        <v>0</v>
      </c>
      <c r="D189" s="7">
        <v>944.91666666666663</v>
      </c>
      <c r="E189" s="48">
        <f t="shared" si="0"/>
        <v>0</v>
      </c>
      <c r="F189" s="7">
        <v>0</v>
      </c>
      <c r="G189" s="47">
        <v>1406</v>
      </c>
      <c r="H189" s="48">
        <f t="shared" si="1"/>
        <v>0</v>
      </c>
      <c r="N189" s="51"/>
      <c r="Q189" s="51"/>
    </row>
    <row r="190" spans="1:17" ht="14.25">
      <c r="A190" s="7">
        <v>40903</v>
      </c>
      <c r="B190" s="7" t="s">
        <v>236</v>
      </c>
      <c r="C190" s="7">
        <v>0</v>
      </c>
      <c r="D190" s="47">
        <v>2032.3333333333333</v>
      </c>
      <c r="E190" s="48">
        <f t="shared" si="0"/>
        <v>0</v>
      </c>
      <c r="F190" s="7">
        <v>0</v>
      </c>
      <c r="G190" s="47">
        <v>2355</v>
      </c>
      <c r="H190" s="48">
        <f t="shared" si="1"/>
        <v>0</v>
      </c>
      <c r="N190" s="51"/>
      <c r="Q190" s="51"/>
    </row>
    <row r="191" spans="1:17" ht="14.25">
      <c r="A191" s="7">
        <v>41001</v>
      </c>
      <c r="B191" s="7" t="s">
        <v>237</v>
      </c>
      <c r="C191" s="7">
        <v>0</v>
      </c>
      <c r="D191" s="47">
        <v>10320.083333333334</v>
      </c>
      <c r="E191" s="48">
        <f t="shared" si="0"/>
        <v>0</v>
      </c>
      <c r="F191" s="7">
        <v>0</v>
      </c>
      <c r="G191" s="47">
        <v>12202</v>
      </c>
      <c r="H191" s="48">
        <f t="shared" si="1"/>
        <v>0</v>
      </c>
      <c r="N191" s="51"/>
      <c r="Q191" s="51"/>
    </row>
    <row r="192" spans="1:17" ht="14.25">
      <c r="A192" s="7">
        <v>41101</v>
      </c>
      <c r="B192" s="7" t="s">
        <v>238</v>
      </c>
      <c r="C192" s="7">
        <v>0</v>
      </c>
      <c r="D192" s="47">
        <v>5272.666666666667</v>
      </c>
      <c r="E192" s="48">
        <f t="shared" si="0"/>
        <v>0</v>
      </c>
      <c r="F192" s="7">
        <v>0</v>
      </c>
      <c r="G192" s="47">
        <v>5335</v>
      </c>
      <c r="H192" s="48">
        <f t="shared" si="1"/>
        <v>0</v>
      </c>
      <c r="N192" s="51"/>
      <c r="Q192" s="51"/>
    </row>
    <row r="193" spans="1:17" ht="14.25">
      <c r="A193" s="7">
        <v>41201</v>
      </c>
      <c r="B193" s="7" t="s">
        <v>239</v>
      </c>
      <c r="C193" s="7">
        <v>0</v>
      </c>
      <c r="D193" s="47">
        <v>5307.25</v>
      </c>
      <c r="E193" s="48">
        <f t="shared" si="0"/>
        <v>0</v>
      </c>
      <c r="F193" s="7">
        <v>0</v>
      </c>
      <c r="G193" s="47">
        <v>6311</v>
      </c>
      <c r="H193" s="48">
        <f t="shared" si="1"/>
        <v>0</v>
      </c>
      <c r="N193" s="51"/>
      <c r="Q193" s="51"/>
    </row>
    <row r="194" spans="1:17" ht="14.25">
      <c r="A194" s="7">
        <v>41202</v>
      </c>
      <c r="B194" s="7" t="s">
        <v>240</v>
      </c>
      <c r="C194" s="7">
        <v>0</v>
      </c>
      <c r="D194" s="47">
        <v>2103.0833333333335</v>
      </c>
      <c r="E194" s="48">
        <f t="shared" si="0"/>
        <v>0</v>
      </c>
      <c r="F194" s="7">
        <v>0</v>
      </c>
      <c r="G194" s="47">
        <v>3061</v>
      </c>
      <c r="H194" s="48">
        <f t="shared" si="1"/>
        <v>0</v>
      </c>
      <c r="N194" s="51"/>
      <c r="Q194" s="51"/>
    </row>
    <row r="195" spans="1:17" ht="14.25">
      <c r="A195" s="7">
        <v>41301</v>
      </c>
      <c r="B195" s="7" t="s">
        <v>195</v>
      </c>
      <c r="C195" s="7">
        <v>0</v>
      </c>
      <c r="D195" s="47">
        <v>5623.166666666667</v>
      </c>
      <c r="E195" s="48">
        <f t="shared" si="0"/>
        <v>0</v>
      </c>
      <c r="F195" s="7">
        <v>0</v>
      </c>
      <c r="G195" s="47">
        <v>6637</v>
      </c>
      <c r="H195" s="48">
        <f t="shared" si="1"/>
        <v>0</v>
      </c>
      <c r="N195" s="51"/>
      <c r="Q195" s="51"/>
    </row>
    <row r="196" spans="1:17" ht="14.25">
      <c r="A196" s="7">
        <v>41401</v>
      </c>
      <c r="B196" s="7" t="s">
        <v>241</v>
      </c>
      <c r="C196" s="7">
        <v>0</v>
      </c>
      <c r="D196" s="47">
        <v>13301.25</v>
      </c>
      <c r="E196" s="48">
        <f t="shared" si="0"/>
        <v>0</v>
      </c>
      <c r="F196" s="7">
        <v>0</v>
      </c>
      <c r="G196" s="47">
        <v>13502</v>
      </c>
      <c r="H196" s="48">
        <f t="shared" si="1"/>
        <v>0</v>
      </c>
      <c r="N196" s="51"/>
      <c r="Q196" s="51"/>
    </row>
    <row r="197" spans="1:17" ht="14.25">
      <c r="A197" s="7">
        <v>41501</v>
      </c>
      <c r="B197" s="7" t="s">
        <v>242</v>
      </c>
      <c r="C197" s="7">
        <v>0</v>
      </c>
      <c r="D197" s="7">
        <v>571.75</v>
      </c>
      <c r="E197" s="48">
        <f t="shared" si="0"/>
        <v>0</v>
      </c>
      <c r="F197" s="7">
        <v>0</v>
      </c>
      <c r="G197" s="47">
        <v>1262</v>
      </c>
      <c r="H197" s="48">
        <f t="shared" si="1"/>
        <v>0</v>
      </c>
      <c r="N197" s="51"/>
      <c r="Q197" s="51"/>
    </row>
    <row r="198" spans="1:17" ht="14.25">
      <c r="A198" s="7">
        <v>41502</v>
      </c>
      <c r="B198" s="7" t="s">
        <v>243</v>
      </c>
      <c r="C198" s="7">
        <v>0</v>
      </c>
      <c r="D198" s="7">
        <v>761.41666666666663</v>
      </c>
      <c r="E198" s="48">
        <f t="shared" si="0"/>
        <v>0</v>
      </c>
      <c r="F198" s="7">
        <v>0</v>
      </c>
      <c r="G198" s="47">
        <v>1140</v>
      </c>
      <c r="H198" s="48">
        <f t="shared" si="1"/>
        <v>0</v>
      </c>
      <c r="N198" s="51"/>
      <c r="Q198" s="51"/>
    </row>
    <row r="199" spans="1:17" ht="14.25">
      <c r="A199" s="7">
        <v>41503</v>
      </c>
      <c r="B199" s="7" t="s">
        <v>244</v>
      </c>
      <c r="C199" s="7">
        <v>0</v>
      </c>
      <c r="D199" s="7">
        <v>864.08333333333337</v>
      </c>
      <c r="E199" s="48">
        <f t="shared" si="0"/>
        <v>0</v>
      </c>
      <c r="F199" s="7">
        <v>0</v>
      </c>
      <c r="G199" s="47">
        <v>1129</v>
      </c>
      <c r="H199" s="48">
        <f t="shared" si="1"/>
        <v>0</v>
      </c>
      <c r="N199" s="51"/>
      <c r="Q199" s="51"/>
    </row>
    <row r="200" spans="1:17" ht="14.25">
      <c r="A200" s="7">
        <v>41601</v>
      </c>
      <c r="B200" s="7" t="s">
        <v>245</v>
      </c>
      <c r="C200" s="7">
        <v>0</v>
      </c>
      <c r="D200" s="47">
        <v>5543.166666666667</v>
      </c>
      <c r="E200" s="48">
        <f t="shared" si="0"/>
        <v>0</v>
      </c>
      <c r="F200" s="7">
        <v>0</v>
      </c>
      <c r="G200" s="47">
        <v>5996</v>
      </c>
      <c r="H200" s="48">
        <f t="shared" si="1"/>
        <v>0</v>
      </c>
      <c r="N200" s="51"/>
      <c r="Q200" s="51"/>
    </row>
    <row r="201" spans="1:17" ht="14.25">
      <c r="A201" s="7">
        <v>50101</v>
      </c>
      <c r="B201" s="7" t="s">
        <v>117</v>
      </c>
      <c r="C201" s="7">
        <v>0</v>
      </c>
      <c r="D201" s="47">
        <v>193585.33333333334</v>
      </c>
      <c r="E201" s="48">
        <f t="shared" si="0"/>
        <v>0</v>
      </c>
      <c r="F201" s="7">
        <v>0</v>
      </c>
      <c r="G201" s="47">
        <v>218702</v>
      </c>
      <c r="H201" s="48">
        <f t="shared" si="1"/>
        <v>0</v>
      </c>
      <c r="N201" s="51"/>
      <c r="Q201" s="51"/>
    </row>
    <row r="202" spans="1:17" ht="14.25">
      <c r="A202" s="7">
        <v>50102</v>
      </c>
      <c r="B202" s="7" t="s">
        <v>246</v>
      </c>
      <c r="C202" s="7">
        <v>0</v>
      </c>
      <c r="D202" s="47">
        <v>27345.166666666668</v>
      </c>
      <c r="E202" s="48">
        <f t="shared" si="0"/>
        <v>0</v>
      </c>
      <c r="F202" s="7">
        <v>0</v>
      </c>
      <c r="G202" s="47">
        <v>28942</v>
      </c>
      <c r="H202" s="48">
        <f t="shared" si="1"/>
        <v>0</v>
      </c>
      <c r="N202" s="51"/>
      <c r="Q202" s="51"/>
    </row>
    <row r="203" spans="1:17" ht="14.25">
      <c r="A203" s="7">
        <v>50103</v>
      </c>
      <c r="B203" s="7" t="s">
        <v>247</v>
      </c>
      <c r="C203" s="7">
        <v>0</v>
      </c>
      <c r="D203" s="47">
        <v>9251.8333333333339</v>
      </c>
      <c r="E203" s="48">
        <f t="shared" si="0"/>
        <v>0</v>
      </c>
      <c r="F203" s="7">
        <v>0</v>
      </c>
      <c r="G203" s="47">
        <v>12253</v>
      </c>
      <c r="H203" s="48">
        <f t="shared" si="1"/>
        <v>0</v>
      </c>
      <c r="N203" s="51"/>
      <c r="Q203" s="51"/>
    </row>
    <row r="204" spans="1:17" ht="14.25">
      <c r="A204" s="7">
        <v>50104</v>
      </c>
      <c r="B204" s="7" t="s">
        <v>248</v>
      </c>
      <c r="C204" s="7">
        <v>0</v>
      </c>
      <c r="D204" s="47">
        <v>2789.1666666666665</v>
      </c>
      <c r="E204" s="48">
        <f t="shared" si="0"/>
        <v>0</v>
      </c>
      <c r="F204" s="7">
        <v>0</v>
      </c>
      <c r="G204" s="47">
        <v>3121</v>
      </c>
      <c r="H204" s="48">
        <f t="shared" si="1"/>
        <v>0</v>
      </c>
      <c r="N204" s="51"/>
      <c r="Q204" s="51"/>
    </row>
    <row r="205" spans="1:17" ht="14.25">
      <c r="A205" s="7">
        <v>50201</v>
      </c>
      <c r="B205" s="7" t="s">
        <v>249</v>
      </c>
      <c r="C205" s="7">
        <v>0</v>
      </c>
      <c r="D205" s="47">
        <v>22082.333333333332</v>
      </c>
      <c r="E205" s="48">
        <f t="shared" si="0"/>
        <v>0</v>
      </c>
      <c r="F205" s="7">
        <v>0</v>
      </c>
      <c r="G205" s="47">
        <v>22768</v>
      </c>
      <c r="H205" s="48">
        <f t="shared" si="1"/>
        <v>0</v>
      </c>
      <c r="N205" s="51"/>
      <c r="Q205" s="51"/>
    </row>
    <row r="206" spans="1:17" ht="14.25">
      <c r="A206" s="7">
        <v>50202</v>
      </c>
      <c r="B206" s="7" t="s">
        <v>250</v>
      </c>
      <c r="C206" s="7">
        <v>0</v>
      </c>
      <c r="D206" s="47">
        <v>16120</v>
      </c>
      <c r="E206" s="48">
        <f t="shared" si="0"/>
        <v>0</v>
      </c>
      <c r="F206" s="7">
        <v>0</v>
      </c>
      <c r="G206" s="47">
        <v>16021</v>
      </c>
      <c r="H206" s="48">
        <f t="shared" si="1"/>
        <v>0</v>
      </c>
      <c r="N206" s="51"/>
      <c r="Q206" s="51"/>
    </row>
    <row r="207" spans="1:17" ht="14.25">
      <c r="A207" s="7">
        <v>50203</v>
      </c>
      <c r="B207" s="7" t="s">
        <v>251</v>
      </c>
      <c r="C207" s="7">
        <v>0</v>
      </c>
      <c r="D207" s="47">
        <v>41152.5</v>
      </c>
      <c r="E207" s="48">
        <f t="shared" si="0"/>
        <v>0</v>
      </c>
      <c r="F207" s="7">
        <v>0</v>
      </c>
      <c r="G207" s="47">
        <v>41686</v>
      </c>
      <c r="H207" s="48">
        <f t="shared" si="1"/>
        <v>0</v>
      </c>
      <c r="N207" s="51"/>
      <c r="Q207" s="51"/>
    </row>
    <row r="208" spans="1:17" ht="14.25">
      <c r="A208" s="7">
        <v>50204</v>
      </c>
      <c r="B208" s="7" t="s">
        <v>252</v>
      </c>
      <c r="C208" s="7">
        <v>0</v>
      </c>
      <c r="D208" s="47">
        <v>8035.75</v>
      </c>
      <c r="E208" s="48">
        <f t="shared" si="0"/>
        <v>0</v>
      </c>
      <c r="F208" s="7">
        <v>0</v>
      </c>
      <c r="G208" s="47">
        <v>8220</v>
      </c>
      <c r="H208" s="48">
        <f t="shared" si="1"/>
        <v>0</v>
      </c>
      <c r="N208" s="51"/>
      <c r="Q208" s="51"/>
    </row>
    <row r="209" spans="1:17" ht="14.25">
      <c r="A209" s="7">
        <v>50301</v>
      </c>
      <c r="B209" s="7" t="s">
        <v>253</v>
      </c>
      <c r="C209" s="7">
        <v>0</v>
      </c>
      <c r="D209" s="47">
        <v>33753.833333333336</v>
      </c>
      <c r="E209" s="48">
        <f t="shared" si="0"/>
        <v>0</v>
      </c>
      <c r="F209" s="7">
        <v>0</v>
      </c>
      <c r="G209" s="47">
        <v>31904</v>
      </c>
      <c r="H209" s="48">
        <f t="shared" si="1"/>
        <v>0</v>
      </c>
      <c r="N209" s="51"/>
      <c r="Q209" s="51"/>
    </row>
    <row r="210" spans="1:17" ht="14.25">
      <c r="A210" s="7">
        <v>50302</v>
      </c>
      <c r="B210" s="7" t="s">
        <v>254</v>
      </c>
      <c r="C210" s="7">
        <v>0</v>
      </c>
      <c r="D210" s="47">
        <v>9857.9166666666661</v>
      </c>
      <c r="E210" s="48">
        <f t="shared" si="0"/>
        <v>0</v>
      </c>
      <c r="F210" s="7">
        <v>0</v>
      </c>
      <c r="G210" s="47">
        <v>9285</v>
      </c>
      <c r="H210" s="48">
        <f t="shared" si="1"/>
        <v>0</v>
      </c>
      <c r="N210" s="51"/>
      <c r="Q210" s="51"/>
    </row>
    <row r="211" spans="1:17" ht="14.25">
      <c r="A211" s="7">
        <v>50303</v>
      </c>
      <c r="B211" s="7" t="s">
        <v>255</v>
      </c>
      <c r="C211" s="7">
        <v>0</v>
      </c>
      <c r="D211" s="47">
        <v>12045.916666666666</v>
      </c>
      <c r="E211" s="48">
        <f t="shared" si="0"/>
        <v>0</v>
      </c>
      <c r="F211" s="7">
        <v>0</v>
      </c>
      <c r="G211" s="47">
        <v>14366</v>
      </c>
      <c r="H211" s="48">
        <f t="shared" si="1"/>
        <v>0</v>
      </c>
      <c r="N211" s="51"/>
      <c r="Q211" s="51"/>
    </row>
    <row r="212" spans="1:17" ht="14.25">
      <c r="A212" s="7">
        <v>50401</v>
      </c>
      <c r="B212" s="7" t="s">
        <v>256</v>
      </c>
      <c r="C212" s="7">
        <v>0</v>
      </c>
      <c r="D212" s="47">
        <v>15351.916666666666</v>
      </c>
      <c r="E212" s="48">
        <f t="shared" si="0"/>
        <v>0</v>
      </c>
      <c r="F212" s="7">
        <v>0</v>
      </c>
      <c r="G212" s="47">
        <v>16363</v>
      </c>
      <c r="H212" s="48">
        <f t="shared" si="1"/>
        <v>0</v>
      </c>
      <c r="N212" s="51"/>
      <c r="Q212" s="51"/>
    </row>
    <row r="213" spans="1:17" ht="14.25">
      <c r="A213" s="7">
        <v>50402</v>
      </c>
      <c r="B213" s="7" t="s">
        <v>257</v>
      </c>
      <c r="C213" s="7">
        <v>0</v>
      </c>
      <c r="D213" s="47">
        <v>20854.333333333332</v>
      </c>
      <c r="E213" s="48">
        <f t="shared" si="0"/>
        <v>0</v>
      </c>
      <c r="F213" s="7">
        <v>0</v>
      </c>
      <c r="G213" s="47">
        <v>16909</v>
      </c>
      <c r="H213" s="48">
        <f t="shared" si="1"/>
        <v>0</v>
      </c>
      <c r="N213" s="51"/>
      <c r="Q213" s="51"/>
    </row>
    <row r="214" spans="1:17" ht="14.25">
      <c r="A214" s="7">
        <v>50403</v>
      </c>
      <c r="B214" s="7" t="s">
        <v>258</v>
      </c>
      <c r="C214" s="7">
        <v>0</v>
      </c>
      <c r="D214" s="47">
        <v>26855.916666666668</v>
      </c>
      <c r="E214" s="48">
        <f t="shared" si="0"/>
        <v>0</v>
      </c>
      <c r="F214" s="7">
        <v>0</v>
      </c>
      <c r="G214" s="47">
        <v>32641</v>
      </c>
      <c r="H214" s="48">
        <f t="shared" si="1"/>
        <v>0</v>
      </c>
      <c r="N214" s="51"/>
      <c r="Q214" s="51"/>
    </row>
    <row r="215" spans="1:17" ht="14.25">
      <c r="A215" s="7">
        <v>50404</v>
      </c>
      <c r="B215" s="7" t="s">
        <v>259</v>
      </c>
      <c r="C215" s="7">
        <v>0</v>
      </c>
      <c r="D215" s="47">
        <v>15985.833333333334</v>
      </c>
      <c r="E215" s="48">
        <f t="shared" si="0"/>
        <v>0</v>
      </c>
      <c r="F215" s="7">
        <v>0</v>
      </c>
      <c r="G215" s="47">
        <v>14532</v>
      </c>
      <c r="H215" s="48">
        <f t="shared" si="1"/>
        <v>0</v>
      </c>
      <c r="N215" s="51"/>
      <c r="Q215" s="51"/>
    </row>
    <row r="216" spans="1:17" ht="14.25">
      <c r="A216" s="7">
        <v>50405</v>
      </c>
      <c r="B216" s="7" t="s">
        <v>260</v>
      </c>
      <c r="C216" s="7">
        <v>0</v>
      </c>
      <c r="D216" s="47">
        <v>20028.333333333332</v>
      </c>
      <c r="E216" s="48">
        <f t="shared" si="0"/>
        <v>0</v>
      </c>
      <c r="F216" s="7">
        <v>0</v>
      </c>
      <c r="G216" s="47">
        <v>21011</v>
      </c>
      <c r="H216" s="48">
        <f t="shared" si="1"/>
        <v>0</v>
      </c>
      <c r="N216" s="51"/>
      <c r="Q216" s="51"/>
    </row>
    <row r="217" spans="1:17" ht="14.25">
      <c r="A217" s="7">
        <v>50501</v>
      </c>
      <c r="B217" s="7" t="s">
        <v>261</v>
      </c>
      <c r="C217" s="7">
        <v>0</v>
      </c>
      <c r="D217" s="47">
        <v>29879</v>
      </c>
      <c r="E217" s="48">
        <f t="shared" si="0"/>
        <v>0</v>
      </c>
      <c r="F217" s="7">
        <v>0</v>
      </c>
      <c r="G217" s="47">
        <v>28416</v>
      </c>
      <c r="H217" s="48">
        <f t="shared" si="1"/>
        <v>0</v>
      </c>
      <c r="N217" s="51"/>
      <c r="Q217" s="51"/>
    </row>
    <row r="218" spans="1:17" ht="14.25">
      <c r="A218" s="7">
        <v>50502</v>
      </c>
      <c r="B218" s="7" t="s">
        <v>262</v>
      </c>
      <c r="C218" s="7">
        <v>0</v>
      </c>
      <c r="D218" s="47">
        <v>10857</v>
      </c>
      <c r="E218" s="48">
        <f t="shared" si="0"/>
        <v>0</v>
      </c>
      <c r="F218" s="7">
        <v>0</v>
      </c>
      <c r="G218" s="47">
        <v>10714</v>
      </c>
      <c r="H218" s="48">
        <f t="shared" si="1"/>
        <v>0</v>
      </c>
      <c r="N218" s="51"/>
      <c r="Q218" s="51"/>
    </row>
    <row r="219" spans="1:17" ht="14.25">
      <c r="A219" s="7">
        <v>50601</v>
      </c>
      <c r="B219" s="7" t="s">
        <v>263</v>
      </c>
      <c r="C219" s="7">
        <v>0</v>
      </c>
      <c r="D219" s="47">
        <v>31586</v>
      </c>
      <c r="E219" s="48">
        <f t="shared" si="0"/>
        <v>0</v>
      </c>
      <c r="F219" s="7">
        <v>0</v>
      </c>
      <c r="G219" s="47">
        <v>29221</v>
      </c>
      <c r="H219" s="48">
        <f t="shared" si="1"/>
        <v>0</v>
      </c>
      <c r="N219" s="51"/>
      <c r="Q219" s="51"/>
    </row>
    <row r="220" spans="1:17" ht="14.25">
      <c r="A220" s="7">
        <v>50602</v>
      </c>
      <c r="B220" s="7" t="s">
        <v>264</v>
      </c>
      <c r="C220" s="7">
        <v>0</v>
      </c>
      <c r="D220" s="47">
        <v>10607.5</v>
      </c>
      <c r="E220" s="48">
        <f t="shared" si="0"/>
        <v>0</v>
      </c>
      <c r="F220" s="7">
        <v>0</v>
      </c>
      <c r="G220" s="47">
        <v>10184</v>
      </c>
      <c r="H220" s="48">
        <f t="shared" si="1"/>
        <v>0</v>
      </c>
      <c r="N220" s="51"/>
      <c r="Q220" s="51"/>
    </row>
    <row r="221" spans="1:17" ht="14.25">
      <c r="A221" s="7">
        <v>50701</v>
      </c>
      <c r="B221" s="7" t="s">
        <v>265</v>
      </c>
      <c r="C221" s="7">
        <v>0</v>
      </c>
      <c r="D221" s="47">
        <v>19410.5</v>
      </c>
      <c r="E221" s="48">
        <f t="shared" si="0"/>
        <v>0</v>
      </c>
      <c r="F221" s="7">
        <v>0</v>
      </c>
      <c r="G221" s="47">
        <v>17205</v>
      </c>
      <c r="H221" s="48">
        <f t="shared" si="1"/>
        <v>0</v>
      </c>
      <c r="N221" s="51"/>
      <c r="Q221" s="51"/>
    </row>
    <row r="222" spans="1:17" ht="14.25">
      <c r="A222" s="7">
        <v>50702</v>
      </c>
      <c r="B222" s="7" t="s">
        <v>266</v>
      </c>
      <c r="C222" s="7">
        <v>0</v>
      </c>
      <c r="D222" s="47">
        <v>8683.5</v>
      </c>
      <c r="E222" s="48">
        <f t="shared" si="0"/>
        <v>0</v>
      </c>
      <c r="F222" s="7">
        <v>0</v>
      </c>
      <c r="G222" s="47">
        <v>8458</v>
      </c>
      <c r="H222" s="48">
        <f t="shared" si="1"/>
        <v>0</v>
      </c>
      <c r="N222" s="51"/>
      <c r="Q222" s="51"/>
    </row>
    <row r="223" spans="1:17" ht="14.25">
      <c r="A223" s="7">
        <v>50801</v>
      </c>
      <c r="B223" s="7" t="s">
        <v>267</v>
      </c>
      <c r="C223" s="7">
        <v>0</v>
      </c>
      <c r="D223" s="47">
        <v>44878.666666666664</v>
      </c>
      <c r="E223" s="48">
        <f t="shared" si="0"/>
        <v>0</v>
      </c>
      <c r="F223" s="7">
        <v>0</v>
      </c>
      <c r="G223" s="47">
        <v>45590</v>
      </c>
      <c r="H223" s="48">
        <f t="shared" si="1"/>
        <v>0</v>
      </c>
      <c r="N223" s="51"/>
      <c r="Q223" s="51"/>
    </row>
    <row r="224" spans="1:17" ht="14.25">
      <c r="A224" s="7">
        <v>50802</v>
      </c>
      <c r="B224" s="7" t="s">
        <v>268</v>
      </c>
      <c r="C224" s="7">
        <v>0</v>
      </c>
      <c r="D224" s="47">
        <v>11098.666666666666</v>
      </c>
      <c r="E224" s="48">
        <f t="shared" si="0"/>
        <v>0</v>
      </c>
      <c r="F224" s="7">
        <v>0</v>
      </c>
      <c r="G224" s="47">
        <v>9610</v>
      </c>
      <c r="H224" s="48">
        <f t="shared" si="1"/>
        <v>0</v>
      </c>
      <c r="N224" s="51"/>
      <c r="Q224" s="51"/>
    </row>
    <row r="225" spans="1:17" ht="14.25">
      <c r="A225" s="7">
        <v>50901</v>
      </c>
      <c r="B225" s="7" t="s">
        <v>269</v>
      </c>
      <c r="C225" s="7">
        <v>0</v>
      </c>
      <c r="D225" s="47">
        <v>12975.583333333334</v>
      </c>
      <c r="E225" s="48">
        <f t="shared" si="0"/>
        <v>0</v>
      </c>
      <c r="F225" s="7">
        <v>0</v>
      </c>
      <c r="G225" s="47">
        <v>12740</v>
      </c>
      <c r="H225" s="48">
        <f t="shared" si="1"/>
        <v>0</v>
      </c>
      <c r="N225" s="51"/>
      <c r="Q225" s="51"/>
    </row>
    <row r="226" spans="1:17" ht="14.25">
      <c r="A226" s="7">
        <v>50902</v>
      </c>
      <c r="B226" s="7" t="s">
        <v>270</v>
      </c>
      <c r="C226" s="7">
        <v>0</v>
      </c>
      <c r="D226" s="47">
        <v>1106.75</v>
      </c>
      <c r="E226" s="48">
        <f t="shared" si="0"/>
        <v>0</v>
      </c>
      <c r="F226" s="7">
        <v>0</v>
      </c>
      <c r="G226" s="47">
        <v>1621</v>
      </c>
      <c r="H226" s="48">
        <f t="shared" si="1"/>
        <v>0</v>
      </c>
      <c r="N226" s="51"/>
      <c r="Q226" s="51"/>
    </row>
    <row r="227" spans="1:17" ht="14.25">
      <c r="A227" s="7">
        <v>51001</v>
      </c>
      <c r="B227" s="7" t="s">
        <v>271</v>
      </c>
      <c r="C227" s="7">
        <v>0</v>
      </c>
      <c r="D227" s="47">
        <v>3352.5833333333335</v>
      </c>
      <c r="E227" s="48">
        <f t="shared" si="0"/>
        <v>0</v>
      </c>
      <c r="F227" s="7">
        <v>0</v>
      </c>
      <c r="G227" s="47">
        <v>3150</v>
      </c>
      <c r="H227" s="48">
        <f t="shared" si="1"/>
        <v>0</v>
      </c>
      <c r="N227" s="51"/>
      <c r="Q227" s="51"/>
    </row>
    <row r="228" spans="1:17" ht="14.25">
      <c r="A228" s="7">
        <v>51002</v>
      </c>
      <c r="B228" s="7" t="s">
        <v>272</v>
      </c>
      <c r="C228" s="7">
        <v>0</v>
      </c>
      <c r="D228" s="47">
        <v>1167.0833333333333</v>
      </c>
      <c r="E228" s="48">
        <f t="shared" si="0"/>
        <v>0</v>
      </c>
      <c r="F228" s="7">
        <v>0</v>
      </c>
      <c r="G228" s="47">
        <v>1025</v>
      </c>
      <c r="H228" s="48">
        <f t="shared" si="1"/>
        <v>0</v>
      </c>
      <c r="N228" s="51"/>
      <c r="Q228" s="51"/>
    </row>
    <row r="229" spans="1:17" ht="14.25">
      <c r="A229" s="7">
        <v>51003</v>
      </c>
      <c r="B229" s="7" t="s">
        <v>273</v>
      </c>
      <c r="C229" s="7">
        <v>0</v>
      </c>
      <c r="D229" s="47">
        <v>2255</v>
      </c>
      <c r="E229" s="48">
        <f t="shared" si="0"/>
        <v>0</v>
      </c>
      <c r="F229" s="7">
        <v>0</v>
      </c>
      <c r="G229" s="47">
        <v>1936</v>
      </c>
      <c r="H229" s="48">
        <f t="shared" si="1"/>
        <v>0</v>
      </c>
      <c r="N229" s="51"/>
      <c r="Q229" s="51"/>
    </row>
    <row r="230" spans="1:17" ht="14.25">
      <c r="A230" s="7">
        <v>51101</v>
      </c>
      <c r="B230" s="7" t="s">
        <v>274</v>
      </c>
      <c r="C230" s="7">
        <v>0</v>
      </c>
      <c r="D230" s="47">
        <v>21456.333333333332</v>
      </c>
      <c r="E230" s="48">
        <f t="shared" si="0"/>
        <v>0</v>
      </c>
      <c r="F230" s="7">
        <v>0</v>
      </c>
      <c r="G230" s="47">
        <v>16389</v>
      </c>
      <c r="H230" s="48">
        <f t="shared" si="1"/>
        <v>0</v>
      </c>
      <c r="N230" s="51"/>
      <c r="Q230" s="51"/>
    </row>
    <row r="231" spans="1:17" ht="14.25">
      <c r="A231" s="7">
        <v>51102</v>
      </c>
      <c r="B231" s="7" t="s">
        <v>275</v>
      </c>
      <c r="C231" s="7">
        <v>0</v>
      </c>
      <c r="D231" s="47">
        <v>12144.666666666666</v>
      </c>
      <c r="E231" s="48">
        <f t="shared" si="0"/>
        <v>0</v>
      </c>
      <c r="F231" s="7">
        <v>0</v>
      </c>
      <c r="G231" s="47">
        <v>12999</v>
      </c>
      <c r="H231" s="48">
        <f t="shared" si="1"/>
        <v>0</v>
      </c>
      <c r="N231" s="51"/>
      <c r="Q231" s="51"/>
    </row>
    <row r="232" spans="1:17" ht="14.25">
      <c r="A232" s="7">
        <v>51103</v>
      </c>
      <c r="B232" s="7" t="s">
        <v>276</v>
      </c>
      <c r="C232" s="7">
        <v>0</v>
      </c>
      <c r="D232" s="47">
        <v>15689.166666666666</v>
      </c>
      <c r="E232" s="48">
        <f t="shared" si="0"/>
        <v>0</v>
      </c>
      <c r="F232" s="7">
        <v>0</v>
      </c>
      <c r="G232" s="47">
        <v>14338</v>
      </c>
      <c r="H232" s="48">
        <f t="shared" si="1"/>
        <v>0</v>
      </c>
      <c r="N232" s="51"/>
      <c r="Q232" s="51"/>
    </row>
    <row r="233" spans="1:17" ht="14.25">
      <c r="A233" s="7">
        <v>51201</v>
      </c>
      <c r="B233" s="7" t="s">
        <v>277</v>
      </c>
      <c r="C233" s="7">
        <v>0</v>
      </c>
      <c r="D233" s="47">
        <v>30142.5</v>
      </c>
      <c r="E233" s="48">
        <f t="shared" si="0"/>
        <v>0</v>
      </c>
      <c r="F233" s="7">
        <v>0</v>
      </c>
      <c r="G233" s="47">
        <v>35318</v>
      </c>
      <c r="H233" s="48">
        <f t="shared" si="1"/>
        <v>0</v>
      </c>
      <c r="N233" s="51"/>
      <c r="Q233" s="51"/>
    </row>
    <row r="234" spans="1:17" ht="14.25">
      <c r="A234" s="7">
        <v>51202</v>
      </c>
      <c r="B234" s="7" t="s">
        <v>278</v>
      </c>
      <c r="C234" s="7">
        <v>0</v>
      </c>
      <c r="D234" s="47">
        <v>8769.9166666666661</v>
      </c>
      <c r="E234" s="48">
        <f t="shared" si="0"/>
        <v>0</v>
      </c>
      <c r="F234" s="7">
        <v>0</v>
      </c>
      <c r="G234" s="47">
        <v>7845</v>
      </c>
      <c r="H234" s="48">
        <f t="shared" si="1"/>
        <v>0</v>
      </c>
      <c r="N234" s="51"/>
      <c r="Q234" s="51"/>
    </row>
    <row r="235" spans="1:17" ht="14.25">
      <c r="A235" s="7">
        <v>51203</v>
      </c>
      <c r="B235" s="7" t="s">
        <v>279</v>
      </c>
      <c r="C235" s="7">
        <v>0</v>
      </c>
      <c r="D235" s="47">
        <v>11181.666666666666</v>
      </c>
      <c r="E235" s="48">
        <f t="shared" si="0"/>
        <v>0</v>
      </c>
      <c r="F235" s="7">
        <v>0</v>
      </c>
      <c r="G235" s="47">
        <v>14654</v>
      </c>
      <c r="H235" s="48">
        <f t="shared" si="1"/>
        <v>0</v>
      </c>
      <c r="N235" s="51"/>
      <c r="Q235" s="51"/>
    </row>
    <row r="236" spans="1:17" ht="14.25">
      <c r="A236" s="7">
        <v>51204</v>
      </c>
      <c r="B236" s="7" t="s">
        <v>280</v>
      </c>
      <c r="C236" s="7">
        <v>0</v>
      </c>
      <c r="D236" s="47">
        <v>5925.333333333333</v>
      </c>
      <c r="E236" s="48">
        <f t="shared" si="0"/>
        <v>0</v>
      </c>
      <c r="F236" s="7">
        <v>0</v>
      </c>
      <c r="G236" s="47">
        <v>5819</v>
      </c>
      <c r="H236" s="48">
        <f t="shared" si="1"/>
        <v>0</v>
      </c>
      <c r="N236" s="51"/>
      <c r="Q236" s="51"/>
    </row>
    <row r="237" spans="1:17" ht="14.25">
      <c r="A237" s="7">
        <v>51301</v>
      </c>
      <c r="B237" s="7" t="s">
        <v>281</v>
      </c>
      <c r="C237" s="7">
        <v>0</v>
      </c>
      <c r="D237" s="47">
        <v>4128</v>
      </c>
      <c r="E237" s="48">
        <f t="shared" si="0"/>
        <v>0</v>
      </c>
      <c r="F237" s="7">
        <v>0</v>
      </c>
      <c r="G237" s="47">
        <v>3666</v>
      </c>
      <c r="H237" s="48">
        <f t="shared" si="1"/>
        <v>0</v>
      </c>
      <c r="N237" s="51"/>
      <c r="Q237" s="51"/>
    </row>
    <row r="238" spans="1:17" ht="14.25">
      <c r="A238" s="7">
        <v>51302</v>
      </c>
      <c r="B238" s="7" t="s">
        <v>282</v>
      </c>
      <c r="C238" s="7">
        <v>0</v>
      </c>
      <c r="D238" s="47">
        <v>6020.166666666667</v>
      </c>
      <c r="E238" s="48">
        <f t="shared" si="0"/>
        <v>0</v>
      </c>
      <c r="F238" s="7">
        <v>0</v>
      </c>
      <c r="G238" s="47">
        <v>4471</v>
      </c>
      <c r="H238" s="48">
        <f t="shared" si="1"/>
        <v>0</v>
      </c>
      <c r="N238" s="51"/>
      <c r="Q238" s="51"/>
    </row>
    <row r="239" spans="1:17" ht="14.25">
      <c r="A239" s="7">
        <v>51401</v>
      </c>
      <c r="B239" s="7" t="s">
        <v>283</v>
      </c>
      <c r="C239" s="7">
        <v>0</v>
      </c>
      <c r="D239" s="47">
        <v>4153.083333333333</v>
      </c>
      <c r="E239" s="48">
        <f t="shared" si="0"/>
        <v>0</v>
      </c>
      <c r="F239" s="7">
        <v>0</v>
      </c>
      <c r="G239" s="47">
        <v>4187</v>
      </c>
      <c r="H239" s="48">
        <f t="shared" si="1"/>
        <v>0</v>
      </c>
      <c r="N239" s="51"/>
      <c r="Q239" s="51"/>
    </row>
    <row r="240" spans="1:17" ht="14.25">
      <c r="A240" s="7">
        <v>51402</v>
      </c>
      <c r="B240" s="7" t="s">
        <v>284</v>
      </c>
      <c r="C240" s="7">
        <v>0</v>
      </c>
      <c r="D240" s="47">
        <v>1687.1666666666667</v>
      </c>
      <c r="E240" s="48">
        <f t="shared" si="0"/>
        <v>0</v>
      </c>
      <c r="F240" s="7">
        <v>0</v>
      </c>
      <c r="G240" s="47">
        <v>1546</v>
      </c>
      <c r="H240" s="48">
        <f t="shared" si="1"/>
        <v>0</v>
      </c>
      <c r="N240" s="51"/>
      <c r="Q240" s="51"/>
    </row>
    <row r="241" spans="1:17" ht="14.25">
      <c r="A241" s="7">
        <v>51501</v>
      </c>
      <c r="B241" s="7" t="s">
        <v>285</v>
      </c>
      <c r="C241" s="7">
        <v>0</v>
      </c>
      <c r="D241" s="47">
        <v>45275.5</v>
      </c>
      <c r="E241" s="48">
        <f t="shared" si="0"/>
        <v>0</v>
      </c>
      <c r="F241" s="7">
        <v>32.9</v>
      </c>
      <c r="G241" s="47">
        <v>49340</v>
      </c>
      <c r="H241" s="48">
        <f t="shared" si="1"/>
        <v>1623286</v>
      </c>
      <c r="N241" s="51"/>
      <c r="Q241" s="51"/>
    </row>
    <row r="242" spans="1:17" ht="14.25">
      <c r="A242" s="7">
        <v>51601</v>
      </c>
      <c r="B242" s="7" t="s">
        <v>286</v>
      </c>
      <c r="C242" s="7">
        <v>0</v>
      </c>
      <c r="D242" s="47">
        <v>1720.8333333333333</v>
      </c>
      <c r="E242" s="48">
        <f t="shared" si="0"/>
        <v>0</v>
      </c>
      <c r="F242" s="7">
        <v>0</v>
      </c>
      <c r="G242" s="47">
        <v>2126</v>
      </c>
      <c r="H242" s="48">
        <f t="shared" si="1"/>
        <v>0</v>
      </c>
      <c r="N242" s="51"/>
      <c r="Q242" s="51"/>
    </row>
    <row r="243" spans="1:17" ht="14.25">
      <c r="A243" s="7">
        <v>60101</v>
      </c>
      <c r="B243" s="7" t="s">
        <v>119</v>
      </c>
      <c r="C243" s="7">
        <v>104.6</v>
      </c>
      <c r="D243" s="47">
        <v>208156.16666666666</v>
      </c>
      <c r="E243" s="48">
        <f t="shared" si="0"/>
        <v>21773135.033333331</v>
      </c>
      <c r="F243" s="7">
        <v>119.4</v>
      </c>
      <c r="G243" s="47">
        <v>238749</v>
      </c>
      <c r="H243" s="48">
        <f t="shared" si="1"/>
        <v>28506630.600000001</v>
      </c>
      <c r="N243" s="51"/>
      <c r="Q243" s="51"/>
    </row>
    <row r="244" spans="1:17" ht="14.25">
      <c r="A244" s="7">
        <v>60201</v>
      </c>
      <c r="B244" s="7" t="s">
        <v>287</v>
      </c>
      <c r="C244" s="7">
        <v>0</v>
      </c>
      <c r="D244" s="47">
        <v>18609</v>
      </c>
      <c r="E244" s="48">
        <f t="shared" si="0"/>
        <v>0</v>
      </c>
      <c r="F244" s="7">
        <v>0</v>
      </c>
      <c r="G244" s="47">
        <v>17817</v>
      </c>
      <c r="H244" s="48">
        <f t="shared" si="1"/>
        <v>0</v>
      </c>
      <c r="N244" s="51"/>
      <c r="Q244" s="51"/>
    </row>
    <row r="245" spans="1:17" ht="14.25">
      <c r="A245" s="7">
        <v>60202</v>
      </c>
      <c r="B245" s="7" t="s">
        <v>288</v>
      </c>
      <c r="C245" s="7">
        <v>87.5</v>
      </c>
      <c r="D245" s="47">
        <v>34710.416666666664</v>
      </c>
      <c r="E245" s="48">
        <f t="shared" si="0"/>
        <v>3037161.458333333</v>
      </c>
      <c r="F245" s="7">
        <v>52.5</v>
      </c>
      <c r="G245" s="47">
        <v>36970</v>
      </c>
      <c r="H245" s="48">
        <f t="shared" si="1"/>
        <v>1940925</v>
      </c>
      <c r="N245" s="51"/>
      <c r="Q245" s="51"/>
    </row>
    <row r="246" spans="1:17" ht="14.25">
      <c r="A246" s="7">
        <v>60301</v>
      </c>
      <c r="B246" s="7" t="s">
        <v>289</v>
      </c>
      <c r="C246" s="7">
        <v>126.13</v>
      </c>
      <c r="D246" s="47">
        <v>92694.083333333328</v>
      </c>
      <c r="E246" s="48">
        <f t="shared" si="0"/>
        <v>11691504.730833333</v>
      </c>
      <c r="F246" s="7">
        <v>116.53</v>
      </c>
      <c r="G246" s="47">
        <v>97634</v>
      </c>
      <c r="H246" s="48">
        <f t="shared" si="1"/>
        <v>11377290.02</v>
      </c>
      <c r="N246" s="51"/>
      <c r="Q246" s="51"/>
    </row>
    <row r="247" spans="1:17" ht="14.25">
      <c r="A247" s="7">
        <v>60302</v>
      </c>
      <c r="B247" s="7" t="s">
        <v>290</v>
      </c>
      <c r="C247" s="7">
        <v>0</v>
      </c>
      <c r="D247" s="47">
        <v>15382.083333333334</v>
      </c>
      <c r="E247" s="48">
        <f t="shared" si="0"/>
        <v>0</v>
      </c>
      <c r="F247" s="7">
        <v>0</v>
      </c>
      <c r="G247" s="47">
        <v>15559</v>
      </c>
      <c r="H247" s="48">
        <f t="shared" si="1"/>
        <v>0</v>
      </c>
      <c r="N247" s="51"/>
      <c r="Q247" s="51"/>
    </row>
    <row r="248" spans="1:17" ht="14.25">
      <c r="A248" s="7">
        <v>60303</v>
      </c>
      <c r="B248" s="7" t="s">
        <v>291</v>
      </c>
      <c r="C248" s="7">
        <v>0</v>
      </c>
      <c r="D248" s="47">
        <v>40384</v>
      </c>
      <c r="E248" s="48">
        <f t="shared" si="0"/>
        <v>0</v>
      </c>
      <c r="F248" s="7">
        <v>0</v>
      </c>
      <c r="G248" s="47">
        <v>46071</v>
      </c>
      <c r="H248" s="48">
        <f t="shared" si="1"/>
        <v>0</v>
      </c>
      <c r="N248" s="51"/>
      <c r="Q248" s="51"/>
    </row>
    <row r="249" spans="1:17" ht="14.25">
      <c r="A249" s="7">
        <v>60401</v>
      </c>
      <c r="B249" s="7" t="s">
        <v>292</v>
      </c>
      <c r="C249" s="7">
        <v>0</v>
      </c>
      <c r="D249" s="47">
        <v>14876.166666666666</v>
      </c>
      <c r="E249" s="48">
        <f t="shared" si="0"/>
        <v>0</v>
      </c>
      <c r="F249" s="7">
        <v>0</v>
      </c>
      <c r="G249" s="47">
        <v>15923</v>
      </c>
      <c r="H249" s="48">
        <f t="shared" si="1"/>
        <v>0</v>
      </c>
      <c r="N249" s="51"/>
      <c r="Q249" s="51"/>
    </row>
    <row r="250" spans="1:17" ht="14.25">
      <c r="A250" s="7">
        <v>60402</v>
      </c>
      <c r="B250" s="7" t="s">
        <v>293</v>
      </c>
      <c r="C250" s="7">
        <v>0</v>
      </c>
      <c r="D250" s="47">
        <v>5428.666666666667</v>
      </c>
      <c r="E250" s="48">
        <f t="shared" si="0"/>
        <v>0</v>
      </c>
      <c r="F250" s="7">
        <v>0</v>
      </c>
      <c r="G250" s="47">
        <v>4754</v>
      </c>
      <c r="H250" s="48">
        <f t="shared" si="1"/>
        <v>0</v>
      </c>
      <c r="N250" s="51"/>
      <c r="Q250" s="51"/>
    </row>
    <row r="251" spans="1:17" ht="14.25">
      <c r="A251" s="7">
        <v>60501</v>
      </c>
      <c r="B251" s="7" t="s">
        <v>294</v>
      </c>
      <c r="C251" s="7">
        <v>0</v>
      </c>
      <c r="D251" s="47">
        <v>24403.25</v>
      </c>
      <c r="E251" s="48">
        <f t="shared" si="0"/>
        <v>0</v>
      </c>
      <c r="F251" s="7">
        <v>0</v>
      </c>
      <c r="G251" s="47">
        <v>30346</v>
      </c>
      <c r="H251" s="48">
        <f t="shared" si="1"/>
        <v>0</v>
      </c>
      <c r="N251" s="51"/>
      <c r="Q251" s="51"/>
    </row>
    <row r="252" spans="1:17" ht="14.25">
      <c r="A252" s="7">
        <v>60502</v>
      </c>
      <c r="B252" s="7" t="s">
        <v>295</v>
      </c>
      <c r="C252" s="7">
        <v>0</v>
      </c>
      <c r="D252" s="47">
        <v>11201.416666666666</v>
      </c>
      <c r="E252" s="48">
        <f t="shared" si="0"/>
        <v>0</v>
      </c>
      <c r="F252" s="7">
        <v>0</v>
      </c>
      <c r="G252" s="47">
        <v>9523</v>
      </c>
      <c r="H252" s="48">
        <f t="shared" si="1"/>
        <v>0</v>
      </c>
      <c r="N252" s="51"/>
      <c r="Q252" s="51"/>
    </row>
    <row r="253" spans="1:17" ht="14.25">
      <c r="A253" s="7">
        <v>60601</v>
      </c>
      <c r="B253" s="7" t="s">
        <v>200</v>
      </c>
      <c r="C253" s="7">
        <v>0</v>
      </c>
      <c r="D253" s="47">
        <v>21897.083333333332</v>
      </c>
      <c r="E253" s="48">
        <f t="shared" si="0"/>
        <v>0</v>
      </c>
      <c r="F253" s="7">
        <v>0</v>
      </c>
      <c r="G253" s="47">
        <v>20864</v>
      </c>
      <c r="H253" s="48">
        <f t="shared" si="1"/>
        <v>0</v>
      </c>
      <c r="N253" s="51"/>
      <c r="Q253" s="51"/>
    </row>
    <row r="254" spans="1:17" ht="14.25">
      <c r="A254" s="7">
        <v>70101</v>
      </c>
      <c r="B254" s="7" t="s">
        <v>383</v>
      </c>
      <c r="C254" s="7">
        <v>82.7</v>
      </c>
      <c r="D254" s="47">
        <v>1458304.75</v>
      </c>
      <c r="E254" s="48">
        <f t="shared" si="0"/>
        <v>120601802.825</v>
      </c>
      <c r="F254" s="7">
        <v>99</v>
      </c>
      <c r="G254" s="47">
        <v>1610982</v>
      </c>
      <c r="H254" s="48">
        <f t="shared" si="1"/>
        <v>159487218</v>
      </c>
      <c r="N254" s="51"/>
      <c r="Q254" s="51"/>
    </row>
    <row r="255" spans="1:17" ht="14.25">
      <c r="A255" s="7">
        <v>70102</v>
      </c>
      <c r="B255" s="7" t="s">
        <v>300</v>
      </c>
      <c r="C255" s="7">
        <v>75</v>
      </c>
      <c r="D255" s="47">
        <v>59880.5</v>
      </c>
      <c r="E255" s="48">
        <f t="shared" si="0"/>
        <v>4491037.5</v>
      </c>
      <c r="F255" s="7">
        <v>26.76</v>
      </c>
      <c r="G255" s="47">
        <v>106603</v>
      </c>
      <c r="H255" s="48">
        <f t="shared" si="1"/>
        <v>2852696.2800000003</v>
      </c>
      <c r="N255" s="51"/>
      <c r="Q255" s="51"/>
    </row>
    <row r="256" spans="1:17" ht="14.25">
      <c r="A256" s="7">
        <v>70103</v>
      </c>
      <c r="B256" s="7" t="s">
        <v>301</v>
      </c>
      <c r="C256" s="7">
        <v>0</v>
      </c>
      <c r="D256" s="47">
        <v>15967.75</v>
      </c>
      <c r="E256" s="48">
        <f t="shared" si="0"/>
        <v>0</v>
      </c>
      <c r="F256" s="7">
        <v>108.71</v>
      </c>
      <c r="G256" s="47">
        <v>23126</v>
      </c>
      <c r="H256" s="48">
        <f t="shared" si="1"/>
        <v>2514027.46</v>
      </c>
      <c r="N256" s="51"/>
      <c r="Q256" s="51"/>
    </row>
    <row r="257" spans="1:17" ht="14.25">
      <c r="A257" s="7">
        <v>70104</v>
      </c>
      <c r="B257" s="7" t="s">
        <v>384</v>
      </c>
      <c r="C257" s="7">
        <v>0</v>
      </c>
      <c r="D257" s="47">
        <v>94154.166666666672</v>
      </c>
      <c r="E257" s="48">
        <f t="shared" ref="E257:E344" si="15">+C257*D257</f>
        <v>0</v>
      </c>
      <c r="F257" s="7">
        <v>10.199999999999999</v>
      </c>
      <c r="G257" s="47">
        <v>147726</v>
      </c>
      <c r="H257" s="48">
        <f t="shared" ref="H257:H344" si="16">+F257*G257</f>
        <v>1506805.2</v>
      </c>
      <c r="N257" s="51"/>
      <c r="Q257" s="51"/>
    </row>
    <row r="258" spans="1:17" ht="14.25">
      <c r="A258" s="7">
        <v>70105</v>
      </c>
      <c r="B258" s="7" t="s">
        <v>385</v>
      </c>
      <c r="C258" s="7">
        <v>48.3</v>
      </c>
      <c r="D258" s="47">
        <v>50155.75</v>
      </c>
      <c r="E258" s="48">
        <f t="shared" si="15"/>
        <v>2422522.7249999996</v>
      </c>
      <c r="F258" s="7">
        <v>24.5</v>
      </c>
      <c r="G258" s="47">
        <v>55697</v>
      </c>
      <c r="H258" s="48">
        <f t="shared" si="16"/>
        <v>1364576.5</v>
      </c>
      <c r="N258" s="51"/>
      <c r="Q258" s="51"/>
    </row>
    <row r="259" spans="1:17" ht="14.25">
      <c r="A259" s="7">
        <v>70201</v>
      </c>
      <c r="B259" s="7" t="s">
        <v>303</v>
      </c>
      <c r="C259" s="7">
        <v>77.25</v>
      </c>
      <c r="D259" s="47">
        <v>100976.16666666667</v>
      </c>
      <c r="E259" s="48">
        <f t="shared" si="15"/>
        <v>7800408.875</v>
      </c>
      <c r="F259" s="7">
        <v>48.96</v>
      </c>
      <c r="G259" s="47">
        <v>151248</v>
      </c>
      <c r="H259" s="48">
        <f t="shared" si="16"/>
        <v>7405102.0800000001</v>
      </c>
      <c r="N259" s="51"/>
      <c r="Q259" s="51"/>
    </row>
    <row r="260" spans="1:17" ht="14.25">
      <c r="A260" s="7">
        <v>70202</v>
      </c>
      <c r="B260" s="7" t="s">
        <v>304</v>
      </c>
      <c r="C260" s="7">
        <v>0</v>
      </c>
      <c r="D260" s="47">
        <v>12330.583333333334</v>
      </c>
      <c r="E260" s="48">
        <f t="shared" si="15"/>
        <v>0</v>
      </c>
      <c r="F260" s="7">
        <v>0</v>
      </c>
      <c r="G260" s="47">
        <v>10665</v>
      </c>
      <c r="H260" s="48">
        <f t="shared" si="16"/>
        <v>0</v>
      </c>
      <c r="N260" s="51"/>
      <c r="Q260" s="51"/>
    </row>
    <row r="261" spans="1:17" ht="14.25">
      <c r="A261" s="7">
        <v>70301</v>
      </c>
      <c r="B261" s="7" t="s">
        <v>305</v>
      </c>
      <c r="C261" s="7">
        <v>33.94</v>
      </c>
      <c r="D261" s="47">
        <v>53590.416666666664</v>
      </c>
      <c r="E261" s="48">
        <f t="shared" si="15"/>
        <v>1818858.7416666665</v>
      </c>
      <c r="F261" s="7">
        <v>19.739999999999998</v>
      </c>
      <c r="G261" s="47">
        <v>67103</v>
      </c>
      <c r="H261" s="48">
        <f t="shared" si="16"/>
        <v>1324613.22</v>
      </c>
      <c r="N261" s="51"/>
      <c r="Q261" s="51"/>
    </row>
    <row r="262" spans="1:17" ht="14.25">
      <c r="A262" s="7">
        <v>70302</v>
      </c>
      <c r="B262" s="7" t="s">
        <v>306</v>
      </c>
      <c r="C262" s="7">
        <v>0</v>
      </c>
      <c r="D262" s="47">
        <v>11653</v>
      </c>
      <c r="E262" s="48">
        <f t="shared" si="15"/>
        <v>0</v>
      </c>
      <c r="F262" s="7">
        <v>0</v>
      </c>
      <c r="G262" s="47">
        <v>15239</v>
      </c>
      <c r="H262" s="48">
        <f t="shared" si="16"/>
        <v>0</v>
      </c>
      <c r="N262" s="51"/>
      <c r="Q262" s="51"/>
    </row>
    <row r="263" spans="1:17" ht="14.25">
      <c r="A263" s="7">
        <v>70303</v>
      </c>
      <c r="B263" s="7" t="s">
        <v>307</v>
      </c>
      <c r="C263" s="7">
        <v>0</v>
      </c>
      <c r="D263" s="47">
        <v>6364.25</v>
      </c>
      <c r="E263" s="48">
        <f t="shared" si="15"/>
        <v>0</v>
      </c>
      <c r="F263" s="7">
        <v>0</v>
      </c>
      <c r="G263" s="47">
        <v>8842</v>
      </c>
      <c r="H263" s="48">
        <f t="shared" si="16"/>
        <v>0</v>
      </c>
      <c r="N263" s="51"/>
      <c r="Q263" s="51"/>
    </row>
    <row r="264" spans="1:17" ht="14.25">
      <c r="A264" s="7">
        <v>70401</v>
      </c>
      <c r="B264" s="7" t="s">
        <v>308</v>
      </c>
      <c r="C264" s="7">
        <v>0</v>
      </c>
      <c r="D264" s="47">
        <v>12943.333333333334</v>
      </c>
      <c r="E264" s="48">
        <f t="shared" si="15"/>
        <v>0</v>
      </c>
      <c r="F264" s="7">
        <v>0</v>
      </c>
      <c r="G264" s="47">
        <v>13651</v>
      </c>
      <c r="H264" s="48">
        <f t="shared" si="16"/>
        <v>0</v>
      </c>
      <c r="N264" s="51"/>
      <c r="Q264" s="51"/>
    </row>
    <row r="265" spans="1:17" ht="14.25">
      <c r="A265" s="7">
        <v>70402</v>
      </c>
      <c r="B265" s="7" t="s">
        <v>386</v>
      </c>
      <c r="C265" s="7">
        <v>0</v>
      </c>
      <c r="D265" s="47">
        <v>19997.083333333332</v>
      </c>
      <c r="E265" s="48">
        <f t="shared" si="15"/>
        <v>0</v>
      </c>
      <c r="F265" s="7">
        <v>56.1</v>
      </c>
      <c r="G265" s="47">
        <v>18942</v>
      </c>
      <c r="H265" s="48">
        <f t="shared" si="16"/>
        <v>1062646.2</v>
      </c>
      <c r="N265" s="51"/>
      <c r="Q265" s="51"/>
    </row>
    <row r="266" spans="1:17" ht="14.25">
      <c r="A266" s="7">
        <v>70403</v>
      </c>
      <c r="B266" s="7" t="s">
        <v>309</v>
      </c>
      <c r="C266" s="7">
        <v>27.82</v>
      </c>
      <c r="D266" s="47">
        <v>51161</v>
      </c>
      <c r="E266" s="48">
        <f t="shared" si="15"/>
        <v>1423299.02</v>
      </c>
      <c r="F266" s="7">
        <v>25.4</v>
      </c>
      <c r="G266" s="47">
        <v>57794</v>
      </c>
      <c r="H266" s="48">
        <f t="shared" si="16"/>
        <v>1467967.5999999999</v>
      </c>
      <c r="N266" s="51"/>
      <c r="Q266" s="51"/>
    </row>
    <row r="267" spans="1:17" ht="14.25">
      <c r="A267" s="7">
        <v>70404</v>
      </c>
      <c r="B267" s="7" t="s">
        <v>310</v>
      </c>
      <c r="C267" s="7">
        <v>0</v>
      </c>
      <c r="D267" s="47">
        <v>9275.0833333333339</v>
      </c>
      <c r="E267" s="48">
        <f t="shared" si="15"/>
        <v>0</v>
      </c>
      <c r="F267" s="7">
        <v>0</v>
      </c>
      <c r="G267" s="47">
        <v>10200</v>
      </c>
      <c r="H267" s="48">
        <f t="shared" si="16"/>
        <v>0</v>
      </c>
      <c r="N267" s="51"/>
      <c r="Q267" s="51"/>
    </row>
    <row r="268" spans="1:17" ht="14.25">
      <c r="A268" s="7">
        <v>70501</v>
      </c>
      <c r="B268" s="7" t="s">
        <v>311</v>
      </c>
      <c r="C268" s="7">
        <v>0</v>
      </c>
      <c r="D268" s="47">
        <v>29926.333333333332</v>
      </c>
      <c r="E268" s="48">
        <f t="shared" si="15"/>
        <v>0</v>
      </c>
      <c r="F268" s="7">
        <v>0</v>
      </c>
      <c r="G268" s="47">
        <v>40974</v>
      </c>
      <c r="H268" s="48">
        <f t="shared" si="16"/>
        <v>0</v>
      </c>
      <c r="N268" s="51"/>
      <c r="Q268" s="51"/>
    </row>
    <row r="269" spans="1:17" ht="14.25">
      <c r="A269" s="7">
        <v>70502</v>
      </c>
      <c r="B269" s="7" t="s">
        <v>312</v>
      </c>
      <c r="C269" s="7">
        <v>0</v>
      </c>
      <c r="D269" s="47">
        <v>39251.75</v>
      </c>
      <c r="E269" s="48">
        <f t="shared" si="15"/>
        <v>0</v>
      </c>
      <c r="F269" s="7">
        <v>0</v>
      </c>
      <c r="G269" s="47">
        <v>54495</v>
      </c>
      <c r="H269" s="48">
        <f t="shared" si="16"/>
        <v>0</v>
      </c>
      <c r="N269" s="51"/>
      <c r="Q269" s="51"/>
    </row>
    <row r="270" spans="1:17" ht="14.25">
      <c r="A270" s="7">
        <v>70503</v>
      </c>
      <c r="B270" s="7" t="s">
        <v>313</v>
      </c>
      <c r="C270" s="7">
        <v>0</v>
      </c>
      <c r="D270" s="47">
        <v>15901.166666666666</v>
      </c>
      <c r="E270" s="48">
        <f t="shared" si="15"/>
        <v>0</v>
      </c>
      <c r="F270" s="7">
        <v>65.89</v>
      </c>
      <c r="G270" s="47">
        <v>18763</v>
      </c>
      <c r="H270" s="48">
        <f t="shared" si="16"/>
        <v>1236294.07</v>
      </c>
      <c r="N270" s="51"/>
      <c r="Q270" s="51"/>
    </row>
    <row r="271" spans="1:17" ht="14.25">
      <c r="A271" s="7">
        <v>70601</v>
      </c>
      <c r="B271" s="7" t="s">
        <v>314</v>
      </c>
      <c r="C271" s="7">
        <v>0</v>
      </c>
      <c r="D271" s="47">
        <v>18123.166666666668</v>
      </c>
      <c r="E271" s="48">
        <f t="shared" si="15"/>
        <v>0</v>
      </c>
      <c r="F271" s="7">
        <v>84.61</v>
      </c>
      <c r="G271" s="47">
        <v>20743</v>
      </c>
      <c r="H271" s="48">
        <f t="shared" si="16"/>
        <v>1755065.23</v>
      </c>
      <c r="N271" s="51"/>
      <c r="Q271" s="51"/>
    </row>
    <row r="272" spans="1:17" ht="14.25">
      <c r="A272" s="7">
        <v>70602</v>
      </c>
      <c r="B272" s="7" t="s">
        <v>315</v>
      </c>
      <c r="C272" s="7">
        <v>0</v>
      </c>
      <c r="D272" s="47">
        <v>19115.5</v>
      </c>
      <c r="E272" s="48">
        <f t="shared" si="15"/>
        <v>0</v>
      </c>
      <c r="F272" s="7">
        <v>0</v>
      </c>
      <c r="G272" s="47">
        <v>17999</v>
      </c>
      <c r="H272" s="48">
        <f t="shared" si="16"/>
        <v>0</v>
      </c>
      <c r="N272" s="51"/>
      <c r="Q272" s="51"/>
    </row>
    <row r="273" spans="1:17" ht="14.25">
      <c r="A273" s="7">
        <v>70603</v>
      </c>
      <c r="B273" s="7" t="s">
        <v>316</v>
      </c>
      <c r="C273" s="7">
        <v>0</v>
      </c>
      <c r="D273" s="47">
        <v>6063.833333333333</v>
      </c>
      <c r="E273" s="48">
        <f t="shared" si="15"/>
        <v>0</v>
      </c>
      <c r="F273" s="7">
        <v>0</v>
      </c>
      <c r="G273" s="47">
        <v>6007</v>
      </c>
      <c r="H273" s="48">
        <f t="shared" si="16"/>
        <v>0</v>
      </c>
      <c r="N273" s="51"/>
      <c r="Q273" s="51"/>
    </row>
    <row r="274" spans="1:17" ht="14.25">
      <c r="A274" s="7">
        <v>70701</v>
      </c>
      <c r="B274" s="7" t="s">
        <v>317</v>
      </c>
      <c r="C274" s="7">
        <v>0</v>
      </c>
      <c r="D274" s="47">
        <v>5414.333333333333</v>
      </c>
      <c r="E274" s="48">
        <f t="shared" si="15"/>
        <v>0</v>
      </c>
      <c r="F274" s="7">
        <v>0</v>
      </c>
      <c r="G274" s="47">
        <v>5946</v>
      </c>
      <c r="H274" s="48">
        <f t="shared" si="16"/>
        <v>0</v>
      </c>
      <c r="N274" s="51"/>
      <c r="Q274" s="51"/>
    </row>
    <row r="275" spans="1:17" ht="14.25">
      <c r="A275" s="7">
        <v>70702</v>
      </c>
      <c r="B275" s="7" t="s">
        <v>318</v>
      </c>
      <c r="C275" s="7">
        <v>0</v>
      </c>
      <c r="D275" s="47">
        <v>32705.5</v>
      </c>
      <c r="E275" s="48">
        <f t="shared" si="15"/>
        <v>0</v>
      </c>
      <c r="F275" s="7">
        <v>0</v>
      </c>
      <c r="G275" s="47">
        <v>38420</v>
      </c>
      <c r="H275" s="48">
        <f t="shared" si="16"/>
        <v>0</v>
      </c>
      <c r="N275" s="51"/>
      <c r="Q275" s="51"/>
    </row>
    <row r="276" spans="1:17" ht="14.25">
      <c r="A276" s="7">
        <v>70703</v>
      </c>
      <c r="B276" s="7" t="s">
        <v>319</v>
      </c>
      <c r="C276" s="7">
        <v>0</v>
      </c>
      <c r="D276" s="47">
        <v>26977.916666666668</v>
      </c>
      <c r="E276" s="48">
        <f t="shared" si="15"/>
        <v>0</v>
      </c>
      <c r="F276" s="7">
        <v>0</v>
      </c>
      <c r="G276" s="47">
        <v>32961</v>
      </c>
      <c r="H276" s="48">
        <f t="shared" si="16"/>
        <v>0</v>
      </c>
      <c r="N276" s="51"/>
      <c r="Q276" s="51"/>
    </row>
    <row r="277" spans="1:17" ht="14.25">
      <c r="A277" s="7">
        <v>70704</v>
      </c>
      <c r="B277" s="7" t="s">
        <v>320</v>
      </c>
      <c r="C277" s="7">
        <v>0</v>
      </c>
      <c r="D277" s="47">
        <v>5075.583333333333</v>
      </c>
      <c r="E277" s="48">
        <f t="shared" si="15"/>
        <v>0</v>
      </c>
      <c r="F277" s="7">
        <v>0</v>
      </c>
      <c r="G277" s="47">
        <v>5335</v>
      </c>
      <c r="H277" s="48">
        <f t="shared" si="16"/>
        <v>0</v>
      </c>
      <c r="N277" s="51"/>
      <c r="Q277" s="51"/>
    </row>
    <row r="278" spans="1:17" ht="14.25">
      <c r="A278" s="7">
        <v>70705</v>
      </c>
      <c r="B278" s="7" t="s">
        <v>321</v>
      </c>
      <c r="C278" s="7">
        <v>0</v>
      </c>
      <c r="D278" s="47">
        <v>12449.333333333334</v>
      </c>
      <c r="E278" s="48">
        <f t="shared" si="15"/>
        <v>0</v>
      </c>
      <c r="F278" s="7">
        <v>0</v>
      </c>
      <c r="G278" s="47">
        <v>14389</v>
      </c>
      <c r="H278" s="48">
        <f t="shared" si="16"/>
        <v>0</v>
      </c>
      <c r="N278" s="51"/>
      <c r="Q278" s="51"/>
    </row>
    <row r="279" spans="1:17" ht="14.25">
      <c r="A279" s="7">
        <v>70706</v>
      </c>
      <c r="B279" s="7" t="s">
        <v>322</v>
      </c>
      <c r="C279" s="7">
        <v>0</v>
      </c>
      <c r="D279" s="47">
        <v>33708.583333333336</v>
      </c>
      <c r="E279" s="48">
        <f t="shared" si="15"/>
        <v>0</v>
      </c>
      <c r="F279" s="7">
        <v>0</v>
      </c>
      <c r="G279" s="47">
        <v>32285</v>
      </c>
      <c r="H279" s="48">
        <f t="shared" si="16"/>
        <v>0</v>
      </c>
      <c r="N279" s="51"/>
      <c r="Q279" s="51"/>
    </row>
    <row r="280" spans="1:17" ht="14.25">
      <c r="A280" s="7">
        <v>70707</v>
      </c>
      <c r="B280" s="7" t="s">
        <v>323</v>
      </c>
      <c r="C280" s="7">
        <v>0</v>
      </c>
      <c r="D280" s="47">
        <v>5130.75</v>
      </c>
      <c r="E280" s="48">
        <f t="shared" si="15"/>
        <v>0</v>
      </c>
      <c r="F280" s="7">
        <v>0</v>
      </c>
      <c r="G280" s="47">
        <v>5612</v>
      </c>
      <c r="H280" s="48">
        <f t="shared" si="16"/>
        <v>0</v>
      </c>
      <c r="N280" s="51"/>
      <c r="Q280" s="51"/>
    </row>
    <row r="281" spans="1:17" ht="14.25">
      <c r="A281" s="7">
        <v>70801</v>
      </c>
      <c r="B281" s="7" t="s">
        <v>324</v>
      </c>
      <c r="C281" s="7">
        <v>0</v>
      </c>
      <c r="D281" s="47">
        <v>17211.416666666668</v>
      </c>
      <c r="E281" s="48">
        <f t="shared" si="15"/>
        <v>0</v>
      </c>
      <c r="F281" s="7">
        <v>107.31</v>
      </c>
      <c r="G281" s="47">
        <v>17249</v>
      </c>
      <c r="H281" s="48">
        <f t="shared" si="16"/>
        <v>1850990.19</v>
      </c>
      <c r="N281" s="51"/>
      <c r="Q281" s="51"/>
    </row>
    <row r="282" spans="1:17" ht="14.25">
      <c r="A282" s="7">
        <v>70802</v>
      </c>
      <c r="B282" s="7" t="s">
        <v>325</v>
      </c>
      <c r="C282" s="7">
        <v>0</v>
      </c>
      <c r="D282" s="47">
        <v>2153.6666666666665</v>
      </c>
      <c r="E282" s="48">
        <f t="shared" si="15"/>
        <v>0</v>
      </c>
      <c r="F282" s="7">
        <v>0</v>
      </c>
      <c r="G282" s="47">
        <v>2359</v>
      </c>
      <c r="H282" s="48">
        <f t="shared" si="16"/>
        <v>0</v>
      </c>
      <c r="N282" s="51"/>
      <c r="Q282" s="51"/>
    </row>
    <row r="283" spans="1:17" ht="14.25">
      <c r="A283" s="7">
        <v>70803</v>
      </c>
      <c r="B283" s="7" t="s">
        <v>326</v>
      </c>
      <c r="C283" s="7">
        <v>0</v>
      </c>
      <c r="D283" s="47">
        <v>2769.1666666666665</v>
      </c>
      <c r="E283" s="48">
        <f t="shared" si="15"/>
        <v>0</v>
      </c>
      <c r="F283" s="7">
        <v>0</v>
      </c>
      <c r="G283" s="47">
        <v>2793</v>
      </c>
      <c r="H283" s="48">
        <f t="shared" si="16"/>
        <v>0</v>
      </c>
      <c r="N283" s="51"/>
      <c r="Q283" s="51"/>
    </row>
    <row r="284" spans="1:17" ht="14.25">
      <c r="A284" s="7">
        <v>70804</v>
      </c>
      <c r="B284" s="7" t="s">
        <v>327</v>
      </c>
      <c r="C284" s="7">
        <v>0</v>
      </c>
      <c r="D284" s="47">
        <v>2341.3333333333335</v>
      </c>
      <c r="E284" s="48">
        <f t="shared" si="15"/>
        <v>0</v>
      </c>
      <c r="F284" s="7">
        <v>0</v>
      </c>
      <c r="G284" s="47">
        <v>1806</v>
      </c>
      <c r="H284" s="48">
        <f t="shared" si="16"/>
        <v>0</v>
      </c>
      <c r="N284" s="51"/>
      <c r="Q284" s="51"/>
    </row>
    <row r="285" spans="1:17" ht="14.25">
      <c r="A285" s="7">
        <v>70805</v>
      </c>
      <c r="B285" s="7" t="s">
        <v>328</v>
      </c>
      <c r="C285" s="7">
        <v>0</v>
      </c>
      <c r="D285" s="47">
        <v>2070.9166666666665</v>
      </c>
      <c r="E285" s="48">
        <f t="shared" si="15"/>
        <v>0</v>
      </c>
      <c r="F285" s="7">
        <v>0</v>
      </c>
      <c r="G285" s="47">
        <v>2015</v>
      </c>
      <c r="H285" s="48">
        <f t="shared" si="16"/>
        <v>0</v>
      </c>
      <c r="N285" s="51"/>
      <c r="Q285" s="51"/>
    </row>
    <row r="286" spans="1:17" ht="14.25">
      <c r="A286" s="7">
        <v>70901</v>
      </c>
      <c r="B286" s="7" t="s">
        <v>329</v>
      </c>
      <c r="C286" s="7">
        <v>0</v>
      </c>
      <c r="D286" s="47">
        <v>10586.25</v>
      </c>
      <c r="E286" s="48">
        <f t="shared" si="15"/>
        <v>0</v>
      </c>
      <c r="F286" s="7">
        <v>0</v>
      </c>
      <c r="G286" s="47">
        <v>11843</v>
      </c>
      <c r="H286" s="48">
        <f t="shared" si="16"/>
        <v>0</v>
      </c>
      <c r="N286" s="51"/>
      <c r="Q286" s="51"/>
    </row>
    <row r="287" spans="1:17" ht="14.25">
      <c r="A287" s="7">
        <v>70902</v>
      </c>
      <c r="B287" s="7" t="s">
        <v>330</v>
      </c>
      <c r="C287" s="7">
        <v>0</v>
      </c>
      <c r="D287" s="47">
        <v>9239.1666666666661</v>
      </c>
      <c r="E287" s="48">
        <f t="shared" si="15"/>
        <v>0</v>
      </c>
      <c r="F287" s="7">
        <v>0</v>
      </c>
      <c r="G287" s="47">
        <v>9692</v>
      </c>
      <c r="H287" s="48">
        <f t="shared" si="16"/>
        <v>0</v>
      </c>
      <c r="N287" s="51"/>
      <c r="Q287" s="51"/>
    </row>
    <row r="288" spans="1:17" ht="14.25">
      <c r="A288" s="7">
        <v>70903</v>
      </c>
      <c r="B288" s="7" t="s">
        <v>331</v>
      </c>
      <c r="C288" s="7">
        <v>0</v>
      </c>
      <c r="D288" s="47">
        <v>10390.166666666666</v>
      </c>
      <c r="E288" s="48">
        <f t="shared" si="15"/>
        <v>0</v>
      </c>
      <c r="F288" s="7">
        <v>22.65</v>
      </c>
      <c r="G288" s="47">
        <v>12735</v>
      </c>
      <c r="H288" s="48">
        <f t="shared" si="16"/>
        <v>288447.75</v>
      </c>
      <c r="N288" s="51"/>
      <c r="Q288" s="51"/>
    </row>
    <row r="289" spans="1:17" ht="14.25">
      <c r="A289" s="7">
        <v>70904</v>
      </c>
      <c r="B289" s="7" t="s">
        <v>332</v>
      </c>
      <c r="C289" s="7">
        <v>0</v>
      </c>
      <c r="D289" s="47">
        <v>3002.5833333333335</v>
      </c>
      <c r="E289" s="48">
        <f t="shared" si="15"/>
        <v>0</v>
      </c>
      <c r="F289" s="7">
        <v>0</v>
      </c>
      <c r="G289" s="47">
        <v>3086</v>
      </c>
      <c r="H289" s="48">
        <f t="shared" si="16"/>
        <v>0</v>
      </c>
      <c r="N289" s="51"/>
      <c r="Q289" s="51"/>
    </row>
    <row r="290" spans="1:17" ht="14.25">
      <c r="A290" s="7">
        <v>71001</v>
      </c>
      <c r="B290" s="7" t="s">
        <v>333</v>
      </c>
      <c r="C290" s="7">
        <v>130.19999999999999</v>
      </c>
      <c r="D290" s="47">
        <v>110965.33333333333</v>
      </c>
      <c r="E290" s="48">
        <f t="shared" si="15"/>
        <v>14447686.399999999</v>
      </c>
      <c r="F290" s="7">
        <v>8.99</v>
      </c>
      <c r="G290" s="47">
        <v>126886</v>
      </c>
      <c r="H290" s="48">
        <f t="shared" si="16"/>
        <v>1140705.1400000001</v>
      </c>
      <c r="N290" s="51"/>
      <c r="Q290" s="51"/>
    </row>
    <row r="291" spans="1:17" ht="14.25">
      <c r="A291" s="7">
        <v>71002</v>
      </c>
      <c r="B291" s="7" t="s">
        <v>335</v>
      </c>
      <c r="C291" s="7">
        <v>0</v>
      </c>
      <c r="D291" s="47">
        <v>14408.083333333334</v>
      </c>
      <c r="E291" s="48">
        <f t="shared" si="15"/>
        <v>0</v>
      </c>
      <c r="F291" s="7">
        <v>0</v>
      </c>
      <c r="G291" s="47">
        <v>16598</v>
      </c>
      <c r="H291" s="48">
        <f t="shared" si="16"/>
        <v>0</v>
      </c>
      <c r="N291" s="51"/>
      <c r="Q291" s="51"/>
    </row>
    <row r="292" spans="1:17" ht="14.25">
      <c r="A292" s="7">
        <v>71003</v>
      </c>
      <c r="B292" s="7" t="s">
        <v>336</v>
      </c>
      <c r="C292" s="7">
        <v>0</v>
      </c>
      <c r="D292" s="47">
        <v>23239.25</v>
      </c>
      <c r="E292" s="48">
        <f t="shared" si="15"/>
        <v>0</v>
      </c>
      <c r="F292" s="7">
        <v>74.72</v>
      </c>
      <c r="G292" s="47">
        <v>23110</v>
      </c>
      <c r="H292" s="48">
        <f t="shared" si="16"/>
        <v>1726779.2</v>
      </c>
      <c r="N292" s="51"/>
      <c r="Q292" s="51"/>
    </row>
    <row r="293" spans="1:17" ht="14.25">
      <c r="A293" s="7">
        <v>71004</v>
      </c>
      <c r="B293" s="7" t="s">
        <v>387</v>
      </c>
      <c r="C293" s="7">
        <v>0</v>
      </c>
      <c r="D293" s="47">
        <v>15074.75</v>
      </c>
      <c r="E293" s="48">
        <f t="shared" si="15"/>
        <v>0</v>
      </c>
      <c r="F293" s="7">
        <v>49.3</v>
      </c>
      <c r="G293" s="47">
        <v>14610</v>
      </c>
      <c r="H293" s="48">
        <f t="shared" si="16"/>
        <v>720273</v>
      </c>
      <c r="N293" s="51"/>
      <c r="Q293" s="51"/>
    </row>
    <row r="294" spans="1:17" ht="14.25">
      <c r="A294" s="7">
        <v>71005</v>
      </c>
      <c r="B294" s="7" t="s">
        <v>261</v>
      </c>
      <c r="C294" s="7">
        <v>0</v>
      </c>
      <c r="D294" s="47">
        <v>18781.583333333332</v>
      </c>
      <c r="E294" s="48">
        <f t="shared" si="15"/>
        <v>0</v>
      </c>
      <c r="F294" s="7">
        <v>0</v>
      </c>
      <c r="G294" s="47">
        <v>15246</v>
      </c>
      <c r="H294" s="48">
        <f t="shared" si="16"/>
        <v>0</v>
      </c>
      <c r="N294" s="51"/>
      <c r="Q294" s="51"/>
    </row>
    <row r="295" spans="1:17" ht="14.25">
      <c r="A295" s="7">
        <v>71101</v>
      </c>
      <c r="B295" s="7" t="s">
        <v>337</v>
      </c>
      <c r="C295" s="7">
        <v>0</v>
      </c>
      <c r="D295" s="47">
        <v>19743.166666666668</v>
      </c>
      <c r="E295" s="48">
        <f t="shared" si="15"/>
        <v>0</v>
      </c>
      <c r="F295" s="7">
        <v>0</v>
      </c>
      <c r="G295" s="47">
        <v>30118</v>
      </c>
      <c r="H295" s="48">
        <f t="shared" si="16"/>
        <v>0</v>
      </c>
      <c r="N295" s="51"/>
      <c r="Q295" s="51"/>
    </row>
    <row r="296" spans="1:17" ht="14.25">
      <c r="A296" s="7">
        <v>71102</v>
      </c>
      <c r="B296" s="7" t="s">
        <v>338</v>
      </c>
      <c r="C296" s="7">
        <v>0</v>
      </c>
      <c r="D296" s="47">
        <v>13725.666666666666</v>
      </c>
      <c r="E296" s="48">
        <f t="shared" si="15"/>
        <v>0</v>
      </c>
      <c r="F296" s="7">
        <v>0</v>
      </c>
      <c r="G296" s="47">
        <v>14888</v>
      </c>
      <c r="H296" s="48">
        <f t="shared" si="16"/>
        <v>0</v>
      </c>
      <c r="N296" s="51"/>
      <c r="Q296" s="51"/>
    </row>
    <row r="297" spans="1:17" ht="14.25">
      <c r="A297" s="7">
        <v>71103</v>
      </c>
      <c r="B297" s="7" t="s">
        <v>341</v>
      </c>
      <c r="C297" s="7">
        <v>0</v>
      </c>
      <c r="D297" s="47">
        <v>7577.583333333333</v>
      </c>
      <c r="E297" s="48">
        <f t="shared" si="15"/>
        <v>0</v>
      </c>
      <c r="F297" s="7">
        <v>0</v>
      </c>
      <c r="G297" s="47">
        <v>8541</v>
      </c>
      <c r="H297" s="48">
        <f t="shared" si="16"/>
        <v>0</v>
      </c>
      <c r="N297" s="51"/>
      <c r="Q297" s="51"/>
    </row>
    <row r="298" spans="1:17" ht="14.25">
      <c r="A298" s="7">
        <v>71104</v>
      </c>
      <c r="B298" s="7" t="s">
        <v>339</v>
      </c>
      <c r="C298" s="7">
        <v>0</v>
      </c>
      <c r="D298" s="47">
        <v>47207.083333333336</v>
      </c>
      <c r="E298" s="48">
        <f t="shared" si="15"/>
        <v>0</v>
      </c>
      <c r="F298" s="7">
        <v>0</v>
      </c>
      <c r="G298" s="47">
        <v>44909</v>
      </c>
      <c r="H298" s="48">
        <f t="shared" si="16"/>
        <v>0</v>
      </c>
      <c r="N298" s="51"/>
      <c r="Q298" s="51"/>
    </row>
    <row r="299" spans="1:17" ht="14.25">
      <c r="A299" s="7">
        <v>71105</v>
      </c>
      <c r="B299" s="7" t="s">
        <v>340</v>
      </c>
      <c r="C299" s="7">
        <v>0</v>
      </c>
      <c r="D299" s="47">
        <v>6471.25</v>
      </c>
      <c r="E299" s="48">
        <f t="shared" si="15"/>
        <v>0</v>
      </c>
      <c r="F299" s="7">
        <v>0</v>
      </c>
      <c r="G299" s="47">
        <v>6364</v>
      </c>
      <c r="H299" s="48">
        <f t="shared" si="16"/>
        <v>0</v>
      </c>
      <c r="N299" s="51"/>
      <c r="Q299" s="51"/>
    </row>
    <row r="300" spans="1:17" ht="14.25">
      <c r="A300" s="7">
        <v>71106</v>
      </c>
      <c r="B300" s="7" t="s">
        <v>342</v>
      </c>
      <c r="C300" s="7">
        <v>0</v>
      </c>
      <c r="D300" s="47">
        <v>23046.083333333332</v>
      </c>
      <c r="E300" s="48">
        <f t="shared" si="15"/>
        <v>0</v>
      </c>
      <c r="F300" s="7">
        <v>87.19</v>
      </c>
      <c r="G300" s="47">
        <v>25258</v>
      </c>
      <c r="H300" s="48">
        <f t="shared" si="16"/>
        <v>2202245.02</v>
      </c>
      <c r="N300" s="51"/>
      <c r="Q300" s="51"/>
    </row>
    <row r="301" spans="1:17" ht="14.25">
      <c r="A301" s="7">
        <v>71201</v>
      </c>
      <c r="B301" s="7" t="s">
        <v>343</v>
      </c>
      <c r="C301" s="7">
        <v>0</v>
      </c>
      <c r="D301" s="47">
        <v>14545.666666666666</v>
      </c>
      <c r="E301" s="48">
        <f t="shared" si="15"/>
        <v>0</v>
      </c>
      <c r="F301" s="7">
        <v>0</v>
      </c>
      <c r="G301" s="47">
        <v>15378</v>
      </c>
      <c r="H301" s="48">
        <f t="shared" si="16"/>
        <v>0</v>
      </c>
      <c r="N301" s="51"/>
      <c r="Q301" s="51"/>
    </row>
    <row r="302" spans="1:17" ht="14.25">
      <c r="A302" s="7">
        <v>71301</v>
      </c>
      <c r="B302" s="7" t="s">
        <v>344</v>
      </c>
      <c r="C302" s="7">
        <v>0</v>
      </c>
      <c r="D302" s="47">
        <v>16025.333333333334</v>
      </c>
      <c r="E302" s="48">
        <f t="shared" si="15"/>
        <v>0</v>
      </c>
      <c r="F302" s="7">
        <v>0</v>
      </c>
      <c r="G302" s="47">
        <v>17195</v>
      </c>
      <c r="H302" s="48">
        <f t="shared" si="16"/>
        <v>0</v>
      </c>
      <c r="N302" s="51"/>
      <c r="Q302" s="51"/>
    </row>
    <row r="303" spans="1:17" ht="14.25">
      <c r="A303" s="7">
        <v>71302</v>
      </c>
      <c r="B303" s="7" t="s">
        <v>345</v>
      </c>
      <c r="C303" s="7">
        <v>0</v>
      </c>
      <c r="D303" s="47">
        <v>7278.166666666667</v>
      </c>
      <c r="E303" s="48">
        <f t="shared" si="15"/>
        <v>0</v>
      </c>
      <c r="F303" s="7">
        <v>0</v>
      </c>
      <c r="G303" s="47">
        <v>6048</v>
      </c>
      <c r="H303" s="48">
        <f t="shared" si="16"/>
        <v>0</v>
      </c>
      <c r="N303" s="51"/>
      <c r="Q303" s="51"/>
    </row>
    <row r="304" spans="1:17" ht="14.25">
      <c r="A304" s="7">
        <v>71401</v>
      </c>
      <c r="B304" s="7" t="s">
        <v>346</v>
      </c>
      <c r="C304" s="7">
        <v>0</v>
      </c>
      <c r="D304" s="47">
        <v>19628</v>
      </c>
      <c r="E304" s="48">
        <f t="shared" si="15"/>
        <v>0</v>
      </c>
      <c r="F304" s="7">
        <v>0</v>
      </c>
      <c r="G304" s="47">
        <v>17417</v>
      </c>
      <c r="H304" s="48">
        <f t="shared" si="16"/>
        <v>0</v>
      </c>
      <c r="N304" s="51"/>
      <c r="Q304" s="51"/>
    </row>
    <row r="305" spans="1:17" ht="14.25">
      <c r="A305" s="7">
        <v>71402</v>
      </c>
      <c r="B305" s="7" t="s">
        <v>347</v>
      </c>
      <c r="C305" s="7">
        <v>0</v>
      </c>
      <c r="D305" s="47">
        <v>16768.583333333332</v>
      </c>
      <c r="E305" s="48">
        <f t="shared" si="15"/>
        <v>0</v>
      </c>
      <c r="F305" s="7">
        <v>0</v>
      </c>
      <c r="G305" s="47">
        <v>17974</v>
      </c>
      <c r="H305" s="48">
        <f t="shared" si="16"/>
        <v>0</v>
      </c>
      <c r="N305" s="51"/>
      <c r="Q305" s="51"/>
    </row>
    <row r="306" spans="1:17" ht="14.25">
      <c r="A306" s="7">
        <v>71403</v>
      </c>
      <c r="B306" s="7" t="s">
        <v>348</v>
      </c>
      <c r="C306" s="7">
        <v>0</v>
      </c>
      <c r="D306" s="47">
        <v>6548.166666666667</v>
      </c>
      <c r="E306" s="48">
        <f t="shared" si="15"/>
        <v>0</v>
      </c>
      <c r="F306" s="7">
        <v>0</v>
      </c>
      <c r="G306" s="47">
        <v>8816</v>
      </c>
      <c r="H306" s="48">
        <f t="shared" si="16"/>
        <v>0</v>
      </c>
      <c r="N306" s="51"/>
      <c r="Q306" s="51"/>
    </row>
    <row r="307" spans="1:17" ht="14.25">
      <c r="A307" s="7">
        <v>71501</v>
      </c>
      <c r="B307" s="7" t="s">
        <v>349</v>
      </c>
      <c r="C307" s="7">
        <v>0</v>
      </c>
      <c r="D307" s="47">
        <v>27654.083333333332</v>
      </c>
      <c r="E307" s="48">
        <f t="shared" si="15"/>
        <v>0</v>
      </c>
      <c r="F307" s="7">
        <v>0</v>
      </c>
      <c r="G307" s="47">
        <v>34079</v>
      </c>
      <c r="H307" s="48">
        <f t="shared" si="16"/>
        <v>0</v>
      </c>
      <c r="N307" s="51"/>
      <c r="Q307" s="51"/>
    </row>
    <row r="308" spans="1:17" ht="14.25">
      <c r="A308" s="7">
        <v>71502</v>
      </c>
      <c r="B308" s="7" t="s">
        <v>350</v>
      </c>
      <c r="C308" s="7">
        <v>0</v>
      </c>
      <c r="D308" s="47">
        <v>6986.75</v>
      </c>
      <c r="E308" s="48">
        <f t="shared" si="15"/>
        <v>0</v>
      </c>
      <c r="F308" s="7">
        <v>0</v>
      </c>
      <c r="G308" s="47">
        <v>6555</v>
      </c>
      <c r="H308" s="48">
        <f t="shared" si="16"/>
        <v>0</v>
      </c>
      <c r="N308" s="51"/>
      <c r="Q308" s="51"/>
    </row>
    <row r="309" spans="1:17" ht="14.25">
      <c r="A309" s="7">
        <v>71503</v>
      </c>
      <c r="B309" s="7" t="s">
        <v>295</v>
      </c>
      <c r="C309" s="7">
        <v>0</v>
      </c>
      <c r="D309" s="47">
        <v>14462.083333333334</v>
      </c>
      <c r="E309" s="48">
        <f t="shared" si="15"/>
        <v>0</v>
      </c>
      <c r="F309" s="7">
        <v>0</v>
      </c>
      <c r="G309" s="47">
        <v>17290</v>
      </c>
      <c r="H309" s="48">
        <f t="shared" si="16"/>
        <v>0</v>
      </c>
      <c r="N309" s="51"/>
      <c r="Q309" s="51"/>
    </row>
    <row r="310" spans="1:17" ht="14.25">
      <c r="A310" s="7">
        <v>80101</v>
      </c>
      <c r="B310" s="7" t="s">
        <v>351</v>
      </c>
      <c r="C310" s="7">
        <v>170.49</v>
      </c>
      <c r="D310" s="47">
        <v>108428.75</v>
      </c>
      <c r="E310" s="48">
        <f t="shared" si="15"/>
        <v>18486017.587500002</v>
      </c>
      <c r="F310" s="7">
        <v>198.04</v>
      </c>
      <c r="G310" s="47">
        <v>128589</v>
      </c>
      <c r="H310" s="48">
        <f t="shared" si="16"/>
        <v>25465765.559999999</v>
      </c>
      <c r="N310" s="51"/>
      <c r="Q310" s="51"/>
    </row>
    <row r="311" spans="1:17" ht="14.25">
      <c r="A311" s="7">
        <v>80102</v>
      </c>
      <c r="B311" s="7" t="s">
        <v>338</v>
      </c>
      <c r="C311" s="7">
        <v>0</v>
      </c>
      <c r="D311" s="47">
        <v>5496.666666666667</v>
      </c>
      <c r="E311" s="48">
        <f t="shared" si="15"/>
        <v>0</v>
      </c>
      <c r="F311" s="7">
        <v>0</v>
      </c>
      <c r="G311" s="47">
        <v>7913</v>
      </c>
      <c r="H311" s="48">
        <f t="shared" si="16"/>
        <v>0</v>
      </c>
      <c r="N311" s="51"/>
      <c r="Q311" s="51"/>
    </row>
    <row r="312" spans="1:17" ht="14.25">
      <c r="A312" s="7">
        <v>80201</v>
      </c>
      <c r="B312" s="7" t="s">
        <v>352</v>
      </c>
      <c r="C312" s="7">
        <v>0</v>
      </c>
      <c r="D312" s="47">
        <v>90795.333333333328</v>
      </c>
      <c r="E312" s="48">
        <f t="shared" si="15"/>
        <v>0</v>
      </c>
      <c r="F312" s="7">
        <v>0</v>
      </c>
      <c r="G312" s="47">
        <v>110302</v>
      </c>
      <c r="H312" s="48">
        <f t="shared" si="16"/>
        <v>0</v>
      </c>
      <c r="N312" s="51"/>
      <c r="Q312" s="51"/>
    </row>
    <row r="313" spans="1:17" ht="14.25">
      <c r="A313" s="7">
        <v>80202</v>
      </c>
      <c r="B313" s="7" t="s">
        <v>353</v>
      </c>
      <c r="C313" s="7">
        <v>0</v>
      </c>
      <c r="D313" s="47">
        <v>41832.083333333336</v>
      </c>
      <c r="E313" s="48">
        <f t="shared" si="15"/>
        <v>0</v>
      </c>
      <c r="F313" s="7">
        <v>0</v>
      </c>
      <c r="G313" s="47">
        <v>42031</v>
      </c>
      <c r="H313" s="48">
        <f t="shared" si="16"/>
        <v>0</v>
      </c>
      <c r="N313" s="51"/>
      <c r="Q313" s="51"/>
    </row>
    <row r="314" spans="1:17" ht="14.25">
      <c r="A314" s="7">
        <v>80301</v>
      </c>
      <c r="B314" s="7" t="s">
        <v>354</v>
      </c>
      <c r="C314" s="7">
        <v>0</v>
      </c>
      <c r="D314" s="47">
        <v>13098.666666666666</v>
      </c>
      <c r="E314" s="48">
        <f t="shared" si="15"/>
        <v>0</v>
      </c>
      <c r="F314" s="7">
        <v>0</v>
      </c>
      <c r="G314" s="47">
        <v>11478</v>
      </c>
      <c r="H314" s="48">
        <f t="shared" si="16"/>
        <v>0</v>
      </c>
      <c r="N314" s="51"/>
      <c r="Q314" s="51"/>
    </row>
    <row r="315" spans="1:17" ht="14.25">
      <c r="A315" s="7">
        <v>80302</v>
      </c>
      <c r="B315" s="7" t="s">
        <v>355</v>
      </c>
      <c r="C315" s="7">
        <v>0</v>
      </c>
      <c r="D315" s="47">
        <v>41275.166666666664</v>
      </c>
      <c r="E315" s="48">
        <f t="shared" si="15"/>
        <v>0</v>
      </c>
      <c r="F315" s="7">
        <v>0</v>
      </c>
      <c r="G315" s="47">
        <v>45798</v>
      </c>
      <c r="H315" s="48">
        <f t="shared" si="16"/>
        <v>0</v>
      </c>
      <c r="N315" s="51"/>
      <c r="Q315" s="51"/>
    </row>
    <row r="316" spans="1:17" ht="14.25">
      <c r="A316" s="7">
        <v>80303</v>
      </c>
      <c r="B316" s="7" t="s">
        <v>315</v>
      </c>
      <c r="C316" s="7">
        <v>0</v>
      </c>
      <c r="D316" s="47">
        <v>9615</v>
      </c>
      <c r="E316" s="48">
        <f t="shared" si="15"/>
        <v>0</v>
      </c>
      <c r="F316" s="7">
        <v>0</v>
      </c>
      <c r="G316" s="47">
        <v>11122</v>
      </c>
      <c r="H316" s="48">
        <f t="shared" si="16"/>
        <v>0</v>
      </c>
      <c r="N316" s="51"/>
      <c r="Q316" s="51"/>
    </row>
    <row r="317" spans="1:17" ht="14.25">
      <c r="A317" s="7">
        <v>80304</v>
      </c>
      <c r="B317" s="7" t="s">
        <v>356</v>
      </c>
      <c r="C317" s="7">
        <v>0</v>
      </c>
      <c r="D317" s="47">
        <v>19365.416666666668</v>
      </c>
      <c r="E317" s="48">
        <f t="shared" si="15"/>
        <v>0</v>
      </c>
      <c r="F317" s="7">
        <v>0</v>
      </c>
      <c r="G317" s="47">
        <v>21240</v>
      </c>
      <c r="H317" s="48">
        <f t="shared" si="16"/>
        <v>0</v>
      </c>
      <c r="N317" s="51"/>
      <c r="Q317" s="51"/>
    </row>
    <row r="318" spans="1:17" ht="14.25">
      <c r="A318" s="7">
        <v>80401</v>
      </c>
      <c r="B318" s="7" t="s">
        <v>357</v>
      </c>
      <c r="C318" s="7">
        <v>0</v>
      </c>
      <c r="D318" s="47">
        <v>17153.916666666668</v>
      </c>
      <c r="E318" s="48">
        <f t="shared" si="15"/>
        <v>0</v>
      </c>
      <c r="F318" s="7">
        <v>0</v>
      </c>
      <c r="G318" s="47">
        <v>18088</v>
      </c>
      <c r="H318" s="48">
        <f t="shared" si="16"/>
        <v>0</v>
      </c>
      <c r="N318" s="51"/>
      <c r="Q318" s="51"/>
    </row>
    <row r="319" spans="1:17" ht="14.25">
      <c r="A319" s="7">
        <v>80402</v>
      </c>
      <c r="B319" s="7" t="s">
        <v>358</v>
      </c>
      <c r="C319" s="7">
        <v>0</v>
      </c>
      <c r="D319" s="47">
        <v>6499.5</v>
      </c>
      <c r="E319" s="48">
        <f t="shared" si="15"/>
        <v>0</v>
      </c>
      <c r="F319" s="7">
        <v>0</v>
      </c>
      <c r="G319" s="47">
        <v>8012</v>
      </c>
      <c r="H319" s="48">
        <f t="shared" si="16"/>
        <v>0</v>
      </c>
      <c r="N319" s="51"/>
      <c r="Q319" s="51"/>
    </row>
    <row r="320" spans="1:17" ht="14.25">
      <c r="A320" s="7">
        <v>80501</v>
      </c>
      <c r="B320" s="7" t="s">
        <v>305</v>
      </c>
      <c r="C320" s="7">
        <v>0</v>
      </c>
      <c r="D320" s="47">
        <v>19446.333333333332</v>
      </c>
      <c r="E320" s="48">
        <f t="shared" si="15"/>
        <v>0</v>
      </c>
      <c r="F320" s="7">
        <v>0</v>
      </c>
      <c r="G320" s="47">
        <v>21584</v>
      </c>
      <c r="H320" s="48">
        <f t="shared" si="16"/>
        <v>0</v>
      </c>
      <c r="N320" s="51"/>
      <c r="Q320" s="51"/>
    </row>
    <row r="321" spans="1:17" ht="14.25">
      <c r="A321" s="7">
        <v>80601</v>
      </c>
      <c r="B321" s="7" t="s">
        <v>359</v>
      </c>
      <c r="C321" s="7">
        <v>0</v>
      </c>
      <c r="D321" s="47">
        <v>3864.75</v>
      </c>
      <c r="E321" s="48">
        <f t="shared" si="15"/>
        <v>0</v>
      </c>
      <c r="F321" s="7">
        <v>0</v>
      </c>
      <c r="G321" s="47">
        <v>4269</v>
      </c>
      <c r="H321" s="48">
        <f t="shared" si="16"/>
        <v>0</v>
      </c>
      <c r="N321" s="51"/>
      <c r="Q321" s="51"/>
    </row>
    <row r="322" spans="1:17" ht="14.25">
      <c r="A322" s="7">
        <v>80602</v>
      </c>
      <c r="B322" s="7" t="s">
        <v>360</v>
      </c>
      <c r="C322" s="7">
        <v>0</v>
      </c>
      <c r="D322" s="47">
        <v>12758.583333333334</v>
      </c>
      <c r="E322" s="48">
        <f t="shared" si="15"/>
        <v>0</v>
      </c>
      <c r="F322" s="7">
        <v>0</v>
      </c>
      <c r="G322" s="47">
        <v>15570</v>
      </c>
      <c r="H322" s="48">
        <f t="shared" si="16"/>
        <v>0</v>
      </c>
      <c r="N322" s="51"/>
      <c r="Q322" s="51"/>
    </row>
    <row r="323" spans="1:17" ht="14.25">
      <c r="A323" s="7">
        <v>80701</v>
      </c>
      <c r="B323" s="7" t="s">
        <v>361</v>
      </c>
      <c r="C323" s="7">
        <v>0</v>
      </c>
      <c r="D323" s="47">
        <v>6907.916666666667</v>
      </c>
      <c r="E323" s="48">
        <f t="shared" si="15"/>
        <v>0</v>
      </c>
      <c r="F323" s="7">
        <v>0</v>
      </c>
      <c r="G323" s="47">
        <v>6808</v>
      </c>
      <c r="H323" s="48">
        <f t="shared" si="16"/>
        <v>0</v>
      </c>
      <c r="N323" s="51"/>
      <c r="Q323" s="51"/>
    </row>
    <row r="324" spans="1:17" ht="14.25">
      <c r="A324" s="7">
        <v>80702</v>
      </c>
      <c r="B324" s="7" t="s">
        <v>341</v>
      </c>
      <c r="C324" s="7">
        <v>0</v>
      </c>
      <c r="D324" s="47">
        <v>4999.5</v>
      </c>
      <c r="E324" s="48">
        <f t="shared" si="15"/>
        <v>0</v>
      </c>
      <c r="F324" s="7">
        <v>0</v>
      </c>
      <c r="G324" s="47">
        <v>5489</v>
      </c>
      <c r="H324" s="48">
        <f t="shared" si="16"/>
        <v>0</v>
      </c>
      <c r="N324" s="51"/>
      <c r="Q324" s="51"/>
    </row>
    <row r="325" spans="1:17" ht="14.25">
      <c r="A325" s="7">
        <v>80703</v>
      </c>
      <c r="B325" s="7" t="s">
        <v>362</v>
      </c>
      <c r="C325" s="7">
        <v>0</v>
      </c>
      <c r="D325" s="7">
        <v>957.16666666666663</v>
      </c>
      <c r="E325" s="48">
        <f t="shared" si="15"/>
        <v>0</v>
      </c>
      <c r="F325" s="7">
        <v>0</v>
      </c>
      <c r="G325" s="47">
        <v>1091</v>
      </c>
      <c r="H325" s="48">
        <f t="shared" si="16"/>
        <v>0</v>
      </c>
      <c r="N325" s="51"/>
      <c r="Q325" s="51"/>
    </row>
    <row r="326" spans="1:17" ht="14.25">
      <c r="A326" s="7">
        <v>80801</v>
      </c>
      <c r="B326" s="7" t="s">
        <v>363</v>
      </c>
      <c r="C326" s="7">
        <v>0</v>
      </c>
      <c r="D326" s="47">
        <v>11494.333333333334</v>
      </c>
      <c r="E326" s="48">
        <f t="shared" si="15"/>
        <v>0</v>
      </c>
      <c r="F326" s="7">
        <v>0</v>
      </c>
      <c r="G326" s="47">
        <v>12785</v>
      </c>
      <c r="H326" s="48">
        <f t="shared" si="16"/>
        <v>0</v>
      </c>
      <c r="N326" s="51"/>
      <c r="Q326" s="51"/>
    </row>
    <row r="327" spans="1:17" ht="14.25">
      <c r="A327" s="7">
        <v>80802</v>
      </c>
      <c r="B327" s="7" t="s">
        <v>364</v>
      </c>
      <c r="C327" s="7">
        <v>0</v>
      </c>
      <c r="D327" s="47">
        <v>6091.916666666667</v>
      </c>
      <c r="E327" s="48">
        <f t="shared" si="15"/>
        <v>0</v>
      </c>
      <c r="F327" s="7">
        <v>0</v>
      </c>
      <c r="G327" s="47">
        <v>7488</v>
      </c>
      <c r="H327" s="48">
        <f t="shared" si="16"/>
        <v>0</v>
      </c>
      <c r="N327" s="51"/>
      <c r="Q327" s="51"/>
    </row>
    <row r="328" spans="1:17" ht="14.25">
      <c r="A328" s="7">
        <v>80803</v>
      </c>
      <c r="B328" s="7" t="s">
        <v>365</v>
      </c>
      <c r="C328" s="7">
        <v>0</v>
      </c>
      <c r="D328" s="47">
        <v>4154.25</v>
      </c>
      <c r="E328" s="48">
        <f t="shared" si="15"/>
        <v>0</v>
      </c>
      <c r="F328" s="7">
        <v>0</v>
      </c>
      <c r="G328" s="47">
        <v>4630</v>
      </c>
      <c r="H328" s="48">
        <f t="shared" si="16"/>
        <v>0</v>
      </c>
      <c r="N328" s="51"/>
      <c r="Q328" s="51"/>
    </row>
    <row r="329" spans="1:17" ht="14.25">
      <c r="A329" s="7">
        <v>80901</v>
      </c>
      <c r="B329" s="7" t="s">
        <v>366</v>
      </c>
      <c r="C329" s="7">
        <v>0</v>
      </c>
      <c r="D329" s="47">
        <v>3293.75</v>
      </c>
      <c r="E329" s="48">
        <f t="shared" si="15"/>
        <v>0</v>
      </c>
      <c r="F329" s="7">
        <v>0</v>
      </c>
      <c r="G329" s="47">
        <v>3973</v>
      </c>
      <c r="H329" s="48">
        <f t="shared" si="16"/>
        <v>0</v>
      </c>
      <c r="N329" s="51"/>
      <c r="Q329" s="51"/>
    </row>
    <row r="330" spans="1:17" ht="14.25">
      <c r="A330" s="7">
        <v>90101</v>
      </c>
      <c r="B330" s="7" t="s">
        <v>367</v>
      </c>
      <c r="C330" s="7">
        <v>0</v>
      </c>
      <c r="D330" s="47">
        <v>47004.25</v>
      </c>
      <c r="E330" s="48">
        <f t="shared" si="15"/>
        <v>0</v>
      </c>
      <c r="F330" s="7">
        <v>0</v>
      </c>
      <c r="G330" s="47">
        <v>55114</v>
      </c>
      <c r="H330" s="48">
        <f t="shared" si="16"/>
        <v>0</v>
      </c>
      <c r="N330" s="51"/>
      <c r="Q330" s="51"/>
    </row>
    <row r="331" spans="1:17" ht="14.25">
      <c r="A331" s="7">
        <v>90102</v>
      </c>
      <c r="B331" s="7" t="s">
        <v>368</v>
      </c>
      <c r="C331" s="7">
        <v>0</v>
      </c>
      <c r="D331" s="47">
        <v>8065.083333333333</v>
      </c>
      <c r="E331" s="48">
        <f t="shared" si="15"/>
        <v>0</v>
      </c>
      <c r="F331" s="7">
        <v>0</v>
      </c>
      <c r="G331" s="47">
        <v>9353</v>
      </c>
      <c r="H331" s="48">
        <f t="shared" si="16"/>
        <v>0</v>
      </c>
      <c r="N331" s="51"/>
      <c r="Q331" s="51"/>
    </row>
    <row r="332" spans="1:17" ht="14.25">
      <c r="A332" s="7">
        <v>90103</v>
      </c>
      <c r="B332" s="7" t="s">
        <v>369</v>
      </c>
      <c r="C332" s="7">
        <v>0</v>
      </c>
      <c r="D332" s="47">
        <v>2195</v>
      </c>
      <c r="E332" s="48">
        <f t="shared" si="15"/>
        <v>0</v>
      </c>
      <c r="F332" s="7">
        <v>0</v>
      </c>
      <c r="G332" s="47">
        <v>2437</v>
      </c>
      <c r="H332" s="48">
        <f t="shared" si="16"/>
        <v>0</v>
      </c>
      <c r="N332" s="51"/>
      <c r="Q332" s="51"/>
    </row>
    <row r="333" spans="1:17" ht="14.25">
      <c r="A333" s="7">
        <v>90104</v>
      </c>
      <c r="B333" s="7" t="s">
        <v>370</v>
      </c>
      <c r="C333" s="7">
        <v>0</v>
      </c>
      <c r="D333" s="47">
        <v>3885.75</v>
      </c>
      <c r="E333" s="48">
        <f t="shared" si="15"/>
        <v>0</v>
      </c>
      <c r="F333" s="7">
        <v>0</v>
      </c>
      <c r="G333" s="47">
        <v>3630</v>
      </c>
      <c r="H333" s="48">
        <f t="shared" si="16"/>
        <v>0</v>
      </c>
      <c r="N333" s="51"/>
      <c r="Q333" s="51"/>
    </row>
    <row r="334" spans="1:17" ht="14.25">
      <c r="A334" s="7">
        <v>90201</v>
      </c>
      <c r="B334" s="7" t="s">
        <v>371</v>
      </c>
      <c r="C334" s="7">
        <v>0</v>
      </c>
      <c r="D334" s="47">
        <v>6333</v>
      </c>
      <c r="E334" s="48">
        <f t="shared" si="15"/>
        <v>0</v>
      </c>
      <c r="F334" s="7">
        <v>0</v>
      </c>
      <c r="G334" s="47">
        <v>7367</v>
      </c>
      <c r="H334" s="48">
        <f t="shared" si="16"/>
        <v>0</v>
      </c>
      <c r="N334" s="51"/>
      <c r="Q334" s="51"/>
    </row>
    <row r="335" spans="1:17" ht="14.25">
      <c r="A335" s="7">
        <v>90202</v>
      </c>
      <c r="B335" s="7" t="s">
        <v>261</v>
      </c>
      <c r="C335" s="7">
        <v>0</v>
      </c>
      <c r="D335" s="47">
        <v>3034.9166666666665</v>
      </c>
      <c r="E335" s="48">
        <f t="shared" si="15"/>
        <v>0</v>
      </c>
      <c r="F335" s="7">
        <v>0</v>
      </c>
      <c r="G335" s="47">
        <v>3518</v>
      </c>
      <c r="H335" s="48">
        <f t="shared" si="16"/>
        <v>0</v>
      </c>
      <c r="N335" s="51"/>
      <c r="Q335" s="51"/>
    </row>
    <row r="336" spans="1:17" ht="14.25">
      <c r="A336" s="7">
        <v>90203</v>
      </c>
      <c r="B336" s="7" t="s">
        <v>372</v>
      </c>
      <c r="C336" s="7">
        <v>0</v>
      </c>
      <c r="D336" s="47">
        <v>5946.75</v>
      </c>
      <c r="E336" s="48">
        <f t="shared" si="15"/>
        <v>0</v>
      </c>
      <c r="F336" s="7">
        <v>0</v>
      </c>
      <c r="G336" s="47">
        <v>8045</v>
      </c>
      <c r="H336" s="48">
        <f t="shared" si="16"/>
        <v>0</v>
      </c>
      <c r="N336" s="51"/>
      <c r="Q336" s="51"/>
    </row>
    <row r="337" spans="1:17" ht="14.25">
      <c r="A337" s="7">
        <v>90301</v>
      </c>
      <c r="B337" s="7" t="s">
        <v>373</v>
      </c>
      <c r="C337" s="7">
        <v>0</v>
      </c>
      <c r="D337" s="47">
        <v>8515.9166666666661</v>
      </c>
      <c r="E337" s="48">
        <f t="shared" si="15"/>
        <v>0</v>
      </c>
      <c r="F337" s="7">
        <v>0</v>
      </c>
      <c r="G337" s="47">
        <v>12431</v>
      </c>
      <c r="H337" s="48">
        <f t="shared" si="16"/>
        <v>0</v>
      </c>
      <c r="N337" s="51"/>
      <c r="Q337" s="51"/>
    </row>
    <row r="338" spans="1:17" ht="14.25">
      <c r="A338" s="7">
        <v>90302</v>
      </c>
      <c r="B338" s="7" t="s">
        <v>294</v>
      </c>
      <c r="C338" s="7">
        <v>0</v>
      </c>
      <c r="D338" s="47">
        <v>7833.666666666667</v>
      </c>
      <c r="E338" s="48">
        <f t="shared" si="15"/>
        <v>0</v>
      </c>
      <c r="F338" s="7">
        <v>0</v>
      </c>
      <c r="G338" s="47">
        <v>9832</v>
      </c>
      <c r="H338" s="48">
        <f t="shared" si="16"/>
        <v>0</v>
      </c>
      <c r="N338" s="51"/>
      <c r="Q338" s="51"/>
    </row>
    <row r="339" spans="1:17" ht="14.25">
      <c r="A339" s="7">
        <v>90303</v>
      </c>
      <c r="B339" s="7" t="s">
        <v>374</v>
      </c>
      <c r="C339" s="7">
        <v>0</v>
      </c>
      <c r="D339" s="47">
        <v>8446.6666666666661</v>
      </c>
      <c r="E339" s="48">
        <f t="shared" si="15"/>
        <v>0</v>
      </c>
      <c r="F339" s="7">
        <v>0</v>
      </c>
      <c r="G339" s="47">
        <v>10522</v>
      </c>
      <c r="H339" s="48">
        <f t="shared" si="16"/>
        <v>0</v>
      </c>
      <c r="N339" s="51"/>
      <c r="Q339" s="51"/>
    </row>
    <row r="340" spans="1:17" ht="14.25">
      <c r="A340" s="7">
        <v>90401</v>
      </c>
      <c r="B340" s="7" t="s">
        <v>315</v>
      </c>
      <c r="C340" s="7">
        <v>0</v>
      </c>
      <c r="D340" s="47">
        <v>2436.1666666666665</v>
      </c>
      <c r="E340" s="48">
        <f t="shared" si="15"/>
        <v>0</v>
      </c>
      <c r="F340" s="7">
        <v>0</v>
      </c>
      <c r="G340" s="47">
        <v>2889</v>
      </c>
      <c r="H340" s="48">
        <f t="shared" si="16"/>
        <v>0</v>
      </c>
      <c r="N340" s="51"/>
      <c r="Q340" s="51"/>
    </row>
    <row r="341" spans="1:17" ht="14.25">
      <c r="A341" s="7">
        <v>90402</v>
      </c>
      <c r="B341" s="7" t="s">
        <v>375</v>
      </c>
      <c r="C341" s="7">
        <v>0</v>
      </c>
      <c r="D341" s="47">
        <v>1732.8333333333333</v>
      </c>
      <c r="E341" s="48">
        <f t="shared" si="15"/>
        <v>0</v>
      </c>
      <c r="F341" s="7">
        <v>0</v>
      </c>
      <c r="G341" s="47">
        <v>2600</v>
      </c>
      <c r="H341" s="48">
        <f t="shared" si="16"/>
        <v>0</v>
      </c>
      <c r="N341" s="51"/>
      <c r="Q341" s="51"/>
    </row>
    <row r="342" spans="1:17" ht="14.25">
      <c r="A342" s="7">
        <v>90501</v>
      </c>
      <c r="B342" s="7" t="s">
        <v>376</v>
      </c>
      <c r="C342" s="7">
        <v>0</v>
      </c>
      <c r="D342" s="47">
        <v>2028.8333333333333</v>
      </c>
      <c r="E342" s="48">
        <f t="shared" si="15"/>
        <v>0</v>
      </c>
      <c r="F342" s="7">
        <v>0</v>
      </c>
      <c r="G342" s="47">
        <v>1598</v>
      </c>
      <c r="H342" s="48">
        <f t="shared" si="16"/>
        <v>0</v>
      </c>
      <c r="N342" s="51"/>
      <c r="Q342" s="51"/>
    </row>
    <row r="343" spans="1:17" ht="14.25">
      <c r="A343" s="7">
        <v>90502</v>
      </c>
      <c r="B343" s="7" t="s">
        <v>377</v>
      </c>
      <c r="C343" s="7">
        <v>0</v>
      </c>
      <c r="D343" s="47">
        <v>2776.8333333333335</v>
      </c>
      <c r="E343" s="48">
        <f t="shared" si="15"/>
        <v>0</v>
      </c>
      <c r="F343" s="7">
        <v>0</v>
      </c>
      <c r="G343" s="47">
        <v>2511</v>
      </c>
      <c r="H343" s="48">
        <f t="shared" si="16"/>
        <v>0</v>
      </c>
      <c r="N343" s="51"/>
      <c r="Q343" s="51"/>
    </row>
    <row r="344" spans="1:17" ht="14.25">
      <c r="A344" s="7">
        <v>90503</v>
      </c>
      <c r="B344" s="7" t="s">
        <v>378</v>
      </c>
      <c r="C344" s="7">
        <v>0</v>
      </c>
      <c r="D344" s="47">
        <v>2180.1666666666665</v>
      </c>
      <c r="E344" s="48">
        <f t="shared" si="15"/>
        <v>0</v>
      </c>
      <c r="F344" s="7">
        <v>0</v>
      </c>
      <c r="G344" s="47">
        <v>2347</v>
      </c>
      <c r="H344" s="48">
        <f t="shared" si="16"/>
        <v>0</v>
      </c>
      <c r="N344" s="51"/>
      <c r="Q344" s="51"/>
    </row>
    <row r="345" spans="1:17" ht="14.25">
      <c r="E345" s="49"/>
      <c r="N345" s="51"/>
      <c r="Q345" s="51"/>
    </row>
    <row r="346" spans="1:17" ht="14.25">
      <c r="E346" s="49"/>
      <c r="N346" s="51"/>
      <c r="Q346" s="51"/>
    </row>
    <row r="347" spans="1:17" ht="14.25">
      <c r="E347" s="49"/>
      <c r="N347" s="51"/>
      <c r="Q347" s="51"/>
    </row>
    <row r="348" spans="1:17" ht="14.25">
      <c r="E348" s="49"/>
      <c r="N348" s="51"/>
      <c r="Q348" s="51"/>
    </row>
    <row r="349" spans="1:17" ht="14.25">
      <c r="E349" s="49"/>
      <c r="N349" s="51"/>
      <c r="Q349" s="51"/>
    </row>
    <row r="350" spans="1:17" ht="14.25">
      <c r="E350" s="49"/>
      <c r="N350" s="51"/>
      <c r="Q350" s="51"/>
    </row>
    <row r="351" spans="1:17" ht="14.25">
      <c r="E351" s="49"/>
      <c r="N351" s="51"/>
      <c r="Q351" s="51"/>
    </row>
    <row r="352" spans="1:17" ht="14.25">
      <c r="E352" s="49"/>
      <c r="N352" s="51"/>
      <c r="Q352" s="51"/>
    </row>
    <row r="353" spans="14:17" ht="12.75">
      <c r="N353" s="51"/>
      <c r="Q353" s="51"/>
    </row>
    <row r="354" spans="14:17" ht="12.75">
      <c r="N354" s="51"/>
      <c r="Q354" s="51"/>
    </row>
    <row r="355" spans="14:17" ht="12.75">
      <c r="N355" s="51"/>
      <c r="Q355" s="51"/>
    </row>
    <row r="356" spans="14:17" ht="12.75">
      <c r="N356" s="51"/>
      <c r="Q356" s="51"/>
    </row>
    <row r="357" spans="14:17" ht="12.75">
      <c r="N357" s="51"/>
      <c r="Q357" s="51"/>
    </row>
    <row r="358" spans="14:17" ht="12.75">
      <c r="N358" s="51"/>
      <c r="Q358" s="51"/>
    </row>
    <row r="359" spans="14:17" ht="12.75">
      <c r="N359" s="51"/>
      <c r="Q359" s="51"/>
    </row>
    <row r="360" spans="14:17" ht="12.75">
      <c r="N360" s="51"/>
      <c r="Q360" s="51"/>
    </row>
    <row r="361" spans="14:17" ht="12.75">
      <c r="N361" s="51"/>
      <c r="Q361" s="51"/>
    </row>
    <row r="362" spans="14:17" ht="12.75">
      <c r="N362" s="51"/>
      <c r="Q362" s="51"/>
    </row>
    <row r="363" spans="14:17" ht="12.75">
      <c r="N363" s="51"/>
      <c r="Q363" s="51"/>
    </row>
    <row r="364" spans="14:17" ht="12.75">
      <c r="N364" s="51"/>
      <c r="Q364" s="51"/>
    </row>
    <row r="365" spans="14:17" ht="12.75">
      <c r="N365" s="51"/>
      <c r="Q365" s="51"/>
    </row>
    <row r="366" spans="14:17" ht="12.75">
      <c r="N366" s="51"/>
      <c r="Q366" s="51"/>
    </row>
    <row r="367" spans="14:17" ht="12.75">
      <c r="N367" s="51"/>
      <c r="Q367" s="51"/>
    </row>
    <row r="368" spans="14:17" ht="12.75">
      <c r="N368" s="51"/>
      <c r="Q368" s="51"/>
    </row>
    <row r="369" spans="14:17" ht="12.75">
      <c r="N369" s="51"/>
      <c r="Q369" s="51"/>
    </row>
    <row r="370" spans="14:17" ht="12.75">
      <c r="N370" s="51"/>
      <c r="Q370" s="51"/>
    </row>
    <row r="371" spans="14:17" ht="12.75">
      <c r="N371" s="51"/>
      <c r="Q371" s="51"/>
    </row>
    <row r="372" spans="14:17" ht="12.75">
      <c r="N372" s="51"/>
      <c r="Q372" s="51"/>
    </row>
    <row r="373" spans="14:17" ht="12.75">
      <c r="N373" s="51"/>
      <c r="Q373" s="51"/>
    </row>
    <row r="374" spans="14:17" ht="12.75">
      <c r="N374" s="51"/>
      <c r="Q374" s="51"/>
    </row>
    <row r="375" spans="14:17" ht="12.75">
      <c r="N375" s="51"/>
      <c r="Q375" s="51"/>
    </row>
    <row r="376" spans="14:17" ht="12.75">
      <c r="N376" s="51"/>
      <c r="Q376" s="51"/>
    </row>
    <row r="377" spans="14:17" ht="12.75">
      <c r="N377" s="51"/>
      <c r="Q377" s="51"/>
    </row>
    <row r="378" spans="14:17" ht="12.75">
      <c r="N378" s="51"/>
      <c r="Q378" s="51"/>
    </row>
    <row r="379" spans="14:17" ht="12.75">
      <c r="N379" s="51"/>
      <c r="Q379" s="51"/>
    </row>
    <row r="380" spans="14:17" ht="12.75">
      <c r="N380" s="51"/>
      <c r="Q380" s="51"/>
    </row>
    <row r="381" spans="14:17" ht="12.75">
      <c r="N381" s="51"/>
      <c r="Q381" s="51"/>
    </row>
    <row r="382" spans="14:17" ht="12.75">
      <c r="N382" s="51"/>
      <c r="Q382" s="51"/>
    </row>
    <row r="383" spans="14:17" ht="12.75">
      <c r="N383" s="51"/>
      <c r="Q383" s="51"/>
    </row>
    <row r="384" spans="14:17" ht="12.75">
      <c r="N384" s="51"/>
      <c r="Q384" s="51"/>
    </row>
    <row r="385" spans="14:17" ht="12.75">
      <c r="N385" s="51"/>
      <c r="Q385" s="51"/>
    </row>
    <row r="386" spans="14:17" ht="12.75">
      <c r="N386" s="51"/>
      <c r="Q386" s="51"/>
    </row>
    <row r="387" spans="14:17" ht="12.75">
      <c r="N387" s="51"/>
      <c r="Q387" s="51"/>
    </row>
    <row r="388" spans="14:17" ht="12.75">
      <c r="N388" s="51"/>
      <c r="Q388" s="51"/>
    </row>
    <row r="389" spans="14:17" ht="12.75">
      <c r="N389" s="51"/>
      <c r="Q389" s="51"/>
    </row>
    <row r="390" spans="14:17" ht="12.75">
      <c r="N390" s="51"/>
      <c r="Q390" s="51"/>
    </row>
    <row r="391" spans="14:17" ht="12.75">
      <c r="N391" s="51"/>
      <c r="Q391" s="51"/>
    </row>
    <row r="392" spans="14:17" ht="12.75">
      <c r="N392" s="51"/>
      <c r="Q392" s="51"/>
    </row>
    <row r="393" spans="14:17" ht="12.75">
      <c r="N393" s="51"/>
      <c r="Q393" s="51"/>
    </row>
    <row r="394" spans="14:17" ht="12.75">
      <c r="N394" s="51"/>
      <c r="Q394" s="51"/>
    </row>
    <row r="395" spans="14:17" ht="12.75">
      <c r="N395" s="51"/>
      <c r="Q395" s="51"/>
    </row>
    <row r="396" spans="14:17" ht="12.75">
      <c r="N396" s="51"/>
      <c r="Q396" s="51"/>
    </row>
    <row r="397" spans="14:17" ht="12.75">
      <c r="N397" s="51"/>
      <c r="Q397" s="51"/>
    </row>
    <row r="398" spans="14:17" ht="12.75">
      <c r="N398" s="51"/>
      <c r="Q398" s="51"/>
    </row>
    <row r="399" spans="14:17" ht="12.75">
      <c r="N399" s="51"/>
      <c r="Q399" s="51"/>
    </row>
    <row r="400" spans="14:17" ht="12.75">
      <c r="N400" s="51"/>
      <c r="Q400" s="51"/>
    </row>
    <row r="401" spans="14:17" ht="12.75">
      <c r="N401" s="51"/>
      <c r="Q401" s="51"/>
    </row>
    <row r="402" spans="14:17" ht="12.75">
      <c r="N402" s="51"/>
      <c r="Q402" s="51"/>
    </row>
    <row r="403" spans="14:17" ht="12.75">
      <c r="N403" s="51"/>
      <c r="Q403" s="51"/>
    </row>
    <row r="404" spans="14:17" ht="12.75">
      <c r="N404" s="51"/>
      <c r="Q404" s="51"/>
    </row>
    <row r="405" spans="14:17" ht="12.75">
      <c r="N405" s="51"/>
      <c r="Q405" s="51"/>
    </row>
    <row r="406" spans="14:17" ht="12.75">
      <c r="N406" s="51"/>
      <c r="Q406" s="51"/>
    </row>
    <row r="407" spans="14:17" ht="12.75">
      <c r="N407" s="51"/>
      <c r="Q407" s="51"/>
    </row>
    <row r="408" spans="14:17" ht="12.75">
      <c r="N408" s="51"/>
      <c r="Q408" s="51"/>
    </row>
    <row r="409" spans="14:17" ht="12.75">
      <c r="N409" s="51"/>
      <c r="Q409" s="51"/>
    </row>
    <row r="410" spans="14:17" ht="12.75">
      <c r="N410" s="51"/>
      <c r="Q410" s="51"/>
    </row>
    <row r="411" spans="14:17" ht="12.75">
      <c r="N411" s="51"/>
      <c r="Q411" s="51"/>
    </row>
    <row r="412" spans="14:17" ht="12.75">
      <c r="N412" s="51"/>
      <c r="Q412" s="51"/>
    </row>
    <row r="413" spans="14:17" ht="12.75">
      <c r="N413" s="51"/>
      <c r="Q413" s="51"/>
    </row>
    <row r="414" spans="14:17" ht="12.75">
      <c r="N414" s="51"/>
      <c r="Q414" s="51"/>
    </row>
    <row r="415" spans="14:17" ht="12.75">
      <c r="N415" s="51"/>
      <c r="Q415" s="51"/>
    </row>
    <row r="416" spans="14:17" ht="12.75">
      <c r="N416" s="51"/>
      <c r="Q416" s="51"/>
    </row>
    <row r="417" spans="14:17" ht="12.75">
      <c r="N417" s="51"/>
      <c r="Q417" s="51"/>
    </row>
    <row r="418" spans="14:17" ht="12.75">
      <c r="N418" s="51"/>
      <c r="Q418" s="51"/>
    </row>
    <row r="419" spans="14:17" ht="12.75">
      <c r="N419" s="51"/>
      <c r="Q419" s="51"/>
    </row>
    <row r="420" spans="14:17" ht="12.75">
      <c r="N420" s="51"/>
      <c r="Q420" s="51"/>
    </row>
    <row r="421" spans="14:17" ht="12.75">
      <c r="N421" s="51"/>
      <c r="Q421" s="51"/>
    </row>
    <row r="422" spans="14:17" ht="12.75">
      <c r="N422" s="51"/>
      <c r="Q422" s="51"/>
    </row>
    <row r="423" spans="14:17" ht="12.75">
      <c r="N423" s="51"/>
      <c r="Q423" s="51"/>
    </row>
    <row r="424" spans="14:17" ht="12.75">
      <c r="N424" s="51"/>
      <c r="Q424" s="51"/>
    </row>
    <row r="425" spans="14:17" ht="12.75">
      <c r="N425" s="51"/>
      <c r="Q425" s="51"/>
    </row>
    <row r="426" spans="14:17" ht="12.75">
      <c r="N426" s="51"/>
      <c r="Q426" s="51"/>
    </row>
    <row r="427" spans="14:17" ht="12.75">
      <c r="N427" s="51"/>
      <c r="Q427" s="51"/>
    </row>
    <row r="428" spans="14:17" ht="12.75">
      <c r="N428" s="51"/>
      <c r="Q428" s="51"/>
    </row>
    <row r="429" spans="14:17" ht="12.75">
      <c r="N429" s="51"/>
      <c r="Q429" s="51"/>
    </row>
    <row r="430" spans="14:17" ht="12.75">
      <c r="N430" s="51"/>
      <c r="Q430" s="51"/>
    </row>
    <row r="431" spans="14:17" ht="12.75">
      <c r="N431" s="51"/>
      <c r="Q431" s="51"/>
    </row>
    <row r="432" spans="14:17" ht="12.75">
      <c r="N432" s="51"/>
      <c r="Q432" s="51"/>
    </row>
    <row r="433" spans="14:17" ht="12.75">
      <c r="N433" s="51"/>
      <c r="Q433" s="51"/>
    </row>
    <row r="434" spans="14:17" ht="12.75">
      <c r="N434" s="51"/>
      <c r="Q434" s="51"/>
    </row>
    <row r="435" spans="14:17" ht="12.75">
      <c r="N435" s="51"/>
      <c r="Q435" s="51"/>
    </row>
    <row r="436" spans="14:17" ht="12.75">
      <c r="N436" s="51"/>
      <c r="Q436" s="51"/>
    </row>
    <row r="437" spans="14:17" ht="12.75">
      <c r="N437" s="51"/>
      <c r="Q437" s="51"/>
    </row>
    <row r="438" spans="14:17" ht="12.75">
      <c r="N438" s="51"/>
      <c r="Q438" s="51"/>
    </row>
    <row r="439" spans="14:17" ht="12.75">
      <c r="N439" s="51"/>
      <c r="Q439" s="51"/>
    </row>
    <row r="440" spans="14:17" ht="12.75">
      <c r="N440" s="51"/>
      <c r="Q440" s="51"/>
    </row>
    <row r="441" spans="14:17" ht="12.75">
      <c r="N441" s="51"/>
      <c r="Q441" s="51"/>
    </row>
    <row r="442" spans="14:17" ht="12.75">
      <c r="N442" s="51"/>
      <c r="Q442" s="51"/>
    </row>
    <row r="443" spans="14:17" ht="12.75">
      <c r="N443" s="51"/>
      <c r="Q443" s="51"/>
    </row>
    <row r="444" spans="14:17" ht="12.75">
      <c r="N444" s="51"/>
      <c r="Q444" s="51"/>
    </row>
    <row r="445" spans="14:17" ht="12.75">
      <c r="N445" s="51"/>
      <c r="Q445" s="51"/>
    </row>
    <row r="446" spans="14:17" ht="12.75">
      <c r="N446" s="51"/>
      <c r="Q446" s="51"/>
    </row>
    <row r="447" spans="14:17" ht="12.75">
      <c r="N447" s="51"/>
      <c r="Q447" s="51"/>
    </row>
    <row r="448" spans="14:17" ht="12.75">
      <c r="N448" s="51"/>
      <c r="Q448" s="51"/>
    </row>
    <row r="449" spans="14:17" ht="12.75">
      <c r="N449" s="51"/>
      <c r="Q449" s="51"/>
    </row>
    <row r="450" spans="14:17" ht="12.75">
      <c r="N450" s="51"/>
      <c r="Q450" s="51"/>
    </row>
    <row r="451" spans="14:17" ht="12.75">
      <c r="N451" s="51"/>
      <c r="Q451" s="51"/>
    </row>
    <row r="452" spans="14:17" ht="12.75">
      <c r="N452" s="51"/>
      <c r="Q452" s="51"/>
    </row>
    <row r="453" spans="14:17" ht="12.75">
      <c r="N453" s="51"/>
      <c r="Q453" s="51"/>
    </row>
    <row r="454" spans="14:17" ht="12.75">
      <c r="N454" s="51"/>
      <c r="Q454" s="51"/>
    </row>
    <row r="455" spans="14:17" ht="12.75">
      <c r="N455" s="51"/>
      <c r="Q455" s="51"/>
    </row>
    <row r="456" spans="14:17" ht="12.75">
      <c r="N456" s="51"/>
      <c r="Q456" s="51"/>
    </row>
    <row r="457" spans="14:17" ht="12.75">
      <c r="N457" s="51"/>
      <c r="Q457" s="51"/>
    </row>
    <row r="458" spans="14:17" ht="12.75">
      <c r="N458" s="51"/>
      <c r="Q458" s="51"/>
    </row>
    <row r="459" spans="14:17" ht="12.75">
      <c r="N459" s="51"/>
      <c r="Q459" s="51"/>
    </row>
    <row r="460" spans="14:17" ht="12.75">
      <c r="N460" s="51"/>
      <c r="Q460" s="51"/>
    </row>
    <row r="461" spans="14:17" ht="12.75">
      <c r="N461" s="51"/>
      <c r="Q461" s="51"/>
    </row>
    <row r="462" spans="14:17" ht="12.75">
      <c r="N462" s="51"/>
      <c r="Q462" s="51"/>
    </row>
    <row r="463" spans="14:17" ht="12.75">
      <c r="N463" s="51"/>
      <c r="Q463" s="51"/>
    </row>
    <row r="464" spans="14:17" ht="12.75">
      <c r="N464" s="51"/>
      <c r="Q464" s="51"/>
    </row>
    <row r="465" spans="14:17" ht="12.75">
      <c r="N465" s="51"/>
      <c r="Q465" s="51"/>
    </row>
    <row r="466" spans="14:17" ht="12.75">
      <c r="N466" s="51"/>
      <c r="Q466" s="51"/>
    </row>
    <row r="467" spans="14:17" ht="12.75">
      <c r="N467" s="51"/>
      <c r="Q467" s="51"/>
    </row>
    <row r="468" spans="14:17" ht="12.75">
      <c r="N468" s="51"/>
      <c r="Q468" s="51"/>
    </row>
    <row r="469" spans="14:17" ht="12.75">
      <c r="N469" s="51"/>
      <c r="Q469" s="51"/>
    </row>
    <row r="470" spans="14:17" ht="12.75">
      <c r="N470" s="51"/>
      <c r="Q470" s="51"/>
    </row>
    <row r="471" spans="14:17" ht="12.75">
      <c r="N471" s="51"/>
      <c r="Q471" s="51"/>
    </row>
    <row r="472" spans="14:17" ht="12.75">
      <c r="N472" s="51"/>
      <c r="Q472" s="51"/>
    </row>
    <row r="473" spans="14:17" ht="12.75">
      <c r="N473" s="51"/>
      <c r="Q473" s="51"/>
    </row>
    <row r="474" spans="14:17" ht="12.75">
      <c r="N474" s="51"/>
      <c r="Q474" s="51"/>
    </row>
    <row r="475" spans="14:17" ht="12.75">
      <c r="N475" s="51"/>
      <c r="Q475" s="51"/>
    </row>
    <row r="476" spans="14:17" ht="12.75">
      <c r="N476" s="51"/>
      <c r="Q476" s="51"/>
    </row>
    <row r="477" spans="14:17" ht="12.75">
      <c r="N477" s="51"/>
      <c r="Q477" s="51"/>
    </row>
    <row r="478" spans="14:17" ht="12.75">
      <c r="N478" s="51"/>
      <c r="Q478" s="51"/>
    </row>
    <row r="479" spans="14:17" ht="12.75">
      <c r="N479" s="51"/>
      <c r="Q479" s="51"/>
    </row>
    <row r="480" spans="14:17" ht="12.75">
      <c r="N480" s="51"/>
      <c r="Q480" s="51"/>
    </row>
    <row r="481" spans="14:17" ht="12.75">
      <c r="N481" s="51"/>
      <c r="Q481" s="51"/>
    </row>
    <row r="482" spans="14:17" ht="12.75">
      <c r="N482" s="51"/>
      <c r="Q482" s="51"/>
    </row>
    <row r="483" spans="14:17" ht="12.75">
      <c r="N483" s="51"/>
      <c r="Q483" s="51"/>
    </row>
    <row r="484" spans="14:17" ht="12.75">
      <c r="N484" s="51"/>
      <c r="Q484" s="51"/>
    </row>
    <row r="485" spans="14:17" ht="12.75">
      <c r="N485" s="51"/>
      <c r="Q485" s="51"/>
    </row>
    <row r="486" spans="14:17" ht="12.75">
      <c r="N486" s="51"/>
      <c r="Q486" s="51"/>
    </row>
    <row r="487" spans="14:17" ht="12.75">
      <c r="N487" s="51"/>
      <c r="Q487" s="51"/>
    </row>
    <row r="488" spans="14:17" ht="12.75">
      <c r="N488" s="51"/>
      <c r="Q488" s="51"/>
    </row>
    <row r="489" spans="14:17" ht="12.75">
      <c r="N489" s="51"/>
      <c r="Q489" s="51"/>
    </row>
    <row r="490" spans="14:17" ht="12.75">
      <c r="N490" s="51"/>
      <c r="Q490" s="51"/>
    </row>
    <row r="491" spans="14:17" ht="12.75">
      <c r="N491" s="51"/>
      <c r="Q491" s="51"/>
    </row>
    <row r="492" spans="14:17" ht="12.75">
      <c r="N492" s="51"/>
      <c r="Q492" s="51"/>
    </row>
    <row r="493" spans="14:17" ht="12.75">
      <c r="N493" s="51"/>
      <c r="Q493" s="51"/>
    </row>
    <row r="494" spans="14:17" ht="12.75">
      <c r="N494" s="51"/>
      <c r="Q494" s="51"/>
    </row>
    <row r="495" spans="14:17" ht="12.75">
      <c r="N495" s="51"/>
      <c r="Q495" s="51"/>
    </row>
    <row r="496" spans="14:17" ht="12.75">
      <c r="N496" s="51"/>
      <c r="Q496" s="51"/>
    </row>
    <row r="497" spans="14:17" ht="12.75">
      <c r="N497" s="51"/>
      <c r="Q497" s="51"/>
    </row>
    <row r="498" spans="14:17" ht="12.75">
      <c r="N498" s="51"/>
      <c r="Q498" s="51"/>
    </row>
    <row r="499" spans="14:17" ht="12.75">
      <c r="N499" s="51"/>
      <c r="Q499" s="51"/>
    </row>
    <row r="500" spans="14:17" ht="12.75">
      <c r="N500" s="51"/>
      <c r="Q500" s="51"/>
    </row>
    <row r="501" spans="14:17" ht="12.75">
      <c r="N501" s="51"/>
      <c r="Q501" s="51"/>
    </row>
    <row r="502" spans="14:17" ht="12.75">
      <c r="N502" s="51"/>
      <c r="Q502" s="51"/>
    </row>
    <row r="503" spans="14:17" ht="12.75">
      <c r="N503" s="51"/>
      <c r="Q503" s="51"/>
    </row>
    <row r="504" spans="14:17" ht="12.75">
      <c r="N504" s="51"/>
      <c r="Q504" s="51"/>
    </row>
    <row r="505" spans="14:17" ht="12.75">
      <c r="N505" s="51"/>
      <c r="Q505" s="51"/>
    </row>
    <row r="506" spans="14:17" ht="12.75">
      <c r="N506" s="51"/>
      <c r="Q506" s="51"/>
    </row>
    <row r="507" spans="14:17" ht="12.75">
      <c r="N507" s="51"/>
      <c r="Q507" s="51"/>
    </row>
    <row r="508" spans="14:17" ht="12.75">
      <c r="N508" s="51"/>
      <c r="Q508" s="51"/>
    </row>
    <row r="509" spans="14:17" ht="12.75">
      <c r="N509" s="51"/>
      <c r="Q509" s="51"/>
    </row>
    <row r="510" spans="14:17" ht="12.75">
      <c r="N510" s="51"/>
      <c r="Q510" s="51"/>
    </row>
    <row r="511" spans="14:17" ht="12.75">
      <c r="N511" s="51"/>
      <c r="Q511" s="51"/>
    </row>
    <row r="512" spans="14:17" ht="12.75">
      <c r="N512" s="51"/>
      <c r="Q512" s="51"/>
    </row>
    <row r="513" spans="14:17" ht="12.75">
      <c r="N513" s="51"/>
      <c r="Q513" s="51"/>
    </row>
    <row r="514" spans="14:17" ht="12.75">
      <c r="N514" s="51"/>
      <c r="Q514" s="51"/>
    </row>
    <row r="515" spans="14:17" ht="12.75">
      <c r="N515" s="51"/>
      <c r="Q515" s="51"/>
    </row>
    <row r="516" spans="14:17" ht="12.75">
      <c r="N516" s="51"/>
      <c r="Q516" s="51"/>
    </row>
    <row r="517" spans="14:17" ht="12.75">
      <c r="N517" s="51"/>
      <c r="Q517" s="51"/>
    </row>
    <row r="518" spans="14:17" ht="12.75">
      <c r="N518" s="51"/>
      <c r="Q518" s="51"/>
    </row>
    <row r="519" spans="14:17" ht="12.75">
      <c r="N519" s="51"/>
      <c r="Q519" s="51"/>
    </row>
    <row r="520" spans="14:17" ht="12.75">
      <c r="N520" s="51"/>
      <c r="Q520" s="51"/>
    </row>
    <row r="521" spans="14:17" ht="12.75">
      <c r="N521" s="51"/>
      <c r="Q521" s="51"/>
    </row>
    <row r="522" spans="14:17" ht="12.75">
      <c r="N522" s="51"/>
      <c r="Q522" s="51"/>
    </row>
    <row r="523" spans="14:17" ht="12.75">
      <c r="N523" s="51"/>
      <c r="Q523" s="51"/>
    </row>
    <row r="524" spans="14:17" ht="12.75">
      <c r="N524" s="51"/>
      <c r="Q524" s="51"/>
    </row>
    <row r="525" spans="14:17" ht="12.75">
      <c r="N525" s="51"/>
      <c r="Q525" s="51"/>
    </row>
    <row r="526" spans="14:17" ht="12.75">
      <c r="N526" s="51"/>
      <c r="Q526" s="51"/>
    </row>
    <row r="527" spans="14:17" ht="12.75">
      <c r="N527" s="51"/>
      <c r="Q527" s="51"/>
    </row>
    <row r="528" spans="14:17" ht="12.75">
      <c r="N528" s="51"/>
      <c r="Q528" s="51"/>
    </row>
    <row r="529" spans="14:17" ht="12.75">
      <c r="N529" s="51"/>
      <c r="Q529" s="51"/>
    </row>
    <row r="530" spans="14:17" ht="12.75">
      <c r="N530" s="51"/>
      <c r="Q530" s="51"/>
    </row>
    <row r="531" spans="14:17" ht="12.75">
      <c r="N531" s="51"/>
      <c r="Q531" s="51"/>
    </row>
    <row r="532" spans="14:17" ht="12.75">
      <c r="N532" s="51"/>
      <c r="Q532" s="51"/>
    </row>
    <row r="533" spans="14:17" ht="12.75">
      <c r="N533" s="51"/>
      <c r="Q533" s="51"/>
    </row>
    <row r="534" spans="14:17" ht="12.75">
      <c r="N534" s="51"/>
      <c r="Q534" s="51"/>
    </row>
    <row r="535" spans="14:17" ht="12.75">
      <c r="N535" s="51"/>
      <c r="Q535" s="51"/>
    </row>
    <row r="536" spans="14:17" ht="12.75">
      <c r="N536" s="51"/>
      <c r="Q536" s="51"/>
    </row>
    <row r="537" spans="14:17" ht="12.75">
      <c r="N537" s="51"/>
      <c r="Q537" s="51"/>
    </row>
    <row r="538" spans="14:17" ht="12.75">
      <c r="N538" s="51"/>
      <c r="Q538" s="51"/>
    </row>
    <row r="539" spans="14:17" ht="12.75">
      <c r="N539" s="51"/>
      <c r="Q539" s="51"/>
    </row>
    <row r="540" spans="14:17" ht="12.75">
      <c r="N540" s="51"/>
      <c r="Q540" s="51"/>
    </row>
    <row r="541" spans="14:17" ht="12.75">
      <c r="N541" s="51"/>
      <c r="Q541" s="51"/>
    </row>
    <row r="542" spans="14:17" ht="12.75">
      <c r="N542" s="51"/>
      <c r="Q542" s="51"/>
    </row>
    <row r="543" spans="14:17" ht="12.75">
      <c r="N543" s="51"/>
      <c r="Q543" s="51"/>
    </row>
    <row r="544" spans="14:17" ht="12.75">
      <c r="N544" s="51"/>
      <c r="Q544" s="51"/>
    </row>
    <row r="545" spans="14:17" ht="12.75">
      <c r="N545" s="51"/>
      <c r="Q545" s="51"/>
    </row>
    <row r="546" spans="14:17" ht="12.75">
      <c r="N546" s="51"/>
      <c r="Q546" s="51"/>
    </row>
    <row r="547" spans="14:17" ht="12.75">
      <c r="N547" s="51"/>
      <c r="Q547" s="51"/>
    </row>
    <row r="548" spans="14:17" ht="12.75">
      <c r="N548" s="51"/>
      <c r="Q548" s="51"/>
    </row>
    <row r="549" spans="14:17" ht="12.75">
      <c r="N549" s="51"/>
      <c r="Q549" s="51"/>
    </row>
    <row r="550" spans="14:17" ht="12.75">
      <c r="N550" s="51"/>
      <c r="Q550" s="51"/>
    </row>
    <row r="551" spans="14:17" ht="12.75">
      <c r="N551" s="51"/>
      <c r="Q551" s="51"/>
    </row>
    <row r="552" spans="14:17" ht="12.75">
      <c r="N552" s="51"/>
      <c r="Q552" s="51"/>
    </row>
    <row r="553" spans="14:17" ht="12.75">
      <c r="N553" s="51"/>
      <c r="Q553" s="51"/>
    </row>
    <row r="554" spans="14:17" ht="12.75">
      <c r="N554" s="51"/>
      <c r="Q554" s="51"/>
    </row>
    <row r="555" spans="14:17" ht="12.75">
      <c r="N555" s="51"/>
      <c r="Q555" s="51"/>
    </row>
    <row r="556" spans="14:17" ht="12.75">
      <c r="N556" s="51"/>
      <c r="Q556" s="51"/>
    </row>
    <row r="557" spans="14:17" ht="12.75">
      <c r="N557" s="51"/>
      <c r="Q557" s="51"/>
    </row>
    <row r="558" spans="14:17" ht="12.75">
      <c r="N558" s="51"/>
      <c r="Q558" s="51"/>
    </row>
    <row r="559" spans="14:17" ht="12.75">
      <c r="N559" s="51"/>
      <c r="Q559" s="51"/>
    </row>
    <row r="560" spans="14:17" ht="12.75">
      <c r="N560" s="51"/>
      <c r="Q560" s="51"/>
    </row>
    <row r="561" spans="14:17" ht="12.75">
      <c r="N561" s="51"/>
      <c r="Q561" s="51"/>
    </row>
    <row r="562" spans="14:17" ht="12.75">
      <c r="N562" s="51"/>
      <c r="Q562" s="51"/>
    </row>
    <row r="563" spans="14:17" ht="12.75">
      <c r="N563" s="51"/>
      <c r="Q563" s="51"/>
    </row>
    <row r="564" spans="14:17" ht="12.75">
      <c r="N564" s="51"/>
      <c r="Q564" s="51"/>
    </row>
    <row r="565" spans="14:17" ht="12.75">
      <c r="N565" s="51"/>
      <c r="Q565" s="51"/>
    </row>
    <row r="566" spans="14:17" ht="12.75">
      <c r="N566" s="51"/>
      <c r="Q566" s="51"/>
    </row>
    <row r="567" spans="14:17" ht="12.75">
      <c r="N567" s="51"/>
      <c r="Q567" s="51"/>
    </row>
    <row r="568" spans="14:17" ht="12.75">
      <c r="N568" s="51"/>
      <c r="Q568" s="51"/>
    </row>
    <row r="569" spans="14:17" ht="12.75">
      <c r="N569" s="51"/>
      <c r="Q569" s="51"/>
    </row>
    <row r="570" spans="14:17" ht="12.75">
      <c r="N570" s="51"/>
      <c r="Q570" s="51"/>
    </row>
    <row r="571" spans="14:17" ht="12.75">
      <c r="N571" s="51"/>
      <c r="Q571" s="51"/>
    </row>
    <row r="572" spans="14:17" ht="12.75">
      <c r="N572" s="51"/>
      <c r="Q572" s="51"/>
    </row>
    <row r="573" spans="14:17" ht="12.75">
      <c r="N573" s="51"/>
      <c r="Q573" s="51"/>
    </row>
    <row r="574" spans="14:17" ht="12.75">
      <c r="N574" s="51"/>
      <c r="Q574" s="51"/>
    </row>
    <row r="575" spans="14:17" ht="12.75">
      <c r="N575" s="51"/>
      <c r="Q575" s="51"/>
    </row>
    <row r="576" spans="14:17" ht="12.75">
      <c r="N576" s="51"/>
      <c r="Q576" s="51"/>
    </row>
    <row r="577" spans="14:17" ht="12.75">
      <c r="N577" s="51"/>
      <c r="Q577" s="51"/>
    </row>
    <row r="578" spans="14:17" ht="12.75">
      <c r="N578" s="51"/>
      <c r="Q578" s="51"/>
    </row>
    <row r="579" spans="14:17" ht="12.75">
      <c r="N579" s="51"/>
      <c r="Q579" s="51"/>
    </row>
    <row r="580" spans="14:17" ht="12.75">
      <c r="N580" s="51"/>
      <c r="Q580" s="51"/>
    </row>
    <row r="581" spans="14:17" ht="12.75">
      <c r="N581" s="51"/>
      <c r="Q581" s="51"/>
    </row>
    <row r="582" spans="14:17" ht="12.75">
      <c r="N582" s="51"/>
      <c r="Q582" s="51"/>
    </row>
    <row r="583" spans="14:17" ht="12.75">
      <c r="N583" s="51"/>
      <c r="Q583" s="51"/>
    </row>
    <row r="584" spans="14:17" ht="12.75">
      <c r="N584" s="51"/>
      <c r="Q584" s="51"/>
    </row>
    <row r="585" spans="14:17" ht="12.75">
      <c r="N585" s="51"/>
      <c r="Q585" s="51"/>
    </row>
    <row r="586" spans="14:17" ht="12.75">
      <c r="N586" s="51"/>
      <c r="Q586" s="51"/>
    </row>
    <row r="587" spans="14:17" ht="12.75">
      <c r="N587" s="51"/>
      <c r="Q587" s="51"/>
    </row>
    <row r="588" spans="14:17" ht="12.75">
      <c r="N588" s="51"/>
      <c r="Q588" s="51"/>
    </row>
    <row r="589" spans="14:17" ht="12.75">
      <c r="N589" s="51"/>
      <c r="Q589" s="51"/>
    </row>
    <row r="590" spans="14:17" ht="12.75">
      <c r="N590" s="51"/>
      <c r="Q590" s="51"/>
    </row>
    <row r="591" spans="14:17" ht="12.75">
      <c r="N591" s="51"/>
      <c r="Q591" s="51"/>
    </row>
    <row r="592" spans="14:17" ht="12.75">
      <c r="N592" s="51"/>
      <c r="Q592" s="51"/>
    </row>
    <row r="593" spans="14:17" ht="12.75">
      <c r="N593" s="51"/>
      <c r="Q593" s="51"/>
    </row>
    <row r="594" spans="14:17" ht="12.75">
      <c r="N594" s="51"/>
      <c r="Q594" s="51"/>
    </row>
    <row r="595" spans="14:17" ht="12.75">
      <c r="N595" s="51"/>
      <c r="Q595" s="51"/>
    </row>
    <row r="596" spans="14:17" ht="12.75">
      <c r="N596" s="51"/>
      <c r="Q596" s="51"/>
    </row>
    <row r="597" spans="14:17" ht="12.75">
      <c r="N597" s="51"/>
      <c r="Q597" s="51"/>
    </row>
    <row r="598" spans="14:17" ht="12.75">
      <c r="N598" s="51"/>
      <c r="Q598" s="51"/>
    </row>
    <row r="599" spans="14:17" ht="12.75">
      <c r="N599" s="51"/>
      <c r="Q599" s="51"/>
    </row>
    <row r="600" spans="14:17" ht="12.75">
      <c r="N600" s="51"/>
      <c r="Q600" s="51"/>
    </row>
    <row r="601" spans="14:17" ht="12.75">
      <c r="N601" s="51"/>
      <c r="Q601" s="51"/>
    </row>
    <row r="602" spans="14:17" ht="12.75">
      <c r="N602" s="51"/>
      <c r="Q602" s="51"/>
    </row>
    <row r="603" spans="14:17" ht="12.75">
      <c r="N603" s="51"/>
      <c r="Q603" s="51"/>
    </row>
    <row r="604" spans="14:17" ht="12.75">
      <c r="N604" s="51"/>
      <c r="Q604" s="51"/>
    </row>
    <row r="605" spans="14:17" ht="12.75">
      <c r="N605" s="51"/>
      <c r="Q605" s="51"/>
    </row>
    <row r="606" spans="14:17" ht="12.75">
      <c r="N606" s="51"/>
      <c r="Q606" s="51"/>
    </row>
    <row r="607" spans="14:17" ht="12.75">
      <c r="N607" s="51"/>
      <c r="Q607" s="51"/>
    </row>
    <row r="608" spans="14:17" ht="12.75">
      <c r="N608" s="51"/>
      <c r="Q608" s="51"/>
    </row>
    <row r="609" spans="14:17" ht="12.75">
      <c r="N609" s="51"/>
      <c r="Q609" s="51"/>
    </row>
    <row r="610" spans="14:17" ht="12.75">
      <c r="N610" s="51"/>
      <c r="Q610" s="51"/>
    </row>
    <row r="611" spans="14:17" ht="12.75">
      <c r="N611" s="51"/>
      <c r="Q611" s="51"/>
    </row>
    <row r="612" spans="14:17" ht="12.75">
      <c r="N612" s="51"/>
      <c r="Q612" s="51"/>
    </row>
    <row r="613" spans="14:17" ht="12.75">
      <c r="N613" s="51"/>
      <c r="Q613" s="51"/>
    </row>
    <row r="614" spans="14:17" ht="12.75">
      <c r="N614" s="51"/>
      <c r="Q614" s="51"/>
    </row>
    <row r="615" spans="14:17" ht="12.75">
      <c r="N615" s="51"/>
      <c r="Q615" s="51"/>
    </row>
    <row r="616" spans="14:17" ht="12.75">
      <c r="N616" s="51"/>
      <c r="Q616" s="51"/>
    </row>
    <row r="617" spans="14:17" ht="12.75">
      <c r="N617" s="51"/>
      <c r="Q617" s="51"/>
    </row>
    <row r="618" spans="14:17" ht="12.75">
      <c r="N618" s="51"/>
      <c r="Q618" s="51"/>
    </row>
    <row r="619" spans="14:17" ht="12.75">
      <c r="N619" s="51"/>
      <c r="Q619" s="51"/>
    </row>
    <row r="620" spans="14:17" ht="12.75">
      <c r="N620" s="51"/>
      <c r="Q620" s="51"/>
    </row>
    <row r="621" spans="14:17" ht="12.75">
      <c r="N621" s="51"/>
      <c r="Q621" s="51"/>
    </row>
    <row r="622" spans="14:17" ht="12.75">
      <c r="N622" s="51"/>
      <c r="Q622" s="51"/>
    </row>
    <row r="623" spans="14:17" ht="12.75">
      <c r="N623" s="51"/>
      <c r="Q623" s="51"/>
    </row>
    <row r="624" spans="14:17" ht="12.75">
      <c r="N624" s="51"/>
      <c r="Q624" s="51"/>
    </row>
    <row r="625" spans="14:17" ht="12.75">
      <c r="N625" s="51"/>
      <c r="Q625" s="51"/>
    </row>
    <row r="626" spans="14:17" ht="12.75">
      <c r="N626" s="51"/>
      <c r="Q626" s="51"/>
    </row>
    <row r="627" spans="14:17" ht="12.75">
      <c r="N627" s="51"/>
      <c r="Q627" s="51"/>
    </row>
    <row r="628" spans="14:17" ht="12.75">
      <c r="N628" s="51"/>
      <c r="Q628" s="51"/>
    </row>
    <row r="629" spans="14:17" ht="12.75">
      <c r="N629" s="51"/>
      <c r="Q629" s="51"/>
    </row>
    <row r="630" spans="14:17" ht="12.75">
      <c r="N630" s="51"/>
      <c r="Q630" s="51"/>
    </row>
    <row r="631" spans="14:17" ht="12.75">
      <c r="N631" s="51"/>
      <c r="Q631" s="51"/>
    </row>
    <row r="632" spans="14:17" ht="12.75">
      <c r="N632" s="51"/>
      <c r="Q632" s="51"/>
    </row>
    <row r="633" spans="14:17" ht="12.75">
      <c r="N633" s="51"/>
      <c r="Q633" s="51"/>
    </row>
    <row r="634" spans="14:17" ht="12.75">
      <c r="N634" s="51"/>
      <c r="Q634" s="51"/>
    </row>
    <row r="635" spans="14:17" ht="12.75">
      <c r="N635" s="51"/>
      <c r="Q635" s="51"/>
    </row>
    <row r="636" spans="14:17" ht="12.75">
      <c r="N636" s="51"/>
      <c r="Q636" s="51"/>
    </row>
    <row r="637" spans="14:17" ht="12.75">
      <c r="N637" s="51"/>
      <c r="Q637" s="51"/>
    </row>
    <row r="638" spans="14:17" ht="12.75">
      <c r="N638" s="51"/>
      <c r="Q638" s="51"/>
    </row>
    <row r="639" spans="14:17" ht="12.75">
      <c r="N639" s="51"/>
      <c r="Q639" s="51"/>
    </row>
    <row r="640" spans="14:17" ht="12.75">
      <c r="N640" s="51"/>
      <c r="Q640" s="51"/>
    </row>
    <row r="641" spans="14:17" ht="12.75">
      <c r="N641" s="51"/>
      <c r="Q641" s="51"/>
    </row>
    <row r="642" spans="14:17" ht="12.75">
      <c r="N642" s="51"/>
      <c r="Q642" s="51"/>
    </row>
    <row r="643" spans="14:17" ht="12.75">
      <c r="N643" s="51"/>
      <c r="Q643" s="51"/>
    </row>
    <row r="644" spans="14:17" ht="12.75">
      <c r="N644" s="51"/>
      <c r="Q644" s="51"/>
    </row>
    <row r="645" spans="14:17" ht="12.75">
      <c r="N645" s="51"/>
      <c r="Q645" s="51"/>
    </row>
    <row r="646" spans="14:17" ht="12.75">
      <c r="N646" s="51"/>
      <c r="Q646" s="51"/>
    </row>
    <row r="647" spans="14:17" ht="12.75">
      <c r="N647" s="51"/>
      <c r="Q647" s="51"/>
    </row>
    <row r="648" spans="14:17" ht="12.75">
      <c r="N648" s="51"/>
      <c r="Q648" s="51"/>
    </row>
    <row r="649" spans="14:17" ht="12.75">
      <c r="N649" s="51"/>
      <c r="Q649" s="51"/>
    </row>
    <row r="650" spans="14:17" ht="12.75">
      <c r="N650" s="51"/>
      <c r="Q650" s="51"/>
    </row>
    <row r="651" spans="14:17" ht="12.75">
      <c r="N651" s="51"/>
      <c r="Q651" s="51"/>
    </row>
    <row r="652" spans="14:17" ht="12.75">
      <c r="N652" s="51"/>
      <c r="Q652" s="51"/>
    </row>
    <row r="653" spans="14:17" ht="12.75">
      <c r="N653" s="51"/>
      <c r="Q653" s="51"/>
    </row>
    <row r="654" spans="14:17" ht="12.75">
      <c r="N654" s="51"/>
      <c r="Q654" s="51"/>
    </row>
    <row r="655" spans="14:17" ht="12.75">
      <c r="N655" s="51"/>
      <c r="Q655" s="51"/>
    </row>
    <row r="656" spans="14:17" ht="12.75">
      <c r="N656" s="51"/>
      <c r="Q656" s="51"/>
    </row>
    <row r="657" spans="14:17" ht="12.75">
      <c r="N657" s="51"/>
      <c r="Q657" s="51"/>
    </row>
    <row r="658" spans="14:17" ht="12.75">
      <c r="N658" s="51"/>
      <c r="Q658" s="51"/>
    </row>
    <row r="659" spans="14:17" ht="12.75">
      <c r="N659" s="51"/>
      <c r="Q659" s="51"/>
    </row>
    <row r="660" spans="14:17" ht="12.75">
      <c r="N660" s="51"/>
      <c r="Q660" s="51"/>
    </row>
    <row r="661" spans="14:17" ht="12.75">
      <c r="N661" s="51"/>
      <c r="Q661" s="51"/>
    </row>
    <row r="662" spans="14:17" ht="12.75">
      <c r="N662" s="51"/>
      <c r="Q662" s="51"/>
    </row>
    <row r="663" spans="14:17" ht="12.75">
      <c r="N663" s="51"/>
      <c r="Q663" s="51"/>
    </row>
    <row r="664" spans="14:17" ht="12.75">
      <c r="N664" s="51"/>
      <c r="Q664" s="51"/>
    </row>
    <row r="665" spans="14:17" ht="12.75">
      <c r="N665" s="51"/>
      <c r="Q665" s="51"/>
    </row>
    <row r="666" spans="14:17" ht="12.75">
      <c r="N666" s="51"/>
      <c r="Q666" s="51"/>
    </row>
    <row r="667" spans="14:17" ht="12.75">
      <c r="N667" s="51"/>
      <c r="Q667" s="51"/>
    </row>
    <row r="668" spans="14:17" ht="12.75">
      <c r="N668" s="51"/>
      <c r="Q668" s="51"/>
    </row>
    <row r="669" spans="14:17" ht="12.75">
      <c r="N669" s="51"/>
      <c r="Q669" s="51"/>
    </row>
    <row r="670" spans="14:17" ht="12.75">
      <c r="N670" s="51"/>
      <c r="Q670" s="51"/>
    </row>
    <row r="671" spans="14:17" ht="12.75">
      <c r="N671" s="51"/>
      <c r="Q671" s="51"/>
    </row>
    <row r="672" spans="14:17" ht="12.75">
      <c r="N672" s="51"/>
      <c r="Q672" s="51"/>
    </row>
    <row r="673" spans="14:17" ht="12.75">
      <c r="N673" s="51"/>
      <c r="Q673" s="51"/>
    </row>
    <row r="674" spans="14:17" ht="12.75">
      <c r="N674" s="51"/>
      <c r="Q674" s="51"/>
    </row>
    <row r="675" spans="14:17" ht="12.75">
      <c r="N675" s="51"/>
      <c r="Q675" s="51"/>
    </row>
    <row r="676" spans="14:17" ht="12.75">
      <c r="N676" s="51"/>
      <c r="Q676" s="51"/>
    </row>
    <row r="677" spans="14:17" ht="12.75">
      <c r="N677" s="51"/>
      <c r="Q677" s="51"/>
    </row>
    <row r="678" spans="14:17" ht="12.75">
      <c r="N678" s="51"/>
      <c r="Q678" s="51"/>
    </row>
    <row r="679" spans="14:17" ht="12.75">
      <c r="N679" s="51"/>
      <c r="Q679" s="51"/>
    </row>
    <row r="680" spans="14:17" ht="12.75">
      <c r="N680" s="51"/>
      <c r="Q680" s="51"/>
    </row>
    <row r="681" spans="14:17" ht="12.75">
      <c r="N681" s="51"/>
      <c r="Q681" s="51"/>
    </row>
    <row r="682" spans="14:17" ht="12.75">
      <c r="N682" s="51"/>
      <c r="Q682" s="51"/>
    </row>
    <row r="683" spans="14:17" ht="12.75">
      <c r="N683" s="51"/>
      <c r="Q683" s="51"/>
    </row>
    <row r="684" spans="14:17" ht="12.75">
      <c r="N684" s="51"/>
      <c r="Q684" s="51"/>
    </row>
    <row r="685" spans="14:17" ht="12.75">
      <c r="N685" s="51"/>
      <c r="Q685" s="51"/>
    </row>
    <row r="686" spans="14:17" ht="12.75">
      <c r="N686" s="51"/>
      <c r="Q686" s="51"/>
    </row>
    <row r="687" spans="14:17" ht="12.75">
      <c r="N687" s="51"/>
      <c r="Q687" s="51"/>
    </row>
    <row r="688" spans="14:17" ht="12.75">
      <c r="N688" s="51"/>
      <c r="Q688" s="51"/>
    </row>
    <row r="689" spans="14:17" ht="12.75">
      <c r="N689" s="51"/>
      <c r="Q689" s="51"/>
    </row>
    <row r="690" spans="14:17" ht="12.75">
      <c r="N690" s="51"/>
      <c r="Q690" s="51"/>
    </row>
    <row r="691" spans="14:17" ht="12.75">
      <c r="N691" s="51"/>
      <c r="Q691" s="51"/>
    </row>
    <row r="692" spans="14:17" ht="12.75">
      <c r="N692" s="51"/>
      <c r="Q692" s="51"/>
    </row>
    <row r="693" spans="14:17" ht="12.75">
      <c r="N693" s="51"/>
      <c r="Q693" s="51"/>
    </row>
    <row r="694" spans="14:17" ht="12.75">
      <c r="N694" s="51"/>
      <c r="Q694" s="51"/>
    </row>
    <row r="695" spans="14:17" ht="12.75">
      <c r="N695" s="51"/>
      <c r="Q695" s="51"/>
    </row>
    <row r="696" spans="14:17" ht="12.75">
      <c r="N696" s="51"/>
      <c r="Q696" s="51"/>
    </row>
    <row r="697" spans="14:17" ht="12.75">
      <c r="N697" s="51"/>
      <c r="Q697" s="51"/>
    </row>
    <row r="698" spans="14:17" ht="12.75">
      <c r="N698" s="51"/>
      <c r="Q698" s="51"/>
    </row>
    <row r="699" spans="14:17" ht="12.75">
      <c r="N699" s="51"/>
      <c r="Q699" s="51"/>
    </row>
    <row r="700" spans="14:17" ht="12.75">
      <c r="N700" s="51"/>
      <c r="Q700" s="51"/>
    </row>
    <row r="701" spans="14:17" ht="12.75">
      <c r="N701" s="51"/>
      <c r="Q701" s="51"/>
    </row>
    <row r="702" spans="14:17" ht="12.75">
      <c r="N702" s="51"/>
      <c r="Q702" s="51"/>
    </row>
    <row r="703" spans="14:17" ht="12.75">
      <c r="N703" s="51"/>
      <c r="Q703" s="51"/>
    </row>
    <row r="704" spans="14:17" ht="12.75">
      <c r="N704" s="51"/>
      <c r="Q704" s="51"/>
    </row>
    <row r="705" spans="14:17" ht="12.75">
      <c r="N705" s="51"/>
      <c r="Q705" s="51"/>
    </row>
    <row r="706" spans="14:17" ht="12.75">
      <c r="N706" s="51"/>
      <c r="Q706" s="51"/>
    </row>
    <row r="707" spans="14:17" ht="12.75">
      <c r="N707" s="51"/>
      <c r="Q707" s="51"/>
    </row>
    <row r="708" spans="14:17" ht="12.75">
      <c r="N708" s="51"/>
      <c r="Q708" s="51"/>
    </row>
    <row r="709" spans="14:17" ht="12.75">
      <c r="N709" s="51"/>
      <c r="Q709" s="51"/>
    </row>
    <row r="710" spans="14:17" ht="12.75">
      <c r="N710" s="51"/>
      <c r="Q710" s="51"/>
    </row>
    <row r="711" spans="14:17" ht="12.75">
      <c r="N711" s="51"/>
      <c r="Q711" s="51"/>
    </row>
    <row r="712" spans="14:17" ht="12.75">
      <c r="N712" s="51"/>
      <c r="Q712" s="51"/>
    </row>
    <row r="713" spans="14:17" ht="12.75">
      <c r="N713" s="51"/>
      <c r="Q713" s="51"/>
    </row>
    <row r="714" spans="14:17" ht="12.75">
      <c r="N714" s="51"/>
      <c r="Q714" s="51"/>
    </row>
    <row r="715" spans="14:17" ht="12.75">
      <c r="N715" s="51"/>
      <c r="Q715" s="51"/>
    </row>
    <row r="716" spans="14:17" ht="12.75">
      <c r="N716" s="51"/>
      <c r="Q716" s="51"/>
    </row>
    <row r="717" spans="14:17" ht="12.75">
      <c r="N717" s="51"/>
      <c r="Q717" s="51"/>
    </row>
    <row r="718" spans="14:17" ht="12.75">
      <c r="N718" s="51"/>
      <c r="Q718" s="51"/>
    </row>
    <row r="719" spans="14:17" ht="12.75">
      <c r="N719" s="51"/>
      <c r="Q719" s="51"/>
    </row>
    <row r="720" spans="14:17" ht="12.75">
      <c r="N720" s="51"/>
      <c r="Q720" s="51"/>
    </row>
    <row r="721" spans="14:17" ht="12.75">
      <c r="N721" s="51"/>
      <c r="Q721" s="51"/>
    </row>
    <row r="722" spans="14:17" ht="12.75">
      <c r="N722" s="51"/>
      <c r="Q722" s="51"/>
    </row>
    <row r="723" spans="14:17" ht="12.75">
      <c r="N723" s="51"/>
      <c r="Q723" s="51"/>
    </row>
    <row r="724" spans="14:17" ht="12.75">
      <c r="N724" s="51"/>
      <c r="Q724" s="51"/>
    </row>
    <row r="725" spans="14:17" ht="12.75">
      <c r="N725" s="51"/>
      <c r="Q725" s="51"/>
    </row>
    <row r="726" spans="14:17" ht="12.75">
      <c r="N726" s="51"/>
      <c r="Q726" s="51"/>
    </row>
    <row r="727" spans="14:17" ht="12.75">
      <c r="N727" s="51"/>
      <c r="Q727" s="51"/>
    </row>
    <row r="728" spans="14:17" ht="12.75">
      <c r="N728" s="51"/>
      <c r="Q728" s="51"/>
    </row>
    <row r="729" spans="14:17" ht="12.75">
      <c r="N729" s="51"/>
      <c r="Q729" s="51"/>
    </row>
    <row r="730" spans="14:17" ht="12.75">
      <c r="N730" s="51"/>
      <c r="Q730" s="51"/>
    </row>
    <row r="731" spans="14:17" ht="12.75">
      <c r="N731" s="51"/>
      <c r="Q731" s="51"/>
    </row>
    <row r="732" spans="14:17" ht="12.75">
      <c r="N732" s="51"/>
      <c r="Q732" s="51"/>
    </row>
    <row r="733" spans="14:17" ht="12.75">
      <c r="N733" s="51"/>
      <c r="Q733" s="51"/>
    </row>
    <row r="734" spans="14:17" ht="12.75">
      <c r="N734" s="51"/>
      <c r="Q734" s="51"/>
    </row>
    <row r="735" spans="14:17" ht="12.75">
      <c r="N735" s="51"/>
      <c r="Q735" s="51"/>
    </row>
    <row r="736" spans="14:17" ht="12.75">
      <c r="N736" s="51"/>
      <c r="Q736" s="51"/>
    </row>
    <row r="737" spans="14:17" ht="12.75">
      <c r="N737" s="51"/>
      <c r="Q737" s="51"/>
    </row>
    <row r="738" spans="14:17" ht="12.75">
      <c r="N738" s="51"/>
      <c r="Q738" s="51"/>
    </row>
    <row r="739" spans="14:17" ht="12.75">
      <c r="N739" s="51"/>
      <c r="Q739" s="51"/>
    </row>
    <row r="740" spans="14:17" ht="12.75">
      <c r="N740" s="51"/>
      <c r="Q740" s="51"/>
    </row>
    <row r="741" spans="14:17" ht="12.75">
      <c r="N741" s="51"/>
      <c r="Q741" s="51"/>
    </row>
    <row r="742" spans="14:17" ht="12.75">
      <c r="N742" s="51"/>
      <c r="Q742" s="51"/>
    </row>
    <row r="743" spans="14:17" ht="12.75">
      <c r="N743" s="51"/>
      <c r="Q743" s="51"/>
    </row>
    <row r="744" spans="14:17" ht="12.75">
      <c r="N744" s="51"/>
      <c r="Q744" s="51"/>
    </row>
    <row r="745" spans="14:17" ht="12.75">
      <c r="N745" s="51"/>
      <c r="Q745" s="51"/>
    </row>
    <row r="746" spans="14:17" ht="12.75">
      <c r="N746" s="51"/>
      <c r="Q746" s="51"/>
    </row>
    <row r="747" spans="14:17" ht="12.75">
      <c r="N747" s="51"/>
      <c r="Q747" s="51"/>
    </row>
    <row r="748" spans="14:17" ht="12.75">
      <c r="N748" s="51"/>
      <c r="Q748" s="51"/>
    </row>
    <row r="749" spans="14:17" ht="12.75">
      <c r="N749" s="51"/>
      <c r="Q749" s="51"/>
    </row>
    <row r="750" spans="14:17" ht="12.75">
      <c r="N750" s="51"/>
      <c r="Q750" s="51"/>
    </row>
    <row r="751" spans="14:17" ht="12.75">
      <c r="N751" s="51"/>
      <c r="Q751" s="51"/>
    </row>
    <row r="752" spans="14:17" ht="12.75">
      <c r="N752" s="51"/>
      <c r="Q752" s="51"/>
    </row>
    <row r="753" spans="14:17" ht="12.75">
      <c r="N753" s="51"/>
      <c r="Q753" s="51"/>
    </row>
    <row r="754" spans="14:17" ht="12.75">
      <c r="N754" s="51"/>
      <c r="Q754" s="51"/>
    </row>
    <row r="755" spans="14:17" ht="12.75">
      <c r="N755" s="51"/>
      <c r="Q755" s="51"/>
    </row>
    <row r="756" spans="14:17" ht="12.75">
      <c r="N756" s="51"/>
      <c r="Q756" s="51"/>
    </row>
    <row r="757" spans="14:17" ht="12.75">
      <c r="N757" s="51"/>
      <c r="Q757" s="51"/>
    </row>
    <row r="758" spans="14:17" ht="12.75">
      <c r="N758" s="51"/>
      <c r="Q758" s="51"/>
    </row>
    <row r="759" spans="14:17" ht="12.75">
      <c r="N759" s="51"/>
      <c r="Q759" s="51"/>
    </row>
    <row r="760" spans="14:17" ht="12.75">
      <c r="N760" s="51"/>
      <c r="Q760" s="51"/>
    </row>
    <row r="761" spans="14:17" ht="12.75">
      <c r="N761" s="51"/>
      <c r="Q761" s="51"/>
    </row>
    <row r="762" spans="14:17" ht="12.75">
      <c r="N762" s="51"/>
      <c r="Q762" s="51"/>
    </row>
    <row r="763" spans="14:17" ht="12.75">
      <c r="N763" s="51"/>
      <c r="Q763" s="51"/>
    </row>
    <row r="764" spans="14:17" ht="12.75">
      <c r="N764" s="51"/>
      <c r="Q764" s="51"/>
    </row>
    <row r="765" spans="14:17" ht="12.75">
      <c r="N765" s="51"/>
      <c r="Q765" s="51"/>
    </row>
    <row r="766" spans="14:17" ht="12.75">
      <c r="N766" s="51"/>
      <c r="Q766" s="51"/>
    </row>
    <row r="767" spans="14:17" ht="12.75">
      <c r="N767" s="51"/>
      <c r="Q767" s="51"/>
    </row>
    <row r="768" spans="14:17" ht="12.75">
      <c r="N768" s="51"/>
      <c r="Q768" s="51"/>
    </row>
    <row r="769" spans="14:17" ht="12.75">
      <c r="N769" s="51"/>
      <c r="Q769" s="51"/>
    </row>
    <row r="770" spans="14:17" ht="12.75">
      <c r="N770" s="51"/>
      <c r="Q770" s="51"/>
    </row>
    <row r="771" spans="14:17" ht="12.75">
      <c r="N771" s="51"/>
      <c r="Q771" s="51"/>
    </row>
    <row r="772" spans="14:17" ht="12.75">
      <c r="N772" s="51"/>
      <c r="Q772" s="51"/>
    </row>
    <row r="773" spans="14:17" ht="12.75">
      <c r="N773" s="51"/>
      <c r="Q773" s="51"/>
    </row>
    <row r="774" spans="14:17" ht="12.75">
      <c r="N774" s="51"/>
      <c r="Q774" s="51"/>
    </row>
    <row r="775" spans="14:17" ht="12.75">
      <c r="N775" s="51"/>
      <c r="Q775" s="51"/>
    </row>
    <row r="776" spans="14:17" ht="12.75">
      <c r="N776" s="51"/>
      <c r="Q776" s="51"/>
    </row>
    <row r="777" spans="14:17" ht="12.75">
      <c r="N777" s="51"/>
      <c r="Q777" s="51"/>
    </row>
    <row r="778" spans="14:17" ht="12.75">
      <c r="N778" s="51"/>
      <c r="Q778" s="51"/>
    </row>
    <row r="779" spans="14:17" ht="12.75">
      <c r="N779" s="51"/>
      <c r="Q779" s="51"/>
    </row>
    <row r="780" spans="14:17" ht="12.75">
      <c r="N780" s="51"/>
      <c r="Q780" s="51"/>
    </row>
    <row r="781" spans="14:17" ht="12.75">
      <c r="N781" s="51"/>
      <c r="Q781" s="51"/>
    </row>
    <row r="782" spans="14:17" ht="12.75">
      <c r="N782" s="51"/>
      <c r="Q782" s="51"/>
    </row>
    <row r="783" spans="14:17" ht="12.75">
      <c r="N783" s="51"/>
      <c r="Q783" s="51"/>
    </row>
    <row r="784" spans="14:17" ht="12.75">
      <c r="N784" s="51"/>
      <c r="Q784" s="51"/>
    </row>
    <row r="785" spans="14:17" ht="12.75">
      <c r="N785" s="51"/>
      <c r="Q785" s="51"/>
    </row>
    <row r="786" spans="14:17" ht="12.75">
      <c r="N786" s="51"/>
      <c r="Q786" s="51"/>
    </row>
    <row r="787" spans="14:17" ht="12.75">
      <c r="N787" s="51"/>
      <c r="Q787" s="51"/>
    </row>
    <row r="788" spans="14:17" ht="12.75">
      <c r="N788" s="51"/>
      <c r="Q788" s="51"/>
    </row>
    <row r="789" spans="14:17" ht="12.75">
      <c r="N789" s="51"/>
      <c r="Q789" s="51"/>
    </row>
    <row r="790" spans="14:17" ht="12.75">
      <c r="N790" s="51"/>
      <c r="Q790" s="51"/>
    </row>
    <row r="791" spans="14:17" ht="12.75">
      <c r="N791" s="51"/>
      <c r="Q791" s="51"/>
    </row>
    <row r="792" spans="14:17" ht="12.75">
      <c r="N792" s="51"/>
      <c r="Q792" s="51"/>
    </row>
    <row r="793" spans="14:17" ht="12.75">
      <c r="N793" s="51"/>
      <c r="Q793" s="51"/>
    </row>
    <row r="794" spans="14:17" ht="12.75">
      <c r="N794" s="51"/>
      <c r="Q794" s="51"/>
    </row>
    <row r="795" spans="14:17" ht="12.75">
      <c r="N795" s="51"/>
      <c r="Q795" s="51"/>
    </row>
    <row r="796" spans="14:17" ht="12.75">
      <c r="N796" s="51"/>
      <c r="Q796" s="51"/>
    </row>
    <row r="797" spans="14:17" ht="12.75">
      <c r="N797" s="51"/>
      <c r="Q797" s="51"/>
    </row>
    <row r="798" spans="14:17" ht="12.75">
      <c r="N798" s="51"/>
      <c r="Q798" s="51"/>
    </row>
    <row r="799" spans="14:17" ht="12.75">
      <c r="N799" s="51"/>
      <c r="Q799" s="51"/>
    </row>
    <row r="800" spans="14:17" ht="12.75">
      <c r="N800" s="51"/>
      <c r="Q800" s="51"/>
    </row>
    <row r="801" spans="14:17" ht="12.75">
      <c r="N801" s="51"/>
      <c r="Q801" s="51"/>
    </row>
    <row r="802" spans="14:17" ht="12.75">
      <c r="N802" s="51"/>
      <c r="Q802" s="51"/>
    </row>
    <row r="803" spans="14:17" ht="12.75">
      <c r="N803" s="51"/>
      <c r="Q803" s="51"/>
    </row>
    <row r="804" spans="14:17" ht="12.75">
      <c r="N804" s="51"/>
      <c r="Q804" s="51"/>
    </row>
    <row r="805" spans="14:17" ht="12.75">
      <c r="N805" s="51"/>
      <c r="Q805" s="51"/>
    </row>
    <row r="806" spans="14:17" ht="12.75">
      <c r="N806" s="51"/>
      <c r="Q806" s="51"/>
    </row>
    <row r="807" spans="14:17" ht="12.75">
      <c r="N807" s="51"/>
      <c r="Q807" s="51"/>
    </row>
    <row r="808" spans="14:17" ht="12.75">
      <c r="N808" s="51"/>
      <c r="Q808" s="51"/>
    </row>
    <row r="809" spans="14:17" ht="12.75">
      <c r="N809" s="51"/>
      <c r="Q809" s="51"/>
    </row>
    <row r="810" spans="14:17" ht="12.75">
      <c r="N810" s="51"/>
      <c r="Q810" s="51"/>
    </row>
    <row r="811" spans="14:17" ht="12.75">
      <c r="N811" s="51"/>
      <c r="Q811" s="51"/>
    </row>
    <row r="812" spans="14:17" ht="12.75">
      <c r="N812" s="51"/>
      <c r="Q812" s="51"/>
    </row>
    <row r="813" spans="14:17" ht="12.75">
      <c r="N813" s="51"/>
      <c r="Q813" s="51"/>
    </row>
    <row r="814" spans="14:17" ht="12.75">
      <c r="N814" s="51"/>
      <c r="Q814" s="51"/>
    </row>
    <row r="815" spans="14:17" ht="12.75">
      <c r="N815" s="51"/>
      <c r="Q815" s="51"/>
    </row>
    <row r="816" spans="14:17" ht="12.75">
      <c r="N816" s="51"/>
      <c r="Q816" s="51"/>
    </row>
    <row r="817" spans="14:17" ht="12.75">
      <c r="N817" s="51"/>
      <c r="Q817" s="51"/>
    </row>
    <row r="818" spans="14:17" ht="12.75">
      <c r="N818" s="51"/>
      <c r="Q818" s="51"/>
    </row>
    <row r="819" spans="14:17" ht="12.75">
      <c r="N819" s="51"/>
      <c r="Q819" s="51"/>
    </row>
    <row r="820" spans="14:17" ht="12.75">
      <c r="N820" s="51"/>
      <c r="Q820" s="51"/>
    </row>
    <row r="821" spans="14:17" ht="12.75">
      <c r="N821" s="51"/>
      <c r="Q821" s="51"/>
    </row>
    <row r="822" spans="14:17" ht="12.75">
      <c r="N822" s="51"/>
      <c r="Q822" s="51"/>
    </row>
    <row r="823" spans="14:17" ht="12.75">
      <c r="N823" s="51"/>
      <c r="Q823" s="51"/>
    </row>
    <row r="824" spans="14:17" ht="12.75">
      <c r="N824" s="51"/>
      <c r="Q824" s="51"/>
    </row>
    <row r="825" spans="14:17" ht="12.75">
      <c r="N825" s="51"/>
      <c r="Q825" s="51"/>
    </row>
    <row r="826" spans="14:17" ht="12.75">
      <c r="N826" s="51"/>
      <c r="Q826" s="51"/>
    </row>
    <row r="827" spans="14:17" ht="12.75">
      <c r="N827" s="51"/>
      <c r="Q827" s="51"/>
    </row>
    <row r="828" spans="14:17" ht="12.75">
      <c r="N828" s="51"/>
      <c r="Q828" s="51"/>
    </row>
    <row r="829" spans="14:17" ht="12.75">
      <c r="N829" s="51"/>
      <c r="Q829" s="51"/>
    </row>
    <row r="830" spans="14:17" ht="12.75">
      <c r="N830" s="51"/>
      <c r="Q830" s="51"/>
    </row>
    <row r="831" spans="14:17" ht="12.75">
      <c r="N831" s="51"/>
      <c r="Q831" s="51"/>
    </row>
    <row r="832" spans="14:17" ht="12.75">
      <c r="N832" s="51"/>
      <c r="Q832" s="51"/>
    </row>
    <row r="833" spans="14:17" ht="12.75">
      <c r="N833" s="51"/>
      <c r="Q833" s="51"/>
    </row>
    <row r="834" spans="14:17" ht="12.75">
      <c r="N834" s="51"/>
      <c r="Q834" s="51"/>
    </row>
    <row r="835" spans="14:17" ht="12.75">
      <c r="N835" s="51"/>
      <c r="Q835" s="51"/>
    </row>
    <row r="836" spans="14:17" ht="12.75">
      <c r="N836" s="51"/>
      <c r="Q836" s="51"/>
    </row>
    <row r="837" spans="14:17" ht="12.75">
      <c r="N837" s="51"/>
      <c r="Q837" s="51"/>
    </row>
    <row r="838" spans="14:17" ht="12.75">
      <c r="N838" s="51"/>
      <c r="Q838" s="51"/>
    </row>
    <row r="839" spans="14:17" ht="12.75">
      <c r="N839" s="51"/>
      <c r="Q839" s="51"/>
    </row>
    <row r="840" spans="14:17" ht="12.75">
      <c r="N840" s="51"/>
      <c r="Q840" s="51"/>
    </row>
    <row r="841" spans="14:17" ht="12.75">
      <c r="N841" s="51"/>
      <c r="Q841" s="51"/>
    </row>
    <row r="842" spans="14:17" ht="12.75">
      <c r="N842" s="51"/>
      <c r="Q842" s="51"/>
    </row>
    <row r="843" spans="14:17" ht="12.75">
      <c r="N843" s="51"/>
      <c r="Q843" s="51"/>
    </row>
    <row r="844" spans="14:17" ht="12.75">
      <c r="N844" s="51"/>
      <c r="Q844" s="51"/>
    </row>
    <row r="845" spans="14:17" ht="12.75">
      <c r="N845" s="51"/>
      <c r="Q845" s="51"/>
    </row>
    <row r="846" spans="14:17" ht="12.75">
      <c r="N846" s="51"/>
      <c r="Q846" s="51"/>
    </row>
    <row r="847" spans="14:17" ht="12.75">
      <c r="N847" s="51"/>
      <c r="Q847" s="51"/>
    </row>
    <row r="848" spans="14:17" ht="12.75">
      <c r="N848" s="51"/>
      <c r="Q848" s="51"/>
    </row>
    <row r="849" spans="14:17" ht="12.75">
      <c r="N849" s="51"/>
      <c r="Q849" s="51"/>
    </row>
    <row r="850" spans="14:17" ht="12.75">
      <c r="N850" s="51"/>
      <c r="Q850" s="51"/>
    </row>
    <row r="851" spans="14:17" ht="12.75">
      <c r="N851" s="51"/>
      <c r="Q851" s="51"/>
    </row>
    <row r="852" spans="14:17" ht="12.75">
      <c r="N852" s="51"/>
      <c r="Q852" s="51"/>
    </row>
    <row r="853" spans="14:17" ht="12.75">
      <c r="N853" s="51"/>
      <c r="Q853" s="51"/>
    </row>
    <row r="854" spans="14:17" ht="12.75">
      <c r="N854" s="51"/>
      <c r="Q854" s="51"/>
    </row>
    <row r="855" spans="14:17" ht="12.75">
      <c r="N855" s="51"/>
      <c r="Q855" s="51"/>
    </row>
    <row r="856" spans="14:17" ht="12.75">
      <c r="N856" s="51"/>
      <c r="Q856" s="51"/>
    </row>
    <row r="857" spans="14:17" ht="12.75">
      <c r="N857" s="51"/>
      <c r="Q857" s="51"/>
    </row>
    <row r="858" spans="14:17" ht="12.75">
      <c r="N858" s="51"/>
      <c r="Q858" s="51"/>
    </row>
    <row r="859" spans="14:17" ht="12.75">
      <c r="N859" s="51"/>
      <c r="Q859" s="51"/>
    </row>
    <row r="860" spans="14:17" ht="12.75">
      <c r="N860" s="51"/>
      <c r="Q860" s="51"/>
    </row>
    <row r="861" spans="14:17" ht="12.75">
      <c r="N861" s="51"/>
      <c r="Q861" s="51"/>
    </row>
    <row r="862" spans="14:17" ht="12.75">
      <c r="N862" s="51"/>
      <c r="Q862" s="51"/>
    </row>
    <row r="863" spans="14:17" ht="12.75">
      <c r="N863" s="51"/>
      <c r="Q863" s="51"/>
    </row>
    <row r="864" spans="14:17" ht="12.75">
      <c r="N864" s="51"/>
      <c r="Q864" s="51"/>
    </row>
    <row r="865" spans="14:17" ht="12.75">
      <c r="N865" s="51"/>
      <c r="Q865" s="51"/>
    </row>
    <row r="866" spans="14:17" ht="12.75">
      <c r="N866" s="51"/>
      <c r="Q866" s="51"/>
    </row>
    <row r="867" spans="14:17" ht="12.75">
      <c r="N867" s="51"/>
      <c r="Q867" s="51"/>
    </row>
    <row r="868" spans="14:17" ht="12.75">
      <c r="N868" s="51"/>
      <c r="Q868" s="51"/>
    </row>
    <row r="869" spans="14:17" ht="12.75">
      <c r="N869" s="51"/>
      <c r="Q869" s="51"/>
    </row>
    <row r="870" spans="14:17" ht="12.75">
      <c r="N870" s="51"/>
      <c r="Q870" s="51"/>
    </row>
    <row r="871" spans="14:17" ht="12.75">
      <c r="N871" s="51"/>
      <c r="Q871" s="51"/>
    </row>
    <row r="872" spans="14:17" ht="12.75">
      <c r="N872" s="51"/>
      <c r="Q872" s="51"/>
    </row>
    <row r="873" spans="14:17" ht="12.75">
      <c r="N873" s="51"/>
      <c r="Q873" s="51"/>
    </row>
    <row r="874" spans="14:17" ht="12.75">
      <c r="N874" s="51"/>
      <c r="Q874" s="51"/>
    </row>
    <row r="875" spans="14:17" ht="12.75">
      <c r="N875" s="51"/>
      <c r="Q875" s="51"/>
    </row>
    <row r="876" spans="14:17" ht="12.75">
      <c r="N876" s="51"/>
      <c r="Q876" s="51"/>
    </row>
    <row r="877" spans="14:17" ht="12.75">
      <c r="N877" s="51"/>
      <c r="Q877" s="51"/>
    </row>
    <row r="878" spans="14:17" ht="12.75">
      <c r="N878" s="51"/>
      <c r="Q878" s="51"/>
    </row>
    <row r="879" spans="14:17" ht="12.75">
      <c r="N879" s="51"/>
      <c r="Q879" s="51"/>
    </row>
    <row r="880" spans="14:17" ht="12.75">
      <c r="N880" s="51"/>
      <c r="Q880" s="51"/>
    </row>
    <row r="881" spans="14:17" ht="12.75">
      <c r="N881" s="51"/>
      <c r="Q881" s="51"/>
    </row>
    <row r="882" spans="14:17" ht="12.75">
      <c r="N882" s="51"/>
      <c r="Q882" s="51"/>
    </row>
    <row r="883" spans="14:17" ht="12.75">
      <c r="N883" s="51"/>
      <c r="Q883" s="51"/>
    </row>
    <row r="884" spans="14:17" ht="12.75">
      <c r="N884" s="51"/>
      <c r="Q884" s="51"/>
    </row>
    <row r="885" spans="14:17" ht="12.75">
      <c r="N885" s="51"/>
      <c r="Q885" s="51"/>
    </row>
    <row r="886" spans="14:17" ht="12.75">
      <c r="N886" s="51"/>
      <c r="Q886" s="51"/>
    </row>
    <row r="887" spans="14:17" ht="12.75">
      <c r="N887" s="51"/>
      <c r="Q887" s="51"/>
    </row>
    <row r="888" spans="14:17" ht="12.75">
      <c r="N888" s="51"/>
      <c r="Q888" s="51"/>
    </row>
    <row r="889" spans="14:17" ht="12.75">
      <c r="N889" s="51"/>
      <c r="Q889" s="51"/>
    </row>
    <row r="890" spans="14:17" ht="12.75">
      <c r="N890" s="51"/>
      <c r="Q890" s="51"/>
    </row>
    <row r="891" spans="14:17" ht="12.75">
      <c r="N891" s="51"/>
      <c r="Q891" s="51"/>
    </row>
    <row r="892" spans="14:17" ht="12.75">
      <c r="N892" s="51"/>
      <c r="Q892" s="51"/>
    </row>
    <row r="893" spans="14:17" ht="12.75">
      <c r="N893" s="51"/>
      <c r="Q893" s="51"/>
    </row>
    <row r="894" spans="14:17" ht="12.75">
      <c r="N894" s="51"/>
      <c r="Q894" s="51"/>
    </row>
    <row r="895" spans="14:17" ht="12.75">
      <c r="N895" s="51"/>
      <c r="Q895" s="51"/>
    </row>
    <row r="896" spans="14:17" ht="12.75">
      <c r="N896" s="51"/>
      <c r="Q896" s="51"/>
    </row>
    <row r="897" spans="14:17" ht="12.75">
      <c r="N897" s="51"/>
      <c r="Q897" s="51"/>
    </row>
    <row r="898" spans="14:17" ht="12.75">
      <c r="N898" s="51"/>
      <c r="Q898" s="51"/>
    </row>
    <row r="899" spans="14:17" ht="12.75">
      <c r="N899" s="51"/>
      <c r="Q899" s="51"/>
    </row>
    <row r="900" spans="14:17" ht="12.75">
      <c r="N900" s="51"/>
      <c r="Q900" s="51"/>
    </row>
    <row r="901" spans="14:17" ht="12.75">
      <c r="N901" s="51"/>
      <c r="Q901" s="51"/>
    </row>
    <row r="902" spans="14:17" ht="12.75">
      <c r="N902" s="51"/>
      <c r="Q902" s="51"/>
    </row>
    <row r="903" spans="14:17" ht="12.75">
      <c r="N903" s="51"/>
      <c r="Q903" s="51"/>
    </row>
    <row r="904" spans="14:17" ht="12.75">
      <c r="N904" s="51"/>
      <c r="Q904" s="51"/>
    </row>
    <row r="905" spans="14:17" ht="12.75">
      <c r="N905" s="51"/>
      <c r="Q905" s="51"/>
    </row>
    <row r="906" spans="14:17" ht="12.75">
      <c r="N906" s="51"/>
      <c r="Q906" s="51"/>
    </row>
    <row r="907" spans="14:17" ht="12.75">
      <c r="N907" s="51"/>
      <c r="Q907" s="51"/>
    </row>
    <row r="908" spans="14:17" ht="12.75">
      <c r="N908" s="51"/>
      <c r="Q908" s="51"/>
    </row>
    <row r="909" spans="14:17" ht="12.75">
      <c r="N909" s="51"/>
      <c r="Q909" s="51"/>
    </row>
    <row r="910" spans="14:17" ht="12.75">
      <c r="N910" s="51"/>
      <c r="Q910" s="51"/>
    </row>
    <row r="911" spans="14:17" ht="12.75">
      <c r="N911" s="51"/>
      <c r="Q911" s="51"/>
    </row>
    <row r="912" spans="14:17" ht="12.75">
      <c r="N912" s="51"/>
      <c r="Q912" s="51"/>
    </row>
    <row r="913" spans="14:17" ht="12.75">
      <c r="N913" s="51"/>
      <c r="Q913" s="51"/>
    </row>
    <row r="914" spans="14:17" ht="12.75">
      <c r="N914" s="51"/>
      <c r="Q914" s="51"/>
    </row>
    <row r="915" spans="14:17" ht="12.75">
      <c r="N915" s="51"/>
      <c r="Q915" s="51"/>
    </row>
    <row r="916" spans="14:17" ht="12.75">
      <c r="N916" s="51"/>
      <c r="Q916" s="51"/>
    </row>
    <row r="917" spans="14:17" ht="12.75">
      <c r="N917" s="51"/>
      <c r="Q917" s="51"/>
    </row>
    <row r="918" spans="14:17" ht="12.75">
      <c r="N918" s="51"/>
      <c r="Q918" s="51"/>
    </row>
    <row r="919" spans="14:17" ht="12.75">
      <c r="N919" s="51"/>
      <c r="Q919" s="51"/>
    </row>
    <row r="920" spans="14:17" ht="12.75">
      <c r="N920" s="51"/>
      <c r="Q920" s="51"/>
    </row>
    <row r="921" spans="14:17" ht="12.75">
      <c r="N921" s="51"/>
      <c r="Q921" s="51"/>
    </row>
    <row r="922" spans="14:17" ht="12.75">
      <c r="N922" s="51"/>
      <c r="Q922" s="51"/>
    </row>
    <row r="923" spans="14:17" ht="12.75">
      <c r="N923" s="51"/>
      <c r="Q923" s="51"/>
    </row>
    <row r="924" spans="14:17" ht="12.75">
      <c r="N924" s="51"/>
      <c r="Q924" s="51"/>
    </row>
    <row r="925" spans="14:17" ht="12.75">
      <c r="N925" s="51"/>
      <c r="Q925" s="51"/>
    </row>
    <row r="926" spans="14:17" ht="12.75">
      <c r="N926" s="51"/>
      <c r="Q926" s="51"/>
    </row>
    <row r="927" spans="14:17" ht="12.75">
      <c r="N927" s="51"/>
      <c r="Q927" s="51"/>
    </row>
    <row r="928" spans="14:17" ht="12.75">
      <c r="N928" s="51"/>
      <c r="Q928" s="51"/>
    </row>
    <row r="929" spans="14:17" ht="12.75">
      <c r="N929" s="51"/>
      <c r="Q929" s="51"/>
    </row>
    <row r="930" spans="14:17" ht="12.75">
      <c r="N930" s="51"/>
      <c r="Q930" s="51"/>
    </row>
    <row r="931" spans="14:17" ht="12.75">
      <c r="N931" s="51"/>
      <c r="Q931" s="51"/>
    </row>
    <row r="932" spans="14:17" ht="12.75">
      <c r="N932" s="51"/>
      <c r="Q932" s="51"/>
    </row>
    <row r="933" spans="14:17" ht="12.75">
      <c r="N933" s="51"/>
      <c r="Q933" s="51"/>
    </row>
    <row r="934" spans="14:17" ht="12.75">
      <c r="N934" s="51"/>
      <c r="Q934" s="51"/>
    </row>
    <row r="935" spans="14:17" ht="12.75">
      <c r="N935" s="51"/>
      <c r="Q935" s="51"/>
    </row>
    <row r="936" spans="14:17" ht="12.75">
      <c r="N936" s="51"/>
      <c r="Q936" s="51"/>
    </row>
    <row r="937" spans="14:17" ht="12.75">
      <c r="N937" s="51"/>
      <c r="Q937" s="51"/>
    </row>
    <row r="938" spans="14:17" ht="12.75">
      <c r="N938" s="51"/>
      <c r="Q938" s="51"/>
    </row>
    <row r="939" spans="14:17" ht="12.75">
      <c r="N939" s="51"/>
      <c r="Q939" s="51"/>
    </row>
    <row r="940" spans="14:17" ht="12.75">
      <c r="N940" s="51"/>
      <c r="Q940" s="51"/>
    </row>
    <row r="941" spans="14:17" ht="12.75">
      <c r="N941" s="51"/>
      <c r="Q941" s="51"/>
    </row>
    <row r="942" spans="14:17" ht="12.75">
      <c r="N942" s="51"/>
      <c r="Q942" s="51"/>
    </row>
    <row r="943" spans="14:17" ht="12.75">
      <c r="N943" s="51"/>
      <c r="Q943" s="51"/>
    </row>
    <row r="944" spans="14:17" ht="12.75">
      <c r="N944" s="51"/>
      <c r="Q944" s="51"/>
    </row>
    <row r="945" spans="14:17" ht="12.75">
      <c r="N945" s="51"/>
      <c r="Q945" s="51"/>
    </row>
    <row r="946" spans="14:17" ht="12.75">
      <c r="N946" s="51"/>
      <c r="Q946" s="51"/>
    </row>
    <row r="947" spans="14:17" ht="12.75">
      <c r="N947" s="51"/>
      <c r="Q947" s="51"/>
    </row>
    <row r="948" spans="14:17" ht="12.75">
      <c r="N948" s="51"/>
      <c r="Q948" s="51"/>
    </row>
    <row r="949" spans="14:17" ht="12.75">
      <c r="N949" s="51"/>
      <c r="Q949" s="51"/>
    </row>
    <row r="950" spans="14:17" ht="12.75">
      <c r="N950" s="51"/>
      <c r="Q950" s="51"/>
    </row>
    <row r="951" spans="14:17" ht="12.75">
      <c r="N951" s="51"/>
      <c r="Q951" s="51"/>
    </row>
    <row r="952" spans="14:17" ht="12.75">
      <c r="N952" s="51"/>
      <c r="Q952" s="51"/>
    </row>
    <row r="953" spans="14:17" ht="12.75">
      <c r="N953" s="51"/>
      <c r="Q953" s="51"/>
    </row>
    <row r="954" spans="14:17" ht="12.75">
      <c r="N954" s="51"/>
      <c r="Q954" s="51"/>
    </row>
    <row r="955" spans="14:17" ht="12.75">
      <c r="N955" s="51"/>
      <c r="Q955" s="51"/>
    </row>
    <row r="956" spans="14:17" ht="12.75">
      <c r="N956" s="51"/>
      <c r="Q956" s="51"/>
    </row>
    <row r="957" spans="14:17" ht="12.75">
      <c r="N957" s="51"/>
      <c r="Q957" s="51"/>
    </row>
    <row r="958" spans="14:17" ht="12.75">
      <c r="N958" s="51"/>
      <c r="Q958" s="51"/>
    </row>
    <row r="959" spans="14:17" ht="12.75">
      <c r="N959" s="51"/>
      <c r="Q959" s="51"/>
    </row>
    <row r="960" spans="14:17" ht="12.75">
      <c r="N960" s="51"/>
      <c r="Q960" s="51"/>
    </row>
    <row r="961" spans="14:17" ht="12.75">
      <c r="N961" s="51"/>
      <c r="Q961" s="51"/>
    </row>
    <row r="962" spans="14:17" ht="12.75">
      <c r="N962" s="51"/>
      <c r="Q962" s="51"/>
    </row>
    <row r="963" spans="14:17" ht="12.75">
      <c r="N963" s="51"/>
      <c r="Q963" s="51"/>
    </row>
    <row r="964" spans="14:17" ht="12.75">
      <c r="N964" s="51"/>
      <c r="Q964" s="51"/>
    </row>
    <row r="965" spans="14:17" ht="12.75">
      <c r="N965" s="51"/>
      <c r="Q965" s="51"/>
    </row>
    <row r="966" spans="14:17" ht="12.75">
      <c r="N966" s="51"/>
      <c r="Q966" s="51"/>
    </row>
    <row r="967" spans="14:17" ht="12.75">
      <c r="N967" s="51"/>
      <c r="Q967" s="51"/>
    </row>
    <row r="968" spans="14:17" ht="12.75">
      <c r="N968" s="51"/>
      <c r="Q968" s="51"/>
    </row>
    <row r="969" spans="14:17" ht="12.75">
      <c r="N969" s="51"/>
      <c r="Q969" s="51"/>
    </row>
    <row r="970" spans="14:17" ht="12.75">
      <c r="N970" s="51"/>
      <c r="Q970" s="51"/>
    </row>
    <row r="971" spans="14:17" ht="12.75">
      <c r="N971" s="51"/>
      <c r="Q971" s="51"/>
    </row>
    <row r="972" spans="14:17" ht="12.75">
      <c r="N972" s="51"/>
      <c r="Q972" s="51"/>
    </row>
    <row r="973" spans="14:17" ht="12.75">
      <c r="N973" s="51"/>
      <c r="Q973" s="51"/>
    </row>
    <row r="974" spans="14:17" ht="12.75">
      <c r="N974" s="51"/>
      <c r="Q974" s="51"/>
    </row>
    <row r="975" spans="14:17" ht="12.75">
      <c r="N975" s="51"/>
      <c r="Q975" s="51"/>
    </row>
    <row r="976" spans="14:17" ht="12.75">
      <c r="N976" s="51"/>
      <c r="Q976" s="51"/>
    </row>
    <row r="977" spans="14:17" ht="12.75">
      <c r="N977" s="51"/>
      <c r="Q977" s="51"/>
    </row>
    <row r="978" spans="14:17" ht="12.75">
      <c r="N978" s="51"/>
      <c r="Q978" s="51"/>
    </row>
    <row r="979" spans="14:17" ht="12.75">
      <c r="N979" s="51"/>
      <c r="Q979" s="51"/>
    </row>
    <row r="980" spans="14:17" ht="12.75">
      <c r="N980" s="51"/>
      <c r="Q980" s="51"/>
    </row>
    <row r="981" spans="14:17" ht="12.75">
      <c r="N981" s="51"/>
      <c r="Q981" s="51"/>
    </row>
    <row r="982" spans="14:17" ht="12.75">
      <c r="N982" s="51"/>
      <c r="Q982" s="51"/>
    </row>
    <row r="983" spans="14:17" ht="12.75">
      <c r="N983" s="51"/>
      <c r="Q983" s="51"/>
    </row>
    <row r="984" spans="14:17" ht="12.75">
      <c r="N984" s="51"/>
      <c r="Q984" s="51"/>
    </row>
    <row r="985" spans="14:17" ht="12.75">
      <c r="N985" s="51"/>
      <c r="Q985" s="51"/>
    </row>
    <row r="986" spans="14:17" ht="12.75">
      <c r="N986" s="51"/>
      <c r="Q986" s="51"/>
    </row>
    <row r="987" spans="14:17" ht="12.75">
      <c r="N987" s="51"/>
      <c r="Q987" s="51"/>
    </row>
    <row r="988" spans="14:17" ht="12.75">
      <c r="N988" s="51"/>
      <c r="Q988" s="51"/>
    </row>
    <row r="989" spans="14:17" ht="12.75">
      <c r="N989" s="51"/>
      <c r="Q989" s="51"/>
    </row>
    <row r="990" spans="14:17" ht="12.75">
      <c r="N990" s="51"/>
      <c r="Q990" s="51"/>
    </row>
    <row r="991" spans="14:17" ht="12.75">
      <c r="N991" s="51"/>
      <c r="Q991" s="51"/>
    </row>
    <row r="992" spans="14:17" ht="12.75">
      <c r="N992" s="51"/>
      <c r="Q992" s="51"/>
    </row>
    <row r="993" spans="14:17" ht="12.75">
      <c r="N993" s="51"/>
      <c r="Q993" s="51"/>
    </row>
    <row r="994" spans="14:17" ht="12.75">
      <c r="N994" s="51"/>
      <c r="Q994" s="51"/>
    </row>
    <row r="995" spans="14:17" ht="12.75">
      <c r="N995" s="51"/>
      <c r="Q995" s="51"/>
    </row>
    <row r="996" spans="14:17" ht="12.75">
      <c r="N996" s="51"/>
      <c r="Q996" s="51"/>
    </row>
    <row r="997" spans="14:17" ht="12.75">
      <c r="N997" s="51"/>
      <c r="Q997" s="51"/>
    </row>
    <row r="998" spans="14:17" ht="12.75">
      <c r="N998" s="51"/>
      <c r="Q998" s="51"/>
    </row>
    <row r="999" spans="14:17" ht="12.75">
      <c r="N999" s="51"/>
      <c r="Q999" s="51"/>
    </row>
    <row r="1000" spans="14:17" ht="12.75">
      <c r="N1000" s="51"/>
      <c r="Q1000" s="51"/>
    </row>
    <row r="1001" spans="14:17" ht="12.75">
      <c r="N1001" s="51"/>
      <c r="Q1001" s="51"/>
    </row>
    <row r="1002" spans="14:17" ht="12.75">
      <c r="N1002" s="51"/>
      <c r="Q1002" s="51"/>
    </row>
    <row r="1003" spans="14:17" ht="12.75">
      <c r="N1003" s="51"/>
      <c r="Q1003" s="51"/>
    </row>
    <row r="1004" spans="14:17" ht="12.75">
      <c r="N1004" s="51"/>
      <c r="Q1004" s="51"/>
    </row>
    <row r="1005" spans="14:17" ht="12.75">
      <c r="N1005" s="51"/>
      <c r="Q1005" s="51"/>
    </row>
    <row r="1006" spans="14:17" ht="12.75">
      <c r="N1006" s="51"/>
      <c r="Q1006" s="51"/>
    </row>
    <row r="1007" spans="14:17" ht="12.75">
      <c r="N1007" s="51"/>
      <c r="Q1007" s="51"/>
    </row>
    <row r="1008" spans="14:17" ht="12.75">
      <c r="N1008" s="51"/>
      <c r="Q1008" s="51"/>
    </row>
  </sheetData>
  <autoFilter ref="A1:H344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  <outlinePr summaryBelow="0" summaryRight="0"/>
  </sheetPr>
  <dimension ref="A1:Y1000"/>
  <sheetViews>
    <sheetView workbookViewId="0">
      <selection activeCell="G16" sqref="G16"/>
    </sheetView>
  </sheetViews>
  <sheetFormatPr baseColWidth="10" defaultColWidth="12.5703125" defaultRowHeight="15.75" customHeight="1"/>
  <sheetData>
    <row r="1" spans="1:25">
      <c r="A1" s="52" t="s">
        <v>0</v>
      </c>
      <c r="B1" s="52" t="s">
        <v>1</v>
      </c>
      <c r="C1" s="53" t="s">
        <v>388</v>
      </c>
      <c r="D1" s="53" t="s">
        <v>389</v>
      </c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</row>
    <row r="2" spans="1:25">
      <c r="A2" s="7">
        <v>10101</v>
      </c>
      <c r="B2" s="7" t="s">
        <v>6</v>
      </c>
      <c r="C2" s="55">
        <v>63.57</v>
      </c>
      <c r="D2" s="55">
        <v>53.82</v>
      </c>
    </row>
    <row r="3" spans="1:25">
      <c r="A3" s="7">
        <v>10102</v>
      </c>
      <c r="B3" s="7" t="s">
        <v>8</v>
      </c>
      <c r="C3" s="55">
        <v>0</v>
      </c>
      <c r="D3" s="55">
        <v>0</v>
      </c>
    </row>
    <row r="4" spans="1:25">
      <c r="A4" s="7">
        <v>10103</v>
      </c>
      <c r="B4" s="7" t="s">
        <v>17</v>
      </c>
      <c r="C4" s="55">
        <v>0</v>
      </c>
      <c r="D4" s="55">
        <v>0</v>
      </c>
    </row>
    <row r="5" spans="1:25">
      <c r="A5" s="7">
        <v>10201</v>
      </c>
      <c r="B5" s="7" t="s">
        <v>19</v>
      </c>
      <c r="C5" s="55">
        <v>0</v>
      </c>
      <c r="D5" s="55">
        <v>0</v>
      </c>
    </row>
    <row r="6" spans="1:25">
      <c r="A6" s="7">
        <v>10202</v>
      </c>
      <c r="B6" s="7" t="s">
        <v>21</v>
      </c>
      <c r="C6" s="55">
        <v>0</v>
      </c>
      <c r="D6" s="55">
        <v>0</v>
      </c>
    </row>
    <row r="7" spans="1:25">
      <c r="A7" s="7">
        <v>10301</v>
      </c>
      <c r="B7" s="7" t="s">
        <v>23</v>
      </c>
      <c r="C7" s="55">
        <v>0</v>
      </c>
      <c r="D7" s="55">
        <v>0</v>
      </c>
    </row>
    <row r="8" spans="1:25">
      <c r="A8" s="7">
        <v>10302</v>
      </c>
      <c r="B8" s="7" t="s">
        <v>25</v>
      </c>
      <c r="C8" s="55">
        <v>0</v>
      </c>
      <c r="D8" s="55">
        <v>0</v>
      </c>
    </row>
    <row r="9" spans="1:25">
      <c r="A9" s="7">
        <v>10303</v>
      </c>
      <c r="B9" s="7" t="s">
        <v>27</v>
      </c>
      <c r="C9" s="55">
        <v>0</v>
      </c>
      <c r="D9" s="55">
        <v>0</v>
      </c>
    </row>
    <row r="10" spans="1:25">
      <c r="A10" s="7">
        <v>10304</v>
      </c>
      <c r="B10" s="7" t="s">
        <v>28</v>
      </c>
      <c r="C10" s="55">
        <v>0</v>
      </c>
      <c r="D10" s="55">
        <v>0</v>
      </c>
    </row>
    <row r="11" spans="1:25">
      <c r="A11" s="7">
        <v>10401</v>
      </c>
      <c r="B11" s="7" t="s">
        <v>30</v>
      </c>
      <c r="C11" s="55">
        <v>0</v>
      </c>
      <c r="D11" s="55">
        <v>0</v>
      </c>
    </row>
    <row r="12" spans="1:25">
      <c r="A12" s="7">
        <v>10402</v>
      </c>
      <c r="B12" s="7" t="s">
        <v>33</v>
      </c>
      <c r="C12" s="55">
        <v>0</v>
      </c>
      <c r="D12" s="55">
        <v>0</v>
      </c>
    </row>
    <row r="13" spans="1:25">
      <c r="A13" s="7">
        <v>10403</v>
      </c>
      <c r="B13" s="7" t="s">
        <v>34</v>
      </c>
      <c r="C13" s="55">
        <v>0</v>
      </c>
      <c r="D13" s="55">
        <v>0</v>
      </c>
    </row>
    <row r="14" spans="1:25">
      <c r="A14" s="7">
        <v>10404</v>
      </c>
      <c r="B14" s="7" t="s">
        <v>35</v>
      </c>
      <c r="C14" s="55">
        <v>0</v>
      </c>
      <c r="D14" s="55">
        <v>0</v>
      </c>
    </row>
    <row r="15" spans="1:25">
      <c r="A15" s="7">
        <v>10405</v>
      </c>
      <c r="B15" s="7" t="s">
        <v>36</v>
      </c>
      <c r="C15" s="55">
        <v>0</v>
      </c>
      <c r="D15" s="55">
        <v>0</v>
      </c>
    </row>
    <row r="16" spans="1:25">
      <c r="A16" s="7">
        <v>10501</v>
      </c>
      <c r="B16" s="7" t="s">
        <v>37</v>
      </c>
      <c r="C16" s="55">
        <v>0</v>
      </c>
      <c r="D16" s="55">
        <v>0</v>
      </c>
    </row>
    <row r="17" spans="1:4">
      <c r="A17" s="7">
        <v>10502</v>
      </c>
      <c r="B17" s="7" t="s">
        <v>38</v>
      </c>
      <c r="C17" s="55">
        <v>0</v>
      </c>
      <c r="D17" s="55">
        <v>0</v>
      </c>
    </row>
    <row r="18" spans="1:4">
      <c r="A18" s="7">
        <v>10601</v>
      </c>
      <c r="B18" s="7" t="s">
        <v>39</v>
      </c>
      <c r="C18" s="55">
        <v>0</v>
      </c>
      <c r="D18" s="55">
        <v>0</v>
      </c>
    </row>
    <row r="19" spans="1:4">
      <c r="A19" s="7">
        <v>10602</v>
      </c>
      <c r="B19" s="7" t="s">
        <v>41</v>
      </c>
      <c r="C19" s="55">
        <v>0</v>
      </c>
      <c r="D19" s="55">
        <v>0</v>
      </c>
    </row>
    <row r="20" spans="1:4">
      <c r="A20" s="7">
        <v>10701</v>
      </c>
      <c r="B20" s="7" t="s">
        <v>42</v>
      </c>
      <c r="C20" s="55">
        <v>0</v>
      </c>
      <c r="D20" s="55">
        <v>0</v>
      </c>
    </row>
    <row r="21" spans="1:4">
      <c r="A21" s="7">
        <v>10702</v>
      </c>
      <c r="B21" s="7" t="s">
        <v>43</v>
      </c>
      <c r="C21" s="55">
        <v>0</v>
      </c>
      <c r="D21" s="55">
        <v>0</v>
      </c>
    </row>
    <row r="22" spans="1:4">
      <c r="A22" s="7">
        <v>10703</v>
      </c>
      <c r="B22" s="7" t="s">
        <v>44</v>
      </c>
      <c r="C22" s="55">
        <v>0</v>
      </c>
      <c r="D22" s="55">
        <v>0</v>
      </c>
    </row>
    <row r="23" spans="1:4">
      <c r="A23" s="7">
        <v>10704</v>
      </c>
      <c r="B23" s="7" t="s">
        <v>45</v>
      </c>
      <c r="C23" s="55">
        <v>0</v>
      </c>
      <c r="D23" s="55">
        <v>0</v>
      </c>
    </row>
    <row r="24" spans="1:4">
      <c r="A24" s="7">
        <v>10801</v>
      </c>
      <c r="B24" s="7" t="s">
        <v>46</v>
      </c>
      <c r="C24" s="55">
        <v>0</v>
      </c>
      <c r="D24" s="55">
        <v>0</v>
      </c>
    </row>
    <row r="25" spans="1:4">
      <c r="A25" s="7">
        <v>10901</v>
      </c>
      <c r="B25" s="7" t="s">
        <v>47</v>
      </c>
      <c r="C25" s="55">
        <v>0</v>
      </c>
      <c r="D25" s="55">
        <v>0</v>
      </c>
    </row>
    <row r="26" spans="1:4">
      <c r="A26" s="7">
        <v>10902</v>
      </c>
      <c r="B26" s="7" t="s">
        <v>48</v>
      </c>
      <c r="C26" s="55">
        <v>0</v>
      </c>
      <c r="D26" s="55">
        <v>0</v>
      </c>
    </row>
    <row r="27" spans="1:4">
      <c r="A27" s="7">
        <v>10903</v>
      </c>
      <c r="B27" s="7" t="s">
        <v>49</v>
      </c>
      <c r="C27" s="55">
        <v>0</v>
      </c>
      <c r="D27" s="55">
        <v>0</v>
      </c>
    </row>
    <row r="28" spans="1:4">
      <c r="A28" s="7">
        <v>11001</v>
      </c>
      <c r="B28" s="7" t="s">
        <v>50</v>
      </c>
      <c r="C28" s="55">
        <v>0</v>
      </c>
      <c r="D28" s="55">
        <v>0</v>
      </c>
    </row>
    <row r="29" spans="1:4">
      <c r="A29" s="7">
        <v>11002</v>
      </c>
      <c r="B29" s="7" t="s">
        <v>51</v>
      </c>
      <c r="C29" s="55">
        <v>0</v>
      </c>
      <c r="D29" s="55">
        <v>0</v>
      </c>
    </row>
    <row r="30" spans="1:4">
      <c r="A30" s="7">
        <v>11003</v>
      </c>
      <c r="B30" s="7" t="s">
        <v>55</v>
      </c>
      <c r="C30" s="55">
        <v>0</v>
      </c>
      <c r="D30" s="55">
        <v>0</v>
      </c>
    </row>
    <row r="31" spans="1:4">
      <c r="A31" s="7">
        <v>20101</v>
      </c>
      <c r="B31" s="7" t="s">
        <v>56</v>
      </c>
      <c r="C31" s="55">
        <v>0</v>
      </c>
      <c r="D31" s="55">
        <v>0</v>
      </c>
    </row>
    <row r="32" spans="1:4">
      <c r="A32" s="7">
        <v>20102</v>
      </c>
      <c r="B32" s="7" t="s">
        <v>57</v>
      </c>
      <c r="C32" s="55">
        <v>0</v>
      </c>
      <c r="D32" s="55">
        <v>0</v>
      </c>
    </row>
    <row r="33" spans="1:4">
      <c r="A33" s="7">
        <v>20103</v>
      </c>
      <c r="B33" s="7" t="s">
        <v>58</v>
      </c>
      <c r="C33" s="55">
        <v>0</v>
      </c>
      <c r="D33" s="55">
        <v>0</v>
      </c>
    </row>
    <row r="34" spans="1:4">
      <c r="A34" s="7">
        <v>20104</v>
      </c>
      <c r="B34" s="7" t="s">
        <v>59</v>
      </c>
      <c r="C34" s="55">
        <v>0</v>
      </c>
      <c r="D34" s="55">
        <v>0</v>
      </c>
    </row>
    <row r="35" spans="1:4">
      <c r="A35" s="7">
        <v>20105</v>
      </c>
      <c r="B35" s="7" t="s">
        <v>60</v>
      </c>
      <c r="C35" s="55">
        <v>26.44</v>
      </c>
      <c r="D35" s="55">
        <v>39.619999999999997</v>
      </c>
    </row>
    <row r="36" spans="1:4">
      <c r="A36" s="7">
        <v>20201</v>
      </c>
      <c r="B36" s="7" t="s">
        <v>61</v>
      </c>
      <c r="C36" s="55">
        <v>0</v>
      </c>
      <c r="D36" s="55">
        <v>0</v>
      </c>
    </row>
    <row r="37" spans="1:4">
      <c r="A37" s="7">
        <v>20202</v>
      </c>
      <c r="B37" s="7" t="s">
        <v>62</v>
      </c>
      <c r="C37" s="55">
        <v>0</v>
      </c>
      <c r="D37" s="55">
        <v>0</v>
      </c>
    </row>
    <row r="38" spans="1:4">
      <c r="A38" s="7">
        <v>20203</v>
      </c>
      <c r="B38" s="7" t="s">
        <v>66</v>
      </c>
      <c r="C38" s="55">
        <v>0</v>
      </c>
      <c r="D38" s="55">
        <v>0</v>
      </c>
    </row>
    <row r="39" spans="1:4">
      <c r="A39" s="7">
        <v>20204</v>
      </c>
      <c r="B39" s="7" t="s">
        <v>63</v>
      </c>
      <c r="C39" s="55">
        <v>0</v>
      </c>
      <c r="D39" s="55">
        <v>0</v>
      </c>
    </row>
    <row r="40" spans="1:4">
      <c r="A40" s="7">
        <v>20205</v>
      </c>
      <c r="B40" s="7" t="s">
        <v>64</v>
      </c>
      <c r="C40" s="55">
        <v>0</v>
      </c>
      <c r="D40" s="55">
        <v>0</v>
      </c>
    </row>
    <row r="41" spans="1:4">
      <c r="A41" s="7">
        <v>20206</v>
      </c>
      <c r="B41" s="7" t="s">
        <v>65</v>
      </c>
      <c r="C41" s="55">
        <v>0</v>
      </c>
      <c r="D41" s="55">
        <v>0</v>
      </c>
    </row>
    <row r="42" spans="1:4">
      <c r="A42" s="7">
        <v>20301</v>
      </c>
      <c r="B42" s="7" t="s">
        <v>67</v>
      </c>
      <c r="C42" s="55">
        <v>0</v>
      </c>
      <c r="D42" s="55">
        <v>0</v>
      </c>
    </row>
    <row r="43" spans="1:4">
      <c r="A43" s="7">
        <v>20302</v>
      </c>
      <c r="B43" s="7" t="s">
        <v>68</v>
      </c>
      <c r="C43" s="55">
        <v>0</v>
      </c>
      <c r="D43" s="55">
        <v>0</v>
      </c>
    </row>
    <row r="44" spans="1:4">
      <c r="A44" s="7">
        <v>20303</v>
      </c>
      <c r="B44" s="7" t="s">
        <v>69</v>
      </c>
      <c r="C44" s="55">
        <v>0</v>
      </c>
      <c r="D44" s="55">
        <v>0</v>
      </c>
    </row>
    <row r="45" spans="1:4">
      <c r="A45" s="7">
        <v>20304</v>
      </c>
      <c r="B45" s="7" t="s">
        <v>71</v>
      </c>
      <c r="C45" s="55">
        <v>0</v>
      </c>
      <c r="D45" s="55">
        <v>0</v>
      </c>
    </row>
    <row r="46" spans="1:4">
      <c r="A46" s="7">
        <v>20305</v>
      </c>
      <c r="B46" s="7" t="s">
        <v>76</v>
      </c>
      <c r="C46" s="55">
        <v>0</v>
      </c>
      <c r="D46" s="55">
        <v>0</v>
      </c>
    </row>
    <row r="47" spans="1:4">
      <c r="A47" s="7">
        <v>20306</v>
      </c>
      <c r="B47" s="7" t="s">
        <v>77</v>
      </c>
      <c r="C47" s="55">
        <v>0</v>
      </c>
      <c r="D47" s="55">
        <v>0</v>
      </c>
    </row>
    <row r="48" spans="1:4">
      <c r="A48" s="7">
        <v>20307</v>
      </c>
      <c r="B48" s="7" t="s">
        <v>78</v>
      </c>
      <c r="C48" s="55">
        <v>0</v>
      </c>
      <c r="D48" s="55">
        <v>0</v>
      </c>
    </row>
    <row r="49" spans="1:4">
      <c r="A49" s="7">
        <v>20308</v>
      </c>
      <c r="B49" s="7" t="s">
        <v>79</v>
      </c>
      <c r="C49" s="55">
        <v>0</v>
      </c>
      <c r="D49" s="55">
        <v>0</v>
      </c>
    </row>
    <row r="50" spans="1:4">
      <c r="A50" s="7">
        <v>20401</v>
      </c>
      <c r="B50" s="7" t="s">
        <v>80</v>
      </c>
      <c r="C50" s="55">
        <v>0</v>
      </c>
      <c r="D50" s="55">
        <v>0</v>
      </c>
    </row>
    <row r="51" spans="1:4">
      <c r="A51" s="7">
        <v>20402</v>
      </c>
      <c r="B51" s="7" t="s">
        <v>81</v>
      </c>
      <c r="C51" s="55">
        <v>0</v>
      </c>
      <c r="D51" s="55">
        <v>0</v>
      </c>
    </row>
    <row r="52" spans="1:4">
      <c r="A52" s="7">
        <v>20403</v>
      </c>
      <c r="B52" s="7" t="s">
        <v>82</v>
      </c>
      <c r="C52" s="55">
        <v>0</v>
      </c>
      <c r="D52" s="55">
        <v>0</v>
      </c>
    </row>
    <row r="53" spans="1:4">
      <c r="A53" s="7">
        <v>20404</v>
      </c>
      <c r="B53" s="7" t="s">
        <v>84</v>
      </c>
      <c r="C53" s="55">
        <v>0</v>
      </c>
      <c r="D53" s="55">
        <v>0</v>
      </c>
    </row>
    <row r="54" spans="1:4">
      <c r="A54" s="7">
        <v>20405</v>
      </c>
      <c r="B54" s="7" t="s">
        <v>87</v>
      </c>
      <c r="C54" s="55">
        <v>0</v>
      </c>
      <c r="D54" s="55">
        <v>0</v>
      </c>
    </row>
    <row r="55" spans="1:4">
      <c r="A55" s="7">
        <v>20501</v>
      </c>
      <c r="B55" s="7" t="s">
        <v>88</v>
      </c>
      <c r="C55" s="55">
        <v>0</v>
      </c>
      <c r="D55" s="55">
        <v>0</v>
      </c>
    </row>
    <row r="56" spans="1:4">
      <c r="A56" s="7">
        <v>20502</v>
      </c>
      <c r="B56" s="7" t="s">
        <v>89</v>
      </c>
      <c r="C56" s="55">
        <v>0</v>
      </c>
      <c r="D56" s="55">
        <v>0</v>
      </c>
    </row>
    <row r="57" spans="1:4">
      <c r="A57" s="7">
        <v>20503</v>
      </c>
      <c r="B57" s="7" t="s">
        <v>90</v>
      </c>
      <c r="C57" s="55">
        <v>0</v>
      </c>
      <c r="D57" s="55">
        <v>0</v>
      </c>
    </row>
    <row r="58" spans="1:4">
      <c r="A58" s="7">
        <v>20601</v>
      </c>
      <c r="B58" s="7" t="s">
        <v>91</v>
      </c>
      <c r="C58" s="55">
        <v>0</v>
      </c>
      <c r="D58" s="55">
        <v>0</v>
      </c>
    </row>
    <row r="59" spans="1:4">
      <c r="A59" s="7">
        <v>20602</v>
      </c>
      <c r="B59" s="7" t="s">
        <v>92</v>
      </c>
      <c r="C59" s="55">
        <v>0</v>
      </c>
      <c r="D59" s="55">
        <v>0</v>
      </c>
    </row>
    <row r="60" spans="1:4">
      <c r="A60" s="7">
        <v>20603</v>
      </c>
      <c r="B60" s="7" t="s">
        <v>93</v>
      </c>
      <c r="C60" s="55">
        <v>0</v>
      </c>
      <c r="D60" s="55">
        <v>0</v>
      </c>
    </row>
    <row r="61" spans="1:4">
      <c r="A61" s="7">
        <v>20604</v>
      </c>
      <c r="B61" s="7" t="s">
        <v>95</v>
      </c>
      <c r="C61" s="55">
        <v>0</v>
      </c>
      <c r="D61" s="55">
        <v>0</v>
      </c>
    </row>
    <row r="62" spans="1:4">
      <c r="A62" s="7">
        <v>20605</v>
      </c>
      <c r="B62" s="7" t="s">
        <v>98</v>
      </c>
      <c r="C62" s="55">
        <v>0</v>
      </c>
      <c r="D62" s="55">
        <v>0</v>
      </c>
    </row>
    <row r="63" spans="1:4">
      <c r="A63" s="7">
        <v>20606</v>
      </c>
      <c r="B63" s="7" t="s">
        <v>99</v>
      </c>
      <c r="C63" s="55">
        <v>0</v>
      </c>
      <c r="D63" s="55">
        <v>0</v>
      </c>
    </row>
    <row r="64" spans="1:4">
      <c r="A64" s="7">
        <v>20607</v>
      </c>
      <c r="B64" s="7" t="s">
        <v>100</v>
      </c>
      <c r="C64" s="55">
        <v>0</v>
      </c>
      <c r="D64" s="55">
        <v>0</v>
      </c>
    </row>
    <row r="65" spans="1:4">
      <c r="A65" s="7">
        <v>20608</v>
      </c>
      <c r="B65" s="7" t="s">
        <v>101</v>
      </c>
      <c r="C65" s="55">
        <v>0</v>
      </c>
      <c r="D65" s="55">
        <v>0</v>
      </c>
    </row>
    <row r="66" spans="1:4">
      <c r="A66" s="7">
        <v>20701</v>
      </c>
      <c r="B66" s="7" t="s">
        <v>102</v>
      </c>
      <c r="C66" s="55">
        <v>0</v>
      </c>
      <c r="D66" s="55">
        <v>0</v>
      </c>
    </row>
    <row r="67" spans="1:4">
      <c r="A67" s="7">
        <v>20702</v>
      </c>
      <c r="B67" s="7" t="s">
        <v>103</v>
      </c>
      <c r="C67" s="55">
        <v>0</v>
      </c>
      <c r="D67" s="55">
        <v>0</v>
      </c>
    </row>
    <row r="68" spans="1:4">
      <c r="A68" s="7">
        <v>20801</v>
      </c>
      <c r="B68" s="7" t="s">
        <v>104</v>
      </c>
      <c r="C68" s="55">
        <v>0</v>
      </c>
      <c r="D68" s="55">
        <v>117.07</v>
      </c>
    </row>
    <row r="69" spans="1:4">
      <c r="A69" s="7">
        <v>20802</v>
      </c>
      <c r="B69" s="7" t="s">
        <v>105</v>
      </c>
      <c r="C69" s="55">
        <v>0</v>
      </c>
      <c r="D69" s="55">
        <v>0</v>
      </c>
    </row>
    <row r="70" spans="1:4">
      <c r="A70" s="7">
        <v>20803</v>
      </c>
      <c r="B70" s="7" t="s">
        <v>108</v>
      </c>
      <c r="C70" s="55">
        <v>0</v>
      </c>
      <c r="D70" s="55">
        <v>0</v>
      </c>
    </row>
    <row r="71" spans="1:4">
      <c r="A71" s="7">
        <v>20804</v>
      </c>
      <c r="B71" s="7" t="s">
        <v>110</v>
      </c>
      <c r="C71" s="55">
        <v>0</v>
      </c>
      <c r="D71" s="55">
        <v>0</v>
      </c>
    </row>
    <row r="72" spans="1:4">
      <c r="A72" s="7">
        <v>20805</v>
      </c>
      <c r="B72" s="7" t="s">
        <v>112</v>
      </c>
      <c r="C72" s="55">
        <v>0</v>
      </c>
      <c r="D72" s="55">
        <v>0</v>
      </c>
    </row>
    <row r="73" spans="1:4">
      <c r="A73" s="7">
        <v>20806</v>
      </c>
      <c r="B73" s="7" t="s">
        <v>114</v>
      </c>
      <c r="C73" s="55">
        <v>0</v>
      </c>
      <c r="D73" s="55">
        <v>0</v>
      </c>
    </row>
    <row r="74" spans="1:4">
      <c r="A74" s="7">
        <v>20807</v>
      </c>
      <c r="B74" s="7" t="s">
        <v>116</v>
      </c>
      <c r="C74" s="55">
        <v>0</v>
      </c>
      <c r="D74" s="55">
        <v>0</v>
      </c>
    </row>
    <row r="75" spans="1:4">
      <c r="A75" s="7">
        <v>20901</v>
      </c>
      <c r="B75" s="7" t="s">
        <v>118</v>
      </c>
      <c r="C75" s="55">
        <v>0</v>
      </c>
      <c r="D75" s="55">
        <v>0</v>
      </c>
    </row>
    <row r="76" spans="1:4">
      <c r="A76" s="7">
        <v>20902</v>
      </c>
      <c r="B76" s="7" t="s">
        <v>120</v>
      </c>
      <c r="C76" s="55">
        <v>0</v>
      </c>
      <c r="D76" s="55">
        <v>0</v>
      </c>
    </row>
    <row r="77" spans="1:4">
      <c r="A77" s="7">
        <v>20903</v>
      </c>
      <c r="B77" s="7" t="s">
        <v>122</v>
      </c>
      <c r="C77" s="55">
        <v>0</v>
      </c>
      <c r="D77" s="55">
        <v>0</v>
      </c>
    </row>
    <row r="78" spans="1:4">
      <c r="A78" s="7">
        <v>20904</v>
      </c>
      <c r="B78" s="7" t="s">
        <v>124</v>
      </c>
      <c r="C78" s="55">
        <v>0</v>
      </c>
      <c r="D78" s="55">
        <v>0</v>
      </c>
    </row>
    <row r="79" spans="1:4">
      <c r="A79" s="7">
        <v>20905</v>
      </c>
      <c r="B79" s="7" t="s">
        <v>126</v>
      </c>
      <c r="C79" s="55">
        <v>0</v>
      </c>
      <c r="D79" s="55">
        <v>0</v>
      </c>
    </row>
    <row r="80" spans="1:4">
      <c r="A80" s="7">
        <v>21001</v>
      </c>
      <c r="B80" s="7" t="s">
        <v>128</v>
      </c>
      <c r="C80" s="55">
        <v>0</v>
      </c>
      <c r="D80" s="55">
        <v>0</v>
      </c>
    </row>
    <row r="81" spans="1:4">
      <c r="A81" s="7">
        <v>21002</v>
      </c>
      <c r="B81" s="7" t="s">
        <v>129</v>
      </c>
      <c r="C81" s="55">
        <v>0</v>
      </c>
      <c r="D81" s="55">
        <v>0</v>
      </c>
    </row>
    <row r="82" spans="1:4">
      <c r="A82" s="7">
        <v>21003</v>
      </c>
      <c r="B82" s="7" t="s">
        <v>130</v>
      </c>
      <c r="C82" s="55">
        <v>0</v>
      </c>
      <c r="D82" s="55">
        <v>0</v>
      </c>
    </row>
    <row r="83" spans="1:4">
      <c r="A83" s="7">
        <v>21004</v>
      </c>
      <c r="B83" s="7" t="s">
        <v>131</v>
      </c>
      <c r="C83" s="55">
        <v>0</v>
      </c>
      <c r="D83" s="55">
        <v>0</v>
      </c>
    </row>
    <row r="84" spans="1:4">
      <c r="A84" s="7">
        <v>21005</v>
      </c>
      <c r="B84" s="7" t="s">
        <v>132</v>
      </c>
      <c r="C84" s="55">
        <v>0</v>
      </c>
      <c r="D84" s="55">
        <v>0</v>
      </c>
    </row>
    <row r="85" spans="1:4">
      <c r="A85" s="7">
        <v>21006</v>
      </c>
      <c r="B85" s="7" t="s">
        <v>133</v>
      </c>
      <c r="C85" s="55">
        <v>0</v>
      </c>
      <c r="D85" s="55">
        <v>0</v>
      </c>
    </row>
    <row r="86" spans="1:4">
      <c r="A86" s="7">
        <v>21101</v>
      </c>
      <c r="B86" s="7" t="s">
        <v>134</v>
      </c>
      <c r="C86" s="55">
        <v>0</v>
      </c>
      <c r="D86" s="55">
        <v>0</v>
      </c>
    </row>
    <row r="87" spans="1:4">
      <c r="A87" s="7">
        <v>21102</v>
      </c>
      <c r="B87" s="7" t="s">
        <v>135</v>
      </c>
      <c r="C87" s="55">
        <v>0</v>
      </c>
      <c r="D87" s="55">
        <v>0</v>
      </c>
    </row>
    <row r="88" spans="1:4">
      <c r="A88" s="7">
        <v>21103</v>
      </c>
      <c r="B88" s="7" t="s">
        <v>136</v>
      </c>
      <c r="C88" s="55">
        <v>0</v>
      </c>
      <c r="D88" s="55">
        <v>0</v>
      </c>
    </row>
    <row r="89" spans="1:4">
      <c r="A89" s="7">
        <v>21104</v>
      </c>
      <c r="B89" s="7" t="s">
        <v>137</v>
      </c>
      <c r="C89" s="55">
        <v>0</v>
      </c>
      <c r="D89" s="55">
        <v>0</v>
      </c>
    </row>
    <row r="90" spans="1:4">
      <c r="A90" s="7">
        <v>21105</v>
      </c>
      <c r="B90" s="7" t="s">
        <v>138</v>
      </c>
      <c r="C90" s="55">
        <v>0</v>
      </c>
      <c r="D90" s="55">
        <v>0</v>
      </c>
    </row>
    <row r="91" spans="1:4">
      <c r="A91" s="7">
        <v>21201</v>
      </c>
      <c r="B91" s="7" t="s">
        <v>139</v>
      </c>
      <c r="C91" s="55">
        <v>0</v>
      </c>
      <c r="D91" s="55">
        <v>0</v>
      </c>
    </row>
    <row r="92" spans="1:4">
      <c r="A92" s="7">
        <v>21202</v>
      </c>
      <c r="B92" s="7" t="s">
        <v>140</v>
      </c>
      <c r="C92" s="55">
        <v>0</v>
      </c>
      <c r="D92" s="55">
        <v>0</v>
      </c>
    </row>
    <row r="93" spans="1:4">
      <c r="A93" s="7">
        <v>21203</v>
      </c>
      <c r="B93" s="7" t="s">
        <v>141</v>
      </c>
      <c r="C93" s="55">
        <v>0</v>
      </c>
      <c r="D93" s="55">
        <v>0</v>
      </c>
    </row>
    <row r="94" spans="1:4">
      <c r="A94" s="7">
        <v>21204</v>
      </c>
      <c r="B94" s="7" t="s">
        <v>142</v>
      </c>
      <c r="C94" s="55">
        <v>0</v>
      </c>
      <c r="D94" s="55">
        <v>0</v>
      </c>
    </row>
    <row r="95" spans="1:4">
      <c r="A95" s="7">
        <v>21301</v>
      </c>
      <c r="B95" s="7" t="s">
        <v>143</v>
      </c>
      <c r="C95" s="55">
        <v>0</v>
      </c>
      <c r="D95" s="55">
        <v>0</v>
      </c>
    </row>
    <row r="96" spans="1:4">
      <c r="A96" s="7">
        <v>21302</v>
      </c>
      <c r="B96" s="7" t="s">
        <v>144</v>
      </c>
      <c r="C96" s="55">
        <v>0</v>
      </c>
      <c r="D96" s="55">
        <v>0</v>
      </c>
    </row>
    <row r="97" spans="1:4">
      <c r="A97" s="7">
        <v>21303</v>
      </c>
      <c r="B97" s="7" t="s">
        <v>145</v>
      </c>
      <c r="C97" s="55">
        <v>0</v>
      </c>
      <c r="D97" s="55">
        <v>0</v>
      </c>
    </row>
    <row r="98" spans="1:4">
      <c r="A98" s="7">
        <v>21304</v>
      </c>
      <c r="B98" s="7" t="s">
        <v>146</v>
      </c>
      <c r="C98" s="55">
        <v>0</v>
      </c>
      <c r="D98" s="55">
        <v>0</v>
      </c>
    </row>
    <row r="99" spans="1:4">
      <c r="A99" s="7">
        <v>21305</v>
      </c>
      <c r="B99" s="7" t="s">
        <v>147</v>
      </c>
      <c r="C99" s="55">
        <v>0</v>
      </c>
      <c r="D99" s="55">
        <v>0</v>
      </c>
    </row>
    <row r="100" spans="1:4">
      <c r="A100" s="7">
        <v>21306</v>
      </c>
      <c r="B100" s="7" t="s">
        <v>148</v>
      </c>
      <c r="C100" s="55">
        <v>0</v>
      </c>
      <c r="D100" s="55">
        <v>0</v>
      </c>
    </row>
    <row r="101" spans="1:4">
      <c r="A101" s="7">
        <v>21307</v>
      </c>
      <c r="B101" s="7" t="s">
        <v>149</v>
      </c>
      <c r="C101" s="55">
        <v>0</v>
      </c>
      <c r="D101" s="55">
        <v>0</v>
      </c>
    </row>
    <row r="102" spans="1:4">
      <c r="A102" s="7">
        <v>21401</v>
      </c>
      <c r="B102" s="7" t="s">
        <v>150</v>
      </c>
      <c r="C102" s="55">
        <v>0</v>
      </c>
      <c r="D102" s="55">
        <v>0</v>
      </c>
    </row>
    <row r="103" spans="1:4">
      <c r="A103" s="7">
        <v>21402</v>
      </c>
      <c r="B103" s="7" t="s">
        <v>151</v>
      </c>
      <c r="C103" s="55">
        <v>0</v>
      </c>
      <c r="D103" s="55">
        <v>0</v>
      </c>
    </row>
    <row r="104" spans="1:4">
      <c r="A104" s="7">
        <v>21501</v>
      </c>
      <c r="B104" s="7" t="s">
        <v>152</v>
      </c>
      <c r="C104" s="55">
        <v>0</v>
      </c>
      <c r="D104" s="55">
        <v>0</v>
      </c>
    </row>
    <row r="105" spans="1:4">
      <c r="A105" s="7">
        <v>21502</v>
      </c>
      <c r="B105" s="7" t="s">
        <v>153</v>
      </c>
      <c r="C105" s="55">
        <v>0</v>
      </c>
      <c r="D105" s="55">
        <v>0</v>
      </c>
    </row>
    <row r="106" spans="1:4">
      <c r="A106" s="7">
        <v>21601</v>
      </c>
      <c r="B106" s="7" t="s">
        <v>154</v>
      </c>
      <c r="C106" s="55">
        <v>0</v>
      </c>
      <c r="D106" s="55">
        <v>0</v>
      </c>
    </row>
    <row r="107" spans="1:4">
      <c r="A107" s="7">
        <v>21602</v>
      </c>
      <c r="B107" s="7" t="s">
        <v>155</v>
      </c>
      <c r="C107" s="55">
        <v>0</v>
      </c>
      <c r="D107" s="55">
        <v>0</v>
      </c>
    </row>
    <row r="108" spans="1:4">
      <c r="A108" s="7">
        <v>21701</v>
      </c>
      <c r="B108" s="7" t="s">
        <v>156</v>
      </c>
      <c r="C108" s="55">
        <v>0</v>
      </c>
      <c r="D108" s="55">
        <v>0</v>
      </c>
    </row>
    <row r="109" spans="1:4">
      <c r="A109" s="7">
        <v>21702</v>
      </c>
      <c r="B109" s="7" t="s">
        <v>157</v>
      </c>
      <c r="C109" s="55">
        <v>0</v>
      </c>
      <c r="D109" s="55">
        <v>0</v>
      </c>
    </row>
    <row r="110" spans="1:4">
      <c r="A110" s="7">
        <v>21703</v>
      </c>
      <c r="B110" s="7" t="s">
        <v>158</v>
      </c>
      <c r="C110" s="55">
        <v>0</v>
      </c>
      <c r="D110" s="55">
        <v>0</v>
      </c>
    </row>
    <row r="111" spans="1:4">
      <c r="A111" s="7">
        <v>21801</v>
      </c>
      <c r="B111" s="7" t="s">
        <v>159</v>
      </c>
      <c r="C111" s="55">
        <v>0</v>
      </c>
      <c r="D111" s="55">
        <v>0</v>
      </c>
    </row>
    <row r="112" spans="1:4">
      <c r="A112" s="7">
        <v>21802</v>
      </c>
      <c r="B112" s="7" t="s">
        <v>160</v>
      </c>
      <c r="C112" s="55">
        <v>0</v>
      </c>
      <c r="D112" s="55">
        <v>0</v>
      </c>
    </row>
    <row r="113" spans="1:4">
      <c r="A113" s="7">
        <v>21803</v>
      </c>
      <c r="B113" s="7" t="s">
        <v>161</v>
      </c>
      <c r="C113" s="55">
        <v>0</v>
      </c>
      <c r="D113" s="55">
        <v>0</v>
      </c>
    </row>
    <row r="114" spans="1:4">
      <c r="A114" s="7">
        <v>21901</v>
      </c>
      <c r="B114" s="7" t="s">
        <v>162</v>
      </c>
      <c r="C114" s="55">
        <v>0</v>
      </c>
      <c r="D114" s="55">
        <v>0</v>
      </c>
    </row>
    <row r="115" spans="1:4">
      <c r="A115" s="7">
        <v>21902</v>
      </c>
      <c r="B115" s="7" t="s">
        <v>163</v>
      </c>
      <c r="C115" s="55">
        <v>0</v>
      </c>
      <c r="D115" s="55">
        <v>0</v>
      </c>
    </row>
    <row r="116" spans="1:4">
      <c r="A116" s="7">
        <v>22001</v>
      </c>
      <c r="B116" s="7" t="s">
        <v>164</v>
      </c>
      <c r="C116" s="55">
        <v>0</v>
      </c>
      <c r="D116" s="55">
        <v>0</v>
      </c>
    </row>
    <row r="117" spans="1:4">
      <c r="A117" s="7">
        <v>22002</v>
      </c>
      <c r="B117" s="7" t="s">
        <v>165</v>
      </c>
      <c r="C117" s="55">
        <v>0</v>
      </c>
      <c r="D117" s="55">
        <v>0</v>
      </c>
    </row>
    <row r="118" spans="1:4">
      <c r="A118" s="7">
        <v>30101</v>
      </c>
      <c r="B118" s="7" t="s">
        <v>113</v>
      </c>
      <c r="C118" s="55">
        <v>120.5</v>
      </c>
      <c r="D118" s="55">
        <v>56.02</v>
      </c>
    </row>
    <row r="119" spans="1:4">
      <c r="A119" s="7">
        <v>30201</v>
      </c>
      <c r="B119" s="7" t="s">
        <v>166</v>
      </c>
      <c r="C119" s="55">
        <v>0</v>
      </c>
      <c r="D119" s="55">
        <v>0</v>
      </c>
    </row>
    <row r="120" spans="1:4">
      <c r="A120" s="7">
        <v>30202</v>
      </c>
      <c r="B120" s="7" t="s">
        <v>167</v>
      </c>
      <c r="C120" s="55">
        <v>0</v>
      </c>
      <c r="D120" s="55">
        <v>0</v>
      </c>
    </row>
    <row r="121" spans="1:4">
      <c r="A121" s="7">
        <v>30203</v>
      </c>
      <c r="B121" s="7" t="s">
        <v>168</v>
      </c>
      <c r="C121" s="55">
        <v>0</v>
      </c>
      <c r="D121" s="55">
        <v>0</v>
      </c>
    </row>
    <row r="122" spans="1:4">
      <c r="A122" s="7">
        <v>30301</v>
      </c>
      <c r="B122" s="7" t="s">
        <v>169</v>
      </c>
      <c r="C122" s="55">
        <v>0</v>
      </c>
      <c r="D122" s="55">
        <v>0</v>
      </c>
    </row>
    <row r="123" spans="1:4">
      <c r="A123" s="7">
        <v>30302</v>
      </c>
      <c r="B123" s="7" t="s">
        <v>170</v>
      </c>
      <c r="C123" s="55">
        <v>0</v>
      </c>
      <c r="D123" s="55">
        <v>0</v>
      </c>
    </row>
    <row r="124" spans="1:4">
      <c r="A124" s="7">
        <v>30303</v>
      </c>
      <c r="B124" s="7" t="s">
        <v>171</v>
      </c>
      <c r="C124" s="55">
        <v>0</v>
      </c>
      <c r="D124" s="55">
        <v>0</v>
      </c>
    </row>
    <row r="125" spans="1:4">
      <c r="A125" s="7">
        <v>30401</v>
      </c>
      <c r="B125" s="7" t="s">
        <v>172</v>
      </c>
      <c r="C125" s="55">
        <v>0</v>
      </c>
      <c r="D125" s="55">
        <v>0</v>
      </c>
    </row>
    <row r="126" spans="1:4">
      <c r="A126" s="7">
        <v>30402</v>
      </c>
      <c r="B126" s="7" t="s">
        <v>173</v>
      </c>
      <c r="C126" s="55">
        <v>0</v>
      </c>
      <c r="D126" s="55">
        <v>0</v>
      </c>
    </row>
    <row r="127" spans="1:4">
      <c r="A127" s="7">
        <v>30403</v>
      </c>
      <c r="B127" s="7" t="s">
        <v>174</v>
      </c>
      <c r="C127" s="55">
        <v>0</v>
      </c>
      <c r="D127" s="55">
        <v>0</v>
      </c>
    </row>
    <row r="128" spans="1:4">
      <c r="A128" s="7">
        <v>30404</v>
      </c>
      <c r="B128" s="7" t="s">
        <v>175</v>
      </c>
      <c r="C128" s="55">
        <v>0</v>
      </c>
      <c r="D128" s="55">
        <v>0</v>
      </c>
    </row>
    <row r="129" spans="1:4">
      <c r="A129" s="7">
        <v>30501</v>
      </c>
      <c r="B129" s="7" t="s">
        <v>176</v>
      </c>
      <c r="C129" s="55">
        <v>0</v>
      </c>
      <c r="D129" s="55">
        <v>0</v>
      </c>
    </row>
    <row r="130" spans="1:4">
      <c r="A130" s="7">
        <v>30502</v>
      </c>
      <c r="B130" s="7" t="s">
        <v>177</v>
      </c>
      <c r="C130" s="55">
        <v>0</v>
      </c>
      <c r="D130" s="55">
        <v>0</v>
      </c>
    </row>
    <row r="131" spans="1:4">
      <c r="A131" s="7">
        <v>30601</v>
      </c>
      <c r="B131" s="7" t="s">
        <v>178</v>
      </c>
      <c r="C131" s="55">
        <v>0</v>
      </c>
      <c r="D131" s="55">
        <v>0</v>
      </c>
    </row>
    <row r="132" spans="1:4">
      <c r="A132" s="7">
        <v>30602</v>
      </c>
      <c r="B132" s="7" t="s">
        <v>179</v>
      </c>
      <c r="C132" s="55">
        <v>0</v>
      </c>
      <c r="D132" s="55">
        <v>0</v>
      </c>
    </row>
    <row r="133" spans="1:4">
      <c r="A133" s="7">
        <v>30701</v>
      </c>
      <c r="B133" s="7" t="s">
        <v>180</v>
      </c>
      <c r="C133" s="55">
        <v>0</v>
      </c>
      <c r="D133" s="55">
        <v>0</v>
      </c>
    </row>
    <row r="134" spans="1:4">
      <c r="A134" s="7">
        <v>30702</v>
      </c>
      <c r="B134" s="7" t="s">
        <v>181</v>
      </c>
      <c r="C134" s="55">
        <v>0</v>
      </c>
      <c r="D134" s="55">
        <v>0</v>
      </c>
    </row>
    <row r="135" spans="1:4">
      <c r="A135" s="7">
        <v>30703</v>
      </c>
      <c r="B135" s="7" t="s">
        <v>182</v>
      </c>
      <c r="C135" s="55">
        <v>0</v>
      </c>
      <c r="D135" s="55">
        <v>0</v>
      </c>
    </row>
    <row r="136" spans="1:4">
      <c r="A136" s="7">
        <v>30801</v>
      </c>
      <c r="B136" s="7" t="s">
        <v>183</v>
      </c>
      <c r="C136" s="55">
        <v>0</v>
      </c>
      <c r="D136" s="55">
        <v>0</v>
      </c>
    </row>
    <row r="137" spans="1:4">
      <c r="A137" s="7">
        <v>30802</v>
      </c>
      <c r="B137" s="7" t="s">
        <v>184</v>
      </c>
      <c r="C137" s="55">
        <v>0</v>
      </c>
      <c r="D137" s="55">
        <v>0</v>
      </c>
    </row>
    <row r="138" spans="1:4">
      <c r="A138" s="7">
        <v>30803</v>
      </c>
      <c r="B138" s="7" t="s">
        <v>185</v>
      </c>
      <c r="C138" s="55">
        <v>0</v>
      </c>
      <c r="D138" s="55">
        <v>0</v>
      </c>
    </row>
    <row r="139" spans="1:4">
      <c r="A139" s="7">
        <v>30901</v>
      </c>
      <c r="B139" s="7" t="s">
        <v>186</v>
      </c>
      <c r="C139" s="55">
        <v>0</v>
      </c>
      <c r="D139" s="55">
        <v>0</v>
      </c>
    </row>
    <row r="140" spans="1:4">
      <c r="A140" s="7">
        <v>30902</v>
      </c>
      <c r="B140" s="7" t="s">
        <v>187</v>
      </c>
      <c r="C140" s="55">
        <v>0</v>
      </c>
      <c r="D140" s="55">
        <v>0</v>
      </c>
    </row>
    <row r="141" spans="1:4">
      <c r="A141" s="7">
        <v>30903</v>
      </c>
      <c r="B141" s="7" t="s">
        <v>188</v>
      </c>
      <c r="C141" s="55">
        <v>0</v>
      </c>
      <c r="D141" s="55">
        <v>0</v>
      </c>
    </row>
    <row r="142" spans="1:4">
      <c r="A142" s="7">
        <v>30904</v>
      </c>
      <c r="B142" s="7" t="s">
        <v>189</v>
      </c>
      <c r="C142" s="55">
        <v>0</v>
      </c>
      <c r="D142" s="55">
        <v>0</v>
      </c>
    </row>
    <row r="143" spans="1:4">
      <c r="A143" s="7">
        <v>30905</v>
      </c>
      <c r="B143" s="7" t="s">
        <v>190</v>
      </c>
      <c r="C143" s="55">
        <v>0</v>
      </c>
      <c r="D143" s="55">
        <v>0</v>
      </c>
    </row>
    <row r="144" spans="1:4">
      <c r="A144" s="7">
        <v>31001</v>
      </c>
      <c r="B144" s="7" t="s">
        <v>191</v>
      </c>
      <c r="C144" s="55">
        <v>0</v>
      </c>
      <c r="D144" s="55">
        <v>401.38</v>
      </c>
    </row>
    <row r="145" spans="1:4">
      <c r="A145" s="7">
        <v>31002</v>
      </c>
      <c r="B145" s="7" t="s">
        <v>192</v>
      </c>
      <c r="C145" s="55">
        <v>0</v>
      </c>
      <c r="D145" s="55">
        <v>0</v>
      </c>
    </row>
    <row r="146" spans="1:4">
      <c r="A146" s="7">
        <v>31003</v>
      </c>
      <c r="B146" s="7" t="s">
        <v>193</v>
      </c>
      <c r="C146" s="55">
        <v>0</v>
      </c>
      <c r="D146" s="55">
        <v>0</v>
      </c>
    </row>
    <row r="147" spans="1:4">
      <c r="A147" s="7">
        <v>31101</v>
      </c>
      <c r="B147" s="7" t="s">
        <v>194</v>
      </c>
      <c r="C147" s="55">
        <v>0</v>
      </c>
      <c r="D147" s="55">
        <v>0</v>
      </c>
    </row>
    <row r="148" spans="1:4">
      <c r="A148" s="7">
        <v>31201</v>
      </c>
      <c r="B148" s="7" t="s">
        <v>195</v>
      </c>
      <c r="C148" s="55">
        <v>0</v>
      </c>
      <c r="D148" s="55">
        <v>0</v>
      </c>
    </row>
    <row r="149" spans="1:4">
      <c r="A149" s="7">
        <v>31202</v>
      </c>
      <c r="B149" s="7" t="s">
        <v>196</v>
      </c>
      <c r="C149" s="55">
        <v>0</v>
      </c>
      <c r="D149" s="55">
        <v>0</v>
      </c>
    </row>
    <row r="150" spans="1:4">
      <c r="A150" s="7">
        <v>31203</v>
      </c>
      <c r="B150" s="7" t="s">
        <v>197</v>
      </c>
      <c r="C150" s="55">
        <v>0</v>
      </c>
      <c r="D150" s="55">
        <v>0</v>
      </c>
    </row>
    <row r="151" spans="1:4">
      <c r="A151" s="7">
        <v>31204</v>
      </c>
      <c r="B151" s="7" t="s">
        <v>198</v>
      </c>
      <c r="C151" s="55">
        <v>0</v>
      </c>
      <c r="D151" s="55">
        <v>0</v>
      </c>
    </row>
    <row r="152" spans="1:4">
      <c r="A152" s="7">
        <v>31205</v>
      </c>
      <c r="B152" s="7" t="s">
        <v>199</v>
      </c>
      <c r="C152" s="55">
        <v>0</v>
      </c>
      <c r="D152" s="55">
        <v>0</v>
      </c>
    </row>
    <row r="153" spans="1:4">
      <c r="A153" s="7">
        <v>31206</v>
      </c>
      <c r="B153" s="7" t="s">
        <v>200</v>
      </c>
      <c r="C153" s="55">
        <v>0</v>
      </c>
      <c r="D153" s="55">
        <v>0</v>
      </c>
    </row>
    <row r="154" spans="1:4">
      <c r="A154" s="7">
        <v>31301</v>
      </c>
      <c r="B154" s="7" t="s">
        <v>201</v>
      </c>
      <c r="C154" s="55">
        <v>0</v>
      </c>
      <c r="D154" s="55">
        <v>0</v>
      </c>
    </row>
    <row r="155" spans="1:4">
      <c r="A155" s="7">
        <v>31302</v>
      </c>
      <c r="B155" s="7" t="s">
        <v>202</v>
      </c>
      <c r="C155" s="55">
        <v>0</v>
      </c>
      <c r="D155" s="55">
        <v>0</v>
      </c>
    </row>
    <row r="156" spans="1:4">
      <c r="A156" s="7">
        <v>31303</v>
      </c>
      <c r="B156" s="7" t="s">
        <v>203</v>
      </c>
      <c r="C156" s="55">
        <v>0</v>
      </c>
      <c r="D156" s="55">
        <v>0</v>
      </c>
    </row>
    <row r="157" spans="1:4">
      <c r="A157" s="7">
        <v>31304</v>
      </c>
      <c r="B157" s="7" t="s">
        <v>204</v>
      </c>
      <c r="C157" s="55">
        <v>0</v>
      </c>
      <c r="D157" s="55">
        <v>0</v>
      </c>
    </row>
    <row r="158" spans="1:4">
      <c r="A158" s="7">
        <v>31401</v>
      </c>
      <c r="B158" s="7" t="s">
        <v>205</v>
      </c>
      <c r="C158" s="55">
        <v>0</v>
      </c>
      <c r="D158" s="55">
        <v>0</v>
      </c>
    </row>
    <row r="159" spans="1:4">
      <c r="A159" s="7">
        <v>31402</v>
      </c>
      <c r="B159" s="7" t="s">
        <v>206</v>
      </c>
      <c r="C159" s="55">
        <v>0</v>
      </c>
      <c r="D159" s="55">
        <v>0</v>
      </c>
    </row>
    <row r="160" spans="1:4">
      <c r="A160" s="7">
        <v>31403</v>
      </c>
      <c r="B160" s="7" t="s">
        <v>207</v>
      </c>
      <c r="C160" s="55">
        <v>0</v>
      </c>
      <c r="D160" s="55">
        <v>0</v>
      </c>
    </row>
    <row r="161" spans="1:4">
      <c r="A161" s="7">
        <v>31404</v>
      </c>
      <c r="B161" s="7" t="s">
        <v>208</v>
      </c>
      <c r="C161" s="55">
        <v>0</v>
      </c>
      <c r="D161" s="55">
        <v>0</v>
      </c>
    </row>
    <row r="162" spans="1:4">
      <c r="A162" s="7">
        <v>31405</v>
      </c>
      <c r="B162" s="7" t="s">
        <v>209</v>
      </c>
      <c r="C162" s="55">
        <v>0</v>
      </c>
      <c r="D162" s="55">
        <v>0</v>
      </c>
    </row>
    <row r="163" spans="1:4">
      <c r="A163" s="7">
        <v>31501</v>
      </c>
      <c r="B163" s="7" t="s">
        <v>210</v>
      </c>
      <c r="C163" s="55">
        <v>0</v>
      </c>
      <c r="D163" s="55">
        <v>0</v>
      </c>
    </row>
    <row r="164" spans="1:4">
      <c r="A164" s="7">
        <v>31601</v>
      </c>
      <c r="B164" s="7" t="s">
        <v>211</v>
      </c>
      <c r="C164" s="55">
        <v>0</v>
      </c>
      <c r="D164" s="55">
        <v>100</v>
      </c>
    </row>
    <row r="165" spans="1:4">
      <c r="A165" s="7">
        <v>31602</v>
      </c>
      <c r="B165" s="7" t="s">
        <v>212</v>
      </c>
      <c r="C165" s="55">
        <v>0</v>
      </c>
      <c r="D165" s="55">
        <v>57.26</v>
      </c>
    </row>
    <row r="166" spans="1:4">
      <c r="A166" s="7">
        <v>40101</v>
      </c>
      <c r="B166" s="7" t="s">
        <v>115</v>
      </c>
      <c r="C166" s="55">
        <v>0</v>
      </c>
      <c r="D166" s="55">
        <v>0</v>
      </c>
    </row>
    <row r="167" spans="1:4">
      <c r="A167" s="7">
        <v>40102</v>
      </c>
      <c r="B167" s="7" t="s">
        <v>213</v>
      </c>
      <c r="C167" s="55">
        <v>0</v>
      </c>
      <c r="D167" s="55">
        <v>0</v>
      </c>
    </row>
    <row r="168" spans="1:4">
      <c r="A168" s="7">
        <v>40103</v>
      </c>
      <c r="B168" s="7" t="s">
        <v>214</v>
      </c>
      <c r="C168" s="55">
        <v>0</v>
      </c>
      <c r="D168" s="55">
        <v>0</v>
      </c>
    </row>
    <row r="169" spans="1:4">
      <c r="A169" s="7">
        <v>40104</v>
      </c>
      <c r="B169" s="7" t="s">
        <v>215</v>
      </c>
      <c r="C169" s="55">
        <v>0</v>
      </c>
      <c r="D169" s="55">
        <v>0</v>
      </c>
    </row>
    <row r="170" spans="1:4">
      <c r="A170" s="7">
        <v>40201</v>
      </c>
      <c r="B170" s="7" t="s">
        <v>216</v>
      </c>
      <c r="C170" s="55">
        <v>0</v>
      </c>
      <c r="D170" s="55">
        <v>123.41</v>
      </c>
    </row>
    <row r="171" spans="1:4">
      <c r="A171" s="7">
        <v>40202</v>
      </c>
      <c r="B171" s="7" t="s">
        <v>217</v>
      </c>
      <c r="C171" s="55">
        <v>0</v>
      </c>
      <c r="D171" s="55">
        <v>0</v>
      </c>
    </row>
    <row r="172" spans="1:4">
      <c r="A172" s="7">
        <v>40301</v>
      </c>
      <c r="B172" s="7" t="s">
        <v>218</v>
      </c>
      <c r="C172" s="55">
        <v>0</v>
      </c>
      <c r="D172" s="55">
        <v>0</v>
      </c>
    </row>
    <row r="173" spans="1:4">
      <c r="A173" s="7">
        <v>40302</v>
      </c>
      <c r="B173" s="7" t="s">
        <v>219</v>
      </c>
      <c r="C173" s="55">
        <v>0</v>
      </c>
      <c r="D173" s="55">
        <v>0</v>
      </c>
    </row>
    <row r="174" spans="1:4">
      <c r="A174" s="7">
        <v>40401</v>
      </c>
      <c r="B174" s="7" t="s">
        <v>220</v>
      </c>
      <c r="C174" s="55">
        <v>0</v>
      </c>
      <c r="D174" s="55">
        <v>0</v>
      </c>
    </row>
    <row r="175" spans="1:4">
      <c r="A175" s="7">
        <v>40402</v>
      </c>
      <c r="B175" s="7" t="s">
        <v>221</v>
      </c>
      <c r="C175" s="55">
        <v>0</v>
      </c>
      <c r="D175" s="55">
        <v>0</v>
      </c>
    </row>
    <row r="176" spans="1:4">
      <c r="A176" s="7">
        <v>40501</v>
      </c>
      <c r="B176" s="7" t="s">
        <v>222</v>
      </c>
      <c r="C176" s="55">
        <v>0</v>
      </c>
      <c r="D176" s="55">
        <v>0</v>
      </c>
    </row>
    <row r="177" spans="1:4">
      <c r="A177" s="7">
        <v>40502</v>
      </c>
      <c r="B177" s="7" t="s">
        <v>223</v>
      </c>
      <c r="C177" s="55">
        <v>0</v>
      </c>
      <c r="D177" s="55">
        <v>0</v>
      </c>
    </row>
    <row r="178" spans="1:4">
      <c r="A178" s="7">
        <v>40503</v>
      </c>
      <c r="B178" s="7" t="s">
        <v>224</v>
      </c>
      <c r="C178" s="55">
        <v>0</v>
      </c>
      <c r="D178" s="55">
        <v>0</v>
      </c>
    </row>
    <row r="179" spans="1:4">
      <c r="A179" s="7">
        <v>40504</v>
      </c>
      <c r="B179" s="7" t="s">
        <v>225</v>
      </c>
      <c r="C179" s="55">
        <v>0</v>
      </c>
      <c r="D179" s="55">
        <v>0</v>
      </c>
    </row>
    <row r="180" spans="1:4">
      <c r="A180" s="7">
        <v>40505</v>
      </c>
      <c r="B180" s="7" t="s">
        <v>226</v>
      </c>
      <c r="C180" s="55">
        <v>0</v>
      </c>
      <c r="D180" s="55">
        <v>0</v>
      </c>
    </row>
    <row r="181" spans="1:4">
      <c r="A181" s="7">
        <v>40601</v>
      </c>
      <c r="B181" s="7" t="s">
        <v>227</v>
      </c>
      <c r="C181" s="55">
        <v>0</v>
      </c>
      <c r="D181" s="55">
        <v>0</v>
      </c>
    </row>
    <row r="182" spans="1:4">
      <c r="A182" s="7">
        <v>40602</v>
      </c>
      <c r="B182" s="7" t="s">
        <v>228</v>
      </c>
      <c r="C182" s="55">
        <v>0</v>
      </c>
      <c r="D182" s="55">
        <v>0</v>
      </c>
    </row>
    <row r="183" spans="1:4">
      <c r="A183" s="7">
        <v>40603</v>
      </c>
      <c r="B183" s="7" t="s">
        <v>229</v>
      </c>
      <c r="C183" s="55">
        <v>0</v>
      </c>
      <c r="D183" s="55">
        <v>0</v>
      </c>
    </row>
    <row r="184" spans="1:4">
      <c r="A184" s="7">
        <v>40701</v>
      </c>
      <c r="B184" s="7" t="s">
        <v>230</v>
      </c>
      <c r="C184" s="55">
        <v>0</v>
      </c>
      <c r="D184" s="55">
        <v>0</v>
      </c>
    </row>
    <row r="185" spans="1:4">
      <c r="A185" s="7">
        <v>40702</v>
      </c>
      <c r="B185" s="7" t="s">
        <v>231</v>
      </c>
      <c r="C185" s="55">
        <v>0</v>
      </c>
      <c r="D185" s="55">
        <v>0</v>
      </c>
    </row>
    <row r="186" spans="1:4">
      <c r="A186" s="7">
        <v>40801</v>
      </c>
      <c r="B186" s="7" t="s">
        <v>232</v>
      </c>
      <c r="C186" s="55">
        <v>0</v>
      </c>
      <c r="D186" s="55">
        <v>0</v>
      </c>
    </row>
    <row r="187" spans="1:4">
      <c r="A187" s="7">
        <v>40802</v>
      </c>
      <c r="B187" s="7" t="s">
        <v>233</v>
      </c>
      <c r="C187" s="55">
        <v>0</v>
      </c>
      <c r="D187" s="55">
        <v>0</v>
      </c>
    </row>
    <row r="188" spans="1:4">
      <c r="A188" s="7">
        <v>40901</v>
      </c>
      <c r="B188" s="7" t="s">
        <v>234</v>
      </c>
      <c r="C188" s="55">
        <v>0</v>
      </c>
      <c r="D188" s="55">
        <v>0</v>
      </c>
    </row>
    <row r="189" spans="1:4">
      <c r="A189" s="7">
        <v>40902</v>
      </c>
      <c r="B189" s="7" t="s">
        <v>235</v>
      </c>
      <c r="C189" s="55">
        <v>0</v>
      </c>
      <c r="D189" s="55">
        <v>0</v>
      </c>
    </row>
    <row r="190" spans="1:4">
      <c r="A190" s="7">
        <v>40903</v>
      </c>
      <c r="B190" s="7" t="s">
        <v>236</v>
      </c>
      <c r="C190" s="55">
        <v>0</v>
      </c>
      <c r="D190" s="55">
        <v>0</v>
      </c>
    </row>
    <row r="191" spans="1:4">
      <c r="A191" s="7">
        <v>41001</v>
      </c>
      <c r="B191" s="7" t="s">
        <v>237</v>
      </c>
      <c r="C191" s="55">
        <v>0</v>
      </c>
      <c r="D191" s="55">
        <v>0</v>
      </c>
    </row>
    <row r="192" spans="1:4">
      <c r="A192" s="7">
        <v>41101</v>
      </c>
      <c r="B192" s="7" t="s">
        <v>238</v>
      </c>
      <c r="C192" s="55">
        <v>0</v>
      </c>
      <c r="D192" s="55">
        <v>0</v>
      </c>
    </row>
    <row r="193" spans="1:4">
      <c r="A193" s="7">
        <v>41201</v>
      </c>
      <c r="B193" s="7" t="s">
        <v>239</v>
      </c>
      <c r="C193" s="55">
        <v>0</v>
      </c>
      <c r="D193" s="55">
        <v>0</v>
      </c>
    </row>
    <row r="194" spans="1:4">
      <c r="A194" s="7">
        <v>41202</v>
      </c>
      <c r="B194" s="7" t="s">
        <v>240</v>
      </c>
      <c r="C194" s="55">
        <v>0</v>
      </c>
      <c r="D194" s="55">
        <v>0</v>
      </c>
    </row>
    <row r="195" spans="1:4">
      <c r="A195" s="7">
        <v>41301</v>
      </c>
      <c r="B195" s="7" t="s">
        <v>195</v>
      </c>
      <c r="C195" s="55">
        <v>0</v>
      </c>
      <c r="D195" s="55">
        <v>0</v>
      </c>
    </row>
    <row r="196" spans="1:4">
      <c r="A196" s="7">
        <v>41401</v>
      </c>
      <c r="B196" s="7" t="s">
        <v>241</v>
      </c>
      <c r="C196" s="55">
        <v>0</v>
      </c>
      <c r="D196" s="55">
        <v>0</v>
      </c>
    </row>
    <row r="197" spans="1:4">
      <c r="A197" s="7">
        <v>41501</v>
      </c>
      <c r="B197" s="7" t="s">
        <v>242</v>
      </c>
      <c r="C197" s="55">
        <v>0</v>
      </c>
      <c r="D197" s="55">
        <v>0</v>
      </c>
    </row>
    <row r="198" spans="1:4">
      <c r="A198" s="7">
        <v>41502</v>
      </c>
      <c r="B198" s="7" t="s">
        <v>243</v>
      </c>
      <c r="C198" s="55">
        <v>0</v>
      </c>
      <c r="D198" s="55">
        <v>0</v>
      </c>
    </row>
    <row r="199" spans="1:4">
      <c r="A199" s="7">
        <v>41503</v>
      </c>
      <c r="B199" s="7" t="s">
        <v>244</v>
      </c>
      <c r="C199" s="55">
        <v>0</v>
      </c>
      <c r="D199" s="55">
        <v>0</v>
      </c>
    </row>
    <row r="200" spans="1:4">
      <c r="A200" s="7">
        <v>41601</v>
      </c>
      <c r="B200" s="7" t="s">
        <v>245</v>
      </c>
      <c r="C200" s="55">
        <v>0</v>
      </c>
      <c r="D200" s="55">
        <v>0</v>
      </c>
    </row>
    <row r="201" spans="1:4">
      <c r="A201" s="7">
        <v>50101</v>
      </c>
      <c r="B201" s="7" t="s">
        <v>117</v>
      </c>
      <c r="C201" s="55">
        <v>0</v>
      </c>
      <c r="D201" s="55">
        <v>0</v>
      </c>
    </row>
    <row r="202" spans="1:4">
      <c r="A202" s="7">
        <v>50102</v>
      </c>
      <c r="B202" s="7" t="s">
        <v>246</v>
      </c>
      <c r="C202" s="55">
        <v>0</v>
      </c>
      <c r="D202" s="55">
        <v>0</v>
      </c>
    </row>
    <row r="203" spans="1:4">
      <c r="A203" s="7">
        <v>50103</v>
      </c>
      <c r="B203" s="7" t="s">
        <v>247</v>
      </c>
      <c r="C203" s="55">
        <v>0</v>
      </c>
      <c r="D203" s="55">
        <v>0</v>
      </c>
    </row>
    <row r="204" spans="1:4">
      <c r="A204" s="7">
        <v>50104</v>
      </c>
      <c r="B204" s="7" t="s">
        <v>248</v>
      </c>
      <c r="C204" s="55">
        <v>0</v>
      </c>
      <c r="D204" s="55">
        <v>0</v>
      </c>
    </row>
    <row r="205" spans="1:4">
      <c r="A205" s="7">
        <v>50201</v>
      </c>
      <c r="B205" s="7" t="s">
        <v>249</v>
      </c>
      <c r="C205" s="55">
        <v>0</v>
      </c>
      <c r="D205" s="55">
        <v>0</v>
      </c>
    </row>
    <row r="206" spans="1:4">
      <c r="A206" s="7">
        <v>50202</v>
      </c>
      <c r="B206" s="7" t="s">
        <v>250</v>
      </c>
      <c r="C206" s="55">
        <v>0</v>
      </c>
      <c r="D206" s="55">
        <v>0</v>
      </c>
    </row>
    <row r="207" spans="1:4">
      <c r="A207" s="7">
        <v>50203</v>
      </c>
      <c r="B207" s="7" t="s">
        <v>251</v>
      </c>
      <c r="C207" s="55">
        <v>0</v>
      </c>
      <c r="D207" s="55">
        <v>0</v>
      </c>
    </row>
    <row r="208" spans="1:4">
      <c r="A208" s="7">
        <v>50204</v>
      </c>
      <c r="B208" s="7" t="s">
        <v>252</v>
      </c>
      <c r="C208" s="55">
        <v>0</v>
      </c>
      <c r="D208" s="55">
        <v>0</v>
      </c>
    </row>
    <row r="209" spans="1:4">
      <c r="A209" s="7">
        <v>50301</v>
      </c>
      <c r="B209" s="7" t="s">
        <v>253</v>
      </c>
      <c r="C209" s="55">
        <v>0</v>
      </c>
      <c r="D209" s="55">
        <v>0</v>
      </c>
    </row>
    <row r="210" spans="1:4">
      <c r="A210" s="7">
        <v>50302</v>
      </c>
      <c r="B210" s="7" t="s">
        <v>254</v>
      </c>
      <c r="C210" s="55">
        <v>0</v>
      </c>
      <c r="D210" s="55">
        <v>0</v>
      </c>
    </row>
    <row r="211" spans="1:4">
      <c r="A211" s="7">
        <v>50303</v>
      </c>
      <c r="B211" s="7" t="s">
        <v>255</v>
      </c>
      <c r="C211" s="55">
        <v>0</v>
      </c>
      <c r="D211" s="55">
        <v>0</v>
      </c>
    </row>
    <row r="212" spans="1:4">
      <c r="A212" s="7">
        <v>50401</v>
      </c>
      <c r="B212" s="7" t="s">
        <v>256</v>
      </c>
      <c r="C212" s="55">
        <v>0</v>
      </c>
      <c r="D212" s="55">
        <v>0</v>
      </c>
    </row>
    <row r="213" spans="1:4">
      <c r="A213" s="7">
        <v>50402</v>
      </c>
      <c r="B213" s="7" t="s">
        <v>257</v>
      </c>
      <c r="C213" s="55">
        <v>0</v>
      </c>
      <c r="D213" s="55">
        <v>0</v>
      </c>
    </row>
    <row r="214" spans="1:4">
      <c r="A214" s="7">
        <v>50403</v>
      </c>
      <c r="B214" s="7" t="s">
        <v>258</v>
      </c>
      <c r="C214" s="55">
        <v>0</v>
      </c>
      <c r="D214" s="55">
        <v>0</v>
      </c>
    </row>
    <row r="215" spans="1:4">
      <c r="A215" s="7">
        <v>50404</v>
      </c>
      <c r="B215" s="7" t="s">
        <v>259</v>
      </c>
      <c r="C215" s="55">
        <v>0</v>
      </c>
      <c r="D215" s="55">
        <v>0</v>
      </c>
    </row>
    <row r="216" spans="1:4">
      <c r="A216" s="7">
        <v>50405</v>
      </c>
      <c r="B216" s="7" t="s">
        <v>260</v>
      </c>
      <c r="C216" s="55">
        <v>0</v>
      </c>
      <c r="D216" s="55">
        <v>0</v>
      </c>
    </row>
    <row r="217" spans="1:4">
      <c r="A217" s="7">
        <v>50501</v>
      </c>
      <c r="B217" s="7" t="s">
        <v>261</v>
      </c>
      <c r="C217" s="55">
        <v>0</v>
      </c>
      <c r="D217" s="55">
        <v>0</v>
      </c>
    </row>
    <row r="218" spans="1:4">
      <c r="A218" s="7">
        <v>50502</v>
      </c>
      <c r="B218" s="7" t="s">
        <v>262</v>
      </c>
      <c r="C218" s="55">
        <v>0</v>
      </c>
      <c r="D218" s="55">
        <v>0</v>
      </c>
    </row>
    <row r="219" spans="1:4">
      <c r="A219" s="7">
        <v>50601</v>
      </c>
      <c r="B219" s="7" t="s">
        <v>263</v>
      </c>
      <c r="C219" s="55">
        <v>0</v>
      </c>
      <c r="D219" s="55">
        <v>0</v>
      </c>
    </row>
    <row r="220" spans="1:4">
      <c r="A220" s="7">
        <v>50602</v>
      </c>
      <c r="B220" s="7" t="s">
        <v>264</v>
      </c>
      <c r="C220" s="55">
        <v>0</v>
      </c>
      <c r="D220" s="55">
        <v>0</v>
      </c>
    </row>
    <row r="221" spans="1:4">
      <c r="A221" s="7">
        <v>50701</v>
      </c>
      <c r="B221" s="7" t="s">
        <v>265</v>
      </c>
      <c r="C221" s="55">
        <v>0</v>
      </c>
      <c r="D221" s="55">
        <v>0</v>
      </c>
    </row>
    <row r="222" spans="1:4">
      <c r="A222" s="7">
        <v>50702</v>
      </c>
      <c r="B222" s="7" t="s">
        <v>266</v>
      </c>
      <c r="C222" s="55">
        <v>0</v>
      </c>
      <c r="D222" s="55">
        <v>0</v>
      </c>
    </row>
    <row r="223" spans="1:4">
      <c r="A223" s="7">
        <v>50801</v>
      </c>
      <c r="B223" s="7" t="s">
        <v>267</v>
      </c>
      <c r="C223" s="55">
        <v>0</v>
      </c>
      <c r="D223" s="55">
        <v>0</v>
      </c>
    </row>
    <row r="224" spans="1:4">
      <c r="A224" s="7">
        <v>50802</v>
      </c>
      <c r="B224" s="7" t="s">
        <v>268</v>
      </c>
      <c r="C224" s="55">
        <v>0</v>
      </c>
      <c r="D224" s="55">
        <v>0</v>
      </c>
    </row>
    <row r="225" spans="1:4">
      <c r="A225" s="7">
        <v>50901</v>
      </c>
      <c r="B225" s="7" t="s">
        <v>269</v>
      </c>
      <c r="C225" s="55">
        <v>0</v>
      </c>
      <c r="D225" s="55">
        <v>0</v>
      </c>
    </row>
    <row r="226" spans="1:4">
      <c r="A226" s="7">
        <v>50902</v>
      </c>
      <c r="B226" s="7" t="s">
        <v>270</v>
      </c>
      <c r="C226" s="55">
        <v>0</v>
      </c>
      <c r="D226" s="55">
        <v>0</v>
      </c>
    </row>
    <row r="227" spans="1:4">
      <c r="A227" s="7">
        <v>51001</v>
      </c>
      <c r="B227" s="7" t="s">
        <v>271</v>
      </c>
      <c r="C227" s="55">
        <v>0</v>
      </c>
      <c r="D227" s="55">
        <v>0</v>
      </c>
    </row>
    <row r="228" spans="1:4">
      <c r="A228" s="7">
        <v>51002</v>
      </c>
      <c r="B228" s="7" t="s">
        <v>272</v>
      </c>
      <c r="C228" s="55">
        <v>0</v>
      </c>
      <c r="D228" s="55">
        <v>0</v>
      </c>
    </row>
    <row r="229" spans="1:4">
      <c r="A229" s="7">
        <v>51003</v>
      </c>
      <c r="B229" s="7" t="s">
        <v>273</v>
      </c>
      <c r="C229" s="55">
        <v>0</v>
      </c>
      <c r="D229" s="55">
        <v>0</v>
      </c>
    </row>
    <row r="230" spans="1:4">
      <c r="A230" s="7">
        <v>51101</v>
      </c>
      <c r="B230" s="7" t="s">
        <v>274</v>
      </c>
      <c r="C230" s="55">
        <v>0</v>
      </c>
      <c r="D230" s="55">
        <v>0</v>
      </c>
    </row>
    <row r="231" spans="1:4">
      <c r="A231" s="7">
        <v>51102</v>
      </c>
      <c r="B231" s="7" t="s">
        <v>275</v>
      </c>
      <c r="C231" s="55">
        <v>0</v>
      </c>
      <c r="D231" s="55">
        <v>0</v>
      </c>
    </row>
    <row r="232" spans="1:4">
      <c r="A232" s="7">
        <v>51103</v>
      </c>
      <c r="B232" s="7" t="s">
        <v>276</v>
      </c>
      <c r="C232" s="55">
        <v>0</v>
      </c>
      <c r="D232" s="55">
        <v>0</v>
      </c>
    </row>
    <row r="233" spans="1:4">
      <c r="A233" s="7">
        <v>51201</v>
      </c>
      <c r="B233" s="7" t="s">
        <v>277</v>
      </c>
      <c r="C233" s="55">
        <v>0</v>
      </c>
      <c r="D233" s="55">
        <v>0</v>
      </c>
    </row>
    <row r="234" spans="1:4">
      <c r="A234" s="7">
        <v>51202</v>
      </c>
      <c r="B234" s="7" t="s">
        <v>278</v>
      </c>
      <c r="C234" s="55">
        <v>0</v>
      </c>
      <c r="D234" s="55">
        <v>0</v>
      </c>
    </row>
    <row r="235" spans="1:4">
      <c r="A235" s="7">
        <v>51203</v>
      </c>
      <c r="B235" s="7" t="s">
        <v>279</v>
      </c>
      <c r="C235" s="55">
        <v>0</v>
      </c>
      <c r="D235" s="55">
        <v>0</v>
      </c>
    </row>
    <row r="236" spans="1:4">
      <c r="A236" s="7">
        <v>51204</v>
      </c>
      <c r="B236" s="7" t="s">
        <v>280</v>
      </c>
      <c r="C236" s="55">
        <v>0</v>
      </c>
      <c r="D236" s="55">
        <v>0</v>
      </c>
    </row>
    <row r="237" spans="1:4">
      <c r="A237" s="7">
        <v>51301</v>
      </c>
      <c r="B237" s="7" t="s">
        <v>281</v>
      </c>
      <c r="C237" s="55">
        <v>0</v>
      </c>
      <c r="D237" s="55">
        <v>0</v>
      </c>
    </row>
    <row r="238" spans="1:4">
      <c r="A238" s="7">
        <v>51302</v>
      </c>
      <c r="B238" s="7" t="s">
        <v>282</v>
      </c>
      <c r="C238" s="55">
        <v>0</v>
      </c>
      <c r="D238" s="55">
        <v>0</v>
      </c>
    </row>
    <row r="239" spans="1:4">
      <c r="A239" s="7">
        <v>51401</v>
      </c>
      <c r="B239" s="7" t="s">
        <v>283</v>
      </c>
      <c r="C239" s="55">
        <v>0</v>
      </c>
      <c r="D239" s="55">
        <v>0</v>
      </c>
    </row>
    <row r="240" spans="1:4">
      <c r="A240" s="7">
        <v>51402</v>
      </c>
      <c r="B240" s="7" t="s">
        <v>284</v>
      </c>
      <c r="C240" s="55">
        <v>0</v>
      </c>
      <c r="D240" s="55">
        <v>0</v>
      </c>
    </row>
    <row r="241" spans="1:4">
      <c r="A241" s="7">
        <v>51501</v>
      </c>
      <c r="B241" s="7" t="s">
        <v>285</v>
      </c>
      <c r="C241" s="55">
        <v>0</v>
      </c>
      <c r="D241" s="55">
        <v>32.9</v>
      </c>
    </row>
    <row r="242" spans="1:4">
      <c r="A242" s="7">
        <v>51601</v>
      </c>
      <c r="B242" s="7" t="s">
        <v>286</v>
      </c>
      <c r="C242" s="55">
        <v>0</v>
      </c>
      <c r="D242" s="55">
        <v>0</v>
      </c>
    </row>
    <row r="243" spans="1:4">
      <c r="A243" s="7">
        <v>60101</v>
      </c>
      <c r="B243" s="7" t="s">
        <v>119</v>
      </c>
      <c r="C243" s="55">
        <v>104.6</v>
      </c>
      <c r="D243" s="55">
        <v>119.4</v>
      </c>
    </row>
    <row r="244" spans="1:4">
      <c r="A244" s="7">
        <v>60201</v>
      </c>
      <c r="B244" s="7" t="s">
        <v>287</v>
      </c>
      <c r="C244" s="55">
        <v>0</v>
      </c>
      <c r="D244" s="55">
        <v>0</v>
      </c>
    </row>
    <row r="245" spans="1:4">
      <c r="A245" s="7">
        <v>60202</v>
      </c>
      <c r="B245" s="7" t="s">
        <v>288</v>
      </c>
      <c r="C245" s="55">
        <v>87.5</v>
      </c>
      <c r="D245" s="55">
        <v>52.5</v>
      </c>
    </row>
    <row r="246" spans="1:4">
      <c r="A246" s="7">
        <v>60301</v>
      </c>
      <c r="B246" s="7" t="s">
        <v>289</v>
      </c>
      <c r="C246" s="55">
        <v>126.13</v>
      </c>
      <c r="D246" s="55">
        <v>116.53</v>
      </c>
    </row>
    <row r="247" spans="1:4">
      <c r="A247" s="7">
        <v>60302</v>
      </c>
      <c r="B247" s="7" t="s">
        <v>290</v>
      </c>
      <c r="C247" s="55">
        <v>0</v>
      </c>
      <c r="D247" s="55">
        <v>0</v>
      </c>
    </row>
    <row r="248" spans="1:4">
      <c r="A248" s="7">
        <v>60303</v>
      </c>
      <c r="B248" s="7" t="s">
        <v>291</v>
      </c>
      <c r="C248" s="55">
        <v>0</v>
      </c>
      <c r="D248" s="55">
        <v>0</v>
      </c>
    </row>
    <row r="249" spans="1:4">
      <c r="A249" s="7">
        <v>60401</v>
      </c>
      <c r="B249" s="7" t="s">
        <v>292</v>
      </c>
      <c r="C249" s="55">
        <v>0</v>
      </c>
      <c r="D249" s="55">
        <v>0</v>
      </c>
    </row>
    <row r="250" spans="1:4">
      <c r="A250" s="7">
        <v>60402</v>
      </c>
      <c r="B250" s="7" t="s">
        <v>293</v>
      </c>
      <c r="C250" s="55">
        <v>0</v>
      </c>
      <c r="D250" s="55">
        <v>0</v>
      </c>
    </row>
    <row r="251" spans="1:4">
      <c r="A251" s="7">
        <v>60501</v>
      </c>
      <c r="B251" s="7" t="s">
        <v>294</v>
      </c>
      <c r="C251" s="55">
        <v>0</v>
      </c>
      <c r="D251" s="55">
        <v>0</v>
      </c>
    </row>
    <row r="252" spans="1:4">
      <c r="A252" s="7">
        <v>60502</v>
      </c>
      <c r="B252" s="7" t="s">
        <v>295</v>
      </c>
      <c r="C252" s="55">
        <v>0</v>
      </c>
      <c r="D252" s="55">
        <v>0</v>
      </c>
    </row>
    <row r="253" spans="1:4">
      <c r="A253" s="7">
        <v>60601</v>
      </c>
      <c r="B253" s="7" t="s">
        <v>200</v>
      </c>
      <c r="C253" s="55">
        <v>0</v>
      </c>
      <c r="D253" s="55">
        <v>0</v>
      </c>
    </row>
    <row r="254" spans="1:4">
      <c r="A254" s="7">
        <v>70101</v>
      </c>
      <c r="B254" s="7" t="s">
        <v>383</v>
      </c>
      <c r="C254" s="55">
        <v>82.7</v>
      </c>
      <c r="D254" s="55">
        <v>99</v>
      </c>
    </row>
    <row r="255" spans="1:4">
      <c r="A255" s="7">
        <v>70102</v>
      </c>
      <c r="B255" s="7" t="s">
        <v>300</v>
      </c>
      <c r="C255" s="55">
        <v>75</v>
      </c>
      <c r="D255" s="55">
        <v>26.76</v>
      </c>
    </row>
    <row r="256" spans="1:4">
      <c r="A256" s="7">
        <v>70103</v>
      </c>
      <c r="B256" s="7" t="s">
        <v>301</v>
      </c>
      <c r="C256" s="55">
        <v>0</v>
      </c>
      <c r="D256" s="55">
        <v>108.71</v>
      </c>
    </row>
    <row r="257" spans="1:4">
      <c r="A257" s="7">
        <v>70104</v>
      </c>
      <c r="B257" s="7" t="s">
        <v>384</v>
      </c>
      <c r="C257" s="55">
        <v>0</v>
      </c>
      <c r="D257" s="55">
        <v>10.199999999999999</v>
      </c>
    </row>
    <row r="258" spans="1:4">
      <c r="A258" s="7">
        <v>70105</v>
      </c>
      <c r="B258" s="7" t="s">
        <v>385</v>
      </c>
      <c r="C258" s="55">
        <v>48.3</v>
      </c>
      <c r="D258" s="55">
        <v>24.5</v>
      </c>
    </row>
    <row r="259" spans="1:4">
      <c r="A259" s="7">
        <v>70201</v>
      </c>
      <c r="B259" s="7" t="s">
        <v>303</v>
      </c>
      <c r="C259" s="55">
        <v>77.25</v>
      </c>
      <c r="D259" s="55">
        <v>48.96</v>
      </c>
    </row>
    <row r="260" spans="1:4">
      <c r="A260" s="7">
        <v>70202</v>
      </c>
      <c r="B260" s="7" t="s">
        <v>304</v>
      </c>
      <c r="C260" s="55">
        <v>0</v>
      </c>
      <c r="D260" s="55">
        <v>0</v>
      </c>
    </row>
    <row r="261" spans="1:4">
      <c r="A261" s="7">
        <v>70301</v>
      </c>
      <c r="B261" s="7" t="s">
        <v>305</v>
      </c>
      <c r="C261" s="55">
        <v>33.94</v>
      </c>
      <c r="D261" s="55">
        <v>19.739999999999998</v>
      </c>
    </row>
    <row r="262" spans="1:4">
      <c r="A262" s="7">
        <v>70302</v>
      </c>
      <c r="B262" s="7" t="s">
        <v>306</v>
      </c>
      <c r="C262" s="55">
        <v>0</v>
      </c>
      <c r="D262" s="55">
        <v>0</v>
      </c>
    </row>
    <row r="263" spans="1:4">
      <c r="A263" s="7">
        <v>70303</v>
      </c>
      <c r="B263" s="7" t="s">
        <v>307</v>
      </c>
      <c r="C263" s="55">
        <v>0</v>
      </c>
      <c r="D263" s="55">
        <v>0</v>
      </c>
    </row>
    <row r="264" spans="1:4">
      <c r="A264" s="7">
        <v>70401</v>
      </c>
      <c r="B264" s="7" t="s">
        <v>308</v>
      </c>
      <c r="C264" s="55">
        <v>0</v>
      </c>
      <c r="D264" s="55">
        <v>0</v>
      </c>
    </row>
    <row r="265" spans="1:4">
      <c r="A265" s="7">
        <v>70402</v>
      </c>
      <c r="B265" s="7" t="s">
        <v>386</v>
      </c>
      <c r="C265" s="55">
        <v>0</v>
      </c>
      <c r="D265" s="55">
        <v>56.1</v>
      </c>
    </row>
    <row r="266" spans="1:4">
      <c r="A266" s="7">
        <v>70403</v>
      </c>
      <c r="B266" s="7" t="s">
        <v>309</v>
      </c>
      <c r="C266" s="55">
        <v>27.82</v>
      </c>
      <c r="D266" s="55">
        <v>25.4</v>
      </c>
    </row>
    <row r="267" spans="1:4">
      <c r="A267" s="7">
        <v>70404</v>
      </c>
      <c r="B267" s="7" t="s">
        <v>310</v>
      </c>
      <c r="C267" s="55">
        <v>0</v>
      </c>
      <c r="D267" s="55">
        <v>0</v>
      </c>
    </row>
    <row r="268" spans="1:4">
      <c r="A268" s="7">
        <v>70501</v>
      </c>
      <c r="B268" s="7" t="s">
        <v>311</v>
      </c>
      <c r="C268" s="55">
        <v>0</v>
      </c>
      <c r="D268" s="55">
        <v>0</v>
      </c>
    </row>
    <row r="269" spans="1:4">
      <c r="A269" s="7">
        <v>70502</v>
      </c>
      <c r="B269" s="7" t="s">
        <v>312</v>
      </c>
      <c r="C269" s="55">
        <v>0</v>
      </c>
      <c r="D269" s="55">
        <v>0</v>
      </c>
    </row>
    <row r="270" spans="1:4">
      <c r="A270" s="7">
        <v>70503</v>
      </c>
      <c r="B270" s="7" t="s">
        <v>313</v>
      </c>
      <c r="C270" s="55">
        <v>0</v>
      </c>
      <c r="D270" s="55">
        <v>65.89</v>
      </c>
    </row>
    <row r="271" spans="1:4">
      <c r="A271" s="7">
        <v>70601</v>
      </c>
      <c r="B271" s="7" t="s">
        <v>314</v>
      </c>
      <c r="C271" s="55">
        <v>0</v>
      </c>
      <c r="D271" s="55">
        <v>84.61</v>
      </c>
    </row>
    <row r="272" spans="1:4">
      <c r="A272" s="7">
        <v>70602</v>
      </c>
      <c r="B272" s="7" t="s">
        <v>315</v>
      </c>
      <c r="C272" s="55">
        <v>0</v>
      </c>
      <c r="D272" s="55">
        <v>0</v>
      </c>
    </row>
    <row r="273" spans="1:4">
      <c r="A273" s="7">
        <v>70603</v>
      </c>
      <c r="B273" s="7" t="s">
        <v>316</v>
      </c>
      <c r="C273" s="55">
        <v>0</v>
      </c>
      <c r="D273" s="55">
        <v>0</v>
      </c>
    </row>
    <row r="274" spans="1:4">
      <c r="A274" s="7">
        <v>70701</v>
      </c>
      <c r="B274" s="7" t="s">
        <v>317</v>
      </c>
      <c r="C274" s="55">
        <v>0</v>
      </c>
      <c r="D274" s="55">
        <v>0</v>
      </c>
    </row>
    <row r="275" spans="1:4">
      <c r="A275" s="7">
        <v>70702</v>
      </c>
      <c r="B275" s="7" t="s">
        <v>318</v>
      </c>
      <c r="C275" s="55">
        <v>0</v>
      </c>
      <c r="D275" s="55">
        <v>0</v>
      </c>
    </row>
    <row r="276" spans="1:4">
      <c r="A276" s="7">
        <v>70703</v>
      </c>
      <c r="B276" s="7" t="s">
        <v>319</v>
      </c>
      <c r="C276" s="55">
        <v>0</v>
      </c>
      <c r="D276" s="55">
        <v>0</v>
      </c>
    </row>
    <row r="277" spans="1:4">
      <c r="A277" s="7">
        <v>70704</v>
      </c>
      <c r="B277" s="7" t="s">
        <v>320</v>
      </c>
      <c r="C277" s="55">
        <v>0</v>
      </c>
      <c r="D277" s="55">
        <v>0</v>
      </c>
    </row>
    <row r="278" spans="1:4">
      <c r="A278" s="7">
        <v>70705</v>
      </c>
      <c r="B278" s="7" t="s">
        <v>321</v>
      </c>
      <c r="C278" s="55">
        <v>0</v>
      </c>
      <c r="D278" s="55">
        <v>0</v>
      </c>
    </row>
    <row r="279" spans="1:4">
      <c r="A279" s="7">
        <v>70706</v>
      </c>
      <c r="B279" s="7" t="s">
        <v>322</v>
      </c>
      <c r="C279" s="55">
        <v>0</v>
      </c>
      <c r="D279" s="55">
        <v>0</v>
      </c>
    </row>
    <row r="280" spans="1:4">
      <c r="A280" s="7">
        <v>70707</v>
      </c>
      <c r="B280" s="7" t="s">
        <v>323</v>
      </c>
      <c r="C280" s="55">
        <v>0</v>
      </c>
      <c r="D280" s="55">
        <v>0</v>
      </c>
    </row>
    <row r="281" spans="1:4">
      <c r="A281" s="7">
        <v>70801</v>
      </c>
      <c r="B281" s="7" t="s">
        <v>324</v>
      </c>
      <c r="C281" s="55">
        <v>0</v>
      </c>
      <c r="D281" s="55">
        <v>107.31</v>
      </c>
    </row>
    <row r="282" spans="1:4">
      <c r="A282" s="7">
        <v>70802</v>
      </c>
      <c r="B282" s="7" t="s">
        <v>325</v>
      </c>
      <c r="C282" s="55">
        <v>0</v>
      </c>
      <c r="D282" s="55">
        <v>0</v>
      </c>
    </row>
    <row r="283" spans="1:4">
      <c r="A283" s="7">
        <v>70803</v>
      </c>
      <c r="B283" s="7" t="s">
        <v>326</v>
      </c>
      <c r="C283" s="55">
        <v>0</v>
      </c>
      <c r="D283" s="55">
        <v>0</v>
      </c>
    </row>
    <row r="284" spans="1:4">
      <c r="A284" s="7">
        <v>70804</v>
      </c>
      <c r="B284" s="7" t="s">
        <v>327</v>
      </c>
      <c r="C284" s="55">
        <v>0</v>
      </c>
      <c r="D284" s="55">
        <v>0</v>
      </c>
    </row>
    <row r="285" spans="1:4">
      <c r="A285" s="7">
        <v>70805</v>
      </c>
      <c r="B285" s="7" t="s">
        <v>328</v>
      </c>
      <c r="C285" s="55">
        <v>0</v>
      </c>
      <c r="D285" s="55">
        <v>0</v>
      </c>
    </row>
    <row r="286" spans="1:4">
      <c r="A286" s="7">
        <v>70901</v>
      </c>
      <c r="B286" s="7" t="s">
        <v>329</v>
      </c>
      <c r="C286" s="55">
        <v>0</v>
      </c>
      <c r="D286" s="55">
        <v>0</v>
      </c>
    </row>
    <row r="287" spans="1:4">
      <c r="A287" s="7">
        <v>70902</v>
      </c>
      <c r="B287" s="7" t="s">
        <v>330</v>
      </c>
      <c r="C287" s="55">
        <v>0</v>
      </c>
      <c r="D287" s="55">
        <v>0</v>
      </c>
    </row>
    <row r="288" spans="1:4">
      <c r="A288" s="7">
        <v>70903</v>
      </c>
      <c r="B288" s="7" t="s">
        <v>331</v>
      </c>
      <c r="C288" s="55">
        <v>0</v>
      </c>
      <c r="D288" s="55">
        <v>22.65</v>
      </c>
    </row>
    <row r="289" spans="1:4">
      <c r="A289" s="7">
        <v>70904</v>
      </c>
      <c r="B289" s="7" t="s">
        <v>332</v>
      </c>
      <c r="C289" s="55">
        <v>0</v>
      </c>
      <c r="D289" s="55">
        <v>0</v>
      </c>
    </row>
    <row r="290" spans="1:4">
      <c r="A290" s="7">
        <v>71001</v>
      </c>
      <c r="B290" s="7" t="s">
        <v>333</v>
      </c>
      <c r="C290" s="55">
        <v>130.19999999999999</v>
      </c>
      <c r="D290" s="55">
        <v>8.99</v>
      </c>
    </row>
    <row r="291" spans="1:4">
      <c r="A291" s="7">
        <v>71002</v>
      </c>
      <c r="B291" s="7" t="s">
        <v>335</v>
      </c>
      <c r="C291" s="55">
        <v>0</v>
      </c>
      <c r="D291" s="55">
        <v>0</v>
      </c>
    </row>
    <row r="292" spans="1:4">
      <c r="A292" s="7">
        <v>71003</v>
      </c>
      <c r="B292" s="7" t="s">
        <v>336</v>
      </c>
      <c r="C292" s="55">
        <v>0</v>
      </c>
      <c r="D292" s="55">
        <v>74.72</v>
      </c>
    </row>
    <row r="293" spans="1:4">
      <c r="A293" s="7">
        <v>71004</v>
      </c>
      <c r="B293" s="7" t="s">
        <v>387</v>
      </c>
      <c r="C293" s="55">
        <v>0</v>
      </c>
      <c r="D293" s="55">
        <v>49.3</v>
      </c>
    </row>
    <row r="294" spans="1:4">
      <c r="A294" s="7">
        <v>71005</v>
      </c>
      <c r="B294" s="7" t="s">
        <v>261</v>
      </c>
      <c r="C294" s="55">
        <v>0</v>
      </c>
      <c r="D294" s="55">
        <v>0</v>
      </c>
    </row>
    <row r="295" spans="1:4">
      <c r="A295" s="7">
        <v>71101</v>
      </c>
      <c r="B295" s="7" t="s">
        <v>337</v>
      </c>
      <c r="C295" s="55">
        <v>0</v>
      </c>
      <c r="D295" s="55">
        <v>0</v>
      </c>
    </row>
    <row r="296" spans="1:4">
      <c r="A296" s="7">
        <v>71102</v>
      </c>
      <c r="B296" s="7" t="s">
        <v>338</v>
      </c>
      <c r="C296" s="55">
        <v>0</v>
      </c>
      <c r="D296" s="55">
        <v>0</v>
      </c>
    </row>
    <row r="297" spans="1:4">
      <c r="A297" s="7">
        <v>71103</v>
      </c>
      <c r="B297" s="7" t="s">
        <v>341</v>
      </c>
      <c r="C297" s="55">
        <v>0</v>
      </c>
      <c r="D297" s="55">
        <v>0</v>
      </c>
    </row>
    <row r="298" spans="1:4">
      <c r="A298" s="7">
        <v>71104</v>
      </c>
      <c r="B298" s="7" t="s">
        <v>339</v>
      </c>
      <c r="C298" s="55">
        <v>0</v>
      </c>
      <c r="D298" s="55">
        <v>0</v>
      </c>
    </row>
    <row r="299" spans="1:4">
      <c r="A299" s="7">
        <v>71105</v>
      </c>
      <c r="B299" s="7" t="s">
        <v>340</v>
      </c>
      <c r="C299" s="55">
        <v>0</v>
      </c>
      <c r="D299" s="55">
        <v>0</v>
      </c>
    </row>
    <row r="300" spans="1:4">
      <c r="A300" s="7">
        <v>71106</v>
      </c>
      <c r="B300" s="7" t="s">
        <v>342</v>
      </c>
      <c r="C300" s="55">
        <v>0</v>
      </c>
      <c r="D300" s="55">
        <v>87.19</v>
      </c>
    </row>
    <row r="301" spans="1:4">
      <c r="A301" s="7">
        <v>71201</v>
      </c>
      <c r="B301" s="7" t="s">
        <v>343</v>
      </c>
      <c r="C301" s="55">
        <v>0</v>
      </c>
      <c r="D301" s="55">
        <v>0</v>
      </c>
    </row>
    <row r="302" spans="1:4">
      <c r="A302" s="7">
        <v>71301</v>
      </c>
      <c r="B302" s="7" t="s">
        <v>344</v>
      </c>
      <c r="C302" s="55">
        <v>0</v>
      </c>
      <c r="D302" s="55">
        <v>0</v>
      </c>
    </row>
    <row r="303" spans="1:4">
      <c r="A303" s="7">
        <v>71302</v>
      </c>
      <c r="B303" s="7" t="s">
        <v>345</v>
      </c>
      <c r="C303" s="55">
        <v>0</v>
      </c>
      <c r="D303" s="55">
        <v>0</v>
      </c>
    </row>
    <row r="304" spans="1:4">
      <c r="A304" s="7">
        <v>71401</v>
      </c>
      <c r="B304" s="7" t="s">
        <v>346</v>
      </c>
      <c r="C304" s="55">
        <v>0</v>
      </c>
      <c r="D304" s="55">
        <v>0</v>
      </c>
    </row>
    <row r="305" spans="1:4">
      <c r="A305" s="7">
        <v>71402</v>
      </c>
      <c r="B305" s="7" t="s">
        <v>347</v>
      </c>
      <c r="C305" s="55">
        <v>0</v>
      </c>
      <c r="D305" s="55">
        <v>0</v>
      </c>
    </row>
    <row r="306" spans="1:4">
      <c r="A306" s="7">
        <v>71403</v>
      </c>
      <c r="B306" s="7" t="s">
        <v>348</v>
      </c>
      <c r="C306" s="55">
        <v>0</v>
      </c>
      <c r="D306" s="55">
        <v>0</v>
      </c>
    </row>
    <row r="307" spans="1:4">
      <c r="A307" s="7">
        <v>71501</v>
      </c>
      <c r="B307" s="7" t="s">
        <v>349</v>
      </c>
      <c r="C307" s="55">
        <v>0</v>
      </c>
      <c r="D307" s="55">
        <v>0</v>
      </c>
    </row>
    <row r="308" spans="1:4">
      <c r="A308" s="7">
        <v>71502</v>
      </c>
      <c r="B308" s="7" t="s">
        <v>350</v>
      </c>
      <c r="C308" s="55">
        <v>0</v>
      </c>
      <c r="D308" s="55">
        <v>0</v>
      </c>
    </row>
    <row r="309" spans="1:4">
      <c r="A309" s="7">
        <v>71503</v>
      </c>
      <c r="B309" s="7" t="s">
        <v>295</v>
      </c>
      <c r="C309" s="55">
        <v>0</v>
      </c>
      <c r="D309" s="55">
        <v>0</v>
      </c>
    </row>
    <row r="310" spans="1:4">
      <c r="A310" s="7">
        <v>80101</v>
      </c>
      <c r="B310" s="7" t="s">
        <v>351</v>
      </c>
      <c r="C310" s="55">
        <v>170.49</v>
      </c>
      <c r="D310" s="55">
        <v>198.04</v>
      </c>
    </row>
    <row r="311" spans="1:4">
      <c r="A311" s="7">
        <v>80102</v>
      </c>
      <c r="B311" s="7" t="s">
        <v>338</v>
      </c>
      <c r="C311" s="55">
        <v>0</v>
      </c>
      <c r="D311" s="55">
        <v>0</v>
      </c>
    </row>
    <row r="312" spans="1:4">
      <c r="A312" s="7">
        <v>80201</v>
      </c>
      <c r="B312" s="7" t="s">
        <v>352</v>
      </c>
      <c r="C312" s="55">
        <v>0</v>
      </c>
      <c r="D312" s="55">
        <v>0</v>
      </c>
    </row>
    <row r="313" spans="1:4">
      <c r="A313" s="7">
        <v>80202</v>
      </c>
      <c r="B313" s="7" t="s">
        <v>353</v>
      </c>
      <c r="C313" s="55">
        <v>0</v>
      </c>
      <c r="D313" s="55">
        <v>0</v>
      </c>
    </row>
    <row r="314" spans="1:4">
      <c r="A314" s="7">
        <v>80301</v>
      </c>
      <c r="B314" s="7" t="s">
        <v>354</v>
      </c>
      <c r="C314" s="55">
        <v>0</v>
      </c>
      <c r="D314" s="55">
        <v>0</v>
      </c>
    </row>
    <row r="315" spans="1:4">
      <c r="A315" s="7">
        <v>80302</v>
      </c>
      <c r="B315" s="7" t="s">
        <v>355</v>
      </c>
      <c r="C315" s="55">
        <v>0</v>
      </c>
      <c r="D315" s="55">
        <v>0</v>
      </c>
    </row>
    <row r="316" spans="1:4">
      <c r="A316" s="7">
        <v>80303</v>
      </c>
      <c r="B316" s="7" t="s">
        <v>315</v>
      </c>
      <c r="C316" s="55">
        <v>0</v>
      </c>
      <c r="D316" s="55">
        <v>0</v>
      </c>
    </row>
    <row r="317" spans="1:4">
      <c r="A317" s="7">
        <v>80304</v>
      </c>
      <c r="B317" s="7" t="s">
        <v>356</v>
      </c>
      <c r="C317" s="55">
        <v>0</v>
      </c>
      <c r="D317" s="55">
        <v>0</v>
      </c>
    </row>
    <row r="318" spans="1:4">
      <c r="A318" s="7">
        <v>80401</v>
      </c>
      <c r="B318" s="7" t="s">
        <v>357</v>
      </c>
      <c r="C318" s="55">
        <v>0</v>
      </c>
      <c r="D318" s="55">
        <v>0</v>
      </c>
    </row>
    <row r="319" spans="1:4">
      <c r="A319" s="7">
        <v>80402</v>
      </c>
      <c r="B319" s="7" t="s">
        <v>358</v>
      </c>
      <c r="C319" s="55">
        <v>0</v>
      </c>
      <c r="D319" s="55">
        <v>0</v>
      </c>
    </row>
    <row r="320" spans="1:4">
      <c r="A320" s="7">
        <v>80501</v>
      </c>
      <c r="B320" s="7" t="s">
        <v>305</v>
      </c>
      <c r="C320" s="55">
        <v>0</v>
      </c>
      <c r="D320" s="55">
        <v>0</v>
      </c>
    </row>
    <row r="321" spans="1:4">
      <c r="A321" s="7">
        <v>80601</v>
      </c>
      <c r="B321" s="7" t="s">
        <v>359</v>
      </c>
      <c r="C321" s="55">
        <v>0</v>
      </c>
      <c r="D321" s="55">
        <v>0</v>
      </c>
    </row>
    <row r="322" spans="1:4">
      <c r="A322" s="7">
        <v>80602</v>
      </c>
      <c r="B322" s="7" t="s">
        <v>360</v>
      </c>
      <c r="C322" s="55">
        <v>0</v>
      </c>
      <c r="D322" s="55">
        <v>0</v>
      </c>
    </row>
    <row r="323" spans="1:4">
      <c r="A323" s="7">
        <v>80701</v>
      </c>
      <c r="B323" s="7" t="s">
        <v>361</v>
      </c>
      <c r="C323" s="55">
        <v>0</v>
      </c>
      <c r="D323" s="55">
        <v>0</v>
      </c>
    </row>
    <row r="324" spans="1:4">
      <c r="A324" s="7">
        <v>80702</v>
      </c>
      <c r="B324" s="7" t="s">
        <v>341</v>
      </c>
      <c r="C324" s="55">
        <v>0</v>
      </c>
      <c r="D324" s="55">
        <v>0</v>
      </c>
    </row>
    <row r="325" spans="1:4">
      <c r="A325" s="7">
        <v>80703</v>
      </c>
      <c r="B325" s="7" t="s">
        <v>362</v>
      </c>
      <c r="C325" s="55">
        <v>0</v>
      </c>
      <c r="D325" s="55">
        <v>0</v>
      </c>
    </row>
    <row r="326" spans="1:4">
      <c r="A326" s="7">
        <v>80801</v>
      </c>
      <c r="B326" s="7" t="s">
        <v>363</v>
      </c>
      <c r="C326" s="55">
        <v>0</v>
      </c>
      <c r="D326" s="55">
        <v>0</v>
      </c>
    </row>
    <row r="327" spans="1:4">
      <c r="A327" s="7">
        <v>80802</v>
      </c>
      <c r="B327" s="7" t="s">
        <v>364</v>
      </c>
      <c r="C327" s="55">
        <v>0</v>
      </c>
      <c r="D327" s="55">
        <v>0</v>
      </c>
    </row>
    <row r="328" spans="1:4">
      <c r="A328" s="7">
        <v>80803</v>
      </c>
      <c r="B328" s="7" t="s">
        <v>365</v>
      </c>
      <c r="C328" s="55">
        <v>0</v>
      </c>
      <c r="D328" s="55">
        <v>0</v>
      </c>
    </row>
    <row r="329" spans="1:4">
      <c r="A329" s="7">
        <v>80901</v>
      </c>
      <c r="B329" s="7" t="s">
        <v>366</v>
      </c>
      <c r="C329" s="55">
        <v>0</v>
      </c>
      <c r="D329" s="55">
        <v>0</v>
      </c>
    </row>
    <row r="330" spans="1:4">
      <c r="A330" s="7">
        <v>90101</v>
      </c>
      <c r="B330" s="7" t="s">
        <v>367</v>
      </c>
      <c r="C330" s="55">
        <v>0</v>
      </c>
      <c r="D330" s="55">
        <v>0</v>
      </c>
    </row>
    <row r="331" spans="1:4">
      <c r="A331" s="7">
        <v>90102</v>
      </c>
      <c r="B331" s="7" t="s">
        <v>368</v>
      </c>
      <c r="C331" s="55">
        <v>0</v>
      </c>
      <c r="D331" s="55">
        <v>0</v>
      </c>
    </row>
    <row r="332" spans="1:4">
      <c r="A332" s="7">
        <v>90103</v>
      </c>
      <c r="B332" s="7" t="s">
        <v>369</v>
      </c>
      <c r="C332" s="55">
        <v>0</v>
      </c>
      <c r="D332" s="55">
        <v>0</v>
      </c>
    </row>
    <row r="333" spans="1:4">
      <c r="A333" s="7">
        <v>90104</v>
      </c>
      <c r="B333" s="7" t="s">
        <v>370</v>
      </c>
      <c r="C333" s="55">
        <v>0</v>
      </c>
      <c r="D333" s="55">
        <v>0</v>
      </c>
    </row>
    <row r="334" spans="1:4">
      <c r="A334" s="7">
        <v>90201</v>
      </c>
      <c r="B334" s="7" t="s">
        <v>371</v>
      </c>
      <c r="C334" s="55">
        <v>0</v>
      </c>
      <c r="D334" s="55">
        <v>0</v>
      </c>
    </row>
    <row r="335" spans="1:4">
      <c r="A335" s="7">
        <v>90202</v>
      </c>
      <c r="B335" s="7" t="s">
        <v>261</v>
      </c>
      <c r="C335" s="55">
        <v>0</v>
      </c>
      <c r="D335" s="55">
        <v>0</v>
      </c>
    </row>
    <row r="336" spans="1:4">
      <c r="A336" s="7">
        <v>90203</v>
      </c>
      <c r="B336" s="7" t="s">
        <v>372</v>
      </c>
      <c r="C336" s="55">
        <v>0</v>
      </c>
      <c r="D336" s="55">
        <v>0</v>
      </c>
    </row>
    <row r="337" spans="1:4">
      <c r="A337" s="7">
        <v>90301</v>
      </c>
      <c r="B337" s="7" t="s">
        <v>373</v>
      </c>
      <c r="C337" s="55">
        <v>0</v>
      </c>
      <c r="D337" s="55">
        <v>0</v>
      </c>
    </row>
    <row r="338" spans="1:4">
      <c r="A338" s="7">
        <v>90302</v>
      </c>
      <c r="B338" s="7" t="s">
        <v>294</v>
      </c>
      <c r="C338" s="55">
        <v>0</v>
      </c>
      <c r="D338" s="55">
        <v>0</v>
      </c>
    </row>
    <row r="339" spans="1:4">
      <c r="A339" s="7">
        <v>90303</v>
      </c>
      <c r="B339" s="7" t="s">
        <v>374</v>
      </c>
      <c r="C339" s="55">
        <v>0</v>
      </c>
      <c r="D339" s="55">
        <v>0</v>
      </c>
    </row>
    <row r="340" spans="1:4">
      <c r="A340" s="7">
        <v>90401</v>
      </c>
      <c r="B340" s="7" t="s">
        <v>315</v>
      </c>
      <c r="C340" s="55">
        <v>0</v>
      </c>
      <c r="D340" s="55">
        <v>0</v>
      </c>
    </row>
    <row r="341" spans="1:4">
      <c r="A341" s="7">
        <v>90402</v>
      </c>
      <c r="B341" s="7" t="s">
        <v>375</v>
      </c>
      <c r="C341" s="55">
        <v>0</v>
      </c>
      <c r="D341" s="55">
        <v>0</v>
      </c>
    </row>
    <row r="342" spans="1:4">
      <c r="A342" s="7">
        <v>90501</v>
      </c>
      <c r="B342" s="7" t="s">
        <v>376</v>
      </c>
      <c r="C342" s="55">
        <v>0</v>
      </c>
      <c r="D342" s="55">
        <v>0</v>
      </c>
    </row>
    <row r="343" spans="1:4">
      <c r="A343" s="7">
        <v>90502</v>
      </c>
      <c r="B343" s="7" t="s">
        <v>377</v>
      </c>
      <c r="C343" s="55">
        <v>0</v>
      </c>
      <c r="D343" s="55">
        <v>0</v>
      </c>
    </row>
    <row r="344" spans="1:4">
      <c r="A344" s="7">
        <v>90503</v>
      </c>
      <c r="B344" s="7" t="s">
        <v>378</v>
      </c>
      <c r="C344" s="55">
        <v>0</v>
      </c>
      <c r="D344" s="55">
        <v>0</v>
      </c>
    </row>
    <row r="345" spans="1:4">
      <c r="C345" s="56"/>
      <c r="D345" s="56"/>
    </row>
    <row r="346" spans="1:4">
      <c r="C346" s="56"/>
      <c r="D346" s="56"/>
    </row>
    <row r="347" spans="1:4">
      <c r="C347" s="56"/>
      <c r="D347" s="56"/>
    </row>
    <row r="348" spans="1:4">
      <c r="C348" s="56"/>
      <c r="D348" s="56"/>
    </row>
    <row r="349" spans="1:4">
      <c r="C349" s="56"/>
      <c r="D349" s="56"/>
    </row>
    <row r="350" spans="1:4">
      <c r="C350" s="56"/>
      <c r="D350" s="56"/>
    </row>
    <row r="351" spans="1:4">
      <c r="C351" s="56"/>
      <c r="D351" s="56"/>
    </row>
    <row r="352" spans="1:4">
      <c r="C352" s="56"/>
      <c r="D352" s="56"/>
    </row>
    <row r="353" spans="3:4">
      <c r="C353" s="56"/>
      <c r="D353" s="56"/>
    </row>
    <row r="354" spans="3:4">
      <c r="C354" s="56"/>
      <c r="D354" s="56"/>
    </row>
    <row r="355" spans="3:4">
      <c r="C355" s="56"/>
      <c r="D355" s="56"/>
    </row>
    <row r="356" spans="3:4">
      <c r="C356" s="56"/>
      <c r="D356" s="56"/>
    </row>
    <row r="357" spans="3:4">
      <c r="C357" s="56"/>
      <c r="D357" s="56"/>
    </row>
    <row r="358" spans="3:4">
      <c r="C358" s="56"/>
      <c r="D358" s="56"/>
    </row>
    <row r="359" spans="3:4">
      <c r="C359" s="56"/>
      <c r="D359" s="56"/>
    </row>
    <row r="360" spans="3:4">
      <c r="C360" s="56"/>
      <c r="D360" s="56"/>
    </row>
    <row r="361" spans="3:4">
      <c r="C361" s="56"/>
      <c r="D361" s="56"/>
    </row>
    <row r="362" spans="3:4">
      <c r="C362" s="56"/>
      <c r="D362" s="56"/>
    </row>
    <row r="363" spans="3:4">
      <c r="C363" s="56"/>
      <c r="D363" s="56"/>
    </row>
    <row r="364" spans="3:4">
      <c r="C364" s="56"/>
      <c r="D364" s="56"/>
    </row>
    <row r="365" spans="3:4">
      <c r="C365" s="56"/>
      <c r="D365" s="56"/>
    </row>
    <row r="366" spans="3:4">
      <c r="C366" s="56"/>
      <c r="D366" s="56"/>
    </row>
    <row r="367" spans="3:4">
      <c r="C367" s="56"/>
      <c r="D367" s="56"/>
    </row>
    <row r="368" spans="3:4">
      <c r="C368" s="56"/>
      <c r="D368" s="56"/>
    </row>
    <row r="369" spans="3:4">
      <c r="C369" s="56"/>
      <c r="D369" s="56"/>
    </row>
    <row r="370" spans="3:4">
      <c r="C370" s="56"/>
      <c r="D370" s="56"/>
    </row>
    <row r="371" spans="3:4">
      <c r="C371" s="56"/>
      <c r="D371" s="56"/>
    </row>
    <row r="372" spans="3:4">
      <c r="C372" s="56"/>
      <c r="D372" s="56"/>
    </row>
    <row r="373" spans="3:4">
      <c r="C373" s="56"/>
      <c r="D373" s="56"/>
    </row>
    <row r="374" spans="3:4">
      <c r="C374" s="56"/>
      <c r="D374" s="56"/>
    </row>
    <row r="375" spans="3:4">
      <c r="C375" s="56"/>
      <c r="D375" s="56"/>
    </row>
    <row r="376" spans="3:4">
      <c r="C376" s="56"/>
      <c r="D376" s="56"/>
    </row>
    <row r="377" spans="3:4">
      <c r="C377" s="56"/>
      <c r="D377" s="56"/>
    </row>
    <row r="378" spans="3:4">
      <c r="C378" s="56"/>
      <c r="D378" s="56"/>
    </row>
    <row r="379" spans="3:4">
      <c r="C379" s="56"/>
      <c r="D379" s="56"/>
    </row>
    <row r="380" spans="3:4">
      <c r="C380" s="56"/>
      <c r="D380" s="56"/>
    </row>
    <row r="381" spans="3:4">
      <c r="C381" s="56"/>
      <c r="D381" s="56"/>
    </row>
    <row r="382" spans="3:4">
      <c r="C382" s="56"/>
      <c r="D382" s="56"/>
    </row>
    <row r="383" spans="3:4">
      <c r="C383" s="56"/>
      <c r="D383" s="56"/>
    </row>
    <row r="384" spans="3:4">
      <c r="C384" s="56"/>
      <c r="D384" s="56"/>
    </row>
    <row r="385" spans="3:4">
      <c r="C385" s="56"/>
      <c r="D385" s="56"/>
    </row>
    <row r="386" spans="3:4">
      <c r="C386" s="56"/>
      <c r="D386" s="56"/>
    </row>
    <row r="387" spans="3:4">
      <c r="C387" s="56"/>
      <c r="D387" s="56"/>
    </row>
    <row r="388" spans="3:4">
      <c r="C388" s="56"/>
      <c r="D388" s="56"/>
    </row>
    <row r="389" spans="3:4">
      <c r="C389" s="56"/>
      <c r="D389" s="56"/>
    </row>
    <row r="390" spans="3:4">
      <c r="C390" s="56"/>
      <c r="D390" s="56"/>
    </row>
    <row r="391" spans="3:4">
      <c r="C391" s="56"/>
      <c r="D391" s="56"/>
    </row>
    <row r="392" spans="3:4">
      <c r="C392" s="56"/>
      <c r="D392" s="56"/>
    </row>
    <row r="393" spans="3:4">
      <c r="C393" s="56"/>
      <c r="D393" s="56"/>
    </row>
    <row r="394" spans="3:4">
      <c r="C394" s="56"/>
      <c r="D394" s="56"/>
    </row>
    <row r="395" spans="3:4">
      <c r="C395" s="56"/>
      <c r="D395" s="56"/>
    </row>
    <row r="396" spans="3:4">
      <c r="C396" s="56"/>
      <c r="D396" s="56"/>
    </row>
    <row r="397" spans="3:4">
      <c r="C397" s="56"/>
      <c r="D397" s="56"/>
    </row>
    <row r="398" spans="3:4">
      <c r="C398" s="56"/>
      <c r="D398" s="56"/>
    </row>
    <row r="399" spans="3:4">
      <c r="C399" s="56"/>
      <c r="D399" s="56"/>
    </row>
    <row r="400" spans="3:4">
      <c r="C400" s="56"/>
      <c r="D400" s="56"/>
    </row>
    <row r="401" spans="3:4">
      <c r="C401" s="56"/>
      <c r="D401" s="56"/>
    </row>
    <row r="402" spans="3:4">
      <c r="C402" s="56"/>
      <c r="D402" s="56"/>
    </row>
    <row r="403" spans="3:4">
      <c r="C403" s="56"/>
      <c r="D403" s="56"/>
    </row>
    <row r="404" spans="3:4">
      <c r="C404" s="56"/>
      <c r="D404" s="56"/>
    </row>
    <row r="405" spans="3:4">
      <c r="C405" s="56"/>
      <c r="D405" s="56"/>
    </row>
    <row r="406" spans="3:4">
      <c r="C406" s="56"/>
      <c r="D406" s="56"/>
    </row>
    <row r="407" spans="3:4">
      <c r="C407" s="56"/>
      <c r="D407" s="56"/>
    </row>
    <row r="408" spans="3:4">
      <c r="C408" s="56"/>
      <c r="D408" s="56"/>
    </row>
    <row r="409" spans="3:4">
      <c r="C409" s="56"/>
      <c r="D409" s="56"/>
    </row>
    <row r="410" spans="3:4">
      <c r="C410" s="56"/>
      <c r="D410" s="56"/>
    </row>
    <row r="411" spans="3:4">
      <c r="C411" s="56"/>
      <c r="D411" s="56"/>
    </row>
    <row r="412" spans="3:4">
      <c r="C412" s="56"/>
      <c r="D412" s="56"/>
    </row>
    <row r="413" spans="3:4">
      <c r="C413" s="56"/>
      <c r="D413" s="56"/>
    </row>
    <row r="414" spans="3:4">
      <c r="C414" s="56"/>
      <c r="D414" s="56"/>
    </row>
    <row r="415" spans="3:4">
      <c r="C415" s="56"/>
      <c r="D415" s="56"/>
    </row>
    <row r="416" spans="3:4">
      <c r="C416" s="56"/>
      <c r="D416" s="56"/>
    </row>
    <row r="417" spans="3:4">
      <c r="C417" s="56"/>
      <c r="D417" s="56"/>
    </row>
    <row r="418" spans="3:4">
      <c r="C418" s="56"/>
      <c r="D418" s="56"/>
    </row>
    <row r="419" spans="3:4">
      <c r="C419" s="56"/>
      <c r="D419" s="56"/>
    </row>
    <row r="420" spans="3:4">
      <c r="C420" s="56"/>
      <c r="D420" s="56"/>
    </row>
    <row r="421" spans="3:4">
      <c r="C421" s="56"/>
      <c r="D421" s="56"/>
    </row>
    <row r="422" spans="3:4">
      <c r="C422" s="56"/>
      <c r="D422" s="56"/>
    </row>
    <row r="423" spans="3:4">
      <c r="C423" s="56"/>
      <c r="D423" s="56"/>
    </row>
    <row r="424" spans="3:4">
      <c r="C424" s="56"/>
      <c r="D424" s="56"/>
    </row>
    <row r="425" spans="3:4">
      <c r="C425" s="56"/>
      <c r="D425" s="56"/>
    </row>
    <row r="426" spans="3:4">
      <c r="C426" s="56"/>
      <c r="D426" s="56"/>
    </row>
    <row r="427" spans="3:4">
      <c r="C427" s="56"/>
      <c r="D427" s="56"/>
    </row>
    <row r="428" spans="3:4">
      <c r="C428" s="56"/>
      <c r="D428" s="56"/>
    </row>
    <row r="429" spans="3:4">
      <c r="C429" s="56"/>
      <c r="D429" s="56"/>
    </row>
    <row r="430" spans="3:4">
      <c r="C430" s="56"/>
      <c r="D430" s="56"/>
    </row>
    <row r="431" spans="3:4">
      <c r="C431" s="56"/>
      <c r="D431" s="56"/>
    </row>
    <row r="432" spans="3:4">
      <c r="C432" s="56"/>
      <c r="D432" s="56"/>
    </row>
    <row r="433" spans="3:4">
      <c r="C433" s="56"/>
      <c r="D433" s="56"/>
    </row>
    <row r="434" spans="3:4">
      <c r="C434" s="56"/>
      <c r="D434" s="56"/>
    </row>
    <row r="435" spans="3:4">
      <c r="C435" s="56"/>
      <c r="D435" s="56"/>
    </row>
    <row r="436" spans="3:4">
      <c r="C436" s="56"/>
      <c r="D436" s="56"/>
    </row>
    <row r="437" spans="3:4">
      <c r="C437" s="56"/>
      <c r="D437" s="56"/>
    </row>
    <row r="438" spans="3:4">
      <c r="C438" s="56"/>
      <c r="D438" s="56"/>
    </row>
    <row r="439" spans="3:4">
      <c r="C439" s="56"/>
      <c r="D439" s="56"/>
    </row>
    <row r="440" spans="3:4">
      <c r="C440" s="56"/>
      <c r="D440" s="56"/>
    </row>
    <row r="441" spans="3:4">
      <c r="C441" s="56"/>
      <c r="D441" s="56"/>
    </row>
    <row r="442" spans="3:4">
      <c r="C442" s="56"/>
      <c r="D442" s="56"/>
    </row>
    <row r="443" spans="3:4">
      <c r="C443" s="56"/>
      <c r="D443" s="56"/>
    </row>
    <row r="444" spans="3:4">
      <c r="C444" s="56"/>
      <c r="D444" s="56"/>
    </row>
    <row r="445" spans="3:4">
      <c r="C445" s="56"/>
      <c r="D445" s="56"/>
    </row>
    <row r="446" spans="3:4">
      <c r="C446" s="56"/>
      <c r="D446" s="56"/>
    </row>
    <row r="447" spans="3:4">
      <c r="C447" s="56"/>
      <c r="D447" s="56"/>
    </row>
    <row r="448" spans="3:4">
      <c r="C448" s="56"/>
      <c r="D448" s="56"/>
    </row>
    <row r="449" spans="3:4">
      <c r="C449" s="56"/>
      <c r="D449" s="56"/>
    </row>
    <row r="450" spans="3:4">
      <c r="C450" s="56"/>
      <c r="D450" s="56"/>
    </row>
    <row r="451" spans="3:4">
      <c r="C451" s="56"/>
      <c r="D451" s="56"/>
    </row>
    <row r="452" spans="3:4">
      <c r="C452" s="56"/>
      <c r="D452" s="56"/>
    </row>
    <row r="453" spans="3:4">
      <c r="C453" s="56"/>
      <c r="D453" s="56"/>
    </row>
    <row r="454" spans="3:4">
      <c r="C454" s="56"/>
      <c r="D454" s="56"/>
    </row>
    <row r="455" spans="3:4">
      <c r="C455" s="56"/>
      <c r="D455" s="56"/>
    </row>
    <row r="456" spans="3:4">
      <c r="C456" s="56"/>
      <c r="D456" s="56"/>
    </row>
    <row r="457" spans="3:4">
      <c r="C457" s="56"/>
      <c r="D457" s="56"/>
    </row>
    <row r="458" spans="3:4">
      <c r="C458" s="56"/>
      <c r="D458" s="56"/>
    </row>
    <row r="459" spans="3:4">
      <c r="C459" s="56"/>
      <c r="D459" s="56"/>
    </row>
    <row r="460" spans="3:4">
      <c r="C460" s="56"/>
      <c r="D460" s="56"/>
    </row>
    <row r="461" spans="3:4">
      <c r="C461" s="56"/>
      <c r="D461" s="56"/>
    </row>
    <row r="462" spans="3:4">
      <c r="C462" s="56"/>
      <c r="D462" s="56"/>
    </row>
    <row r="463" spans="3:4">
      <c r="C463" s="56"/>
      <c r="D463" s="56"/>
    </row>
    <row r="464" spans="3:4">
      <c r="C464" s="56"/>
      <c r="D464" s="56"/>
    </row>
    <row r="465" spans="3:4">
      <c r="C465" s="56"/>
      <c r="D465" s="56"/>
    </row>
    <row r="466" spans="3:4">
      <c r="C466" s="56"/>
      <c r="D466" s="56"/>
    </row>
    <row r="467" spans="3:4">
      <c r="C467" s="56"/>
      <c r="D467" s="56"/>
    </row>
    <row r="468" spans="3:4">
      <c r="C468" s="56"/>
      <c r="D468" s="56"/>
    </row>
    <row r="469" spans="3:4">
      <c r="C469" s="56"/>
      <c r="D469" s="56"/>
    </row>
    <row r="470" spans="3:4">
      <c r="C470" s="56"/>
      <c r="D470" s="56"/>
    </row>
    <row r="471" spans="3:4">
      <c r="C471" s="56"/>
      <c r="D471" s="56"/>
    </row>
    <row r="472" spans="3:4">
      <c r="C472" s="56"/>
      <c r="D472" s="56"/>
    </row>
    <row r="473" spans="3:4">
      <c r="C473" s="56"/>
      <c r="D473" s="56"/>
    </row>
    <row r="474" spans="3:4">
      <c r="C474" s="56"/>
      <c r="D474" s="56"/>
    </row>
    <row r="475" spans="3:4">
      <c r="C475" s="56"/>
      <c r="D475" s="56"/>
    </row>
    <row r="476" spans="3:4">
      <c r="C476" s="56"/>
      <c r="D476" s="56"/>
    </row>
    <row r="477" spans="3:4">
      <c r="C477" s="56"/>
      <c r="D477" s="56"/>
    </row>
    <row r="478" spans="3:4">
      <c r="C478" s="56"/>
      <c r="D478" s="56"/>
    </row>
    <row r="479" spans="3:4">
      <c r="C479" s="56"/>
      <c r="D479" s="56"/>
    </row>
    <row r="480" spans="3:4">
      <c r="C480" s="56"/>
      <c r="D480" s="56"/>
    </row>
    <row r="481" spans="3:4">
      <c r="C481" s="56"/>
      <c r="D481" s="56"/>
    </row>
    <row r="482" spans="3:4">
      <c r="C482" s="56"/>
      <c r="D482" s="56"/>
    </row>
    <row r="483" spans="3:4">
      <c r="C483" s="56"/>
      <c r="D483" s="56"/>
    </row>
    <row r="484" spans="3:4">
      <c r="C484" s="56"/>
      <c r="D484" s="56"/>
    </row>
    <row r="485" spans="3:4">
      <c r="C485" s="56"/>
      <c r="D485" s="56"/>
    </row>
    <row r="486" spans="3:4">
      <c r="C486" s="56"/>
      <c r="D486" s="56"/>
    </row>
    <row r="487" spans="3:4">
      <c r="C487" s="56"/>
      <c r="D487" s="56"/>
    </row>
    <row r="488" spans="3:4">
      <c r="C488" s="56"/>
      <c r="D488" s="56"/>
    </row>
    <row r="489" spans="3:4">
      <c r="C489" s="56"/>
      <c r="D489" s="56"/>
    </row>
    <row r="490" spans="3:4">
      <c r="C490" s="56"/>
      <c r="D490" s="56"/>
    </row>
    <row r="491" spans="3:4">
      <c r="C491" s="56"/>
      <c r="D491" s="56"/>
    </row>
    <row r="492" spans="3:4">
      <c r="C492" s="56"/>
      <c r="D492" s="56"/>
    </row>
    <row r="493" spans="3:4">
      <c r="C493" s="56"/>
      <c r="D493" s="56"/>
    </row>
    <row r="494" spans="3:4">
      <c r="C494" s="56"/>
      <c r="D494" s="56"/>
    </row>
    <row r="495" spans="3:4">
      <c r="C495" s="56"/>
      <c r="D495" s="56"/>
    </row>
    <row r="496" spans="3:4">
      <c r="C496" s="56"/>
      <c r="D496" s="56"/>
    </row>
    <row r="497" spans="3:4">
      <c r="C497" s="56"/>
      <c r="D497" s="56"/>
    </row>
    <row r="498" spans="3:4">
      <c r="C498" s="56"/>
      <c r="D498" s="56"/>
    </row>
    <row r="499" spans="3:4">
      <c r="C499" s="56"/>
      <c r="D499" s="56"/>
    </row>
    <row r="500" spans="3:4">
      <c r="C500" s="56"/>
      <c r="D500" s="56"/>
    </row>
    <row r="501" spans="3:4">
      <c r="C501" s="56"/>
      <c r="D501" s="56"/>
    </row>
    <row r="502" spans="3:4">
      <c r="C502" s="56"/>
      <c r="D502" s="56"/>
    </row>
    <row r="503" spans="3:4">
      <c r="C503" s="56"/>
      <c r="D503" s="56"/>
    </row>
    <row r="504" spans="3:4">
      <c r="C504" s="56"/>
      <c r="D504" s="56"/>
    </row>
    <row r="505" spans="3:4">
      <c r="C505" s="56"/>
      <c r="D505" s="56"/>
    </row>
    <row r="506" spans="3:4">
      <c r="C506" s="56"/>
      <c r="D506" s="56"/>
    </row>
    <row r="507" spans="3:4">
      <c r="C507" s="56"/>
      <c r="D507" s="56"/>
    </row>
    <row r="508" spans="3:4">
      <c r="C508" s="56"/>
      <c r="D508" s="56"/>
    </row>
    <row r="509" spans="3:4">
      <c r="C509" s="56"/>
      <c r="D509" s="56"/>
    </row>
    <row r="510" spans="3:4">
      <c r="C510" s="56"/>
      <c r="D510" s="56"/>
    </row>
    <row r="511" spans="3:4">
      <c r="C511" s="56"/>
      <c r="D511" s="56"/>
    </row>
    <row r="512" spans="3:4">
      <c r="C512" s="56"/>
      <c r="D512" s="56"/>
    </row>
    <row r="513" spans="3:4">
      <c r="C513" s="56"/>
      <c r="D513" s="56"/>
    </row>
    <row r="514" spans="3:4">
      <c r="C514" s="56"/>
      <c r="D514" s="56"/>
    </row>
    <row r="515" spans="3:4">
      <c r="C515" s="56"/>
      <c r="D515" s="56"/>
    </row>
    <row r="516" spans="3:4">
      <c r="C516" s="56"/>
      <c r="D516" s="56"/>
    </row>
    <row r="517" spans="3:4">
      <c r="C517" s="56"/>
      <c r="D517" s="56"/>
    </row>
    <row r="518" spans="3:4">
      <c r="C518" s="56"/>
      <c r="D518" s="56"/>
    </row>
    <row r="519" spans="3:4">
      <c r="C519" s="56"/>
      <c r="D519" s="56"/>
    </row>
    <row r="520" spans="3:4">
      <c r="C520" s="56"/>
      <c r="D520" s="56"/>
    </row>
    <row r="521" spans="3:4">
      <c r="C521" s="56"/>
      <c r="D521" s="56"/>
    </row>
    <row r="522" spans="3:4">
      <c r="C522" s="56"/>
      <c r="D522" s="56"/>
    </row>
    <row r="523" spans="3:4">
      <c r="C523" s="56"/>
      <c r="D523" s="56"/>
    </row>
    <row r="524" spans="3:4">
      <c r="C524" s="56"/>
      <c r="D524" s="56"/>
    </row>
    <row r="525" spans="3:4">
      <c r="C525" s="56"/>
      <c r="D525" s="56"/>
    </row>
    <row r="526" spans="3:4">
      <c r="C526" s="56"/>
      <c r="D526" s="56"/>
    </row>
    <row r="527" spans="3:4">
      <c r="C527" s="56"/>
      <c r="D527" s="56"/>
    </row>
    <row r="528" spans="3:4">
      <c r="C528" s="56"/>
      <c r="D528" s="56"/>
    </row>
    <row r="529" spans="3:4">
      <c r="C529" s="56"/>
      <c r="D529" s="56"/>
    </row>
    <row r="530" spans="3:4">
      <c r="C530" s="56"/>
      <c r="D530" s="56"/>
    </row>
    <row r="531" spans="3:4">
      <c r="C531" s="56"/>
      <c r="D531" s="56"/>
    </row>
    <row r="532" spans="3:4">
      <c r="C532" s="56"/>
      <c r="D532" s="56"/>
    </row>
    <row r="533" spans="3:4">
      <c r="C533" s="56"/>
      <c r="D533" s="56"/>
    </row>
    <row r="534" spans="3:4">
      <c r="C534" s="56"/>
      <c r="D534" s="56"/>
    </row>
    <row r="535" spans="3:4">
      <c r="C535" s="56"/>
      <c r="D535" s="56"/>
    </row>
    <row r="536" spans="3:4">
      <c r="C536" s="56"/>
      <c r="D536" s="56"/>
    </row>
    <row r="537" spans="3:4">
      <c r="C537" s="56"/>
      <c r="D537" s="56"/>
    </row>
    <row r="538" spans="3:4">
      <c r="C538" s="56"/>
      <c r="D538" s="56"/>
    </row>
    <row r="539" spans="3:4">
      <c r="C539" s="56"/>
      <c r="D539" s="56"/>
    </row>
    <row r="540" spans="3:4">
      <c r="C540" s="56"/>
      <c r="D540" s="56"/>
    </row>
    <row r="541" spans="3:4">
      <c r="C541" s="56"/>
      <c r="D541" s="56"/>
    </row>
    <row r="542" spans="3:4">
      <c r="C542" s="56"/>
      <c r="D542" s="56"/>
    </row>
    <row r="543" spans="3:4">
      <c r="C543" s="56"/>
      <c r="D543" s="56"/>
    </row>
    <row r="544" spans="3:4">
      <c r="C544" s="56"/>
      <c r="D544" s="56"/>
    </row>
    <row r="545" spans="3:4">
      <c r="C545" s="56"/>
      <c r="D545" s="56"/>
    </row>
    <row r="546" spans="3:4">
      <c r="C546" s="56"/>
      <c r="D546" s="56"/>
    </row>
    <row r="547" spans="3:4">
      <c r="C547" s="56"/>
      <c r="D547" s="56"/>
    </row>
    <row r="548" spans="3:4">
      <c r="C548" s="56"/>
      <c r="D548" s="56"/>
    </row>
    <row r="549" spans="3:4">
      <c r="C549" s="56"/>
      <c r="D549" s="56"/>
    </row>
    <row r="550" spans="3:4">
      <c r="C550" s="56"/>
      <c r="D550" s="56"/>
    </row>
    <row r="551" spans="3:4">
      <c r="C551" s="56"/>
      <c r="D551" s="56"/>
    </row>
    <row r="552" spans="3:4">
      <c r="C552" s="56"/>
      <c r="D552" s="56"/>
    </row>
    <row r="553" spans="3:4">
      <c r="C553" s="56"/>
      <c r="D553" s="56"/>
    </row>
    <row r="554" spans="3:4">
      <c r="C554" s="56"/>
      <c r="D554" s="56"/>
    </row>
    <row r="555" spans="3:4">
      <c r="C555" s="56"/>
      <c r="D555" s="56"/>
    </row>
    <row r="556" spans="3:4">
      <c r="C556" s="56"/>
      <c r="D556" s="56"/>
    </row>
    <row r="557" spans="3:4">
      <c r="C557" s="56"/>
      <c r="D557" s="56"/>
    </row>
    <row r="558" spans="3:4">
      <c r="C558" s="56"/>
      <c r="D558" s="56"/>
    </row>
    <row r="559" spans="3:4">
      <c r="C559" s="56"/>
      <c r="D559" s="56"/>
    </row>
    <row r="560" spans="3:4">
      <c r="C560" s="56"/>
      <c r="D560" s="56"/>
    </row>
    <row r="561" spans="3:4">
      <c r="C561" s="56"/>
      <c r="D561" s="56"/>
    </row>
    <row r="562" spans="3:4">
      <c r="C562" s="56"/>
      <c r="D562" s="56"/>
    </row>
    <row r="563" spans="3:4">
      <c r="C563" s="56"/>
      <c r="D563" s="56"/>
    </row>
    <row r="564" spans="3:4">
      <c r="C564" s="56"/>
      <c r="D564" s="56"/>
    </row>
    <row r="565" spans="3:4">
      <c r="C565" s="56"/>
      <c r="D565" s="56"/>
    </row>
    <row r="566" spans="3:4">
      <c r="C566" s="56"/>
      <c r="D566" s="56"/>
    </row>
    <row r="567" spans="3:4">
      <c r="C567" s="56"/>
      <c r="D567" s="56"/>
    </row>
    <row r="568" spans="3:4">
      <c r="C568" s="56"/>
      <c r="D568" s="56"/>
    </row>
    <row r="569" spans="3:4">
      <c r="C569" s="56"/>
      <c r="D569" s="56"/>
    </row>
    <row r="570" spans="3:4">
      <c r="C570" s="56"/>
      <c r="D570" s="56"/>
    </row>
    <row r="571" spans="3:4">
      <c r="C571" s="56"/>
      <c r="D571" s="56"/>
    </row>
    <row r="572" spans="3:4">
      <c r="C572" s="56"/>
      <c r="D572" s="56"/>
    </row>
    <row r="573" spans="3:4">
      <c r="C573" s="56"/>
      <c r="D573" s="56"/>
    </row>
    <row r="574" spans="3:4">
      <c r="C574" s="56"/>
      <c r="D574" s="56"/>
    </row>
    <row r="575" spans="3:4">
      <c r="C575" s="56"/>
      <c r="D575" s="56"/>
    </row>
    <row r="576" spans="3:4">
      <c r="C576" s="56"/>
      <c r="D576" s="56"/>
    </row>
    <row r="577" spans="3:4">
      <c r="C577" s="56"/>
      <c r="D577" s="56"/>
    </row>
    <row r="578" spans="3:4">
      <c r="C578" s="56"/>
      <c r="D578" s="56"/>
    </row>
    <row r="579" spans="3:4">
      <c r="C579" s="56"/>
      <c r="D579" s="56"/>
    </row>
    <row r="580" spans="3:4">
      <c r="C580" s="56"/>
      <c r="D580" s="56"/>
    </row>
    <row r="581" spans="3:4">
      <c r="C581" s="56"/>
      <c r="D581" s="56"/>
    </row>
    <row r="582" spans="3:4">
      <c r="C582" s="56"/>
      <c r="D582" s="56"/>
    </row>
    <row r="583" spans="3:4">
      <c r="C583" s="56"/>
      <c r="D583" s="56"/>
    </row>
    <row r="584" spans="3:4">
      <c r="C584" s="56"/>
      <c r="D584" s="56"/>
    </row>
    <row r="585" spans="3:4">
      <c r="C585" s="56"/>
      <c r="D585" s="56"/>
    </row>
    <row r="586" spans="3:4">
      <c r="C586" s="56"/>
      <c r="D586" s="56"/>
    </row>
    <row r="587" spans="3:4">
      <c r="C587" s="56"/>
      <c r="D587" s="56"/>
    </row>
    <row r="588" spans="3:4">
      <c r="C588" s="56"/>
      <c r="D588" s="56"/>
    </row>
    <row r="589" spans="3:4">
      <c r="C589" s="56"/>
      <c r="D589" s="56"/>
    </row>
    <row r="590" spans="3:4">
      <c r="C590" s="56"/>
      <c r="D590" s="56"/>
    </row>
    <row r="591" spans="3:4">
      <c r="C591" s="56"/>
      <c r="D591" s="56"/>
    </row>
    <row r="592" spans="3:4">
      <c r="C592" s="56"/>
      <c r="D592" s="56"/>
    </row>
    <row r="593" spans="3:4">
      <c r="C593" s="56"/>
      <c r="D593" s="56"/>
    </row>
    <row r="594" spans="3:4">
      <c r="C594" s="56"/>
      <c r="D594" s="56"/>
    </row>
    <row r="595" spans="3:4">
      <c r="C595" s="56"/>
      <c r="D595" s="56"/>
    </row>
    <row r="596" spans="3:4">
      <c r="C596" s="56"/>
      <c r="D596" s="56"/>
    </row>
    <row r="597" spans="3:4">
      <c r="C597" s="56"/>
      <c r="D597" s="56"/>
    </row>
    <row r="598" spans="3:4">
      <c r="C598" s="56"/>
      <c r="D598" s="56"/>
    </row>
    <row r="599" spans="3:4">
      <c r="C599" s="56"/>
      <c r="D599" s="56"/>
    </row>
    <row r="600" spans="3:4">
      <c r="C600" s="56"/>
      <c r="D600" s="56"/>
    </row>
    <row r="601" spans="3:4">
      <c r="C601" s="56"/>
      <c r="D601" s="56"/>
    </row>
    <row r="602" spans="3:4">
      <c r="C602" s="56"/>
      <c r="D602" s="56"/>
    </row>
    <row r="603" spans="3:4">
      <c r="C603" s="56"/>
      <c r="D603" s="56"/>
    </row>
    <row r="604" spans="3:4">
      <c r="C604" s="56"/>
      <c r="D604" s="56"/>
    </row>
    <row r="605" spans="3:4">
      <c r="C605" s="56"/>
      <c r="D605" s="56"/>
    </row>
    <row r="606" spans="3:4">
      <c r="C606" s="56"/>
      <c r="D606" s="56"/>
    </row>
    <row r="607" spans="3:4">
      <c r="C607" s="56"/>
      <c r="D607" s="56"/>
    </row>
    <row r="608" spans="3:4">
      <c r="C608" s="56"/>
      <c r="D608" s="56"/>
    </row>
    <row r="609" spans="3:4">
      <c r="C609" s="56"/>
      <c r="D609" s="56"/>
    </row>
    <row r="610" spans="3:4">
      <c r="C610" s="56"/>
      <c r="D610" s="56"/>
    </row>
    <row r="611" spans="3:4">
      <c r="C611" s="56"/>
      <c r="D611" s="56"/>
    </row>
    <row r="612" spans="3:4">
      <c r="C612" s="56"/>
      <c r="D612" s="56"/>
    </row>
    <row r="613" spans="3:4">
      <c r="C613" s="56"/>
      <c r="D613" s="56"/>
    </row>
    <row r="614" spans="3:4">
      <c r="C614" s="56"/>
      <c r="D614" s="56"/>
    </row>
    <row r="615" spans="3:4">
      <c r="C615" s="56"/>
      <c r="D615" s="56"/>
    </row>
    <row r="616" spans="3:4">
      <c r="C616" s="56"/>
      <c r="D616" s="56"/>
    </row>
    <row r="617" spans="3:4">
      <c r="C617" s="56"/>
      <c r="D617" s="56"/>
    </row>
    <row r="618" spans="3:4">
      <c r="C618" s="56"/>
      <c r="D618" s="56"/>
    </row>
    <row r="619" spans="3:4">
      <c r="C619" s="56"/>
      <c r="D619" s="56"/>
    </row>
    <row r="620" spans="3:4">
      <c r="C620" s="56"/>
      <c r="D620" s="56"/>
    </row>
    <row r="621" spans="3:4">
      <c r="C621" s="56"/>
      <c r="D621" s="56"/>
    </row>
    <row r="622" spans="3:4">
      <c r="C622" s="56"/>
      <c r="D622" s="56"/>
    </row>
    <row r="623" spans="3:4">
      <c r="C623" s="56"/>
      <c r="D623" s="56"/>
    </row>
    <row r="624" spans="3:4">
      <c r="C624" s="56"/>
      <c r="D624" s="56"/>
    </row>
    <row r="625" spans="3:4">
      <c r="C625" s="56"/>
      <c r="D625" s="56"/>
    </row>
    <row r="626" spans="3:4">
      <c r="C626" s="56"/>
      <c r="D626" s="56"/>
    </row>
    <row r="627" spans="3:4">
      <c r="C627" s="56"/>
      <c r="D627" s="56"/>
    </row>
    <row r="628" spans="3:4">
      <c r="C628" s="56"/>
      <c r="D628" s="56"/>
    </row>
    <row r="629" spans="3:4">
      <c r="C629" s="56"/>
      <c r="D629" s="56"/>
    </row>
    <row r="630" spans="3:4">
      <c r="C630" s="56"/>
      <c r="D630" s="56"/>
    </row>
    <row r="631" spans="3:4">
      <c r="C631" s="56"/>
      <c r="D631" s="56"/>
    </row>
    <row r="632" spans="3:4">
      <c r="C632" s="56"/>
      <c r="D632" s="56"/>
    </row>
    <row r="633" spans="3:4">
      <c r="C633" s="56"/>
      <c r="D633" s="56"/>
    </row>
    <row r="634" spans="3:4">
      <c r="C634" s="56"/>
      <c r="D634" s="56"/>
    </row>
    <row r="635" spans="3:4">
      <c r="C635" s="56"/>
      <c r="D635" s="56"/>
    </row>
    <row r="636" spans="3:4">
      <c r="C636" s="56"/>
      <c r="D636" s="56"/>
    </row>
    <row r="637" spans="3:4">
      <c r="C637" s="56"/>
      <c r="D637" s="56"/>
    </row>
    <row r="638" spans="3:4">
      <c r="C638" s="56"/>
      <c r="D638" s="56"/>
    </row>
    <row r="639" spans="3:4">
      <c r="C639" s="56"/>
      <c r="D639" s="56"/>
    </row>
    <row r="640" spans="3:4">
      <c r="C640" s="56"/>
      <c r="D640" s="56"/>
    </row>
    <row r="641" spans="3:4">
      <c r="C641" s="56"/>
      <c r="D641" s="56"/>
    </row>
    <row r="642" spans="3:4">
      <c r="C642" s="56"/>
      <c r="D642" s="56"/>
    </row>
    <row r="643" spans="3:4">
      <c r="C643" s="56"/>
      <c r="D643" s="56"/>
    </row>
    <row r="644" spans="3:4">
      <c r="C644" s="56"/>
      <c r="D644" s="56"/>
    </row>
    <row r="645" spans="3:4">
      <c r="C645" s="56"/>
      <c r="D645" s="56"/>
    </row>
    <row r="646" spans="3:4">
      <c r="C646" s="56"/>
      <c r="D646" s="56"/>
    </row>
    <row r="647" spans="3:4">
      <c r="C647" s="56"/>
      <c r="D647" s="56"/>
    </row>
    <row r="648" spans="3:4">
      <c r="C648" s="56"/>
      <c r="D648" s="56"/>
    </row>
    <row r="649" spans="3:4">
      <c r="C649" s="56"/>
      <c r="D649" s="56"/>
    </row>
    <row r="650" spans="3:4">
      <c r="C650" s="56"/>
      <c r="D650" s="56"/>
    </row>
    <row r="651" spans="3:4">
      <c r="C651" s="56"/>
      <c r="D651" s="56"/>
    </row>
    <row r="652" spans="3:4">
      <c r="C652" s="56"/>
      <c r="D652" s="56"/>
    </row>
    <row r="653" spans="3:4">
      <c r="C653" s="56"/>
      <c r="D653" s="56"/>
    </row>
    <row r="654" spans="3:4">
      <c r="C654" s="56"/>
      <c r="D654" s="56"/>
    </row>
    <row r="655" spans="3:4">
      <c r="C655" s="56"/>
      <c r="D655" s="56"/>
    </row>
    <row r="656" spans="3:4">
      <c r="C656" s="56"/>
      <c r="D656" s="56"/>
    </row>
    <row r="657" spans="3:4">
      <c r="C657" s="56"/>
      <c r="D657" s="56"/>
    </row>
    <row r="658" spans="3:4">
      <c r="C658" s="56"/>
      <c r="D658" s="56"/>
    </row>
    <row r="659" spans="3:4">
      <c r="C659" s="56"/>
      <c r="D659" s="56"/>
    </row>
    <row r="660" spans="3:4">
      <c r="C660" s="56"/>
      <c r="D660" s="56"/>
    </row>
    <row r="661" spans="3:4">
      <c r="C661" s="56"/>
      <c r="D661" s="56"/>
    </row>
    <row r="662" spans="3:4">
      <c r="C662" s="56"/>
      <c r="D662" s="56"/>
    </row>
    <row r="663" spans="3:4">
      <c r="C663" s="56"/>
      <c r="D663" s="56"/>
    </row>
    <row r="664" spans="3:4">
      <c r="C664" s="56"/>
      <c r="D664" s="56"/>
    </row>
    <row r="665" spans="3:4">
      <c r="C665" s="56"/>
      <c r="D665" s="56"/>
    </row>
    <row r="666" spans="3:4">
      <c r="C666" s="56"/>
      <c r="D666" s="56"/>
    </row>
    <row r="667" spans="3:4">
      <c r="C667" s="56"/>
      <c r="D667" s="56"/>
    </row>
    <row r="668" spans="3:4">
      <c r="C668" s="56"/>
      <c r="D668" s="56"/>
    </row>
    <row r="669" spans="3:4">
      <c r="C669" s="56"/>
      <c r="D669" s="56"/>
    </row>
    <row r="670" spans="3:4">
      <c r="C670" s="56"/>
      <c r="D670" s="56"/>
    </row>
    <row r="671" spans="3:4">
      <c r="C671" s="56"/>
      <c r="D671" s="56"/>
    </row>
    <row r="672" spans="3:4">
      <c r="C672" s="56"/>
      <c r="D672" s="56"/>
    </row>
    <row r="673" spans="3:4">
      <c r="C673" s="56"/>
      <c r="D673" s="56"/>
    </row>
    <row r="674" spans="3:4">
      <c r="C674" s="56"/>
      <c r="D674" s="56"/>
    </row>
    <row r="675" spans="3:4">
      <c r="C675" s="56"/>
      <c r="D675" s="56"/>
    </row>
    <row r="676" spans="3:4">
      <c r="C676" s="56"/>
      <c r="D676" s="56"/>
    </row>
    <row r="677" spans="3:4">
      <c r="C677" s="56"/>
      <c r="D677" s="56"/>
    </row>
    <row r="678" spans="3:4">
      <c r="C678" s="56"/>
      <c r="D678" s="56"/>
    </row>
    <row r="679" spans="3:4">
      <c r="C679" s="56"/>
      <c r="D679" s="56"/>
    </row>
    <row r="680" spans="3:4">
      <c r="C680" s="56"/>
      <c r="D680" s="56"/>
    </row>
    <row r="681" spans="3:4">
      <c r="C681" s="56"/>
      <c r="D681" s="56"/>
    </row>
    <row r="682" spans="3:4">
      <c r="C682" s="56"/>
      <c r="D682" s="56"/>
    </row>
    <row r="683" spans="3:4">
      <c r="C683" s="56"/>
      <c r="D683" s="56"/>
    </row>
    <row r="684" spans="3:4">
      <c r="C684" s="56"/>
      <c r="D684" s="56"/>
    </row>
    <row r="685" spans="3:4">
      <c r="C685" s="56"/>
      <c r="D685" s="56"/>
    </row>
    <row r="686" spans="3:4">
      <c r="C686" s="56"/>
      <c r="D686" s="56"/>
    </row>
    <row r="687" spans="3:4">
      <c r="C687" s="56"/>
      <c r="D687" s="56"/>
    </row>
    <row r="688" spans="3:4">
      <c r="C688" s="56"/>
      <c r="D688" s="56"/>
    </row>
    <row r="689" spans="3:4">
      <c r="C689" s="56"/>
      <c r="D689" s="56"/>
    </row>
    <row r="690" spans="3:4">
      <c r="C690" s="56"/>
      <c r="D690" s="56"/>
    </row>
    <row r="691" spans="3:4">
      <c r="C691" s="56"/>
      <c r="D691" s="56"/>
    </row>
    <row r="692" spans="3:4">
      <c r="C692" s="56"/>
      <c r="D692" s="56"/>
    </row>
    <row r="693" spans="3:4">
      <c r="C693" s="56"/>
      <c r="D693" s="56"/>
    </row>
    <row r="694" spans="3:4">
      <c r="C694" s="56"/>
      <c r="D694" s="56"/>
    </row>
    <row r="695" spans="3:4">
      <c r="C695" s="56"/>
      <c r="D695" s="56"/>
    </row>
    <row r="696" spans="3:4">
      <c r="C696" s="56"/>
      <c r="D696" s="56"/>
    </row>
    <row r="697" spans="3:4">
      <c r="C697" s="56"/>
      <c r="D697" s="56"/>
    </row>
    <row r="698" spans="3:4">
      <c r="C698" s="56"/>
      <c r="D698" s="56"/>
    </row>
    <row r="699" spans="3:4">
      <c r="C699" s="56"/>
      <c r="D699" s="56"/>
    </row>
    <row r="700" spans="3:4">
      <c r="C700" s="56"/>
      <c r="D700" s="56"/>
    </row>
    <row r="701" spans="3:4">
      <c r="C701" s="56"/>
      <c r="D701" s="56"/>
    </row>
    <row r="702" spans="3:4">
      <c r="C702" s="56"/>
      <c r="D702" s="56"/>
    </row>
    <row r="703" spans="3:4">
      <c r="C703" s="56"/>
      <c r="D703" s="56"/>
    </row>
    <row r="704" spans="3:4">
      <c r="C704" s="56"/>
      <c r="D704" s="56"/>
    </row>
    <row r="705" spans="3:4">
      <c r="C705" s="56"/>
      <c r="D705" s="56"/>
    </row>
    <row r="706" spans="3:4">
      <c r="C706" s="56"/>
      <c r="D706" s="56"/>
    </row>
    <row r="707" spans="3:4">
      <c r="C707" s="56"/>
      <c r="D707" s="56"/>
    </row>
    <row r="708" spans="3:4">
      <c r="C708" s="56"/>
      <c r="D708" s="56"/>
    </row>
    <row r="709" spans="3:4">
      <c r="C709" s="56"/>
      <c r="D709" s="56"/>
    </row>
    <row r="710" spans="3:4">
      <c r="C710" s="56"/>
      <c r="D710" s="56"/>
    </row>
    <row r="711" spans="3:4">
      <c r="C711" s="56"/>
      <c r="D711" s="56"/>
    </row>
    <row r="712" spans="3:4">
      <c r="C712" s="56"/>
      <c r="D712" s="56"/>
    </row>
    <row r="713" spans="3:4">
      <c r="C713" s="56"/>
      <c r="D713" s="56"/>
    </row>
    <row r="714" spans="3:4">
      <c r="C714" s="56"/>
      <c r="D714" s="56"/>
    </row>
    <row r="715" spans="3:4">
      <c r="C715" s="56"/>
      <c r="D715" s="56"/>
    </row>
    <row r="716" spans="3:4">
      <c r="C716" s="56"/>
      <c r="D716" s="56"/>
    </row>
    <row r="717" spans="3:4">
      <c r="C717" s="56"/>
      <c r="D717" s="56"/>
    </row>
    <row r="718" spans="3:4">
      <c r="C718" s="56"/>
      <c r="D718" s="56"/>
    </row>
    <row r="719" spans="3:4">
      <c r="C719" s="56"/>
      <c r="D719" s="56"/>
    </row>
    <row r="720" spans="3:4">
      <c r="C720" s="56"/>
      <c r="D720" s="56"/>
    </row>
    <row r="721" spans="3:4">
      <c r="C721" s="56"/>
      <c r="D721" s="56"/>
    </row>
    <row r="722" spans="3:4">
      <c r="C722" s="56"/>
      <c r="D722" s="56"/>
    </row>
    <row r="723" spans="3:4">
      <c r="C723" s="56"/>
      <c r="D723" s="56"/>
    </row>
    <row r="724" spans="3:4">
      <c r="C724" s="56"/>
      <c r="D724" s="56"/>
    </row>
    <row r="725" spans="3:4">
      <c r="C725" s="56"/>
      <c r="D725" s="56"/>
    </row>
    <row r="726" spans="3:4">
      <c r="C726" s="56"/>
      <c r="D726" s="56"/>
    </row>
    <row r="727" spans="3:4">
      <c r="C727" s="56"/>
      <c r="D727" s="56"/>
    </row>
    <row r="728" spans="3:4">
      <c r="C728" s="56"/>
      <c r="D728" s="56"/>
    </row>
    <row r="729" spans="3:4">
      <c r="C729" s="56"/>
      <c r="D729" s="56"/>
    </row>
    <row r="730" spans="3:4">
      <c r="C730" s="56"/>
      <c r="D730" s="56"/>
    </row>
    <row r="731" spans="3:4">
      <c r="C731" s="56"/>
      <c r="D731" s="56"/>
    </row>
    <row r="732" spans="3:4">
      <c r="C732" s="56"/>
      <c r="D732" s="56"/>
    </row>
    <row r="733" spans="3:4">
      <c r="C733" s="56"/>
      <c r="D733" s="56"/>
    </row>
    <row r="734" spans="3:4">
      <c r="C734" s="56"/>
      <c r="D734" s="56"/>
    </row>
    <row r="735" spans="3:4">
      <c r="C735" s="56"/>
      <c r="D735" s="56"/>
    </row>
    <row r="736" spans="3:4">
      <c r="C736" s="56"/>
      <c r="D736" s="56"/>
    </row>
    <row r="737" spans="3:4">
      <c r="C737" s="56"/>
      <c r="D737" s="56"/>
    </row>
    <row r="738" spans="3:4">
      <c r="C738" s="56"/>
      <c r="D738" s="56"/>
    </row>
    <row r="739" spans="3:4">
      <c r="C739" s="56"/>
      <c r="D739" s="56"/>
    </row>
    <row r="740" spans="3:4">
      <c r="C740" s="56"/>
      <c r="D740" s="56"/>
    </row>
    <row r="741" spans="3:4">
      <c r="C741" s="56"/>
      <c r="D741" s="56"/>
    </row>
    <row r="742" spans="3:4">
      <c r="C742" s="56"/>
      <c r="D742" s="56"/>
    </row>
    <row r="743" spans="3:4">
      <c r="C743" s="56"/>
      <c r="D743" s="56"/>
    </row>
    <row r="744" spans="3:4">
      <c r="C744" s="56"/>
      <c r="D744" s="56"/>
    </row>
    <row r="745" spans="3:4">
      <c r="C745" s="56"/>
      <c r="D745" s="56"/>
    </row>
    <row r="746" spans="3:4">
      <c r="C746" s="56"/>
      <c r="D746" s="56"/>
    </row>
    <row r="747" spans="3:4">
      <c r="C747" s="56"/>
      <c r="D747" s="56"/>
    </row>
    <row r="748" spans="3:4">
      <c r="C748" s="56"/>
      <c r="D748" s="56"/>
    </row>
    <row r="749" spans="3:4">
      <c r="C749" s="56"/>
      <c r="D749" s="56"/>
    </row>
    <row r="750" spans="3:4">
      <c r="C750" s="56"/>
      <c r="D750" s="56"/>
    </row>
    <row r="751" spans="3:4">
      <c r="C751" s="56"/>
      <c r="D751" s="56"/>
    </row>
    <row r="752" spans="3:4">
      <c r="C752" s="56"/>
      <c r="D752" s="56"/>
    </row>
    <row r="753" spans="3:4">
      <c r="C753" s="56"/>
      <c r="D753" s="56"/>
    </row>
    <row r="754" spans="3:4">
      <c r="C754" s="56"/>
      <c r="D754" s="56"/>
    </row>
    <row r="755" spans="3:4">
      <c r="C755" s="56"/>
      <c r="D755" s="56"/>
    </row>
    <row r="756" spans="3:4">
      <c r="C756" s="56"/>
      <c r="D756" s="56"/>
    </row>
    <row r="757" spans="3:4">
      <c r="C757" s="56"/>
      <c r="D757" s="56"/>
    </row>
    <row r="758" spans="3:4">
      <c r="C758" s="56"/>
      <c r="D758" s="56"/>
    </row>
    <row r="759" spans="3:4">
      <c r="C759" s="56"/>
      <c r="D759" s="56"/>
    </row>
    <row r="760" spans="3:4">
      <c r="C760" s="56"/>
      <c r="D760" s="56"/>
    </row>
    <row r="761" spans="3:4">
      <c r="C761" s="56"/>
      <c r="D761" s="56"/>
    </row>
    <row r="762" spans="3:4">
      <c r="C762" s="56"/>
      <c r="D762" s="56"/>
    </row>
    <row r="763" spans="3:4">
      <c r="C763" s="56"/>
      <c r="D763" s="56"/>
    </row>
    <row r="764" spans="3:4">
      <c r="C764" s="56"/>
      <c r="D764" s="56"/>
    </row>
    <row r="765" spans="3:4">
      <c r="C765" s="56"/>
      <c r="D765" s="56"/>
    </row>
    <row r="766" spans="3:4">
      <c r="C766" s="56"/>
      <c r="D766" s="56"/>
    </row>
    <row r="767" spans="3:4">
      <c r="C767" s="56"/>
      <c r="D767" s="56"/>
    </row>
    <row r="768" spans="3:4">
      <c r="C768" s="56"/>
      <c r="D768" s="56"/>
    </row>
    <row r="769" spans="3:4">
      <c r="C769" s="56"/>
      <c r="D769" s="56"/>
    </row>
    <row r="770" spans="3:4">
      <c r="C770" s="56"/>
      <c r="D770" s="56"/>
    </row>
    <row r="771" spans="3:4">
      <c r="C771" s="56"/>
      <c r="D771" s="56"/>
    </row>
    <row r="772" spans="3:4">
      <c r="C772" s="56"/>
      <c r="D772" s="56"/>
    </row>
    <row r="773" spans="3:4">
      <c r="C773" s="56"/>
      <c r="D773" s="56"/>
    </row>
    <row r="774" spans="3:4">
      <c r="C774" s="56"/>
      <c r="D774" s="56"/>
    </row>
    <row r="775" spans="3:4">
      <c r="C775" s="56"/>
      <c r="D775" s="56"/>
    </row>
    <row r="776" spans="3:4">
      <c r="C776" s="56"/>
      <c r="D776" s="56"/>
    </row>
    <row r="777" spans="3:4">
      <c r="C777" s="56"/>
      <c r="D777" s="56"/>
    </row>
    <row r="778" spans="3:4">
      <c r="C778" s="56"/>
      <c r="D778" s="56"/>
    </row>
    <row r="779" spans="3:4">
      <c r="C779" s="56"/>
      <c r="D779" s="56"/>
    </row>
    <row r="780" spans="3:4">
      <c r="C780" s="56"/>
      <c r="D780" s="56"/>
    </row>
    <row r="781" spans="3:4">
      <c r="C781" s="56"/>
      <c r="D781" s="56"/>
    </row>
    <row r="782" spans="3:4">
      <c r="C782" s="56"/>
      <c r="D782" s="56"/>
    </row>
    <row r="783" spans="3:4">
      <c r="C783" s="56"/>
      <c r="D783" s="56"/>
    </row>
    <row r="784" spans="3:4">
      <c r="C784" s="56"/>
      <c r="D784" s="56"/>
    </row>
    <row r="785" spans="3:4">
      <c r="C785" s="56"/>
      <c r="D785" s="56"/>
    </row>
    <row r="786" spans="3:4">
      <c r="C786" s="56"/>
      <c r="D786" s="56"/>
    </row>
    <row r="787" spans="3:4">
      <c r="C787" s="56"/>
      <c r="D787" s="56"/>
    </row>
    <row r="788" spans="3:4">
      <c r="C788" s="56"/>
      <c r="D788" s="56"/>
    </row>
    <row r="789" spans="3:4">
      <c r="C789" s="56"/>
      <c r="D789" s="56"/>
    </row>
    <row r="790" spans="3:4">
      <c r="C790" s="56"/>
      <c r="D790" s="56"/>
    </row>
    <row r="791" spans="3:4">
      <c r="C791" s="56"/>
      <c r="D791" s="56"/>
    </row>
    <row r="792" spans="3:4">
      <c r="C792" s="56"/>
      <c r="D792" s="56"/>
    </row>
    <row r="793" spans="3:4">
      <c r="C793" s="56"/>
      <c r="D793" s="56"/>
    </row>
    <row r="794" spans="3:4">
      <c r="C794" s="56"/>
      <c r="D794" s="56"/>
    </row>
    <row r="795" spans="3:4">
      <c r="C795" s="56"/>
      <c r="D795" s="56"/>
    </row>
    <row r="796" spans="3:4">
      <c r="C796" s="56"/>
      <c r="D796" s="56"/>
    </row>
    <row r="797" spans="3:4">
      <c r="C797" s="56"/>
      <c r="D797" s="56"/>
    </row>
    <row r="798" spans="3:4">
      <c r="C798" s="56"/>
      <c r="D798" s="56"/>
    </row>
    <row r="799" spans="3:4">
      <c r="C799" s="56"/>
      <c r="D799" s="56"/>
    </row>
    <row r="800" spans="3:4">
      <c r="C800" s="56"/>
      <c r="D800" s="56"/>
    </row>
    <row r="801" spans="3:4">
      <c r="C801" s="56"/>
      <c r="D801" s="56"/>
    </row>
    <row r="802" spans="3:4">
      <c r="C802" s="56"/>
      <c r="D802" s="56"/>
    </row>
    <row r="803" spans="3:4">
      <c r="C803" s="56"/>
      <c r="D803" s="56"/>
    </row>
    <row r="804" spans="3:4">
      <c r="C804" s="56"/>
      <c r="D804" s="56"/>
    </row>
    <row r="805" spans="3:4">
      <c r="C805" s="56"/>
      <c r="D805" s="56"/>
    </row>
    <row r="806" spans="3:4">
      <c r="C806" s="56"/>
      <c r="D806" s="56"/>
    </row>
    <row r="807" spans="3:4">
      <c r="C807" s="56"/>
      <c r="D807" s="56"/>
    </row>
    <row r="808" spans="3:4">
      <c r="C808" s="56"/>
      <c r="D808" s="56"/>
    </row>
    <row r="809" spans="3:4">
      <c r="C809" s="56"/>
      <c r="D809" s="56"/>
    </row>
    <row r="810" spans="3:4">
      <c r="C810" s="56"/>
      <c r="D810" s="56"/>
    </row>
    <row r="811" spans="3:4">
      <c r="C811" s="56"/>
      <c r="D811" s="56"/>
    </row>
    <row r="812" spans="3:4">
      <c r="C812" s="56"/>
      <c r="D812" s="56"/>
    </row>
    <row r="813" spans="3:4">
      <c r="C813" s="56"/>
      <c r="D813" s="56"/>
    </row>
    <row r="814" spans="3:4">
      <c r="C814" s="56"/>
      <c r="D814" s="56"/>
    </row>
    <row r="815" spans="3:4">
      <c r="C815" s="56"/>
      <c r="D815" s="56"/>
    </row>
    <row r="816" spans="3:4">
      <c r="C816" s="56"/>
      <c r="D816" s="56"/>
    </row>
    <row r="817" spans="3:4">
      <c r="C817" s="56"/>
      <c r="D817" s="56"/>
    </row>
    <row r="818" spans="3:4">
      <c r="C818" s="56"/>
      <c r="D818" s="56"/>
    </row>
    <row r="819" spans="3:4">
      <c r="C819" s="56"/>
      <c r="D819" s="56"/>
    </row>
    <row r="820" spans="3:4">
      <c r="C820" s="56"/>
      <c r="D820" s="56"/>
    </row>
    <row r="821" spans="3:4">
      <c r="C821" s="56"/>
      <c r="D821" s="56"/>
    </row>
    <row r="822" spans="3:4">
      <c r="C822" s="56"/>
      <c r="D822" s="56"/>
    </row>
    <row r="823" spans="3:4">
      <c r="C823" s="56"/>
      <c r="D823" s="56"/>
    </row>
    <row r="824" spans="3:4">
      <c r="C824" s="56"/>
      <c r="D824" s="56"/>
    </row>
    <row r="825" spans="3:4">
      <c r="C825" s="56"/>
      <c r="D825" s="56"/>
    </row>
    <row r="826" spans="3:4">
      <c r="C826" s="56"/>
      <c r="D826" s="56"/>
    </row>
    <row r="827" spans="3:4">
      <c r="C827" s="56"/>
      <c r="D827" s="56"/>
    </row>
    <row r="828" spans="3:4">
      <c r="C828" s="56"/>
      <c r="D828" s="56"/>
    </row>
    <row r="829" spans="3:4">
      <c r="C829" s="56"/>
      <c r="D829" s="56"/>
    </row>
    <row r="830" spans="3:4">
      <c r="C830" s="56"/>
      <c r="D830" s="56"/>
    </row>
    <row r="831" spans="3:4">
      <c r="C831" s="56"/>
      <c r="D831" s="56"/>
    </row>
    <row r="832" spans="3:4">
      <c r="C832" s="56"/>
      <c r="D832" s="56"/>
    </row>
    <row r="833" spans="3:4">
      <c r="C833" s="56"/>
      <c r="D833" s="56"/>
    </row>
    <row r="834" spans="3:4">
      <c r="C834" s="56"/>
      <c r="D834" s="56"/>
    </row>
    <row r="835" spans="3:4">
      <c r="C835" s="56"/>
      <c r="D835" s="56"/>
    </row>
    <row r="836" spans="3:4">
      <c r="C836" s="56"/>
      <c r="D836" s="56"/>
    </row>
    <row r="837" spans="3:4">
      <c r="C837" s="56"/>
      <c r="D837" s="56"/>
    </row>
    <row r="838" spans="3:4">
      <c r="C838" s="56"/>
      <c r="D838" s="56"/>
    </row>
    <row r="839" spans="3:4">
      <c r="C839" s="56"/>
      <c r="D839" s="56"/>
    </row>
    <row r="840" spans="3:4">
      <c r="C840" s="56"/>
      <c r="D840" s="56"/>
    </row>
    <row r="841" spans="3:4">
      <c r="C841" s="56"/>
      <c r="D841" s="56"/>
    </row>
    <row r="842" spans="3:4">
      <c r="C842" s="56"/>
      <c r="D842" s="56"/>
    </row>
    <row r="843" spans="3:4">
      <c r="C843" s="56"/>
      <c r="D843" s="56"/>
    </row>
    <row r="844" spans="3:4">
      <c r="C844" s="56"/>
      <c r="D844" s="56"/>
    </row>
    <row r="845" spans="3:4">
      <c r="C845" s="56"/>
      <c r="D845" s="56"/>
    </row>
    <row r="846" spans="3:4">
      <c r="C846" s="56"/>
      <c r="D846" s="56"/>
    </row>
    <row r="847" spans="3:4">
      <c r="C847" s="56"/>
      <c r="D847" s="56"/>
    </row>
    <row r="848" spans="3:4">
      <c r="C848" s="56"/>
      <c r="D848" s="56"/>
    </row>
    <row r="849" spans="3:4">
      <c r="C849" s="56"/>
      <c r="D849" s="56"/>
    </row>
    <row r="850" spans="3:4">
      <c r="C850" s="56"/>
      <c r="D850" s="56"/>
    </row>
    <row r="851" spans="3:4">
      <c r="C851" s="56"/>
      <c r="D851" s="56"/>
    </row>
    <row r="852" spans="3:4">
      <c r="C852" s="56"/>
      <c r="D852" s="56"/>
    </row>
    <row r="853" spans="3:4">
      <c r="C853" s="56"/>
      <c r="D853" s="56"/>
    </row>
    <row r="854" spans="3:4">
      <c r="C854" s="56"/>
      <c r="D854" s="56"/>
    </row>
    <row r="855" spans="3:4">
      <c r="C855" s="56"/>
      <c r="D855" s="56"/>
    </row>
    <row r="856" spans="3:4">
      <c r="C856" s="56"/>
      <c r="D856" s="56"/>
    </row>
    <row r="857" spans="3:4">
      <c r="C857" s="56"/>
      <c r="D857" s="56"/>
    </row>
    <row r="858" spans="3:4">
      <c r="C858" s="56"/>
      <c r="D858" s="56"/>
    </row>
    <row r="859" spans="3:4">
      <c r="C859" s="56"/>
      <c r="D859" s="56"/>
    </row>
    <row r="860" spans="3:4">
      <c r="C860" s="56"/>
      <c r="D860" s="56"/>
    </row>
    <row r="861" spans="3:4">
      <c r="C861" s="56"/>
      <c r="D861" s="56"/>
    </row>
    <row r="862" spans="3:4">
      <c r="C862" s="56"/>
      <c r="D862" s="56"/>
    </row>
    <row r="863" spans="3:4">
      <c r="C863" s="56"/>
      <c r="D863" s="56"/>
    </row>
    <row r="864" spans="3:4">
      <c r="C864" s="56"/>
      <c r="D864" s="56"/>
    </row>
    <row r="865" spans="3:4">
      <c r="C865" s="56"/>
      <c r="D865" s="56"/>
    </row>
    <row r="866" spans="3:4">
      <c r="C866" s="56"/>
      <c r="D866" s="56"/>
    </row>
    <row r="867" spans="3:4">
      <c r="C867" s="56"/>
      <c r="D867" s="56"/>
    </row>
    <row r="868" spans="3:4">
      <c r="C868" s="56"/>
      <c r="D868" s="56"/>
    </row>
    <row r="869" spans="3:4">
      <c r="C869" s="56"/>
      <c r="D869" s="56"/>
    </row>
    <row r="870" spans="3:4">
      <c r="C870" s="56"/>
      <c r="D870" s="56"/>
    </row>
    <row r="871" spans="3:4">
      <c r="C871" s="56"/>
      <c r="D871" s="56"/>
    </row>
    <row r="872" spans="3:4">
      <c r="C872" s="56"/>
      <c r="D872" s="56"/>
    </row>
    <row r="873" spans="3:4">
      <c r="C873" s="56"/>
      <c r="D873" s="56"/>
    </row>
    <row r="874" spans="3:4">
      <c r="C874" s="56"/>
      <c r="D874" s="56"/>
    </row>
    <row r="875" spans="3:4">
      <c r="C875" s="56"/>
      <c r="D875" s="56"/>
    </row>
    <row r="876" spans="3:4">
      <c r="C876" s="56"/>
      <c r="D876" s="56"/>
    </row>
    <row r="877" spans="3:4">
      <c r="C877" s="56"/>
      <c r="D877" s="56"/>
    </row>
    <row r="878" spans="3:4">
      <c r="C878" s="56"/>
      <c r="D878" s="56"/>
    </row>
    <row r="879" spans="3:4">
      <c r="C879" s="56"/>
      <c r="D879" s="56"/>
    </row>
    <row r="880" spans="3:4">
      <c r="C880" s="56"/>
      <c r="D880" s="56"/>
    </row>
    <row r="881" spans="3:4">
      <c r="C881" s="56"/>
      <c r="D881" s="56"/>
    </row>
    <row r="882" spans="3:4">
      <c r="C882" s="56"/>
      <c r="D882" s="56"/>
    </row>
    <row r="883" spans="3:4">
      <c r="C883" s="56"/>
      <c r="D883" s="56"/>
    </row>
    <row r="884" spans="3:4">
      <c r="C884" s="56"/>
      <c r="D884" s="56"/>
    </row>
    <row r="885" spans="3:4">
      <c r="C885" s="56"/>
      <c r="D885" s="56"/>
    </row>
    <row r="886" spans="3:4">
      <c r="C886" s="56"/>
      <c r="D886" s="56"/>
    </row>
    <row r="887" spans="3:4">
      <c r="C887" s="56"/>
      <c r="D887" s="56"/>
    </row>
    <row r="888" spans="3:4">
      <c r="C888" s="56"/>
      <c r="D888" s="56"/>
    </row>
    <row r="889" spans="3:4">
      <c r="C889" s="56"/>
      <c r="D889" s="56"/>
    </row>
    <row r="890" spans="3:4">
      <c r="C890" s="56"/>
      <c r="D890" s="56"/>
    </row>
    <row r="891" spans="3:4">
      <c r="C891" s="56"/>
      <c r="D891" s="56"/>
    </row>
    <row r="892" spans="3:4">
      <c r="C892" s="56"/>
      <c r="D892" s="56"/>
    </row>
    <row r="893" spans="3:4">
      <c r="C893" s="56"/>
      <c r="D893" s="56"/>
    </row>
    <row r="894" spans="3:4">
      <c r="C894" s="56"/>
      <c r="D894" s="56"/>
    </row>
    <row r="895" spans="3:4">
      <c r="C895" s="56"/>
      <c r="D895" s="56"/>
    </row>
    <row r="896" spans="3:4">
      <c r="C896" s="56"/>
      <c r="D896" s="56"/>
    </row>
    <row r="897" spans="3:4">
      <c r="C897" s="56"/>
      <c r="D897" s="56"/>
    </row>
    <row r="898" spans="3:4">
      <c r="C898" s="56"/>
      <c r="D898" s="56"/>
    </row>
    <row r="899" spans="3:4">
      <c r="C899" s="56"/>
      <c r="D899" s="56"/>
    </row>
    <row r="900" spans="3:4">
      <c r="C900" s="56"/>
      <c r="D900" s="56"/>
    </row>
    <row r="901" spans="3:4">
      <c r="C901" s="56"/>
      <c r="D901" s="56"/>
    </row>
    <row r="902" spans="3:4">
      <c r="C902" s="56"/>
      <c r="D902" s="56"/>
    </row>
    <row r="903" spans="3:4">
      <c r="C903" s="56"/>
      <c r="D903" s="56"/>
    </row>
    <row r="904" spans="3:4">
      <c r="C904" s="56"/>
      <c r="D904" s="56"/>
    </row>
    <row r="905" spans="3:4">
      <c r="C905" s="56"/>
      <c r="D905" s="56"/>
    </row>
    <row r="906" spans="3:4">
      <c r="C906" s="56"/>
      <c r="D906" s="56"/>
    </row>
    <row r="907" spans="3:4">
      <c r="C907" s="56"/>
      <c r="D907" s="56"/>
    </row>
    <row r="908" spans="3:4">
      <c r="C908" s="56"/>
      <c r="D908" s="56"/>
    </row>
    <row r="909" spans="3:4">
      <c r="C909" s="56"/>
      <c r="D909" s="56"/>
    </row>
    <row r="910" spans="3:4">
      <c r="C910" s="56"/>
      <c r="D910" s="56"/>
    </row>
    <row r="911" spans="3:4">
      <c r="C911" s="56"/>
      <c r="D911" s="56"/>
    </row>
    <row r="912" spans="3:4">
      <c r="C912" s="56"/>
      <c r="D912" s="56"/>
    </row>
    <row r="913" spans="3:4">
      <c r="C913" s="56"/>
      <c r="D913" s="56"/>
    </row>
    <row r="914" spans="3:4">
      <c r="C914" s="56"/>
      <c r="D914" s="56"/>
    </row>
    <row r="915" spans="3:4">
      <c r="C915" s="56"/>
      <c r="D915" s="56"/>
    </row>
    <row r="916" spans="3:4">
      <c r="C916" s="56"/>
      <c r="D916" s="56"/>
    </row>
    <row r="917" spans="3:4">
      <c r="C917" s="56"/>
      <c r="D917" s="56"/>
    </row>
    <row r="918" spans="3:4">
      <c r="C918" s="56"/>
      <c r="D918" s="56"/>
    </row>
    <row r="919" spans="3:4">
      <c r="C919" s="56"/>
      <c r="D919" s="56"/>
    </row>
    <row r="920" spans="3:4">
      <c r="C920" s="56"/>
      <c r="D920" s="56"/>
    </row>
    <row r="921" spans="3:4">
      <c r="C921" s="56"/>
      <c r="D921" s="56"/>
    </row>
    <row r="922" spans="3:4">
      <c r="C922" s="56"/>
      <c r="D922" s="56"/>
    </row>
    <row r="923" spans="3:4">
      <c r="C923" s="56"/>
      <c r="D923" s="56"/>
    </row>
    <row r="924" spans="3:4">
      <c r="C924" s="56"/>
      <c r="D924" s="56"/>
    </row>
    <row r="925" spans="3:4">
      <c r="C925" s="56"/>
      <c r="D925" s="56"/>
    </row>
    <row r="926" spans="3:4">
      <c r="C926" s="56"/>
      <c r="D926" s="56"/>
    </row>
    <row r="927" spans="3:4">
      <c r="C927" s="56"/>
      <c r="D927" s="56"/>
    </row>
    <row r="928" spans="3:4">
      <c r="C928" s="56"/>
      <c r="D928" s="56"/>
    </row>
    <row r="929" spans="3:4">
      <c r="C929" s="56"/>
      <c r="D929" s="56"/>
    </row>
    <row r="930" spans="3:4">
      <c r="C930" s="56"/>
      <c r="D930" s="56"/>
    </row>
    <row r="931" spans="3:4">
      <c r="C931" s="56"/>
      <c r="D931" s="56"/>
    </row>
    <row r="932" spans="3:4">
      <c r="C932" s="56"/>
      <c r="D932" s="56"/>
    </row>
    <row r="933" spans="3:4">
      <c r="C933" s="56"/>
      <c r="D933" s="56"/>
    </row>
    <row r="934" spans="3:4">
      <c r="C934" s="56"/>
      <c r="D934" s="56"/>
    </row>
    <row r="935" spans="3:4">
      <c r="C935" s="56"/>
      <c r="D935" s="56"/>
    </row>
    <row r="936" spans="3:4">
      <c r="C936" s="56"/>
      <c r="D936" s="56"/>
    </row>
    <row r="937" spans="3:4">
      <c r="C937" s="56"/>
      <c r="D937" s="56"/>
    </row>
    <row r="938" spans="3:4">
      <c r="C938" s="56"/>
      <c r="D938" s="56"/>
    </row>
    <row r="939" spans="3:4">
      <c r="C939" s="56"/>
      <c r="D939" s="56"/>
    </row>
    <row r="940" spans="3:4">
      <c r="C940" s="56"/>
      <c r="D940" s="56"/>
    </row>
    <row r="941" spans="3:4">
      <c r="C941" s="56"/>
      <c r="D941" s="56"/>
    </row>
    <row r="942" spans="3:4">
      <c r="C942" s="56"/>
      <c r="D942" s="56"/>
    </row>
    <row r="943" spans="3:4">
      <c r="C943" s="56"/>
      <c r="D943" s="56"/>
    </row>
    <row r="944" spans="3:4">
      <c r="C944" s="56"/>
      <c r="D944" s="56"/>
    </row>
    <row r="945" spans="3:4">
      <c r="C945" s="56"/>
      <c r="D945" s="56"/>
    </row>
    <row r="946" spans="3:4">
      <c r="C946" s="56"/>
      <c r="D946" s="56"/>
    </row>
    <row r="947" spans="3:4">
      <c r="C947" s="56"/>
      <c r="D947" s="56"/>
    </row>
    <row r="948" spans="3:4">
      <c r="C948" s="56"/>
      <c r="D948" s="56"/>
    </row>
    <row r="949" spans="3:4">
      <c r="C949" s="56"/>
      <c r="D949" s="56"/>
    </row>
    <row r="950" spans="3:4">
      <c r="C950" s="56"/>
      <c r="D950" s="56"/>
    </row>
    <row r="951" spans="3:4">
      <c r="C951" s="56"/>
      <c r="D951" s="56"/>
    </row>
    <row r="952" spans="3:4">
      <c r="C952" s="56"/>
      <c r="D952" s="56"/>
    </row>
    <row r="953" spans="3:4">
      <c r="C953" s="56"/>
      <c r="D953" s="56"/>
    </row>
    <row r="954" spans="3:4">
      <c r="C954" s="56"/>
      <c r="D954" s="56"/>
    </row>
    <row r="955" spans="3:4">
      <c r="C955" s="56"/>
      <c r="D955" s="56"/>
    </row>
    <row r="956" spans="3:4">
      <c r="C956" s="56"/>
      <c r="D956" s="56"/>
    </row>
    <row r="957" spans="3:4">
      <c r="C957" s="56"/>
      <c r="D957" s="56"/>
    </row>
    <row r="958" spans="3:4">
      <c r="C958" s="56"/>
      <c r="D958" s="56"/>
    </row>
    <row r="959" spans="3:4">
      <c r="C959" s="56"/>
      <c r="D959" s="56"/>
    </row>
    <row r="960" spans="3:4">
      <c r="C960" s="56"/>
      <c r="D960" s="56"/>
    </row>
    <row r="961" spans="3:4">
      <c r="C961" s="56"/>
      <c r="D961" s="56"/>
    </row>
    <row r="962" spans="3:4">
      <c r="C962" s="56"/>
      <c r="D962" s="56"/>
    </row>
    <row r="963" spans="3:4">
      <c r="C963" s="56"/>
      <c r="D963" s="56"/>
    </row>
    <row r="964" spans="3:4">
      <c r="C964" s="56"/>
      <c r="D964" s="56"/>
    </row>
    <row r="965" spans="3:4">
      <c r="C965" s="56"/>
      <c r="D965" s="56"/>
    </row>
    <row r="966" spans="3:4">
      <c r="C966" s="56"/>
      <c r="D966" s="56"/>
    </row>
    <row r="967" spans="3:4">
      <c r="C967" s="56"/>
      <c r="D967" s="56"/>
    </row>
    <row r="968" spans="3:4">
      <c r="C968" s="56"/>
      <c r="D968" s="56"/>
    </row>
    <row r="969" spans="3:4">
      <c r="C969" s="56"/>
      <c r="D969" s="56"/>
    </row>
    <row r="970" spans="3:4">
      <c r="C970" s="56"/>
      <c r="D970" s="56"/>
    </row>
    <row r="971" spans="3:4">
      <c r="C971" s="56"/>
      <c r="D971" s="56"/>
    </row>
    <row r="972" spans="3:4">
      <c r="C972" s="56"/>
      <c r="D972" s="56"/>
    </row>
    <row r="973" spans="3:4">
      <c r="C973" s="56"/>
      <c r="D973" s="56"/>
    </row>
    <row r="974" spans="3:4">
      <c r="C974" s="56"/>
      <c r="D974" s="56"/>
    </row>
    <row r="975" spans="3:4">
      <c r="C975" s="56"/>
      <c r="D975" s="56"/>
    </row>
    <row r="976" spans="3:4">
      <c r="C976" s="56"/>
      <c r="D976" s="56"/>
    </row>
    <row r="977" spans="3:4">
      <c r="C977" s="56"/>
      <c r="D977" s="56"/>
    </row>
    <row r="978" spans="3:4">
      <c r="C978" s="56"/>
      <c r="D978" s="56"/>
    </row>
    <row r="979" spans="3:4">
      <c r="C979" s="56"/>
      <c r="D979" s="56"/>
    </row>
    <row r="980" spans="3:4">
      <c r="C980" s="56"/>
      <c r="D980" s="56"/>
    </row>
    <row r="981" spans="3:4">
      <c r="C981" s="56"/>
      <c r="D981" s="56"/>
    </row>
    <row r="982" spans="3:4">
      <c r="C982" s="56"/>
      <c r="D982" s="56"/>
    </row>
    <row r="983" spans="3:4">
      <c r="C983" s="56"/>
      <c r="D983" s="56"/>
    </row>
    <row r="984" spans="3:4">
      <c r="C984" s="56"/>
      <c r="D984" s="56"/>
    </row>
    <row r="985" spans="3:4">
      <c r="C985" s="56"/>
      <c r="D985" s="56"/>
    </row>
    <row r="986" spans="3:4">
      <c r="C986" s="56"/>
      <c r="D986" s="56"/>
    </row>
    <row r="987" spans="3:4">
      <c r="C987" s="56"/>
      <c r="D987" s="56"/>
    </row>
    <row r="988" spans="3:4">
      <c r="C988" s="56"/>
      <c r="D988" s="56"/>
    </row>
    <row r="989" spans="3:4">
      <c r="C989" s="56"/>
      <c r="D989" s="56"/>
    </row>
    <row r="990" spans="3:4">
      <c r="C990" s="56"/>
      <c r="D990" s="56"/>
    </row>
    <row r="991" spans="3:4">
      <c r="C991" s="56"/>
      <c r="D991" s="56"/>
    </row>
    <row r="992" spans="3:4">
      <c r="C992" s="56"/>
      <c r="D992" s="56"/>
    </row>
    <row r="993" spans="3:4">
      <c r="C993" s="56"/>
      <c r="D993" s="56"/>
    </row>
    <row r="994" spans="3:4">
      <c r="C994" s="56"/>
      <c r="D994" s="56"/>
    </row>
    <row r="995" spans="3:4">
      <c r="C995" s="56"/>
      <c r="D995" s="56"/>
    </row>
    <row r="996" spans="3:4">
      <c r="C996" s="56"/>
      <c r="D996" s="56"/>
    </row>
    <row r="997" spans="3:4">
      <c r="C997" s="56"/>
      <c r="D997" s="56"/>
    </row>
    <row r="998" spans="3:4">
      <c r="C998" s="56"/>
      <c r="D998" s="56"/>
    </row>
    <row r="999" spans="3:4">
      <c r="C999" s="56"/>
      <c r="D999" s="56"/>
    </row>
    <row r="1000" spans="3:4">
      <c r="C1000" s="56"/>
      <c r="D1000" s="56"/>
    </row>
  </sheetData>
  <autoFilter ref="A1:D346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  <outlinePr summaryBelow="0" summaryRight="0"/>
  </sheetPr>
  <dimension ref="A1:T1000"/>
  <sheetViews>
    <sheetView workbookViewId="0">
      <selection activeCell="D1" sqref="D1"/>
    </sheetView>
  </sheetViews>
  <sheetFormatPr baseColWidth="10" defaultColWidth="12.5703125" defaultRowHeight="15.75" customHeight="1"/>
  <sheetData>
    <row r="1" spans="1:20">
      <c r="A1" s="52" t="s">
        <v>106</v>
      </c>
      <c r="B1" s="52" t="s">
        <v>1</v>
      </c>
      <c r="C1" s="53" t="s">
        <v>390</v>
      </c>
      <c r="D1" s="53" t="s">
        <v>391</v>
      </c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>
      <c r="A2" s="7">
        <v>10101</v>
      </c>
      <c r="B2" s="7" t="s">
        <v>6</v>
      </c>
      <c r="C2" s="47">
        <v>3995786.4</v>
      </c>
      <c r="D2" s="47">
        <v>4203191.3</v>
      </c>
    </row>
    <row r="3" spans="1:20">
      <c r="A3" s="7">
        <v>10102</v>
      </c>
      <c r="B3" s="7" t="s">
        <v>8</v>
      </c>
      <c r="C3" s="47">
        <v>0</v>
      </c>
      <c r="D3" s="47">
        <v>0</v>
      </c>
    </row>
    <row r="4" spans="1:20">
      <c r="A4" s="7">
        <v>10103</v>
      </c>
      <c r="B4" s="7" t="s">
        <v>17</v>
      </c>
      <c r="C4" s="47">
        <v>0</v>
      </c>
      <c r="D4" s="47">
        <v>0</v>
      </c>
    </row>
    <row r="5" spans="1:20">
      <c r="A5" s="7">
        <v>10201</v>
      </c>
      <c r="B5" s="7" t="s">
        <v>19</v>
      </c>
      <c r="C5" s="47">
        <v>0</v>
      </c>
      <c r="D5" s="47">
        <v>0</v>
      </c>
    </row>
    <row r="6" spans="1:20">
      <c r="A6" s="7">
        <v>10202</v>
      </c>
      <c r="B6" s="7" t="s">
        <v>21</v>
      </c>
      <c r="C6" s="47">
        <v>0</v>
      </c>
      <c r="D6" s="47">
        <v>0</v>
      </c>
    </row>
    <row r="7" spans="1:20">
      <c r="A7" s="7">
        <v>10301</v>
      </c>
      <c r="B7" s="7" t="s">
        <v>23</v>
      </c>
      <c r="C7" s="47">
        <v>0</v>
      </c>
      <c r="D7" s="47">
        <v>0</v>
      </c>
    </row>
    <row r="8" spans="1:20">
      <c r="A8" s="7">
        <v>10302</v>
      </c>
      <c r="B8" s="7" t="s">
        <v>25</v>
      </c>
      <c r="C8" s="47">
        <v>0</v>
      </c>
      <c r="D8" s="47">
        <v>0</v>
      </c>
    </row>
    <row r="9" spans="1:20">
      <c r="A9" s="7">
        <v>10303</v>
      </c>
      <c r="B9" s="7" t="s">
        <v>27</v>
      </c>
      <c r="C9" s="47">
        <v>0</v>
      </c>
      <c r="D9" s="47">
        <v>0</v>
      </c>
    </row>
    <row r="10" spans="1:20">
      <c r="A10" s="7">
        <v>10304</v>
      </c>
      <c r="B10" s="7" t="s">
        <v>28</v>
      </c>
      <c r="C10" s="47">
        <v>0</v>
      </c>
      <c r="D10" s="47">
        <v>0</v>
      </c>
    </row>
    <row r="11" spans="1:20">
      <c r="A11" s="7">
        <v>10401</v>
      </c>
      <c r="B11" s="7" t="s">
        <v>30</v>
      </c>
      <c r="C11" s="47">
        <v>0</v>
      </c>
      <c r="D11" s="47">
        <v>0</v>
      </c>
    </row>
    <row r="12" spans="1:20">
      <c r="A12" s="7">
        <v>10402</v>
      </c>
      <c r="B12" s="7" t="s">
        <v>33</v>
      </c>
      <c r="C12" s="47">
        <v>0</v>
      </c>
      <c r="D12" s="47">
        <v>0</v>
      </c>
    </row>
    <row r="13" spans="1:20">
      <c r="A13" s="7">
        <v>10403</v>
      </c>
      <c r="B13" s="7" t="s">
        <v>34</v>
      </c>
      <c r="C13" s="47">
        <v>0</v>
      </c>
      <c r="D13" s="47">
        <v>0</v>
      </c>
    </row>
    <row r="14" spans="1:20">
      <c r="A14" s="7">
        <v>10404</v>
      </c>
      <c r="B14" s="7" t="s">
        <v>35</v>
      </c>
      <c r="C14" s="47">
        <v>0</v>
      </c>
      <c r="D14" s="47">
        <v>0</v>
      </c>
    </row>
    <row r="15" spans="1:20">
      <c r="A15" s="7">
        <v>10405</v>
      </c>
      <c r="B15" s="7" t="s">
        <v>36</v>
      </c>
      <c r="C15" s="47">
        <v>0</v>
      </c>
      <c r="D15" s="47">
        <v>0</v>
      </c>
    </row>
    <row r="16" spans="1:20">
      <c r="A16" s="7">
        <v>10501</v>
      </c>
      <c r="B16" s="7" t="s">
        <v>37</v>
      </c>
      <c r="C16" s="47">
        <v>0</v>
      </c>
      <c r="D16" s="47">
        <v>0</v>
      </c>
    </row>
    <row r="17" spans="1:4">
      <c r="A17" s="7">
        <v>10502</v>
      </c>
      <c r="B17" s="7" t="s">
        <v>38</v>
      </c>
      <c r="C17" s="47">
        <v>0</v>
      </c>
      <c r="D17" s="47">
        <v>0</v>
      </c>
    </row>
    <row r="18" spans="1:4">
      <c r="A18" s="7">
        <v>10601</v>
      </c>
      <c r="B18" s="7" t="s">
        <v>39</v>
      </c>
      <c r="C18" s="47">
        <v>0</v>
      </c>
      <c r="D18" s="47">
        <v>0</v>
      </c>
    </row>
    <row r="19" spans="1:4">
      <c r="A19" s="7">
        <v>10602</v>
      </c>
      <c r="B19" s="7" t="s">
        <v>41</v>
      </c>
      <c r="C19" s="47">
        <v>0</v>
      </c>
      <c r="D19" s="47">
        <v>0</v>
      </c>
    </row>
    <row r="20" spans="1:4">
      <c r="A20" s="7">
        <v>10701</v>
      </c>
      <c r="B20" s="7" t="s">
        <v>42</v>
      </c>
      <c r="C20" s="47">
        <v>0</v>
      </c>
      <c r="D20" s="47">
        <v>0</v>
      </c>
    </row>
    <row r="21" spans="1:4">
      <c r="A21" s="7">
        <v>10702</v>
      </c>
      <c r="B21" s="7" t="s">
        <v>43</v>
      </c>
      <c r="C21" s="47">
        <v>0</v>
      </c>
      <c r="D21" s="47">
        <v>0</v>
      </c>
    </row>
    <row r="22" spans="1:4">
      <c r="A22" s="7">
        <v>10703</v>
      </c>
      <c r="B22" s="7" t="s">
        <v>44</v>
      </c>
      <c r="C22" s="47">
        <v>0</v>
      </c>
      <c r="D22" s="47">
        <v>0</v>
      </c>
    </row>
    <row r="23" spans="1:4">
      <c r="A23" s="7">
        <v>10704</v>
      </c>
      <c r="B23" s="7" t="s">
        <v>45</v>
      </c>
      <c r="C23" s="47">
        <v>0</v>
      </c>
      <c r="D23" s="47">
        <v>0</v>
      </c>
    </row>
    <row r="24" spans="1:4">
      <c r="A24" s="7">
        <v>10801</v>
      </c>
      <c r="B24" s="7" t="s">
        <v>46</v>
      </c>
      <c r="C24" s="47">
        <v>0</v>
      </c>
      <c r="D24" s="47">
        <v>0</v>
      </c>
    </row>
    <row r="25" spans="1:4">
      <c r="A25" s="7">
        <v>10901</v>
      </c>
      <c r="B25" s="7" t="s">
        <v>47</v>
      </c>
      <c r="C25" s="47">
        <v>0</v>
      </c>
      <c r="D25" s="47">
        <v>0</v>
      </c>
    </row>
    <row r="26" spans="1:4">
      <c r="A26" s="7">
        <v>10902</v>
      </c>
      <c r="B26" s="7" t="s">
        <v>48</v>
      </c>
      <c r="C26" s="47">
        <v>0</v>
      </c>
      <c r="D26" s="47">
        <v>0</v>
      </c>
    </row>
    <row r="27" spans="1:4">
      <c r="A27" s="7">
        <v>10903</v>
      </c>
      <c r="B27" s="7" t="s">
        <v>49</v>
      </c>
      <c r="C27" s="47">
        <v>0</v>
      </c>
      <c r="D27" s="47">
        <v>0</v>
      </c>
    </row>
    <row r="28" spans="1:4">
      <c r="A28" s="7">
        <v>11001</v>
      </c>
      <c r="B28" s="7" t="s">
        <v>50</v>
      </c>
      <c r="C28" s="47">
        <v>0</v>
      </c>
      <c r="D28" s="47">
        <v>0</v>
      </c>
    </row>
    <row r="29" spans="1:4">
      <c r="A29" s="7">
        <v>11002</v>
      </c>
      <c r="B29" s="7" t="s">
        <v>51</v>
      </c>
      <c r="C29" s="47">
        <v>0</v>
      </c>
      <c r="D29" s="47">
        <v>0</v>
      </c>
    </row>
    <row r="30" spans="1:4">
      <c r="A30" s="7">
        <v>11003</v>
      </c>
      <c r="B30" s="7" t="s">
        <v>55</v>
      </c>
      <c r="C30" s="47">
        <v>0</v>
      </c>
      <c r="D30" s="47">
        <v>0</v>
      </c>
    </row>
    <row r="31" spans="1:4">
      <c r="A31" s="7">
        <v>20101</v>
      </c>
      <c r="B31" s="7" t="s">
        <v>56</v>
      </c>
      <c r="C31" s="47">
        <v>0</v>
      </c>
      <c r="D31" s="47">
        <v>0</v>
      </c>
    </row>
    <row r="32" spans="1:4">
      <c r="A32" s="7">
        <v>20102</v>
      </c>
      <c r="B32" s="7" t="s">
        <v>57</v>
      </c>
      <c r="C32" s="47">
        <v>0</v>
      </c>
      <c r="D32" s="47">
        <v>0</v>
      </c>
    </row>
    <row r="33" spans="1:4">
      <c r="A33" s="7">
        <v>20103</v>
      </c>
      <c r="B33" s="7" t="s">
        <v>58</v>
      </c>
      <c r="C33" s="47">
        <v>0</v>
      </c>
      <c r="D33" s="47">
        <v>0</v>
      </c>
    </row>
    <row r="34" spans="1:4">
      <c r="A34" s="7">
        <v>20104</v>
      </c>
      <c r="B34" s="7" t="s">
        <v>59</v>
      </c>
      <c r="C34" s="47">
        <v>0</v>
      </c>
      <c r="D34" s="47">
        <v>0</v>
      </c>
    </row>
    <row r="35" spans="1:4">
      <c r="A35" s="7">
        <v>20105</v>
      </c>
      <c r="B35" s="7" t="s">
        <v>60</v>
      </c>
      <c r="C35" s="47">
        <v>10911456</v>
      </c>
      <c r="D35" s="47">
        <v>19651291.780000001</v>
      </c>
    </row>
    <row r="36" spans="1:4">
      <c r="A36" s="7">
        <v>20201</v>
      </c>
      <c r="B36" s="7" t="s">
        <v>61</v>
      </c>
      <c r="C36" s="47">
        <v>0</v>
      </c>
      <c r="D36" s="47">
        <v>0</v>
      </c>
    </row>
    <row r="37" spans="1:4">
      <c r="A37" s="7">
        <v>20202</v>
      </c>
      <c r="B37" s="7" t="s">
        <v>62</v>
      </c>
      <c r="C37" s="47">
        <v>0</v>
      </c>
      <c r="D37" s="47">
        <v>0</v>
      </c>
    </row>
    <row r="38" spans="1:4">
      <c r="A38" s="7">
        <v>20203</v>
      </c>
      <c r="B38" s="7" t="s">
        <v>66</v>
      </c>
      <c r="C38" s="47">
        <v>0</v>
      </c>
      <c r="D38" s="47">
        <v>0</v>
      </c>
    </row>
    <row r="39" spans="1:4">
      <c r="A39" s="7">
        <v>20204</v>
      </c>
      <c r="B39" s="7" t="s">
        <v>63</v>
      </c>
      <c r="C39" s="47">
        <v>0</v>
      </c>
      <c r="D39" s="47">
        <v>0</v>
      </c>
    </row>
    <row r="40" spans="1:4">
      <c r="A40" s="7">
        <v>20205</v>
      </c>
      <c r="B40" s="7" t="s">
        <v>64</v>
      </c>
      <c r="C40" s="47">
        <v>0</v>
      </c>
      <c r="D40" s="47">
        <v>0</v>
      </c>
    </row>
    <row r="41" spans="1:4">
      <c r="A41" s="7">
        <v>20206</v>
      </c>
      <c r="B41" s="7" t="s">
        <v>65</v>
      </c>
      <c r="C41" s="47">
        <v>0</v>
      </c>
      <c r="D41" s="47">
        <v>0</v>
      </c>
    </row>
    <row r="42" spans="1:4">
      <c r="A42" s="7">
        <v>20301</v>
      </c>
      <c r="B42" s="7" t="s">
        <v>67</v>
      </c>
      <c r="C42" s="47">
        <v>0</v>
      </c>
      <c r="D42" s="47">
        <v>0</v>
      </c>
    </row>
    <row r="43" spans="1:4">
      <c r="A43" s="7">
        <v>20302</v>
      </c>
      <c r="B43" s="7" t="s">
        <v>68</v>
      </c>
      <c r="C43" s="47">
        <v>0</v>
      </c>
      <c r="D43" s="47">
        <v>0</v>
      </c>
    </row>
    <row r="44" spans="1:4">
      <c r="A44" s="7">
        <v>20303</v>
      </c>
      <c r="B44" s="7" t="s">
        <v>69</v>
      </c>
      <c r="C44" s="47">
        <v>0</v>
      </c>
      <c r="D44" s="47">
        <v>0</v>
      </c>
    </row>
    <row r="45" spans="1:4">
      <c r="A45" s="7">
        <v>20304</v>
      </c>
      <c r="B45" s="7" t="s">
        <v>71</v>
      </c>
      <c r="C45" s="47">
        <v>0</v>
      </c>
      <c r="D45" s="47">
        <v>0</v>
      </c>
    </row>
    <row r="46" spans="1:4">
      <c r="A46" s="7">
        <v>20305</v>
      </c>
      <c r="B46" s="7" t="s">
        <v>76</v>
      </c>
      <c r="C46" s="47">
        <v>0</v>
      </c>
      <c r="D46" s="47">
        <v>0</v>
      </c>
    </row>
    <row r="47" spans="1:4">
      <c r="A47" s="7">
        <v>20306</v>
      </c>
      <c r="B47" s="7" t="s">
        <v>77</v>
      </c>
      <c r="C47" s="47">
        <v>0</v>
      </c>
      <c r="D47" s="47">
        <v>0</v>
      </c>
    </row>
    <row r="48" spans="1:4">
      <c r="A48" s="7">
        <v>20307</v>
      </c>
      <c r="B48" s="7" t="s">
        <v>78</v>
      </c>
      <c r="C48" s="47">
        <v>0</v>
      </c>
      <c r="D48" s="47">
        <v>0</v>
      </c>
    </row>
    <row r="49" spans="1:4">
      <c r="A49" s="7">
        <v>20308</v>
      </c>
      <c r="B49" s="7" t="s">
        <v>79</v>
      </c>
      <c r="C49" s="47">
        <v>0</v>
      </c>
      <c r="D49" s="47">
        <v>0</v>
      </c>
    </row>
    <row r="50" spans="1:4">
      <c r="A50" s="7">
        <v>20401</v>
      </c>
      <c r="B50" s="7" t="s">
        <v>80</v>
      </c>
      <c r="C50" s="47">
        <v>0</v>
      </c>
      <c r="D50" s="47">
        <v>0</v>
      </c>
    </row>
    <row r="51" spans="1:4">
      <c r="A51" s="7">
        <v>20402</v>
      </c>
      <c r="B51" s="7" t="s">
        <v>81</v>
      </c>
      <c r="C51" s="47">
        <v>0</v>
      </c>
      <c r="D51" s="47">
        <v>0</v>
      </c>
    </row>
    <row r="52" spans="1:4">
      <c r="A52" s="7">
        <v>20403</v>
      </c>
      <c r="B52" s="7" t="s">
        <v>82</v>
      </c>
      <c r="C52" s="47">
        <v>0</v>
      </c>
      <c r="D52" s="47">
        <v>0</v>
      </c>
    </row>
    <row r="53" spans="1:4">
      <c r="A53" s="7">
        <v>20404</v>
      </c>
      <c r="B53" s="7" t="s">
        <v>84</v>
      </c>
      <c r="C53" s="47">
        <v>0</v>
      </c>
      <c r="D53" s="47">
        <v>0</v>
      </c>
    </row>
    <row r="54" spans="1:4">
      <c r="A54" s="7">
        <v>20405</v>
      </c>
      <c r="B54" s="7" t="s">
        <v>87</v>
      </c>
      <c r="C54" s="47">
        <v>0</v>
      </c>
      <c r="D54" s="47">
        <v>0</v>
      </c>
    </row>
    <row r="55" spans="1:4">
      <c r="A55" s="7">
        <v>20501</v>
      </c>
      <c r="B55" s="7" t="s">
        <v>88</v>
      </c>
      <c r="C55" s="47">
        <v>0</v>
      </c>
      <c r="D55" s="47">
        <v>0</v>
      </c>
    </row>
    <row r="56" spans="1:4">
      <c r="A56" s="7">
        <v>20502</v>
      </c>
      <c r="B56" s="7" t="s">
        <v>89</v>
      </c>
      <c r="C56" s="47">
        <v>0</v>
      </c>
      <c r="D56" s="47">
        <v>0</v>
      </c>
    </row>
    <row r="57" spans="1:4">
      <c r="A57" s="7">
        <v>20503</v>
      </c>
      <c r="B57" s="7" t="s">
        <v>90</v>
      </c>
      <c r="C57" s="47">
        <v>0</v>
      </c>
      <c r="D57" s="47">
        <v>0</v>
      </c>
    </row>
    <row r="58" spans="1:4">
      <c r="A58" s="7">
        <v>20601</v>
      </c>
      <c r="B58" s="7" t="s">
        <v>91</v>
      </c>
      <c r="C58" s="47">
        <v>0</v>
      </c>
      <c r="D58" s="47">
        <v>0</v>
      </c>
    </row>
    <row r="59" spans="1:4">
      <c r="A59" s="7">
        <v>20602</v>
      </c>
      <c r="B59" s="7" t="s">
        <v>92</v>
      </c>
      <c r="C59" s="47">
        <v>0</v>
      </c>
      <c r="D59" s="47">
        <v>0</v>
      </c>
    </row>
    <row r="60" spans="1:4">
      <c r="A60" s="7">
        <v>20603</v>
      </c>
      <c r="B60" s="7" t="s">
        <v>93</v>
      </c>
      <c r="C60" s="47">
        <v>0</v>
      </c>
      <c r="D60" s="47">
        <v>0</v>
      </c>
    </row>
    <row r="61" spans="1:4">
      <c r="A61" s="7">
        <v>20604</v>
      </c>
      <c r="B61" s="7" t="s">
        <v>95</v>
      </c>
      <c r="C61" s="47">
        <v>0</v>
      </c>
      <c r="D61" s="47">
        <v>0</v>
      </c>
    </row>
    <row r="62" spans="1:4">
      <c r="A62" s="7">
        <v>20605</v>
      </c>
      <c r="B62" s="7" t="s">
        <v>98</v>
      </c>
      <c r="C62" s="47">
        <v>0</v>
      </c>
      <c r="D62" s="47">
        <v>0</v>
      </c>
    </row>
    <row r="63" spans="1:4">
      <c r="A63" s="7">
        <v>20606</v>
      </c>
      <c r="B63" s="7" t="s">
        <v>99</v>
      </c>
      <c r="C63" s="47">
        <v>0</v>
      </c>
      <c r="D63" s="47">
        <v>0</v>
      </c>
    </row>
    <row r="64" spans="1:4">
      <c r="A64" s="7">
        <v>20607</v>
      </c>
      <c r="B64" s="7" t="s">
        <v>100</v>
      </c>
      <c r="C64" s="47">
        <v>0</v>
      </c>
      <c r="D64" s="47">
        <v>0</v>
      </c>
    </row>
    <row r="65" spans="1:4">
      <c r="A65" s="7">
        <v>20608</v>
      </c>
      <c r="B65" s="7" t="s">
        <v>101</v>
      </c>
      <c r="C65" s="47">
        <v>0</v>
      </c>
      <c r="D65" s="47">
        <v>0</v>
      </c>
    </row>
    <row r="66" spans="1:4">
      <c r="A66" s="7">
        <v>20701</v>
      </c>
      <c r="B66" s="7" t="s">
        <v>102</v>
      </c>
      <c r="C66" s="47">
        <v>0</v>
      </c>
      <c r="D66" s="47">
        <v>0</v>
      </c>
    </row>
    <row r="67" spans="1:4">
      <c r="A67" s="7">
        <v>20702</v>
      </c>
      <c r="B67" s="7" t="s">
        <v>103</v>
      </c>
      <c r="C67" s="47">
        <v>0</v>
      </c>
      <c r="D67" s="47">
        <v>0</v>
      </c>
    </row>
    <row r="68" spans="1:4">
      <c r="A68" s="7">
        <v>20801</v>
      </c>
      <c r="B68" s="7" t="s">
        <v>104</v>
      </c>
      <c r="C68" s="47">
        <v>0</v>
      </c>
      <c r="D68" s="47">
        <v>1069850</v>
      </c>
    </row>
    <row r="69" spans="1:4">
      <c r="A69" s="7">
        <v>20802</v>
      </c>
      <c r="B69" s="7" t="s">
        <v>105</v>
      </c>
      <c r="C69" s="47">
        <v>0</v>
      </c>
      <c r="D69" s="47">
        <v>0</v>
      </c>
    </row>
    <row r="70" spans="1:4">
      <c r="A70" s="7">
        <v>20803</v>
      </c>
      <c r="B70" s="7" t="s">
        <v>108</v>
      </c>
      <c r="C70" s="47">
        <v>0</v>
      </c>
      <c r="D70" s="47">
        <v>0</v>
      </c>
    </row>
    <row r="71" spans="1:4">
      <c r="A71" s="7">
        <v>20804</v>
      </c>
      <c r="B71" s="7" t="s">
        <v>110</v>
      </c>
      <c r="C71" s="47">
        <v>0</v>
      </c>
      <c r="D71" s="47">
        <v>0</v>
      </c>
    </row>
    <row r="72" spans="1:4">
      <c r="A72" s="7">
        <v>20805</v>
      </c>
      <c r="B72" s="7" t="s">
        <v>112</v>
      </c>
      <c r="C72" s="47">
        <v>0</v>
      </c>
      <c r="D72" s="47">
        <v>0</v>
      </c>
    </row>
    <row r="73" spans="1:4">
      <c r="A73" s="7">
        <v>20806</v>
      </c>
      <c r="B73" s="7" t="s">
        <v>114</v>
      </c>
      <c r="C73" s="47">
        <v>0</v>
      </c>
      <c r="D73" s="47">
        <v>0</v>
      </c>
    </row>
    <row r="74" spans="1:4">
      <c r="A74" s="7">
        <v>20807</v>
      </c>
      <c r="B74" s="7" t="s">
        <v>116</v>
      </c>
      <c r="C74" s="47">
        <v>0</v>
      </c>
      <c r="D74" s="47">
        <v>0</v>
      </c>
    </row>
    <row r="75" spans="1:4">
      <c r="A75" s="7">
        <v>20901</v>
      </c>
      <c r="B75" s="7" t="s">
        <v>118</v>
      </c>
      <c r="C75" s="47">
        <v>0</v>
      </c>
      <c r="D75" s="47">
        <v>0</v>
      </c>
    </row>
    <row r="76" spans="1:4">
      <c r="A76" s="7">
        <v>20902</v>
      </c>
      <c r="B76" s="7" t="s">
        <v>120</v>
      </c>
      <c r="C76" s="47">
        <v>0</v>
      </c>
      <c r="D76" s="47">
        <v>0</v>
      </c>
    </row>
    <row r="77" spans="1:4">
      <c r="A77" s="7">
        <v>20903</v>
      </c>
      <c r="B77" s="7" t="s">
        <v>122</v>
      </c>
      <c r="C77" s="47">
        <v>0</v>
      </c>
      <c r="D77" s="47">
        <v>0</v>
      </c>
    </row>
    <row r="78" spans="1:4">
      <c r="A78" s="7">
        <v>20904</v>
      </c>
      <c r="B78" s="7" t="s">
        <v>124</v>
      </c>
      <c r="C78" s="47">
        <v>0</v>
      </c>
      <c r="D78" s="47">
        <v>0</v>
      </c>
    </row>
    <row r="79" spans="1:4">
      <c r="A79" s="7">
        <v>20905</v>
      </c>
      <c r="B79" s="7" t="s">
        <v>126</v>
      </c>
      <c r="C79" s="47">
        <v>0</v>
      </c>
      <c r="D79" s="47">
        <v>0</v>
      </c>
    </row>
    <row r="80" spans="1:4">
      <c r="A80" s="7">
        <v>21001</v>
      </c>
      <c r="B80" s="7" t="s">
        <v>128</v>
      </c>
      <c r="C80" s="47">
        <v>0</v>
      </c>
      <c r="D80" s="47">
        <v>0</v>
      </c>
    </row>
    <row r="81" spans="1:4">
      <c r="A81" s="7">
        <v>21002</v>
      </c>
      <c r="B81" s="7" t="s">
        <v>129</v>
      </c>
      <c r="C81" s="47">
        <v>0</v>
      </c>
      <c r="D81" s="47">
        <v>0</v>
      </c>
    </row>
    <row r="82" spans="1:4">
      <c r="A82" s="7">
        <v>21003</v>
      </c>
      <c r="B82" s="7" t="s">
        <v>130</v>
      </c>
      <c r="C82" s="47">
        <v>0</v>
      </c>
      <c r="D82" s="47">
        <v>0</v>
      </c>
    </row>
    <row r="83" spans="1:4">
      <c r="A83" s="7">
        <v>21004</v>
      </c>
      <c r="B83" s="7" t="s">
        <v>131</v>
      </c>
      <c r="C83" s="47">
        <v>0</v>
      </c>
      <c r="D83" s="47">
        <v>0</v>
      </c>
    </row>
    <row r="84" spans="1:4">
      <c r="A84" s="7">
        <v>21005</v>
      </c>
      <c r="B84" s="7" t="s">
        <v>132</v>
      </c>
      <c r="C84" s="47">
        <v>0</v>
      </c>
      <c r="D84" s="47">
        <v>0</v>
      </c>
    </row>
    <row r="85" spans="1:4">
      <c r="A85" s="7">
        <v>21006</v>
      </c>
      <c r="B85" s="7" t="s">
        <v>133</v>
      </c>
      <c r="C85" s="47">
        <v>0</v>
      </c>
      <c r="D85" s="47">
        <v>0</v>
      </c>
    </row>
    <row r="86" spans="1:4">
      <c r="A86" s="7">
        <v>21101</v>
      </c>
      <c r="B86" s="7" t="s">
        <v>134</v>
      </c>
      <c r="C86" s="47">
        <v>0</v>
      </c>
      <c r="D86" s="47">
        <v>0</v>
      </c>
    </row>
    <row r="87" spans="1:4">
      <c r="A87" s="7">
        <v>21102</v>
      </c>
      <c r="B87" s="7" t="s">
        <v>135</v>
      </c>
      <c r="C87" s="47">
        <v>0</v>
      </c>
      <c r="D87" s="47">
        <v>0</v>
      </c>
    </row>
    <row r="88" spans="1:4">
      <c r="A88" s="7">
        <v>21103</v>
      </c>
      <c r="B88" s="7" t="s">
        <v>136</v>
      </c>
      <c r="C88" s="47">
        <v>0</v>
      </c>
      <c r="D88" s="47">
        <v>0</v>
      </c>
    </row>
    <row r="89" spans="1:4">
      <c r="A89" s="7">
        <v>21104</v>
      </c>
      <c r="B89" s="7" t="s">
        <v>137</v>
      </c>
      <c r="C89" s="47">
        <v>0</v>
      </c>
      <c r="D89" s="47">
        <v>0</v>
      </c>
    </row>
    <row r="90" spans="1:4">
      <c r="A90" s="7">
        <v>21105</v>
      </c>
      <c r="B90" s="7" t="s">
        <v>138</v>
      </c>
      <c r="C90" s="47">
        <v>0</v>
      </c>
      <c r="D90" s="47">
        <v>0</v>
      </c>
    </row>
    <row r="91" spans="1:4">
      <c r="A91" s="7">
        <v>21201</v>
      </c>
      <c r="B91" s="7" t="s">
        <v>139</v>
      </c>
      <c r="C91" s="47">
        <v>0</v>
      </c>
      <c r="D91" s="47">
        <v>0</v>
      </c>
    </row>
    <row r="92" spans="1:4">
      <c r="A92" s="7">
        <v>21202</v>
      </c>
      <c r="B92" s="7" t="s">
        <v>140</v>
      </c>
      <c r="C92" s="47">
        <v>0</v>
      </c>
      <c r="D92" s="47">
        <v>0</v>
      </c>
    </row>
    <row r="93" spans="1:4">
      <c r="A93" s="7">
        <v>21203</v>
      </c>
      <c r="B93" s="7" t="s">
        <v>141</v>
      </c>
      <c r="C93" s="47">
        <v>0</v>
      </c>
      <c r="D93" s="47">
        <v>0</v>
      </c>
    </row>
    <row r="94" spans="1:4">
      <c r="A94" s="7">
        <v>21204</v>
      </c>
      <c r="B94" s="7" t="s">
        <v>142</v>
      </c>
      <c r="C94" s="47">
        <v>0</v>
      </c>
      <c r="D94" s="47">
        <v>0</v>
      </c>
    </row>
    <row r="95" spans="1:4">
      <c r="A95" s="7">
        <v>21301</v>
      </c>
      <c r="B95" s="7" t="s">
        <v>143</v>
      </c>
      <c r="C95" s="47">
        <v>0</v>
      </c>
      <c r="D95" s="47">
        <v>0</v>
      </c>
    </row>
    <row r="96" spans="1:4">
      <c r="A96" s="7">
        <v>21302</v>
      </c>
      <c r="B96" s="7" t="s">
        <v>144</v>
      </c>
      <c r="C96" s="47">
        <v>0</v>
      </c>
      <c r="D96" s="47">
        <v>0</v>
      </c>
    </row>
    <row r="97" spans="1:4">
      <c r="A97" s="7">
        <v>21303</v>
      </c>
      <c r="B97" s="7" t="s">
        <v>145</v>
      </c>
      <c r="C97" s="47">
        <v>0</v>
      </c>
      <c r="D97" s="47">
        <v>0</v>
      </c>
    </row>
    <row r="98" spans="1:4">
      <c r="A98" s="7">
        <v>21304</v>
      </c>
      <c r="B98" s="7" t="s">
        <v>146</v>
      </c>
      <c r="C98" s="47">
        <v>0</v>
      </c>
      <c r="D98" s="47">
        <v>0</v>
      </c>
    </row>
    <row r="99" spans="1:4">
      <c r="A99" s="7">
        <v>21305</v>
      </c>
      <c r="B99" s="7" t="s">
        <v>147</v>
      </c>
      <c r="C99" s="47">
        <v>0</v>
      </c>
      <c r="D99" s="47">
        <v>0</v>
      </c>
    </row>
    <row r="100" spans="1:4">
      <c r="A100" s="7">
        <v>21306</v>
      </c>
      <c r="B100" s="7" t="s">
        <v>148</v>
      </c>
      <c r="C100" s="47">
        <v>0</v>
      </c>
      <c r="D100" s="47">
        <v>0</v>
      </c>
    </row>
    <row r="101" spans="1:4">
      <c r="A101" s="7">
        <v>21307</v>
      </c>
      <c r="B101" s="7" t="s">
        <v>149</v>
      </c>
      <c r="C101" s="47">
        <v>0</v>
      </c>
      <c r="D101" s="47">
        <v>0</v>
      </c>
    </row>
    <row r="102" spans="1:4">
      <c r="A102" s="7">
        <v>21401</v>
      </c>
      <c r="B102" s="7" t="s">
        <v>150</v>
      </c>
      <c r="C102" s="47">
        <v>0</v>
      </c>
      <c r="D102" s="47">
        <v>0</v>
      </c>
    </row>
    <row r="103" spans="1:4">
      <c r="A103" s="7">
        <v>21402</v>
      </c>
      <c r="B103" s="7" t="s">
        <v>151</v>
      </c>
      <c r="C103" s="47">
        <v>0</v>
      </c>
      <c r="D103" s="47">
        <v>0</v>
      </c>
    </row>
    <row r="104" spans="1:4">
      <c r="A104" s="7">
        <v>21501</v>
      </c>
      <c r="B104" s="7" t="s">
        <v>152</v>
      </c>
      <c r="C104" s="47">
        <v>0</v>
      </c>
      <c r="D104" s="47">
        <v>0</v>
      </c>
    </row>
    <row r="105" spans="1:4">
      <c r="A105" s="7">
        <v>21502</v>
      </c>
      <c r="B105" s="7" t="s">
        <v>153</v>
      </c>
      <c r="C105" s="47">
        <v>0</v>
      </c>
      <c r="D105" s="47">
        <v>0</v>
      </c>
    </row>
    <row r="106" spans="1:4">
      <c r="A106" s="7">
        <v>21601</v>
      </c>
      <c r="B106" s="7" t="s">
        <v>154</v>
      </c>
      <c r="C106" s="47">
        <v>0</v>
      </c>
      <c r="D106" s="47">
        <v>0</v>
      </c>
    </row>
    <row r="107" spans="1:4">
      <c r="A107" s="7">
        <v>21602</v>
      </c>
      <c r="B107" s="7" t="s">
        <v>155</v>
      </c>
      <c r="C107" s="47">
        <v>0</v>
      </c>
      <c r="D107" s="47">
        <v>0</v>
      </c>
    </row>
    <row r="108" spans="1:4">
      <c r="A108" s="7">
        <v>21701</v>
      </c>
      <c r="B108" s="7" t="s">
        <v>156</v>
      </c>
      <c r="C108" s="47">
        <v>0</v>
      </c>
      <c r="D108" s="47">
        <v>0</v>
      </c>
    </row>
    <row r="109" spans="1:4">
      <c r="A109" s="7">
        <v>21702</v>
      </c>
      <c r="B109" s="7" t="s">
        <v>157</v>
      </c>
      <c r="C109" s="47">
        <v>0</v>
      </c>
      <c r="D109" s="47">
        <v>0</v>
      </c>
    </row>
    <row r="110" spans="1:4">
      <c r="A110" s="7">
        <v>21703</v>
      </c>
      <c r="B110" s="7" t="s">
        <v>158</v>
      </c>
      <c r="C110" s="47">
        <v>0</v>
      </c>
      <c r="D110" s="47">
        <v>0</v>
      </c>
    </row>
    <row r="111" spans="1:4">
      <c r="A111" s="7">
        <v>21801</v>
      </c>
      <c r="B111" s="7" t="s">
        <v>159</v>
      </c>
      <c r="C111" s="47">
        <v>0</v>
      </c>
      <c r="D111" s="47">
        <v>0</v>
      </c>
    </row>
    <row r="112" spans="1:4">
      <c r="A112" s="7">
        <v>21802</v>
      </c>
      <c r="B112" s="7" t="s">
        <v>160</v>
      </c>
      <c r="C112" s="47">
        <v>0</v>
      </c>
      <c r="D112" s="47">
        <v>0</v>
      </c>
    </row>
    <row r="113" spans="1:4">
      <c r="A113" s="7">
        <v>21803</v>
      </c>
      <c r="B113" s="7" t="s">
        <v>161</v>
      </c>
      <c r="C113" s="47">
        <v>0</v>
      </c>
      <c r="D113" s="47">
        <v>0</v>
      </c>
    </row>
    <row r="114" spans="1:4">
      <c r="A114" s="7">
        <v>21901</v>
      </c>
      <c r="B114" s="7" t="s">
        <v>162</v>
      </c>
      <c r="C114" s="47">
        <v>0</v>
      </c>
      <c r="D114" s="47">
        <v>0</v>
      </c>
    </row>
    <row r="115" spans="1:4">
      <c r="A115" s="7">
        <v>21902</v>
      </c>
      <c r="B115" s="7" t="s">
        <v>163</v>
      </c>
      <c r="C115" s="47">
        <v>0</v>
      </c>
      <c r="D115" s="47">
        <v>0</v>
      </c>
    </row>
    <row r="116" spans="1:4">
      <c r="A116" s="7">
        <v>22001</v>
      </c>
      <c r="B116" s="7" t="s">
        <v>164</v>
      </c>
      <c r="C116" s="47">
        <v>0</v>
      </c>
      <c r="D116" s="47">
        <v>0</v>
      </c>
    </row>
    <row r="117" spans="1:4">
      <c r="A117" s="7">
        <v>22002</v>
      </c>
      <c r="B117" s="7" t="s">
        <v>165</v>
      </c>
      <c r="C117" s="47">
        <v>0</v>
      </c>
      <c r="D117" s="47">
        <v>0</v>
      </c>
    </row>
    <row r="118" spans="1:4">
      <c r="A118" s="7">
        <v>30101</v>
      </c>
      <c r="B118" s="7" t="s">
        <v>113</v>
      </c>
      <c r="C118" s="47">
        <v>15822263.220000001</v>
      </c>
      <c r="D118" s="47">
        <v>8870156.6400000006</v>
      </c>
    </row>
    <row r="119" spans="1:4">
      <c r="A119" s="7">
        <v>30201</v>
      </c>
      <c r="B119" s="7" t="s">
        <v>166</v>
      </c>
      <c r="C119" s="47">
        <v>0</v>
      </c>
      <c r="D119" s="47">
        <v>0</v>
      </c>
    </row>
    <row r="120" spans="1:4">
      <c r="A120" s="7">
        <v>30202</v>
      </c>
      <c r="B120" s="7" t="s">
        <v>167</v>
      </c>
      <c r="C120" s="47">
        <v>0</v>
      </c>
      <c r="D120" s="47">
        <v>0</v>
      </c>
    </row>
    <row r="121" spans="1:4">
      <c r="A121" s="7">
        <v>30203</v>
      </c>
      <c r="B121" s="7" t="s">
        <v>168</v>
      </c>
      <c r="C121" s="47">
        <v>0</v>
      </c>
      <c r="D121" s="47">
        <v>0</v>
      </c>
    </row>
    <row r="122" spans="1:4">
      <c r="A122" s="7">
        <v>30301</v>
      </c>
      <c r="B122" s="7" t="s">
        <v>169</v>
      </c>
      <c r="C122" s="47">
        <v>0</v>
      </c>
      <c r="D122" s="47">
        <v>0</v>
      </c>
    </row>
    <row r="123" spans="1:4">
      <c r="A123" s="7">
        <v>30302</v>
      </c>
      <c r="B123" s="7" t="s">
        <v>170</v>
      </c>
      <c r="C123" s="47">
        <v>0</v>
      </c>
      <c r="D123" s="47">
        <v>0</v>
      </c>
    </row>
    <row r="124" spans="1:4">
      <c r="A124" s="7">
        <v>30303</v>
      </c>
      <c r="B124" s="7" t="s">
        <v>171</v>
      </c>
      <c r="C124" s="47">
        <v>0</v>
      </c>
      <c r="D124" s="47">
        <v>0</v>
      </c>
    </row>
    <row r="125" spans="1:4">
      <c r="A125" s="7">
        <v>30401</v>
      </c>
      <c r="B125" s="7" t="s">
        <v>172</v>
      </c>
      <c r="C125" s="47">
        <v>0</v>
      </c>
      <c r="D125" s="47">
        <v>0</v>
      </c>
    </row>
    <row r="126" spans="1:4">
      <c r="A126" s="7">
        <v>30402</v>
      </c>
      <c r="B126" s="7" t="s">
        <v>173</v>
      </c>
      <c r="C126" s="47">
        <v>0</v>
      </c>
      <c r="D126" s="47">
        <v>0</v>
      </c>
    </row>
    <row r="127" spans="1:4">
      <c r="A127" s="7">
        <v>30403</v>
      </c>
      <c r="B127" s="7" t="s">
        <v>174</v>
      </c>
      <c r="C127" s="47">
        <v>0</v>
      </c>
      <c r="D127" s="47">
        <v>0</v>
      </c>
    </row>
    <row r="128" spans="1:4">
      <c r="A128" s="7">
        <v>30404</v>
      </c>
      <c r="B128" s="7" t="s">
        <v>175</v>
      </c>
      <c r="C128" s="47">
        <v>0</v>
      </c>
      <c r="D128" s="47">
        <v>0</v>
      </c>
    </row>
    <row r="129" spans="1:4">
      <c r="A129" s="7">
        <v>30501</v>
      </c>
      <c r="B129" s="7" t="s">
        <v>176</v>
      </c>
      <c r="C129" s="47">
        <v>0</v>
      </c>
      <c r="D129" s="47">
        <v>0</v>
      </c>
    </row>
    <row r="130" spans="1:4">
      <c r="A130" s="7">
        <v>30502</v>
      </c>
      <c r="B130" s="7" t="s">
        <v>177</v>
      </c>
      <c r="C130" s="47">
        <v>0</v>
      </c>
      <c r="D130" s="47">
        <v>0</v>
      </c>
    </row>
    <row r="131" spans="1:4">
      <c r="A131" s="7">
        <v>30601</v>
      </c>
      <c r="B131" s="7" t="s">
        <v>178</v>
      </c>
      <c r="C131" s="47">
        <v>0</v>
      </c>
      <c r="D131" s="47">
        <v>0</v>
      </c>
    </row>
    <row r="132" spans="1:4">
      <c r="A132" s="7">
        <v>30602</v>
      </c>
      <c r="B132" s="7" t="s">
        <v>179</v>
      </c>
      <c r="C132" s="47">
        <v>0</v>
      </c>
      <c r="D132" s="47">
        <v>0</v>
      </c>
    </row>
    <row r="133" spans="1:4">
      <c r="A133" s="7">
        <v>30701</v>
      </c>
      <c r="B133" s="7" t="s">
        <v>180</v>
      </c>
      <c r="C133" s="47">
        <v>0</v>
      </c>
      <c r="D133" s="47">
        <v>0</v>
      </c>
    </row>
    <row r="134" spans="1:4">
      <c r="A134" s="7">
        <v>30702</v>
      </c>
      <c r="B134" s="7" t="s">
        <v>181</v>
      </c>
      <c r="C134" s="47">
        <v>0</v>
      </c>
      <c r="D134" s="47">
        <v>0</v>
      </c>
    </row>
    <row r="135" spans="1:4">
      <c r="A135" s="7">
        <v>30703</v>
      </c>
      <c r="B135" s="7" t="s">
        <v>182</v>
      </c>
      <c r="C135" s="47">
        <v>0</v>
      </c>
      <c r="D135" s="47">
        <v>0</v>
      </c>
    </row>
    <row r="136" spans="1:4">
      <c r="A136" s="7">
        <v>30801</v>
      </c>
      <c r="B136" s="7" t="s">
        <v>183</v>
      </c>
      <c r="C136" s="47">
        <v>0</v>
      </c>
      <c r="D136" s="47">
        <v>0</v>
      </c>
    </row>
    <row r="137" spans="1:4">
      <c r="A137" s="7">
        <v>30802</v>
      </c>
      <c r="B137" s="7" t="s">
        <v>184</v>
      </c>
      <c r="C137" s="47">
        <v>0</v>
      </c>
      <c r="D137" s="47">
        <v>0</v>
      </c>
    </row>
    <row r="138" spans="1:4">
      <c r="A138" s="7">
        <v>30803</v>
      </c>
      <c r="B138" s="7" t="s">
        <v>185</v>
      </c>
      <c r="C138" s="47">
        <v>0</v>
      </c>
      <c r="D138" s="47">
        <v>0</v>
      </c>
    </row>
    <row r="139" spans="1:4">
      <c r="A139" s="7">
        <v>30901</v>
      </c>
      <c r="B139" s="7" t="s">
        <v>186</v>
      </c>
      <c r="C139" s="47">
        <v>0</v>
      </c>
      <c r="D139" s="47">
        <v>0</v>
      </c>
    </row>
    <row r="140" spans="1:4">
      <c r="A140" s="7">
        <v>30902</v>
      </c>
      <c r="B140" s="7" t="s">
        <v>187</v>
      </c>
      <c r="C140" s="47">
        <v>0</v>
      </c>
      <c r="D140" s="47">
        <v>0</v>
      </c>
    </row>
    <row r="141" spans="1:4">
      <c r="A141" s="7">
        <v>30903</v>
      </c>
      <c r="B141" s="7" t="s">
        <v>188</v>
      </c>
      <c r="C141" s="47">
        <v>0</v>
      </c>
      <c r="D141" s="47">
        <v>0</v>
      </c>
    </row>
    <row r="142" spans="1:4">
      <c r="A142" s="7">
        <v>30904</v>
      </c>
      <c r="B142" s="7" t="s">
        <v>189</v>
      </c>
      <c r="C142" s="47">
        <v>0</v>
      </c>
      <c r="D142" s="47">
        <v>0</v>
      </c>
    </row>
    <row r="143" spans="1:4">
      <c r="A143" s="7">
        <v>30905</v>
      </c>
      <c r="B143" s="7" t="s">
        <v>190</v>
      </c>
      <c r="C143" s="47">
        <v>0</v>
      </c>
      <c r="D143" s="47">
        <v>0</v>
      </c>
    </row>
    <row r="144" spans="1:4">
      <c r="A144" s="7">
        <v>31001</v>
      </c>
      <c r="B144" s="7" t="s">
        <v>191</v>
      </c>
      <c r="C144" s="47">
        <v>0</v>
      </c>
      <c r="D144" s="47">
        <v>2585353.2799999998</v>
      </c>
    </row>
    <row r="145" spans="1:4">
      <c r="A145" s="7">
        <v>31002</v>
      </c>
      <c r="B145" s="7" t="s">
        <v>192</v>
      </c>
      <c r="C145" s="47">
        <v>0</v>
      </c>
      <c r="D145" s="47">
        <v>0</v>
      </c>
    </row>
    <row r="146" spans="1:4">
      <c r="A146" s="7">
        <v>31003</v>
      </c>
      <c r="B146" s="7" t="s">
        <v>193</v>
      </c>
      <c r="C146" s="47">
        <v>0</v>
      </c>
      <c r="D146" s="47">
        <v>0</v>
      </c>
    </row>
    <row r="147" spans="1:4">
      <c r="A147" s="7">
        <v>31101</v>
      </c>
      <c r="B147" s="7" t="s">
        <v>194</v>
      </c>
      <c r="C147" s="47">
        <v>0</v>
      </c>
      <c r="D147" s="47">
        <v>0</v>
      </c>
    </row>
    <row r="148" spans="1:4">
      <c r="A148" s="7">
        <v>31201</v>
      </c>
      <c r="B148" s="7" t="s">
        <v>195</v>
      </c>
      <c r="C148" s="47">
        <v>0</v>
      </c>
      <c r="D148" s="47">
        <v>0</v>
      </c>
    </row>
    <row r="149" spans="1:4">
      <c r="A149" s="7">
        <v>31202</v>
      </c>
      <c r="B149" s="7" t="s">
        <v>196</v>
      </c>
      <c r="C149" s="47">
        <v>0</v>
      </c>
      <c r="D149" s="47">
        <v>0</v>
      </c>
    </row>
    <row r="150" spans="1:4">
      <c r="A150" s="7">
        <v>31203</v>
      </c>
      <c r="B150" s="7" t="s">
        <v>197</v>
      </c>
      <c r="C150" s="47">
        <v>0</v>
      </c>
      <c r="D150" s="47">
        <v>0</v>
      </c>
    </row>
    <row r="151" spans="1:4">
      <c r="A151" s="7">
        <v>31204</v>
      </c>
      <c r="B151" s="7" t="s">
        <v>198</v>
      </c>
      <c r="C151" s="47">
        <v>0</v>
      </c>
      <c r="D151" s="47">
        <v>0</v>
      </c>
    </row>
    <row r="152" spans="1:4">
      <c r="A152" s="7">
        <v>31205</v>
      </c>
      <c r="B152" s="7" t="s">
        <v>199</v>
      </c>
      <c r="C152" s="47">
        <v>0</v>
      </c>
      <c r="D152" s="47">
        <v>0</v>
      </c>
    </row>
    <row r="153" spans="1:4">
      <c r="A153" s="7">
        <v>31206</v>
      </c>
      <c r="B153" s="7" t="s">
        <v>200</v>
      </c>
      <c r="C153" s="47">
        <v>0</v>
      </c>
      <c r="D153" s="47">
        <v>0</v>
      </c>
    </row>
    <row r="154" spans="1:4">
      <c r="A154" s="7">
        <v>31301</v>
      </c>
      <c r="B154" s="7" t="s">
        <v>201</v>
      </c>
      <c r="C154" s="47">
        <v>0</v>
      </c>
      <c r="D154" s="47">
        <v>0</v>
      </c>
    </row>
    <row r="155" spans="1:4">
      <c r="A155" s="7">
        <v>31302</v>
      </c>
      <c r="B155" s="7" t="s">
        <v>202</v>
      </c>
      <c r="C155" s="47">
        <v>0</v>
      </c>
      <c r="D155" s="47">
        <v>0</v>
      </c>
    </row>
    <row r="156" spans="1:4">
      <c r="A156" s="7">
        <v>31303</v>
      </c>
      <c r="B156" s="7" t="s">
        <v>203</v>
      </c>
      <c r="C156" s="47">
        <v>0</v>
      </c>
      <c r="D156" s="47">
        <v>0</v>
      </c>
    </row>
    <row r="157" spans="1:4">
      <c r="A157" s="7">
        <v>31304</v>
      </c>
      <c r="B157" s="7" t="s">
        <v>204</v>
      </c>
      <c r="C157" s="47">
        <v>0</v>
      </c>
      <c r="D157" s="47">
        <v>0</v>
      </c>
    </row>
    <row r="158" spans="1:4">
      <c r="A158" s="7">
        <v>31401</v>
      </c>
      <c r="B158" s="7" t="s">
        <v>205</v>
      </c>
      <c r="C158" s="47">
        <v>0</v>
      </c>
      <c r="D158" s="47">
        <v>0</v>
      </c>
    </row>
    <row r="159" spans="1:4">
      <c r="A159" s="7">
        <v>31402</v>
      </c>
      <c r="B159" s="7" t="s">
        <v>206</v>
      </c>
      <c r="C159" s="47">
        <v>0</v>
      </c>
      <c r="D159" s="47">
        <v>0</v>
      </c>
    </row>
    <row r="160" spans="1:4">
      <c r="A160" s="7">
        <v>31403</v>
      </c>
      <c r="B160" s="7" t="s">
        <v>207</v>
      </c>
      <c r="C160" s="47">
        <v>0</v>
      </c>
      <c r="D160" s="47">
        <v>0</v>
      </c>
    </row>
    <row r="161" spans="1:4">
      <c r="A161" s="7">
        <v>31404</v>
      </c>
      <c r="B161" s="7" t="s">
        <v>208</v>
      </c>
      <c r="C161" s="47">
        <v>0</v>
      </c>
      <c r="D161" s="47">
        <v>0</v>
      </c>
    </row>
    <row r="162" spans="1:4">
      <c r="A162" s="7">
        <v>31405</v>
      </c>
      <c r="B162" s="7" t="s">
        <v>209</v>
      </c>
      <c r="C162" s="47">
        <v>0</v>
      </c>
      <c r="D162" s="47">
        <v>0</v>
      </c>
    </row>
    <row r="163" spans="1:4">
      <c r="A163" s="7">
        <v>31501</v>
      </c>
      <c r="B163" s="7" t="s">
        <v>210</v>
      </c>
      <c r="C163" s="47">
        <v>0</v>
      </c>
      <c r="D163" s="47">
        <v>0</v>
      </c>
    </row>
    <row r="164" spans="1:4">
      <c r="A164" s="7">
        <v>31601</v>
      </c>
      <c r="B164" s="7" t="s">
        <v>211</v>
      </c>
      <c r="C164" s="47">
        <v>0</v>
      </c>
      <c r="D164" s="47">
        <v>107142.39999999999</v>
      </c>
    </row>
    <row r="165" spans="1:4">
      <c r="A165" s="7">
        <v>31602</v>
      </c>
      <c r="B165" s="7" t="s">
        <v>212</v>
      </c>
      <c r="C165" s="47">
        <v>0</v>
      </c>
      <c r="D165" s="47">
        <v>295006.40000000002</v>
      </c>
    </row>
    <row r="166" spans="1:4">
      <c r="A166" s="7">
        <v>40101</v>
      </c>
      <c r="B166" s="7" t="s">
        <v>115</v>
      </c>
      <c r="C166" s="47">
        <v>0</v>
      </c>
      <c r="D166" s="47">
        <v>0</v>
      </c>
    </row>
    <row r="167" spans="1:4">
      <c r="A167" s="7">
        <v>40102</v>
      </c>
      <c r="B167" s="7" t="s">
        <v>213</v>
      </c>
      <c r="C167" s="47">
        <v>0</v>
      </c>
      <c r="D167" s="47">
        <v>0</v>
      </c>
    </row>
    <row r="168" spans="1:4">
      <c r="A168" s="7">
        <v>40103</v>
      </c>
      <c r="B168" s="7" t="s">
        <v>214</v>
      </c>
      <c r="C168" s="47">
        <v>0</v>
      </c>
      <c r="D168" s="47">
        <v>0</v>
      </c>
    </row>
    <row r="169" spans="1:4">
      <c r="A169" s="7">
        <v>40104</v>
      </c>
      <c r="B169" s="7" t="s">
        <v>215</v>
      </c>
      <c r="C169" s="47">
        <v>0</v>
      </c>
      <c r="D169" s="47">
        <v>0</v>
      </c>
    </row>
    <row r="170" spans="1:4">
      <c r="A170" s="7">
        <v>40201</v>
      </c>
      <c r="B170" s="7" t="s">
        <v>216</v>
      </c>
      <c r="C170" s="47">
        <v>0</v>
      </c>
      <c r="D170" s="47">
        <v>496929.6</v>
      </c>
    </row>
    <row r="171" spans="1:4">
      <c r="A171" s="7">
        <v>40202</v>
      </c>
      <c r="B171" s="7" t="s">
        <v>217</v>
      </c>
      <c r="C171" s="47">
        <v>0</v>
      </c>
      <c r="D171" s="47">
        <v>0</v>
      </c>
    </row>
    <row r="172" spans="1:4">
      <c r="A172" s="7">
        <v>40301</v>
      </c>
      <c r="B172" s="7" t="s">
        <v>218</v>
      </c>
      <c r="C172" s="47">
        <v>0</v>
      </c>
      <c r="D172" s="47">
        <v>0</v>
      </c>
    </row>
    <row r="173" spans="1:4">
      <c r="A173" s="7">
        <v>40302</v>
      </c>
      <c r="B173" s="7" t="s">
        <v>219</v>
      </c>
      <c r="C173" s="47">
        <v>0</v>
      </c>
      <c r="D173" s="47">
        <v>0</v>
      </c>
    </row>
    <row r="174" spans="1:4">
      <c r="A174" s="7">
        <v>40401</v>
      </c>
      <c r="B174" s="7" t="s">
        <v>220</v>
      </c>
      <c r="C174" s="47">
        <v>0</v>
      </c>
      <c r="D174" s="47">
        <v>0</v>
      </c>
    </row>
    <row r="175" spans="1:4">
      <c r="A175" s="7">
        <v>40402</v>
      </c>
      <c r="B175" s="7" t="s">
        <v>221</v>
      </c>
      <c r="C175" s="47">
        <v>0</v>
      </c>
      <c r="D175" s="47">
        <v>0</v>
      </c>
    </row>
    <row r="176" spans="1:4">
      <c r="A176" s="7">
        <v>40501</v>
      </c>
      <c r="B176" s="7" t="s">
        <v>222</v>
      </c>
      <c r="C176" s="47">
        <v>0</v>
      </c>
      <c r="D176" s="47">
        <v>0</v>
      </c>
    </row>
    <row r="177" spans="1:4">
      <c r="A177" s="7">
        <v>40502</v>
      </c>
      <c r="B177" s="7" t="s">
        <v>223</v>
      </c>
      <c r="C177" s="47">
        <v>0</v>
      </c>
      <c r="D177" s="47">
        <v>0</v>
      </c>
    </row>
    <row r="178" spans="1:4">
      <c r="A178" s="7">
        <v>40503</v>
      </c>
      <c r="B178" s="7" t="s">
        <v>224</v>
      </c>
      <c r="C178" s="47">
        <v>0</v>
      </c>
      <c r="D178" s="47">
        <v>0</v>
      </c>
    </row>
    <row r="179" spans="1:4">
      <c r="A179" s="7">
        <v>40504</v>
      </c>
      <c r="B179" s="7" t="s">
        <v>225</v>
      </c>
      <c r="C179" s="47">
        <v>0</v>
      </c>
      <c r="D179" s="47">
        <v>0</v>
      </c>
    </row>
    <row r="180" spans="1:4">
      <c r="A180" s="7">
        <v>40505</v>
      </c>
      <c r="B180" s="7" t="s">
        <v>226</v>
      </c>
      <c r="C180" s="47">
        <v>0</v>
      </c>
      <c r="D180" s="47">
        <v>0</v>
      </c>
    </row>
    <row r="181" spans="1:4">
      <c r="A181" s="7">
        <v>40601</v>
      </c>
      <c r="B181" s="7" t="s">
        <v>227</v>
      </c>
      <c r="C181" s="47">
        <v>0</v>
      </c>
      <c r="D181" s="47">
        <v>0</v>
      </c>
    </row>
    <row r="182" spans="1:4">
      <c r="A182" s="7">
        <v>40602</v>
      </c>
      <c r="B182" s="7" t="s">
        <v>228</v>
      </c>
      <c r="C182" s="47">
        <v>0</v>
      </c>
      <c r="D182" s="47">
        <v>0</v>
      </c>
    </row>
    <row r="183" spans="1:4">
      <c r="A183" s="7">
        <v>40603</v>
      </c>
      <c r="B183" s="7" t="s">
        <v>229</v>
      </c>
      <c r="C183" s="47">
        <v>0</v>
      </c>
      <c r="D183" s="47">
        <v>0</v>
      </c>
    </row>
    <row r="184" spans="1:4">
      <c r="A184" s="7">
        <v>40701</v>
      </c>
      <c r="B184" s="7" t="s">
        <v>230</v>
      </c>
      <c r="C184" s="47">
        <v>0</v>
      </c>
      <c r="D184" s="47">
        <v>0</v>
      </c>
    </row>
    <row r="185" spans="1:4">
      <c r="A185" s="7">
        <v>40702</v>
      </c>
      <c r="B185" s="7" t="s">
        <v>231</v>
      </c>
      <c r="C185" s="47">
        <v>0</v>
      </c>
      <c r="D185" s="47">
        <v>0</v>
      </c>
    </row>
    <row r="186" spans="1:4">
      <c r="A186" s="7">
        <v>40801</v>
      </c>
      <c r="B186" s="7" t="s">
        <v>232</v>
      </c>
      <c r="C186" s="47">
        <v>0</v>
      </c>
      <c r="D186" s="47">
        <v>0</v>
      </c>
    </row>
    <row r="187" spans="1:4">
      <c r="A187" s="7">
        <v>40802</v>
      </c>
      <c r="B187" s="7" t="s">
        <v>233</v>
      </c>
      <c r="C187" s="47">
        <v>0</v>
      </c>
      <c r="D187" s="47">
        <v>0</v>
      </c>
    </row>
    <row r="188" spans="1:4">
      <c r="A188" s="7">
        <v>40901</v>
      </c>
      <c r="B188" s="7" t="s">
        <v>234</v>
      </c>
      <c r="C188" s="47">
        <v>0</v>
      </c>
      <c r="D188" s="47">
        <v>0</v>
      </c>
    </row>
    <row r="189" spans="1:4">
      <c r="A189" s="7">
        <v>40902</v>
      </c>
      <c r="B189" s="7" t="s">
        <v>235</v>
      </c>
      <c r="C189" s="47">
        <v>0</v>
      </c>
      <c r="D189" s="47">
        <v>0</v>
      </c>
    </row>
    <row r="190" spans="1:4">
      <c r="A190" s="7">
        <v>40903</v>
      </c>
      <c r="B190" s="7" t="s">
        <v>236</v>
      </c>
      <c r="C190" s="47">
        <v>0</v>
      </c>
      <c r="D190" s="47">
        <v>0</v>
      </c>
    </row>
    <row r="191" spans="1:4">
      <c r="A191" s="7">
        <v>41001</v>
      </c>
      <c r="B191" s="7" t="s">
        <v>237</v>
      </c>
      <c r="C191" s="47">
        <v>0</v>
      </c>
      <c r="D191" s="47">
        <v>0</v>
      </c>
    </row>
    <row r="192" spans="1:4">
      <c r="A192" s="7">
        <v>41101</v>
      </c>
      <c r="B192" s="7" t="s">
        <v>238</v>
      </c>
      <c r="C192" s="47">
        <v>0</v>
      </c>
      <c r="D192" s="47">
        <v>0</v>
      </c>
    </row>
    <row r="193" spans="1:4">
      <c r="A193" s="7">
        <v>41201</v>
      </c>
      <c r="B193" s="7" t="s">
        <v>239</v>
      </c>
      <c r="C193" s="47">
        <v>0</v>
      </c>
      <c r="D193" s="47">
        <v>0</v>
      </c>
    </row>
    <row r="194" spans="1:4">
      <c r="A194" s="7">
        <v>41202</v>
      </c>
      <c r="B194" s="7" t="s">
        <v>240</v>
      </c>
      <c r="C194" s="47">
        <v>0</v>
      </c>
      <c r="D194" s="47">
        <v>0</v>
      </c>
    </row>
    <row r="195" spans="1:4">
      <c r="A195" s="7">
        <v>41301</v>
      </c>
      <c r="B195" s="7" t="s">
        <v>195</v>
      </c>
      <c r="C195" s="47">
        <v>0</v>
      </c>
      <c r="D195" s="47">
        <v>0</v>
      </c>
    </row>
    <row r="196" spans="1:4">
      <c r="A196" s="7">
        <v>41401</v>
      </c>
      <c r="B196" s="7" t="s">
        <v>241</v>
      </c>
      <c r="C196" s="47">
        <v>0</v>
      </c>
      <c r="D196" s="47">
        <v>0</v>
      </c>
    </row>
    <row r="197" spans="1:4">
      <c r="A197" s="7">
        <v>41501</v>
      </c>
      <c r="B197" s="7" t="s">
        <v>242</v>
      </c>
      <c r="C197" s="47">
        <v>0</v>
      </c>
      <c r="D197" s="47">
        <v>0</v>
      </c>
    </row>
    <row r="198" spans="1:4">
      <c r="A198" s="7">
        <v>41502</v>
      </c>
      <c r="B198" s="7" t="s">
        <v>243</v>
      </c>
      <c r="C198" s="47">
        <v>0</v>
      </c>
      <c r="D198" s="47">
        <v>0</v>
      </c>
    </row>
    <row r="199" spans="1:4">
      <c r="A199" s="7">
        <v>41503</v>
      </c>
      <c r="B199" s="7" t="s">
        <v>244</v>
      </c>
      <c r="C199" s="47">
        <v>0</v>
      </c>
      <c r="D199" s="47">
        <v>0</v>
      </c>
    </row>
    <row r="200" spans="1:4">
      <c r="A200" s="7">
        <v>41601</v>
      </c>
      <c r="B200" s="7" t="s">
        <v>245</v>
      </c>
      <c r="C200" s="47">
        <v>0</v>
      </c>
      <c r="D200" s="47">
        <v>0</v>
      </c>
    </row>
    <row r="201" spans="1:4">
      <c r="A201" s="7">
        <v>50101</v>
      </c>
      <c r="B201" s="7" t="s">
        <v>117</v>
      </c>
      <c r="C201" s="47">
        <v>0</v>
      </c>
      <c r="D201" s="47">
        <v>0</v>
      </c>
    </row>
    <row r="202" spans="1:4">
      <c r="A202" s="7">
        <v>50102</v>
      </c>
      <c r="B202" s="7" t="s">
        <v>246</v>
      </c>
      <c r="C202" s="47">
        <v>0</v>
      </c>
      <c r="D202" s="47">
        <v>0</v>
      </c>
    </row>
    <row r="203" spans="1:4">
      <c r="A203" s="7">
        <v>50103</v>
      </c>
      <c r="B203" s="7" t="s">
        <v>247</v>
      </c>
      <c r="C203" s="47">
        <v>0</v>
      </c>
      <c r="D203" s="47">
        <v>0</v>
      </c>
    </row>
    <row r="204" spans="1:4">
      <c r="A204" s="7">
        <v>50104</v>
      </c>
      <c r="B204" s="7" t="s">
        <v>248</v>
      </c>
      <c r="C204" s="47">
        <v>0</v>
      </c>
      <c r="D204" s="47">
        <v>0</v>
      </c>
    </row>
    <row r="205" spans="1:4">
      <c r="A205" s="7">
        <v>50201</v>
      </c>
      <c r="B205" s="7" t="s">
        <v>249</v>
      </c>
      <c r="C205" s="47">
        <v>0</v>
      </c>
      <c r="D205" s="47">
        <v>0</v>
      </c>
    </row>
    <row r="206" spans="1:4">
      <c r="A206" s="7">
        <v>50202</v>
      </c>
      <c r="B206" s="7" t="s">
        <v>250</v>
      </c>
      <c r="C206" s="47">
        <v>0</v>
      </c>
      <c r="D206" s="47">
        <v>0</v>
      </c>
    </row>
    <row r="207" spans="1:4">
      <c r="A207" s="7">
        <v>50203</v>
      </c>
      <c r="B207" s="7" t="s">
        <v>251</v>
      </c>
      <c r="C207" s="47">
        <v>0</v>
      </c>
      <c r="D207" s="47">
        <v>0</v>
      </c>
    </row>
    <row r="208" spans="1:4">
      <c r="A208" s="7">
        <v>50204</v>
      </c>
      <c r="B208" s="7" t="s">
        <v>252</v>
      </c>
      <c r="C208" s="47">
        <v>0</v>
      </c>
      <c r="D208" s="47">
        <v>0</v>
      </c>
    </row>
    <row r="209" spans="1:4">
      <c r="A209" s="7">
        <v>50301</v>
      </c>
      <c r="B209" s="7" t="s">
        <v>253</v>
      </c>
      <c r="C209" s="47">
        <v>0</v>
      </c>
      <c r="D209" s="47">
        <v>0</v>
      </c>
    </row>
    <row r="210" spans="1:4">
      <c r="A210" s="7">
        <v>50302</v>
      </c>
      <c r="B210" s="7" t="s">
        <v>254</v>
      </c>
      <c r="C210" s="47">
        <v>0</v>
      </c>
      <c r="D210" s="47">
        <v>0</v>
      </c>
    </row>
    <row r="211" spans="1:4">
      <c r="A211" s="7">
        <v>50303</v>
      </c>
      <c r="B211" s="7" t="s">
        <v>255</v>
      </c>
      <c r="C211" s="47">
        <v>0</v>
      </c>
      <c r="D211" s="47">
        <v>0</v>
      </c>
    </row>
    <row r="212" spans="1:4">
      <c r="A212" s="7">
        <v>50401</v>
      </c>
      <c r="B212" s="7" t="s">
        <v>256</v>
      </c>
      <c r="C212" s="47">
        <v>0</v>
      </c>
      <c r="D212" s="47">
        <v>0</v>
      </c>
    </row>
    <row r="213" spans="1:4">
      <c r="A213" s="7">
        <v>50402</v>
      </c>
      <c r="B213" s="7" t="s">
        <v>257</v>
      </c>
      <c r="C213" s="47">
        <v>0</v>
      </c>
      <c r="D213" s="47">
        <v>0</v>
      </c>
    </row>
    <row r="214" spans="1:4">
      <c r="A214" s="7">
        <v>50403</v>
      </c>
      <c r="B214" s="7" t="s">
        <v>258</v>
      </c>
      <c r="C214" s="47">
        <v>0</v>
      </c>
      <c r="D214" s="47">
        <v>0</v>
      </c>
    </row>
    <row r="215" spans="1:4">
      <c r="A215" s="7">
        <v>50404</v>
      </c>
      <c r="B215" s="7" t="s">
        <v>259</v>
      </c>
      <c r="C215" s="47">
        <v>0</v>
      </c>
      <c r="D215" s="47">
        <v>0</v>
      </c>
    </row>
    <row r="216" spans="1:4">
      <c r="A216" s="7">
        <v>50405</v>
      </c>
      <c r="B216" s="7" t="s">
        <v>260</v>
      </c>
      <c r="C216" s="47">
        <v>0</v>
      </c>
      <c r="D216" s="47">
        <v>0</v>
      </c>
    </row>
    <row r="217" spans="1:4">
      <c r="A217" s="7">
        <v>50501</v>
      </c>
      <c r="B217" s="7" t="s">
        <v>261</v>
      </c>
      <c r="C217" s="47">
        <v>0</v>
      </c>
      <c r="D217" s="47">
        <v>0</v>
      </c>
    </row>
    <row r="218" spans="1:4">
      <c r="A218" s="7">
        <v>50502</v>
      </c>
      <c r="B218" s="7" t="s">
        <v>262</v>
      </c>
      <c r="C218" s="47">
        <v>0</v>
      </c>
      <c r="D218" s="47">
        <v>0</v>
      </c>
    </row>
    <row r="219" spans="1:4">
      <c r="A219" s="7">
        <v>50601</v>
      </c>
      <c r="B219" s="7" t="s">
        <v>263</v>
      </c>
      <c r="C219" s="47">
        <v>0</v>
      </c>
      <c r="D219" s="47">
        <v>0</v>
      </c>
    </row>
    <row r="220" spans="1:4">
      <c r="A220" s="7">
        <v>50602</v>
      </c>
      <c r="B220" s="7" t="s">
        <v>264</v>
      </c>
      <c r="C220" s="47">
        <v>0</v>
      </c>
      <c r="D220" s="47">
        <v>0</v>
      </c>
    </row>
    <row r="221" spans="1:4">
      <c r="A221" s="7">
        <v>50701</v>
      </c>
      <c r="B221" s="7" t="s">
        <v>265</v>
      </c>
      <c r="C221" s="47">
        <v>0</v>
      </c>
      <c r="D221" s="47">
        <v>0</v>
      </c>
    </row>
    <row r="222" spans="1:4">
      <c r="A222" s="7">
        <v>50702</v>
      </c>
      <c r="B222" s="7" t="s">
        <v>266</v>
      </c>
      <c r="C222" s="47">
        <v>0</v>
      </c>
      <c r="D222" s="47">
        <v>0</v>
      </c>
    </row>
    <row r="223" spans="1:4">
      <c r="A223" s="7">
        <v>50801</v>
      </c>
      <c r="B223" s="7" t="s">
        <v>267</v>
      </c>
      <c r="C223" s="47">
        <v>0</v>
      </c>
      <c r="D223" s="47">
        <v>0</v>
      </c>
    </row>
    <row r="224" spans="1:4">
      <c r="A224" s="7">
        <v>50802</v>
      </c>
      <c r="B224" s="7" t="s">
        <v>268</v>
      </c>
      <c r="C224" s="47">
        <v>0</v>
      </c>
      <c r="D224" s="47">
        <v>0</v>
      </c>
    </row>
    <row r="225" spans="1:4">
      <c r="A225" s="7">
        <v>50901</v>
      </c>
      <c r="B225" s="7" t="s">
        <v>269</v>
      </c>
      <c r="C225" s="47">
        <v>0</v>
      </c>
      <c r="D225" s="47">
        <v>0</v>
      </c>
    </row>
    <row r="226" spans="1:4">
      <c r="A226" s="7">
        <v>50902</v>
      </c>
      <c r="B226" s="7" t="s">
        <v>270</v>
      </c>
      <c r="C226" s="47">
        <v>0</v>
      </c>
      <c r="D226" s="47">
        <v>0</v>
      </c>
    </row>
    <row r="227" spans="1:4">
      <c r="A227" s="7">
        <v>51001</v>
      </c>
      <c r="B227" s="7" t="s">
        <v>271</v>
      </c>
      <c r="C227" s="47">
        <v>0</v>
      </c>
      <c r="D227" s="47">
        <v>0</v>
      </c>
    </row>
    <row r="228" spans="1:4">
      <c r="A228" s="7">
        <v>51002</v>
      </c>
      <c r="B228" s="7" t="s">
        <v>272</v>
      </c>
      <c r="C228" s="47">
        <v>0</v>
      </c>
      <c r="D228" s="47">
        <v>0</v>
      </c>
    </row>
    <row r="229" spans="1:4">
      <c r="A229" s="7">
        <v>51003</v>
      </c>
      <c r="B229" s="7" t="s">
        <v>273</v>
      </c>
      <c r="C229" s="47">
        <v>0</v>
      </c>
      <c r="D229" s="47">
        <v>0</v>
      </c>
    </row>
    <row r="230" spans="1:4">
      <c r="A230" s="7">
        <v>51101</v>
      </c>
      <c r="B230" s="7" t="s">
        <v>274</v>
      </c>
      <c r="C230" s="47">
        <v>0</v>
      </c>
      <c r="D230" s="47">
        <v>0</v>
      </c>
    </row>
    <row r="231" spans="1:4">
      <c r="A231" s="7">
        <v>51102</v>
      </c>
      <c r="B231" s="7" t="s">
        <v>275</v>
      </c>
      <c r="C231" s="47">
        <v>0</v>
      </c>
      <c r="D231" s="47">
        <v>0</v>
      </c>
    </row>
    <row r="232" spans="1:4">
      <c r="A232" s="7">
        <v>51103</v>
      </c>
      <c r="B232" s="7" t="s">
        <v>276</v>
      </c>
      <c r="C232" s="47">
        <v>0</v>
      </c>
      <c r="D232" s="47">
        <v>0</v>
      </c>
    </row>
    <row r="233" spans="1:4">
      <c r="A233" s="7">
        <v>51201</v>
      </c>
      <c r="B233" s="7" t="s">
        <v>277</v>
      </c>
      <c r="C233" s="47">
        <v>0</v>
      </c>
      <c r="D233" s="47">
        <v>0</v>
      </c>
    </row>
    <row r="234" spans="1:4">
      <c r="A234" s="7">
        <v>51202</v>
      </c>
      <c r="B234" s="7" t="s">
        <v>278</v>
      </c>
      <c r="C234" s="47">
        <v>0</v>
      </c>
      <c r="D234" s="47">
        <v>0</v>
      </c>
    </row>
    <row r="235" spans="1:4">
      <c r="A235" s="7">
        <v>51203</v>
      </c>
      <c r="B235" s="7" t="s">
        <v>279</v>
      </c>
      <c r="C235" s="47">
        <v>0</v>
      </c>
      <c r="D235" s="47">
        <v>0</v>
      </c>
    </row>
    <row r="236" spans="1:4">
      <c r="A236" s="7">
        <v>51204</v>
      </c>
      <c r="B236" s="7" t="s">
        <v>280</v>
      </c>
      <c r="C236" s="47">
        <v>0</v>
      </c>
      <c r="D236" s="47">
        <v>0</v>
      </c>
    </row>
    <row r="237" spans="1:4">
      <c r="A237" s="7">
        <v>51301</v>
      </c>
      <c r="B237" s="7" t="s">
        <v>281</v>
      </c>
      <c r="C237" s="47">
        <v>0</v>
      </c>
      <c r="D237" s="47">
        <v>0</v>
      </c>
    </row>
    <row r="238" spans="1:4">
      <c r="A238" s="7">
        <v>51302</v>
      </c>
      <c r="B238" s="7" t="s">
        <v>282</v>
      </c>
      <c r="C238" s="47">
        <v>0</v>
      </c>
      <c r="D238" s="47">
        <v>0</v>
      </c>
    </row>
    <row r="239" spans="1:4">
      <c r="A239" s="7">
        <v>51401</v>
      </c>
      <c r="B239" s="7" t="s">
        <v>283</v>
      </c>
      <c r="C239" s="47">
        <v>0</v>
      </c>
      <c r="D239" s="47">
        <v>0</v>
      </c>
    </row>
    <row r="240" spans="1:4">
      <c r="A240" s="7">
        <v>51402</v>
      </c>
      <c r="B240" s="7" t="s">
        <v>284</v>
      </c>
      <c r="C240" s="47">
        <v>0</v>
      </c>
      <c r="D240" s="47">
        <v>0</v>
      </c>
    </row>
    <row r="241" spans="1:4">
      <c r="A241" s="7">
        <v>51501</v>
      </c>
      <c r="B241" s="7" t="s">
        <v>285</v>
      </c>
      <c r="C241" s="47">
        <v>0</v>
      </c>
      <c r="D241" s="47">
        <v>247977.34</v>
      </c>
    </row>
    <row r="242" spans="1:4">
      <c r="A242" s="7">
        <v>51601</v>
      </c>
      <c r="B242" s="7" t="s">
        <v>286</v>
      </c>
      <c r="C242" s="47">
        <v>0</v>
      </c>
      <c r="D242" s="47">
        <v>0</v>
      </c>
    </row>
    <row r="243" spans="1:4">
      <c r="A243" s="7">
        <v>60101</v>
      </c>
      <c r="B243" s="7" t="s">
        <v>119</v>
      </c>
      <c r="C243" s="47">
        <v>7647480</v>
      </c>
      <c r="D243" s="47">
        <v>11416032</v>
      </c>
    </row>
    <row r="244" spans="1:4">
      <c r="A244" s="7">
        <v>60201</v>
      </c>
      <c r="B244" s="7" t="s">
        <v>287</v>
      </c>
      <c r="C244" s="47">
        <v>0</v>
      </c>
      <c r="D244" s="47">
        <v>0</v>
      </c>
    </row>
    <row r="245" spans="1:4">
      <c r="A245" s="7">
        <v>60202</v>
      </c>
      <c r="B245" s="7" t="s">
        <v>288</v>
      </c>
      <c r="C245" s="47">
        <v>1376743</v>
      </c>
      <c r="D245" s="47">
        <v>1178784</v>
      </c>
    </row>
    <row r="246" spans="1:4">
      <c r="A246" s="7">
        <v>60301</v>
      </c>
      <c r="B246" s="7" t="s">
        <v>289</v>
      </c>
      <c r="C246" s="47">
        <v>2049840</v>
      </c>
      <c r="D246" s="47">
        <v>2176947.6</v>
      </c>
    </row>
    <row r="247" spans="1:4">
      <c r="A247" s="7">
        <v>60302</v>
      </c>
      <c r="B247" s="7" t="s">
        <v>290</v>
      </c>
      <c r="C247" s="47">
        <v>0</v>
      </c>
      <c r="D247" s="47">
        <v>0</v>
      </c>
    </row>
    <row r="248" spans="1:4">
      <c r="A248" s="7">
        <v>60303</v>
      </c>
      <c r="B248" s="7" t="s">
        <v>291</v>
      </c>
      <c r="C248" s="47">
        <v>0</v>
      </c>
      <c r="D248" s="47">
        <v>0</v>
      </c>
    </row>
    <row r="249" spans="1:4">
      <c r="A249" s="7">
        <v>60401</v>
      </c>
      <c r="B249" s="7" t="s">
        <v>292</v>
      </c>
      <c r="C249" s="47">
        <v>0</v>
      </c>
      <c r="D249" s="47">
        <v>0</v>
      </c>
    </row>
    <row r="250" spans="1:4">
      <c r="A250" s="7">
        <v>60402</v>
      </c>
      <c r="B250" s="7" t="s">
        <v>293</v>
      </c>
      <c r="C250" s="47">
        <v>0</v>
      </c>
      <c r="D250" s="47">
        <v>0</v>
      </c>
    </row>
    <row r="251" spans="1:4">
      <c r="A251" s="7">
        <v>60501</v>
      </c>
      <c r="B251" s="7" t="s">
        <v>294</v>
      </c>
      <c r="C251" s="47">
        <v>0</v>
      </c>
      <c r="D251" s="47">
        <v>0</v>
      </c>
    </row>
    <row r="252" spans="1:4">
      <c r="A252" s="7">
        <v>60502</v>
      </c>
      <c r="B252" s="7" t="s">
        <v>295</v>
      </c>
      <c r="C252" s="47">
        <v>0</v>
      </c>
      <c r="D252" s="47">
        <v>0</v>
      </c>
    </row>
    <row r="253" spans="1:4">
      <c r="A253" s="7">
        <v>60601</v>
      </c>
      <c r="B253" s="7" t="s">
        <v>200</v>
      </c>
      <c r="C253" s="47">
        <v>0</v>
      </c>
      <c r="D253" s="47">
        <v>0</v>
      </c>
    </row>
    <row r="254" spans="1:4">
      <c r="A254" s="7">
        <v>70101</v>
      </c>
      <c r="B254" s="7" t="s">
        <v>383</v>
      </c>
      <c r="C254" s="47">
        <v>50324728</v>
      </c>
      <c r="D254" s="47">
        <v>76282342.920000002</v>
      </c>
    </row>
    <row r="255" spans="1:4">
      <c r="A255" s="7">
        <v>70102</v>
      </c>
      <c r="B255" s="7" t="s">
        <v>300</v>
      </c>
      <c r="C255" s="47">
        <v>446811.6</v>
      </c>
      <c r="D255" s="47">
        <v>343796.98</v>
      </c>
    </row>
    <row r="256" spans="1:4">
      <c r="A256" s="7">
        <v>70103</v>
      </c>
      <c r="B256" s="7" t="s">
        <v>301</v>
      </c>
      <c r="C256" s="47">
        <v>0</v>
      </c>
      <c r="D256" s="47">
        <v>147063.06</v>
      </c>
    </row>
    <row r="257" spans="1:4">
      <c r="A257" s="7">
        <v>70104</v>
      </c>
      <c r="B257" s="7" t="s">
        <v>384</v>
      </c>
      <c r="C257" s="47">
        <v>0</v>
      </c>
      <c r="D257" s="47">
        <v>414846</v>
      </c>
    </row>
    <row r="258" spans="1:4">
      <c r="A258" s="7">
        <v>70105</v>
      </c>
      <c r="B258" s="7" t="s">
        <v>385</v>
      </c>
      <c r="C258" s="47">
        <v>404422</v>
      </c>
      <c r="D258" s="47">
        <v>303487</v>
      </c>
    </row>
    <row r="259" spans="1:4">
      <c r="A259" s="7">
        <v>70201</v>
      </c>
      <c r="B259" s="7" t="s">
        <v>303</v>
      </c>
      <c r="C259" s="47">
        <v>614952</v>
      </c>
      <c r="D259" s="47">
        <v>585080</v>
      </c>
    </row>
    <row r="260" spans="1:4">
      <c r="A260" s="7">
        <v>70202</v>
      </c>
      <c r="B260" s="7" t="s">
        <v>304</v>
      </c>
      <c r="C260" s="47">
        <v>0</v>
      </c>
      <c r="D260" s="47">
        <v>0</v>
      </c>
    </row>
    <row r="261" spans="1:4">
      <c r="A261" s="7">
        <v>70301</v>
      </c>
      <c r="B261" s="7" t="s">
        <v>305</v>
      </c>
      <c r="C261" s="47">
        <v>291236</v>
      </c>
      <c r="D261" s="47">
        <v>214104</v>
      </c>
    </row>
    <row r="262" spans="1:4">
      <c r="A262" s="7">
        <v>70302</v>
      </c>
      <c r="B262" s="7" t="s">
        <v>306</v>
      </c>
      <c r="C262" s="47">
        <v>0</v>
      </c>
      <c r="D262" s="47">
        <v>0</v>
      </c>
    </row>
    <row r="263" spans="1:4">
      <c r="A263" s="7">
        <v>70303</v>
      </c>
      <c r="B263" s="7" t="s">
        <v>307</v>
      </c>
      <c r="C263" s="47">
        <v>0</v>
      </c>
      <c r="D263" s="47">
        <v>0</v>
      </c>
    </row>
    <row r="264" spans="1:4">
      <c r="A264" s="7">
        <v>70401</v>
      </c>
      <c r="B264" s="7" t="s">
        <v>308</v>
      </c>
      <c r="C264" s="47">
        <v>0</v>
      </c>
      <c r="D264" s="47">
        <v>0</v>
      </c>
    </row>
    <row r="265" spans="1:4">
      <c r="A265" s="7">
        <v>70402</v>
      </c>
      <c r="B265" s="7" t="s">
        <v>386</v>
      </c>
      <c r="C265" s="47">
        <v>0</v>
      </c>
      <c r="D265" s="47">
        <v>257218</v>
      </c>
    </row>
    <row r="266" spans="1:4">
      <c r="A266" s="7">
        <v>70403</v>
      </c>
      <c r="B266" s="7" t="s">
        <v>309</v>
      </c>
      <c r="C266" s="47">
        <v>198720</v>
      </c>
      <c r="D266" s="47">
        <v>305519.2</v>
      </c>
    </row>
    <row r="267" spans="1:4">
      <c r="A267" s="7">
        <v>70404</v>
      </c>
      <c r="B267" s="7" t="s">
        <v>310</v>
      </c>
      <c r="C267" s="47">
        <v>0</v>
      </c>
      <c r="D267" s="47">
        <v>0</v>
      </c>
    </row>
    <row r="268" spans="1:4">
      <c r="A268" s="7">
        <v>70501</v>
      </c>
      <c r="B268" s="7" t="s">
        <v>311</v>
      </c>
      <c r="C268" s="47">
        <v>0</v>
      </c>
      <c r="D268" s="47">
        <v>0</v>
      </c>
    </row>
    <row r="269" spans="1:4">
      <c r="A269" s="7">
        <v>70502</v>
      </c>
      <c r="B269" s="7" t="s">
        <v>312</v>
      </c>
      <c r="C269" s="47">
        <v>0</v>
      </c>
      <c r="D269" s="47">
        <v>0</v>
      </c>
    </row>
    <row r="270" spans="1:4">
      <c r="A270" s="7">
        <v>70503</v>
      </c>
      <c r="B270" s="7" t="s">
        <v>313</v>
      </c>
      <c r="C270" s="47">
        <v>0</v>
      </c>
      <c r="D270" s="47">
        <v>403044.1</v>
      </c>
    </row>
    <row r="271" spans="1:4">
      <c r="A271" s="7">
        <v>70601</v>
      </c>
      <c r="B271" s="7" t="s">
        <v>314</v>
      </c>
      <c r="C271" s="47">
        <v>0</v>
      </c>
      <c r="D271" s="47">
        <v>586388</v>
      </c>
    </row>
    <row r="272" spans="1:4">
      <c r="A272" s="7">
        <v>70602</v>
      </c>
      <c r="B272" s="7" t="s">
        <v>315</v>
      </c>
      <c r="C272" s="47">
        <v>0</v>
      </c>
      <c r="D272" s="47">
        <v>0</v>
      </c>
    </row>
    <row r="273" spans="1:4">
      <c r="A273" s="7">
        <v>70603</v>
      </c>
      <c r="B273" s="7" t="s">
        <v>316</v>
      </c>
      <c r="C273" s="47">
        <v>0</v>
      </c>
      <c r="D273" s="47">
        <v>0</v>
      </c>
    </row>
    <row r="274" spans="1:4">
      <c r="A274" s="7">
        <v>70701</v>
      </c>
      <c r="B274" s="7" t="s">
        <v>317</v>
      </c>
      <c r="C274" s="47">
        <v>0</v>
      </c>
      <c r="D274" s="47">
        <v>0</v>
      </c>
    </row>
    <row r="275" spans="1:4">
      <c r="A275" s="7">
        <v>70702</v>
      </c>
      <c r="B275" s="7" t="s">
        <v>318</v>
      </c>
      <c r="C275" s="47">
        <v>0</v>
      </c>
      <c r="D275" s="47">
        <v>0</v>
      </c>
    </row>
    <row r="276" spans="1:4">
      <c r="A276" s="7">
        <v>70703</v>
      </c>
      <c r="B276" s="7" t="s">
        <v>319</v>
      </c>
      <c r="C276" s="47">
        <v>0</v>
      </c>
      <c r="D276" s="47">
        <v>0</v>
      </c>
    </row>
    <row r="277" spans="1:4">
      <c r="A277" s="7">
        <v>70704</v>
      </c>
      <c r="B277" s="7" t="s">
        <v>320</v>
      </c>
      <c r="C277" s="47">
        <v>0</v>
      </c>
      <c r="D277" s="47">
        <v>0</v>
      </c>
    </row>
    <row r="278" spans="1:4">
      <c r="A278" s="7">
        <v>70705</v>
      </c>
      <c r="B278" s="7" t="s">
        <v>321</v>
      </c>
      <c r="C278" s="47">
        <v>0</v>
      </c>
      <c r="D278" s="47">
        <v>0</v>
      </c>
    </row>
    <row r="279" spans="1:4">
      <c r="A279" s="7">
        <v>70706</v>
      </c>
      <c r="B279" s="7" t="s">
        <v>322</v>
      </c>
      <c r="C279" s="47">
        <v>0</v>
      </c>
      <c r="D279" s="47">
        <v>0</v>
      </c>
    </row>
    <row r="280" spans="1:4">
      <c r="A280" s="7">
        <v>70707</v>
      </c>
      <c r="B280" s="7" t="s">
        <v>323</v>
      </c>
      <c r="C280" s="47">
        <v>0</v>
      </c>
      <c r="D280" s="47">
        <v>0</v>
      </c>
    </row>
    <row r="281" spans="1:4">
      <c r="A281" s="7">
        <v>70801</v>
      </c>
      <c r="B281" s="7" t="s">
        <v>324</v>
      </c>
      <c r="C281" s="47">
        <v>0</v>
      </c>
      <c r="D281" s="47">
        <v>505522.08</v>
      </c>
    </row>
    <row r="282" spans="1:4">
      <c r="A282" s="7">
        <v>70802</v>
      </c>
      <c r="B282" s="7" t="s">
        <v>325</v>
      </c>
      <c r="C282" s="47">
        <v>0</v>
      </c>
      <c r="D282" s="47">
        <v>0</v>
      </c>
    </row>
    <row r="283" spans="1:4">
      <c r="A283" s="7">
        <v>70803</v>
      </c>
      <c r="B283" s="7" t="s">
        <v>326</v>
      </c>
      <c r="C283" s="47">
        <v>0</v>
      </c>
      <c r="D283" s="47">
        <v>0</v>
      </c>
    </row>
    <row r="284" spans="1:4">
      <c r="A284" s="7">
        <v>70804</v>
      </c>
      <c r="B284" s="7" t="s">
        <v>327</v>
      </c>
      <c r="C284" s="47">
        <v>0</v>
      </c>
      <c r="D284" s="47">
        <v>0</v>
      </c>
    </row>
    <row r="285" spans="1:4">
      <c r="A285" s="7">
        <v>70805</v>
      </c>
      <c r="B285" s="7" t="s">
        <v>328</v>
      </c>
      <c r="C285" s="47">
        <v>0</v>
      </c>
      <c r="D285" s="47">
        <v>0</v>
      </c>
    </row>
    <row r="286" spans="1:4">
      <c r="A286" s="7">
        <v>70901</v>
      </c>
      <c r="B286" s="7" t="s">
        <v>329</v>
      </c>
      <c r="C286" s="47">
        <v>0</v>
      </c>
      <c r="D286" s="47">
        <v>0</v>
      </c>
    </row>
    <row r="287" spans="1:4">
      <c r="A287" s="7">
        <v>70902</v>
      </c>
      <c r="B287" s="7" t="s">
        <v>330</v>
      </c>
      <c r="C287" s="47">
        <v>0</v>
      </c>
      <c r="D287" s="47">
        <v>0</v>
      </c>
    </row>
    <row r="288" spans="1:4">
      <c r="A288" s="7">
        <v>70903</v>
      </c>
      <c r="B288" s="7" t="s">
        <v>331</v>
      </c>
      <c r="C288" s="47">
        <v>0</v>
      </c>
      <c r="D288" s="47">
        <v>67955</v>
      </c>
    </row>
    <row r="289" spans="1:4">
      <c r="A289" s="7">
        <v>70904</v>
      </c>
      <c r="B289" s="7" t="s">
        <v>332</v>
      </c>
      <c r="C289" s="47">
        <v>0</v>
      </c>
      <c r="D289" s="47">
        <v>0</v>
      </c>
    </row>
    <row r="290" spans="1:4">
      <c r="A290" s="7">
        <v>71001</v>
      </c>
      <c r="B290" s="7" t="s">
        <v>333</v>
      </c>
      <c r="C290" s="47">
        <v>4573543.3</v>
      </c>
      <c r="D290" s="47">
        <v>426674.88</v>
      </c>
    </row>
    <row r="291" spans="1:4">
      <c r="A291" s="7">
        <v>71002</v>
      </c>
      <c r="B291" s="7" t="s">
        <v>335</v>
      </c>
      <c r="C291" s="47">
        <v>0</v>
      </c>
      <c r="D291" s="47">
        <v>0</v>
      </c>
    </row>
    <row r="292" spans="1:4">
      <c r="A292" s="7">
        <v>71003</v>
      </c>
      <c r="B292" s="7" t="s">
        <v>336</v>
      </c>
      <c r="C292" s="47">
        <v>0</v>
      </c>
      <c r="D292" s="47">
        <v>515196</v>
      </c>
    </row>
    <row r="293" spans="1:4">
      <c r="A293" s="7">
        <v>71004</v>
      </c>
      <c r="B293" s="7" t="s">
        <v>387</v>
      </c>
      <c r="C293" s="47">
        <v>0</v>
      </c>
      <c r="D293" s="47">
        <v>143088</v>
      </c>
    </row>
    <row r="294" spans="1:4">
      <c r="A294" s="7">
        <v>71005</v>
      </c>
      <c r="B294" s="7" t="s">
        <v>261</v>
      </c>
      <c r="C294" s="47">
        <v>0</v>
      </c>
      <c r="D294" s="47">
        <v>0</v>
      </c>
    </row>
    <row r="295" spans="1:4">
      <c r="A295" s="7">
        <v>71101</v>
      </c>
      <c r="B295" s="7" t="s">
        <v>337</v>
      </c>
      <c r="C295" s="47">
        <v>0</v>
      </c>
      <c r="D295" s="47">
        <v>0</v>
      </c>
    </row>
    <row r="296" spans="1:4">
      <c r="A296" s="7">
        <v>71102</v>
      </c>
      <c r="B296" s="7" t="s">
        <v>338</v>
      </c>
      <c r="C296" s="47">
        <v>0</v>
      </c>
      <c r="D296" s="47">
        <v>0</v>
      </c>
    </row>
    <row r="297" spans="1:4">
      <c r="A297" s="7">
        <v>71103</v>
      </c>
      <c r="B297" s="7" t="s">
        <v>341</v>
      </c>
      <c r="C297" s="47">
        <v>0</v>
      </c>
      <c r="D297" s="47">
        <v>0</v>
      </c>
    </row>
    <row r="298" spans="1:4">
      <c r="A298" s="7">
        <v>71104</v>
      </c>
      <c r="B298" s="7" t="s">
        <v>339</v>
      </c>
      <c r="C298" s="47">
        <v>0</v>
      </c>
      <c r="D298" s="47">
        <v>0</v>
      </c>
    </row>
    <row r="299" spans="1:4">
      <c r="A299" s="7">
        <v>71105</v>
      </c>
      <c r="B299" s="7" t="s">
        <v>340</v>
      </c>
      <c r="C299" s="47">
        <v>0</v>
      </c>
      <c r="D299" s="47">
        <v>0</v>
      </c>
    </row>
    <row r="300" spans="1:4">
      <c r="A300" s="7">
        <v>71106</v>
      </c>
      <c r="B300" s="7" t="s">
        <v>342</v>
      </c>
      <c r="C300" s="47">
        <v>0</v>
      </c>
      <c r="D300" s="47">
        <v>385536</v>
      </c>
    </row>
    <row r="301" spans="1:4">
      <c r="A301" s="7">
        <v>71201</v>
      </c>
      <c r="B301" s="7" t="s">
        <v>343</v>
      </c>
      <c r="C301" s="47">
        <v>0</v>
      </c>
      <c r="D301" s="47">
        <v>0</v>
      </c>
    </row>
    <row r="302" spans="1:4">
      <c r="A302" s="7">
        <v>71301</v>
      </c>
      <c r="B302" s="7" t="s">
        <v>344</v>
      </c>
      <c r="C302" s="47">
        <v>0</v>
      </c>
      <c r="D302" s="47">
        <v>0</v>
      </c>
    </row>
    <row r="303" spans="1:4">
      <c r="A303" s="7">
        <v>71302</v>
      </c>
      <c r="B303" s="7" t="s">
        <v>345</v>
      </c>
      <c r="C303" s="47">
        <v>0</v>
      </c>
      <c r="D303" s="47">
        <v>0</v>
      </c>
    </row>
    <row r="304" spans="1:4">
      <c r="A304" s="7">
        <v>71401</v>
      </c>
      <c r="B304" s="7" t="s">
        <v>346</v>
      </c>
      <c r="C304" s="47">
        <v>0</v>
      </c>
      <c r="D304" s="47">
        <v>0</v>
      </c>
    </row>
    <row r="305" spans="1:4">
      <c r="A305" s="7">
        <v>71402</v>
      </c>
      <c r="B305" s="7" t="s">
        <v>347</v>
      </c>
      <c r="C305" s="47">
        <v>0</v>
      </c>
      <c r="D305" s="47">
        <v>0</v>
      </c>
    </row>
    <row r="306" spans="1:4">
      <c r="A306" s="7">
        <v>71403</v>
      </c>
      <c r="B306" s="7" t="s">
        <v>348</v>
      </c>
      <c r="C306" s="47">
        <v>0</v>
      </c>
      <c r="D306" s="47">
        <v>0</v>
      </c>
    </row>
    <row r="307" spans="1:4">
      <c r="A307" s="7">
        <v>71501</v>
      </c>
      <c r="B307" s="7" t="s">
        <v>349</v>
      </c>
      <c r="C307" s="47">
        <v>0</v>
      </c>
      <c r="D307" s="47">
        <v>0</v>
      </c>
    </row>
    <row r="308" spans="1:4">
      <c r="A308" s="7">
        <v>71502</v>
      </c>
      <c r="B308" s="7" t="s">
        <v>350</v>
      </c>
      <c r="C308" s="47">
        <v>0</v>
      </c>
      <c r="D308" s="47">
        <v>0</v>
      </c>
    </row>
    <row r="309" spans="1:4">
      <c r="A309" s="7">
        <v>71503</v>
      </c>
      <c r="B309" s="7" t="s">
        <v>295</v>
      </c>
      <c r="C309" s="47">
        <v>0</v>
      </c>
      <c r="D309" s="47">
        <v>0</v>
      </c>
    </row>
    <row r="310" spans="1:4">
      <c r="A310" s="7">
        <v>80101</v>
      </c>
      <c r="B310" s="7" t="s">
        <v>351</v>
      </c>
      <c r="C310" s="47">
        <v>2786112</v>
      </c>
      <c r="D310" s="47">
        <v>2289998</v>
      </c>
    </row>
    <row r="311" spans="1:4">
      <c r="A311" s="7">
        <v>80102</v>
      </c>
      <c r="B311" s="7" t="s">
        <v>338</v>
      </c>
      <c r="C311" s="47">
        <v>0</v>
      </c>
      <c r="D311" s="47">
        <v>0</v>
      </c>
    </row>
    <row r="312" spans="1:4">
      <c r="A312" s="7">
        <v>80201</v>
      </c>
      <c r="B312" s="7" t="s">
        <v>352</v>
      </c>
      <c r="C312" s="47">
        <v>0</v>
      </c>
      <c r="D312" s="47">
        <v>0</v>
      </c>
    </row>
    <row r="313" spans="1:4">
      <c r="A313" s="7">
        <v>80202</v>
      </c>
      <c r="B313" s="7" t="s">
        <v>353</v>
      </c>
      <c r="C313" s="47">
        <v>0</v>
      </c>
      <c r="D313" s="47">
        <v>0</v>
      </c>
    </row>
    <row r="314" spans="1:4">
      <c r="A314" s="7">
        <v>80301</v>
      </c>
      <c r="B314" s="7" t="s">
        <v>354</v>
      </c>
      <c r="C314" s="47">
        <v>0</v>
      </c>
      <c r="D314" s="47">
        <v>0</v>
      </c>
    </row>
    <row r="315" spans="1:4">
      <c r="A315" s="7">
        <v>80302</v>
      </c>
      <c r="B315" s="7" t="s">
        <v>355</v>
      </c>
      <c r="C315" s="47">
        <v>0</v>
      </c>
      <c r="D315" s="47">
        <v>0</v>
      </c>
    </row>
    <row r="316" spans="1:4">
      <c r="A316" s="7">
        <v>80303</v>
      </c>
      <c r="B316" s="7" t="s">
        <v>315</v>
      </c>
      <c r="C316" s="47">
        <v>0</v>
      </c>
      <c r="D316" s="47">
        <v>0</v>
      </c>
    </row>
    <row r="317" spans="1:4">
      <c r="A317" s="7">
        <v>80304</v>
      </c>
      <c r="B317" s="7" t="s">
        <v>356</v>
      </c>
      <c r="C317" s="47">
        <v>0</v>
      </c>
      <c r="D317" s="47">
        <v>0</v>
      </c>
    </row>
    <row r="318" spans="1:4">
      <c r="A318" s="7">
        <v>80401</v>
      </c>
      <c r="B318" s="7" t="s">
        <v>357</v>
      </c>
      <c r="C318" s="47">
        <v>0</v>
      </c>
      <c r="D318" s="47">
        <v>0</v>
      </c>
    </row>
    <row r="319" spans="1:4">
      <c r="A319" s="7">
        <v>80402</v>
      </c>
      <c r="B319" s="7" t="s">
        <v>358</v>
      </c>
      <c r="C319" s="47">
        <v>0</v>
      </c>
      <c r="D319" s="47">
        <v>0</v>
      </c>
    </row>
    <row r="320" spans="1:4">
      <c r="A320" s="7">
        <v>80501</v>
      </c>
      <c r="B320" s="7" t="s">
        <v>305</v>
      </c>
      <c r="C320" s="47">
        <v>0</v>
      </c>
      <c r="D320" s="47">
        <v>0</v>
      </c>
    </row>
    <row r="321" spans="1:4">
      <c r="A321" s="7">
        <v>80601</v>
      </c>
      <c r="B321" s="7" t="s">
        <v>359</v>
      </c>
      <c r="C321" s="47">
        <v>0</v>
      </c>
      <c r="D321" s="47">
        <v>0</v>
      </c>
    </row>
    <row r="322" spans="1:4">
      <c r="A322" s="7">
        <v>80602</v>
      </c>
      <c r="B322" s="7" t="s">
        <v>360</v>
      </c>
      <c r="C322" s="47">
        <v>0</v>
      </c>
      <c r="D322" s="47">
        <v>0</v>
      </c>
    </row>
    <row r="323" spans="1:4">
      <c r="A323" s="7">
        <v>80701</v>
      </c>
      <c r="B323" s="7" t="s">
        <v>361</v>
      </c>
      <c r="C323" s="47">
        <v>0</v>
      </c>
      <c r="D323" s="47">
        <v>0</v>
      </c>
    </row>
    <row r="324" spans="1:4">
      <c r="A324" s="7">
        <v>80702</v>
      </c>
      <c r="B324" s="7" t="s">
        <v>341</v>
      </c>
      <c r="C324" s="47">
        <v>0</v>
      </c>
      <c r="D324" s="47">
        <v>0</v>
      </c>
    </row>
    <row r="325" spans="1:4">
      <c r="A325" s="7">
        <v>80703</v>
      </c>
      <c r="B325" s="7" t="s">
        <v>362</v>
      </c>
      <c r="C325" s="47">
        <v>0</v>
      </c>
      <c r="D325" s="47">
        <v>0</v>
      </c>
    </row>
    <row r="326" spans="1:4">
      <c r="A326" s="7">
        <v>80801</v>
      </c>
      <c r="B326" s="7" t="s">
        <v>363</v>
      </c>
      <c r="C326" s="47">
        <v>0</v>
      </c>
      <c r="D326" s="47">
        <v>0</v>
      </c>
    </row>
    <row r="327" spans="1:4">
      <c r="A327" s="7">
        <v>80802</v>
      </c>
      <c r="B327" s="7" t="s">
        <v>364</v>
      </c>
      <c r="C327" s="47">
        <v>0</v>
      </c>
      <c r="D327" s="47">
        <v>0</v>
      </c>
    </row>
    <row r="328" spans="1:4">
      <c r="A328" s="7">
        <v>80803</v>
      </c>
      <c r="B328" s="7" t="s">
        <v>365</v>
      </c>
      <c r="C328" s="47">
        <v>0</v>
      </c>
      <c r="D328" s="47">
        <v>0</v>
      </c>
    </row>
    <row r="329" spans="1:4">
      <c r="A329" s="7">
        <v>80901</v>
      </c>
      <c r="B329" s="7" t="s">
        <v>366</v>
      </c>
      <c r="C329" s="47">
        <v>0</v>
      </c>
      <c r="D329" s="47">
        <v>0</v>
      </c>
    </row>
    <row r="330" spans="1:4">
      <c r="A330" s="7">
        <v>90101</v>
      </c>
      <c r="B330" s="7" t="s">
        <v>367</v>
      </c>
      <c r="C330" s="47">
        <v>0</v>
      </c>
      <c r="D330" s="47">
        <v>0</v>
      </c>
    </row>
    <row r="331" spans="1:4">
      <c r="A331" s="7">
        <v>90102</v>
      </c>
      <c r="B331" s="7" t="s">
        <v>368</v>
      </c>
      <c r="C331" s="47">
        <v>0</v>
      </c>
      <c r="D331" s="47">
        <v>0</v>
      </c>
    </row>
    <row r="332" spans="1:4">
      <c r="A332" s="7">
        <v>90103</v>
      </c>
      <c r="B332" s="7" t="s">
        <v>369</v>
      </c>
      <c r="C332" s="47">
        <v>0</v>
      </c>
      <c r="D332" s="47">
        <v>0</v>
      </c>
    </row>
    <row r="333" spans="1:4">
      <c r="A333" s="7">
        <v>90104</v>
      </c>
      <c r="B333" s="7" t="s">
        <v>370</v>
      </c>
      <c r="C333" s="47">
        <v>0</v>
      </c>
      <c r="D333" s="47">
        <v>0</v>
      </c>
    </row>
    <row r="334" spans="1:4">
      <c r="A334" s="7">
        <v>90201</v>
      </c>
      <c r="B334" s="7" t="s">
        <v>371</v>
      </c>
      <c r="C334" s="47">
        <v>0</v>
      </c>
      <c r="D334" s="47">
        <v>0</v>
      </c>
    </row>
    <row r="335" spans="1:4">
      <c r="A335" s="7">
        <v>90202</v>
      </c>
      <c r="B335" s="7" t="s">
        <v>261</v>
      </c>
      <c r="C335" s="47">
        <v>0</v>
      </c>
      <c r="D335" s="47">
        <v>0</v>
      </c>
    </row>
    <row r="336" spans="1:4">
      <c r="A336" s="7">
        <v>90203</v>
      </c>
      <c r="B336" s="7" t="s">
        <v>372</v>
      </c>
      <c r="C336" s="47">
        <v>0</v>
      </c>
      <c r="D336" s="47">
        <v>0</v>
      </c>
    </row>
    <row r="337" spans="1:4">
      <c r="A337" s="7">
        <v>90301</v>
      </c>
      <c r="B337" s="7" t="s">
        <v>373</v>
      </c>
      <c r="C337" s="47">
        <v>0</v>
      </c>
      <c r="D337" s="47">
        <v>0</v>
      </c>
    </row>
    <row r="338" spans="1:4">
      <c r="A338" s="7">
        <v>90302</v>
      </c>
      <c r="B338" s="7" t="s">
        <v>294</v>
      </c>
      <c r="C338" s="47">
        <v>0</v>
      </c>
      <c r="D338" s="47">
        <v>0</v>
      </c>
    </row>
    <row r="339" spans="1:4">
      <c r="A339" s="7">
        <v>90303</v>
      </c>
      <c r="B339" s="7" t="s">
        <v>374</v>
      </c>
      <c r="C339" s="47">
        <v>0</v>
      </c>
      <c r="D339" s="47">
        <v>0</v>
      </c>
    </row>
    <row r="340" spans="1:4">
      <c r="A340" s="7">
        <v>90401</v>
      </c>
      <c r="B340" s="7" t="s">
        <v>315</v>
      </c>
      <c r="C340" s="47">
        <v>0</v>
      </c>
      <c r="D340" s="47">
        <v>0</v>
      </c>
    </row>
    <row r="341" spans="1:4">
      <c r="A341" s="7">
        <v>90402</v>
      </c>
      <c r="B341" s="7" t="s">
        <v>375</v>
      </c>
      <c r="C341" s="47">
        <v>0</v>
      </c>
      <c r="D341" s="47">
        <v>0</v>
      </c>
    </row>
    <row r="342" spans="1:4">
      <c r="A342" s="7">
        <v>90501</v>
      </c>
      <c r="B342" s="7" t="s">
        <v>376</v>
      </c>
      <c r="C342" s="47">
        <v>0</v>
      </c>
      <c r="D342" s="47">
        <v>0</v>
      </c>
    </row>
    <row r="343" spans="1:4">
      <c r="A343" s="7">
        <v>90502</v>
      </c>
      <c r="B343" s="7" t="s">
        <v>377</v>
      </c>
      <c r="C343" s="47">
        <v>0</v>
      </c>
      <c r="D343" s="47">
        <v>0</v>
      </c>
    </row>
    <row r="344" spans="1:4">
      <c r="A344" s="7">
        <v>90503</v>
      </c>
      <c r="B344" s="7" t="s">
        <v>378</v>
      </c>
      <c r="C344" s="47">
        <v>0</v>
      </c>
      <c r="D344" s="47">
        <v>0</v>
      </c>
    </row>
    <row r="345" spans="1:4">
      <c r="C345" s="57"/>
      <c r="D345" s="57"/>
    </row>
    <row r="346" spans="1:4">
      <c r="C346" s="57"/>
      <c r="D346" s="57"/>
    </row>
    <row r="347" spans="1:4">
      <c r="C347" s="57"/>
      <c r="D347" s="57"/>
    </row>
    <row r="348" spans="1:4">
      <c r="C348" s="57"/>
      <c r="D348" s="57"/>
    </row>
    <row r="349" spans="1:4">
      <c r="C349" s="57"/>
      <c r="D349" s="57"/>
    </row>
    <row r="350" spans="1:4">
      <c r="C350" s="57"/>
      <c r="D350" s="57"/>
    </row>
    <row r="351" spans="1:4">
      <c r="C351" s="57"/>
      <c r="D351" s="57"/>
    </row>
    <row r="352" spans="1:4">
      <c r="C352" s="57"/>
      <c r="D352" s="57"/>
    </row>
    <row r="353" spans="3:4">
      <c r="C353" s="57"/>
      <c r="D353" s="57"/>
    </row>
    <row r="354" spans="3:4">
      <c r="C354" s="57"/>
      <c r="D354" s="57"/>
    </row>
    <row r="355" spans="3:4">
      <c r="C355" s="57"/>
      <c r="D355" s="57"/>
    </row>
    <row r="356" spans="3:4">
      <c r="C356" s="57"/>
      <c r="D356" s="57"/>
    </row>
    <row r="357" spans="3:4">
      <c r="C357" s="57"/>
      <c r="D357" s="57"/>
    </row>
    <row r="358" spans="3:4">
      <c r="C358" s="57"/>
      <c r="D358" s="57"/>
    </row>
    <row r="359" spans="3:4">
      <c r="C359" s="57"/>
      <c r="D359" s="57"/>
    </row>
    <row r="360" spans="3:4">
      <c r="C360" s="57"/>
      <c r="D360" s="57"/>
    </row>
    <row r="361" spans="3:4">
      <c r="C361" s="57"/>
      <c r="D361" s="57"/>
    </row>
    <row r="362" spans="3:4">
      <c r="C362" s="57"/>
      <c r="D362" s="57"/>
    </row>
    <row r="363" spans="3:4">
      <c r="C363" s="57"/>
      <c r="D363" s="57"/>
    </row>
    <row r="364" spans="3:4">
      <c r="C364" s="57"/>
      <c r="D364" s="57"/>
    </row>
    <row r="365" spans="3:4">
      <c r="C365" s="57"/>
      <c r="D365" s="57"/>
    </row>
    <row r="366" spans="3:4">
      <c r="C366" s="57"/>
      <c r="D366" s="57"/>
    </row>
    <row r="367" spans="3:4">
      <c r="C367" s="57"/>
      <c r="D367" s="57"/>
    </row>
    <row r="368" spans="3:4">
      <c r="C368" s="57"/>
      <c r="D368" s="57"/>
    </row>
    <row r="369" spans="3:4">
      <c r="C369" s="57"/>
      <c r="D369" s="57"/>
    </row>
    <row r="370" spans="3:4">
      <c r="C370" s="57"/>
      <c r="D370" s="57"/>
    </row>
    <row r="371" spans="3:4">
      <c r="C371" s="57"/>
      <c r="D371" s="57"/>
    </row>
    <row r="372" spans="3:4">
      <c r="C372" s="57"/>
      <c r="D372" s="57"/>
    </row>
    <row r="373" spans="3:4">
      <c r="C373" s="57"/>
      <c r="D373" s="57"/>
    </row>
    <row r="374" spans="3:4">
      <c r="C374" s="57"/>
      <c r="D374" s="57"/>
    </row>
    <row r="375" spans="3:4">
      <c r="C375" s="57"/>
      <c r="D375" s="57"/>
    </row>
    <row r="376" spans="3:4">
      <c r="C376" s="57"/>
      <c r="D376" s="57"/>
    </row>
    <row r="377" spans="3:4">
      <c r="C377" s="57"/>
      <c r="D377" s="57"/>
    </row>
    <row r="378" spans="3:4">
      <c r="C378" s="57"/>
      <c r="D378" s="57"/>
    </row>
    <row r="379" spans="3:4">
      <c r="C379" s="57"/>
      <c r="D379" s="57"/>
    </row>
    <row r="380" spans="3:4">
      <c r="C380" s="57"/>
      <c r="D380" s="57"/>
    </row>
    <row r="381" spans="3:4">
      <c r="C381" s="57"/>
      <c r="D381" s="57"/>
    </row>
    <row r="382" spans="3:4">
      <c r="C382" s="57"/>
      <c r="D382" s="57"/>
    </row>
    <row r="383" spans="3:4">
      <c r="C383" s="57"/>
      <c r="D383" s="57"/>
    </row>
    <row r="384" spans="3:4">
      <c r="C384" s="57"/>
      <c r="D384" s="57"/>
    </row>
    <row r="385" spans="3:4">
      <c r="C385" s="57"/>
      <c r="D385" s="57"/>
    </row>
    <row r="386" spans="3:4">
      <c r="C386" s="57"/>
      <c r="D386" s="57"/>
    </row>
    <row r="387" spans="3:4">
      <c r="C387" s="57"/>
      <c r="D387" s="57"/>
    </row>
    <row r="388" spans="3:4">
      <c r="C388" s="57"/>
      <c r="D388" s="57"/>
    </row>
    <row r="389" spans="3:4">
      <c r="C389" s="57"/>
      <c r="D389" s="57"/>
    </row>
    <row r="390" spans="3:4">
      <c r="C390" s="57"/>
      <c r="D390" s="57"/>
    </row>
    <row r="391" spans="3:4">
      <c r="C391" s="57"/>
      <c r="D391" s="57"/>
    </row>
    <row r="392" spans="3:4">
      <c r="C392" s="57"/>
      <c r="D392" s="57"/>
    </row>
    <row r="393" spans="3:4">
      <c r="C393" s="57"/>
      <c r="D393" s="57"/>
    </row>
    <row r="394" spans="3:4">
      <c r="C394" s="57"/>
      <c r="D394" s="57"/>
    </row>
    <row r="395" spans="3:4">
      <c r="C395" s="57"/>
      <c r="D395" s="57"/>
    </row>
    <row r="396" spans="3:4">
      <c r="C396" s="57"/>
      <c r="D396" s="57"/>
    </row>
    <row r="397" spans="3:4">
      <c r="C397" s="57"/>
      <c r="D397" s="57"/>
    </row>
    <row r="398" spans="3:4">
      <c r="C398" s="57"/>
      <c r="D398" s="57"/>
    </row>
    <row r="399" spans="3:4">
      <c r="C399" s="57"/>
      <c r="D399" s="57"/>
    </row>
    <row r="400" spans="3:4">
      <c r="C400" s="57"/>
      <c r="D400" s="57"/>
    </row>
    <row r="401" spans="3:4">
      <c r="C401" s="57"/>
      <c r="D401" s="57"/>
    </row>
    <row r="402" spans="3:4">
      <c r="C402" s="57"/>
      <c r="D402" s="57"/>
    </row>
    <row r="403" spans="3:4">
      <c r="C403" s="57"/>
      <c r="D403" s="57"/>
    </row>
    <row r="404" spans="3:4">
      <c r="C404" s="57"/>
      <c r="D404" s="57"/>
    </row>
    <row r="405" spans="3:4">
      <c r="C405" s="57"/>
      <c r="D405" s="57"/>
    </row>
    <row r="406" spans="3:4">
      <c r="C406" s="57"/>
      <c r="D406" s="57"/>
    </row>
    <row r="407" spans="3:4">
      <c r="C407" s="57"/>
      <c r="D407" s="57"/>
    </row>
    <row r="408" spans="3:4">
      <c r="C408" s="57"/>
      <c r="D408" s="57"/>
    </row>
    <row r="409" spans="3:4">
      <c r="C409" s="57"/>
      <c r="D409" s="57"/>
    </row>
    <row r="410" spans="3:4">
      <c r="C410" s="57"/>
      <c r="D410" s="57"/>
    </row>
    <row r="411" spans="3:4">
      <c r="C411" s="57"/>
      <c r="D411" s="57"/>
    </row>
    <row r="412" spans="3:4">
      <c r="C412" s="57"/>
      <c r="D412" s="57"/>
    </row>
    <row r="413" spans="3:4">
      <c r="C413" s="57"/>
      <c r="D413" s="57"/>
    </row>
    <row r="414" spans="3:4">
      <c r="C414" s="57"/>
      <c r="D414" s="57"/>
    </row>
    <row r="415" spans="3:4">
      <c r="C415" s="57"/>
      <c r="D415" s="57"/>
    </row>
    <row r="416" spans="3:4">
      <c r="C416" s="57"/>
      <c r="D416" s="57"/>
    </row>
    <row r="417" spans="3:4">
      <c r="C417" s="57"/>
      <c r="D417" s="57"/>
    </row>
    <row r="418" spans="3:4">
      <c r="C418" s="57"/>
      <c r="D418" s="57"/>
    </row>
    <row r="419" spans="3:4">
      <c r="C419" s="57"/>
      <c r="D419" s="57"/>
    </row>
    <row r="420" spans="3:4">
      <c r="C420" s="57"/>
      <c r="D420" s="57"/>
    </row>
    <row r="421" spans="3:4">
      <c r="C421" s="57"/>
      <c r="D421" s="57"/>
    </row>
    <row r="422" spans="3:4">
      <c r="C422" s="57"/>
      <c r="D422" s="57"/>
    </row>
    <row r="423" spans="3:4">
      <c r="C423" s="57"/>
      <c r="D423" s="57"/>
    </row>
    <row r="424" spans="3:4">
      <c r="C424" s="57"/>
      <c r="D424" s="57"/>
    </row>
    <row r="425" spans="3:4">
      <c r="C425" s="57"/>
      <c r="D425" s="57"/>
    </row>
    <row r="426" spans="3:4">
      <c r="C426" s="57"/>
      <c r="D426" s="57"/>
    </row>
    <row r="427" spans="3:4">
      <c r="C427" s="57"/>
      <c r="D427" s="57"/>
    </row>
    <row r="428" spans="3:4">
      <c r="C428" s="57"/>
      <c r="D428" s="57"/>
    </row>
    <row r="429" spans="3:4">
      <c r="C429" s="57"/>
      <c r="D429" s="57"/>
    </row>
    <row r="430" spans="3:4">
      <c r="C430" s="57"/>
      <c r="D430" s="57"/>
    </row>
    <row r="431" spans="3:4">
      <c r="C431" s="57"/>
      <c r="D431" s="57"/>
    </row>
    <row r="432" spans="3:4">
      <c r="C432" s="57"/>
      <c r="D432" s="57"/>
    </row>
    <row r="433" spans="3:4">
      <c r="C433" s="57"/>
      <c r="D433" s="57"/>
    </row>
    <row r="434" spans="3:4">
      <c r="C434" s="57"/>
      <c r="D434" s="57"/>
    </row>
    <row r="435" spans="3:4">
      <c r="C435" s="57"/>
      <c r="D435" s="57"/>
    </row>
    <row r="436" spans="3:4">
      <c r="C436" s="57"/>
      <c r="D436" s="57"/>
    </row>
    <row r="437" spans="3:4">
      <c r="C437" s="57"/>
      <c r="D437" s="57"/>
    </row>
    <row r="438" spans="3:4">
      <c r="C438" s="57"/>
      <c r="D438" s="57"/>
    </row>
    <row r="439" spans="3:4">
      <c r="C439" s="57"/>
      <c r="D439" s="57"/>
    </row>
    <row r="440" spans="3:4">
      <c r="C440" s="57"/>
      <c r="D440" s="57"/>
    </row>
    <row r="441" spans="3:4">
      <c r="C441" s="57"/>
      <c r="D441" s="57"/>
    </row>
    <row r="442" spans="3:4">
      <c r="C442" s="57"/>
      <c r="D442" s="57"/>
    </row>
    <row r="443" spans="3:4">
      <c r="C443" s="57"/>
      <c r="D443" s="57"/>
    </row>
    <row r="444" spans="3:4">
      <c r="C444" s="57"/>
      <c r="D444" s="57"/>
    </row>
    <row r="445" spans="3:4">
      <c r="C445" s="57"/>
      <c r="D445" s="57"/>
    </row>
    <row r="446" spans="3:4">
      <c r="C446" s="57"/>
      <c r="D446" s="57"/>
    </row>
    <row r="447" spans="3:4">
      <c r="C447" s="57"/>
      <c r="D447" s="57"/>
    </row>
    <row r="448" spans="3:4">
      <c r="C448" s="57"/>
      <c r="D448" s="57"/>
    </row>
    <row r="449" spans="3:4">
      <c r="C449" s="57"/>
      <c r="D449" s="57"/>
    </row>
    <row r="450" spans="3:4">
      <c r="C450" s="57"/>
      <c r="D450" s="57"/>
    </row>
    <row r="451" spans="3:4">
      <c r="C451" s="57"/>
      <c r="D451" s="57"/>
    </row>
    <row r="452" spans="3:4">
      <c r="C452" s="57"/>
      <c r="D452" s="57"/>
    </row>
    <row r="453" spans="3:4">
      <c r="C453" s="57"/>
      <c r="D453" s="57"/>
    </row>
    <row r="454" spans="3:4">
      <c r="C454" s="57"/>
      <c r="D454" s="57"/>
    </row>
    <row r="455" spans="3:4">
      <c r="C455" s="57"/>
      <c r="D455" s="57"/>
    </row>
    <row r="456" spans="3:4">
      <c r="C456" s="57"/>
      <c r="D456" s="57"/>
    </row>
    <row r="457" spans="3:4">
      <c r="C457" s="57"/>
      <c r="D457" s="57"/>
    </row>
    <row r="458" spans="3:4">
      <c r="C458" s="57"/>
      <c r="D458" s="57"/>
    </row>
    <row r="459" spans="3:4">
      <c r="C459" s="57"/>
      <c r="D459" s="57"/>
    </row>
    <row r="460" spans="3:4">
      <c r="C460" s="57"/>
      <c r="D460" s="57"/>
    </row>
    <row r="461" spans="3:4">
      <c r="C461" s="57"/>
      <c r="D461" s="57"/>
    </row>
    <row r="462" spans="3:4">
      <c r="C462" s="57"/>
      <c r="D462" s="57"/>
    </row>
    <row r="463" spans="3:4">
      <c r="C463" s="57"/>
      <c r="D463" s="57"/>
    </row>
    <row r="464" spans="3:4">
      <c r="C464" s="57"/>
      <c r="D464" s="57"/>
    </row>
    <row r="465" spans="3:4">
      <c r="C465" s="57"/>
      <c r="D465" s="57"/>
    </row>
    <row r="466" spans="3:4">
      <c r="C466" s="57"/>
      <c r="D466" s="57"/>
    </row>
    <row r="467" spans="3:4">
      <c r="C467" s="57"/>
      <c r="D467" s="57"/>
    </row>
    <row r="468" spans="3:4">
      <c r="C468" s="57"/>
      <c r="D468" s="57"/>
    </row>
    <row r="469" spans="3:4">
      <c r="C469" s="57"/>
      <c r="D469" s="57"/>
    </row>
    <row r="470" spans="3:4">
      <c r="C470" s="57"/>
      <c r="D470" s="57"/>
    </row>
    <row r="471" spans="3:4">
      <c r="C471" s="57"/>
      <c r="D471" s="57"/>
    </row>
    <row r="472" spans="3:4">
      <c r="C472" s="57"/>
      <c r="D472" s="57"/>
    </row>
    <row r="473" spans="3:4">
      <c r="C473" s="57"/>
      <c r="D473" s="57"/>
    </row>
    <row r="474" spans="3:4">
      <c r="C474" s="57"/>
      <c r="D474" s="57"/>
    </row>
    <row r="475" spans="3:4">
      <c r="C475" s="57"/>
      <c r="D475" s="57"/>
    </row>
    <row r="476" spans="3:4">
      <c r="C476" s="57"/>
      <c r="D476" s="57"/>
    </row>
    <row r="477" spans="3:4">
      <c r="C477" s="57"/>
      <c r="D477" s="57"/>
    </row>
    <row r="478" spans="3:4">
      <c r="C478" s="57"/>
      <c r="D478" s="57"/>
    </row>
    <row r="479" spans="3:4">
      <c r="C479" s="57"/>
      <c r="D479" s="57"/>
    </row>
    <row r="480" spans="3:4">
      <c r="C480" s="57"/>
      <c r="D480" s="57"/>
    </row>
    <row r="481" spans="3:4">
      <c r="C481" s="57"/>
      <c r="D481" s="57"/>
    </row>
    <row r="482" spans="3:4">
      <c r="C482" s="57"/>
      <c r="D482" s="57"/>
    </row>
    <row r="483" spans="3:4">
      <c r="C483" s="57"/>
      <c r="D483" s="57"/>
    </row>
    <row r="484" spans="3:4">
      <c r="C484" s="57"/>
      <c r="D484" s="57"/>
    </row>
    <row r="485" spans="3:4">
      <c r="C485" s="57"/>
      <c r="D485" s="57"/>
    </row>
    <row r="486" spans="3:4">
      <c r="C486" s="57"/>
      <c r="D486" s="57"/>
    </row>
    <row r="487" spans="3:4">
      <c r="C487" s="57"/>
      <c r="D487" s="57"/>
    </row>
    <row r="488" spans="3:4">
      <c r="C488" s="57"/>
      <c r="D488" s="57"/>
    </row>
    <row r="489" spans="3:4">
      <c r="C489" s="57"/>
      <c r="D489" s="57"/>
    </row>
    <row r="490" spans="3:4">
      <c r="C490" s="57"/>
      <c r="D490" s="57"/>
    </row>
    <row r="491" spans="3:4">
      <c r="C491" s="57"/>
      <c r="D491" s="57"/>
    </row>
    <row r="492" spans="3:4">
      <c r="C492" s="57"/>
      <c r="D492" s="57"/>
    </row>
    <row r="493" spans="3:4">
      <c r="C493" s="57"/>
      <c r="D493" s="57"/>
    </row>
    <row r="494" spans="3:4">
      <c r="C494" s="57"/>
      <c r="D494" s="57"/>
    </row>
    <row r="495" spans="3:4">
      <c r="C495" s="57"/>
      <c r="D495" s="57"/>
    </row>
    <row r="496" spans="3:4">
      <c r="C496" s="57"/>
      <c r="D496" s="57"/>
    </row>
    <row r="497" spans="3:4">
      <c r="C497" s="57"/>
      <c r="D497" s="57"/>
    </row>
    <row r="498" spans="3:4">
      <c r="C498" s="57"/>
      <c r="D498" s="57"/>
    </row>
    <row r="499" spans="3:4">
      <c r="C499" s="57"/>
      <c r="D499" s="57"/>
    </row>
    <row r="500" spans="3:4">
      <c r="C500" s="57"/>
      <c r="D500" s="57"/>
    </row>
    <row r="501" spans="3:4">
      <c r="C501" s="57"/>
      <c r="D501" s="57"/>
    </row>
    <row r="502" spans="3:4">
      <c r="C502" s="57"/>
      <c r="D502" s="57"/>
    </row>
    <row r="503" spans="3:4">
      <c r="C503" s="57"/>
      <c r="D503" s="57"/>
    </row>
    <row r="504" spans="3:4">
      <c r="C504" s="57"/>
      <c r="D504" s="57"/>
    </row>
    <row r="505" spans="3:4">
      <c r="C505" s="57"/>
      <c r="D505" s="57"/>
    </row>
    <row r="506" spans="3:4">
      <c r="C506" s="57"/>
      <c r="D506" s="57"/>
    </row>
    <row r="507" spans="3:4">
      <c r="C507" s="57"/>
      <c r="D507" s="57"/>
    </row>
    <row r="508" spans="3:4">
      <c r="C508" s="57"/>
      <c r="D508" s="57"/>
    </row>
    <row r="509" spans="3:4">
      <c r="C509" s="57"/>
      <c r="D509" s="57"/>
    </row>
    <row r="510" spans="3:4">
      <c r="C510" s="57"/>
      <c r="D510" s="57"/>
    </row>
    <row r="511" spans="3:4">
      <c r="C511" s="57"/>
      <c r="D511" s="57"/>
    </row>
    <row r="512" spans="3:4">
      <c r="C512" s="57"/>
      <c r="D512" s="57"/>
    </row>
    <row r="513" spans="3:4">
      <c r="C513" s="57"/>
      <c r="D513" s="57"/>
    </row>
    <row r="514" spans="3:4">
      <c r="C514" s="57"/>
      <c r="D514" s="57"/>
    </row>
    <row r="515" spans="3:4">
      <c r="C515" s="57"/>
      <c r="D515" s="57"/>
    </row>
    <row r="516" spans="3:4">
      <c r="C516" s="57"/>
      <c r="D516" s="57"/>
    </row>
    <row r="517" spans="3:4">
      <c r="C517" s="57"/>
      <c r="D517" s="57"/>
    </row>
    <row r="518" spans="3:4">
      <c r="C518" s="57"/>
      <c r="D518" s="57"/>
    </row>
    <row r="519" spans="3:4">
      <c r="C519" s="57"/>
      <c r="D519" s="57"/>
    </row>
    <row r="520" spans="3:4">
      <c r="C520" s="57"/>
      <c r="D520" s="57"/>
    </row>
    <row r="521" spans="3:4">
      <c r="C521" s="57"/>
      <c r="D521" s="57"/>
    </row>
    <row r="522" spans="3:4">
      <c r="C522" s="57"/>
      <c r="D522" s="57"/>
    </row>
    <row r="523" spans="3:4">
      <c r="C523" s="57"/>
      <c r="D523" s="57"/>
    </row>
    <row r="524" spans="3:4">
      <c r="C524" s="57"/>
      <c r="D524" s="57"/>
    </row>
    <row r="525" spans="3:4">
      <c r="C525" s="57"/>
      <c r="D525" s="57"/>
    </row>
    <row r="526" spans="3:4">
      <c r="C526" s="57"/>
      <c r="D526" s="57"/>
    </row>
    <row r="527" spans="3:4">
      <c r="C527" s="57"/>
      <c r="D527" s="57"/>
    </row>
    <row r="528" spans="3:4">
      <c r="C528" s="57"/>
      <c r="D528" s="57"/>
    </row>
    <row r="529" spans="3:4">
      <c r="C529" s="57"/>
      <c r="D529" s="57"/>
    </row>
    <row r="530" spans="3:4">
      <c r="C530" s="57"/>
      <c r="D530" s="57"/>
    </row>
    <row r="531" spans="3:4">
      <c r="C531" s="57"/>
      <c r="D531" s="57"/>
    </row>
    <row r="532" spans="3:4">
      <c r="C532" s="57"/>
      <c r="D532" s="57"/>
    </row>
    <row r="533" spans="3:4">
      <c r="C533" s="57"/>
      <c r="D533" s="57"/>
    </row>
    <row r="534" spans="3:4">
      <c r="C534" s="57"/>
      <c r="D534" s="57"/>
    </row>
    <row r="535" spans="3:4">
      <c r="C535" s="57"/>
      <c r="D535" s="57"/>
    </row>
    <row r="536" spans="3:4">
      <c r="C536" s="57"/>
      <c r="D536" s="57"/>
    </row>
    <row r="537" spans="3:4">
      <c r="C537" s="57"/>
      <c r="D537" s="57"/>
    </row>
    <row r="538" spans="3:4">
      <c r="C538" s="57"/>
      <c r="D538" s="57"/>
    </row>
    <row r="539" spans="3:4">
      <c r="C539" s="57"/>
      <c r="D539" s="57"/>
    </row>
    <row r="540" spans="3:4">
      <c r="C540" s="57"/>
      <c r="D540" s="57"/>
    </row>
    <row r="541" spans="3:4">
      <c r="C541" s="57"/>
      <c r="D541" s="57"/>
    </row>
    <row r="542" spans="3:4">
      <c r="C542" s="57"/>
      <c r="D542" s="57"/>
    </row>
    <row r="543" spans="3:4">
      <c r="C543" s="57"/>
      <c r="D543" s="57"/>
    </row>
    <row r="544" spans="3:4">
      <c r="C544" s="57"/>
      <c r="D544" s="57"/>
    </row>
    <row r="545" spans="3:4">
      <c r="C545" s="57"/>
      <c r="D545" s="57"/>
    </row>
    <row r="546" spans="3:4">
      <c r="C546" s="57"/>
      <c r="D546" s="57"/>
    </row>
    <row r="547" spans="3:4">
      <c r="C547" s="57"/>
      <c r="D547" s="57"/>
    </row>
    <row r="548" spans="3:4">
      <c r="C548" s="57"/>
      <c r="D548" s="57"/>
    </row>
    <row r="549" spans="3:4">
      <c r="C549" s="57"/>
      <c r="D549" s="57"/>
    </row>
    <row r="550" spans="3:4">
      <c r="C550" s="57"/>
      <c r="D550" s="57"/>
    </row>
    <row r="551" spans="3:4">
      <c r="C551" s="57"/>
      <c r="D551" s="57"/>
    </row>
    <row r="552" spans="3:4">
      <c r="C552" s="57"/>
      <c r="D552" s="57"/>
    </row>
    <row r="553" spans="3:4">
      <c r="C553" s="57"/>
      <c r="D553" s="57"/>
    </row>
    <row r="554" spans="3:4">
      <c r="C554" s="57"/>
      <c r="D554" s="57"/>
    </row>
    <row r="555" spans="3:4">
      <c r="C555" s="57"/>
      <c r="D555" s="57"/>
    </row>
    <row r="556" spans="3:4">
      <c r="C556" s="57"/>
      <c r="D556" s="57"/>
    </row>
    <row r="557" spans="3:4">
      <c r="C557" s="57"/>
      <c r="D557" s="57"/>
    </row>
    <row r="558" spans="3:4">
      <c r="C558" s="57"/>
      <c r="D558" s="57"/>
    </row>
    <row r="559" spans="3:4">
      <c r="C559" s="57"/>
      <c r="D559" s="57"/>
    </row>
    <row r="560" spans="3:4">
      <c r="C560" s="57"/>
      <c r="D560" s="57"/>
    </row>
    <row r="561" spans="3:4">
      <c r="C561" s="57"/>
      <c r="D561" s="57"/>
    </row>
    <row r="562" spans="3:4">
      <c r="C562" s="57"/>
      <c r="D562" s="57"/>
    </row>
    <row r="563" spans="3:4">
      <c r="C563" s="57"/>
      <c r="D563" s="57"/>
    </row>
    <row r="564" spans="3:4">
      <c r="C564" s="57"/>
      <c r="D564" s="57"/>
    </row>
    <row r="565" spans="3:4">
      <c r="C565" s="57"/>
      <c r="D565" s="57"/>
    </row>
    <row r="566" spans="3:4">
      <c r="C566" s="57"/>
      <c r="D566" s="57"/>
    </row>
    <row r="567" spans="3:4">
      <c r="C567" s="57"/>
      <c r="D567" s="57"/>
    </row>
    <row r="568" spans="3:4">
      <c r="C568" s="57"/>
      <c r="D568" s="57"/>
    </row>
    <row r="569" spans="3:4">
      <c r="C569" s="57"/>
      <c r="D569" s="57"/>
    </row>
    <row r="570" spans="3:4">
      <c r="C570" s="57"/>
      <c r="D570" s="57"/>
    </row>
    <row r="571" spans="3:4">
      <c r="C571" s="57"/>
      <c r="D571" s="57"/>
    </row>
    <row r="572" spans="3:4">
      <c r="C572" s="57"/>
      <c r="D572" s="57"/>
    </row>
    <row r="573" spans="3:4">
      <c r="C573" s="57"/>
      <c r="D573" s="57"/>
    </row>
    <row r="574" spans="3:4">
      <c r="C574" s="57"/>
      <c r="D574" s="57"/>
    </row>
    <row r="575" spans="3:4">
      <c r="C575" s="57"/>
      <c r="D575" s="57"/>
    </row>
    <row r="576" spans="3:4">
      <c r="C576" s="57"/>
      <c r="D576" s="57"/>
    </row>
    <row r="577" spans="3:4">
      <c r="C577" s="57"/>
      <c r="D577" s="57"/>
    </row>
    <row r="578" spans="3:4">
      <c r="C578" s="57"/>
      <c r="D578" s="57"/>
    </row>
    <row r="579" spans="3:4">
      <c r="C579" s="57"/>
      <c r="D579" s="57"/>
    </row>
    <row r="580" spans="3:4">
      <c r="C580" s="57"/>
      <c r="D580" s="57"/>
    </row>
    <row r="581" spans="3:4">
      <c r="C581" s="57"/>
      <c r="D581" s="57"/>
    </row>
    <row r="582" spans="3:4">
      <c r="C582" s="57"/>
      <c r="D582" s="57"/>
    </row>
    <row r="583" spans="3:4">
      <c r="C583" s="57"/>
      <c r="D583" s="57"/>
    </row>
    <row r="584" spans="3:4">
      <c r="C584" s="57"/>
      <c r="D584" s="57"/>
    </row>
    <row r="585" spans="3:4">
      <c r="C585" s="57"/>
      <c r="D585" s="57"/>
    </row>
    <row r="586" spans="3:4">
      <c r="C586" s="57"/>
      <c r="D586" s="57"/>
    </row>
    <row r="587" spans="3:4">
      <c r="C587" s="57"/>
      <c r="D587" s="57"/>
    </row>
    <row r="588" spans="3:4">
      <c r="C588" s="57"/>
      <c r="D588" s="57"/>
    </row>
    <row r="589" spans="3:4">
      <c r="C589" s="57"/>
      <c r="D589" s="57"/>
    </row>
    <row r="590" spans="3:4">
      <c r="C590" s="57"/>
      <c r="D590" s="57"/>
    </row>
    <row r="591" spans="3:4">
      <c r="C591" s="57"/>
      <c r="D591" s="57"/>
    </row>
    <row r="592" spans="3:4">
      <c r="C592" s="57"/>
      <c r="D592" s="57"/>
    </row>
    <row r="593" spans="3:4">
      <c r="C593" s="57"/>
      <c r="D593" s="57"/>
    </row>
    <row r="594" spans="3:4">
      <c r="C594" s="57"/>
      <c r="D594" s="57"/>
    </row>
    <row r="595" spans="3:4">
      <c r="C595" s="57"/>
      <c r="D595" s="57"/>
    </row>
    <row r="596" spans="3:4">
      <c r="C596" s="57"/>
      <c r="D596" s="57"/>
    </row>
    <row r="597" spans="3:4">
      <c r="C597" s="57"/>
      <c r="D597" s="57"/>
    </row>
    <row r="598" spans="3:4">
      <c r="C598" s="57"/>
      <c r="D598" s="57"/>
    </row>
    <row r="599" spans="3:4">
      <c r="C599" s="57"/>
      <c r="D599" s="57"/>
    </row>
    <row r="600" spans="3:4">
      <c r="C600" s="57"/>
      <c r="D600" s="57"/>
    </row>
    <row r="601" spans="3:4">
      <c r="C601" s="57"/>
      <c r="D601" s="57"/>
    </row>
    <row r="602" spans="3:4">
      <c r="C602" s="57"/>
      <c r="D602" s="57"/>
    </row>
    <row r="603" spans="3:4">
      <c r="C603" s="57"/>
      <c r="D603" s="57"/>
    </row>
    <row r="604" spans="3:4">
      <c r="C604" s="57"/>
      <c r="D604" s="57"/>
    </row>
    <row r="605" spans="3:4">
      <c r="C605" s="57"/>
      <c r="D605" s="57"/>
    </row>
    <row r="606" spans="3:4">
      <c r="C606" s="57"/>
      <c r="D606" s="57"/>
    </row>
    <row r="607" spans="3:4">
      <c r="C607" s="57"/>
      <c r="D607" s="57"/>
    </row>
    <row r="608" spans="3:4">
      <c r="C608" s="57"/>
      <c r="D608" s="57"/>
    </row>
    <row r="609" spans="3:4">
      <c r="C609" s="57"/>
      <c r="D609" s="57"/>
    </row>
    <row r="610" spans="3:4">
      <c r="C610" s="57"/>
      <c r="D610" s="57"/>
    </row>
    <row r="611" spans="3:4">
      <c r="C611" s="57"/>
      <c r="D611" s="57"/>
    </row>
    <row r="612" spans="3:4">
      <c r="C612" s="57"/>
      <c r="D612" s="57"/>
    </row>
    <row r="613" spans="3:4">
      <c r="C613" s="57"/>
      <c r="D613" s="57"/>
    </row>
    <row r="614" spans="3:4">
      <c r="C614" s="57"/>
      <c r="D614" s="57"/>
    </row>
    <row r="615" spans="3:4">
      <c r="C615" s="57"/>
      <c r="D615" s="57"/>
    </row>
    <row r="616" spans="3:4">
      <c r="C616" s="57"/>
      <c r="D616" s="57"/>
    </row>
    <row r="617" spans="3:4">
      <c r="C617" s="57"/>
      <c r="D617" s="57"/>
    </row>
    <row r="618" spans="3:4">
      <c r="C618" s="57"/>
      <c r="D618" s="57"/>
    </row>
    <row r="619" spans="3:4">
      <c r="C619" s="57"/>
      <c r="D619" s="57"/>
    </row>
    <row r="620" spans="3:4">
      <c r="C620" s="57"/>
      <c r="D620" s="57"/>
    </row>
    <row r="621" spans="3:4">
      <c r="C621" s="57"/>
      <c r="D621" s="57"/>
    </row>
    <row r="622" spans="3:4">
      <c r="C622" s="57"/>
      <c r="D622" s="57"/>
    </row>
    <row r="623" spans="3:4">
      <c r="C623" s="57"/>
      <c r="D623" s="57"/>
    </row>
    <row r="624" spans="3:4">
      <c r="C624" s="57"/>
      <c r="D624" s="57"/>
    </row>
    <row r="625" spans="3:4">
      <c r="C625" s="57"/>
      <c r="D625" s="57"/>
    </row>
    <row r="626" spans="3:4">
      <c r="C626" s="57"/>
      <c r="D626" s="57"/>
    </row>
    <row r="627" spans="3:4">
      <c r="C627" s="57"/>
      <c r="D627" s="57"/>
    </row>
    <row r="628" spans="3:4">
      <c r="C628" s="57"/>
      <c r="D628" s="57"/>
    </row>
    <row r="629" spans="3:4">
      <c r="C629" s="57"/>
      <c r="D629" s="57"/>
    </row>
    <row r="630" spans="3:4">
      <c r="C630" s="57"/>
      <c r="D630" s="57"/>
    </row>
    <row r="631" spans="3:4">
      <c r="C631" s="57"/>
      <c r="D631" s="57"/>
    </row>
    <row r="632" spans="3:4">
      <c r="C632" s="57"/>
      <c r="D632" s="57"/>
    </row>
    <row r="633" spans="3:4">
      <c r="C633" s="57"/>
      <c r="D633" s="57"/>
    </row>
    <row r="634" spans="3:4">
      <c r="C634" s="57"/>
      <c r="D634" s="57"/>
    </row>
    <row r="635" spans="3:4">
      <c r="C635" s="57"/>
      <c r="D635" s="57"/>
    </row>
    <row r="636" spans="3:4">
      <c r="C636" s="57"/>
      <c r="D636" s="57"/>
    </row>
    <row r="637" spans="3:4">
      <c r="C637" s="57"/>
      <c r="D637" s="57"/>
    </row>
    <row r="638" spans="3:4">
      <c r="C638" s="57"/>
      <c r="D638" s="57"/>
    </row>
    <row r="639" spans="3:4">
      <c r="C639" s="57"/>
      <c r="D639" s="57"/>
    </row>
    <row r="640" spans="3:4">
      <c r="C640" s="57"/>
      <c r="D640" s="57"/>
    </row>
    <row r="641" spans="3:4">
      <c r="C641" s="57"/>
      <c r="D641" s="57"/>
    </row>
    <row r="642" spans="3:4">
      <c r="C642" s="57"/>
      <c r="D642" s="57"/>
    </row>
    <row r="643" spans="3:4">
      <c r="C643" s="57"/>
      <c r="D643" s="57"/>
    </row>
    <row r="644" spans="3:4">
      <c r="C644" s="57"/>
      <c r="D644" s="57"/>
    </row>
    <row r="645" spans="3:4">
      <c r="C645" s="57"/>
      <c r="D645" s="57"/>
    </row>
    <row r="646" spans="3:4">
      <c r="C646" s="57"/>
      <c r="D646" s="57"/>
    </row>
    <row r="647" spans="3:4">
      <c r="C647" s="57"/>
      <c r="D647" s="57"/>
    </row>
    <row r="648" spans="3:4">
      <c r="C648" s="57"/>
      <c r="D648" s="57"/>
    </row>
    <row r="649" spans="3:4">
      <c r="C649" s="57"/>
      <c r="D649" s="57"/>
    </row>
    <row r="650" spans="3:4">
      <c r="C650" s="57"/>
      <c r="D650" s="57"/>
    </row>
    <row r="651" spans="3:4">
      <c r="C651" s="57"/>
      <c r="D651" s="57"/>
    </row>
    <row r="652" spans="3:4">
      <c r="C652" s="57"/>
      <c r="D652" s="57"/>
    </row>
    <row r="653" spans="3:4">
      <c r="C653" s="57"/>
      <c r="D653" s="57"/>
    </row>
    <row r="654" spans="3:4">
      <c r="C654" s="57"/>
      <c r="D654" s="57"/>
    </row>
    <row r="655" spans="3:4">
      <c r="C655" s="57"/>
      <c r="D655" s="57"/>
    </row>
    <row r="656" spans="3:4">
      <c r="C656" s="57"/>
      <c r="D656" s="57"/>
    </row>
    <row r="657" spans="3:4">
      <c r="C657" s="57"/>
      <c r="D657" s="57"/>
    </row>
    <row r="658" spans="3:4">
      <c r="C658" s="57"/>
      <c r="D658" s="57"/>
    </row>
    <row r="659" spans="3:4">
      <c r="C659" s="57"/>
      <c r="D659" s="57"/>
    </row>
    <row r="660" spans="3:4">
      <c r="C660" s="57"/>
      <c r="D660" s="57"/>
    </row>
    <row r="661" spans="3:4">
      <c r="C661" s="57"/>
      <c r="D661" s="57"/>
    </row>
    <row r="662" spans="3:4">
      <c r="C662" s="57"/>
      <c r="D662" s="57"/>
    </row>
    <row r="663" spans="3:4">
      <c r="C663" s="57"/>
      <c r="D663" s="57"/>
    </row>
    <row r="664" spans="3:4">
      <c r="C664" s="57"/>
      <c r="D664" s="57"/>
    </row>
    <row r="665" spans="3:4">
      <c r="C665" s="57"/>
      <c r="D665" s="57"/>
    </row>
    <row r="666" spans="3:4">
      <c r="C666" s="57"/>
      <c r="D666" s="57"/>
    </row>
    <row r="667" spans="3:4">
      <c r="C667" s="57"/>
      <c r="D667" s="57"/>
    </row>
    <row r="668" spans="3:4">
      <c r="C668" s="57"/>
      <c r="D668" s="57"/>
    </row>
    <row r="669" spans="3:4">
      <c r="C669" s="57"/>
      <c r="D669" s="57"/>
    </row>
    <row r="670" spans="3:4">
      <c r="C670" s="57"/>
      <c r="D670" s="57"/>
    </row>
    <row r="671" spans="3:4">
      <c r="C671" s="57"/>
      <c r="D671" s="57"/>
    </row>
    <row r="672" spans="3:4">
      <c r="C672" s="57"/>
      <c r="D672" s="57"/>
    </row>
    <row r="673" spans="3:4">
      <c r="C673" s="57"/>
      <c r="D673" s="57"/>
    </row>
    <row r="674" spans="3:4">
      <c r="C674" s="57"/>
      <c r="D674" s="57"/>
    </row>
    <row r="675" spans="3:4">
      <c r="C675" s="57"/>
      <c r="D675" s="57"/>
    </row>
    <row r="676" spans="3:4">
      <c r="C676" s="57"/>
      <c r="D676" s="57"/>
    </row>
    <row r="677" spans="3:4">
      <c r="C677" s="57"/>
      <c r="D677" s="57"/>
    </row>
    <row r="678" spans="3:4">
      <c r="C678" s="57"/>
      <c r="D678" s="57"/>
    </row>
    <row r="679" spans="3:4">
      <c r="C679" s="57"/>
      <c r="D679" s="57"/>
    </row>
    <row r="680" spans="3:4">
      <c r="C680" s="57"/>
      <c r="D680" s="57"/>
    </row>
    <row r="681" spans="3:4">
      <c r="C681" s="57"/>
      <c r="D681" s="57"/>
    </row>
    <row r="682" spans="3:4">
      <c r="C682" s="57"/>
      <c r="D682" s="57"/>
    </row>
    <row r="683" spans="3:4">
      <c r="C683" s="57"/>
      <c r="D683" s="57"/>
    </row>
    <row r="684" spans="3:4">
      <c r="C684" s="57"/>
      <c r="D684" s="57"/>
    </row>
    <row r="685" spans="3:4">
      <c r="C685" s="57"/>
      <c r="D685" s="57"/>
    </row>
    <row r="686" spans="3:4">
      <c r="C686" s="57"/>
      <c r="D686" s="57"/>
    </row>
    <row r="687" spans="3:4">
      <c r="C687" s="57"/>
      <c r="D687" s="57"/>
    </row>
    <row r="688" spans="3:4">
      <c r="C688" s="57"/>
      <c r="D688" s="57"/>
    </row>
    <row r="689" spans="3:4">
      <c r="C689" s="57"/>
      <c r="D689" s="57"/>
    </row>
    <row r="690" spans="3:4">
      <c r="C690" s="57"/>
      <c r="D690" s="57"/>
    </row>
    <row r="691" spans="3:4">
      <c r="C691" s="57"/>
      <c r="D691" s="57"/>
    </row>
    <row r="692" spans="3:4">
      <c r="C692" s="57"/>
      <c r="D692" s="57"/>
    </row>
    <row r="693" spans="3:4">
      <c r="C693" s="57"/>
      <c r="D693" s="57"/>
    </row>
    <row r="694" spans="3:4">
      <c r="C694" s="57"/>
      <c r="D694" s="57"/>
    </row>
    <row r="695" spans="3:4">
      <c r="C695" s="57"/>
      <c r="D695" s="57"/>
    </row>
    <row r="696" spans="3:4">
      <c r="C696" s="57"/>
      <c r="D696" s="57"/>
    </row>
    <row r="697" spans="3:4">
      <c r="C697" s="57"/>
      <c r="D697" s="57"/>
    </row>
    <row r="698" spans="3:4">
      <c r="C698" s="57"/>
      <c r="D698" s="57"/>
    </row>
    <row r="699" spans="3:4">
      <c r="C699" s="57"/>
      <c r="D699" s="57"/>
    </row>
    <row r="700" spans="3:4">
      <c r="C700" s="57"/>
      <c r="D700" s="57"/>
    </row>
    <row r="701" spans="3:4">
      <c r="C701" s="57"/>
      <c r="D701" s="57"/>
    </row>
    <row r="702" spans="3:4">
      <c r="C702" s="57"/>
      <c r="D702" s="57"/>
    </row>
    <row r="703" spans="3:4">
      <c r="C703" s="57"/>
      <c r="D703" s="57"/>
    </row>
    <row r="704" spans="3:4">
      <c r="C704" s="57"/>
      <c r="D704" s="57"/>
    </row>
    <row r="705" spans="3:4">
      <c r="C705" s="57"/>
      <c r="D705" s="57"/>
    </row>
    <row r="706" spans="3:4">
      <c r="C706" s="57"/>
      <c r="D706" s="57"/>
    </row>
    <row r="707" spans="3:4">
      <c r="C707" s="57"/>
      <c r="D707" s="57"/>
    </row>
    <row r="708" spans="3:4">
      <c r="C708" s="57"/>
      <c r="D708" s="57"/>
    </row>
    <row r="709" spans="3:4">
      <c r="C709" s="57"/>
      <c r="D709" s="57"/>
    </row>
    <row r="710" spans="3:4">
      <c r="C710" s="57"/>
      <c r="D710" s="57"/>
    </row>
    <row r="711" spans="3:4">
      <c r="C711" s="57"/>
      <c r="D711" s="57"/>
    </row>
    <row r="712" spans="3:4">
      <c r="C712" s="57"/>
      <c r="D712" s="57"/>
    </row>
    <row r="713" spans="3:4">
      <c r="C713" s="57"/>
      <c r="D713" s="57"/>
    </row>
    <row r="714" spans="3:4">
      <c r="C714" s="57"/>
      <c r="D714" s="57"/>
    </row>
    <row r="715" spans="3:4">
      <c r="C715" s="57"/>
      <c r="D715" s="57"/>
    </row>
    <row r="716" spans="3:4">
      <c r="C716" s="57"/>
      <c r="D716" s="57"/>
    </row>
    <row r="717" spans="3:4">
      <c r="C717" s="57"/>
      <c r="D717" s="57"/>
    </row>
    <row r="718" spans="3:4">
      <c r="C718" s="57"/>
      <c r="D718" s="57"/>
    </row>
    <row r="719" spans="3:4">
      <c r="C719" s="57"/>
      <c r="D719" s="57"/>
    </row>
    <row r="720" spans="3:4">
      <c r="C720" s="57"/>
      <c r="D720" s="57"/>
    </row>
    <row r="721" spans="3:4">
      <c r="C721" s="57"/>
      <c r="D721" s="57"/>
    </row>
    <row r="722" spans="3:4">
      <c r="C722" s="57"/>
      <c r="D722" s="57"/>
    </row>
    <row r="723" spans="3:4">
      <c r="C723" s="57"/>
      <c r="D723" s="57"/>
    </row>
    <row r="724" spans="3:4">
      <c r="C724" s="57"/>
      <c r="D724" s="57"/>
    </row>
    <row r="725" spans="3:4">
      <c r="C725" s="57"/>
      <c r="D725" s="57"/>
    </row>
    <row r="726" spans="3:4">
      <c r="C726" s="57"/>
      <c r="D726" s="57"/>
    </row>
    <row r="727" spans="3:4">
      <c r="C727" s="57"/>
      <c r="D727" s="57"/>
    </row>
    <row r="728" spans="3:4">
      <c r="C728" s="57"/>
      <c r="D728" s="57"/>
    </row>
    <row r="729" spans="3:4">
      <c r="C729" s="57"/>
      <c r="D729" s="57"/>
    </row>
    <row r="730" spans="3:4">
      <c r="C730" s="57"/>
      <c r="D730" s="57"/>
    </row>
    <row r="731" spans="3:4">
      <c r="C731" s="57"/>
      <c r="D731" s="57"/>
    </row>
    <row r="732" spans="3:4">
      <c r="C732" s="57"/>
      <c r="D732" s="57"/>
    </row>
    <row r="733" spans="3:4">
      <c r="C733" s="57"/>
      <c r="D733" s="57"/>
    </row>
    <row r="734" spans="3:4">
      <c r="C734" s="57"/>
      <c r="D734" s="57"/>
    </row>
    <row r="735" spans="3:4">
      <c r="C735" s="57"/>
      <c r="D735" s="57"/>
    </row>
    <row r="736" spans="3:4">
      <c r="C736" s="57"/>
      <c r="D736" s="57"/>
    </row>
    <row r="737" spans="3:4">
      <c r="C737" s="57"/>
      <c r="D737" s="57"/>
    </row>
    <row r="738" spans="3:4">
      <c r="C738" s="57"/>
      <c r="D738" s="57"/>
    </row>
    <row r="739" spans="3:4">
      <c r="C739" s="57"/>
      <c r="D739" s="57"/>
    </row>
    <row r="740" spans="3:4">
      <c r="C740" s="57"/>
      <c r="D740" s="57"/>
    </row>
    <row r="741" spans="3:4">
      <c r="C741" s="57"/>
      <c r="D741" s="57"/>
    </row>
    <row r="742" spans="3:4">
      <c r="C742" s="57"/>
      <c r="D742" s="57"/>
    </row>
    <row r="743" spans="3:4">
      <c r="C743" s="57"/>
      <c r="D743" s="57"/>
    </row>
    <row r="744" spans="3:4">
      <c r="C744" s="57"/>
      <c r="D744" s="57"/>
    </row>
    <row r="745" spans="3:4">
      <c r="C745" s="57"/>
      <c r="D745" s="57"/>
    </row>
    <row r="746" spans="3:4">
      <c r="C746" s="57"/>
      <c r="D746" s="57"/>
    </row>
    <row r="747" spans="3:4">
      <c r="C747" s="57"/>
      <c r="D747" s="57"/>
    </row>
    <row r="748" spans="3:4">
      <c r="C748" s="57"/>
      <c r="D748" s="57"/>
    </row>
    <row r="749" spans="3:4">
      <c r="C749" s="57"/>
      <c r="D749" s="57"/>
    </row>
    <row r="750" spans="3:4">
      <c r="C750" s="57"/>
      <c r="D750" s="57"/>
    </row>
    <row r="751" spans="3:4">
      <c r="C751" s="57"/>
      <c r="D751" s="57"/>
    </row>
    <row r="752" spans="3:4">
      <c r="C752" s="57"/>
      <c r="D752" s="57"/>
    </row>
    <row r="753" spans="3:4">
      <c r="C753" s="57"/>
      <c r="D753" s="57"/>
    </row>
    <row r="754" spans="3:4">
      <c r="C754" s="57"/>
      <c r="D754" s="57"/>
    </row>
    <row r="755" spans="3:4">
      <c r="C755" s="57"/>
      <c r="D755" s="57"/>
    </row>
    <row r="756" spans="3:4">
      <c r="C756" s="57"/>
      <c r="D756" s="57"/>
    </row>
    <row r="757" spans="3:4">
      <c r="C757" s="57"/>
      <c r="D757" s="57"/>
    </row>
    <row r="758" spans="3:4">
      <c r="C758" s="57"/>
      <c r="D758" s="57"/>
    </row>
    <row r="759" spans="3:4">
      <c r="C759" s="57"/>
      <c r="D759" s="57"/>
    </row>
    <row r="760" spans="3:4">
      <c r="C760" s="57"/>
      <c r="D760" s="57"/>
    </row>
    <row r="761" spans="3:4">
      <c r="C761" s="57"/>
      <c r="D761" s="57"/>
    </row>
    <row r="762" spans="3:4">
      <c r="C762" s="57"/>
      <c r="D762" s="57"/>
    </row>
    <row r="763" spans="3:4">
      <c r="C763" s="57"/>
      <c r="D763" s="57"/>
    </row>
    <row r="764" spans="3:4">
      <c r="C764" s="57"/>
      <c r="D764" s="57"/>
    </row>
    <row r="765" spans="3:4">
      <c r="C765" s="57"/>
      <c r="D765" s="57"/>
    </row>
    <row r="766" spans="3:4">
      <c r="C766" s="57"/>
      <c r="D766" s="57"/>
    </row>
    <row r="767" spans="3:4">
      <c r="C767" s="57"/>
      <c r="D767" s="57"/>
    </row>
    <row r="768" spans="3:4">
      <c r="C768" s="57"/>
      <c r="D768" s="57"/>
    </row>
    <row r="769" spans="3:4">
      <c r="C769" s="57"/>
      <c r="D769" s="57"/>
    </row>
    <row r="770" spans="3:4">
      <c r="C770" s="57"/>
      <c r="D770" s="57"/>
    </row>
    <row r="771" spans="3:4">
      <c r="C771" s="57"/>
      <c r="D771" s="57"/>
    </row>
    <row r="772" spans="3:4">
      <c r="C772" s="57"/>
      <c r="D772" s="57"/>
    </row>
    <row r="773" spans="3:4">
      <c r="C773" s="57"/>
      <c r="D773" s="57"/>
    </row>
    <row r="774" spans="3:4">
      <c r="C774" s="57"/>
      <c r="D774" s="57"/>
    </row>
    <row r="775" spans="3:4">
      <c r="C775" s="57"/>
      <c r="D775" s="57"/>
    </row>
    <row r="776" spans="3:4">
      <c r="C776" s="57"/>
      <c r="D776" s="57"/>
    </row>
    <row r="777" spans="3:4">
      <c r="C777" s="57"/>
      <c r="D777" s="57"/>
    </row>
    <row r="778" spans="3:4">
      <c r="C778" s="57"/>
      <c r="D778" s="57"/>
    </row>
    <row r="779" spans="3:4">
      <c r="C779" s="57"/>
      <c r="D779" s="57"/>
    </row>
    <row r="780" spans="3:4">
      <c r="C780" s="57"/>
      <c r="D780" s="57"/>
    </row>
    <row r="781" spans="3:4">
      <c r="C781" s="57"/>
      <c r="D781" s="57"/>
    </row>
    <row r="782" spans="3:4">
      <c r="C782" s="57"/>
      <c r="D782" s="57"/>
    </row>
    <row r="783" spans="3:4">
      <c r="C783" s="57"/>
      <c r="D783" s="57"/>
    </row>
    <row r="784" spans="3:4">
      <c r="C784" s="57"/>
      <c r="D784" s="57"/>
    </row>
    <row r="785" spans="3:4">
      <c r="C785" s="57"/>
      <c r="D785" s="57"/>
    </row>
    <row r="786" spans="3:4">
      <c r="C786" s="57"/>
      <c r="D786" s="57"/>
    </row>
    <row r="787" spans="3:4">
      <c r="C787" s="57"/>
      <c r="D787" s="57"/>
    </row>
    <row r="788" spans="3:4">
      <c r="C788" s="57"/>
      <c r="D788" s="57"/>
    </row>
    <row r="789" spans="3:4">
      <c r="C789" s="57"/>
      <c r="D789" s="57"/>
    </row>
    <row r="790" spans="3:4">
      <c r="C790" s="57"/>
      <c r="D790" s="57"/>
    </row>
    <row r="791" spans="3:4">
      <c r="C791" s="57"/>
      <c r="D791" s="57"/>
    </row>
    <row r="792" spans="3:4">
      <c r="C792" s="57"/>
      <c r="D792" s="57"/>
    </row>
    <row r="793" spans="3:4">
      <c r="C793" s="57"/>
      <c r="D793" s="57"/>
    </row>
    <row r="794" spans="3:4">
      <c r="C794" s="57"/>
      <c r="D794" s="57"/>
    </row>
    <row r="795" spans="3:4">
      <c r="C795" s="57"/>
      <c r="D795" s="57"/>
    </row>
    <row r="796" spans="3:4">
      <c r="C796" s="57"/>
      <c r="D796" s="57"/>
    </row>
    <row r="797" spans="3:4">
      <c r="C797" s="57"/>
      <c r="D797" s="57"/>
    </row>
    <row r="798" spans="3:4">
      <c r="C798" s="57"/>
      <c r="D798" s="57"/>
    </row>
    <row r="799" spans="3:4">
      <c r="C799" s="57"/>
      <c r="D799" s="57"/>
    </row>
    <row r="800" spans="3:4">
      <c r="C800" s="57"/>
      <c r="D800" s="57"/>
    </row>
    <row r="801" spans="3:4">
      <c r="C801" s="57"/>
      <c r="D801" s="57"/>
    </row>
    <row r="802" spans="3:4">
      <c r="C802" s="57"/>
      <c r="D802" s="57"/>
    </row>
    <row r="803" spans="3:4">
      <c r="C803" s="57"/>
      <c r="D803" s="57"/>
    </row>
    <row r="804" spans="3:4">
      <c r="C804" s="57"/>
      <c r="D804" s="57"/>
    </row>
    <row r="805" spans="3:4">
      <c r="C805" s="57"/>
      <c r="D805" s="57"/>
    </row>
    <row r="806" spans="3:4">
      <c r="C806" s="57"/>
      <c r="D806" s="57"/>
    </row>
    <row r="807" spans="3:4">
      <c r="C807" s="57"/>
      <c r="D807" s="57"/>
    </row>
    <row r="808" spans="3:4">
      <c r="C808" s="57"/>
      <c r="D808" s="57"/>
    </row>
    <row r="809" spans="3:4">
      <c r="C809" s="57"/>
      <c r="D809" s="57"/>
    </row>
    <row r="810" spans="3:4">
      <c r="C810" s="57"/>
      <c r="D810" s="57"/>
    </row>
    <row r="811" spans="3:4">
      <c r="C811" s="57"/>
      <c r="D811" s="57"/>
    </row>
    <row r="812" spans="3:4">
      <c r="C812" s="57"/>
      <c r="D812" s="57"/>
    </row>
    <row r="813" spans="3:4">
      <c r="C813" s="57"/>
      <c r="D813" s="57"/>
    </row>
    <row r="814" spans="3:4">
      <c r="C814" s="57"/>
      <c r="D814" s="57"/>
    </row>
    <row r="815" spans="3:4">
      <c r="C815" s="57"/>
      <c r="D815" s="57"/>
    </row>
    <row r="816" spans="3:4">
      <c r="C816" s="57"/>
      <c r="D816" s="57"/>
    </row>
    <row r="817" spans="3:4">
      <c r="C817" s="57"/>
      <c r="D817" s="57"/>
    </row>
    <row r="818" spans="3:4">
      <c r="C818" s="57"/>
      <c r="D818" s="57"/>
    </row>
    <row r="819" spans="3:4">
      <c r="C819" s="57"/>
      <c r="D819" s="57"/>
    </row>
    <row r="820" spans="3:4">
      <c r="C820" s="57"/>
      <c r="D820" s="57"/>
    </row>
    <row r="821" spans="3:4">
      <c r="C821" s="57"/>
      <c r="D821" s="57"/>
    </row>
    <row r="822" spans="3:4">
      <c r="C822" s="57"/>
      <c r="D822" s="57"/>
    </row>
    <row r="823" spans="3:4">
      <c r="C823" s="57"/>
      <c r="D823" s="57"/>
    </row>
    <row r="824" spans="3:4">
      <c r="C824" s="57"/>
      <c r="D824" s="57"/>
    </row>
    <row r="825" spans="3:4">
      <c r="C825" s="57"/>
      <c r="D825" s="57"/>
    </row>
    <row r="826" spans="3:4">
      <c r="C826" s="57"/>
      <c r="D826" s="57"/>
    </row>
    <row r="827" spans="3:4">
      <c r="C827" s="57"/>
      <c r="D827" s="57"/>
    </row>
    <row r="828" spans="3:4">
      <c r="C828" s="57"/>
      <c r="D828" s="57"/>
    </row>
    <row r="829" spans="3:4">
      <c r="C829" s="57"/>
      <c r="D829" s="57"/>
    </row>
    <row r="830" spans="3:4">
      <c r="C830" s="57"/>
      <c r="D830" s="57"/>
    </row>
    <row r="831" spans="3:4">
      <c r="C831" s="57"/>
      <c r="D831" s="57"/>
    </row>
    <row r="832" spans="3:4">
      <c r="C832" s="57"/>
      <c r="D832" s="57"/>
    </row>
    <row r="833" spans="3:4">
      <c r="C833" s="57"/>
      <c r="D833" s="57"/>
    </row>
    <row r="834" spans="3:4">
      <c r="C834" s="57"/>
      <c r="D834" s="57"/>
    </row>
    <row r="835" spans="3:4">
      <c r="C835" s="57"/>
      <c r="D835" s="57"/>
    </row>
    <row r="836" spans="3:4">
      <c r="C836" s="57"/>
      <c r="D836" s="57"/>
    </row>
    <row r="837" spans="3:4">
      <c r="C837" s="57"/>
      <c r="D837" s="57"/>
    </row>
    <row r="838" spans="3:4">
      <c r="C838" s="57"/>
      <c r="D838" s="57"/>
    </row>
    <row r="839" spans="3:4">
      <c r="C839" s="57"/>
      <c r="D839" s="57"/>
    </row>
    <row r="840" spans="3:4">
      <c r="C840" s="57"/>
      <c r="D840" s="57"/>
    </row>
    <row r="841" spans="3:4">
      <c r="C841" s="57"/>
      <c r="D841" s="57"/>
    </row>
    <row r="842" spans="3:4">
      <c r="C842" s="57"/>
      <c r="D842" s="57"/>
    </row>
    <row r="843" spans="3:4">
      <c r="C843" s="57"/>
      <c r="D843" s="57"/>
    </row>
    <row r="844" spans="3:4">
      <c r="C844" s="57"/>
      <c r="D844" s="57"/>
    </row>
    <row r="845" spans="3:4">
      <c r="C845" s="57"/>
      <c r="D845" s="57"/>
    </row>
    <row r="846" spans="3:4">
      <c r="C846" s="57"/>
      <c r="D846" s="57"/>
    </row>
    <row r="847" spans="3:4">
      <c r="C847" s="57"/>
      <c r="D847" s="57"/>
    </row>
    <row r="848" spans="3:4">
      <c r="C848" s="57"/>
      <c r="D848" s="57"/>
    </row>
    <row r="849" spans="3:4">
      <c r="C849" s="57"/>
      <c r="D849" s="57"/>
    </row>
    <row r="850" spans="3:4">
      <c r="C850" s="57"/>
      <c r="D850" s="57"/>
    </row>
    <row r="851" spans="3:4">
      <c r="C851" s="57"/>
      <c r="D851" s="57"/>
    </row>
    <row r="852" spans="3:4">
      <c r="C852" s="57"/>
      <c r="D852" s="57"/>
    </row>
    <row r="853" spans="3:4">
      <c r="C853" s="57"/>
      <c r="D853" s="57"/>
    </row>
    <row r="854" spans="3:4">
      <c r="C854" s="57"/>
      <c r="D854" s="57"/>
    </row>
    <row r="855" spans="3:4">
      <c r="C855" s="57"/>
      <c r="D855" s="57"/>
    </row>
    <row r="856" spans="3:4">
      <c r="C856" s="57"/>
      <c r="D856" s="57"/>
    </row>
    <row r="857" spans="3:4">
      <c r="C857" s="57"/>
      <c r="D857" s="57"/>
    </row>
    <row r="858" spans="3:4">
      <c r="C858" s="57"/>
      <c r="D858" s="57"/>
    </row>
    <row r="859" spans="3:4">
      <c r="C859" s="57"/>
      <c r="D859" s="57"/>
    </row>
    <row r="860" spans="3:4">
      <c r="C860" s="57"/>
      <c r="D860" s="57"/>
    </row>
    <row r="861" spans="3:4">
      <c r="C861" s="57"/>
      <c r="D861" s="57"/>
    </row>
    <row r="862" spans="3:4">
      <c r="C862" s="57"/>
      <c r="D862" s="57"/>
    </row>
    <row r="863" spans="3:4">
      <c r="C863" s="57"/>
      <c r="D863" s="57"/>
    </row>
    <row r="864" spans="3:4">
      <c r="C864" s="57"/>
      <c r="D864" s="57"/>
    </row>
    <row r="865" spans="3:4">
      <c r="C865" s="57"/>
      <c r="D865" s="57"/>
    </row>
    <row r="866" spans="3:4">
      <c r="C866" s="57"/>
      <c r="D866" s="57"/>
    </row>
    <row r="867" spans="3:4">
      <c r="C867" s="57"/>
      <c r="D867" s="57"/>
    </row>
    <row r="868" spans="3:4">
      <c r="C868" s="57"/>
      <c r="D868" s="57"/>
    </row>
    <row r="869" spans="3:4">
      <c r="C869" s="57"/>
      <c r="D869" s="57"/>
    </row>
    <row r="870" spans="3:4">
      <c r="C870" s="57"/>
      <c r="D870" s="57"/>
    </row>
    <row r="871" spans="3:4">
      <c r="C871" s="57"/>
      <c r="D871" s="57"/>
    </row>
    <row r="872" spans="3:4">
      <c r="C872" s="57"/>
      <c r="D872" s="57"/>
    </row>
    <row r="873" spans="3:4">
      <c r="C873" s="57"/>
      <c r="D873" s="57"/>
    </row>
    <row r="874" spans="3:4">
      <c r="C874" s="57"/>
      <c r="D874" s="57"/>
    </row>
    <row r="875" spans="3:4">
      <c r="C875" s="57"/>
      <c r="D875" s="57"/>
    </row>
    <row r="876" spans="3:4">
      <c r="C876" s="57"/>
      <c r="D876" s="57"/>
    </row>
    <row r="877" spans="3:4">
      <c r="C877" s="57"/>
      <c r="D877" s="57"/>
    </row>
    <row r="878" spans="3:4">
      <c r="C878" s="57"/>
      <c r="D878" s="57"/>
    </row>
    <row r="879" spans="3:4">
      <c r="C879" s="57"/>
      <c r="D879" s="57"/>
    </row>
    <row r="880" spans="3:4">
      <c r="C880" s="57"/>
      <c r="D880" s="57"/>
    </row>
    <row r="881" spans="3:4">
      <c r="C881" s="57"/>
      <c r="D881" s="57"/>
    </row>
    <row r="882" spans="3:4">
      <c r="C882" s="57"/>
      <c r="D882" s="57"/>
    </row>
    <row r="883" spans="3:4">
      <c r="C883" s="57"/>
      <c r="D883" s="57"/>
    </row>
    <row r="884" spans="3:4">
      <c r="C884" s="57"/>
      <c r="D884" s="57"/>
    </row>
    <row r="885" spans="3:4">
      <c r="C885" s="57"/>
      <c r="D885" s="57"/>
    </row>
    <row r="886" spans="3:4">
      <c r="C886" s="57"/>
      <c r="D886" s="57"/>
    </row>
    <row r="887" spans="3:4">
      <c r="C887" s="57"/>
      <c r="D887" s="57"/>
    </row>
    <row r="888" spans="3:4">
      <c r="C888" s="57"/>
      <c r="D888" s="57"/>
    </row>
    <row r="889" spans="3:4">
      <c r="C889" s="57"/>
      <c r="D889" s="57"/>
    </row>
    <row r="890" spans="3:4">
      <c r="C890" s="57"/>
      <c r="D890" s="57"/>
    </row>
    <row r="891" spans="3:4">
      <c r="C891" s="57"/>
      <c r="D891" s="57"/>
    </row>
    <row r="892" spans="3:4">
      <c r="C892" s="57"/>
      <c r="D892" s="57"/>
    </row>
    <row r="893" spans="3:4">
      <c r="C893" s="57"/>
      <c r="D893" s="57"/>
    </row>
    <row r="894" spans="3:4">
      <c r="C894" s="57"/>
      <c r="D894" s="57"/>
    </row>
    <row r="895" spans="3:4">
      <c r="C895" s="57"/>
      <c r="D895" s="57"/>
    </row>
    <row r="896" spans="3:4">
      <c r="C896" s="57"/>
      <c r="D896" s="57"/>
    </row>
    <row r="897" spans="3:4">
      <c r="C897" s="57"/>
      <c r="D897" s="57"/>
    </row>
    <row r="898" spans="3:4">
      <c r="C898" s="57"/>
      <c r="D898" s="57"/>
    </row>
    <row r="899" spans="3:4">
      <c r="C899" s="57"/>
      <c r="D899" s="57"/>
    </row>
    <row r="900" spans="3:4">
      <c r="C900" s="57"/>
      <c r="D900" s="57"/>
    </row>
    <row r="901" spans="3:4">
      <c r="C901" s="57"/>
      <c r="D901" s="57"/>
    </row>
    <row r="902" spans="3:4">
      <c r="C902" s="57"/>
      <c r="D902" s="57"/>
    </row>
    <row r="903" spans="3:4">
      <c r="C903" s="57"/>
      <c r="D903" s="57"/>
    </row>
    <row r="904" spans="3:4">
      <c r="C904" s="57"/>
      <c r="D904" s="57"/>
    </row>
    <row r="905" spans="3:4">
      <c r="C905" s="57"/>
      <c r="D905" s="57"/>
    </row>
    <row r="906" spans="3:4">
      <c r="C906" s="57"/>
      <c r="D906" s="57"/>
    </row>
    <row r="907" spans="3:4">
      <c r="C907" s="57"/>
      <c r="D907" s="57"/>
    </row>
    <row r="908" spans="3:4">
      <c r="C908" s="57"/>
      <c r="D908" s="57"/>
    </row>
    <row r="909" spans="3:4">
      <c r="C909" s="57"/>
      <c r="D909" s="57"/>
    </row>
    <row r="910" spans="3:4">
      <c r="C910" s="57"/>
      <c r="D910" s="57"/>
    </row>
    <row r="911" spans="3:4">
      <c r="C911" s="57"/>
      <c r="D911" s="57"/>
    </row>
    <row r="912" spans="3:4">
      <c r="C912" s="57"/>
      <c r="D912" s="57"/>
    </row>
    <row r="913" spans="3:4">
      <c r="C913" s="57"/>
      <c r="D913" s="57"/>
    </row>
    <row r="914" spans="3:4">
      <c r="C914" s="57"/>
      <c r="D914" s="57"/>
    </row>
    <row r="915" spans="3:4">
      <c r="C915" s="57"/>
      <c r="D915" s="57"/>
    </row>
    <row r="916" spans="3:4">
      <c r="C916" s="57"/>
      <c r="D916" s="57"/>
    </row>
    <row r="917" spans="3:4">
      <c r="C917" s="57"/>
      <c r="D917" s="57"/>
    </row>
    <row r="918" spans="3:4">
      <c r="C918" s="57"/>
      <c r="D918" s="57"/>
    </row>
    <row r="919" spans="3:4">
      <c r="C919" s="57"/>
      <c r="D919" s="57"/>
    </row>
    <row r="920" spans="3:4">
      <c r="C920" s="57"/>
      <c r="D920" s="57"/>
    </row>
    <row r="921" spans="3:4">
      <c r="C921" s="57"/>
      <c r="D921" s="57"/>
    </row>
    <row r="922" spans="3:4">
      <c r="C922" s="57"/>
      <c r="D922" s="57"/>
    </row>
    <row r="923" spans="3:4">
      <c r="C923" s="57"/>
      <c r="D923" s="57"/>
    </row>
    <row r="924" spans="3:4">
      <c r="C924" s="57"/>
      <c r="D924" s="57"/>
    </row>
    <row r="925" spans="3:4">
      <c r="C925" s="57"/>
      <c r="D925" s="57"/>
    </row>
    <row r="926" spans="3:4">
      <c r="C926" s="57"/>
      <c r="D926" s="57"/>
    </row>
    <row r="927" spans="3:4">
      <c r="C927" s="57"/>
      <c r="D927" s="57"/>
    </row>
    <row r="928" spans="3:4">
      <c r="C928" s="57"/>
      <c r="D928" s="57"/>
    </row>
    <row r="929" spans="3:4">
      <c r="C929" s="57"/>
      <c r="D929" s="57"/>
    </row>
    <row r="930" spans="3:4">
      <c r="C930" s="57"/>
      <c r="D930" s="57"/>
    </row>
    <row r="931" spans="3:4">
      <c r="C931" s="57"/>
      <c r="D931" s="57"/>
    </row>
    <row r="932" spans="3:4">
      <c r="C932" s="57"/>
      <c r="D932" s="57"/>
    </row>
    <row r="933" spans="3:4">
      <c r="C933" s="57"/>
      <c r="D933" s="57"/>
    </row>
    <row r="934" spans="3:4">
      <c r="C934" s="57"/>
      <c r="D934" s="57"/>
    </row>
    <row r="935" spans="3:4">
      <c r="C935" s="57"/>
      <c r="D935" s="57"/>
    </row>
    <row r="936" spans="3:4">
      <c r="C936" s="57"/>
      <c r="D936" s="57"/>
    </row>
    <row r="937" spans="3:4">
      <c r="C937" s="57"/>
      <c r="D937" s="57"/>
    </row>
    <row r="938" spans="3:4">
      <c r="C938" s="57"/>
      <c r="D938" s="57"/>
    </row>
    <row r="939" spans="3:4">
      <c r="C939" s="57"/>
      <c r="D939" s="57"/>
    </row>
    <row r="940" spans="3:4">
      <c r="C940" s="57"/>
      <c r="D940" s="57"/>
    </row>
    <row r="941" spans="3:4">
      <c r="C941" s="57"/>
      <c r="D941" s="57"/>
    </row>
    <row r="942" spans="3:4">
      <c r="C942" s="57"/>
      <c r="D942" s="57"/>
    </row>
    <row r="943" spans="3:4">
      <c r="C943" s="57"/>
      <c r="D943" s="57"/>
    </row>
    <row r="944" spans="3:4">
      <c r="C944" s="57"/>
      <c r="D944" s="57"/>
    </row>
    <row r="945" spans="3:4">
      <c r="C945" s="57"/>
      <c r="D945" s="57"/>
    </row>
    <row r="946" spans="3:4">
      <c r="C946" s="57"/>
      <c r="D946" s="57"/>
    </row>
    <row r="947" spans="3:4">
      <c r="C947" s="57"/>
      <c r="D947" s="57"/>
    </row>
    <row r="948" spans="3:4">
      <c r="C948" s="57"/>
      <c r="D948" s="57"/>
    </row>
    <row r="949" spans="3:4">
      <c r="C949" s="57"/>
      <c r="D949" s="57"/>
    </row>
    <row r="950" spans="3:4">
      <c r="C950" s="57"/>
      <c r="D950" s="57"/>
    </row>
    <row r="951" spans="3:4">
      <c r="C951" s="57"/>
      <c r="D951" s="57"/>
    </row>
    <row r="952" spans="3:4">
      <c r="C952" s="57"/>
      <c r="D952" s="57"/>
    </row>
    <row r="953" spans="3:4">
      <c r="C953" s="57"/>
      <c r="D953" s="57"/>
    </row>
    <row r="954" spans="3:4">
      <c r="C954" s="57"/>
      <c r="D954" s="57"/>
    </row>
    <row r="955" spans="3:4">
      <c r="C955" s="57"/>
      <c r="D955" s="57"/>
    </row>
    <row r="956" spans="3:4">
      <c r="C956" s="57"/>
      <c r="D956" s="57"/>
    </row>
    <row r="957" spans="3:4">
      <c r="C957" s="57"/>
      <c r="D957" s="57"/>
    </row>
    <row r="958" spans="3:4">
      <c r="C958" s="57"/>
      <c r="D958" s="57"/>
    </row>
    <row r="959" spans="3:4">
      <c r="C959" s="57"/>
      <c r="D959" s="57"/>
    </row>
    <row r="960" spans="3:4">
      <c r="C960" s="57"/>
      <c r="D960" s="57"/>
    </row>
    <row r="961" spans="3:4">
      <c r="C961" s="57"/>
      <c r="D961" s="57"/>
    </row>
    <row r="962" spans="3:4">
      <c r="C962" s="57"/>
      <c r="D962" s="57"/>
    </row>
    <row r="963" spans="3:4">
      <c r="C963" s="57"/>
      <c r="D963" s="57"/>
    </row>
    <row r="964" spans="3:4">
      <c r="C964" s="57"/>
      <c r="D964" s="57"/>
    </row>
    <row r="965" spans="3:4">
      <c r="C965" s="57"/>
      <c r="D965" s="57"/>
    </row>
    <row r="966" spans="3:4">
      <c r="C966" s="57"/>
      <c r="D966" s="57"/>
    </row>
    <row r="967" spans="3:4">
      <c r="C967" s="57"/>
      <c r="D967" s="57"/>
    </row>
    <row r="968" spans="3:4">
      <c r="C968" s="57"/>
      <c r="D968" s="57"/>
    </row>
    <row r="969" spans="3:4">
      <c r="C969" s="57"/>
      <c r="D969" s="57"/>
    </row>
    <row r="970" spans="3:4">
      <c r="C970" s="57"/>
      <c r="D970" s="57"/>
    </row>
    <row r="971" spans="3:4">
      <c r="C971" s="57"/>
      <c r="D971" s="57"/>
    </row>
    <row r="972" spans="3:4">
      <c r="C972" s="57"/>
      <c r="D972" s="57"/>
    </row>
    <row r="973" spans="3:4">
      <c r="C973" s="57"/>
      <c r="D973" s="57"/>
    </row>
    <row r="974" spans="3:4">
      <c r="C974" s="57"/>
      <c r="D974" s="57"/>
    </row>
    <row r="975" spans="3:4">
      <c r="C975" s="57"/>
      <c r="D975" s="57"/>
    </row>
    <row r="976" spans="3:4">
      <c r="C976" s="57"/>
      <c r="D976" s="57"/>
    </row>
    <row r="977" spans="3:4">
      <c r="C977" s="57"/>
      <c r="D977" s="57"/>
    </row>
    <row r="978" spans="3:4">
      <c r="C978" s="57"/>
      <c r="D978" s="57"/>
    </row>
    <row r="979" spans="3:4">
      <c r="C979" s="57"/>
      <c r="D979" s="57"/>
    </row>
    <row r="980" spans="3:4">
      <c r="C980" s="57"/>
      <c r="D980" s="57"/>
    </row>
    <row r="981" spans="3:4">
      <c r="C981" s="57"/>
      <c r="D981" s="57"/>
    </row>
    <row r="982" spans="3:4">
      <c r="C982" s="57"/>
      <c r="D982" s="57"/>
    </row>
    <row r="983" spans="3:4">
      <c r="C983" s="57"/>
      <c r="D983" s="57"/>
    </row>
    <row r="984" spans="3:4">
      <c r="C984" s="57"/>
      <c r="D984" s="57"/>
    </row>
    <row r="985" spans="3:4">
      <c r="C985" s="57"/>
      <c r="D985" s="57"/>
    </row>
    <row r="986" spans="3:4">
      <c r="C986" s="57"/>
      <c r="D986" s="57"/>
    </row>
    <row r="987" spans="3:4">
      <c r="C987" s="57"/>
      <c r="D987" s="57"/>
    </row>
    <row r="988" spans="3:4">
      <c r="C988" s="57"/>
      <c r="D988" s="57"/>
    </row>
    <row r="989" spans="3:4">
      <c r="C989" s="57"/>
      <c r="D989" s="57"/>
    </row>
    <row r="990" spans="3:4">
      <c r="C990" s="57"/>
      <c r="D990" s="57"/>
    </row>
    <row r="991" spans="3:4">
      <c r="C991" s="57"/>
      <c r="D991" s="57"/>
    </row>
    <row r="992" spans="3:4">
      <c r="C992" s="57"/>
      <c r="D992" s="57"/>
    </row>
    <row r="993" spans="3:4">
      <c r="C993" s="57"/>
      <c r="D993" s="57"/>
    </row>
    <row r="994" spans="3:4">
      <c r="C994" s="57"/>
      <c r="D994" s="57"/>
    </row>
    <row r="995" spans="3:4">
      <c r="C995" s="57"/>
      <c r="D995" s="57"/>
    </row>
    <row r="996" spans="3:4">
      <c r="C996" s="57"/>
      <c r="D996" s="57"/>
    </row>
    <row r="997" spans="3:4">
      <c r="C997" s="57"/>
      <c r="D997" s="57"/>
    </row>
    <row r="998" spans="3:4">
      <c r="C998" s="57"/>
      <c r="D998" s="57"/>
    </row>
    <row r="999" spans="3:4">
      <c r="C999" s="57"/>
      <c r="D999" s="57"/>
    </row>
    <row r="1000" spans="3:4">
      <c r="C1000" s="57"/>
      <c r="D1000" s="57"/>
    </row>
  </sheetData>
  <autoFilter ref="A1:D344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  <outlinePr summaryBelow="0" summaryRight="0"/>
  </sheetPr>
  <dimension ref="A1:U12"/>
  <sheetViews>
    <sheetView workbookViewId="0">
      <selection activeCell="F12" sqref="F12"/>
    </sheetView>
  </sheetViews>
  <sheetFormatPr baseColWidth="10" defaultColWidth="12.5703125" defaultRowHeight="15.75" customHeight="1"/>
  <sheetData>
    <row r="1" spans="1:21">
      <c r="A1" s="52" t="s">
        <v>392</v>
      </c>
      <c r="B1" s="52" t="s">
        <v>107</v>
      </c>
      <c r="C1" s="53" t="s">
        <v>388</v>
      </c>
      <c r="D1" s="53" t="s">
        <v>389</v>
      </c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</row>
    <row r="2" spans="1:21">
      <c r="A2" s="7">
        <v>1</v>
      </c>
      <c r="B2" s="7" t="s">
        <v>109</v>
      </c>
      <c r="C2" s="55">
        <v>28.845535586562946</v>
      </c>
      <c r="D2" s="55">
        <v>26.353396333826712</v>
      </c>
    </row>
    <row r="3" spans="1:21">
      <c r="A3" s="7">
        <v>2</v>
      </c>
      <c r="B3" s="7" t="s">
        <v>111</v>
      </c>
      <c r="C3" s="55">
        <v>8.2014158846329934</v>
      </c>
      <c r="D3" s="55">
        <v>15.965515809241889</v>
      </c>
    </row>
    <row r="4" spans="1:21">
      <c r="A4" s="7">
        <v>3</v>
      </c>
      <c r="B4" s="7" t="s">
        <v>113</v>
      </c>
      <c r="C4" s="55">
        <v>42.880284366672015</v>
      </c>
      <c r="D4" s="55">
        <v>63.790343565152405</v>
      </c>
    </row>
    <row r="5" spans="1:21">
      <c r="A5" s="7">
        <v>4</v>
      </c>
      <c r="B5" s="7" t="s">
        <v>115</v>
      </c>
      <c r="C5" s="55">
        <v>0</v>
      </c>
      <c r="D5" s="55">
        <v>7.6505125719415341</v>
      </c>
    </row>
    <row r="6" spans="1:21">
      <c r="A6" s="7">
        <v>5</v>
      </c>
      <c r="B6" s="7" t="s">
        <v>117</v>
      </c>
      <c r="C6" s="55">
        <v>0</v>
      </c>
      <c r="D6" s="55">
        <v>1.8847104117999471</v>
      </c>
    </row>
    <row r="7" spans="1:21">
      <c r="A7" s="7">
        <v>6</v>
      </c>
      <c r="B7" s="7" t="s">
        <v>119</v>
      </c>
      <c r="C7" s="55">
        <v>74.838288021954213</v>
      </c>
      <c r="D7" s="55">
        <v>78.292891596937537</v>
      </c>
    </row>
    <row r="8" spans="1:21">
      <c r="A8" s="7">
        <v>7</v>
      </c>
      <c r="B8" s="7" t="s">
        <v>121</v>
      </c>
      <c r="C8" s="55">
        <v>56.742324330620448</v>
      </c>
      <c r="D8" s="55">
        <v>60.816674584201316</v>
      </c>
    </row>
    <row r="9" spans="1:21">
      <c r="A9" s="7">
        <v>8</v>
      </c>
      <c r="B9" s="7" t="s">
        <v>123</v>
      </c>
      <c r="C9" s="55">
        <v>43.239213217115093</v>
      </c>
      <c r="D9" s="55">
        <v>52.156157702863226</v>
      </c>
    </row>
    <row r="10" spans="1:21">
      <c r="A10" s="24">
        <v>9</v>
      </c>
      <c r="B10" s="24" t="s">
        <v>125</v>
      </c>
      <c r="C10" s="84">
        <v>0</v>
      </c>
      <c r="D10" s="84">
        <v>0</v>
      </c>
    </row>
    <row r="11" spans="1:21" ht="15.75" customHeight="1">
      <c r="A11" s="81">
        <v>10</v>
      </c>
      <c r="B11" s="81" t="s">
        <v>403</v>
      </c>
      <c r="C11" s="85">
        <v>78.751795807180599</v>
      </c>
      <c r="D11" s="85">
        <v>71.43667131303998</v>
      </c>
    </row>
    <row r="12" spans="1:21" ht="15.75" customHeight="1">
      <c r="A12" s="81">
        <v>11</v>
      </c>
      <c r="B12" s="81" t="s">
        <v>127</v>
      </c>
      <c r="C12" s="85">
        <v>31.844959579138969</v>
      </c>
      <c r="D12" s="85">
        <v>40.137629418337319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  <outlinePr summaryBelow="0" summaryRight="0"/>
  </sheetPr>
  <dimension ref="A1:U12"/>
  <sheetViews>
    <sheetView workbookViewId="0">
      <selection activeCell="H1" sqref="H1"/>
    </sheetView>
  </sheetViews>
  <sheetFormatPr baseColWidth="10" defaultColWidth="12.5703125" defaultRowHeight="15.75" customHeight="1"/>
  <sheetData>
    <row r="1" spans="1:21">
      <c r="A1" s="52" t="s">
        <v>392</v>
      </c>
      <c r="B1" s="52" t="s">
        <v>107</v>
      </c>
      <c r="C1" s="53" t="s">
        <v>390</v>
      </c>
      <c r="D1" s="53" t="s">
        <v>391</v>
      </c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</row>
    <row r="2" spans="1:21">
      <c r="A2" s="7">
        <v>1</v>
      </c>
      <c r="B2" s="7" t="s">
        <v>109</v>
      </c>
      <c r="C2" s="47">
        <v>3995786.4</v>
      </c>
      <c r="D2" s="47">
        <v>4203191.3</v>
      </c>
    </row>
    <row r="3" spans="1:21">
      <c r="A3" s="7">
        <v>2</v>
      </c>
      <c r="B3" s="7" t="s">
        <v>111</v>
      </c>
      <c r="C3" s="47">
        <v>10911456</v>
      </c>
      <c r="D3" s="47">
        <v>20721141.780000001</v>
      </c>
    </row>
    <row r="4" spans="1:21">
      <c r="A4" s="7">
        <v>3</v>
      </c>
      <c r="B4" s="7" t="s">
        <v>113</v>
      </c>
      <c r="C4" s="47">
        <v>15822263.220000001</v>
      </c>
      <c r="D4" s="47">
        <v>11857658.720000001</v>
      </c>
    </row>
    <row r="5" spans="1:21">
      <c r="A5" s="7">
        <v>4</v>
      </c>
      <c r="B5" s="7" t="s">
        <v>115</v>
      </c>
      <c r="C5" s="47">
        <v>0</v>
      </c>
      <c r="D5" s="47">
        <v>496929.6</v>
      </c>
    </row>
    <row r="6" spans="1:21">
      <c r="A6" s="7">
        <v>5</v>
      </c>
      <c r="B6" s="7" t="s">
        <v>117</v>
      </c>
      <c r="C6" s="47">
        <v>0</v>
      </c>
      <c r="D6" s="47">
        <v>247977.34</v>
      </c>
    </row>
    <row r="7" spans="1:21">
      <c r="A7" s="7">
        <v>6</v>
      </c>
      <c r="B7" s="7" t="s">
        <v>119</v>
      </c>
      <c r="C7" s="47">
        <v>11074063</v>
      </c>
      <c r="D7" s="47">
        <v>14771763.6</v>
      </c>
    </row>
    <row r="8" spans="1:21">
      <c r="A8" s="7">
        <v>7</v>
      </c>
      <c r="B8" s="7" t="s">
        <v>121</v>
      </c>
      <c r="C8" s="47">
        <v>56854412.899999999</v>
      </c>
      <c r="D8" s="47">
        <v>81886861.219999999</v>
      </c>
    </row>
    <row r="9" spans="1:21">
      <c r="A9" s="7">
        <v>8</v>
      </c>
      <c r="B9" s="7" t="s">
        <v>123</v>
      </c>
      <c r="C9" s="47">
        <v>2786112</v>
      </c>
      <c r="D9" s="47">
        <v>2289998</v>
      </c>
    </row>
    <row r="10" spans="1:21">
      <c r="A10" s="7">
        <v>9</v>
      </c>
      <c r="B10" s="7" t="s">
        <v>125</v>
      </c>
      <c r="C10" s="47">
        <v>0</v>
      </c>
      <c r="D10" s="47">
        <v>0</v>
      </c>
    </row>
    <row r="11" spans="1:21" ht="15.75" customHeight="1">
      <c r="A11" s="81">
        <v>10</v>
      </c>
      <c r="B11" s="81" t="s">
        <v>403</v>
      </c>
      <c r="C11" s="82">
        <v>2049840</v>
      </c>
      <c r="D11" s="82">
        <v>2176947.6</v>
      </c>
    </row>
    <row r="12" spans="1:21" ht="15.75" customHeight="1">
      <c r="A12" s="81">
        <v>11</v>
      </c>
      <c r="B12" s="81" t="s">
        <v>127</v>
      </c>
      <c r="C12" s="82">
        <v>101444093.52000001</v>
      </c>
      <c r="D12" s="82">
        <v>136475521.56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  <outlinePr summaryBelow="0" summaryRight="0"/>
  </sheetPr>
  <dimension ref="A1:Z2"/>
  <sheetViews>
    <sheetView workbookViewId="0">
      <selection activeCell="H11" sqref="H11"/>
    </sheetView>
  </sheetViews>
  <sheetFormatPr baseColWidth="10" defaultColWidth="12.5703125" defaultRowHeight="15.75" customHeight="1"/>
  <sheetData>
    <row r="1" spans="1:26" ht="27" customHeight="1">
      <c r="A1" s="58" t="s">
        <v>393</v>
      </c>
      <c r="B1" s="58" t="s">
        <v>394</v>
      </c>
      <c r="C1" s="59" t="s">
        <v>395</v>
      </c>
      <c r="D1" s="59" t="s">
        <v>396</v>
      </c>
      <c r="E1" s="60" t="s">
        <v>397</v>
      </c>
      <c r="F1" s="60" t="s">
        <v>398</v>
      </c>
      <c r="G1" s="61" t="s">
        <v>399</v>
      </c>
      <c r="H1" s="61" t="s">
        <v>400</v>
      </c>
      <c r="I1" s="62" t="s">
        <v>401</v>
      </c>
      <c r="J1" s="62" t="s">
        <v>402</v>
      </c>
    </row>
    <row r="2" spans="1:26" ht="60">
      <c r="A2" s="63">
        <v>6</v>
      </c>
      <c r="B2" s="64" t="s">
        <v>404</v>
      </c>
      <c r="C2" s="65">
        <v>100</v>
      </c>
      <c r="D2" s="65">
        <v>50</v>
      </c>
      <c r="E2" s="65">
        <v>50</v>
      </c>
      <c r="F2" s="65">
        <v>32.5</v>
      </c>
      <c r="G2" s="65">
        <v>32.5</v>
      </c>
      <c r="H2" s="65">
        <v>15</v>
      </c>
      <c r="I2" s="65">
        <v>15</v>
      </c>
      <c r="J2" s="65">
        <v>0</v>
      </c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Datos originales</vt:lpstr>
      <vt:lpstr>Datos procesados</vt:lpstr>
      <vt:lpstr>Indicador_MUN</vt:lpstr>
      <vt:lpstr>Absoluto_MUN</vt:lpstr>
      <vt:lpstr>Indicador_DEP</vt:lpstr>
      <vt:lpstr>Absoluto_DEP</vt:lpstr>
      <vt:lpstr>Umbral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</dc:creator>
  <cp:lastModifiedBy>Valeria Aramayo</cp:lastModifiedBy>
  <dcterms:created xsi:type="dcterms:W3CDTF">2026-05-04T16:07:22Z</dcterms:created>
  <dcterms:modified xsi:type="dcterms:W3CDTF">2026-05-04T16:07:22Z</dcterms:modified>
</cp:coreProperties>
</file>