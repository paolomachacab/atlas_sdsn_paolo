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santia\atlas ods 2025\Bases de datos indicadores\Finales y con codigo correcto\"/>
    </mc:Choice>
  </mc:AlternateContent>
  <xr:revisionPtr revIDLastSave="0" documentId="13_ncr:1_{2DCF6296-F08C-4C78-9A86-B5BC15FB8B51}" xr6:coauthVersionLast="47" xr6:coauthVersionMax="47" xr10:uidLastSave="{00000000-0000-0000-0000-000000000000}"/>
  <bookViews>
    <workbookView xWindow="-120" yWindow="-120" windowWidth="20730" windowHeight="11160" firstSheet="1" activeTab="2" xr2:uid="{927C8081-406E-4941-97E0-3120F43B7A0C}"/>
  </bookViews>
  <sheets>
    <sheet name="Datos originales" sheetId="1" r:id="rId1"/>
    <sheet name="Datos procesados" sheetId="9" r:id="rId2"/>
    <sheet name="Indicador_MUN" sheetId="6" r:id="rId3"/>
    <sheet name="Absoluto_MUN" sheetId="10" r:id="rId4"/>
    <sheet name="Indicador_DEP" sheetId="7" r:id="rId5"/>
    <sheet name="Absoluto_DEP" sheetId="12" r:id="rId6"/>
    <sheet name="Umbral" sheetId="3" r:id="rId7"/>
    <sheet name="Mapa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348" i="9" l="1"/>
  <c r="W347" i="9"/>
  <c r="W346" i="9"/>
  <c r="U347" i="9"/>
  <c r="U346" i="9"/>
  <c r="BA16" i="1" l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AD139" i="1"/>
  <c r="BK16" i="1" s="1"/>
  <c r="AC139" i="1"/>
  <c r="BJ16" i="1" s="1"/>
  <c r="AB139" i="1"/>
  <c r="BI16" i="1" s="1"/>
  <c r="AA139" i="1"/>
  <c r="Z139" i="1"/>
  <c r="BG16" i="1" s="1"/>
  <c r="Y139" i="1"/>
  <c r="BF16" i="1" s="1"/>
  <c r="X139" i="1"/>
  <c r="BE16" i="1" s="1"/>
  <c r="W139" i="1"/>
  <c r="BD16" i="1" s="1"/>
  <c r="V139" i="1"/>
  <c r="BC16" i="1" s="1"/>
  <c r="U139" i="1"/>
  <c r="BB16" i="1" s="1"/>
  <c r="AD128" i="1"/>
  <c r="BK15" i="1" s="1"/>
  <c r="AC128" i="1"/>
  <c r="BJ15" i="1" s="1"/>
  <c r="AB128" i="1"/>
  <c r="BI15" i="1" s="1"/>
  <c r="AA128" i="1"/>
  <c r="BH15" i="1" s="1"/>
  <c r="Z128" i="1"/>
  <c r="BG15" i="1" s="1"/>
  <c r="Y128" i="1"/>
  <c r="BF15" i="1" s="1"/>
  <c r="X128" i="1"/>
  <c r="BE15" i="1" s="1"/>
  <c r="W128" i="1"/>
  <c r="BD15" i="1" s="1"/>
  <c r="V128" i="1"/>
  <c r="BC15" i="1" s="1"/>
  <c r="U128" i="1"/>
  <c r="BB15" i="1" s="1"/>
  <c r="AD106" i="1"/>
  <c r="BK14" i="1" s="1"/>
  <c r="AC106" i="1"/>
  <c r="BJ14" i="1" s="1"/>
  <c r="AB106" i="1"/>
  <c r="BI14" i="1" s="1"/>
  <c r="AA106" i="1"/>
  <c r="BH14" i="1" s="1"/>
  <c r="Z106" i="1"/>
  <c r="BG14" i="1" s="1"/>
  <c r="Y106" i="1"/>
  <c r="BF14" i="1" s="1"/>
  <c r="X106" i="1"/>
  <c r="BE14" i="1" s="1"/>
  <c r="W106" i="1"/>
  <c r="BD14" i="1" s="1"/>
  <c r="V106" i="1"/>
  <c r="BC14" i="1" s="1"/>
  <c r="U106" i="1"/>
  <c r="BB14" i="1" s="1"/>
  <c r="AD64" i="1"/>
  <c r="BK13" i="1" s="1"/>
  <c r="AC64" i="1"/>
  <c r="BJ13" i="1" s="1"/>
  <c r="AB64" i="1"/>
  <c r="BI13" i="1" s="1"/>
  <c r="AA64" i="1"/>
  <c r="BH13" i="1" s="1"/>
  <c r="Z64" i="1"/>
  <c r="BG13" i="1" s="1"/>
  <c r="Y64" i="1"/>
  <c r="BF13" i="1" s="1"/>
  <c r="X64" i="1"/>
  <c r="BE13" i="1" s="1"/>
  <c r="W64" i="1"/>
  <c r="BD13" i="1" s="1"/>
  <c r="V64" i="1"/>
  <c r="BC13" i="1" s="1"/>
  <c r="U64" i="1"/>
  <c r="BB13" i="1" s="1"/>
  <c r="AD38" i="1"/>
  <c r="BK12" i="1" s="1"/>
  <c r="AC38" i="1"/>
  <c r="BJ12" i="1" s="1"/>
  <c r="AB38" i="1"/>
  <c r="BI12" i="1" s="1"/>
  <c r="AA38" i="1"/>
  <c r="BH12" i="1" s="1"/>
  <c r="Z38" i="1"/>
  <c r="BG12" i="1" s="1"/>
  <c r="Y38" i="1"/>
  <c r="BF12" i="1" s="1"/>
  <c r="X38" i="1"/>
  <c r="BE12" i="1" s="1"/>
  <c r="W38" i="1"/>
  <c r="BD12" i="1" s="1"/>
  <c r="V38" i="1"/>
  <c r="BC12" i="1" s="1"/>
  <c r="U38" i="1"/>
  <c r="BB12" i="1" s="1"/>
  <c r="AD8" i="1"/>
  <c r="BK11" i="1" s="1"/>
  <c r="AC8" i="1"/>
  <c r="BJ11" i="1" s="1"/>
  <c r="AB8" i="1"/>
  <c r="BI11" i="1" s="1"/>
  <c r="AA8" i="1"/>
  <c r="BH11" i="1" s="1"/>
  <c r="Z8" i="1"/>
  <c r="BG11" i="1" s="1"/>
  <c r="Y8" i="1"/>
  <c r="BF11" i="1" s="1"/>
  <c r="X8" i="1"/>
  <c r="BE11" i="1" s="1"/>
  <c r="W8" i="1"/>
  <c r="BD11" i="1" s="1"/>
  <c r="V8" i="1"/>
  <c r="BC11" i="1" s="1"/>
  <c r="U8" i="1"/>
  <c r="BB11" i="1" s="1"/>
  <c r="AJ17" i="1" l="1"/>
  <c r="AJ18" i="1" s="1"/>
  <c r="AN17" i="1"/>
  <c r="AN18" i="1" s="1"/>
  <c r="AR17" i="1"/>
  <c r="AR18" i="1" s="1"/>
  <c r="AK17" i="1"/>
  <c r="AK18" i="1" s="1"/>
  <c r="AM17" i="1"/>
  <c r="AM18" i="1" s="1"/>
  <c r="AO17" i="1"/>
  <c r="AO18" i="1" s="1"/>
  <c r="AQ17" i="1"/>
  <c r="AQ18" i="1" s="1"/>
  <c r="AS17" i="1"/>
  <c r="AS18" i="1" s="1"/>
  <c r="AU17" i="1"/>
  <c r="AU18" i="1" s="1"/>
  <c r="AW17" i="1"/>
  <c r="AW18" i="1" s="1"/>
  <c r="AY17" i="1"/>
  <c r="AY18" i="1" s="1"/>
  <c r="BA17" i="1"/>
  <c r="BA18" i="1" s="1"/>
  <c r="AA171" i="1"/>
  <c r="W171" i="1"/>
  <c r="BH16" i="1"/>
  <c r="AL17" i="1"/>
  <c r="AL18" i="1" s="1"/>
  <c r="AP17" i="1"/>
  <c r="AP18" i="1" s="1"/>
  <c r="AT17" i="1"/>
  <c r="AT18" i="1" s="1"/>
  <c r="AV17" i="1"/>
  <c r="AV18" i="1" s="1"/>
  <c r="AX17" i="1"/>
  <c r="AX18" i="1" s="1"/>
  <c r="AZ17" i="1"/>
  <c r="AZ18" i="1" s="1"/>
  <c r="BE17" i="1"/>
  <c r="BE18" i="1" s="1"/>
  <c r="BI17" i="1"/>
  <c r="BI18" i="1" s="1"/>
  <c r="BB17" i="1"/>
  <c r="BB18" i="1" s="1"/>
  <c r="BD17" i="1"/>
  <c r="BD18" i="1" s="1"/>
  <c r="BF17" i="1"/>
  <c r="BF18" i="1" s="1"/>
  <c r="BH17" i="1"/>
  <c r="BH18" i="1" s="1"/>
  <c r="BJ17" i="1"/>
  <c r="BJ18" i="1" s="1"/>
  <c r="U171" i="1"/>
  <c r="Y171" i="1"/>
  <c r="AC171" i="1"/>
  <c r="BC17" i="1"/>
  <c r="BC18" i="1" s="1"/>
  <c r="BG17" i="1"/>
  <c r="BG18" i="1" s="1"/>
  <c r="BK17" i="1"/>
  <c r="BK18" i="1" s="1"/>
  <c r="V171" i="1"/>
  <c r="X171" i="1"/>
  <c r="Z171" i="1"/>
  <c r="AB171" i="1"/>
  <c r="AD171" i="1"/>
</calcChain>
</file>

<file path=xl/sharedStrings.xml><?xml version="1.0" encoding="utf-8"?>
<sst xmlns="http://schemas.openxmlformats.org/spreadsheetml/2006/main" count="2382" uniqueCount="707">
  <si>
    <t>Ministerio de Salud y Deportes</t>
  </si>
  <si>
    <t>Dirección General de Epidemiología</t>
  </si>
  <si>
    <t>Programa Nacional de Vigilancia de Enfermedades Endemicas y Epidemicas</t>
  </si>
  <si>
    <t>BOLIVIA: ÍNDICE DE INFESTACIÓN DE VIVIENDA POR MUNICIPIO GESTIÓN 2011-2024</t>
  </si>
  <si>
    <t>Nº</t>
  </si>
  <si>
    <t>Departamento/Municipio</t>
  </si>
  <si>
    <t>Infestaciòn Menor a 3%</t>
  </si>
  <si>
    <t>Infestaciòn Mayor a 3%</t>
  </si>
  <si>
    <t>Chuquisaca</t>
  </si>
  <si>
    <t>AZURDUY</t>
  </si>
  <si>
    <t>CAMARGO</t>
  </si>
  <si>
    <t>CULPINA</t>
  </si>
  <si>
    <t>EL VILLAR</t>
  </si>
  <si>
    <t>HUACARETA</t>
  </si>
  <si>
    <t>HUACAYA</t>
  </si>
  <si>
    <t>ICLA</t>
  </si>
  <si>
    <t>INCAHUASI</t>
  </si>
  <si>
    <t>LAS CARRERAS</t>
  </si>
  <si>
    <t>MACHARETI</t>
  </si>
  <si>
    <t>MOJOCOYA</t>
  </si>
  <si>
    <t>MONTEAGUDO</t>
  </si>
  <si>
    <t>PADILLA</t>
  </si>
  <si>
    <t>POROMA</t>
  </si>
  <si>
    <t>PRESTO</t>
  </si>
  <si>
    <t>SAN LUCAS</t>
  </si>
  <si>
    <t>SOPACHUY</t>
  </si>
  <si>
    <t>SUCRE</t>
  </si>
  <si>
    <t>TARABUCO</t>
  </si>
  <si>
    <t>TARVITA</t>
  </si>
  <si>
    <t>TOMINA</t>
  </si>
  <si>
    <t>VILLA ABECIA</t>
  </si>
  <si>
    <t>VILLA ALCALA</t>
  </si>
  <si>
    <t>VILLA CHARCAS</t>
  </si>
  <si>
    <t>VILLA SERRANO</t>
  </si>
  <si>
    <t xml:space="preserve">VILLA VACA GUSMAN </t>
  </si>
  <si>
    <t>VILLA ZUDAÑEZ</t>
  </si>
  <si>
    <t>YAMPARÁEZ</t>
  </si>
  <si>
    <t>YOTALA</t>
  </si>
  <si>
    <t>La Paz</t>
  </si>
  <si>
    <t>APOLO</t>
  </si>
  <si>
    <t>AUCAPATA</t>
  </si>
  <si>
    <t>AYATA</t>
  </si>
  <si>
    <t>CAIROMA</t>
  </si>
  <si>
    <t>CAJUATA</t>
  </si>
  <si>
    <t>CARANAVI</t>
  </si>
  <si>
    <t>CHARAZANI</t>
  </si>
  <si>
    <t>CHULUMANI</t>
  </si>
  <si>
    <t>CHUMA</t>
  </si>
  <si>
    <t>COLQUIRI</t>
  </si>
  <si>
    <t>COMBAYA</t>
  </si>
  <si>
    <t>CORIPATA</t>
  </si>
  <si>
    <t>COROICO</t>
  </si>
  <si>
    <t>INQUISIVI</t>
  </si>
  <si>
    <t>IRUPANA</t>
  </si>
  <si>
    <t>LA ASUNTA</t>
  </si>
  <si>
    <t>LICOMA</t>
  </si>
  <si>
    <t>LURIBAY</t>
  </si>
  <si>
    <t>MECAPACA</t>
  </si>
  <si>
    <t>PALCA</t>
  </si>
  <si>
    <t>QUIABAYA</t>
  </si>
  <si>
    <t>SAPAHAQUI</t>
  </si>
  <si>
    <t>SORATA</t>
  </si>
  <si>
    <t>TACACOMA</t>
  </si>
  <si>
    <t>YANACACHI</t>
  </si>
  <si>
    <t>Cochabamba</t>
  </si>
  <si>
    <t>AIQUILE</t>
  </si>
  <si>
    <t>ALALAY</t>
  </si>
  <si>
    <t>ANZALDO</t>
  </si>
  <si>
    <t>ARANI</t>
  </si>
  <si>
    <t>ARBIETO</t>
  </si>
  <si>
    <t>ARQUE</t>
  </si>
  <si>
    <t>CAPINOTA</t>
  </si>
  <si>
    <t>CLIZA</t>
  </si>
  <si>
    <t>COCAPATA</t>
  </si>
  <si>
    <t>COCHABAMBA</t>
  </si>
  <si>
    <t>COLCAPIRHUA</t>
  </si>
  <si>
    <t>G. VILLARROEL</t>
  </si>
  <si>
    <t>INDEPENDENCIA</t>
  </si>
  <si>
    <t>MIZQUE</t>
  </si>
  <si>
    <t>MOROCHATA</t>
  </si>
  <si>
    <t>OMEREQUE</t>
  </si>
  <si>
    <t>PASORAPA</t>
  </si>
  <si>
    <t>POCONA</t>
  </si>
  <si>
    <t>POJO</t>
  </si>
  <si>
    <t>PUNATA</t>
  </si>
  <si>
    <t>QUILLACOLLO</t>
  </si>
  <si>
    <t>RAQAYPAMPA</t>
  </si>
  <si>
    <t>SACABA</t>
  </si>
  <si>
    <t>SACABAMBA</t>
  </si>
  <si>
    <t>SAN BENITO</t>
  </si>
  <si>
    <t>SANTIVAÑEZ</t>
  </si>
  <si>
    <t>SICAYA</t>
  </si>
  <si>
    <t>SIPE SIPE</t>
  </si>
  <si>
    <t>TACACHI</t>
  </si>
  <si>
    <t>TACOPAYA</t>
  </si>
  <si>
    <t>TAPACARI</t>
  </si>
  <si>
    <t>TARATA</t>
  </si>
  <si>
    <t>TIQUIPAYA</t>
  </si>
  <si>
    <t>TIRAQUE</t>
  </si>
  <si>
    <t>TOKO</t>
  </si>
  <si>
    <t>TOLATA</t>
  </si>
  <si>
    <t>TOTORA</t>
  </si>
  <si>
    <t>VACAS</t>
  </si>
  <si>
    <t>VILA VILA</t>
  </si>
  <si>
    <t>VILLA RIVERO</t>
  </si>
  <si>
    <t>VINTO</t>
  </si>
  <si>
    <t>Potosi</t>
  </si>
  <si>
    <t>ACASIO</t>
  </si>
  <si>
    <t>ARAMPAMPA</t>
  </si>
  <si>
    <t>BETANZOS</t>
  </si>
  <si>
    <t>CAIZA "D"</t>
  </si>
  <si>
    <t>CHAQUI</t>
  </si>
  <si>
    <t>CKOCHAS</t>
  </si>
  <si>
    <t>COLQUECHACA</t>
  </si>
  <si>
    <t>COTAGAITA</t>
  </si>
  <si>
    <t>MOJINETE</t>
  </si>
  <si>
    <t>OCURI</t>
  </si>
  <si>
    <t>POCOATA</t>
  </si>
  <si>
    <t>PUNA</t>
  </si>
  <si>
    <t>RAVELO</t>
  </si>
  <si>
    <t>S.P.B.V.</t>
  </si>
  <si>
    <t>TACOBAMBA</t>
  </si>
  <si>
    <t>TINGUIPAYA</t>
  </si>
  <si>
    <t>TOMAVE</t>
  </si>
  <si>
    <t>TORO TORO</t>
  </si>
  <si>
    <t>TUPIZA</t>
  </si>
  <si>
    <t>VILLAZON</t>
  </si>
  <si>
    <t>VITICHI</t>
  </si>
  <si>
    <t>Tarija</t>
  </si>
  <si>
    <t>CARAPARI</t>
  </si>
  <si>
    <t>EL PUENTE</t>
  </si>
  <si>
    <t>ENTRE RIOS</t>
  </si>
  <si>
    <t>PADCAYA</t>
  </si>
  <si>
    <t>SAN LORENZO</t>
  </si>
  <si>
    <t>TARIJA</t>
  </si>
  <si>
    <t>URIONDO</t>
  </si>
  <si>
    <t>VILLA MONTES</t>
  </si>
  <si>
    <t>YACUIBA</t>
  </si>
  <si>
    <t>YUNCHARA</t>
  </si>
  <si>
    <t>Santa Cruz</t>
  </si>
  <si>
    <t>CUATRO CAÑADAS</t>
  </si>
  <si>
    <t>BOYUIBE</t>
  </si>
  <si>
    <t>CABEZAS</t>
  </si>
  <si>
    <t>CAMIRI</t>
  </si>
  <si>
    <t>CHARAGUA</t>
  </si>
  <si>
    <t>COMARAPA</t>
  </si>
  <si>
    <t>COTOCA</t>
  </si>
  <si>
    <t>CUEVO</t>
  </si>
  <si>
    <t>EL TORNO</t>
  </si>
  <si>
    <t>GUTIERREZ</t>
  </si>
  <si>
    <t>LA GUARDIA</t>
  </si>
  <si>
    <t>LAGUNILLAS</t>
  </si>
  <si>
    <t>MAIRANA</t>
  </si>
  <si>
    <t>MORO MORO</t>
  </si>
  <si>
    <t>OKINAWA</t>
  </si>
  <si>
    <t>PAILON</t>
  </si>
  <si>
    <t>PAMPA GRANDE</t>
  </si>
  <si>
    <t>PORONGO</t>
  </si>
  <si>
    <t>POSTRER VALLE</t>
  </si>
  <si>
    <t>PUCARA</t>
  </si>
  <si>
    <t>QUIRUSILLAS</t>
  </si>
  <si>
    <t>ROBORE</t>
  </si>
  <si>
    <t>SAIPINA</t>
  </si>
  <si>
    <t>SAMAIPATA</t>
  </si>
  <si>
    <t>SAN ANTONIO DE LOMERIO</t>
  </si>
  <si>
    <t>SAN JAVIER</t>
  </si>
  <si>
    <t>SAN JULIAN</t>
  </si>
  <si>
    <t>SANTA CRUZ DE LA SIERRA</t>
  </si>
  <si>
    <t>TRIGAL</t>
  </si>
  <si>
    <t>VALLEGRANDE</t>
  </si>
  <si>
    <t>WARNES</t>
  </si>
  <si>
    <t>Total 154 Municipios</t>
  </si>
  <si>
    <t xml:space="preserve"> Fuente: Programa Nacional de Vigilancia de Enfermedades Endemicas y Epidemicas, Ministerio de Salud y Deportes Bolivia.</t>
  </si>
  <si>
    <t>Infesaciòn por Departamentos</t>
  </si>
  <si>
    <t>Departamento</t>
  </si>
  <si>
    <t>Indice de Ifestacion de Vivienda, Resumen Historico Bolivia 1999 a 2022</t>
  </si>
  <si>
    <t xml:space="preserve">Indicador </t>
  </si>
  <si>
    <t>Infest Vivienda</t>
  </si>
  <si>
    <t>Intradomicilio</t>
  </si>
  <si>
    <t>Peridomicilio</t>
  </si>
  <si>
    <t>Municipio</t>
  </si>
  <si>
    <t>Caraparí</t>
  </si>
  <si>
    <t>San Julián</t>
  </si>
  <si>
    <t>Yacuiba</t>
  </si>
  <si>
    <t>Mizque</t>
  </si>
  <si>
    <t>Comarapa</t>
  </si>
  <si>
    <t>Yamparáez</t>
  </si>
  <si>
    <t>Quillacollo</t>
  </si>
  <si>
    <t>Arbieto</t>
  </si>
  <si>
    <t>Boyuibe</t>
  </si>
  <si>
    <t>Sucre</t>
  </si>
  <si>
    <t>Saipina</t>
  </si>
  <si>
    <t>Potosí</t>
  </si>
  <si>
    <t>Ckochas</t>
  </si>
  <si>
    <t>Vallegrande</t>
  </si>
  <si>
    <t>Capinota</t>
  </si>
  <si>
    <t>Santivañez</t>
  </si>
  <si>
    <t>Morochata</t>
  </si>
  <si>
    <t>Vila Vila</t>
  </si>
  <si>
    <t>Padilla</t>
  </si>
  <si>
    <t>Tacachi</t>
  </si>
  <si>
    <t>Moromoro</t>
  </si>
  <si>
    <t>Villa Montes</t>
  </si>
  <si>
    <t>Cabezas</t>
  </si>
  <si>
    <t>Aiquile</t>
  </si>
  <si>
    <t>Pojo</t>
  </si>
  <si>
    <t>Camiri</t>
  </si>
  <si>
    <t>Ocurí</t>
  </si>
  <si>
    <t>Omereque</t>
  </si>
  <si>
    <t>El Villar</t>
  </si>
  <si>
    <t>Incahuasi</t>
  </si>
  <si>
    <t>Alcalá</t>
  </si>
  <si>
    <t>Villa Gualberto Villarroel</t>
  </si>
  <si>
    <t>Villa Serrano</t>
  </si>
  <si>
    <t>San Benito</t>
  </si>
  <si>
    <t>Tapacarí</t>
  </si>
  <si>
    <t>Tarvita</t>
  </si>
  <si>
    <t>Sacaba</t>
  </si>
  <si>
    <t>Palca</t>
  </si>
  <si>
    <t>Sicaya</t>
  </si>
  <si>
    <t>Lagunillas</t>
  </si>
  <si>
    <t>Anzaldo</t>
  </si>
  <si>
    <t>El Puente</t>
  </si>
  <si>
    <t>Tacobamba</t>
  </si>
  <si>
    <t>Pucará</t>
  </si>
  <si>
    <t>Vitiche</t>
  </si>
  <si>
    <t>Punata</t>
  </si>
  <si>
    <t>Mecapaca</t>
  </si>
  <si>
    <t>Pasorapa</t>
  </si>
  <si>
    <t>Tomave</t>
  </si>
  <si>
    <t>Vinto</t>
  </si>
  <si>
    <t>Zudáñez</t>
  </si>
  <si>
    <t>Padcaya</t>
  </si>
  <si>
    <t>San Lorenzo</t>
  </si>
  <si>
    <t>Cairoma</t>
  </si>
  <si>
    <t>Quirusillas</t>
  </si>
  <si>
    <t>Ayopaya</t>
  </si>
  <si>
    <t>Tacacoma</t>
  </si>
  <si>
    <t>Sipesipe</t>
  </si>
  <si>
    <t>Cliza</t>
  </si>
  <si>
    <t>Arani</t>
  </si>
  <si>
    <t>Postrervalle</t>
  </si>
  <si>
    <t>Yotala</t>
  </si>
  <si>
    <t>Irupana</t>
  </si>
  <si>
    <t>Toco</t>
  </si>
  <si>
    <t>Villa Rivero</t>
  </si>
  <si>
    <t>Tacopaya</t>
  </si>
  <si>
    <t>Pocona</t>
  </si>
  <si>
    <t>Totora</t>
  </si>
  <si>
    <t>Uriondo</t>
  </si>
  <si>
    <t>Colcapirhua</t>
  </si>
  <si>
    <t>Tiquipaya</t>
  </si>
  <si>
    <t>Camargo</t>
  </si>
  <si>
    <t>Puna</t>
  </si>
  <si>
    <t>Villa Libertad Licoma</t>
  </si>
  <si>
    <t>Yunchará</t>
  </si>
  <si>
    <t>Coroico</t>
  </si>
  <si>
    <t>Sacabamba</t>
  </si>
  <si>
    <t>Luribay</t>
  </si>
  <si>
    <t>Caiza "D"</t>
  </si>
  <si>
    <t>Pocoata</t>
  </si>
  <si>
    <t>Acasio</t>
  </si>
  <si>
    <t>San Pedro de Macha</t>
  </si>
  <si>
    <t>Nuestra Señora de La Paz</t>
  </si>
  <si>
    <t>Achocalla</t>
  </si>
  <si>
    <t>El Alto</t>
  </si>
  <si>
    <t>Achacachi</t>
  </si>
  <si>
    <t>Villa 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</si>
  <si>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</si>
  <si>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</si>
  <si>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</si>
  <si>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</si>
  <si>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</si>
  <si>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</si>
  <si>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</si>
  <si>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</si>
  <si>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</si>
  <si>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</si>
  <si>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</si>
  <si>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</si>
  <si>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</si>
  <si>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</si>
  <si>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</si>
  <si>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</si>
  <si>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</si>
  <si>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</si>
  <si>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</si>
  <si>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</si>
  <si>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</si>
  <si>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</si>
  <si>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</si>
  <si>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</si>
  <si>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</si>
  <si>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</si>
  <si>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</si>
  <si>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</si>
  <si>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</si>
  <si>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Puerto Mayor de Guaqui</t>
  </si>
  <si>
    <t>Tiahuanacu</t>
  </si>
  <si>
    <t>Desaguadero</t>
  </si>
  <si>
    <t>La (Marka) San Andrés de Machaca</t>
  </si>
  <si>
    <t>Jesús de Machaca</t>
  </si>
  <si>
    <t>Taraco</t>
  </si>
  <si>
    <t>Yaco</t>
  </si>
  <si>
    <t>Malla</t>
  </si>
  <si>
    <t>Quime</t>
  </si>
  <si>
    <t>Ichoca</t>
  </si>
  <si>
    <t>Palos Blancos</t>
  </si>
  <si>
    <t>Pucarani</t>
  </si>
  <si>
    <t>Laja</t>
  </si>
  <si>
    <t>Batallas</t>
  </si>
  <si>
    <t>Puerto Pérez</t>
  </si>
  <si>
    <t>Umala</t>
  </si>
  <si>
    <t>Ayo Ayo</t>
  </si>
  <si>
    <t>Calamarca</t>
  </si>
  <si>
    <t>Patacamaya</t>
  </si>
  <si>
    <t>Colquencha</t>
  </si>
  <si>
    <t>Collana</t>
  </si>
  <si>
    <t>Ixiamas</t>
  </si>
  <si>
    <t>San Buenaventura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</si>
  <si>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</si>
  <si>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</si>
  <si>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</si>
  <si>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</si>
  <si>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</si>
  <si>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</si>
  <si>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</si>
  <si>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</si>
  <si>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</si>
  <si>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</si>
  <si>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</si>
  <si>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Vacas</t>
  </si>
  <si>
    <t>Colomi</t>
  </si>
  <si>
    <t>Villa Tunari</t>
  </si>
  <si>
    <t>Chimoré</t>
  </si>
  <si>
    <t>Puerto Villarroel</t>
  </si>
  <si>
    <t>Entre Ríos</t>
  </si>
  <si>
    <t>Alalay</t>
  </si>
  <si>
    <t>Tiraque</t>
  </si>
  <si>
    <t>Shinahota</t>
  </si>
  <si>
    <t>Oruro</t>
  </si>
  <si>
    <t>Caracollo</t>
  </si>
  <si>
    <t>El Choro</t>
  </si>
  <si>
    <t>Paria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</si>
  <si>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</si>
  <si>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</si>
  <si>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</si>
  <si>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</si>
  <si>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</si>
  <si>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</si>
  <si>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</si>
  <si>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</si>
  <si>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</si>
  <si>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</si>
  <si>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</si>
  <si>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</si>
  <si>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</si>
  <si>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</si>
  <si>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</si>
  <si>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</si>
  <si>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Pampa Aullagas</t>
  </si>
  <si>
    <t>Sabaya</t>
  </si>
  <si>
    <t>Coipasa</t>
  </si>
  <si>
    <t>Toledo</t>
  </si>
  <si>
    <t>Eucaliptus</t>
  </si>
  <si>
    <t>Andamarca</t>
  </si>
  <si>
    <t>Belén de Andamarca</t>
  </si>
  <si>
    <t>Santiago de Huari</t>
  </si>
  <si>
    <t>La Rivera</t>
  </si>
  <si>
    <t>Todos Santos</t>
  </si>
  <si>
    <t>Carangas</t>
  </si>
  <si>
    <t>Santiago de Huayllamarca</t>
  </si>
  <si>
    <t>Yocalla</t>
  </si>
  <si>
    <t>Urmiri</t>
  </si>
  <si>
    <t>Uncía</t>
  </si>
  <si>
    <t>Chayanta</t>
  </si>
  <si>
    <t>Llallagua</t>
  </si>
  <si>
    <t>Chuquihuta Ayllu Jucumani</t>
  </si>
  <si>
    <t>Sacaca</t>
  </si>
  <si>
    <t>Caripuyo</t>
  </si>
  <si>
    <t>Atocha</t>
  </si>
  <si>
    <t>Colcha "K"</t>
  </si>
  <si>
    <t>San Pedro de Quemes</t>
  </si>
  <si>
    <t>San Pablo</t>
  </si>
  <si>
    <t>San Antonio de Esmoruco</t>
  </si>
  <si>
    <t>Uyuni</t>
  </si>
  <si>
    <t>Porco</t>
  </si>
  <si>
    <t>Llica</t>
  </si>
  <si>
    <t>Tahua</t>
  </si>
  <si>
    <t>San Agustín</t>
  </si>
  <si>
    <t>Bermejo</t>
  </si>
  <si>
    <t>Cotoca</t>
  </si>
  <si>
    <t>Porongo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</si>
  <si>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</si>
  <si>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</si>
  <si>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</si>
  <si>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</si>
  <si>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</si>
  <si>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</si>
  <si>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</si>
  <si>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</si>
  <si>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</si>
  <si>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</si>
  <si>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</si>
  <si>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</si>
  <si>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</si>
  <si>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</si>
  <si>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</si>
  <si>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</si>
  <si>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</si>
  <si>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</si>
  <si>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</si>
  <si>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</si>
  <si>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</si>
  <si>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</si>
  <si>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</si>
  <si>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Matías</t>
  </si>
  <si>
    <t>Puerto Quijarro</t>
  </si>
  <si>
    <t>El Carmen Rivero Tórrez</t>
  </si>
  <si>
    <t>Urubichá</t>
  </si>
  <si>
    <t>Trinidad</t>
  </si>
  <si>
    <t>Riberalta</t>
  </si>
  <si>
    <t>Guayaramerín</t>
  </si>
  <si>
    <t>Reyes</t>
  </si>
  <si>
    <t>San Borja</t>
  </si>
  <si>
    <t>Santa Rosa</t>
  </si>
  <si>
    <t>Puerto Menor de Rurrenabaque</t>
  </si>
  <si>
    <t>Santa Ana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</si>
  <si>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</si>
  <si>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</si>
  <si>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</si>
  <si>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</si>
  <si>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</si>
  <si>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</si>
  <si>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</si>
  <si>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</si>
  <si>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</si>
  <si>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</si>
  <si>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</si>
  <si>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</si>
  <si>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</si>
  <si>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</si>
  <si>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</si>
  <si>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</si>
  <si>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</si>
  <si>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Ingavi</t>
  </si>
  <si>
    <t>Nueva Esperanza</t>
  </si>
  <si>
    <t>Villa Nueva</t>
  </si>
  <si>
    <t>Santos Mercado</t>
  </si>
  <si>
    <t>Sopachuy</t>
  </si>
  <si>
    <t>Mojinete</t>
  </si>
  <si>
    <t>Cajuata</t>
  </si>
  <si>
    <t>Tarata</t>
  </si>
  <si>
    <t>Tolata</t>
  </si>
  <si>
    <t>Samaipata</t>
  </si>
  <si>
    <t>Tupiza</t>
  </si>
  <si>
    <t>Yanacachi</t>
  </si>
  <si>
    <t>Arque</t>
  </si>
  <si>
    <t>Santa Cruz de la Sierra</t>
  </si>
  <si>
    <t>Monteagudo</t>
  </si>
  <si>
    <t>Colquiri</t>
  </si>
  <si>
    <t>Villazón</t>
  </si>
  <si>
    <t>Chulumani</t>
  </si>
  <si>
    <t>Cocapata</t>
  </si>
  <si>
    <t>Chaquí</t>
  </si>
  <si>
    <t>Arampampa</t>
  </si>
  <si>
    <t>Cotagaita</t>
  </si>
  <si>
    <t>Trigal</t>
  </si>
  <si>
    <t>Sapahaqui</t>
  </si>
  <si>
    <t>Inquisivi</t>
  </si>
  <si>
    <t>Villa Abecia</t>
  </si>
  <si>
    <t>Culpina</t>
  </si>
  <si>
    <t>Coripata</t>
  </si>
  <si>
    <t>La Asunta</t>
  </si>
  <si>
    <t>Mairana</t>
  </si>
  <si>
    <t>Betanzos</t>
  </si>
  <si>
    <t>Colquechaca</t>
  </si>
  <si>
    <t>Macharetí</t>
  </si>
  <si>
    <t>Tarabuco</t>
  </si>
  <si>
    <t>Icla</t>
  </si>
  <si>
    <t>Tinguipaya</t>
  </si>
  <si>
    <t>Las Carreras</t>
  </si>
  <si>
    <t>Ravelo</t>
  </si>
  <si>
    <t>Toro Toro</t>
  </si>
  <si>
    <t>TIOC-Raqaypampa</t>
  </si>
  <si>
    <t>Tomina</t>
  </si>
  <si>
    <t>Azurduy</t>
  </si>
  <si>
    <t>El Torno</t>
  </si>
  <si>
    <t>Presto</t>
  </si>
  <si>
    <t>La Guardia</t>
  </si>
  <si>
    <t>Villa Vaca Guzmán</t>
  </si>
  <si>
    <t>Cuatro Cañadas</t>
  </si>
  <si>
    <t>Poroma</t>
  </si>
  <si>
    <t>San Lucas</t>
  </si>
  <si>
    <t>Villa Charcas</t>
  </si>
  <si>
    <t>Cuevo</t>
  </si>
  <si>
    <t>ODS</t>
  </si>
  <si>
    <t>Porcentaje de viviendas infestadas con chagas, 2011-2013 y 2022-2024 (%)</t>
  </si>
  <si>
    <t>Depart</t>
  </si>
  <si>
    <t>Provincia</t>
  </si>
  <si>
    <t>Capital</t>
  </si>
  <si>
    <t>CodigoINE</t>
  </si>
  <si>
    <t>Oropeza</t>
  </si>
  <si>
    <t>Villa Azurduy</t>
  </si>
  <si>
    <t>Villa Orías</t>
  </si>
  <si>
    <t>Zudañez</t>
  </si>
  <si>
    <t>Villa Zudáñez</t>
  </si>
  <si>
    <t>Villa Mojocoya</t>
  </si>
  <si>
    <t>Villa de Mojocoya</t>
  </si>
  <si>
    <t>Villa de Tomina</t>
  </si>
  <si>
    <t>Villa de Sopachui</t>
  </si>
  <si>
    <t>Villa Alcalá</t>
  </si>
  <si>
    <t>Hernando Siles</t>
  </si>
  <si>
    <t>San Pablo de Huacareta</t>
  </si>
  <si>
    <t>Nor Cinti</t>
  </si>
  <si>
    <t>Belisario Boeto</t>
  </si>
  <si>
    <t>Sur Cinti</t>
  </si>
  <si>
    <t>Luis Calvo</t>
  </si>
  <si>
    <t>Huacaya</t>
  </si>
  <si>
    <t>Villa de Huacaya</t>
  </si>
  <si>
    <t>Villa de Macharetí</t>
  </si>
  <si>
    <t>Murillo</t>
  </si>
  <si>
    <t>Omasuyos</t>
  </si>
  <si>
    <t>Ancoraimes</t>
  </si>
  <si>
    <t>Pacajes</t>
  </si>
  <si>
    <t>Coro Coro</t>
  </si>
  <si>
    <t>Waldo Ballivian</t>
  </si>
  <si>
    <t>Camacho</t>
  </si>
  <si>
    <t>Carabuco</t>
  </si>
  <si>
    <t>Muñecas</t>
  </si>
  <si>
    <t>Larecaja</t>
  </si>
  <si>
    <t>Franz Tamayo</t>
  </si>
  <si>
    <t>Guaqui</t>
  </si>
  <si>
    <t>San Andrés de Machaca</t>
  </si>
  <si>
    <t>Jesús de Machaka</t>
  </si>
  <si>
    <t>Loayza</t>
  </si>
  <si>
    <t>Sud Yungas</t>
  </si>
  <si>
    <t>Villa de la Libertad</t>
  </si>
  <si>
    <t>Villa de Lanza</t>
  </si>
  <si>
    <t>Los Andes</t>
  </si>
  <si>
    <t>Aroma</t>
  </si>
  <si>
    <t>Sica Sica</t>
  </si>
  <si>
    <t>Villa Aroma</t>
  </si>
  <si>
    <t>Nor Yungas</t>
  </si>
  <si>
    <t>Abel Iturralde</t>
  </si>
  <si>
    <t>Bautista Saavedra</t>
  </si>
  <si>
    <t>General Juan José Pérez (Charazani)</t>
  </si>
  <si>
    <t>Villa General Juan José Pérez</t>
  </si>
  <si>
    <t>Manco Kapac</t>
  </si>
  <si>
    <t>Gualberto Villarroel</t>
  </si>
  <si>
    <t>Gualberto Villarroe</t>
  </si>
  <si>
    <t>General José Manuel Pando</t>
  </si>
  <si>
    <t>Cercado</t>
  </si>
  <si>
    <t>Campero</t>
  </si>
  <si>
    <t>Ayopaya (Independencia)</t>
  </si>
  <si>
    <t>Villa de Independencia</t>
  </si>
  <si>
    <t>Esteban Arze</t>
  </si>
  <si>
    <t>Villa de Anzaldo</t>
  </si>
  <si>
    <t>Villa de Arque</t>
  </si>
  <si>
    <t>Villa Santivañez</t>
  </si>
  <si>
    <t>Germán Jordán</t>
  </si>
  <si>
    <t>Chapare</t>
  </si>
  <si>
    <t>Carrasco</t>
  </si>
  <si>
    <t>Raqaypampa</t>
  </si>
  <si>
    <t>Villa Punata</t>
  </si>
  <si>
    <t>Villa José Quintín Mendoza</t>
  </si>
  <si>
    <t>Cuchumuela (Villa Gualberto Villarroel)</t>
  </si>
  <si>
    <t>Bolivar</t>
  </si>
  <si>
    <t>Soracachi</t>
  </si>
  <si>
    <t>Abaroa</t>
  </si>
  <si>
    <t>Sajama</t>
  </si>
  <si>
    <t>Litoral</t>
  </si>
  <si>
    <t>Villa de Poopó</t>
  </si>
  <si>
    <t>Pantaleón Dalence</t>
  </si>
  <si>
    <t>Villa de Huanuni</t>
  </si>
  <si>
    <t>Ladislao Cabrera</t>
  </si>
  <si>
    <t>Salinas de Garcí Mendoza</t>
  </si>
  <si>
    <t>Chipaya</t>
  </si>
  <si>
    <t>Saucarí</t>
  </si>
  <si>
    <t>Tomás Barrón</t>
  </si>
  <si>
    <t>Sur Carangas</t>
  </si>
  <si>
    <t>Santiago de Andamarca</t>
  </si>
  <si>
    <t>San Pedro de Totora</t>
  </si>
  <si>
    <t>Sebastián Pagador</t>
  </si>
  <si>
    <t>Mejillones</t>
  </si>
  <si>
    <t>Nor Carangas</t>
  </si>
  <si>
    <t>Huayllamarca</t>
  </si>
  <si>
    <t>Tomás Frías</t>
  </si>
  <si>
    <t>Villa de Yocalla</t>
  </si>
  <si>
    <t>Belén de Urmiri</t>
  </si>
  <si>
    <t>Rafael Bustillo</t>
  </si>
  <si>
    <t>Cornelio Saavedra</t>
  </si>
  <si>
    <t>Villa de Betanzos</t>
  </si>
  <si>
    <t>Chárcas</t>
  </si>
  <si>
    <t>Nor Chichas</t>
  </si>
  <si>
    <t>Alonso de Ibáñez</t>
  </si>
  <si>
    <t>Villa de Sacaca</t>
  </si>
  <si>
    <t>Sur Chichas</t>
  </si>
  <si>
    <t>Nor Lipez</t>
  </si>
  <si>
    <t>Villa Martín</t>
  </si>
  <si>
    <t>Villa San Pedro de Quemes</t>
  </si>
  <si>
    <t>Sur Lipez</t>
  </si>
  <si>
    <t>San Pablo de Lípez</t>
  </si>
  <si>
    <t>José María Linares</t>
  </si>
  <si>
    <t>Villa Talavera</t>
  </si>
  <si>
    <t>Antonio Quijarro</t>
  </si>
  <si>
    <t>Jatun Ayllu Yura</t>
  </si>
  <si>
    <t>General Bilbao</t>
  </si>
  <si>
    <t>Daniel Campos</t>
  </si>
  <si>
    <t>Modesto Omiste</t>
  </si>
  <si>
    <t>Enrique Baldivieso</t>
  </si>
  <si>
    <t>Arce</t>
  </si>
  <si>
    <t>Gran Chaco</t>
  </si>
  <si>
    <t>Avilés</t>
  </si>
  <si>
    <t>Méndez</t>
  </si>
  <si>
    <t>Villa San Lorenzo</t>
  </si>
  <si>
    <t>O'Connor</t>
  </si>
  <si>
    <t>Andrés Ibáñez</t>
  </si>
  <si>
    <t>Porongo (Ayacucho)</t>
  </si>
  <si>
    <t>Velasco</t>
  </si>
  <si>
    <t>San Miguel</t>
  </si>
  <si>
    <t>Ichilo</t>
  </si>
  <si>
    <t>Chiquitos</t>
  </si>
  <si>
    <t>San José</t>
  </si>
  <si>
    <t>Sara</t>
  </si>
  <si>
    <t>Cordillera</t>
  </si>
  <si>
    <t>Charagua</t>
  </si>
  <si>
    <t>Gutiérrez</t>
  </si>
  <si>
    <t>Moro Moro</t>
  </si>
  <si>
    <t>Florida</t>
  </si>
  <si>
    <t>Pampa Grande</t>
  </si>
  <si>
    <t>Obispo Santistéban</t>
  </si>
  <si>
    <t>Ñuflo De Chávez</t>
  </si>
  <si>
    <t>San Antonio de Lomerio</t>
  </si>
  <si>
    <t>Angel Sandoval</t>
  </si>
  <si>
    <t>Manuel María Caballero</t>
  </si>
  <si>
    <t>Germán Busch</t>
  </si>
  <si>
    <t>Puerto Suarez</t>
  </si>
  <si>
    <t>Guarayos</t>
  </si>
  <si>
    <t>Ascención de Guarayos</t>
  </si>
  <si>
    <t>Urubicha</t>
  </si>
  <si>
    <t>Beni</t>
  </si>
  <si>
    <t>Vaca Diez</t>
  </si>
  <si>
    <t>General José Ballivián</t>
  </si>
  <si>
    <t>Rurrenabaque</t>
  </si>
  <si>
    <t>Yacuma</t>
  </si>
  <si>
    <t>Santa Ana de Yacuma</t>
  </si>
  <si>
    <t>Moxos</t>
  </si>
  <si>
    <t>Marbán</t>
  </si>
  <si>
    <t>Mamoré</t>
  </si>
  <si>
    <t>Iténez</t>
  </si>
  <si>
    <t>Territorio Indigena Multiétnico</t>
  </si>
  <si>
    <t>Pando</t>
  </si>
  <si>
    <t>Nicolás Suárez</t>
  </si>
  <si>
    <t>Manuripi</t>
  </si>
  <si>
    <t>Madre de Dios</t>
  </si>
  <si>
    <t>Abuná</t>
  </si>
  <si>
    <t>Federico Román</t>
  </si>
  <si>
    <t>Loma Alta</t>
  </si>
  <si>
    <t>Id</t>
  </si>
  <si>
    <t>id_departamento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</si>
  <si>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</si>
  <si>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</si>
  <si>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</si>
  <si>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</si>
  <si>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</si>
  <si>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</si>
  <si>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</si>
  <si>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</si>
  <si>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</si>
  <si>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Viviendas afectadas 2011</t>
  </si>
  <si>
    <t>Viviendas afectadas 2012</t>
  </si>
  <si>
    <t>Viviendas afectadas 2013</t>
  </si>
  <si>
    <t>Viviendas afectadas 2022</t>
  </si>
  <si>
    <t>Viviendas afectadas 2023</t>
  </si>
  <si>
    <t>Viviendas afectadas 2024</t>
  </si>
  <si>
    <t>Viviendas 2011</t>
  </si>
  <si>
    <t>Viviendas 2012</t>
  </si>
  <si>
    <t>Viviendas 2013</t>
  </si>
  <si>
    <t>Viviendas 2022</t>
  </si>
  <si>
    <t>Viviendas 2023</t>
  </si>
  <si>
    <t>Viviendas 2024</t>
  </si>
  <si>
    <t>Infestacion Chagas vivienda 2011 (%)</t>
  </si>
  <si>
    <t>Infestacion Chagas vivienda 2012 (%)</t>
  </si>
  <si>
    <t>Infestacion Chagas vivienda 2013 (%)</t>
  </si>
  <si>
    <t>Infestacion Chagas vivienda 2011-2013 (%)</t>
  </si>
  <si>
    <t>Infestacion Chagas vivienda 2022 (%)</t>
  </si>
  <si>
    <t>Infestacion Chagas vivienda 2023 (%)</t>
  </si>
  <si>
    <t>Infestacion Chagas vivienda 2024 (%)</t>
  </si>
  <si>
    <t>Infestacion Chagas vivienda 2022-2024 (%)</t>
  </si>
  <si>
    <t>Promedio anual de infestación de chagas en % de viviendas 2011-2013</t>
  </si>
  <si>
    <t>Promedio anual de infestación de chagas en % de viviendas 2022-24</t>
  </si>
  <si>
    <t>Promedio anual de viviendas infestadas de chagas 2011-2013</t>
  </si>
  <si>
    <t>Promedio anual de viviendas infestadas de chagas 2022-2024</t>
  </si>
  <si>
    <t>Prom</t>
  </si>
  <si>
    <t>Desv Estandar</t>
  </si>
  <si>
    <t>0.25 Desv. Est</t>
  </si>
  <si>
    <t>Prom + 0.25DE</t>
  </si>
  <si>
    <t>Prom - 0.25DE</t>
  </si>
  <si>
    <t>Umbral 1</t>
  </si>
  <si>
    <t>Umbral 2</t>
  </si>
  <si>
    <t>Umbral 3</t>
  </si>
  <si>
    <t>Umbral 4</t>
  </si>
  <si>
    <t>0 - 0.7</t>
  </si>
  <si>
    <t>0.7 - 1.9</t>
  </si>
  <si>
    <t>&gt;1.9</t>
  </si>
  <si>
    <t>Bolivia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</si>
</sst>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\%"/>
  </numFmts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 Narrow"/>
      <family val="2"/>
    </font>
    <font>
      <sz val="14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b/>
      <sz val="18"/>
      <color theme="1"/>
      <name val="Calibri"/>
      <family val="2"/>
      <scheme val="minor"/>
    </font>
    <font>
      <sz val="18"/>
      <name val="Arial Narrow"/>
      <family val="2"/>
    </font>
    <font>
      <b/>
      <sz val="10"/>
      <color theme="0"/>
      <name val="Arial Narrow"/>
      <family val="2"/>
    </font>
    <font>
      <sz val="10"/>
      <color indexed="8"/>
      <name val="Arial"/>
      <family val="2"/>
    </font>
    <font>
      <b/>
      <sz val="10"/>
      <color indexed="8"/>
      <name val="Arial Narrow"/>
      <family val="2"/>
    </font>
    <font>
      <b/>
      <sz val="10"/>
      <name val="Arial Narrow"/>
      <family val="2"/>
    </font>
    <font>
      <sz val="10"/>
      <color theme="1"/>
      <name val="Arial Narrow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Arial Narrow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9" fillId="0" borderId="0"/>
    <xf numFmtId="9" fontId="23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Continuous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3" fontId="8" fillId="3" borderId="3" xfId="1" applyNumberFormat="1" applyFont="1" applyFill="1" applyBorder="1" applyAlignment="1">
      <alignment horizontal="center" vertical="center" wrapText="1"/>
    </xf>
    <xf numFmtId="0" fontId="10" fillId="4" borderId="5" xfId="1" applyFont="1" applyFill="1" applyBorder="1" applyAlignment="1">
      <alignment horizontal="center" vertical="center" wrapText="1"/>
    </xf>
    <xf numFmtId="0" fontId="10" fillId="4" borderId="6" xfId="1" applyFont="1" applyFill="1" applyBorder="1" applyAlignment="1">
      <alignment horizontal="center" vertical="center" wrapText="1"/>
    </xf>
    <xf numFmtId="1" fontId="11" fillId="4" borderId="3" xfId="0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1" fontId="5" fillId="0" borderId="3" xfId="0" applyNumberFormat="1" applyFont="1" applyBorder="1"/>
    <xf numFmtId="0" fontId="5" fillId="5" borderId="3" xfId="0" applyFont="1" applyFill="1" applyBorder="1" applyAlignment="1">
      <alignment vertical="center"/>
    </xf>
    <xf numFmtId="164" fontId="5" fillId="5" borderId="3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11" fillId="4" borderId="3" xfId="0" applyFont="1" applyFill="1" applyBorder="1" applyAlignment="1">
      <alignment vertical="center"/>
    </xf>
    <xf numFmtId="1" fontId="12" fillId="2" borderId="3" xfId="0" applyNumberFormat="1" applyFont="1" applyFill="1" applyBorder="1"/>
    <xf numFmtId="0" fontId="10" fillId="4" borderId="3" xfId="1" applyFont="1" applyFill="1" applyBorder="1" applyAlignment="1">
      <alignment horizontal="center" vertical="center" wrapText="1"/>
    </xf>
    <xf numFmtId="3" fontId="10" fillId="4" borderId="3" xfId="1" applyNumberFormat="1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vertical="center"/>
    </xf>
    <xf numFmtId="0" fontId="13" fillId="0" borderId="3" xfId="0" applyFont="1" applyBorder="1"/>
    <xf numFmtId="3" fontId="10" fillId="4" borderId="3" xfId="1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1" fontId="5" fillId="0" borderId="6" xfId="0" applyNumberFormat="1" applyFont="1" applyBorder="1"/>
    <xf numFmtId="1" fontId="8" fillId="3" borderId="3" xfId="1" applyNumberFormat="1" applyFont="1" applyFill="1" applyBorder="1" applyAlignment="1">
      <alignment horizontal="center" vertical="center" wrapText="1"/>
    </xf>
    <xf numFmtId="0" fontId="14" fillId="0" borderId="0" xfId="0" applyFont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11" fillId="2" borderId="0" xfId="0" applyFont="1" applyFill="1" applyAlignment="1">
      <alignment horizontal="centerContinuous"/>
    </xf>
    <xf numFmtId="3" fontId="10" fillId="6" borderId="3" xfId="1" applyNumberFormat="1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vertical="center"/>
    </xf>
    <xf numFmtId="0" fontId="11" fillId="6" borderId="3" xfId="0" applyFont="1" applyFill="1" applyBorder="1" applyAlignment="1">
      <alignment horizontal="left"/>
    </xf>
    <xf numFmtId="1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3" fontId="11" fillId="6" borderId="3" xfId="0" applyNumberFormat="1" applyFont="1" applyFill="1" applyBorder="1" applyAlignment="1">
      <alignment horizontal="left"/>
    </xf>
    <xf numFmtId="3" fontId="5" fillId="0" borderId="3" xfId="0" applyNumberFormat="1" applyFont="1" applyBorder="1" applyAlignment="1">
      <alignment horizontal="center"/>
    </xf>
    <xf numFmtId="165" fontId="10" fillId="6" borderId="3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7" borderId="3" xfId="0" applyFont="1" applyFill="1" applyBorder="1"/>
    <xf numFmtId="0" fontId="16" fillId="7" borderId="3" xfId="0" applyFont="1" applyFill="1" applyBorder="1" applyAlignment="1">
      <alignment horizontal="center"/>
    </xf>
    <xf numFmtId="0" fontId="16" fillId="7" borderId="3" xfId="0" applyFont="1" applyFill="1" applyBorder="1"/>
    <xf numFmtId="164" fontId="16" fillId="2" borderId="3" xfId="0" applyNumberFormat="1" applyFont="1" applyFill="1" applyBorder="1"/>
    <xf numFmtId="164" fontId="17" fillId="2" borderId="3" xfId="0" applyNumberFormat="1" applyFont="1" applyFill="1" applyBorder="1"/>
    <xf numFmtId="164" fontId="17" fillId="8" borderId="3" xfId="0" applyNumberFormat="1" applyFont="1" applyFill="1" applyBorder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18" fillId="0" borderId="7" xfId="0" applyFont="1" applyBorder="1" applyAlignment="1">
      <alignment wrapText="1"/>
    </xf>
    <xf numFmtId="0" fontId="0" fillId="0" borderId="3" xfId="0" applyBorder="1"/>
    <xf numFmtId="1" fontId="0" fillId="0" borderId="3" xfId="0" applyNumberFormat="1" applyBorder="1"/>
    <xf numFmtId="0" fontId="19" fillId="0" borderId="3" xfId="0" applyFont="1" applyBorder="1"/>
    <xf numFmtId="0" fontId="20" fillId="9" borderId="3" xfId="0" applyFont="1" applyFill="1" applyBorder="1"/>
    <xf numFmtId="0" fontId="21" fillId="10" borderId="3" xfId="0" applyFont="1" applyFill="1" applyBorder="1" applyAlignment="1">
      <alignment horizontal="center" vertical="center" wrapText="1"/>
    </xf>
    <xf numFmtId="0" fontId="21" fillId="11" borderId="3" xfId="0" applyFont="1" applyFill="1" applyBorder="1" applyAlignment="1">
      <alignment horizontal="center" vertical="center" wrapText="1"/>
    </xf>
    <xf numFmtId="0" fontId="21" fillId="12" borderId="3" xfId="0" applyFont="1" applyFill="1" applyBorder="1" applyAlignment="1">
      <alignment horizontal="center" vertical="center" wrapText="1"/>
    </xf>
    <xf numFmtId="0" fontId="21" fillId="13" borderId="3" xfId="0" applyFont="1" applyFill="1" applyBorder="1" applyAlignment="1">
      <alignment horizontal="center" vertical="center" wrapText="1"/>
    </xf>
    <xf numFmtId="0" fontId="0" fillId="0" borderId="0" xfId="0"/>
    <xf numFmtId="0" fontId="0" fillId="0" borderId="3" xfId="0" applyBorder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3" xfId="0" applyNumberFormat="1" applyBorder="1"/>
    <xf numFmtId="164" fontId="0" fillId="0" borderId="3" xfId="0" applyNumberFormat="1" applyBorder="1"/>
    <xf numFmtId="0" fontId="1" fillId="0" borderId="3" xfId="0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/>
    <xf numFmtId="0" fontId="20" fillId="0" borderId="3" xfId="0" applyFont="1" applyBorder="1"/>
    <xf numFmtId="2" fontId="22" fillId="0" borderId="3" xfId="0" applyNumberFormat="1" applyFont="1" applyBorder="1" applyAlignment="1">
      <alignment horizontal="center" vertical="center" wrapText="1"/>
    </xf>
    <xf numFmtId="10" fontId="0" fillId="0" borderId="0" xfId="2" applyNumberFormat="1" applyFont="1"/>
    <xf numFmtId="2" fontId="0" fillId="0" borderId="0" xfId="2" applyNumberFormat="1" applyFont="1"/>
    <xf numFmtId="0" fontId="0" fillId="0" borderId="3" xfId="0" applyFill="1" applyBorder="1"/>
    <xf numFmtId="0" fontId="19" fillId="0" borderId="3" xfId="0" applyFont="1" applyFill="1" applyBorder="1"/>
    <xf numFmtId="1" fontId="0" fillId="0" borderId="3" xfId="0" applyNumberFormat="1" applyFill="1" applyBorder="1"/>
    <xf numFmtId="3" fontId="10" fillId="6" borderId="3" xfId="1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right"/>
    </xf>
    <xf numFmtId="0" fontId="11" fillId="6" borderId="3" xfId="0" applyFont="1" applyFill="1" applyBorder="1" applyAlignment="1">
      <alignment horizontal="center" vertical="center"/>
    </xf>
    <xf numFmtId="0" fontId="10" fillId="6" borderId="3" xfId="1" applyFont="1" applyFill="1" applyBorder="1" applyAlignment="1">
      <alignment horizontal="center" vertical="center" wrapText="1"/>
    </xf>
    <xf numFmtId="3" fontId="8" fillId="3" borderId="5" xfId="1" applyNumberFormat="1" applyFont="1" applyFill="1" applyBorder="1" applyAlignment="1">
      <alignment horizontal="center" vertical="center" wrapText="1"/>
    </xf>
    <xf numFmtId="3" fontId="8" fillId="3" borderId="6" xfId="1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 wrapText="1"/>
    </xf>
  </cellXfs>
  <cellStyles count="3">
    <cellStyle name="Normal" xfId="0" builtinId="0"/>
    <cellStyle name="Normal_Hoja1" xfId="1" xr:uid="{56B10103-8E51-4B31-88B4-659C8E9688F9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529652</xdr:colOff>
      <xdr:row>20</xdr:row>
      <xdr:rowOff>150000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F97979-EBEA-48B3-98AD-157D3A7AB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5863651" cy="39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FC75A-9513-4225-86E4-DF0EC51CE63F}">
  <dimension ref="A1:BK212"/>
  <sheetViews>
    <sheetView topLeftCell="A46" zoomScale="90" zoomScaleNormal="90" workbookViewId="0">
      <selection activeCell="AK8" sqref="AK8"/>
    </sheetView>
  </sheetViews>
  <sheetFormatPr baseColWidth="10" defaultRowHeight="15"/>
  <cols>
    <col min="1" max="1" width="8.5703125" style="5" customWidth="1"/>
    <col min="2" max="2" width="22.140625" style="49" customWidth="1"/>
    <col min="3" max="22" width="9.7109375" style="4" customWidth="1"/>
    <col min="23" max="23" width="12.7109375" style="4" customWidth="1"/>
    <col min="24" max="24" width="12.140625" style="4" customWidth="1"/>
    <col min="25" max="25" width="12.7109375" style="4" customWidth="1"/>
    <col min="26" max="26" width="12.140625" style="4" customWidth="1"/>
    <col min="27" max="27" width="12.7109375" style="4" customWidth="1"/>
    <col min="28" max="28" width="12.140625" style="4" customWidth="1"/>
    <col min="29" max="29" width="12.7109375" style="4" customWidth="1"/>
    <col min="30" max="30" width="12.140625" style="4" customWidth="1"/>
    <col min="31" max="31" width="16" style="5" customWidth="1"/>
    <col min="32" max="32" width="5.140625" style="5" customWidth="1"/>
    <col min="33" max="40" width="27.5703125" style="5"/>
  </cols>
  <sheetData>
    <row r="1" spans="1:63" ht="18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63" ht="18">
      <c r="A2" s="85" t="s">
        <v>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63" ht="18">
      <c r="A3" s="85" t="s">
        <v>2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63" ht="15.75">
      <c r="A4" s="2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63" ht="23.25">
      <c r="A5" s="86" t="s">
        <v>3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spans="1:63">
      <c r="A6" s="87" t="s">
        <v>4</v>
      </c>
      <c r="B6" s="89" t="s">
        <v>5</v>
      </c>
      <c r="C6" s="84">
        <v>2011</v>
      </c>
      <c r="D6" s="84"/>
      <c r="E6" s="84">
        <v>2012</v>
      </c>
      <c r="F6" s="84"/>
      <c r="G6" s="84">
        <v>2013</v>
      </c>
      <c r="H6" s="84"/>
      <c r="I6" s="84">
        <v>2014</v>
      </c>
      <c r="J6" s="84"/>
      <c r="K6" s="84">
        <v>2015</v>
      </c>
      <c r="L6" s="84"/>
      <c r="M6" s="84">
        <v>2016</v>
      </c>
      <c r="N6" s="84"/>
      <c r="O6" s="84">
        <v>2017</v>
      </c>
      <c r="P6" s="84"/>
      <c r="Q6" s="84">
        <v>2018</v>
      </c>
      <c r="R6" s="84"/>
      <c r="S6" s="84">
        <v>2019</v>
      </c>
      <c r="T6" s="84"/>
      <c r="U6" s="84">
        <v>2020</v>
      </c>
      <c r="V6" s="84"/>
      <c r="W6" s="84">
        <v>2021</v>
      </c>
      <c r="X6" s="84"/>
      <c r="Y6" s="84">
        <v>2022</v>
      </c>
      <c r="Z6" s="84"/>
      <c r="AA6" s="84">
        <v>2023</v>
      </c>
      <c r="AB6" s="84"/>
      <c r="AC6" s="84">
        <v>2024</v>
      </c>
      <c r="AD6" s="84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63" ht="25.5">
      <c r="A7" s="88"/>
      <c r="B7" s="89"/>
      <c r="C7" s="8" t="s">
        <v>6</v>
      </c>
      <c r="D7" s="8" t="s">
        <v>7</v>
      </c>
      <c r="E7" s="8" t="s">
        <v>6</v>
      </c>
      <c r="F7" s="8" t="s">
        <v>7</v>
      </c>
      <c r="G7" s="8" t="s">
        <v>6</v>
      </c>
      <c r="H7" s="8" t="s">
        <v>7</v>
      </c>
      <c r="I7" s="8" t="s">
        <v>6</v>
      </c>
      <c r="J7" s="8" t="s">
        <v>7</v>
      </c>
      <c r="K7" s="8" t="s">
        <v>6</v>
      </c>
      <c r="L7" s="8" t="s">
        <v>7</v>
      </c>
      <c r="M7" s="8" t="s">
        <v>6</v>
      </c>
      <c r="N7" s="8" t="s">
        <v>7</v>
      </c>
      <c r="O7" s="8" t="s">
        <v>6</v>
      </c>
      <c r="P7" s="8" t="s">
        <v>7</v>
      </c>
      <c r="Q7" s="8" t="s">
        <v>6</v>
      </c>
      <c r="R7" s="8" t="s">
        <v>7</v>
      </c>
      <c r="S7" s="8" t="s">
        <v>6</v>
      </c>
      <c r="T7" s="8" t="s">
        <v>7</v>
      </c>
      <c r="U7" s="8" t="s">
        <v>6</v>
      </c>
      <c r="V7" s="8" t="s">
        <v>7</v>
      </c>
      <c r="W7" s="8" t="s">
        <v>6</v>
      </c>
      <c r="X7" s="8" t="s">
        <v>7</v>
      </c>
      <c r="Y7" s="8" t="s">
        <v>6</v>
      </c>
      <c r="Z7" s="8" t="s">
        <v>7</v>
      </c>
      <c r="AA7" s="8" t="s">
        <v>6</v>
      </c>
      <c r="AB7" s="8" t="s">
        <v>7</v>
      </c>
      <c r="AC7" s="8" t="s">
        <v>6</v>
      </c>
      <c r="AD7" s="8" t="s">
        <v>7</v>
      </c>
      <c r="AE7" s="7"/>
      <c r="AF7" s="7"/>
      <c r="AG7" s="7"/>
      <c r="AH7" s="28"/>
      <c r="AI7" s="29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</row>
    <row r="8" spans="1:63" ht="25.5">
      <c r="A8" s="9" t="s">
        <v>8</v>
      </c>
      <c r="B8" s="10"/>
      <c r="C8" s="11">
        <v>10</v>
      </c>
      <c r="D8" s="11">
        <v>16</v>
      </c>
      <c r="E8" s="11">
        <v>14</v>
      </c>
      <c r="F8" s="11">
        <v>15</v>
      </c>
      <c r="G8" s="11">
        <v>19</v>
      </c>
      <c r="H8" s="11">
        <v>10</v>
      </c>
      <c r="I8" s="11">
        <v>19</v>
      </c>
      <c r="J8" s="11">
        <v>10</v>
      </c>
      <c r="K8" s="11">
        <v>22</v>
      </c>
      <c r="L8" s="11">
        <v>7</v>
      </c>
      <c r="M8" s="11">
        <v>20</v>
      </c>
      <c r="N8" s="11">
        <v>8</v>
      </c>
      <c r="O8" s="11">
        <v>18</v>
      </c>
      <c r="P8" s="11">
        <v>11</v>
      </c>
      <c r="Q8" s="11">
        <v>20</v>
      </c>
      <c r="R8" s="11">
        <v>6</v>
      </c>
      <c r="S8" s="11">
        <v>17</v>
      </c>
      <c r="T8" s="11">
        <v>6</v>
      </c>
      <c r="U8" s="11">
        <f t="shared" ref="U8:Z8" si="0">COUNT(U9:U37)</f>
        <v>10</v>
      </c>
      <c r="V8" s="11">
        <f t="shared" si="0"/>
        <v>7</v>
      </c>
      <c r="W8" s="11">
        <f t="shared" si="0"/>
        <v>11</v>
      </c>
      <c r="X8" s="11">
        <f t="shared" si="0"/>
        <v>11</v>
      </c>
      <c r="Y8" s="11">
        <f t="shared" si="0"/>
        <v>9</v>
      </c>
      <c r="Z8" s="11">
        <f t="shared" si="0"/>
        <v>14</v>
      </c>
      <c r="AA8" s="11">
        <f>COUNT(AA9:AA37)</f>
        <v>13</v>
      </c>
      <c r="AB8" s="11">
        <f>COUNT(AB9:AB37)</f>
        <v>13</v>
      </c>
      <c r="AC8" s="11">
        <f>COUNT(AC9:AC37)</f>
        <v>10</v>
      </c>
      <c r="AD8" s="11">
        <f>COUNT(AD9:AD37)</f>
        <v>16</v>
      </c>
      <c r="AE8" s="12"/>
      <c r="AF8" s="12"/>
      <c r="AG8" s="12"/>
      <c r="AH8" s="4"/>
      <c r="AI8" s="32" t="s">
        <v>173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</row>
    <row r="9" spans="1:63">
      <c r="A9" s="13">
        <v>1</v>
      </c>
      <c r="B9" s="14" t="s">
        <v>9</v>
      </c>
      <c r="C9" s="15">
        <v>1.4</v>
      </c>
      <c r="D9" s="15"/>
      <c r="E9" s="15">
        <v>1.7</v>
      </c>
      <c r="F9" s="15"/>
      <c r="G9" s="15">
        <v>0.6</v>
      </c>
      <c r="H9" s="15"/>
      <c r="I9" s="15">
        <v>2.1</v>
      </c>
      <c r="J9" s="15"/>
      <c r="K9" s="15">
        <v>1.3</v>
      </c>
      <c r="L9" s="15"/>
      <c r="M9" s="15">
        <v>0.4</v>
      </c>
      <c r="N9" s="15"/>
      <c r="O9" s="15">
        <v>0.3</v>
      </c>
      <c r="P9" s="15"/>
      <c r="Q9" s="15">
        <v>0.2</v>
      </c>
      <c r="R9" s="15"/>
      <c r="S9" s="16">
        <v>0</v>
      </c>
      <c r="T9" s="16"/>
      <c r="U9" s="16"/>
      <c r="V9" s="16"/>
      <c r="W9" s="16"/>
      <c r="X9" s="16"/>
      <c r="Y9" s="16"/>
      <c r="Z9" s="16"/>
      <c r="AA9" s="15"/>
      <c r="AB9" s="16">
        <v>3.5805626598465472</v>
      </c>
      <c r="AC9" s="15"/>
      <c r="AD9" s="16">
        <v>12.4</v>
      </c>
      <c r="AH9" s="80" t="s">
        <v>4</v>
      </c>
      <c r="AI9" s="81" t="s">
        <v>174</v>
      </c>
      <c r="AJ9" s="80">
        <v>2011</v>
      </c>
      <c r="AK9" s="80"/>
      <c r="AL9" s="80">
        <v>2012</v>
      </c>
      <c r="AM9" s="80"/>
      <c r="AN9" s="80">
        <v>2013</v>
      </c>
      <c r="AO9" s="80"/>
      <c r="AP9" s="80">
        <v>2014</v>
      </c>
      <c r="AQ9" s="80"/>
      <c r="AR9" s="80">
        <v>2015</v>
      </c>
      <c r="AS9" s="80"/>
      <c r="AT9" s="80">
        <v>2016</v>
      </c>
      <c r="AU9" s="80"/>
      <c r="AV9" s="80">
        <v>2017</v>
      </c>
      <c r="AW9" s="80"/>
      <c r="AX9" s="80">
        <v>2018</v>
      </c>
      <c r="AY9" s="80"/>
      <c r="AZ9" s="80">
        <v>2019</v>
      </c>
      <c r="BA9" s="80"/>
      <c r="BB9" s="80">
        <v>2020</v>
      </c>
      <c r="BC9" s="80"/>
      <c r="BD9" s="80">
        <v>2021</v>
      </c>
      <c r="BE9" s="80"/>
      <c r="BF9" s="80">
        <v>2022</v>
      </c>
      <c r="BG9" s="80"/>
      <c r="BH9" s="80">
        <v>2023</v>
      </c>
      <c r="BI9" s="80"/>
      <c r="BJ9" s="80">
        <v>2024</v>
      </c>
      <c r="BK9" s="80"/>
    </row>
    <row r="10" spans="1:63" ht="25.5">
      <c r="A10" s="13">
        <v>2</v>
      </c>
      <c r="B10" s="14" t="s">
        <v>10</v>
      </c>
      <c r="C10" s="15"/>
      <c r="D10" s="15">
        <v>3.2</v>
      </c>
      <c r="E10" s="15">
        <v>1.9</v>
      </c>
      <c r="F10" s="15"/>
      <c r="G10" s="15">
        <v>2.4</v>
      </c>
      <c r="H10" s="15"/>
      <c r="I10" s="15">
        <v>0.9</v>
      </c>
      <c r="J10" s="15"/>
      <c r="K10" s="15">
        <v>0.9</v>
      </c>
      <c r="L10" s="15"/>
      <c r="M10" s="16">
        <v>1</v>
      </c>
      <c r="N10" s="15"/>
      <c r="O10" s="15">
        <v>2.4</v>
      </c>
      <c r="P10" s="15"/>
      <c r="Q10" s="15">
        <v>1.7</v>
      </c>
      <c r="R10" s="15"/>
      <c r="S10" s="16">
        <v>1.7</v>
      </c>
      <c r="T10" s="16"/>
      <c r="U10" s="16">
        <v>1.1000000000000001</v>
      </c>
      <c r="V10" s="16"/>
      <c r="W10" s="16"/>
      <c r="X10" s="16">
        <v>5.9</v>
      </c>
      <c r="Y10" s="16"/>
      <c r="Z10" s="16">
        <v>5.913348946135832</v>
      </c>
      <c r="AA10" s="16"/>
      <c r="AB10" s="16"/>
      <c r="AC10" s="16">
        <v>1.3</v>
      </c>
      <c r="AD10" s="16"/>
      <c r="AH10" s="80"/>
      <c r="AI10" s="81"/>
      <c r="AJ10" s="33" t="s">
        <v>6</v>
      </c>
      <c r="AK10" s="33" t="s">
        <v>7</v>
      </c>
      <c r="AL10" s="33" t="s">
        <v>6</v>
      </c>
      <c r="AM10" s="33" t="s">
        <v>7</v>
      </c>
      <c r="AN10" s="33" t="s">
        <v>6</v>
      </c>
      <c r="AO10" s="33" t="s">
        <v>7</v>
      </c>
      <c r="AP10" s="33" t="s">
        <v>6</v>
      </c>
      <c r="AQ10" s="33" t="s">
        <v>7</v>
      </c>
      <c r="AR10" s="33" t="s">
        <v>6</v>
      </c>
      <c r="AS10" s="33" t="s">
        <v>7</v>
      </c>
      <c r="AT10" s="33" t="s">
        <v>6</v>
      </c>
      <c r="AU10" s="33" t="s">
        <v>7</v>
      </c>
      <c r="AV10" s="33" t="s">
        <v>6</v>
      </c>
      <c r="AW10" s="33" t="s">
        <v>7</v>
      </c>
      <c r="AX10" s="33" t="s">
        <v>6</v>
      </c>
      <c r="AY10" s="33" t="s">
        <v>7</v>
      </c>
      <c r="AZ10" s="33" t="s">
        <v>6</v>
      </c>
      <c r="BA10" s="33" t="s">
        <v>7</v>
      </c>
      <c r="BB10" s="33" t="s">
        <v>6</v>
      </c>
      <c r="BC10" s="33" t="s">
        <v>7</v>
      </c>
      <c r="BD10" s="33" t="s">
        <v>6</v>
      </c>
      <c r="BE10" s="33" t="s">
        <v>7</v>
      </c>
      <c r="BF10" s="33" t="s">
        <v>6</v>
      </c>
      <c r="BG10" s="33" t="s">
        <v>7</v>
      </c>
      <c r="BH10" s="33" t="s">
        <v>6</v>
      </c>
      <c r="BI10" s="33" t="s">
        <v>7</v>
      </c>
      <c r="BJ10" s="33" t="s">
        <v>6</v>
      </c>
      <c r="BK10" s="33" t="s">
        <v>7</v>
      </c>
    </row>
    <row r="11" spans="1:63">
      <c r="A11" s="13">
        <v>3</v>
      </c>
      <c r="B11" s="14" t="s">
        <v>11</v>
      </c>
      <c r="C11" s="15">
        <v>1.3</v>
      </c>
      <c r="D11" s="15"/>
      <c r="E11" s="15"/>
      <c r="F11" s="15">
        <v>4.7</v>
      </c>
      <c r="G11" s="15"/>
      <c r="H11" s="15">
        <v>4.5999999999999996</v>
      </c>
      <c r="I11" s="15"/>
      <c r="J11" s="15">
        <v>3.8</v>
      </c>
      <c r="K11" s="15">
        <v>1.8</v>
      </c>
      <c r="L11" s="15"/>
      <c r="M11" s="15"/>
      <c r="N11" s="15">
        <v>5.9</v>
      </c>
      <c r="O11" s="15"/>
      <c r="P11" s="15">
        <v>4.2</v>
      </c>
      <c r="Q11" s="15">
        <v>1.8</v>
      </c>
      <c r="R11" s="15"/>
      <c r="S11" s="16">
        <v>2</v>
      </c>
      <c r="T11" s="16"/>
      <c r="U11" s="16"/>
      <c r="V11" s="16"/>
      <c r="W11" s="16"/>
      <c r="X11" s="16"/>
      <c r="Y11" s="16"/>
      <c r="Z11" s="16">
        <v>3.181427343078246</v>
      </c>
      <c r="AA11" s="16">
        <v>0.986989681471512</v>
      </c>
      <c r="AB11" s="16"/>
      <c r="AC11" s="16"/>
      <c r="AD11" s="16">
        <v>9.1</v>
      </c>
      <c r="AH11" s="34">
        <v>1</v>
      </c>
      <c r="AI11" s="35" t="str">
        <f>+A8</f>
        <v>Chuquisaca</v>
      </c>
      <c r="AJ11" s="36">
        <f t="shared" ref="AJ11:BK11" si="1">+C8</f>
        <v>10</v>
      </c>
      <c r="AK11" s="36">
        <f t="shared" si="1"/>
        <v>16</v>
      </c>
      <c r="AL11" s="36">
        <f t="shared" si="1"/>
        <v>14</v>
      </c>
      <c r="AM11" s="36">
        <f t="shared" si="1"/>
        <v>15</v>
      </c>
      <c r="AN11" s="36">
        <f t="shared" si="1"/>
        <v>19</v>
      </c>
      <c r="AO11" s="36">
        <f t="shared" si="1"/>
        <v>10</v>
      </c>
      <c r="AP11" s="36">
        <f t="shared" si="1"/>
        <v>19</v>
      </c>
      <c r="AQ11" s="36">
        <f t="shared" si="1"/>
        <v>10</v>
      </c>
      <c r="AR11" s="36">
        <f t="shared" si="1"/>
        <v>22</v>
      </c>
      <c r="AS11" s="36">
        <f t="shared" si="1"/>
        <v>7</v>
      </c>
      <c r="AT11" s="36">
        <f t="shared" si="1"/>
        <v>20</v>
      </c>
      <c r="AU11" s="36">
        <f t="shared" si="1"/>
        <v>8</v>
      </c>
      <c r="AV11" s="36">
        <f t="shared" si="1"/>
        <v>18</v>
      </c>
      <c r="AW11" s="36">
        <f t="shared" si="1"/>
        <v>11</v>
      </c>
      <c r="AX11" s="36">
        <f t="shared" si="1"/>
        <v>20</v>
      </c>
      <c r="AY11" s="36">
        <f t="shared" si="1"/>
        <v>6</v>
      </c>
      <c r="AZ11" s="36">
        <f t="shared" si="1"/>
        <v>17</v>
      </c>
      <c r="BA11" s="36">
        <f t="shared" si="1"/>
        <v>6</v>
      </c>
      <c r="BB11" s="36">
        <f t="shared" si="1"/>
        <v>10</v>
      </c>
      <c r="BC11" s="36">
        <f t="shared" si="1"/>
        <v>7</v>
      </c>
      <c r="BD11" s="36">
        <f t="shared" si="1"/>
        <v>11</v>
      </c>
      <c r="BE11" s="36">
        <f t="shared" si="1"/>
        <v>11</v>
      </c>
      <c r="BF11" s="36">
        <f t="shared" si="1"/>
        <v>9</v>
      </c>
      <c r="BG11" s="36">
        <f t="shared" si="1"/>
        <v>14</v>
      </c>
      <c r="BH11" s="36">
        <f t="shared" si="1"/>
        <v>13</v>
      </c>
      <c r="BI11" s="36">
        <f t="shared" si="1"/>
        <v>13</v>
      </c>
      <c r="BJ11" s="36">
        <f t="shared" si="1"/>
        <v>10</v>
      </c>
      <c r="BK11" s="36">
        <f t="shared" si="1"/>
        <v>16</v>
      </c>
    </row>
    <row r="12" spans="1:63">
      <c r="A12" s="13">
        <v>4</v>
      </c>
      <c r="B12" s="14" t="s">
        <v>12</v>
      </c>
      <c r="C12" s="15"/>
      <c r="D12" s="15">
        <v>10.199999999999999</v>
      </c>
      <c r="E12" s="15"/>
      <c r="F12" s="15">
        <v>5.5</v>
      </c>
      <c r="G12" s="15">
        <v>2.2000000000000002</v>
      </c>
      <c r="H12" s="15"/>
      <c r="I12" s="15">
        <v>1.1000000000000001</v>
      </c>
      <c r="J12" s="15"/>
      <c r="K12" s="15"/>
      <c r="L12" s="16">
        <v>4</v>
      </c>
      <c r="M12" s="15">
        <v>0.1</v>
      </c>
      <c r="N12" s="15"/>
      <c r="O12" s="16">
        <v>1</v>
      </c>
      <c r="P12" s="15"/>
      <c r="Q12" s="16">
        <v>0.5</v>
      </c>
      <c r="R12" s="15"/>
      <c r="S12" s="16"/>
      <c r="T12" s="16"/>
      <c r="U12" s="16"/>
      <c r="V12" s="16"/>
      <c r="W12" s="16"/>
      <c r="X12" s="16"/>
      <c r="Y12" s="16"/>
      <c r="Z12" s="16"/>
      <c r="AA12" s="15"/>
      <c r="AB12" s="16">
        <v>9.9352051835853139</v>
      </c>
      <c r="AC12" s="16">
        <v>2</v>
      </c>
      <c r="AD12" s="16"/>
      <c r="AH12" s="34">
        <v>2</v>
      </c>
      <c r="AI12" s="35" t="str">
        <f>+A38</f>
        <v>La Paz</v>
      </c>
      <c r="AJ12" s="37">
        <f t="shared" ref="AJ12:BK12" si="2">+C38</f>
        <v>13</v>
      </c>
      <c r="AK12" s="37">
        <f t="shared" si="2"/>
        <v>0</v>
      </c>
      <c r="AL12" s="37">
        <f t="shared" si="2"/>
        <v>8</v>
      </c>
      <c r="AM12" s="37">
        <f t="shared" si="2"/>
        <v>0</v>
      </c>
      <c r="AN12" s="37">
        <f t="shared" si="2"/>
        <v>7</v>
      </c>
      <c r="AO12" s="37">
        <f t="shared" si="2"/>
        <v>0</v>
      </c>
      <c r="AP12" s="37">
        <f t="shared" si="2"/>
        <v>7</v>
      </c>
      <c r="AQ12" s="37">
        <f t="shared" si="2"/>
        <v>2</v>
      </c>
      <c r="AR12" s="37">
        <f t="shared" si="2"/>
        <v>6</v>
      </c>
      <c r="AS12" s="37">
        <f t="shared" si="2"/>
        <v>2</v>
      </c>
      <c r="AT12" s="37">
        <f t="shared" si="2"/>
        <v>11</v>
      </c>
      <c r="AU12" s="37">
        <f t="shared" si="2"/>
        <v>1</v>
      </c>
      <c r="AV12" s="37">
        <f t="shared" si="2"/>
        <v>13</v>
      </c>
      <c r="AW12" s="37">
        <f t="shared" si="2"/>
        <v>0</v>
      </c>
      <c r="AX12" s="37">
        <f t="shared" si="2"/>
        <v>13</v>
      </c>
      <c r="AY12" s="37">
        <f t="shared" si="2"/>
        <v>0</v>
      </c>
      <c r="AZ12" s="37">
        <f t="shared" si="2"/>
        <v>12</v>
      </c>
      <c r="BA12" s="37">
        <f t="shared" si="2"/>
        <v>0</v>
      </c>
      <c r="BB12" s="37">
        <f t="shared" si="2"/>
        <v>6</v>
      </c>
      <c r="BC12" s="37">
        <f t="shared" si="2"/>
        <v>2</v>
      </c>
      <c r="BD12" s="37">
        <f t="shared" si="2"/>
        <v>8</v>
      </c>
      <c r="BE12" s="37">
        <f t="shared" si="2"/>
        <v>1</v>
      </c>
      <c r="BF12" s="37">
        <f t="shared" si="2"/>
        <v>12</v>
      </c>
      <c r="BG12" s="37">
        <f t="shared" si="2"/>
        <v>0</v>
      </c>
      <c r="BH12" s="37">
        <f t="shared" si="2"/>
        <v>8</v>
      </c>
      <c r="BI12" s="37">
        <f t="shared" si="2"/>
        <v>1</v>
      </c>
      <c r="BJ12" s="37">
        <f t="shared" si="2"/>
        <v>11</v>
      </c>
      <c r="BK12" s="37">
        <f t="shared" si="2"/>
        <v>1</v>
      </c>
    </row>
    <row r="13" spans="1:63">
      <c r="A13" s="13">
        <v>5</v>
      </c>
      <c r="B13" s="14" t="s">
        <v>13</v>
      </c>
      <c r="C13" s="15"/>
      <c r="D13" s="15">
        <v>4.9000000000000004</v>
      </c>
      <c r="E13" s="15"/>
      <c r="F13" s="15">
        <v>4.2</v>
      </c>
      <c r="G13" s="15"/>
      <c r="H13" s="15">
        <v>5.3</v>
      </c>
      <c r="I13" s="15"/>
      <c r="J13" s="16">
        <v>5</v>
      </c>
      <c r="K13" s="15">
        <v>2.2000000000000002</v>
      </c>
      <c r="L13" s="15"/>
      <c r="M13" s="15">
        <v>2.7</v>
      </c>
      <c r="N13" s="15"/>
      <c r="O13" s="15">
        <v>2.2999999999999998</v>
      </c>
      <c r="P13" s="15"/>
      <c r="Q13" s="15"/>
      <c r="R13" s="15">
        <v>3.8</v>
      </c>
      <c r="S13" s="16">
        <v>1.2</v>
      </c>
      <c r="T13" s="16"/>
      <c r="U13" s="16">
        <v>0</v>
      </c>
      <c r="V13" s="16"/>
      <c r="W13" s="16">
        <v>0.8</v>
      </c>
      <c r="X13" s="16"/>
      <c r="Y13" s="16"/>
      <c r="Z13" s="16">
        <v>3.390435403283369</v>
      </c>
      <c r="AA13" s="16">
        <v>2.1383647798742138</v>
      </c>
      <c r="AB13" s="16"/>
      <c r="AC13" s="16"/>
      <c r="AD13" s="16">
        <v>3.1</v>
      </c>
      <c r="AH13" s="34">
        <v>3</v>
      </c>
      <c r="AI13" s="35" t="str">
        <f>+A64</f>
        <v>Cochabamba</v>
      </c>
      <c r="AJ13" s="37">
        <f t="shared" ref="AJ13:BK13" si="3">+C64</f>
        <v>24</v>
      </c>
      <c r="AK13" s="37">
        <f t="shared" si="3"/>
        <v>12</v>
      </c>
      <c r="AL13" s="37">
        <f t="shared" si="3"/>
        <v>30</v>
      </c>
      <c r="AM13" s="37">
        <f t="shared" si="3"/>
        <v>10</v>
      </c>
      <c r="AN13" s="37">
        <f t="shared" si="3"/>
        <v>24</v>
      </c>
      <c r="AO13" s="37">
        <f t="shared" si="3"/>
        <v>13</v>
      </c>
      <c r="AP13" s="37">
        <f t="shared" si="3"/>
        <v>23</v>
      </c>
      <c r="AQ13" s="37">
        <f t="shared" si="3"/>
        <v>13</v>
      </c>
      <c r="AR13" s="37">
        <f t="shared" si="3"/>
        <v>25</v>
      </c>
      <c r="AS13" s="37">
        <f t="shared" si="3"/>
        <v>10</v>
      </c>
      <c r="AT13" s="37">
        <f t="shared" si="3"/>
        <v>26</v>
      </c>
      <c r="AU13" s="37">
        <f t="shared" si="3"/>
        <v>11</v>
      </c>
      <c r="AV13" s="37">
        <f t="shared" si="3"/>
        <v>27</v>
      </c>
      <c r="AW13" s="37">
        <f t="shared" si="3"/>
        <v>8</v>
      </c>
      <c r="AX13" s="37">
        <f t="shared" si="3"/>
        <v>35</v>
      </c>
      <c r="AY13" s="37">
        <f t="shared" si="3"/>
        <v>2</v>
      </c>
      <c r="AZ13" s="37">
        <f t="shared" si="3"/>
        <v>34</v>
      </c>
      <c r="BA13" s="37">
        <f t="shared" si="3"/>
        <v>2</v>
      </c>
      <c r="BB13" s="37">
        <f t="shared" si="3"/>
        <v>30</v>
      </c>
      <c r="BC13" s="37">
        <f t="shared" si="3"/>
        <v>3</v>
      </c>
      <c r="BD13" s="37">
        <f t="shared" si="3"/>
        <v>37</v>
      </c>
      <c r="BE13" s="37">
        <f t="shared" si="3"/>
        <v>3</v>
      </c>
      <c r="BF13" s="37">
        <f t="shared" si="3"/>
        <v>37</v>
      </c>
      <c r="BG13" s="37">
        <f t="shared" si="3"/>
        <v>1</v>
      </c>
      <c r="BH13" s="37">
        <f t="shared" si="3"/>
        <v>36</v>
      </c>
      <c r="BI13" s="37">
        <f t="shared" si="3"/>
        <v>1</v>
      </c>
      <c r="BJ13" s="37">
        <f t="shared" si="3"/>
        <v>33</v>
      </c>
      <c r="BK13" s="37">
        <f t="shared" si="3"/>
        <v>3</v>
      </c>
    </row>
    <row r="14" spans="1:63">
      <c r="A14" s="13">
        <v>6</v>
      </c>
      <c r="B14" s="14" t="s">
        <v>14</v>
      </c>
      <c r="C14" s="15"/>
      <c r="D14" s="15"/>
      <c r="E14" s="15"/>
      <c r="F14" s="15">
        <v>16.100000000000001</v>
      </c>
      <c r="G14" s="15"/>
      <c r="H14" s="15">
        <v>16.399999999999999</v>
      </c>
      <c r="I14" s="15"/>
      <c r="J14" s="15">
        <v>17.2</v>
      </c>
      <c r="K14" s="15"/>
      <c r="L14" s="15">
        <v>9.3000000000000007</v>
      </c>
      <c r="M14" s="15"/>
      <c r="N14" s="15">
        <v>22.5</v>
      </c>
      <c r="O14" s="15"/>
      <c r="P14" s="15">
        <v>8.1999999999999993</v>
      </c>
      <c r="Q14" s="15"/>
      <c r="R14" s="15"/>
      <c r="S14" s="16"/>
      <c r="T14" s="16">
        <v>7.1</v>
      </c>
      <c r="U14" s="16"/>
      <c r="V14" s="16"/>
      <c r="W14" s="16"/>
      <c r="X14" s="16">
        <v>8.6</v>
      </c>
      <c r="Y14" s="16"/>
      <c r="Z14" s="16">
        <v>12.663755458515283</v>
      </c>
      <c r="AA14" s="16">
        <v>0</v>
      </c>
      <c r="AB14" s="16"/>
      <c r="AC14" s="16"/>
      <c r="AD14" s="16">
        <v>22.9</v>
      </c>
      <c r="AH14" s="34">
        <v>4</v>
      </c>
      <c r="AI14" s="38" t="str">
        <f>+A106</f>
        <v>Potosi</v>
      </c>
      <c r="AJ14" s="39">
        <f t="shared" ref="AJ14:BK14" si="4">+C106</f>
        <v>15</v>
      </c>
      <c r="AK14" s="39">
        <f t="shared" si="4"/>
        <v>3</v>
      </c>
      <c r="AL14" s="39">
        <f t="shared" si="4"/>
        <v>17</v>
      </c>
      <c r="AM14" s="39">
        <f t="shared" si="4"/>
        <v>3</v>
      </c>
      <c r="AN14" s="39">
        <f t="shared" si="4"/>
        <v>17</v>
      </c>
      <c r="AO14" s="39">
        <f t="shared" si="4"/>
        <v>2</v>
      </c>
      <c r="AP14" s="39">
        <f t="shared" si="4"/>
        <v>18</v>
      </c>
      <c r="AQ14" s="39">
        <f t="shared" si="4"/>
        <v>2</v>
      </c>
      <c r="AR14" s="39">
        <f t="shared" si="4"/>
        <v>18</v>
      </c>
      <c r="AS14" s="39">
        <f t="shared" si="4"/>
        <v>3</v>
      </c>
      <c r="AT14" s="39">
        <f t="shared" si="4"/>
        <v>14</v>
      </c>
      <c r="AU14" s="39">
        <f t="shared" si="4"/>
        <v>3</v>
      </c>
      <c r="AV14" s="39">
        <f t="shared" si="4"/>
        <v>16</v>
      </c>
      <c r="AW14" s="39">
        <f t="shared" si="4"/>
        <v>0</v>
      </c>
      <c r="AX14" s="39">
        <f t="shared" si="4"/>
        <v>20</v>
      </c>
      <c r="AY14" s="39">
        <f t="shared" si="4"/>
        <v>0</v>
      </c>
      <c r="AZ14" s="39">
        <f t="shared" si="4"/>
        <v>18</v>
      </c>
      <c r="BA14" s="39">
        <f t="shared" si="4"/>
        <v>0</v>
      </c>
      <c r="BB14" s="39">
        <f t="shared" si="4"/>
        <v>14</v>
      </c>
      <c r="BC14" s="39">
        <f t="shared" si="4"/>
        <v>3</v>
      </c>
      <c r="BD14" s="39">
        <f t="shared" si="4"/>
        <v>14</v>
      </c>
      <c r="BE14" s="39">
        <f t="shared" si="4"/>
        <v>7</v>
      </c>
      <c r="BF14" s="39">
        <f t="shared" si="4"/>
        <v>16</v>
      </c>
      <c r="BG14" s="39">
        <f t="shared" si="4"/>
        <v>3</v>
      </c>
      <c r="BH14" s="39">
        <f t="shared" si="4"/>
        <v>15</v>
      </c>
      <c r="BI14" s="39">
        <f t="shared" si="4"/>
        <v>5</v>
      </c>
      <c r="BJ14" s="39">
        <f t="shared" si="4"/>
        <v>17</v>
      </c>
      <c r="BK14" s="39">
        <f t="shared" si="4"/>
        <v>4</v>
      </c>
    </row>
    <row r="15" spans="1:63">
      <c r="A15" s="13">
        <v>7</v>
      </c>
      <c r="B15" s="14" t="s">
        <v>15</v>
      </c>
      <c r="C15" s="15"/>
      <c r="D15" s="15">
        <v>3.9</v>
      </c>
      <c r="E15" s="15">
        <v>1.3</v>
      </c>
      <c r="F15" s="15"/>
      <c r="G15" s="15">
        <v>1.2</v>
      </c>
      <c r="H15" s="15"/>
      <c r="I15" s="15">
        <v>1.2</v>
      </c>
      <c r="J15" s="15"/>
      <c r="K15" s="15">
        <v>0.8</v>
      </c>
      <c r="L15" s="15"/>
      <c r="M15" s="15">
        <v>0.2</v>
      </c>
      <c r="N15" s="15"/>
      <c r="O15" s="15"/>
      <c r="P15" s="16">
        <v>4</v>
      </c>
      <c r="Q15" s="15">
        <v>0.4</v>
      </c>
      <c r="R15" s="16"/>
      <c r="S15" s="16">
        <v>0.3</v>
      </c>
      <c r="T15" s="16"/>
      <c r="U15" s="16">
        <v>0.3</v>
      </c>
      <c r="V15" s="16"/>
      <c r="W15" s="16">
        <v>0.3</v>
      </c>
      <c r="X15" s="16"/>
      <c r="Y15" s="16">
        <v>0.68337129840546695</v>
      </c>
      <c r="Z15" s="16"/>
      <c r="AA15" s="16"/>
      <c r="AB15" s="16">
        <v>11.874105865522175</v>
      </c>
      <c r="AC15" s="16">
        <v>0.3</v>
      </c>
      <c r="AD15" s="16"/>
      <c r="AH15" s="34">
        <v>5</v>
      </c>
      <c r="AI15" s="38" t="str">
        <f>+A128</f>
        <v>Tarija</v>
      </c>
      <c r="AJ15" s="39">
        <f t="shared" ref="AJ15:BK15" si="5">+C128</f>
        <v>5</v>
      </c>
      <c r="AK15" s="39">
        <f t="shared" si="5"/>
        <v>5</v>
      </c>
      <c r="AL15" s="39">
        <f t="shared" si="5"/>
        <v>5</v>
      </c>
      <c r="AM15" s="39">
        <f t="shared" si="5"/>
        <v>5</v>
      </c>
      <c r="AN15" s="39">
        <f t="shared" si="5"/>
        <v>6</v>
      </c>
      <c r="AO15" s="39">
        <f t="shared" si="5"/>
        <v>4</v>
      </c>
      <c r="AP15" s="39">
        <f t="shared" si="5"/>
        <v>5</v>
      </c>
      <c r="AQ15" s="39">
        <f t="shared" si="5"/>
        <v>5</v>
      </c>
      <c r="AR15" s="39">
        <f t="shared" si="5"/>
        <v>6</v>
      </c>
      <c r="AS15" s="39">
        <f t="shared" si="5"/>
        <v>4</v>
      </c>
      <c r="AT15" s="39">
        <f t="shared" si="5"/>
        <v>6</v>
      </c>
      <c r="AU15" s="39">
        <f t="shared" si="5"/>
        <v>4</v>
      </c>
      <c r="AV15" s="39">
        <f t="shared" si="5"/>
        <v>8</v>
      </c>
      <c r="AW15" s="39">
        <f t="shared" si="5"/>
        <v>2</v>
      </c>
      <c r="AX15" s="39">
        <f t="shared" si="5"/>
        <v>8</v>
      </c>
      <c r="AY15" s="39">
        <f t="shared" si="5"/>
        <v>2</v>
      </c>
      <c r="AZ15" s="39">
        <f t="shared" si="5"/>
        <v>8</v>
      </c>
      <c r="BA15" s="39">
        <f t="shared" si="5"/>
        <v>2</v>
      </c>
      <c r="BB15" s="39">
        <f t="shared" si="5"/>
        <v>6</v>
      </c>
      <c r="BC15" s="39">
        <f t="shared" si="5"/>
        <v>3</v>
      </c>
      <c r="BD15" s="39">
        <f t="shared" si="5"/>
        <v>8</v>
      </c>
      <c r="BE15" s="39">
        <f t="shared" si="5"/>
        <v>2</v>
      </c>
      <c r="BF15" s="39">
        <f t="shared" si="5"/>
        <v>8</v>
      </c>
      <c r="BG15" s="39">
        <f t="shared" si="5"/>
        <v>2</v>
      </c>
      <c r="BH15" s="39">
        <f t="shared" si="5"/>
        <v>7</v>
      </c>
      <c r="BI15" s="39">
        <f t="shared" si="5"/>
        <v>3</v>
      </c>
      <c r="BJ15" s="39">
        <f t="shared" si="5"/>
        <v>8</v>
      </c>
      <c r="BK15" s="39">
        <f t="shared" si="5"/>
        <v>2</v>
      </c>
    </row>
    <row r="16" spans="1:63">
      <c r="A16" s="13">
        <v>8</v>
      </c>
      <c r="B16" s="14" t="s">
        <v>16</v>
      </c>
      <c r="C16" s="15">
        <v>2.8</v>
      </c>
      <c r="D16" s="15"/>
      <c r="E16" s="15">
        <v>2.2000000000000002</v>
      </c>
      <c r="F16" s="15"/>
      <c r="G16" s="15"/>
      <c r="H16" s="15">
        <v>3.4</v>
      </c>
      <c r="I16" s="15">
        <v>2.7</v>
      </c>
      <c r="J16" s="15"/>
      <c r="K16" s="15">
        <v>2.1</v>
      </c>
      <c r="L16" s="15"/>
      <c r="M16" s="15">
        <v>1.2</v>
      </c>
      <c r="N16" s="15"/>
      <c r="O16" s="15">
        <v>0.6</v>
      </c>
      <c r="P16" s="15"/>
      <c r="Q16" s="15"/>
      <c r="R16" s="15">
        <v>31.8</v>
      </c>
      <c r="S16" s="16"/>
      <c r="T16" s="16"/>
      <c r="U16" s="16"/>
      <c r="V16" s="16">
        <v>17.7</v>
      </c>
      <c r="W16" s="16"/>
      <c r="X16" s="16">
        <v>10.9</v>
      </c>
      <c r="Y16" s="16"/>
      <c r="Z16" s="16">
        <v>2.4861878453038675</v>
      </c>
      <c r="AA16" s="16"/>
      <c r="AB16" s="16"/>
      <c r="AC16" s="16"/>
      <c r="AD16" s="16"/>
      <c r="AH16" s="34">
        <v>6</v>
      </c>
      <c r="AI16" s="38" t="str">
        <f>+A139</f>
        <v>Santa Cruz</v>
      </c>
      <c r="AJ16" s="39">
        <f t="shared" ref="AJ16:BK16" si="6">+C139</f>
        <v>3</v>
      </c>
      <c r="AK16" s="39">
        <f t="shared" si="6"/>
        <v>10</v>
      </c>
      <c r="AL16" s="39">
        <f t="shared" si="6"/>
        <v>2</v>
      </c>
      <c r="AM16" s="39">
        <f t="shared" si="6"/>
        <v>9</v>
      </c>
      <c r="AN16" s="39">
        <f t="shared" si="6"/>
        <v>4</v>
      </c>
      <c r="AO16" s="39">
        <f t="shared" si="6"/>
        <v>6</v>
      </c>
      <c r="AP16" s="39">
        <f t="shared" si="6"/>
        <v>9</v>
      </c>
      <c r="AQ16" s="39">
        <f t="shared" si="6"/>
        <v>2</v>
      </c>
      <c r="AR16" s="39">
        <f t="shared" si="6"/>
        <v>6</v>
      </c>
      <c r="AS16" s="39">
        <f t="shared" si="6"/>
        <v>3</v>
      </c>
      <c r="AT16" s="39">
        <f t="shared" si="6"/>
        <v>4</v>
      </c>
      <c r="AU16" s="39">
        <f t="shared" si="6"/>
        <v>7</v>
      </c>
      <c r="AV16" s="39">
        <f t="shared" si="6"/>
        <v>9</v>
      </c>
      <c r="AW16" s="39">
        <f t="shared" si="6"/>
        <v>9</v>
      </c>
      <c r="AX16" s="39">
        <f t="shared" si="6"/>
        <v>5</v>
      </c>
      <c r="AY16" s="39">
        <f t="shared" si="6"/>
        <v>3</v>
      </c>
      <c r="AZ16" s="39">
        <f t="shared" si="6"/>
        <v>13</v>
      </c>
      <c r="BA16" s="39">
        <f t="shared" si="6"/>
        <v>2</v>
      </c>
      <c r="BB16" s="39">
        <f t="shared" si="6"/>
        <v>2</v>
      </c>
      <c r="BC16" s="39">
        <f t="shared" si="6"/>
        <v>0</v>
      </c>
      <c r="BD16" s="39">
        <f t="shared" si="6"/>
        <v>0</v>
      </c>
      <c r="BE16" s="39">
        <f t="shared" si="6"/>
        <v>3</v>
      </c>
      <c r="BF16" s="39">
        <f t="shared" si="6"/>
        <v>5</v>
      </c>
      <c r="BG16" s="39">
        <f t="shared" si="6"/>
        <v>5</v>
      </c>
      <c r="BH16" s="39">
        <f t="shared" si="6"/>
        <v>6</v>
      </c>
      <c r="BI16" s="39">
        <f t="shared" si="6"/>
        <v>5</v>
      </c>
      <c r="BJ16" s="39">
        <f t="shared" si="6"/>
        <v>6</v>
      </c>
      <c r="BK16" s="39">
        <f t="shared" si="6"/>
        <v>4</v>
      </c>
    </row>
    <row r="17" spans="1:63">
      <c r="A17" s="13">
        <v>9</v>
      </c>
      <c r="B17" s="14" t="s">
        <v>17</v>
      </c>
      <c r="C17" s="15"/>
      <c r="D17" s="16">
        <v>10</v>
      </c>
      <c r="E17" s="16">
        <v>1</v>
      </c>
      <c r="F17" s="15"/>
      <c r="G17" s="15">
        <v>1.6</v>
      </c>
      <c r="H17" s="15"/>
      <c r="I17" s="15">
        <v>2.7</v>
      </c>
      <c r="J17" s="15"/>
      <c r="K17" s="15">
        <v>0.6</v>
      </c>
      <c r="L17" s="15"/>
      <c r="M17" s="15"/>
      <c r="N17" s="15">
        <v>4.0999999999999996</v>
      </c>
      <c r="O17" s="15"/>
      <c r="P17" s="15">
        <v>12.6</v>
      </c>
      <c r="Q17" s="15"/>
      <c r="R17" s="15">
        <v>6.8</v>
      </c>
      <c r="S17" s="16"/>
      <c r="T17" s="16">
        <v>4.8</v>
      </c>
      <c r="U17" s="16"/>
      <c r="V17" s="16">
        <v>6</v>
      </c>
      <c r="W17" s="16"/>
      <c r="X17" s="16">
        <v>4.9000000000000004</v>
      </c>
      <c r="Y17" s="16"/>
      <c r="Z17" s="16">
        <v>4.882062534284147</v>
      </c>
      <c r="AA17" s="16">
        <v>2.7258150721539285</v>
      </c>
      <c r="AB17" s="16"/>
      <c r="AC17" s="16"/>
      <c r="AD17" s="16">
        <v>12.7</v>
      </c>
      <c r="AH17" s="78" t="s">
        <v>171</v>
      </c>
      <c r="AI17" s="78"/>
      <c r="AJ17" s="33">
        <f t="shared" ref="AJ17:BH17" si="7">SUM(AJ11:AJ16)</f>
        <v>70</v>
      </c>
      <c r="AK17" s="33">
        <f t="shared" si="7"/>
        <v>46</v>
      </c>
      <c r="AL17" s="33">
        <f t="shared" si="7"/>
        <v>76</v>
      </c>
      <c r="AM17" s="33">
        <f t="shared" si="7"/>
        <v>42</v>
      </c>
      <c r="AN17" s="33">
        <f t="shared" si="7"/>
        <v>77</v>
      </c>
      <c r="AO17" s="33">
        <f t="shared" si="7"/>
        <v>35</v>
      </c>
      <c r="AP17" s="33">
        <f t="shared" si="7"/>
        <v>81</v>
      </c>
      <c r="AQ17" s="33">
        <f t="shared" si="7"/>
        <v>34</v>
      </c>
      <c r="AR17" s="33">
        <f t="shared" si="7"/>
        <v>83</v>
      </c>
      <c r="AS17" s="33">
        <f t="shared" si="7"/>
        <v>29</v>
      </c>
      <c r="AT17" s="33">
        <f t="shared" si="7"/>
        <v>81</v>
      </c>
      <c r="AU17" s="33">
        <f t="shared" si="7"/>
        <v>34</v>
      </c>
      <c r="AV17" s="33">
        <f t="shared" si="7"/>
        <v>91</v>
      </c>
      <c r="AW17" s="33">
        <f t="shared" si="7"/>
        <v>30</v>
      </c>
      <c r="AX17" s="33">
        <f t="shared" si="7"/>
        <v>101</v>
      </c>
      <c r="AY17" s="33">
        <f t="shared" si="7"/>
        <v>13</v>
      </c>
      <c r="AZ17" s="33">
        <f t="shared" si="7"/>
        <v>102</v>
      </c>
      <c r="BA17" s="33">
        <f t="shared" si="7"/>
        <v>12</v>
      </c>
      <c r="BB17" s="33">
        <f t="shared" si="7"/>
        <v>68</v>
      </c>
      <c r="BC17" s="33">
        <f t="shared" si="7"/>
        <v>18</v>
      </c>
      <c r="BD17" s="33">
        <f t="shared" si="7"/>
        <v>78</v>
      </c>
      <c r="BE17" s="33">
        <f t="shared" si="7"/>
        <v>27</v>
      </c>
      <c r="BF17" s="33">
        <f t="shared" si="7"/>
        <v>87</v>
      </c>
      <c r="BG17" s="33">
        <f t="shared" si="7"/>
        <v>25</v>
      </c>
      <c r="BH17" s="33">
        <f t="shared" si="7"/>
        <v>85</v>
      </c>
      <c r="BI17" s="33">
        <f>SUM(BI11:BI16)</f>
        <v>28</v>
      </c>
      <c r="BJ17" s="33">
        <f>SUM(BJ11:BJ16)</f>
        <v>85</v>
      </c>
      <c r="BK17" s="33">
        <f>SUM(BK11:BK16)</f>
        <v>30</v>
      </c>
    </row>
    <row r="18" spans="1:63">
      <c r="A18" s="13">
        <v>10</v>
      </c>
      <c r="B18" s="14" t="s">
        <v>18</v>
      </c>
      <c r="C18" s="15"/>
      <c r="D18" s="15">
        <v>21.4</v>
      </c>
      <c r="E18" s="15"/>
      <c r="F18" s="15">
        <v>6.9</v>
      </c>
      <c r="G18" s="15"/>
      <c r="H18" s="15">
        <v>6.9</v>
      </c>
      <c r="I18" s="15"/>
      <c r="J18" s="15">
        <v>6.2</v>
      </c>
      <c r="K18" s="16">
        <v>0</v>
      </c>
      <c r="L18" s="15"/>
      <c r="M18" s="15"/>
      <c r="N18" s="15"/>
      <c r="O18" s="15"/>
      <c r="P18" s="15">
        <v>21.5</v>
      </c>
      <c r="Q18" s="15"/>
      <c r="R18" s="15"/>
      <c r="S18" s="16">
        <v>1.9</v>
      </c>
      <c r="T18" s="16"/>
      <c r="U18" s="16"/>
      <c r="V18" s="16"/>
      <c r="W18" s="16"/>
      <c r="X18" s="16">
        <v>12.6</v>
      </c>
      <c r="Y18" s="16"/>
      <c r="Z18" s="16">
        <v>25.272331154684096</v>
      </c>
      <c r="AA18" s="16">
        <v>0.28780743066457354</v>
      </c>
      <c r="AB18" s="16"/>
      <c r="AC18" s="16"/>
      <c r="AD18" s="16">
        <v>14.9</v>
      </c>
      <c r="AH18" s="78">
        <v>154</v>
      </c>
      <c r="AI18" s="78"/>
      <c r="AJ18" s="40">
        <f>AJ17/AH18*100</f>
        <v>45.454545454545453</v>
      </c>
      <c r="AK18" s="40">
        <f>AK17/AH18*100</f>
        <v>29.870129870129869</v>
      </c>
      <c r="AL18" s="40">
        <f>AL17/AH18*100</f>
        <v>49.350649350649348</v>
      </c>
      <c r="AM18" s="40">
        <f>AM17/AH18*100</f>
        <v>27.27272727272727</v>
      </c>
      <c r="AN18" s="40">
        <f>AN17/AH18*100</f>
        <v>50</v>
      </c>
      <c r="AO18" s="40">
        <f>AO17/AH18*100</f>
        <v>22.727272727272727</v>
      </c>
      <c r="AP18" s="40">
        <f>AP17/AH18*100</f>
        <v>52.597402597402599</v>
      </c>
      <c r="AQ18" s="40">
        <f>AQ17/AH18*100</f>
        <v>22.077922077922079</v>
      </c>
      <c r="AR18" s="40">
        <f>AR17/AH18*100</f>
        <v>53.896103896103895</v>
      </c>
      <c r="AS18" s="40">
        <f>AS17/AH18*100</f>
        <v>18.831168831168831</v>
      </c>
      <c r="AT18" s="40">
        <f>AT17/AH18*100</f>
        <v>52.597402597402599</v>
      </c>
      <c r="AU18" s="40">
        <f>AU17/AH18*100</f>
        <v>22.077922077922079</v>
      </c>
      <c r="AV18" s="40">
        <f>AV17/AH18*100</f>
        <v>59.090909090909093</v>
      </c>
      <c r="AW18" s="40">
        <f>AW17/AH18*100</f>
        <v>19.480519480519483</v>
      </c>
      <c r="AX18" s="40">
        <f>AX17/AH18*100</f>
        <v>65.584415584415595</v>
      </c>
      <c r="AY18" s="40">
        <f>AY17/AH18*100</f>
        <v>8.4415584415584419</v>
      </c>
      <c r="AZ18" s="40">
        <f>AZ17/AH18*100</f>
        <v>66.233766233766232</v>
      </c>
      <c r="BA18" s="40">
        <f>BA17/AH18*100</f>
        <v>7.7922077922077921</v>
      </c>
      <c r="BB18" s="40">
        <f>BB17/AH18*100</f>
        <v>44.155844155844157</v>
      </c>
      <c r="BC18" s="40">
        <f>BC17/AH18*100</f>
        <v>11.688311688311687</v>
      </c>
      <c r="BD18" s="40">
        <f>BD17/AH18*100</f>
        <v>50.649350649350644</v>
      </c>
      <c r="BE18" s="40">
        <f>BE17/AH18*100</f>
        <v>17.532467532467532</v>
      </c>
      <c r="BF18" s="40">
        <f>BF17/AH18*100</f>
        <v>56.493506493506494</v>
      </c>
      <c r="BG18" s="40">
        <f>BG17/AH18*100</f>
        <v>16.233766233766232</v>
      </c>
      <c r="BH18" s="40">
        <f>BH17/AH18*100</f>
        <v>55.194805194805198</v>
      </c>
      <c r="BI18" s="40">
        <f>BI17/AH18*100</f>
        <v>18.181818181818183</v>
      </c>
      <c r="BJ18" s="40">
        <f>BJ17/AH18*100</f>
        <v>55.194805194805198</v>
      </c>
      <c r="BK18" s="40">
        <f>BK17/AH18*100</f>
        <v>19.480519480519483</v>
      </c>
    </row>
    <row r="19" spans="1:63" ht="16.5">
      <c r="A19" s="13">
        <v>11</v>
      </c>
      <c r="B19" s="14" t="s">
        <v>19</v>
      </c>
      <c r="C19" s="15">
        <v>2.9</v>
      </c>
      <c r="D19" s="15"/>
      <c r="E19" s="15">
        <v>1.9</v>
      </c>
      <c r="F19" s="15"/>
      <c r="G19" s="15">
        <v>2.7</v>
      </c>
      <c r="H19" s="15"/>
      <c r="I19" s="15"/>
      <c r="J19" s="15">
        <v>4.0999999999999996</v>
      </c>
      <c r="K19" s="15"/>
      <c r="L19" s="15">
        <v>4.5</v>
      </c>
      <c r="M19" s="15">
        <v>2.6</v>
      </c>
      <c r="N19" s="15"/>
      <c r="O19" s="15"/>
      <c r="P19" s="15">
        <v>4.2</v>
      </c>
      <c r="Q19" s="15"/>
      <c r="R19" s="15">
        <v>16.100000000000001</v>
      </c>
      <c r="S19" s="16"/>
      <c r="T19" s="16"/>
      <c r="U19" s="16"/>
      <c r="V19" s="16"/>
      <c r="W19" s="16"/>
      <c r="X19" s="16">
        <v>25.6</v>
      </c>
      <c r="Y19" s="16"/>
      <c r="Z19" s="16">
        <v>13.712374581939798</v>
      </c>
      <c r="AA19" s="15"/>
      <c r="AB19" s="16">
        <v>20.333333333333332</v>
      </c>
      <c r="AC19" s="15"/>
      <c r="AD19" s="16">
        <v>21.2</v>
      </c>
      <c r="AH19" s="28" t="s">
        <v>172</v>
      </c>
      <c r="AI19" s="29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</row>
    <row r="20" spans="1:63" ht="16.5">
      <c r="A20" s="13">
        <v>12</v>
      </c>
      <c r="B20" s="14" t="s">
        <v>20</v>
      </c>
      <c r="C20" s="15"/>
      <c r="D20" s="15">
        <v>4.3</v>
      </c>
      <c r="E20" s="15">
        <v>2.9</v>
      </c>
      <c r="F20" s="15"/>
      <c r="G20" s="15">
        <v>1.2</v>
      </c>
      <c r="H20" s="15"/>
      <c r="I20" s="15">
        <v>1.8</v>
      </c>
      <c r="J20" s="15"/>
      <c r="K20" s="15"/>
      <c r="L20" s="15">
        <v>4.2</v>
      </c>
      <c r="M20" s="15"/>
      <c r="N20" s="15">
        <v>5.3</v>
      </c>
      <c r="O20" s="15">
        <v>2.1</v>
      </c>
      <c r="P20" s="15"/>
      <c r="Q20" s="15"/>
      <c r="R20" s="16">
        <v>3</v>
      </c>
      <c r="S20" s="16"/>
      <c r="T20" s="16">
        <v>7</v>
      </c>
      <c r="U20" s="16"/>
      <c r="V20" s="16"/>
      <c r="W20" s="16">
        <v>0.5</v>
      </c>
      <c r="X20" s="16"/>
      <c r="Y20" s="16"/>
      <c r="Z20" s="16">
        <v>5.9127864005912789</v>
      </c>
      <c r="AA20" s="16">
        <v>7.6745970836531077E-2</v>
      </c>
      <c r="AB20" s="16"/>
      <c r="AC20" s="16"/>
      <c r="AD20" s="16">
        <v>3.4</v>
      </c>
      <c r="AH20" s="28"/>
      <c r="AI20" s="29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</row>
    <row r="21" spans="1:63" ht="15.75">
      <c r="A21" s="13">
        <v>13</v>
      </c>
      <c r="B21" s="14" t="s">
        <v>21</v>
      </c>
      <c r="C21" s="15"/>
      <c r="D21" s="15"/>
      <c r="E21" s="15"/>
      <c r="F21" s="15">
        <v>9.4</v>
      </c>
      <c r="G21" s="15">
        <v>2.8</v>
      </c>
      <c r="H21" s="15"/>
      <c r="I21" s="15">
        <v>1.3</v>
      </c>
      <c r="J21" s="15"/>
      <c r="K21" s="15">
        <v>1.1000000000000001</v>
      </c>
      <c r="L21" s="15"/>
      <c r="M21" s="16">
        <v>1</v>
      </c>
      <c r="N21" s="15"/>
      <c r="O21" s="15">
        <v>1.3</v>
      </c>
      <c r="P21" s="15"/>
      <c r="Q21" s="15">
        <v>0.6</v>
      </c>
      <c r="R21" s="15"/>
      <c r="S21" s="16">
        <v>0.6</v>
      </c>
      <c r="T21" s="16"/>
      <c r="U21" s="16">
        <v>0.5</v>
      </c>
      <c r="V21" s="16"/>
      <c r="W21" s="16">
        <v>0.1</v>
      </c>
      <c r="X21" s="16"/>
      <c r="Y21" s="16">
        <v>0.82352941176470595</v>
      </c>
      <c r="Z21" s="16"/>
      <c r="AA21" s="16">
        <v>1.0526315789473684</v>
      </c>
      <c r="AB21" s="16"/>
      <c r="AC21" s="16">
        <v>0.3</v>
      </c>
      <c r="AD21" s="16"/>
      <c r="AH21" s="2"/>
      <c r="AI21" s="79" t="s">
        <v>175</v>
      </c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</row>
    <row r="22" spans="1:63">
      <c r="A22" s="13">
        <v>14</v>
      </c>
      <c r="B22" s="14" t="s">
        <v>22</v>
      </c>
      <c r="C22" s="15"/>
      <c r="D22" s="15">
        <v>3.3</v>
      </c>
      <c r="E22" s="15"/>
      <c r="F22" s="15">
        <v>3.6</v>
      </c>
      <c r="G22" s="15">
        <v>1.4</v>
      </c>
      <c r="H22" s="15"/>
      <c r="I22" s="16">
        <v>1</v>
      </c>
      <c r="J22" s="15"/>
      <c r="K22" s="15">
        <v>0.9</v>
      </c>
      <c r="L22" s="15"/>
      <c r="M22" s="15">
        <v>1.3</v>
      </c>
      <c r="N22" s="15"/>
      <c r="O22" s="15">
        <v>2.8</v>
      </c>
      <c r="P22" s="15"/>
      <c r="Q22" s="16">
        <v>1</v>
      </c>
      <c r="R22" s="15"/>
      <c r="S22" s="16">
        <v>0.9</v>
      </c>
      <c r="T22" s="16"/>
      <c r="U22" s="16">
        <v>2</v>
      </c>
      <c r="V22" s="16"/>
      <c r="W22" s="16">
        <v>1.2</v>
      </c>
      <c r="X22" s="16"/>
      <c r="Y22" s="16">
        <v>1.2391158740790356</v>
      </c>
      <c r="Z22" s="16"/>
      <c r="AA22" s="15"/>
      <c r="AB22" s="16">
        <v>23.52941176470588</v>
      </c>
      <c r="AC22" s="15"/>
      <c r="AD22" s="16">
        <v>4.2</v>
      </c>
      <c r="AH22" s="4"/>
      <c r="AI22" s="42" t="s">
        <v>176</v>
      </c>
      <c r="AJ22" s="43">
        <v>1999</v>
      </c>
      <c r="AK22" s="43">
        <v>2003</v>
      </c>
      <c r="AL22" s="43">
        <v>2004</v>
      </c>
      <c r="AM22" s="43">
        <v>2005</v>
      </c>
      <c r="AN22" s="43">
        <v>2006</v>
      </c>
      <c r="AO22" s="43">
        <v>2007</v>
      </c>
      <c r="AP22" s="43">
        <v>2008</v>
      </c>
      <c r="AQ22" s="43">
        <v>2009</v>
      </c>
      <c r="AR22" s="43">
        <v>2010</v>
      </c>
      <c r="AS22" s="43">
        <v>2011</v>
      </c>
      <c r="AT22" s="43">
        <v>2012</v>
      </c>
      <c r="AU22" s="43">
        <v>2013</v>
      </c>
      <c r="AV22" s="43">
        <v>2014</v>
      </c>
      <c r="AW22" s="43">
        <v>2015</v>
      </c>
      <c r="AX22" s="43">
        <v>2016</v>
      </c>
      <c r="AY22" s="43">
        <v>2017</v>
      </c>
      <c r="AZ22" s="43">
        <v>2018</v>
      </c>
      <c r="BA22" s="43">
        <v>2019</v>
      </c>
      <c r="BB22" s="43">
        <v>2020</v>
      </c>
      <c r="BC22" s="43">
        <v>2021</v>
      </c>
      <c r="BD22" s="43">
        <v>2022</v>
      </c>
      <c r="BE22" s="43">
        <v>2023</v>
      </c>
      <c r="BF22" s="43">
        <v>2024</v>
      </c>
      <c r="BG22" s="4"/>
      <c r="BH22" s="4"/>
      <c r="BI22" s="4"/>
      <c r="BJ22" s="4"/>
      <c r="BK22" s="4"/>
    </row>
    <row r="23" spans="1:63">
      <c r="A23" s="13">
        <v>15</v>
      </c>
      <c r="B23" s="14" t="s">
        <v>23</v>
      </c>
      <c r="C23" s="15">
        <v>1.3</v>
      </c>
      <c r="D23" s="15"/>
      <c r="E23" s="15"/>
      <c r="F23" s="15">
        <v>3.6</v>
      </c>
      <c r="G23" s="15">
        <v>2.7</v>
      </c>
      <c r="H23" s="15"/>
      <c r="I23" s="15">
        <v>2.2000000000000002</v>
      </c>
      <c r="J23" s="15"/>
      <c r="K23" s="16">
        <v>1</v>
      </c>
      <c r="L23" s="15"/>
      <c r="M23" s="15">
        <v>1.7</v>
      </c>
      <c r="N23" s="15"/>
      <c r="O23" s="15"/>
      <c r="P23" s="15">
        <v>3.7</v>
      </c>
      <c r="Q23" s="15"/>
      <c r="R23" s="15">
        <v>6.5</v>
      </c>
      <c r="S23" s="16"/>
      <c r="T23" s="16">
        <v>5.0999999999999996</v>
      </c>
      <c r="U23" s="16"/>
      <c r="V23" s="16">
        <v>23.5</v>
      </c>
      <c r="W23" s="16"/>
      <c r="X23" s="16">
        <v>5.2</v>
      </c>
      <c r="Y23" s="16"/>
      <c r="Z23" s="16">
        <v>7.3563218390804597</v>
      </c>
      <c r="AA23" s="15"/>
      <c r="AB23" s="16">
        <v>12.268518518518519</v>
      </c>
      <c r="AC23" s="15"/>
      <c r="AD23" s="16">
        <v>3.5</v>
      </c>
      <c r="AH23" s="4"/>
      <c r="AI23" s="44" t="s">
        <v>177</v>
      </c>
      <c r="AJ23" s="45">
        <v>55</v>
      </c>
      <c r="AK23" s="46">
        <v>12.323055256262396</v>
      </c>
      <c r="AL23" s="46">
        <v>2.9024354981771863</v>
      </c>
      <c r="AM23" s="46">
        <v>3.9248104629653753</v>
      </c>
      <c r="AN23" s="46">
        <v>2.6425235464850458</v>
      </c>
      <c r="AO23" s="46">
        <v>3.1947222401445257</v>
      </c>
      <c r="AP23" s="46">
        <v>3.0472979747343092</v>
      </c>
      <c r="AQ23" s="46">
        <v>2.4360598311317179</v>
      </c>
      <c r="AR23" s="46">
        <v>2.7659532276615151</v>
      </c>
      <c r="AS23" s="46">
        <v>3.1622059243737497</v>
      </c>
      <c r="AT23" s="46">
        <v>2.4790525639199901</v>
      </c>
      <c r="AU23" s="46">
        <v>2.5092550528238786</v>
      </c>
      <c r="AV23" s="46">
        <v>2.315093906017379</v>
      </c>
      <c r="AW23" s="46">
        <v>2.0633991169069588</v>
      </c>
      <c r="AX23" s="46">
        <v>1.9</v>
      </c>
      <c r="AY23" s="46">
        <v>1.8</v>
      </c>
      <c r="AZ23" s="46">
        <v>1.4</v>
      </c>
      <c r="BA23" s="46">
        <v>1</v>
      </c>
      <c r="BB23" s="46">
        <v>1.2</v>
      </c>
      <c r="BC23" s="46">
        <v>1.8</v>
      </c>
      <c r="BD23" s="47">
        <v>1.3</v>
      </c>
      <c r="BE23" s="47">
        <v>1.4</v>
      </c>
      <c r="BF23" s="47">
        <v>1.4</v>
      </c>
      <c r="BG23" s="4"/>
      <c r="BH23" s="4"/>
      <c r="BI23" s="4"/>
      <c r="BJ23" s="4"/>
      <c r="BK23" s="4"/>
    </row>
    <row r="24" spans="1:63">
      <c r="A24" s="13">
        <v>16</v>
      </c>
      <c r="B24" s="14" t="s">
        <v>24</v>
      </c>
      <c r="C24" s="15">
        <v>1.8</v>
      </c>
      <c r="D24" s="15"/>
      <c r="E24" s="15">
        <v>2.4</v>
      </c>
      <c r="F24" s="15"/>
      <c r="G24" s="15">
        <v>1.6</v>
      </c>
      <c r="H24" s="15"/>
      <c r="I24" s="15">
        <v>1.9</v>
      </c>
      <c r="J24" s="15"/>
      <c r="K24" s="15">
        <v>1.7</v>
      </c>
      <c r="L24" s="15"/>
      <c r="M24" s="15">
        <v>1.7</v>
      </c>
      <c r="N24" s="15"/>
      <c r="O24" s="15">
        <v>1.3</v>
      </c>
      <c r="P24" s="15"/>
      <c r="Q24" s="15">
        <v>1.7</v>
      </c>
      <c r="R24" s="15"/>
      <c r="S24" s="16">
        <v>0.7</v>
      </c>
      <c r="T24" s="16"/>
      <c r="U24" s="16"/>
      <c r="V24" s="16">
        <v>4.2</v>
      </c>
      <c r="W24" s="16"/>
      <c r="X24" s="16">
        <v>3.9</v>
      </c>
      <c r="Y24" s="16">
        <v>1.408901697086135</v>
      </c>
      <c r="Z24" s="16"/>
      <c r="AA24" s="15"/>
      <c r="AB24" s="16">
        <v>24.159663865546218</v>
      </c>
      <c r="AC24" s="15"/>
      <c r="AD24" s="16">
        <v>3.5</v>
      </c>
      <c r="AH24" s="4"/>
      <c r="AI24" s="44" t="s">
        <v>178</v>
      </c>
      <c r="AJ24" s="46">
        <v>25.242977704070995</v>
      </c>
      <c r="AK24" s="46">
        <v>9.5340704254938569</v>
      </c>
      <c r="AL24" s="46">
        <v>1.248031634515069</v>
      </c>
      <c r="AM24" s="46">
        <v>1.7518172107443399</v>
      </c>
      <c r="AN24" s="46">
        <v>1.3318454144892589</v>
      </c>
      <c r="AO24" s="46">
        <v>1.3484740951029099</v>
      </c>
      <c r="AP24" s="46">
        <v>1.2375927411269301</v>
      </c>
      <c r="AQ24" s="46">
        <v>0.91501616642368666</v>
      </c>
      <c r="AR24" s="46">
        <v>1.0060415372208928</v>
      </c>
      <c r="AS24" s="46">
        <v>1.3433378134778269</v>
      </c>
      <c r="AT24" s="46">
        <v>0.92861202543091192</v>
      </c>
      <c r="AU24" s="46">
        <v>0.95917466515879379</v>
      </c>
      <c r="AV24" s="46">
        <v>0.79767657961611604</v>
      </c>
      <c r="AW24" s="46">
        <v>0.7403421589883995</v>
      </c>
      <c r="AX24" s="46">
        <v>0.5</v>
      </c>
      <c r="AY24" s="46">
        <v>0.6</v>
      </c>
      <c r="AZ24" s="46">
        <v>0.4</v>
      </c>
      <c r="BA24" s="46">
        <v>0.3</v>
      </c>
      <c r="BB24" s="46">
        <v>0.3</v>
      </c>
      <c r="BC24" s="46">
        <v>0.5</v>
      </c>
      <c r="BD24" s="47">
        <v>0.3</v>
      </c>
      <c r="BE24" s="47">
        <v>0.4</v>
      </c>
      <c r="BF24" s="47">
        <v>0.3</v>
      </c>
      <c r="BG24" s="4"/>
      <c r="BH24" s="4"/>
      <c r="BI24" s="4"/>
      <c r="BJ24" s="4"/>
      <c r="BK24" s="4"/>
    </row>
    <row r="25" spans="1:63">
      <c r="A25" s="13">
        <v>17</v>
      </c>
      <c r="B25" s="14" t="s">
        <v>25</v>
      </c>
      <c r="C25" s="15">
        <v>0.1</v>
      </c>
      <c r="D25" s="15"/>
      <c r="E25" s="15">
        <v>0.3</v>
      </c>
      <c r="F25" s="15"/>
      <c r="G25" s="15">
        <v>0</v>
      </c>
      <c r="H25" s="15"/>
      <c r="I25" s="16">
        <v>0</v>
      </c>
      <c r="J25" s="15"/>
      <c r="K25" s="15">
        <v>0.1</v>
      </c>
      <c r="L25" s="15"/>
      <c r="M25" s="15">
        <v>0.2</v>
      </c>
      <c r="N25" s="15"/>
      <c r="O25" s="15">
        <v>0.1</v>
      </c>
      <c r="P25" s="15"/>
      <c r="Q25" s="16">
        <v>0</v>
      </c>
      <c r="R25" s="15"/>
      <c r="S25" s="16"/>
      <c r="T25" s="16"/>
      <c r="U25" s="16"/>
      <c r="V25" s="16"/>
      <c r="W25" s="16">
        <v>0</v>
      </c>
      <c r="X25" s="16"/>
      <c r="Y25" s="16">
        <v>0</v>
      </c>
      <c r="Z25" s="16"/>
      <c r="AA25" s="16">
        <v>0.42698548249359519</v>
      </c>
      <c r="AB25" s="16"/>
      <c r="AC25" s="16">
        <v>0</v>
      </c>
      <c r="AD25" s="16"/>
      <c r="AH25" s="4"/>
      <c r="AI25" s="44" t="s">
        <v>179</v>
      </c>
      <c r="AJ25" s="46">
        <v>25.683518678457588</v>
      </c>
      <c r="AK25" s="46">
        <v>8.7199119551335631</v>
      </c>
      <c r="AL25" s="46">
        <v>1.7851072392868168</v>
      </c>
      <c r="AM25" s="46">
        <v>2.3234244326915561</v>
      </c>
      <c r="AN25" s="46">
        <v>1.3663904195186052</v>
      </c>
      <c r="AO25" s="46">
        <v>1.9394799664494484</v>
      </c>
      <c r="AP25" s="46">
        <v>1.8767545618608383</v>
      </c>
      <c r="AQ25" s="46">
        <v>1.5937669645021528</v>
      </c>
      <c r="AR25" s="46">
        <v>1.7754451832952156</v>
      </c>
      <c r="AS25" s="46">
        <v>1.9381034525333982</v>
      </c>
      <c r="AT25" s="46">
        <v>1.5707209305010836</v>
      </c>
      <c r="AU25" s="46">
        <v>1.5526579480686018</v>
      </c>
      <c r="AV25" s="46">
        <v>1.6036796370987887</v>
      </c>
      <c r="AW25" s="46">
        <v>1.3838289521578806</v>
      </c>
      <c r="AX25" s="46">
        <v>1.4</v>
      </c>
      <c r="AY25" s="46">
        <v>1.2</v>
      </c>
      <c r="AZ25" s="46">
        <v>1</v>
      </c>
      <c r="BA25" s="46">
        <v>0.8</v>
      </c>
      <c r="BB25" s="46">
        <v>1</v>
      </c>
      <c r="BC25" s="46">
        <v>1.4</v>
      </c>
      <c r="BD25" s="47">
        <v>1</v>
      </c>
      <c r="BE25" s="47">
        <v>1.1000000000000001</v>
      </c>
      <c r="BF25" s="47">
        <v>1.1000000000000001</v>
      </c>
      <c r="BG25" s="4"/>
      <c r="BH25" s="4"/>
      <c r="BI25" s="4"/>
      <c r="BJ25" s="4"/>
      <c r="BK25" s="4"/>
    </row>
    <row r="26" spans="1:63" ht="16.5">
      <c r="A26" s="13">
        <v>18</v>
      </c>
      <c r="B26" s="14" t="s">
        <v>26</v>
      </c>
      <c r="C26" s="16"/>
      <c r="D26" s="16">
        <v>10</v>
      </c>
      <c r="E26" s="15"/>
      <c r="F26" s="15">
        <v>4.4000000000000004</v>
      </c>
      <c r="G26" s="15">
        <v>2.6</v>
      </c>
      <c r="H26" s="15"/>
      <c r="I26" s="15"/>
      <c r="J26" s="15">
        <v>3.5</v>
      </c>
      <c r="K26" s="15">
        <v>2.6</v>
      </c>
      <c r="L26" s="15"/>
      <c r="M26" s="15">
        <v>1.1000000000000001</v>
      </c>
      <c r="N26" s="15"/>
      <c r="O26" s="15">
        <v>1.1000000000000001</v>
      </c>
      <c r="P26" s="15"/>
      <c r="Q26" s="15">
        <v>1.4</v>
      </c>
      <c r="R26" s="15"/>
      <c r="S26" s="16">
        <v>0.4</v>
      </c>
      <c r="T26" s="16"/>
      <c r="U26" s="16"/>
      <c r="V26" s="16">
        <v>3.6</v>
      </c>
      <c r="W26" s="16"/>
      <c r="X26" s="16">
        <v>3.8</v>
      </c>
      <c r="Y26" s="16">
        <v>0.70794182005406103</v>
      </c>
      <c r="Z26" s="16"/>
      <c r="AA26" s="16">
        <v>1.2116122840690979</v>
      </c>
      <c r="AB26" s="16"/>
      <c r="AC26" s="16">
        <v>1.2</v>
      </c>
      <c r="AD26" s="16"/>
      <c r="AH26" s="30"/>
      <c r="AI26" s="28" t="s">
        <v>172</v>
      </c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</row>
    <row r="27" spans="1:63">
      <c r="A27" s="13">
        <v>19</v>
      </c>
      <c r="B27" s="14" t="s">
        <v>27</v>
      </c>
      <c r="C27" s="15"/>
      <c r="D27" s="15">
        <v>11.4</v>
      </c>
      <c r="E27" s="15">
        <v>1.6</v>
      </c>
      <c r="F27" s="15"/>
      <c r="G27" s="15">
        <v>2.9</v>
      </c>
      <c r="H27" s="15"/>
      <c r="I27" s="15"/>
      <c r="J27" s="15">
        <v>3.1</v>
      </c>
      <c r="K27" s="15">
        <v>2.2000000000000002</v>
      </c>
      <c r="L27" s="15"/>
      <c r="M27" s="15"/>
      <c r="N27" s="15">
        <v>7.4</v>
      </c>
      <c r="O27" s="15"/>
      <c r="P27" s="15">
        <v>5.0999999999999996</v>
      </c>
      <c r="Q27" s="15">
        <v>1.9</v>
      </c>
      <c r="R27" s="15"/>
      <c r="S27" s="16">
        <v>2.5</v>
      </c>
      <c r="T27" s="16"/>
      <c r="U27" s="16"/>
      <c r="V27" s="16">
        <v>3.9</v>
      </c>
      <c r="W27" s="16"/>
      <c r="X27" s="16"/>
      <c r="Y27" s="16"/>
      <c r="Z27" s="16"/>
      <c r="AA27" s="16"/>
      <c r="AB27" s="16">
        <v>5.8468957203134417</v>
      </c>
      <c r="AC27" s="16"/>
      <c r="AD27" s="16">
        <v>16.5</v>
      </c>
      <c r="AH27" s="4"/>
      <c r="AI27" s="48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</row>
    <row r="28" spans="1:63">
      <c r="A28" s="13">
        <v>20</v>
      </c>
      <c r="B28" s="14" t="s">
        <v>28</v>
      </c>
      <c r="C28" s="15"/>
      <c r="D28" s="15"/>
      <c r="E28" s="15"/>
      <c r="F28" s="15">
        <v>3.1</v>
      </c>
      <c r="G28" s="15">
        <v>1.9</v>
      </c>
      <c r="H28" s="15"/>
      <c r="I28" s="15">
        <v>0.3</v>
      </c>
      <c r="J28" s="15"/>
      <c r="K28" s="15">
        <v>0.5</v>
      </c>
      <c r="L28" s="15"/>
      <c r="M28" s="16">
        <v>0</v>
      </c>
      <c r="N28" s="15"/>
      <c r="O28" s="16">
        <v>0</v>
      </c>
      <c r="P28" s="17"/>
      <c r="Q28" s="16">
        <v>0.2</v>
      </c>
      <c r="R28" s="17"/>
      <c r="S28" s="16"/>
      <c r="T28" s="16"/>
      <c r="U28" s="16"/>
      <c r="V28" s="16"/>
      <c r="W28" s="16"/>
      <c r="X28" s="16"/>
      <c r="Y28" s="16"/>
      <c r="Z28" s="16"/>
      <c r="AA28" s="16">
        <v>0.74487895716945995</v>
      </c>
      <c r="AB28" s="16"/>
      <c r="AC28" s="16"/>
      <c r="AD28" s="16"/>
      <c r="AH28" s="4"/>
      <c r="AI28" s="48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</row>
    <row r="29" spans="1:63">
      <c r="A29" s="13">
        <v>21</v>
      </c>
      <c r="B29" s="14" t="s">
        <v>29</v>
      </c>
      <c r="C29" s="15"/>
      <c r="D29" s="15">
        <v>5.4</v>
      </c>
      <c r="E29" s="15"/>
      <c r="F29" s="15">
        <v>3.7</v>
      </c>
      <c r="G29" s="15"/>
      <c r="H29" s="15">
        <v>3.6</v>
      </c>
      <c r="I29" s="15"/>
      <c r="J29" s="15">
        <v>5.3</v>
      </c>
      <c r="K29" s="15"/>
      <c r="L29" s="15">
        <v>4.2</v>
      </c>
      <c r="M29" s="15"/>
      <c r="N29" s="15">
        <v>5.7</v>
      </c>
      <c r="O29" s="15"/>
      <c r="P29" s="15">
        <v>3.3</v>
      </c>
      <c r="Q29" s="15">
        <v>2.8</v>
      </c>
      <c r="R29" s="15"/>
      <c r="S29" s="16">
        <v>2.8</v>
      </c>
      <c r="T29" s="16"/>
      <c r="U29" s="16">
        <v>1.8</v>
      </c>
      <c r="V29" s="16"/>
      <c r="W29" s="16"/>
      <c r="X29" s="16">
        <v>23.6</v>
      </c>
      <c r="Y29" s="16"/>
      <c r="Z29" s="16">
        <v>6.5292096219931279</v>
      </c>
      <c r="AA29" s="16"/>
      <c r="AB29" s="16"/>
      <c r="AC29" s="16"/>
      <c r="AD29" s="16">
        <v>17.3</v>
      </c>
    </row>
    <row r="30" spans="1:63">
      <c r="A30" s="13">
        <v>22</v>
      </c>
      <c r="B30" s="14" t="s">
        <v>30</v>
      </c>
      <c r="C30" s="16">
        <v>2</v>
      </c>
      <c r="D30" s="15"/>
      <c r="E30" s="15">
        <v>0.5</v>
      </c>
      <c r="F30" s="15"/>
      <c r="G30" s="15">
        <v>1.1000000000000001</v>
      </c>
      <c r="H30" s="15"/>
      <c r="I30" s="15">
        <v>1.3</v>
      </c>
      <c r="J30" s="15"/>
      <c r="K30" s="15">
        <v>0.7</v>
      </c>
      <c r="L30" s="15"/>
      <c r="M30" s="16">
        <v>2</v>
      </c>
      <c r="N30" s="15"/>
      <c r="O30" s="15">
        <v>0.8</v>
      </c>
      <c r="P30" s="15"/>
      <c r="Q30" s="15">
        <v>1.4</v>
      </c>
      <c r="R30" s="15"/>
      <c r="S30" s="16">
        <v>0.8</v>
      </c>
      <c r="T30" s="16"/>
      <c r="U30" s="16">
        <v>0.9</v>
      </c>
      <c r="V30" s="16"/>
      <c r="W30" s="16">
        <v>0.8</v>
      </c>
      <c r="X30" s="16"/>
      <c r="Y30" s="16">
        <v>0.90909090909090906</v>
      </c>
      <c r="Z30" s="16"/>
      <c r="AA30" s="15"/>
      <c r="AB30" s="16">
        <v>4.6366782006920415</v>
      </c>
      <c r="AC30" s="15">
        <v>0.7</v>
      </c>
      <c r="AD30" s="16"/>
    </row>
    <row r="31" spans="1:63">
      <c r="A31" s="13">
        <v>23</v>
      </c>
      <c r="B31" s="14" t="s">
        <v>31</v>
      </c>
      <c r="C31" s="15"/>
      <c r="D31" s="15">
        <v>3.4</v>
      </c>
      <c r="E31" s="15"/>
      <c r="F31" s="15">
        <v>3.8</v>
      </c>
      <c r="G31" s="15">
        <v>0.9</v>
      </c>
      <c r="H31" s="15"/>
      <c r="I31" s="15">
        <v>2.4</v>
      </c>
      <c r="J31" s="15"/>
      <c r="K31" s="15">
        <v>1.1000000000000001</v>
      </c>
      <c r="L31" s="15"/>
      <c r="M31" s="15">
        <v>0.5</v>
      </c>
      <c r="N31" s="15"/>
      <c r="O31" s="15">
        <v>0.6</v>
      </c>
      <c r="P31" s="15"/>
      <c r="Q31" s="15">
        <v>0.4</v>
      </c>
      <c r="R31" s="15"/>
      <c r="S31" s="16">
        <v>0</v>
      </c>
      <c r="T31" s="16"/>
      <c r="U31" s="16"/>
      <c r="V31" s="16"/>
      <c r="W31" s="16">
        <v>0</v>
      </c>
      <c r="X31" s="16"/>
      <c r="Y31" s="16">
        <v>0</v>
      </c>
      <c r="Z31" s="16"/>
      <c r="AA31" s="16">
        <v>2.0433436532507741</v>
      </c>
      <c r="AB31" s="16"/>
      <c r="AC31" s="16">
        <v>0.6</v>
      </c>
      <c r="AD31" s="16"/>
    </row>
    <row r="32" spans="1:63">
      <c r="A32" s="13">
        <v>24</v>
      </c>
      <c r="B32" s="14" t="s">
        <v>32</v>
      </c>
      <c r="C32" s="15"/>
      <c r="D32" s="16">
        <v>3</v>
      </c>
      <c r="E32" s="16">
        <v>1</v>
      </c>
      <c r="F32" s="15"/>
      <c r="G32" s="15">
        <v>2.2000000000000002</v>
      </c>
      <c r="H32" s="15"/>
      <c r="I32" s="15">
        <v>1.6</v>
      </c>
      <c r="J32" s="15"/>
      <c r="K32" s="15">
        <v>1.2</v>
      </c>
      <c r="L32" s="15"/>
      <c r="M32" s="15">
        <v>1.7</v>
      </c>
      <c r="N32" s="15"/>
      <c r="O32" s="15">
        <v>1.1000000000000001</v>
      </c>
      <c r="P32" s="15"/>
      <c r="Q32" s="15">
        <v>2.5</v>
      </c>
      <c r="R32" s="15"/>
      <c r="S32" s="16">
        <v>2.5</v>
      </c>
      <c r="T32" s="16"/>
      <c r="U32" s="16"/>
      <c r="V32" s="16"/>
      <c r="W32" s="16"/>
      <c r="X32" s="16"/>
      <c r="Y32" s="16"/>
      <c r="Z32" s="16">
        <v>21.875</v>
      </c>
      <c r="AA32" s="15"/>
      <c r="AB32" s="16">
        <v>17.087667161961367</v>
      </c>
      <c r="AC32" s="15"/>
      <c r="AD32" s="16"/>
    </row>
    <row r="33" spans="1:40">
      <c r="A33" s="13">
        <v>25</v>
      </c>
      <c r="B33" s="14" t="s">
        <v>33</v>
      </c>
      <c r="C33" s="15">
        <v>1.6</v>
      </c>
      <c r="D33" s="15"/>
      <c r="E33" s="15">
        <v>0.8</v>
      </c>
      <c r="F33" s="15"/>
      <c r="G33" s="15"/>
      <c r="H33" s="15">
        <v>5.4</v>
      </c>
      <c r="I33" s="15">
        <v>0.4</v>
      </c>
      <c r="J33" s="15"/>
      <c r="K33" s="15">
        <v>0.6</v>
      </c>
      <c r="L33" s="15"/>
      <c r="M33" s="15">
        <v>0.8</v>
      </c>
      <c r="N33" s="15"/>
      <c r="O33" s="15">
        <v>0.4</v>
      </c>
      <c r="P33" s="15"/>
      <c r="Q33" s="15">
        <v>0.6</v>
      </c>
      <c r="R33" s="15"/>
      <c r="S33" s="16">
        <v>0.2</v>
      </c>
      <c r="T33" s="16"/>
      <c r="U33" s="16">
        <v>0.1</v>
      </c>
      <c r="V33" s="16"/>
      <c r="W33" s="16">
        <v>0.4</v>
      </c>
      <c r="X33" s="16"/>
      <c r="Y33" s="16">
        <v>0.23752969121140144</v>
      </c>
      <c r="Z33" s="16"/>
      <c r="AA33" s="16">
        <v>2.1024967148488831</v>
      </c>
      <c r="AB33" s="16"/>
      <c r="AC33" s="16">
        <v>0.3</v>
      </c>
      <c r="AD33" s="16"/>
    </row>
    <row r="34" spans="1:40">
      <c r="A34" s="13">
        <v>26</v>
      </c>
      <c r="B34" s="14" t="s">
        <v>34</v>
      </c>
      <c r="C34" s="15"/>
      <c r="D34" s="15">
        <v>9.4</v>
      </c>
      <c r="E34" s="15"/>
      <c r="F34" s="15">
        <v>7.9</v>
      </c>
      <c r="G34" s="15"/>
      <c r="H34" s="15">
        <v>11.5</v>
      </c>
      <c r="I34" s="15"/>
      <c r="J34" s="15">
        <v>11.7</v>
      </c>
      <c r="K34" s="15"/>
      <c r="L34" s="15">
        <v>8.3000000000000007</v>
      </c>
      <c r="M34" s="15"/>
      <c r="N34" s="15">
        <v>7.1</v>
      </c>
      <c r="O34" s="15"/>
      <c r="P34" s="15">
        <v>49.3</v>
      </c>
      <c r="Q34" s="15"/>
      <c r="R34" s="15"/>
      <c r="S34" s="16"/>
      <c r="T34" s="16">
        <v>11.5</v>
      </c>
      <c r="U34" s="16">
        <v>0.2</v>
      </c>
      <c r="V34" s="16"/>
      <c r="W34" s="16"/>
      <c r="X34" s="16">
        <v>10.8</v>
      </c>
      <c r="Y34" s="16"/>
      <c r="Z34" s="16">
        <v>9.7949886104783594</v>
      </c>
      <c r="AA34" s="15"/>
      <c r="AB34" s="16">
        <v>15.441176470588236</v>
      </c>
      <c r="AC34" s="15"/>
      <c r="AD34" s="16">
        <v>19.600000000000001</v>
      </c>
    </row>
    <row r="35" spans="1:40">
      <c r="A35" s="13">
        <v>27</v>
      </c>
      <c r="B35" s="14" t="s">
        <v>35</v>
      </c>
      <c r="C35" s="15">
        <v>1.8</v>
      </c>
      <c r="D35" s="15"/>
      <c r="E35" s="15">
        <v>0.3</v>
      </c>
      <c r="F35" s="15"/>
      <c r="G35" s="15">
        <v>0.9</v>
      </c>
      <c r="H35" s="15"/>
      <c r="I35" s="15">
        <v>1.1000000000000001</v>
      </c>
      <c r="J35" s="15"/>
      <c r="K35" s="15">
        <v>0.6</v>
      </c>
      <c r="L35" s="15"/>
      <c r="M35" s="15">
        <v>0.7</v>
      </c>
      <c r="N35" s="15"/>
      <c r="O35" s="15">
        <v>0.2</v>
      </c>
      <c r="P35" s="15"/>
      <c r="Q35" s="15">
        <v>0.1</v>
      </c>
      <c r="R35" s="15"/>
      <c r="S35" s="16"/>
      <c r="T35" s="16"/>
      <c r="U35" s="16"/>
      <c r="V35" s="16"/>
      <c r="W35" s="16"/>
      <c r="X35" s="16"/>
      <c r="Y35" s="16"/>
      <c r="Z35" s="16"/>
      <c r="AA35" s="16">
        <v>0.50287356321839083</v>
      </c>
      <c r="AB35" s="16"/>
      <c r="AC35" s="16">
        <v>0.4</v>
      </c>
      <c r="AD35" s="16"/>
    </row>
    <row r="36" spans="1:40">
      <c r="A36" s="13">
        <v>28</v>
      </c>
      <c r="B36" s="14" t="s">
        <v>36</v>
      </c>
      <c r="C36" s="15"/>
      <c r="D36" s="15">
        <v>14.8</v>
      </c>
      <c r="E36" s="15"/>
      <c r="F36" s="15">
        <v>4.9000000000000004</v>
      </c>
      <c r="G36" s="15"/>
      <c r="H36" s="15">
        <v>6.9</v>
      </c>
      <c r="I36" s="15"/>
      <c r="J36" s="15">
        <v>13.1</v>
      </c>
      <c r="K36" s="15"/>
      <c r="L36" s="15">
        <v>4.5999999999999996</v>
      </c>
      <c r="M36" s="15"/>
      <c r="N36" s="15">
        <v>7.1</v>
      </c>
      <c r="O36" s="15"/>
      <c r="P36" s="15">
        <v>5.2</v>
      </c>
      <c r="Q36" s="15">
        <v>2.2999999999999998</v>
      </c>
      <c r="R36" s="15"/>
      <c r="S36" s="16"/>
      <c r="T36" s="16">
        <v>5.4</v>
      </c>
      <c r="U36" s="16"/>
      <c r="V36" s="16">
        <v>7.2</v>
      </c>
      <c r="W36" s="16">
        <v>1.4</v>
      </c>
      <c r="X36" s="16"/>
      <c r="Y36" s="16"/>
      <c r="Z36" s="16"/>
      <c r="AA36" s="16"/>
      <c r="AB36" s="16">
        <v>4.7353760445682447</v>
      </c>
      <c r="AC36" s="16"/>
      <c r="AD36" s="16">
        <v>3.1</v>
      </c>
    </row>
    <row r="37" spans="1:40">
      <c r="A37" s="13">
        <v>29</v>
      </c>
      <c r="B37" s="14" t="s">
        <v>37</v>
      </c>
      <c r="C37" s="15"/>
      <c r="D37" s="15">
        <v>7.5</v>
      </c>
      <c r="E37" s="15"/>
      <c r="F37" s="15">
        <v>5.4</v>
      </c>
      <c r="G37" s="15"/>
      <c r="H37" s="15">
        <v>3.1</v>
      </c>
      <c r="I37" s="15">
        <v>2.1</v>
      </c>
      <c r="J37" s="15"/>
      <c r="K37" s="15">
        <v>1.5</v>
      </c>
      <c r="L37" s="15"/>
      <c r="M37" s="15">
        <v>1.9</v>
      </c>
      <c r="N37" s="15"/>
      <c r="O37" s="15">
        <v>1.3</v>
      </c>
      <c r="P37" s="15"/>
      <c r="Q37" s="16">
        <v>1.4</v>
      </c>
      <c r="R37" s="15"/>
      <c r="S37" s="16">
        <v>1.5</v>
      </c>
      <c r="T37" s="16"/>
      <c r="U37" s="16">
        <v>1.9</v>
      </c>
      <c r="V37" s="16"/>
      <c r="W37" s="16">
        <v>2.4</v>
      </c>
      <c r="X37" s="16"/>
      <c r="Y37" s="16"/>
      <c r="Z37" s="16">
        <v>3.8352272727272729</v>
      </c>
      <c r="AA37" s="16"/>
      <c r="AB37" s="16">
        <v>4.821002386634845</v>
      </c>
      <c r="AC37" s="16"/>
      <c r="AD37" s="16">
        <v>6.2</v>
      </c>
    </row>
    <row r="38" spans="1:40">
      <c r="A38" s="9" t="s">
        <v>38</v>
      </c>
      <c r="B38" s="10"/>
      <c r="C38" s="18">
        <v>13</v>
      </c>
      <c r="D38" s="18">
        <v>0</v>
      </c>
      <c r="E38" s="18">
        <v>8</v>
      </c>
      <c r="F38" s="18">
        <v>0</v>
      </c>
      <c r="G38" s="18">
        <v>7</v>
      </c>
      <c r="H38" s="18">
        <v>0</v>
      </c>
      <c r="I38" s="18">
        <v>7</v>
      </c>
      <c r="J38" s="18">
        <v>2</v>
      </c>
      <c r="K38" s="18">
        <v>6</v>
      </c>
      <c r="L38" s="18">
        <v>2</v>
      </c>
      <c r="M38" s="18">
        <v>11</v>
      </c>
      <c r="N38" s="18">
        <v>1</v>
      </c>
      <c r="O38" s="18">
        <v>13</v>
      </c>
      <c r="P38" s="18">
        <v>0</v>
      </c>
      <c r="Q38" s="18">
        <v>13</v>
      </c>
      <c r="R38" s="18"/>
      <c r="S38" s="18">
        <v>12</v>
      </c>
      <c r="T38" s="18"/>
      <c r="U38" s="18">
        <f t="shared" ref="U38:Z38" si="8">COUNT(U39:U63)</f>
        <v>6</v>
      </c>
      <c r="V38" s="18">
        <f t="shared" si="8"/>
        <v>2</v>
      </c>
      <c r="W38" s="18">
        <f t="shared" si="8"/>
        <v>8</v>
      </c>
      <c r="X38" s="18">
        <f t="shared" si="8"/>
        <v>1</v>
      </c>
      <c r="Y38" s="18">
        <f t="shared" si="8"/>
        <v>12</v>
      </c>
      <c r="Z38" s="18">
        <f t="shared" si="8"/>
        <v>0</v>
      </c>
      <c r="AA38" s="18">
        <f>COUNT(AA39:AA63)</f>
        <v>8</v>
      </c>
      <c r="AB38" s="18">
        <f>COUNT(AB39:AB63)</f>
        <v>1</v>
      </c>
      <c r="AC38" s="18">
        <f>COUNT(AC39:AC63)</f>
        <v>11</v>
      </c>
      <c r="AD38" s="18">
        <f>COUNT(AD39:AD63)</f>
        <v>1</v>
      </c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>
      <c r="A39" s="13">
        <v>1</v>
      </c>
      <c r="B39" s="14" t="s">
        <v>39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>
        <v>2.9</v>
      </c>
      <c r="X39" s="15"/>
      <c r="Y39" s="16">
        <v>0</v>
      </c>
      <c r="Z39" s="15"/>
      <c r="AA39" s="16"/>
      <c r="AB39" s="15"/>
      <c r="AC39" s="16">
        <v>0</v>
      </c>
      <c r="AD39" s="15"/>
    </row>
    <row r="40" spans="1:40">
      <c r="A40" s="13">
        <v>2</v>
      </c>
      <c r="B40" s="14" t="s">
        <v>40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6">
        <v>0</v>
      </c>
      <c r="P40" s="15"/>
      <c r="Q40" s="16">
        <v>0</v>
      </c>
      <c r="R40" s="15"/>
      <c r="S40" s="16">
        <v>0</v>
      </c>
      <c r="T40" s="15"/>
      <c r="U40" s="16"/>
      <c r="V40" s="15"/>
      <c r="W40" s="16"/>
      <c r="X40" s="15"/>
      <c r="Y40" s="16"/>
      <c r="Z40" s="15"/>
      <c r="AA40" s="16"/>
      <c r="AB40" s="15"/>
      <c r="AC40" s="16"/>
      <c r="AD40" s="15"/>
    </row>
    <row r="41" spans="1:40">
      <c r="A41" s="13">
        <v>3</v>
      </c>
      <c r="B41" s="14" t="s">
        <v>41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6"/>
      <c r="R41" s="15"/>
      <c r="S41" s="16">
        <v>0</v>
      </c>
      <c r="T41" s="15"/>
      <c r="U41" s="16"/>
      <c r="V41" s="15"/>
      <c r="W41" s="16"/>
      <c r="X41" s="15">
        <v>3.1</v>
      </c>
      <c r="Y41" s="16"/>
      <c r="Z41" s="15"/>
      <c r="AA41" s="16"/>
      <c r="AB41" s="15"/>
      <c r="AC41" s="16"/>
      <c r="AD41" s="15"/>
    </row>
    <row r="42" spans="1:40">
      <c r="A42" s="13">
        <v>4</v>
      </c>
      <c r="B42" s="14" t="s">
        <v>42</v>
      </c>
      <c r="C42" s="15">
        <v>0.8</v>
      </c>
      <c r="D42" s="15"/>
      <c r="E42" s="15">
        <v>1.1000000000000001</v>
      </c>
      <c r="F42" s="15"/>
      <c r="G42" s="15">
        <v>1.6</v>
      </c>
      <c r="H42" s="15"/>
      <c r="I42" s="15"/>
      <c r="J42" s="15">
        <v>5.7</v>
      </c>
      <c r="K42" s="15"/>
      <c r="L42" s="15"/>
      <c r="M42" s="15">
        <v>0.6</v>
      </c>
      <c r="N42" s="15"/>
      <c r="O42" s="15">
        <v>2.9</v>
      </c>
      <c r="P42" s="15"/>
      <c r="Q42" s="16">
        <v>0.6</v>
      </c>
      <c r="R42" s="15"/>
      <c r="S42" s="16"/>
      <c r="T42" s="15"/>
      <c r="U42" s="16">
        <v>0.6</v>
      </c>
      <c r="V42" s="15"/>
      <c r="W42" s="16"/>
      <c r="X42" s="15"/>
      <c r="Y42" s="16">
        <v>1.7543859649122806</v>
      </c>
      <c r="Z42" s="15"/>
      <c r="AA42" s="15"/>
      <c r="AB42" s="15"/>
      <c r="AC42" s="15"/>
      <c r="AD42" s="15"/>
    </row>
    <row r="43" spans="1:40">
      <c r="A43" s="13">
        <v>5</v>
      </c>
      <c r="B43" s="14" t="s">
        <v>43</v>
      </c>
      <c r="C43" s="15">
        <v>0.1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>
        <v>4.2</v>
      </c>
      <c r="O43" s="15"/>
      <c r="P43" s="15"/>
      <c r="Q43" s="16">
        <v>0.2</v>
      </c>
      <c r="R43" s="15"/>
      <c r="S43" s="16"/>
      <c r="T43" s="15"/>
      <c r="U43" s="16"/>
      <c r="V43" s="15"/>
      <c r="W43" s="16"/>
      <c r="X43" s="15"/>
      <c r="Y43" s="16">
        <v>0.34843205574912894</v>
      </c>
      <c r="Z43" s="15"/>
      <c r="AA43" s="15"/>
      <c r="AB43" s="15"/>
      <c r="AC43" s="15"/>
      <c r="AD43" s="15"/>
    </row>
    <row r="44" spans="1:40">
      <c r="A44" s="13">
        <v>6</v>
      </c>
      <c r="B44" s="14" t="s">
        <v>44</v>
      </c>
      <c r="C44" s="15"/>
      <c r="D44" s="15"/>
      <c r="E44" s="15"/>
      <c r="F44" s="15"/>
      <c r="G44" s="15"/>
      <c r="H44" s="15"/>
      <c r="I44" s="16">
        <v>0</v>
      </c>
      <c r="J44" s="15"/>
      <c r="K44" s="15"/>
      <c r="L44" s="15"/>
      <c r="M44" s="15"/>
      <c r="N44" s="15"/>
      <c r="O44" s="15"/>
      <c r="P44" s="15"/>
      <c r="Q44" s="16"/>
      <c r="R44" s="15"/>
      <c r="S44" s="16">
        <v>0</v>
      </c>
      <c r="T44" s="15"/>
      <c r="U44" s="16"/>
      <c r="V44" s="15"/>
      <c r="W44" s="16">
        <v>0</v>
      </c>
      <c r="X44" s="15"/>
      <c r="Y44" s="16"/>
      <c r="Z44" s="15"/>
      <c r="AA44" s="16"/>
      <c r="AB44" s="15"/>
      <c r="AC44" s="16"/>
      <c r="AD44" s="15"/>
    </row>
    <row r="45" spans="1:40">
      <c r="A45" s="13">
        <v>7</v>
      </c>
      <c r="B45" s="14" t="s">
        <v>45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spans="1:40">
      <c r="A46" s="13">
        <v>8</v>
      </c>
      <c r="B46" s="14" t="s">
        <v>46</v>
      </c>
      <c r="C46" s="15">
        <v>0.9</v>
      </c>
      <c r="D46" s="15"/>
      <c r="E46" s="15">
        <v>0.8</v>
      </c>
      <c r="F46" s="15"/>
      <c r="G46" s="15">
        <v>0.7</v>
      </c>
      <c r="H46" s="15"/>
      <c r="I46" s="15">
        <v>0.6</v>
      </c>
      <c r="J46" s="15"/>
      <c r="K46" s="15">
        <v>0.1</v>
      </c>
      <c r="L46" s="15"/>
      <c r="M46" s="15">
        <v>0.5</v>
      </c>
      <c r="N46" s="15"/>
      <c r="O46" s="15"/>
      <c r="P46" s="15"/>
      <c r="Q46" s="16"/>
      <c r="R46" s="15"/>
      <c r="S46" s="16">
        <v>0.4</v>
      </c>
      <c r="T46" s="15"/>
      <c r="U46" s="16"/>
      <c r="V46" s="15"/>
      <c r="W46" s="16">
        <v>1</v>
      </c>
      <c r="X46" s="15"/>
      <c r="Y46" s="16">
        <v>1.1235955056179776</v>
      </c>
      <c r="Z46" s="15"/>
      <c r="AA46" s="16">
        <v>1.3904982618771726</v>
      </c>
      <c r="AB46" s="15"/>
      <c r="AC46" s="16">
        <v>1.1000000000000001</v>
      </c>
      <c r="AD46" s="15"/>
    </row>
    <row r="47" spans="1:40">
      <c r="A47" s="13">
        <v>9</v>
      </c>
      <c r="B47" s="19" t="s">
        <v>47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6"/>
      <c r="R47" s="15"/>
      <c r="S47" s="16"/>
      <c r="T47" s="15"/>
      <c r="U47" s="16"/>
      <c r="V47" s="15"/>
      <c r="W47" s="16"/>
      <c r="X47" s="15"/>
      <c r="Y47" s="16"/>
      <c r="Z47" s="15"/>
      <c r="AA47" s="15"/>
      <c r="AB47" s="15"/>
      <c r="AC47" s="16">
        <v>0</v>
      </c>
      <c r="AD47" s="15"/>
    </row>
    <row r="48" spans="1:40">
      <c r="A48" s="13">
        <v>10</v>
      </c>
      <c r="B48" s="19" t="s">
        <v>48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>
        <v>0.7</v>
      </c>
      <c r="P48" s="15"/>
      <c r="Q48" s="15"/>
      <c r="R48" s="15"/>
      <c r="S48" s="15"/>
      <c r="T48" s="15"/>
      <c r="U48" s="15"/>
      <c r="V48" s="15"/>
      <c r="W48" s="15"/>
      <c r="X48" s="15"/>
      <c r="Y48" s="16">
        <v>0.53191489361702127</v>
      </c>
      <c r="Z48" s="15"/>
      <c r="AA48" s="16"/>
      <c r="AB48" s="15"/>
      <c r="AC48" s="16">
        <v>0.5</v>
      </c>
      <c r="AD48" s="15"/>
    </row>
    <row r="49" spans="1:40">
      <c r="A49" s="13">
        <v>11</v>
      </c>
      <c r="B49" s="14" t="s">
        <v>49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6"/>
      <c r="N49" s="15"/>
      <c r="O49" s="15"/>
      <c r="P49" s="15"/>
      <c r="Q49" s="16">
        <v>0</v>
      </c>
      <c r="R49" s="15"/>
      <c r="S49" s="16"/>
      <c r="T49" s="15"/>
      <c r="U49" s="16"/>
      <c r="V49" s="15"/>
      <c r="W49" s="16"/>
      <c r="X49" s="15"/>
      <c r="Y49" s="16"/>
      <c r="Z49" s="15"/>
      <c r="AA49" s="15"/>
      <c r="AB49" s="15"/>
      <c r="AC49" s="15"/>
      <c r="AD49" s="15"/>
    </row>
    <row r="50" spans="1:40">
      <c r="A50" s="13">
        <v>12</v>
      </c>
      <c r="B50" s="14" t="s">
        <v>50</v>
      </c>
      <c r="C50" s="15">
        <v>0.5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>
        <v>0.5</v>
      </c>
      <c r="P50" s="15"/>
      <c r="Q50" s="16"/>
      <c r="R50" s="15"/>
      <c r="S50" s="16"/>
      <c r="T50" s="15"/>
      <c r="U50" s="16"/>
      <c r="V50" s="15"/>
      <c r="W50" s="16"/>
      <c r="X50" s="15"/>
      <c r="Y50" s="16"/>
      <c r="Z50" s="15"/>
      <c r="AA50" s="15"/>
      <c r="AB50" s="16">
        <v>3.5452322738386304</v>
      </c>
      <c r="AC50" s="15">
        <v>0.1</v>
      </c>
      <c r="AD50" s="16"/>
    </row>
    <row r="51" spans="1:40">
      <c r="A51" s="13">
        <v>13</v>
      </c>
      <c r="B51" s="14" t="s">
        <v>51</v>
      </c>
      <c r="C51" s="15">
        <v>0.1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6"/>
      <c r="R51" s="15"/>
      <c r="S51" s="16"/>
      <c r="T51" s="15"/>
      <c r="U51" s="16"/>
      <c r="V51" s="15"/>
      <c r="W51" s="16"/>
      <c r="X51" s="15"/>
      <c r="Y51" s="16"/>
      <c r="Z51" s="15"/>
      <c r="AA51" s="16"/>
      <c r="AB51" s="15"/>
      <c r="AC51" s="16">
        <v>0</v>
      </c>
      <c r="AD51" s="15"/>
    </row>
    <row r="52" spans="1:40">
      <c r="A52" s="13">
        <v>14</v>
      </c>
      <c r="B52" s="14" t="s">
        <v>52</v>
      </c>
      <c r="C52" s="16">
        <v>0</v>
      </c>
      <c r="D52" s="15"/>
      <c r="E52" s="15">
        <v>0.9</v>
      </c>
      <c r="F52" s="15"/>
      <c r="G52" s="15"/>
      <c r="H52" s="15"/>
      <c r="I52" s="15"/>
      <c r="J52" s="15">
        <v>4.7</v>
      </c>
      <c r="K52" s="15"/>
      <c r="L52" s="15"/>
      <c r="M52" s="15">
        <v>0.3</v>
      </c>
      <c r="N52" s="15"/>
      <c r="O52" s="16">
        <v>0</v>
      </c>
      <c r="P52" s="15"/>
      <c r="Q52" s="16"/>
      <c r="R52" s="15"/>
      <c r="S52" s="16">
        <v>0.8</v>
      </c>
      <c r="T52" s="15"/>
      <c r="U52" s="16"/>
      <c r="V52" s="15"/>
      <c r="W52" s="16"/>
      <c r="X52" s="15"/>
      <c r="Y52" s="16">
        <v>0</v>
      </c>
      <c r="Z52" s="15"/>
      <c r="AA52" s="16">
        <v>2.0270270270270272</v>
      </c>
      <c r="AB52" s="15"/>
      <c r="AC52" s="16">
        <v>1.4</v>
      </c>
      <c r="AD52" s="15"/>
    </row>
    <row r="53" spans="1:40">
      <c r="A53" s="13">
        <v>15</v>
      </c>
      <c r="B53" s="14" t="s">
        <v>53</v>
      </c>
      <c r="C53" s="15">
        <v>0.3</v>
      </c>
      <c r="D53" s="15"/>
      <c r="E53" s="15"/>
      <c r="F53" s="15"/>
      <c r="G53" s="16">
        <v>1</v>
      </c>
      <c r="H53" s="15"/>
      <c r="I53" s="15">
        <v>1.8</v>
      </c>
      <c r="J53" s="15"/>
      <c r="K53" s="15"/>
      <c r="L53" s="16">
        <v>10</v>
      </c>
      <c r="M53" s="15">
        <v>0.5</v>
      </c>
      <c r="N53" s="15"/>
      <c r="O53" s="15">
        <v>0.1</v>
      </c>
      <c r="P53" s="15"/>
      <c r="Q53" s="16"/>
      <c r="R53" s="15"/>
      <c r="S53" s="16">
        <v>0</v>
      </c>
      <c r="T53" s="15"/>
      <c r="U53" s="16"/>
      <c r="V53" s="16">
        <v>10</v>
      </c>
      <c r="W53" s="16">
        <v>0.4</v>
      </c>
      <c r="X53" s="16"/>
      <c r="Y53" s="16">
        <v>0.27972027972027974</v>
      </c>
      <c r="Z53" s="16"/>
      <c r="AA53" s="16">
        <v>0</v>
      </c>
      <c r="AB53" s="16"/>
      <c r="AC53" s="16">
        <v>0</v>
      </c>
      <c r="AD53" s="16"/>
    </row>
    <row r="54" spans="1:40">
      <c r="A54" s="13">
        <v>16</v>
      </c>
      <c r="B54" s="14" t="s">
        <v>54</v>
      </c>
      <c r="C54" s="15"/>
      <c r="D54" s="15"/>
      <c r="E54" s="15"/>
      <c r="F54" s="15"/>
      <c r="G54" s="15"/>
      <c r="H54" s="15"/>
      <c r="I54" s="15"/>
      <c r="J54" s="15"/>
      <c r="K54" s="15">
        <v>2.4</v>
      </c>
      <c r="L54" s="15"/>
      <c r="M54" s="15"/>
      <c r="N54" s="15"/>
      <c r="O54" s="15">
        <v>0.1</v>
      </c>
      <c r="P54" s="15"/>
      <c r="Q54" s="16"/>
      <c r="R54" s="15"/>
      <c r="S54" s="16">
        <v>2.7</v>
      </c>
      <c r="T54" s="15"/>
      <c r="U54" s="16"/>
      <c r="V54" s="15">
        <v>5.6</v>
      </c>
      <c r="W54" s="16">
        <v>1</v>
      </c>
      <c r="X54" s="15"/>
      <c r="Y54" s="16">
        <v>1.3333333333333335</v>
      </c>
      <c r="Z54" s="15"/>
      <c r="AA54" s="16">
        <v>0.90016366612111298</v>
      </c>
      <c r="AB54" s="15"/>
      <c r="AC54" s="16">
        <v>1.8</v>
      </c>
      <c r="AD54" s="15"/>
    </row>
    <row r="55" spans="1:40">
      <c r="A55" s="13">
        <v>17</v>
      </c>
      <c r="B55" s="14" t="s">
        <v>55</v>
      </c>
      <c r="C55" s="15">
        <v>0.2</v>
      </c>
      <c r="D55" s="15"/>
      <c r="E55" s="15"/>
      <c r="F55" s="15"/>
      <c r="G55" s="15"/>
      <c r="H55" s="15"/>
      <c r="I55" s="15"/>
      <c r="J55" s="15"/>
      <c r="K55" s="15"/>
      <c r="L55" s="15"/>
      <c r="M55" s="15">
        <v>0.9</v>
      </c>
      <c r="N55" s="15"/>
      <c r="O55" s="15">
        <v>0.8</v>
      </c>
      <c r="P55" s="15"/>
      <c r="Q55" s="16">
        <v>0.1</v>
      </c>
      <c r="R55" s="15"/>
      <c r="S55" s="16"/>
      <c r="T55" s="15"/>
      <c r="U55" s="16"/>
      <c r="V55" s="15"/>
      <c r="W55" s="16"/>
      <c r="X55" s="15"/>
      <c r="Y55" s="16"/>
      <c r="Z55" s="15"/>
      <c r="AA55" s="15"/>
      <c r="AB55" s="15"/>
      <c r="AC55" s="15"/>
      <c r="AD55" s="15"/>
    </row>
    <row r="56" spans="1:40">
      <c r="A56" s="13">
        <v>18</v>
      </c>
      <c r="B56" s="14" t="s">
        <v>56</v>
      </c>
      <c r="C56" s="15">
        <v>1.6</v>
      </c>
      <c r="D56" s="15"/>
      <c r="E56" s="15">
        <v>1.4</v>
      </c>
      <c r="F56" s="15"/>
      <c r="G56" s="15">
        <v>1.8</v>
      </c>
      <c r="H56" s="15"/>
      <c r="I56" s="15">
        <v>2.9</v>
      </c>
      <c r="J56" s="15"/>
      <c r="K56" s="16">
        <v>1</v>
      </c>
      <c r="L56" s="15"/>
      <c r="M56" s="15">
        <v>1.9</v>
      </c>
      <c r="N56" s="15"/>
      <c r="O56" s="15">
        <v>1.1000000000000001</v>
      </c>
      <c r="P56" s="15"/>
      <c r="Q56" s="16">
        <v>0.9</v>
      </c>
      <c r="R56" s="15"/>
      <c r="S56" s="16">
        <v>2.2999999999999998</v>
      </c>
      <c r="T56" s="15"/>
      <c r="U56" s="16">
        <v>2</v>
      </c>
      <c r="V56" s="15"/>
      <c r="W56" s="16">
        <v>1.9</v>
      </c>
      <c r="X56" s="15"/>
      <c r="Y56" s="16">
        <v>2.1172638436482085</v>
      </c>
      <c r="Z56" s="15"/>
      <c r="AA56" s="16">
        <v>0.90452261306532655</v>
      </c>
      <c r="AB56" s="15"/>
      <c r="AC56" s="16">
        <v>1.7</v>
      </c>
      <c r="AD56" s="15"/>
    </row>
    <row r="57" spans="1:40">
      <c r="A57" s="13">
        <v>19</v>
      </c>
      <c r="B57" s="14" t="s">
        <v>57</v>
      </c>
      <c r="C57" s="15">
        <v>1.5</v>
      </c>
      <c r="D57" s="15"/>
      <c r="E57" s="15">
        <v>0.6</v>
      </c>
      <c r="F57" s="15"/>
      <c r="G57" s="15">
        <v>0.6</v>
      </c>
      <c r="H57" s="15"/>
      <c r="I57" s="15">
        <v>0.2</v>
      </c>
      <c r="J57" s="15"/>
      <c r="K57" s="15">
        <v>0.6</v>
      </c>
      <c r="L57" s="15"/>
      <c r="M57" s="15">
        <v>0.2</v>
      </c>
      <c r="N57" s="15"/>
      <c r="O57" s="15">
        <v>0.4</v>
      </c>
      <c r="P57" s="15"/>
      <c r="Q57" s="16">
        <v>1</v>
      </c>
      <c r="R57" s="15"/>
      <c r="S57" s="16">
        <v>0</v>
      </c>
      <c r="T57" s="15"/>
      <c r="U57" s="16">
        <v>1.9</v>
      </c>
      <c r="V57" s="15"/>
      <c r="W57" s="16">
        <v>0.3</v>
      </c>
      <c r="X57" s="15"/>
      <c r="Y57" s="16">
        <v>0</v>
      </c>
      <c r="Z57" s="15"/>
      <c r="AA57" s="16">
        <v>0.10643959552953698</v>
      </c>
      <c r="AB57" s="15"/>
      <c r="AC57" s="16"/>
      <c r="AD57" s="15"/>
    </row>
    <row r="58" spans="1:40">
      <c r="A58" s="13">
        <v>20</v>
      </c>
      <c r="B58" s="14" t="s">
        <v>58</v>
      </c>
      <c r="C58" s="15">
        <v>2.4</v>
      </c>
      <c r="D58" s="15"/>
      <c r="E58" s="16">
        <v>2</v>
      </c>
      <c r="F58" s="15"/>
      <c r="G58" s="15">
        <v>1.9</v>
      </c>
      <c r="H58" s="15"/>
      <c r="I58" s="15">
        <v>1.4</v>
      </c>
      <c r="J58" s="15"/>
      <c r="K58" s="15">
        <v>1.7</v>
      </c>
      <c r="L58" s="15"/>
      <c r="M58" s="15">
        <v>1.4</v>
      </c>
      <c r="N58" s="15"/>
      <c r="O58" s="16">
        <v>1</v>
      </c>
      <c r="P58" s="15"/>
      <c r="Q58" s="16">
        <v>1.1000000000000001</v>
      </c>
      <c r="R58" s="15"/>
      <c r="S58" s="16">
        <v>0.2</v>
      </c>
      <c r="T58" s="15"/>
      <c r="U58" s="16">
        <v>0.4</v>
      </c>
      <c r="V58" s="15"/>
      <c r="W58" s="16"/>
      <c r="X58" s="15"/>
      <c r="Y58" s="16"/>
      <c r="Z58" s="15"/>
      <c r="AA58" s="16">
        <v>1.8181818181818181</v>
      </c>
      <c r="AB58" s="15"/>
      <c r="AC58" s="16">
        <v>0.3</v>
      </c>
      <c r="AD58" s="15"/>
    </row>
    <row r="59" spans="1:40">
      <c r="A59" s="13">
        <v>21</v>
      </c>
      <c r="B59" s="14" t="s">
        <v>59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6">
        <v>0</v>
      </c>
      <c r="N59" s="15"/>
      <c r="O59" s="15"/>
      <c r="P59" s="15"/>
      <c r="Q59" s="16">
        <v>0</v>
      </c>
      <c r="R59" s="15"/>
      <c r="S59" s="16"/>
      <c r="T59" s="15"/>
      <c r="U59" s="16"/>
      <c r="V59" s="15"/>
      <c r="W59" s="16"/>
      <c r="X59" s="15"/>
      <c r="Y59" s="16"/>
      <c r="Z59" s="15"/>
      <c r="AA59" s="15"/>
      <c r="AB59" s="15"/>
      <c r="AC59" s="15"/>
      <c r="AD59" s="15"/>
    </row>
    <row r="60" spans="1:40">
      <c r="A60" s="13">
        <v>22</v>
      </c>
      <c r="B60" s="14" t="s">
        <v>60</v>
      </c>
      <c r="C60" s="15">
        <v>0.5</v>
      </c>
      <c r="D60" s="15"/>
      <c r="E60" s="15">
        <v>1.4</v>
      </c>
      <c r="F60" s="15"/>
      <c r="G60" s="16">
        <v>1</v>
      </c>
      <c r="H60" s="15"/>
      <c r="I60" s="15">
        <v>1.8</v>
      </c>
      <c r="J60" s="15"/>
      <c r="K60" s="15">
        <v>0.9</v>
      </c>
      <c r="L60" s="15"/>
      <c r="M60" s="15">
        <v>0.7</v>
      </c>
      <c r="N60" s="15"/>
      <c r="O60" s="15">
        <v>1.3</v>
      </c>
      <c r="P60" s="15"/>
      <c r="Q60" s="16">
        <v>0.6</v>
      </c>
      <c r="R60" s="15"/>
      <c r="S60" s="16">
        <v>2</v>
      </c>
      <c r="T60" s="15"/>
      <c r="U60" s="16">
        <v>1.2</v>
      </c>
      <c r="V60" s="15"/>
      <c r="W60" s="16">
        <v>1</v>
      </c>
      <c r="X60" s="15"/>
      <c r="Y60" s="16">
        <v>1.2106537530266344</v>
      </c>
      <c r="Z60" s="15"/>
      <c r="AA60" s="16">
        <v>0.9265858873841768</v>
      </c>
      <c r="AB60" s="15"/>
      <c r="AC60" s="16"/>
      <c r="AD60" s="15">
        <v>3.1</v>
      </c>
    </row>
    <row r="61" spans="1:40">
      <c r="A61" s="13">
        <v>23</v>
      </c>
      <c r="B61" s="14" t="s">
        <v>61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6">
        <v>0</v>
      </c>
      <c r="N61" s="15"/>
      <c r="O61" s="15"/>
      <c r="P61" s="15"/>
      <c r="Q61" s="16">
        <v>0</v>
      </c>
      <c r="R61" s="15"/>
      <c r="S61" s="16"/>
      <c r="T61" s="15"/>
      <c r="U61" s="16"/>
      <c r="V61" s="15"/>
      <c r="W61" s="16"/>
      <c r="X61" s="15"/>
      <c r="Y61" s="16"/>
      <c r="Z61" s="15"/>
      <c r="AA61" s="15"/>
      <c r="AB61" s="15"/>
      <c r="AC61" s="15"/>
      <c r="AD61" s="15"/>
    </row>
    <row r="62" spans="1:40">
      <c r="A62" s="13">
        <v>24</v>
      </c>
      <c r="B62" s="14" t="s">
        <v>62</v>
      </c>
      <c r="C62" s="15"/>
      <c r="D62" s="15"/>
      <c r="E62" s="15">
        <v>1.5</v>
      </c>
      <c r="F62" s="15"/>
      <c r="G62" s="15"/>
      <c r="H62" s="15"/>
      <c r="I62" s="15"/>
      <c r="J62" s="15"/>
      <c r="K62" s="15"/>
      <c r="L62" s="15"/>
      <c r="M62" s="15"/>
      <c r="N62" s="15"/>
      <c r="O62" s="15">
        <v>1.9</v>
      </c>
      <c r="P62" s="15"/>
      <c r="Q62" s="16">
        <v>0</v>
      </c>
      <c r="R62" s="15"/>
      <c r="S62" s="16"/>
      <c r="T62" s="15"/>
      <c r="U62" s="16"/>
      <c r="V62" s="15"/>
      <c r="W62" s="16"/>
      <c r="X62" s="15"/>
      <c r="Y62" s="16"/>
      <c r="Z62" s="15"/>
      <c r="AA62" s="16"/>
      <c r="AB62" s="15"/>
      <c r="AC62" s="16"/>
      <c r="AD62" s="15"/>
    </row>
    <row r="63" spans="1:40">
      <c r="A63" s="13">
        <v>25</v>
      </c>
      <c r="B63" s="14" t="s">
        <v>63</v>
      </c>
      <c r="C63" s="15">
        <v>0.5</v>
      </c>
      <c r="D63" s="15"/>
      <c r="E63" s="15"/>
      <c r="F63" s="15"/>
      <c r="G63" s="15"/>
      <c r="H63" s="15"/>
      <c r="I63" s="15"/>
      <c r="J63" s="15"/>
      <c r="K63" s="15"/>
      <c r="L63" s="16">
        <v>10</v>
      </c>
      <c r="M63" s="15"/>
      <c r="N63" s="15"/>
      <c r="O63" s="15"/>
      <c r="P63" s="15"/>
      <c r="Q63" s="16">
        <v>0</v>
      </c>
      <c r="R63" s="15"/>
      <c r="S63" s="16">
        <v>0.4</v>
      </c>
      <c r="T63" s="15"/>
      <c r="U63" s="16">
        <v>0</v>
      </c>
      <c r="V63" s="15"/>
      <c r="W63" s="16"/>
      <c r="X63" s="15"/>
      <c r="Y63" s="16">
        <v>1.3201320132013201</v>
      </c>
      <c r="Z63" s="15"/>
      <c r="AA63" s="16"/>
      <c r="AB63" s="15"/>
      <c r="AC63" s="16"/>
      <c r="AD63" s="15"/>
    </row>
    <row r="64" spans="1:40" ht="25.5">
      <c r="A64" s="20" t="s">
        <v>64</v>
      </c>
      <c r="B64" s="20"/>
      <c r="C64" s="18">
        <v>24</v>
      </c>
      <c r="D64" s="18">
        <v>12</v>
      </c>
      <c r="E64" s="18">
        <v>30</v>
      </c>
      <c r="F64" s="18">
        <v>10</v>
      </c>
      <c r="G64" s="18">
        <v>24</v>
      </c>
      <c r="H64" s="18">
        <v>13</v>
      </c>
      <c r="I64" s="18">
        <v>23</v>
      </c>
      <c r="J64" s="18">
        <v>13</v>
      </c>
      <c r="K64" s="18">
        <v>25</v>
      </c>
      <c r="L64" s="18">
        <v>10</v>
      </c>
      <c r="M64" s="18">
        <v>26</v>
      </c>
      <c r="N64" s="18">
        <v>11</v>
      </c>
      <c r="O64" s="18">
        <v>27</v>
      </c>
      <c r="P64" s="18">
        <v>8</v>
      </c>
      <c r="Q64" s="18">
        <v>35</v>
      </c>
      <c r="R64" s="18">
        <v>2</v>
      </c>
      <c r="S64" s="18">
        <v>34</v>
      </c>
      <c r="T64" s="18">
        <v>2</v>
      </c>
      <c r="U64" s="18">
        <f t="shared" ref="U64:Z64" si="9">COUNT(U65:U105)</f>
        <v>30</v>
      </c>
      <c r="V64" s="18">
        <f t="shared" si="9"/>
        <v>3</v>
      </c>
      <c r="W64" s="18">
        <f t="shared" si="9"/>
        <v>37</v>
      </c>
      <c r="X64" s="18">
        <f t="shared" si="9"/>
        <v>3</v>
      </c>
      <c r="Y64" s="18">
        <f t="shared" si="9"/>
        <v>37</v>
      </c>
      <c r="Z64" s="18">
        <f t="shared" si="9"/>
        <v>1</v>
      </c>
      <c r="AA64" s="18">
        <f>COUNT(AA65:AA105)</f>
        <v>36</v>
      </c>
      <c r="AB64" s="18">
        <f>COUNT(AB65:AB105)</f>
        <v>1</v>
      </c>
      <c r="AC64" s="18">
        <f>COUNT(AC65:AC105)</f>
        <v>33</v>
      </c>
      <c r="AD64" s="18">
        <f>COUNT(AD65:AD105)</f>
        <v>3</v>
      </c>
      <c r="AE64" s="12"/>
      <c r="AF64" s="12"/>
      <c r="AG64" s="12"/>
      <c r="AH64" s="12"/>
      <c r="AI64" s="12"/>
      <c r="AJ64" s="12"/>
      <c r="AK64" s="12"/>
      <c r="AL64" s="12"/>
      <c r="AM64" s="12"/>
      <c r="AN64" s="12"/>
    </row>
    <row r="65" spans="1:30">
      <c r="A65" s="13">
        <v>1</v>
      </c>
      <c r="B65" s="14" t="s">
        <v>65</v>
      </c>
      <c r="C65" s="15"/>
      <c r="D65" s="15">
        <v>5.7</v>
      </c>
      <c r="E65" s="15"/>
      <c r="F65" s="15">
        <v>4.8</v>
      </c>
      <c r="G65" s="15">
        <v>1.9</v>
      </c>
      <c r="H65" s="15"/>
      <c r="I65" s="15"/>
      <c r="J65" s="15">
        <v>3.2</v>
      </c>
      <c r="K65" s="15"/>
      <c r="L65" s="15">
        <v>4.2</v>
      </c>
      <c r="M65" s="15"/>
      <c r="N65" s="15">
        <v>3.4</v>
      </c>
      <c r="O65" s="15">
        <v>1.9</v>
      </c>
      <c r="P65" s="15"/>
      <c r="Q65" s="16">
        <v>1.5</v>
      </c>
      <c r="R65" s="16"/>
      <c r="S65" s="16">
        <v>1</v>
      </c>
      <c r="T65" s="16"/>
      <c r="U65" s="16">
        <v>1.7</v>
      </c>
      <c r="V65" s="16"/>
      <c r="W65" s="16">
        <v>2.1</v>
      </c>
      <c r="X65" s="16"/>
      <c r="Y65" s="16">
        <v>1.9342121473450782</v>
      </c>
      <c r="Z65" s="16"/>
      <c r="AA65" s="16">
        <v>0.81234768480909825</v>
      </c>
      <c r="AB65" s="16"/>
      <c r="AC65" s="16">
        <v>1.4</v>
      </c>
      <c r="AD65" s="16"/>
    </row>
    <row r="66" spans="1:30">
      <c r="A66" s="13">
        <v>2</v>
      </c>
      <c r="B66" s="14" t="s">
        <v>66</v>
      </c>
      <c r="C66" s="15"/>
      <c r="D66" s="15"/>
      <c r="E66" s="15">
        <v>0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6"/>
      <c r="R66" s="16"/>
      <c r="S66" s="16">
        <v>0</v>
      </c>
      <c r="T66" s="16"/>
      <c r="U66" s="16"/>
      <c r="V66" s="16"/>
      <c r="W66" s="16">
        <v>0</v>
      </c>
      <c r="X66" s="16"/>
      <c r="Y66" s="16"/>
      <c r="Z66" s="16"/>
      <c r="AA66" s="16"/>
      <c r="AB66" s="16"/>
      <c r="AC66" s="16"/>
      <c r="AD66" s="16"/>
    </row>
    <row r="67" spans="1:30">
      <c r="A67" s="13">
        <v>3</v>
      </c>
      <c r="B67" s="14" t="s">
        <v>67</v>
      </c>
      <c r="C67" s="15"/>
      <c r="D67" s="16">
        <v>5</v>
      </c>
      <c r="E67" s="15">
        <v>0.5</v>
      </c>
      <c r="F67" s="15"/>
      <c r="G67" s="15">
        <v>2.6</v>
      </c>
      <c r="H67" s="15"/>
      <c r="I67" s="15">
        <v>2</v>
      </c>
      <c r="J67" s="15"/>
      <c r="K67" s="15">
        <v>1.6</v>
      </c>
      <c r="L67" s="15"/>
      <c r="M67" s="15">
        <v>2</v>
      </c>
      <c r="N67" s="15"/>
      <c r="O67" s="15">
        <v>1.8</v>
      </c>
      <c r="P67" s="15"/>
      <c r="Q67" s="16">
        <v>1.5</v>
      </c>
      <c r="R67" s="16"/>
      <c r="S67" s="16">
        <v>2.1</v>
      </c>
      <c r="T67" s="16"/>
      <c r="U67" s="16">
        <v>2.1</v>
      </c>
      <c r="V67" s="16"/>
      <c r="W67" s="16">
        <v>1.3</v>
      </c>
      <c r="X67" s="16"/>
      <c r="Y67" s="16">
        <v>1.8135654697134567</v>
      </c>
      <c r="Z67" s="16"/>
      <c r="AA67" s="16">
        <v>1.6341923318667504</v>
      </c>
      <c r="AB67" s="16"/>
      <c r="AC67" s="16">
        <v>1.3</v>
      </c>
      <c r="AD67" s="16"/>
    </row>
    <row r="68" spans="1:30">
      <c r="A68" s="13">
        <v>4</v>
      </c>
      <c r="B68" s="14" t="s">
        <v>68</v>
      </c>
      <c r="C68" s="15">
        <v>2.2000000000000002</v>
      </c>
      <c r="D68" s="15"/>
      <c r="E68" s="16">
        <v>2</v>
      </c>
      <c r="F68" s="15"/>
      <c r="G68" s="15">
        <v>1.1000000000000001</v>
      </c>
      <c r="H68" s="15"/>
      <c r="I68" s="15">
        <v>0.8</v>
      </c>
      <c r="J68" s="15"/>
      <c r="K68" s="15">
        <v>1.3</v>
      </c>
      <c r="L68" s="15"/>
      <c r="M68" s="15">
        <v>0.6</v>
      </c>
      <c r="N68" s="15"/>
      <c r="O68" s="15"/>
      <c r="P68" s="16">
        <v>3.1</v>
      </c>
      <c r="Q68" s="16">
        <v>2.2999999999999998</v>
      </c>
      <c r="R68" s="16"/>
      <c r="S68" s="16">
        <v>1.1000000000000001</v>
      </c>
      <c r="T68" s="16"/>
      <c r="U68" s="16">
        <v>1</v>
      </c>
      <c r="V68" s="16"/>
      <c r="W68" s="16">
        <v>1.7</v>
      </c>
      <c r="X68" s="16"/>
      <c r="Y68" s="16">
        <v>1.2058823529411764</v>
      </c>
      <c r="Z68" s="16"/>
      <c r="AA68" s="16">
        <v>1.6666666666666667</v>
      </c>
      <c r="AB68" s="16"/>
      <c r="AC68" s="16">
        <v>1.2</v>
      </c>
      <c r="AD68" s="16"/>
    </row>
    <row r="69" spans="1:30">
      <c r="A69" s="13">
        <v>5</v>
      </c>
      <c r="B69" s="14" t="s">
        <v>69</v>
      </c>
      <c r="C69" s="15">
        <v>2.4</v>
      </c>
      <c r="D69" s="15"/>
      <c r="E69" s="15"/>
      <c r="F69" s="15">
        <v>8.6</v>
      </c>
      <c r="G69" s="15"/>
      <c r="H69" s="15">
        <v>8.1999999999999993</v>
      </c>
      <c r="I69" s="15">
        <v>1.9</v>
      </c>
      <c r="J69" s="15"/>
      <c r="K69" s="15">
        <v>0.5</v>
      </c>
      <c r="L69" s="15"/>
      <c r="M69" s="15">
        <v>2.2999999999999998</v>
      </c>
      <c r="N69" s="15"/>
      <c r="O69" s="15">
        <v>1.7</v>
      </c>
      <c r="P69" s="15"/>
      <c r="Q69" s="16">
        <v>1.3</v>
      </c>
      <c r="R69" s="16"/>
      <c r="S69" s="16">
        <v>0.7</v>
      </c>
      <c r="T69" s="16"/>
      <c r="U69" s="16">
        <v>0.6</v>
      </c>
      <c r="V69" s="16"/>
      <c r="W69" s="16">
        <v>0.2</v>
      </c>
      <c r="X69" s="16"/>
      <c r="Y69" s="16">
        <v>0.34684191310697332</v>
      </c>
      <c r="Z69" s="16"/>
      <c r="AA69" s="16">
        <v>2.9185245237130117</v>
      </c>
      <c r="AB69" s="16"/>
      <c r="AC69" s="16">
        <v>1.3</v>
      </c>
      <c r="AD69" s="16"/>
    </row>
    <row r="70" spans="1:30">
      <c r="A70" s="13">
        <v>6</v>
      </c>
      <c r="B70" s="14" t="s">
        <v>70</v>
      </c>
      <c r="C70" s="15"/>
      <c r="D70" s="15">
        <v>3.7</v>
      </c>
      <c r="E70" s="15">
        <v>1.5</v>
      </c>
      <c r="F70" s="15"/>
      <c r="G70" s="15">
        <v>1.7</v>
      </c>
      <c r="H70" s="15"/>
      <c r="I70" s="15">
        <v>2.7</v>
      </c>
      <c r="J70" s="15"/>
      <c r="K70" s="15">
        <v>2.8</v>
      </c>
      <c r="L70" s="15"/>
      <c r="M70" s="15"/>
      <c r="N70" s="15">
        <v>4.7</v>
      </c>
      <c r="O70" s="15">
        <v>1.9</v>
      </c>
      <c r="P70" s="15"/>
      <c r="Q70" s="16">
        <v>1.9</v>
      </c>
      <c r="R70" s="16"/>
      <c r="S70" s="16">
        <v>1.9</v>
      </c>
      <c r="T70" s="16"/>
      <c r="U70" s="16">
        <v>0.6</v>
      </c>
      <c r="V70" s="16"/>
      <c r="W70" s="16">
        <v>2.6</v>
      </c>
      <c r="X70" s="16"/>
      <c r="Y70" s="16">
        <v>0.8666666666666667</v>
      </c>
      <c r="Z70" s="16"/>
      <c r="AA70" s="16">
        <v>0.15544041450777202</v>
      </c>
      <c r="AB70" s="16"/>
      <c r="AC70" s="16"/>
      <c r="AD70" s="16">
        <v>6.7</v>
      </c>
    </row>
    <row r="71" spans="1:30">
      <c r="A71" s="13">
        <v>7</v>
      </c>
      <c r="B71" s="14" t="s">
        <v>71</v>
      </c>
      <c r="C71" s="15"/>
      <c r="D71" s="15">
        <v>6.2</v>
      </c>
      <c r="E71" s="15"/>
      <c r="F71" s="15">
        <v>5.2</v>
      </c>
      <c r="G71" s="15"/>
      <c r="H71" s="15">
        <v>6.1</v>
      </c>
      <c r="I71" s="15"/>
      <c r="J71" s="15">
        <v>7.3</v>
      </c>
      <c r="K71" s="15"/>
      <c r="L71" s="15">
        <v>6.1</v>
      </c>
      <c r="M71" s="15">
        <v>2.6</v>
      </c>
      <c r="N71" s="15"/>
      <c r="O71" s="15">
        <v>0.7</v>
      </c>
      <c r="P71" s="15"/>
      <c r="Q71" s="16">
        <v>1</v>
      </c>
      <c r="R71" s="16"/>
      <c r="S71" s="16">
        <v>0.9</v>
      </c>
      <c r="T71" s="16"/>
      <c r="U71" s="16">
        <v>1.1000000000000001</v>
      </c>
      <c r="V71" s="16"/>
      <c r="W71" s="16">
        <v>1.3</v>
      </c>
      <c r="X71" s="16"/>
      <c r="Y71" s="16">
        <v>1.4340537265198949</v>
      </c>
      <c r="Z71" s="16"/>
      <c r="AA71" s="16">
        <v>1.4762070163251129</v>
      </c>
      <c r="AB71" s="16"/>
      <c r="AC71" s="16">
        <v>1.8</v>
      </c>
      <c r="AD71" s="16"/>
    </row>
    <row r="72" spans="1:30">
      <c r="A72" s="13">
        <v>8</v>
      </c>
      <c r="B72" s="14" t="s">
        <v>72</v>
      </c>
      <c r="C72" s="15">
        <v>1.1000000000000001</v>
      </c>
      <c r="D72" s="15"/>
      <c r="E72" s="15">
        <v>0.9</v>
      </c>
      <c r="F72" s="15"/>
      <c r="G72" s="15">
        <v>0.6</v>
      </c>
      <c r="H72" s="15"/>
      <c r="I72" s="15">
        <v>0.6</v>
      </c>
      <c r="J72" s="15"/>
      <c r="K72" s="15">
        <v>0.5</v>
      </c>
      <c r="L72" s="15"/>
      <c r="M72" s="15">
        <v>0</v>
      </c>
      <c r="N72" s="15"/>
      <c r="O72" s="15">
        <v>0.7</v>
      </c>
      <c r="P72" s="15"/>
      <c r="Q72" s="16">
        <v>0.3</v>
      </c>
      <c r="R72" s="16"/>
      <c r="S72" s="16">
        <v>0.3</v>
      </c>
      <c r="T72" s="16"/>
      <c r="U72" s="16">
        <v>0.9</v>
      </c>
      <c r="V72" s="16"/>
      <c r="W72" s="16">
        <v>0.4</v>
      </c>
      <c r="X72" s="16"/>
      <c r="Y72" s="16">
        <v>0.52356020942408377</v>
      </c>
      <c r="Z72" s="16"/>
      <c r="AA72" s="16">
        <v>0.49813200498132004</v>
      </c>
      <c r="AB72" s="16"/>
      <c r="AC72" s="16">
        <v>0.3</v>
      </c>
      <c r="AD72" s="16"/>
    </row>
    <row r="73" spans="1:30">
      <c r="A73" s="13">
        <v>9</v>
      </c>
      <c r="B73" s="14" t="s">
        <v>73</v>
      </c>
      <c r="C73" s="15"/>
      <c r="D73" s="15"/>
      <c r="E73" s="15"/>
      <c r="F73" s="15"/>
      <c r="G73" s="15">
        <v>1.3</v>
      </c>
      <c r="H73" s="15"/>
      <c r="I73" s="15"/>
      <c r="J73" s="15"/>
      <c r="K73" s="15"/>
      <c r="L73" s="15"/>
      <c r="M73" s="15">
        <v>1.8</v>
      </c>
      <c r="N73" s="15"/>
      <c r="O73" s="15"/>
      <c r="P73" s="15"/>
      <c r="Q73" s="16">
        <v>1.3</v>
      </c>
      <c r="R73" s="16"/>
      <c r="S73" s="16"/>
      <c r="T73" s="16"/>
      <c r="U73" s="16"/>
      <c r="V73" s="16"/>
      <c r="W73" s="16">
        <v>0.2</v>
      </c>
      <c r="X73" s="16"/>
      <c r="Y73" s="16">
        <v>1.098901098901099</v>
      </c>
      <c r="Z73" s="16"/>
      <c r="AA73" s="16">
        <v>1.4814814814814816</v>
      </c>
      <c r="AB73" s="16"/>
      <c r="AC73" s="16"/>
      <c r="AD73" s="16"/>
    </row>
    <row r="74" spans="1:30">
      <c r="A74" s="13">
        <v>10</v>
      </c>
      <c r="B74" s="14" t="s">
        <v>74</v>
      </c>
      <c r="C74" s="15"/>
      <c r="D74" s="16">
        <v>7</v>
      </c>
      <c r="E74" s="15"/>
      <c r="F74" s="15">
        <v>15.7</v>
      </c>
      <c r="G74" s="15"/>
      <c r="H74" s="15">
        <v>53</v>
      </c>
      <c r="I74" s="15"/>
      <c r="J74" s="15">
        <v>4.3</v>
      </c>
      <c r="K74" s="15">
        <v>2.1</v>
      </c>
      <c r="L74" s="15"/>
      <c r="M74" s="15"/>
      <c r="N74" s="15">
        <v>3.5</v>
      </c>
      <c r="O74" s="15"/>
      <c r="P74" s="15">
        <v>3.1</v>
      </c>
      <c r="Q74" s="16">
        <v>1.5</v>
      </c>
      <c r="R74" s="16"/>
      <c r="S74" s="16">
        <v>1.1000000000000001</v>
      </c>
      <c r="T74" s="16"/>
      <c r="U74" s="16">
        <v>1.7</v>
      </c>
      <c r="V74" s="16"/>
      <c r="W74" s="16">
        <v>0.8</v>
      </c>
      <c r="X74" s="16"/>
      <c r="Y74" s="16">
        <v>0.22114540310253991</v>
      </c>
      <c r="Z74" s="16"/>
      <c r="AA74" s="16">
        <v>0.31892146558909873</v>
      </c>
      <c r="AB74" s="16"/>
      <c r="AC74" s="16">
        <v>0.5</v>
      </c>
      <c r="AD74" s="16"/>
    </row>
    <row r="75" spans="1:30">
      <c r="A75" s="13">
        <v>11</v>
      </c>
      <c r="B75" s="14" t="s">
        <v>75</v>
      </c>
      <c r="C75" s="15">
        <v>0.6</v>
      </c>
      <c r="D75" s="15"/>
      <c r="E75" s="15">
        <v>0.4</v>
      </c>
      <c r="F75" s="15"/>
      <c r="G75" s="15">
        <v>0.8</v>
      </c>
      <c r="H75" s="15"/>
      <c r="I75" s="16">
        <v>1</v>
      </c>
      <c r="J75" s="15"/>
      <c r="K75" s="16">
        <v>1</v>
      </c>
      <c r="L75" s="15"/>
      <c r="M75" s="15">
        <v>1.2</v>
      </c>
      <c r="N75" s="15"/>
      <c r="O75" s="15">
        <v>0.7</v>
      </c>
      <c r="P75" s="15"/>
      <c r="Q75" s="16">
        <v>0.1</v>
      </c>
      <c r="R75" s="16"/>
      <c r="S75" s="16">
        <v>0</v>
      </c>
      <c r="T75" s="16"/>
      <c r="U75" s="16">
        <v>0</v>
      </c>
      <c r="V75" s="16"/>
      <c r="W75" s="16">
        <v>0</v>
      </c>
      <c r="X75" s="16"/>
      <c r="Y75" s="16">
        <v>0.24330900243309003</v>
      </c>
      <c r="Z75" s="16"/>
      <c r="AA75" s="16">
        <v>0.70371966106563266</v>
      </c>
      <c r="AB75" s="16"/>
      <c r="AC75" s="16">
        <v>0.3</v>
      </c>
      <c r="AD75" s="16"/>
    </row>
    <row r="76" spans="1:30">
      <c r="A76" s="13">
        <v>12</v>
      </c>
      <c r="B76" s="14" t="s">
        <v>76</v>
      </c>
      <c r="C76" s="15">
        <v>1.9</v>
      </c>
      <c r="D76" s="15"/>
      <c r="E76" s="15">
        <v>1.3</v>
      </c>
      <c r="F76" s="15"/>
      <c r="G76" s="15">
        <v>2.5</v>
      </c>
      <c r="H76" s="15"/>
      <c r="I76" s="15">
        <v>1.5</v>
      </c>
      <c r="J76" s="15"/>
      <c r="K76" s="15">
        <v>1.1000000000000001</v>
      </c>
      <c r="L76" s="15"/>
      <c r="M76" s="15">
        <v>0.6</v>
      </c>
      <c r="N76" s="15"/>
      <c r="O76" s="15">
        <v>0.4</v>
      </c>
      <c r="P76" s="15"/>
      <c r="Q76" s="16">
        <v>0.5</v>
      </c>
      <c r="R76" s="16"/>
      <c r="S76" s="16">
        <v>0.2</v>
      </c>
      <c r="T76" s="16"/>
      <c r="U76" s="16">
        <v>0.5</v>
      </c>
      <c r="V76" s="16"/>
      <c r="W76" s="16">
        <v>0.3</v>
      </c>
      <c r="X76" s="16"/>
      <c r="Y76" s="16">
        <v>0.2012072434607646</v>
      </c>
      <c r="Z76" s="16"/>
      <c r="AA76" s="16">
        <v>0.17817371937639198</v>
      </c>
      <c r="AB76" s="16"/>
      <c r="AC76" s="16">
        <v>0.1</v>
      </c>
      <c r="AD76" s="16"/>
    </row>
    <row r="77" spans="1:30">
      <c r="A77" s="13">
        <v>13</v>
      </c>
      <c r="B77" s="14" t="s">
        <v>77</v>
      </c>
      <c r="C77" s="15">
        <v>2.4</v>
      </c>
      <c r="D77" s="15"/>
      <c r="E77" s="15">
        <v>0.6</v>
      </c>
      <c r="F77" s="15"/>
      <c r="G77" s="15">
        <v>0.6</v>
      </c>
      <c r="H77" s="15"/>
      <c r="I77" s="15">
        <v>0.5</v>
      </c>
      <c r="J77" s="15"/>
      <c r="K77" s="15">
        <v>0.7</v>
      </c>
      <c r="L77" s="15"/>
      <c r="M77" s="15">
        <v>0.8</v>
      </c>
      <c r="N77" s="15"/>
      <c r="O77" s="15">
        <v>0.7</v>
      </c>
      <c r="P77" s="15"/>
      <c r="Q77" s="16">
        <v>0.4</v>
      </c>
      <c r="R77" s="16"/>
      <c r="S77" s="16">
        <v>0.1</v>
      </c>
      <c r="T77" s="16"/>
      <c r="U77" s="16">
        <v>0.1</v>
      </c>
      <c r="V77" s="16"/>
      <c r="W77" s="16">
        <v>0.5</v>
      </c>
      <c r="X77" s="16"/>
      <c r="Y77" s="16">
        <v>0.7399577167019028</v>
      </c>
      <c r="Z77" s="16"/>
      <c r="AA77" s="16">
        <v>1.0901883052527255</v>
      </c>
      <c r="AB77" s="16"/>
      <c r="AC77" s="16">
        <v>0.2</v>
      </c>
      <c r="AD77" s="16"/>
    </row>
    <row r="78" spans="1:30">
      <c r="A78" s="13">
        <v>14</v>
      </c>
      <c r="B78" s="14" t="s">
        <v>78</v>
      </c>
      <c r="C78" s="15"/>
      <c r="D78" s="15">
        <v>10.6</v>
      </c>
      <c r="E78" s="15"/>
      <c r="F78" s="15">
        <v>6.4</v>
      </c>
      <c r="G78" s="15"/>
      <c r="H78" s="15">
        <v>5.2</v>
      </c>
      <c r="I78" s="15"/>
      <c r="J78" s="15">
        <v>4.8</v>
      </c>
      <c r="K78" s="15"/>
      <c r="L78" s="15">
        <v>4.3</v>
      </c>
      <c r="M78" s="15"/>
      <c r="N78" s="15">
        <v>4.3</v>
      </c>
      <c r="O78" s="15"/>
      <c r="P78" s="15">
        <v>3.2</v>
      </c>
      <c r="Q78" s="16">
        <v>1.9</v>
      </c>
      <c r="R78" s="16"/>
      <c r="S78" s="16">
        <v>0.8</v>
      </c>
      <c r="T78" s="16"/>
      <c r="U78" s="16">
        <v>0.6</v>
      </c>
      <c r="V78" s="16"/>
      <c r="W78" s="16">
        <v>0.4</v>
      </c>
      <c r="X78" s="16"/>
      <c r="Y78" s="16">
        <v>0.58934464875058934</v>
      </c>
      <c r="Z78" s="16"/>
      <c r="AA78" s="16">
        <v>0.76257682676986116</v>
      </c>
      <c r="AB78" s="16"/>
      <c r="AC78" s="16">
        <v>0.5</v>
      </c>
      <c r="AD78" s="16"/>
    </row>
    <row r="79" spans="1:30">
      <c r="A79" s="13">
        <v>15</v>
      </c>
      <c r="B79" s="14" t="s">
        <v>79</v>
      </c>
      <c r="C79" s="15">
        <v>2.1</v>
      </c>
      <c r="D79" s="15"/>
      <c r="E79" s="16">
        <v>1</v>
      </c>
      <c r="F79" s="15"/>
      <c r="G79" s="15"/>
      <c r="H79" s="15">
        <v>8.6</v>
      </c>
      <c r="I79" s="15">
        <v>0.5</v>
      </c>
      <c r="J79" s="15"/>
      <c r="K79" s="15"/>
      <c r="L79" s="15"/>
      <c r="M79" s="15"/>
      <c r="N79" s="15">
        <v>5.9</v>
      </c>
      <c r="O79" s="16">
        <v>0</v>
      </c>
      <c r="P79" s="15"/>
      <c r="Q79" s="16">
        <v>0.1</v>
      </c>
      <c r="R79" s="16"/>
      <c r="S79" s="16">
        <v>0.9</v>
      </c>
      <c r="T79" s="16"/>
      <c r="U79" s="16"/>
      <c r="V79" s="16"/>
      <c r="W79" s="16">
        <v>0</v>
      </c>
      <c r="X79" s="16"/>
      <c r="Y79" s="16">
        <v>0.2767527675276753</v>
      </c>
      <c r="Z79" s="16"/>
      <c r="AA79" s="16">
        <v>0.41025641025641024</v>
      </c>
      <c r="AB79" s="16"/>
      <c r="AC79" s="16">
        <v>0</v>
      </c>
      <c r="AD79" s="16"/>
    </row>
    <row r="80" spans="1:30">
      <c r="A80" s="13">
        <v>16</v>
      </c>
      <c r="B80" s="14" t="s">
        <v>80</v>
      </c>
      <c r="C80" s="15"/>
      <c r="D80" s="15">
        <v>5.7</v>
      </c>
      <c r="E80" s="15"/>
      <c r="F80" s="15">
        <v>3.8</v>
      </c>
      <c r="G80" s="16">
        <v>1</v>
      </c>
      <c r="H80" s="15"/>
      <c r="I80" s="15"/>
      <c r="J80" s="15">
        <v>9.6</v>
      </c>
      <c r="K80" s="15"/>
      <c r="L80" s="15">
        <v>3.5</v>
      </c>
      <c r="M80" s="15"/>
      <c r="N80" s="15">
        <v>3.4</v>
      </c>
      <c r="O80" s="15"/>
      <c r="P80" s="15">
        <v>3.6</v>
      </c>
      <c r="Q80" s="16">
        <v>2.1</v>
      </c>
      <c r="R80" s="16"/>
      <c r="S80" s="16">
        <v>1.1000000000000001</v>
      </c>
      <c r="T80" s="16"/>
      <c r="U80" s="16">
        <v>1.1000000000000001</v>
      </c>
      <c r="V80" s="16"/>
      <c r="W80" s="16">
        <v>1.6</v>
      </c>
      <c r="X80" s="16"/>
      <c r="Y80" s="16">
        <v>1.6163222045574988</v>
      </c>
      <c r="Z80" s="16"/>
      <c r="AA80" s="16">
        <v>1.2153950033760972</v>
      </c>
      <c r="AB80" s="16"/>
      <c r="AC80" s="16">
        <v>1.1000000000000001</v>
      </c>
      <c r="AD80" s="16"/>
    </row>
    <row r="81" spans="1:30">
      <c r="A81" s="13">
        <v>17</v>
      </c>
      <c r="B81" s="14" t="s">
        <v>81</v>
      </c>
      <c r="C81" s="15"/>
      <c r="D81" s="15">
        <v>3.6</v>
      </c>
      <c r="E81" s="15">
        <v>2.4</v>
      </c>
      <c r="F81" s="15"/>
      <c r="G81" s="15"/>
      <c r="H81" s="15">
        <v>3.2</v>
      </c>
      <c r="I81" s="15"/>
      <c r="J81" s="15">
        <v>9.6999999999999993</v>
      </c>
      <c r="K81" s="15"/>
      <c r="L81" s="15">
        <v>4.2</v>
      </c>
      <c r="M81" s="15"/>
      <c r="N81" s="15">
        <v>3.1</v>
      </c>
      <c r="O81" s="15">
        <v>2.6</v>
      </c>
      <c r="P81" s="15"/>
      <c r="Q81" s="16">
        <v>2.2000000000000002</v>
      </c>
      <c r="R81" s="16"/>
      <c r="S81" s="16">
        <v>2.2000000000000002</v>
      </c>
      <c r="T81" s="16"/>
      <c r="U81" s="16">
        <v>1.8</v>
      </c>
      <c r="V81" s="16"/>
      <c r="W81" s="16"/>
      <c r="X81" s="16">
        <v>4.2</v>
      </c>
      <c r="Y81" s="16">
        <v>2.5316455696202533</v>
      </c>
      <c r="Z81" s="16"/>
      <c r="AA81" s="16">
        <v>2.7954256670902162</v>
      </c>
      <c r="AB81" s="16"/>
      <c r="AC81" s="16">
        <v>1.3</v>
      </c>
      <c r="AD81" s="16"/>
    </row>
    <row r="82" spans="1:30">
      <c r="A82" s="13">
        <v>18</v>
      </c>
      <c r="B82" s="14" t="s">
        <v>82</v>
      </c>
      <c r="C82" s="15">
        <v>0.4</v>
      </c>
      <c r="D82" s="15"/>
      <c r="E82" s="15">
        <v>0.5</v>
      </c>
      <c r="F82" s="15"/>
      <c r="G82" s="15">
        <v>0.9</v>
      </c>
      <c r="H82" s="15"/>
      <c r="I82" s="15">
        <v>0.8</v>
      </c>
      <c r="J82" s="15"/>
      <c r="K82" s="15">
        <v>0.4</v>
      </c>
      <c r="L82" s="15"/>
      <c r="M82" s="15">
        <v>0.2</v>
      </c>
      <c r="N82" s="15"/>
      <c r="O82" s="15">
        <v>1.2</v>
      </c>
      <c r="P82" s="15"/>
      <c r="Q82" s="16">
        <v>1.2</v>
      </c>
      <c r="R82" s="16"/>
      <c r="S82" s="16"/>
      <c r="T82" s="16"/>
      <c r="U82" s="16">
        <v>1.8</v>
      </c>
      <c r="V82" s="16"/>
      <c r="W82" s="16">
        <v>0.2</v>
      </c>
      <c r="X82" s="16"/>
      <c r="Y82" s="16">
        <v>0.46296296296296297</v>
      </c>
      <c r="Z82" s="16"/>
      <c r="AA82" s="16">
        <v>0.38105606967882416</v>
      </c>
      <c r="AB82" s="16"/>
      <c r="AC82" s="16">
        <v>0.1</v>
      </c>
      <c r="AD82" s="16"/>
    </row>
    <row r="83" spans="1:30">
      <c r="A83" s="13">
        <v>19</v>
      </c>
      <c r="B83" s="14" t="s">
        <v>83</v>
      </c>
      <c r="C83" s="15">
        <v>2.7</v>
      </c>
      <c r="D83" s="15"/>
      <c r="E83" s="15"/>
      <c r="F83" s="15">
        <v>4.0999999999999996</v>
      </c>
      <c r="G83" s="15"/>
      <c r="H83" s="15">
        <v>3.2</v>
      </c>
      <c r="I83" s="15"/>
      <c r="J83" s="15">
        <v>4.3</v>
      </c>
      <c r="K83" s="15">
        <v>2.1</v>
      </c>
      <c r="L83" s="15"/>
      <c r="M83" s="15"/>
      <c r="N83" s="15">
        <v>5.0999999999999996</v>
      </c>
      <c r="O83" s="15"/>
      <c r="P83" s="15">
        <v>4.7</v>
      </c>
      <c r="Q83" s="16"/>
      <c r="R83" s="16">
        <v>4</v>
      </c>
      <c r="S83" s="16"/>
      <c r="T83" s="16">
        <v>6.5</v>
      </c>
      <c r="U83" s="16"/>
      <c r="V83" s="16">
        <v>4.7</v>
      </c>
      <c r="W83" s="16">
        <v>0.4</v>
      </c>
      <c r="X83" s="16"/>
      <c r="Y83" s="16">
        <v>0.34572169403630076</v>
      </c>
      <c r="Z83" s="16"/>
      <c r="AA83" s="16">
        <v>1.2060301507537687</v>
      </c>
      <c r="AB83" s="16"/>
      <c r="AC83" s="16">
        <v>0.7</v>
      </c>
      <c r="AD83" s="16"/>
    </row>
    <row r="84" spans="1:30">
      <c r="A84" s="13">
        <v>20</v>
      </c>
      <c r="B84" s="14" t="s">
        <v>84</v>
      </c>
      <c r="C84" s="15">
        <v>2.2000000000000002</v>
      </c>
      <c r="D84" s="15"/>
      <c r="E84" s="15"/>
      <c r="F84" s="15">
        <v>3.7</v>
      </c>
      <c r="G84" s="15">
        <v>1.2</v>
      </c>
      <c r="H84" s="15"/>
      <c r="I84" s="15">
        <v>1.3</v>
      </c>
      <c r="J84" s="15"/>
      <c r="K84" s="16">
        <v>1</v>
      </c>
      <c r="L84" s="15"/>
      <c r="M84" s="15">
        <v>2.1</v>
      </c>
      <c r="N84" s="15"/>
      <c r="O84" s="15">
        <v>2.6</v>
      </c>
      <c r="P84" s="15"/>
      <c r="Q84" s="16">
        <v>1.2</v>
      </c>
      <c r="R84" s="16"/>
      <c r="S84" s="16">
        <v>1.1000000000000001</v>
      </c>
      <c r="T84" s="16"/>
      <c r="U84" s="16">
        <v>0.6</v>
      </c>
      <c r="V84" s="16"/>
      <c r="W84" s="16">
        <v>2.2000000000000002</v>
      </c>
      <c r="X84" s="16"/>
      <c r="Y84" s="16">
        <v>1.4906832298136645</v>
      </c>
      <c r="Z84" s="16"/>
      <c r="AA84" s="16">
        <v>1.4359156177982626</v>
      </c>
      <c r="AB84" s="16"/>
      <c r="AC84" s="16">
        <v>1.5</v>
      </c>
      <c r="AD84" s="16"/>
    </row>
    <row r="85" spans="1:30">
      <c r="A85" s="13">
        <v>21</v>
      </c>
      <c r="B85" s="14" t="s">
        <v>85</v>
      </c>
      <c r="C85" s="15"/>
      <c r="D85" s="15">
        <v>5.7</v>
      </c>
      <c r="E85" s="15"/>
      <c r="F85" s="15">
        <v>7.4</v>
      </c>
      <c r="G85" s="15"/>
      <c r="H85" s="15">
        <v>4.7</v>
      </c>
      <c r="I85" s="15"/>
      <c r="J85" s="15">
        <v>16.899999999999999</v>
      </c>
      <c r="K85" s="15"/>
      <c r="L85" s="16">
        <v>6</v>
      </c>
      <c r="M85" s="15"/>
      <c r="N85" s="16">
        <v>3</v>
      </c>
      <c r="O85" s="15"/>
      <c r="P85" s="15">
        <v>3.4</v>
      </c>
      <c r="Q85" s="16">
        <v>0.3</v>
      </c>
      <c r="R85" s="16"/>
      <c r="S85" s="16">
        <v>0.1</v>
      </c>
      <c r="T85" s="16"/>
      <c r="U85" s="16">
        <v>0.4</v>
      </c>
      <c r="V85" s="16"/>
      <c r="W85" s="16">
        <v>0.2</v>
      </c>
      <c r="X85" s="16"/>
      <c r="Y85" s="16">
        <v>0.19810386302532898</v>
      </c>
      <c r="Z85" s="16"/>
      <c r="AA85" s="16">
        <v>0.49225159525979939</v>
      </c>
      <c r="AB85" s="16"/>
      <c r="AC85" s="16">
        <v>0.3</v>
      </c>
      <c r="AD85" s="16"/>
    </row>
    <row r="86" spans="1:30">
      <c r="A86" s="13">
        <v>22</v>
      </c>
      <c r="B86" s="14" t="s">
        <v>86</v>
      </c>
      <c r="C86" s="15"/>
      <c r="D86" s="15"/>
      <c r="E86" s="16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6"/>
      <c r="R86" s="16"/>
      <c r="S86" s="16"/>
      <c r="T86" s="16">
        <v>5.3</v>
      </c>
      <c r="U86" s="16"/>
      <c r="V86" s="16"/>
      <c r="W86" s="16"/>
      <c r="X86" s="16">
        <v>3.3</v>
      </c>
      <c r="Y86" s="16">
        <v>2.0181634712411705</v>
      </c>
      <c r="Z86" s="16"/>
      <c r="AA86" s="16"/>
      <c r="AB86" s="16">
        <v>5.4</v>
      </c>
      <c r="AC86" s="16"/>
      <c r="AD86" s="16">
        <v>3.2</v>
      </c>
    </row>
    <row r="87" spans="1:30">
      <c r="A87" s="13">
        <v>23</v>
      </c>
      <c r="B87" s="14" t="s">
        <v>87</v>
      </c>
      <c r="C87" s="16">
        <v>1.7</v>
      </c>
      <c r="D87" s="15"/>
      <c r="E87" s="15">
        <v>1.6</v>
      </c>
      <c r="F87" s="15"/>
      <c r="G87" s="15">
        <v>1.6</v>
      </c>
      <c r="H87" s="15"/>
      <c r="I87" s="15">
        <v>1.5</v>
      </c>
      <c r="J87" s="15"/>
      <c r="K87" s="15">
        <v>1.8</v>
      </c>
      <c r="L87" s="15"/>
      <c r="M87" s="15">
        <v>1.2</v>
      </c>
      <c r="N87" s="15"/>
      <c r="O87" s="15">
        <v>1</v>
      </c>
      <c r="P87" s="15"/>
      <c r="Q87" s="16">
        <v>0.4</v>
      </c>
      <c r="R87" s="16"/>
      <c r="S87" s="16">
        <v>0.2</v>
      </c>
      <c r="T87" s="16"/>
      <c r="U87" s="16">
        <v>0.1</v>
      </c>
      <c r="V87" s="16"/>
      <c r="W87" s="16">
        <v>0.3</v>
      </c>
      <c r="X87" s="16"/>
      <c r="Y87" s="16">
        <v>0.2824098977945132</v>
      </c>
      <c r="Z87" s="16"/>
      <c r="AA87" s="16">
        <v>0.18151815181518152</v>
      </c>
      <c r="AB87" s="16"/>
      <c r="AC87" s="16">
        <v>0.2</v>
      </c>
      <c r="AD87" s="16"/>
    </row>
    <row r="88" spans="1:30">
      <c r="A88" s="13">
        <v>24</v>
      </c>
      <c r="B88" s="14" t="s">
        <v>88</v>
      </c>
      <c r="C88" s="15">
        <v>0.1</v>
      </c>
      <c r="D88" s="15"/>
      <c r="E88" s="16">
        <v>0</v>
      </c>
      <c r="F88" s="15"/>
      <c r="G88" s="16">
        <v>0</v>
      </c>
      <c r="H88" s="15"/>
      <c r="I88" s="16">
        <v>0</v>
      </c>
      <c r="J88" s="15"/>
      <c r="K88" s="16">
        <v>0</v>
      </c>
      <c r="L88" s="15"/>
      <c r="M88" s="15">
        <v>0</v>
      </c>
      <c r="N88" s="15"/>
      <c r="O88" s="15"/>
      <c r="P88" s="15"/>
      <c r="Q88" s="16">
        <v>0.2</v>
      </c>
      <c r="R88" s="16"/>
      <c r="S88" s="16">
        <v>0</v>
      </c>
      <c r="T88" s="16"/>
      <c r="U88" s="16"/>
      <c r="V88" s="16"/>
      <c r="W88" s="16"/>
      <c r="X88" s="16"/>
      <c r="Y88" s="16">
        <v>0</v>
      </c>
      <c r="Z88" s="16"/>
      <c r="AA88" s="16"/>
      <c r="AB88" s="16"/>
      <c r="AC88" s="16"/>
      <c r="AD88" s="16"/>
    </row>
    <row r="89" spans="1:30">
      <c r="A89" s="13">
        <v>25</v>
      </c>
      <c r="B89" s="14" t="s">
        <v>89</v>
      </c>
      <c r="C89" s="15">
        <v>2.5</v>
      </c>
      <c r="D89" s="15"/>
      <c r="E89" s="15">
        <v>2.2000000000000002</v>
      </c>
      <c r="F89" s="15"/>
      <c r="G89" s="15">
        <v>0.7</v>
      </c>
      <c r="H89" s="15"/>
      <c r="I89" s="15">
        <v>1.2</v>
      </c>
      <c r="J89" s="15"/>
      <c r="K89" s="15">
        <v>2.4</v>
      </c>
      <c r="L89" s="15"/>
      <c r="M89" s="15">
        <v>0.7</v>
      </c>
      <c r="N89" s="15"/>
      <c r="O89" s="15">
        <v>0.7</v>
      </c>
      <c r="P89" s="15"/>
      <c r="Q89" s="16">
        <v>1.4</v>
      </c>
      <c r="R89" s="16"/>
      <c r="S89" s="16">
        <v>0.4</v>
      </c>
      <c r="T89" s="16"/>
      <c r="U89" s="16">
        <v>0.2</v>
      </c>
      <c r="V89" s="16"/>
      <c r="W89" s="16">
        <v>0.3</v>
      </c>
      <c r="X89" s="16"/>
      <c r="Y89" s="16">
        <v>0.21464345337467208</v>
      </c>
      <c r="Z89" s="16"/>
      <c r="AA89" s="16">
        <v>0.25625862408831068</v>
      </c>
      <c r="AB89" s="16"/>
      <c r="AC89" s="16">
        <v>0.3</v>
      </c>
      <c r="AD89" s="16"/>
    </row>
    <row r="90" spans="1:30">
      <c r="A90" s="13">
        <v>26</v>
      </c>
      <c r="B90" s="14" t="s">
        <v>90</v>
      </c>
      <c r="C90" s="15"/>
      <c r="D90" s="15">
        <v>8.3000000000000007</v>
      </c>
      <c r="E90" s="15">
        <v>1.8</v>
      </c>
      <c r="F90" s="15"/>
      <c r="G90" s="15"/>
      <c r="H90" s="15">
        <v>4.8</v>
      </c>
      <c r="I90" s="15"/>
      <c r="J90" s="15">
        <v>6.1</v>
      </c>
      <c r="K90" s="15"/>
      <c r="L90" s="15">
        <v>6.5</v>
      </c>
      <c r="M90" s="15"/>
      <c r="N90" s="15">
        <v>5.9</v>
      </c>
      <c r="O90" s="15"/>
      <c r="P90" s="15">
        <v>4.7</v>
      </c>
      <c r="Q90" s="16">
        <v>1.9</v>
      </c>
      <c r="R90" s="16"/>
      <c r="S90" s="16">
        <v>1.8</v>
      </c>
      <c r="T90" s="16"/>
      <c r="U90" s="16"/>
      <c r="V90" s="16">
        <v>3.2</v>
      </c>
      <c r="W90" s="16">
        <v>2.8</v>
      </c>
      <c r="X90" s="16"/>
      <c r="Y90" s="16">
        <v>1.2060828526481384</v>
      </c>
      <c r="Z90" s="16"/>
      <c r="AA90" s="16">
        <v>0.65046217048955846</v>
      </c>
      <c r="AB90" s="16"/>
      <c r="AC90" s="16">
        <v>2</v>
      </c>
      <c r="AD90" s="16"/>
    </row>
    <row r="91" spans="1:30">
      <c r="A91" s="13">
        <v>27</v>
      </c>
      <c r="B91" s="14" t="s">
        <v>91</v>
      </c>
      <c r="C91" s="15">
        <v>2.5</v>
      </c>
      <c r="D91" s="15"/>
      <c r="E91" s="15">
        <v>1.3</v>
      </c>
      <c r="F91" s="15"/>
      <c r="G91" s="15"/>
      <c r="H91" s="15">
        <v>5.4</v>
      </c>
      <c r="I91" s="15"/>
      <c r="J91" s="15">
        <v>3.8</v>
      </c>
      <c r="K91" s="15">
        <v>0.9</v>
      </c>
      <c r="L91" s="15"/>
      <c r="M91" s="15">
        <v>0.7</v>
      </c>
      <c r="N91" s="15"/>
      <c r="O91" s="15"/>
      <c r="P91" s="15">
        <v>5.4</v>
      </c>
      <c r="Q91" s="16"/>
      <c r="R91" s="16">
        <v>3.4</v>
      </c>
      <c r="S91" s="16">
        <v>0.6</v>
      </c>
      <c r="T91" s="16"/>
      <c r="U91" s="16">
        <v>1.9</v>
      </c>
      <c r="V91" s="16"/>
      <c r="W91" s="16">
        <v>2.2999999999999998</v>
      </c>
      <c r="X91" s="16"/>
      <c r="Y91" s="16">
        <v>1.3888888888888888</v>
      </c>
      <c r="Z91" s="16"/>
      <c r="AA91" s="16">
        <v>1.9131714495952907</v>
      </c>
      <c r="AB91" s="16"/>
      <c r="AC91" s="16">
        <v>2.1</v>
      </c>
      <c r="AD91" s="16"/>
    </row>
    <row r="92" spans="1:30">
      <c r="A92" s="13">
        <v>28</v>
      </c>
      <c r="B92" s="14" t="s">
        <v>92</v>
      </c>
      <c r="C92" s="15"/>
      <c r="D92" s="15">
        <v>3.3</v>
      </c>
      <c r="E92" s="15">
        <v>2.7</v>
      </c>
      <c r="F92" s="15"/>
      <c r="G92" s="15"/>
      <c r="H92" s="15">
        <v>5.0999999999999996</v>
      </c>
      <c r="I92" s="15"/>
      <c r="J92" s="15">
        <v>3.7</v>
      </c>
      <c r="K92" s="15"/>
      <c r="L92" s="15">
        <v>6.2</v>
      </c>
      <c r="M92" s="15">
        <v>1</v>
      </c>
      <c r="N92" s="15"/>
      <c r="O92" s="15">
        <v>1.8</v>
      </c>
      <c r="P92" s="15"/>
      <c r="Q92" s="16">
        <v>1.6</v>
      </c>
      <c r="R92" s="16"/>
      <c r="S92" s="16">
        <v>1.6</v>
      </c>
      <c r="T92" s="16"/>
      <c r="U92" s="16"/>
      <c r="V92" s="16">
        <v>7.8</v>
      </c>
      <c r="W92" s="16"/>
      <c r="X92" s="16">
        <v>3.3</v>
      </c>
      <c r="Y92" s="16"/>
      <c r="Z92" s="16">
        <v>3.9897510980966326</v>
      </c>
      <c r="AA92" s="16">
        <v>2.0590868397493285</v>
      </c>
      <c r="AB92" s="16"/>
      <c r="AC92" s="16"/>
      <c r="AD92" s="16">
        <v>3.6</v>
      </c>
    </row>
    <row r="93" spans="1:30">
      <c r="A93" s="13">
        <v>29</v>
      </c>
      <c r="B93" s="14" t="s">
        <v>93</v>
      </c>
      <c r="C93" s="16">
        <v>0</v>
      </c>
      <c r="D93" s="15"/>
      <c r="E93" s="16">
        <v>0</v>
      </c>
      <c r="F93" s="15"/>
      <c r="G93" s="15"/>
      <c r="H93" s="15">
        <v>13.1</v>
      </c>
      <c r="I93" s="15"/>
      <c r="J93" s="15">
        <v>4.5</v>
      </c>
      <c r="K93" s="15"/>
      <c r="L93" s="15">
        <v>3.1</v>
      </c>
      <c r="M93" s="15">
        <v>0.9</v>
      </c>
      <c r="N93" s="15"/>
      <c r="O93" s="15">
        <v>2.5</v>
      </c>
      <c r="P93" s="15"/>
      <c r="Q93" s="16">
        <v>0.9</v>
      </c>
      <c r="R93" s="16"/>
      <c r="S93" s="16">
        <v>0.4</v>
      </c>
      <c r="T93" s="16"/>
      <c r="U93" s="16">
        <v>0.9</v>
      </c>
      <c r="V93" s="16"/>
      <c r="W93" s="16">
        <v>0.5</v>
      </c>
      <c r="X93" s="16"/>
      <c r="Y93" s="16">
        <v>2.2222222222222223</v>
      </c>
      <c r="Z93" s="16"/>
      <c r="AA93" s="16">
        <v>0.63913470993117005</v>
      </c>
      <c r="AB93" s="16"/>
      <c r="AC93" s="16">
        <v>0.8</v>
      </c>
      <c r="AD93" s="16"/>
    </row>
    <row r="94" spans="1:30">
      <c r="A94" s="13">
        <v>30</v>
      </c>
      <c r="B94" s="14" t="s">
        <v>94</v>
      </c>
      <c r="C94" s="15">
        <v>0.4</v>
      </c>
      <c r="D94" s="15"/>
      <c r="E94" s="15">
        <v>0.4</v>
      </c>
      <c r="F94" s="15"/>
      <c r="G94" s="15">
        <v>0.1</v>
      </c>
      <c r="H94" s="15"/>
      <c r="I94" s="15">
        <v>0.1</v>
      </c>
      <c r="J94" s="15"/>
      <c r="K94" s="15">
        <v>0.4</v>
      </c>
      <c r="L94" s="15"/>
      <c r="M94" s="15">
        <v>0</v>
      </c>
      <c r="N94" s="15"/>
      <c r="O94" s="16">
        <v>0</v>
      </c>
      <c r="P94" s="15"/>
      <c r="Q94" s="16">
        <v>0.1</v>
      </c>
      <c r="R94" s="16"/>
      <c r="S94" s="16">
        <v>0</v>
      </c>
      <c r="T94" s="16"/>
      <c r="U94" s="16">
        <v>0</v>
      </c>
      <c r="V94" s="16"/>
      <c r="W94" s="16">
        <v>0</v>
      </c>
      <c r="X94" s="16"/>
      <c r="Y94" s="16">
        <v>0</v>
      </c>
      <c r="Z94" s="16"/>
      <c r="AA94" s="16">
        <v>0</v>
      </c>
      <c r="AB94" s="16"/>
      <c r="AC94" s="16">
        <v>0</v>
      </c>
      <c r="AD94" s="16"/>
    </row>
    <row r="95" spans="1:30">
      <c r="A95" s="13">
        <v>31</v>
      </c>
      <c r="B95" s="14" t="s">
        <v>95</v>
      </c>
      <c r="C95" s="15">
        <v>0.9</v>
      </c>
      <c r="D95" s="15"/>
      <c r="E95" s="15">
        <v>1.6</v>
      </c>
      <c r="F95" s="15"/>
      <c r="G95" s="16">
        <v>2</v>
      </c>
      <c r="H95" s="15"/>
      <c r="I95" s="15">
        <v>1.4</v>
      </c>
      <c r="J95" s="15"/>
      <c r="K95" s="16">
        <v>2</v>
      </c>
      <c r="L95" s="15"/>
      <c r="M95" s="15">
        <v>1.3</v>
      </c>
      <c r="N95" s="15"/>
      <c r="O95" s="15">
        <v>0.5</v>
      </c>
      <c r="P95" s="15"/>
      <c r="Q95" s="16">
        <v>0.5</v>
      </c>
      <c r="R95" s="16"/>
      <c r="S95" s="16">
        <v>0.2</v>
      </c>
      <c r="T95" s="16"/>
      <c r="U95" s="16">
        <v>0.2</v>
      </c>
      <c r="V95" s="16"/>
      <c r="W95" s="16">
        <v>0.2</v>
      </c>
      <c r="X95" s="16"/>
      <c r="Y95" s="16">
        <v>0.2</v>
      </c>
      <c r="Z95" s="16"/>
      <c r="AA95" s="16">
        <v>4.4326241134751775E-2</v>
      </c>
      <c r="AB95" s="16"/>
      <c r="AC95" s="16">
        <v>0</v>
      </c>
      <c r="AD95" s="16"/>
    </row>
    <row r="96" spans="1:30">
      <c r="A96" s="13">
        <v>32</v>
      </c>
      <c r="B96" s="14" t="s">
        <v>96</v>
      </c>
      <c r="C96" s="15">
        <v>0.3</v>
      </c>
      <c r="D96" s="15"/>
      <c r="E96" s="15">
        <v>0.2</v>
      </c>
      <c r="F96" s="15"/>
      <c r="G96" s="15">
        <v>0.7</v>
      </c>
      <c r="H96" s="15"/>
      <c r="I96" s="15">
        <v>1.1000000000000001</v>
      </c>
      <c r="J96" s="15"/>
      <c r="K96" s="15">
        <v>0.6</v>
      </c>
      <c r="L96" s="15"/>
      <c r="M96" s="15">
        <v>0.4</v>
      </c>
      <c r="N96" s="15"/>
      <c r="O96" s="16">
        <v>1</v>
      </c>
      <c r="P96" s="15"/>
      <c r="Q96" s="16">
        <v>0.8</v>
      </c>
      <c r="R96" s="16"/>
      <c r="S96" s="16">
        <v>0.5</v>
      </c>
      <c r="T96" s="16"/>
      <c r="U96" s="16">
        <v>0.5</v>
      </c>
      <c r="V96" s="16"/>
      <c r="W96" s="16">
        <v>0.2</v>
      </c>
      <c r="X96" s="16"/>
      <c r="Y96" s="16">
        <v>0.1433349259436216</v>
      </c>
      <c r="Z96" s="16"/>
      <c r="AA96" s="16">
        <v>0.90702947845804993</v>
      </c>
      <c r="AB96" s="16"/>
      <c r="AC96" s="16">
        <v>0.4</v>
      </c>
      <c r="AD96" s="16"/>
    </row>
    <row r="97" spans="1:40">
      <c r="A97" s="13">
        <v>33</v>
      </c>
      <c r="B97" s="14" t="s">
        <v>97</v>
      </c>
      <c r="C97" s="15">
        <v>0.3</v>
      </c>
      <c r="D97" s="15"/>
      <c r="E97" s="15">
        <v>0.4</v>
      </c>
      <c r="F97" s="15"/>
      <c r="G97" s="15">
        <v>0.2</v>
      </c>
      <c r="H97" s="15"/>
      <c r="I97" s="15">
        <v>0.3</v>
      </c>
      <c r="J97" s="15"/>
      <c r="K97" s="15">
        <v>0.1</v>
      </c>
      <c r="L97" s="15"/>
      <c r="M97" s="15">
        <v>0.2</v>
      </c>
      <c r="N97" s="15"/>
      <c r="O97" s="15">
        <v>0.2</v>
      </c>
      <c r="P97" s="15"/>
      <c r="Q97" s="16">
        <v>0.3</v>
      </c>
      <c r="R97" s="16"/>
      <c r="S97" s="16"/>
      <c r="T97" s="16"/>
      <c r="U97" s="16">
        <v>1.5</v>
      </c>
      <c r="V97" s="16"/>
      <c r="W97" s="16">
        <v>0.4</v>
      </c>
      <c r="X97" s="16"/>
      <c r="Y97" s="16">
        <v>0.4</v>
      </c>
      <c r="Z97" s="16"/>
      <c r="AA97" s="16">
        <v>0.11198208286674133</v>
      </c>
      <c r="AB97" s="16"/>
      <c r="AC97" s="16">
        <v>0</v>
      </c>
      <c r="AD97" s="16"/>
    </row>
    <row r="98" spans="1:40">
      <c r="A98" s="13">
        <v>34</v>
      </c>
      <c r="B98" s="14" t="s">
        <v>98</v>
      </c>
      <c r="C98" s="15"/>
      <c r="D98" s="15"/>
      <c r="E98" s="16">
        <v>0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6"/>
      <c r="R98" s="16"/>
      <c r="S98" s="16"/>
      <c r="T98" s="16"/>
      <c r="U98" s="16"/>
      <c r="V98" s="16"/>
      <c r="W98" s="16">
        <v>0</v>
      </c>
      <c r="X98" s="16"/>
      <c r="Y98" s="16"/>
      <c r="Z98" s="16"/>
      <c r="AA98" s="16"/>
      <c r="AB98" s="16"/>
      <c r="AC98" s="16"/>
      <c r="AD98" s="16"/>
    </row>
    <row r="99" spans="1:40">
      <c r="A99" s="13">
        <v>35</v>
      </c>
      <c r="B99" s="14" t="s">
        <v>99</v>
      </c>
      <c r="C99" s="15">
        <v>0.7</v>
      </c>
      <c r="D99" s="15"/>
      <c r="E99" s="15">
        <v>0.5</v>
      </c>
      <c r="F99" s="15"/>
      <c r="G99" s="16">
        <v>0</v>
      </c>
      <c r="H99" s="15"/>
      <c r="I99" s="15">
        <v>0.2</v>
      </c>
      <c r="J99" s="15"/>
      <c r="K99" s="15">
        <v>0.7</v>
      </c>
      <c r="L99" s="15"/>
      <c r="M99" s="15">
        <v>0.3</v>
      </c>
      <c r="N99" s="15"/>
      <c r="O99" s="16">
        <v>0</v>
      </c>
      <c r="P99" s="15"/>
      <c r="Q99" s="16">
        <v>0.1</v>
      </c>
      <c r="R99" s="16"/>
      <c r="S99" s="16">
        <v>0.2</v>
      </c>
      <c r="T99" s="16"/>
      <c r="U99" s="16">
        <v>0</v>
      </c>
      <c r="V99" s="16"/>
      <c r="W99" s="16">
        <v>0.1</v>
      </c>
      <c r="X99" s="16"/>
      <c r="Y99" s="16">
        <v>0.12091898428053205</v>
      </c>
      <c r="Z99" s="16"/>
      <c r="AA99" s="16">
        <v>0</v>
      </c>
      <c r="AB99" s="16"/>
      <c r="AC99" s="16">
        <v>0.1</v>
      </c>
      <c r="AD99" s="16"/>
    </row>
    <row r="100" spans="1:40">
      <c r="A100" s="13">
        <v>36</v>
      </c>
      <c r="B100" s="14" t="s">
        <v>100</v>
      </c>
      <c r="C100" s="15">
        <v>0.3</v>
      </c>
      <c r="D100" s="15"/>
      <c r="E100" s="15">
        <v>0.1</v>
      </c>
      <c r="F100" s="15"/>
      <c r="G100" s="16">
        <v>0</v>
      </c>
      <c r="H100" s="15"/>
      <c r="I100" s="15">
        <v>0.1</v>
      </c>
      <c r="J100" s="15"/>
      <c r="K100" s="15">
        <v>0.6</v>
      </c>
      <c r="L100" s="15"/>
      <c r="M100" s="15">
        <v>1</v>
      </c>
      <c r="N100" s="15"/>
      <c r="O100" s="15">
        <v>1.8</v>
      </c>
      <c r="P100" s="15"/>
      <c r="Q100" s="16">
        <v>0.1</v>
      </c>
      <c r="R100" s="16"/>
      <c r="S100" s="16">
        <v>0.7</v>
      </c>
      <c r="T100" s="16"/>
      <c r="U100" s="16"/>
      <c r="V100" s="16"/>
      <c r="W100" s="16">
        <v>1.1000000000000001</v>
      </c>
      <c r="X100" s="16"/>
      <c r="Y100" s="16">
        <v>0.67340067340067344</v>
      </c>
      <c r="Z100" s="16"/>
      <c r="AA100" s="16">
        <v>0.1984126984126984</v>
      </c>
      <c r="AB100" s="16"/>
      <c r="AC100" s="16">
        <v>0</v>
      </c>
      <c r="AD100" s="16"/>
    </row>
    <row r="101" spans="1:40">
      <c r="A101" s="13">
        <v>37</v>
      </c>
      <c r="B101" s="14" t="s">
        <v>101</v>
      </c>
      <c r="C101" s="16">
        <v>1</v>
      </c>
      <c r="D101" s="15"/>
      <c r="E101" s="15">
        <v>0.9</v>
      </c>
      <c r="F101" s="15"/>
      <c r="G101" s="15">
        <v>0.7</v>
      </c>
      <c r="H101" s="15"/>
      <c r="I101" s="15">
        <v>0.3</v>
      </c>
      <c r="J101" s="15"/>
      <c r="K101" s="15">
        <v>0.5</v>
      </c>
      <c r="L101" s="15"/>
      <c r="M101" s="15">
        <v>0.5</v>
      </c>
      <c r="N101" s="15"/>
      <c r="O101" s="15">
        <v>0.5</v>
      </c>
      <c r="P101" s="15"/>
      <c r="Q101" s="16">
        <v>0.5</v>
      </c>
      <c r="R101" s="16"/>
      <c r="S101" s="16">
        <v>0.5</v>
      </c>
      <c r="T101" s="16"/>
      <c r="U101" s="16">
        <v>0.4</v>
      </c>
      <c r="V101" s="16"/>
      <c r="W101" s="16">
        <v>0.5</v>
      </c>
      <c r="X101" s="16"/>
      <c r="Y101" s="16">
        <v>0.15376729882111737</v>
      </c>
      <c r="Z101" s="16"/>
      <c r="AA101" s="16">
        <v>0.471976401179941</v>
      </c>
      <c r="AB101" s="16"/>
      <c r="AC101" s="16">
        <v>1.2</v>
      </c>
      <c r="AD101" s="16"/>
    </row>
    <row r="102" spans="1:40">
      <c r="A102" s="13">
        <v>38</v>
      </c>
      <c r="B102" s="14" t="s">
        <v>102</v>
      </c>
      <c r="C102" s="15"/>
      <c r="D102" s="15"/>
      <c r="E102" s="16">
        <v>0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6"/>
      <c r="R102" s="16"/>
      <c r="S102" s="16"/>
      <c r="T102" s="16"/>
      <c r="U102" s="16"/>
      <c r="V102" s="16"/>
      <c r="W102" s="16">
        <v>0</v>
      </c>
      <c r="X102" s="16"/>
      <c r="Y102" s="16"/>
      <c r="Z102" s="16"/>
      <c r="AA102" s="16"/>
      <c r="AB102" s="16"/>
      <c r="AC102" s="16"/>
      <c r="AD102" s="16"/>
    </row>
    <row r="103" spans="1:40">
      <c r="A103" s="13">
        <v>39</v>
      </c>
      <c r="B103" s="14" t="s">
        <v>103</v>
      </c>
      <c r="C103" s="15"/>
      <c r="D103" s="15">
        <v>9.5</v>
      </c>
      <c r="E103" s="15">
        <v>1.4</v>
      </c>
      <c r="F103" s="15"/>
      <c r="G103" s="15"/>
      <c r="H103" s="15">
        <v>4.7</v>
      </c>
      <c r="I103" s="15"/>
      <c r="J103" s="15">
        <v>7.7</v>
      </c>
      <c r="K103" s="15"/>
      <c r="L103" s="15">
        <v>3.1</v>
      </c>
      <c r="M103" s="15"/>
      <c r="N103" s="15">
        <v>3.2</v>
      </c>
      <c r="O103" s="15">
        <v>2.4</v>
      </c>
      <c r="P103" s="15"/>
      <c r="Q103" s="16">
        <v>1</v>
      </c>
      <c r="R103" s="16"/>
      <c r="S103" s="16">
        <v>1.2</v>
      </c>
      <c r="T103" s="16"/>
      <c r="U103" s="16">
        <v>2.4</v>
      </c>
      <c r="V103" s="16"/>
      <c r="W103" s="16">
        <v>2</v>
      </c>
      <c r="X103" s="16"/>
      <c r="Y103" s="16">
        <v>2.7803521779425395</v>
      </c>
      <c r="Z103" s="16"/>
      <c r="AA103" s="16">
        <v>0.99191770756796482</v>
      </c>
      <c r="AB103" s="16"/>
      <c r="AC103" s="16">
        <v>1.2</v>
      </c>
      <c r="AD103" s="16"/>
    </row>
    <row r="104" spans="1:40">
      <c r="A104" s="13">
        <v>40</v>
      </c>
      <c r="B104" s="14" t="s">
        <v>104</v>
      </c>
      <c r="C104" s="16">
        <v>1</v>
      </c>
      <c r="D104" s="15"/>
      <c r="E104" s="15">
        <v>1.2</v>
      </c>
      <c r="F104" s="15"/>
      <c r="G104" s="15">
        <v>0.6</v>
      </c>
      <c r="H104" s="15"/>
      <c r="I104" s="15">
        <v>0.4</v>
      </c>
      <c r="J104" s="15"/>
      <c r="K104" s="15">
        <v>0.8</v>
      </c>
      <c r="L104" s="15"/>
      <c r="M104" s="15">
        <v>1.1000000000000001</v>
      </c>
      <c r="N104" s="15"/>
      <c r="O104" s="15">
        <v>1.5</v>
      </c>
      <c r="P104" s="15"/>
      <c r="Q104" s="16">
        <v>0.9</v>
      </c>
      <c r="R104" s="16"/>
      <c r="S104" s="16">
        <v>0.9</v>
      </c>
      <c r="T104" s="16"/>
      <c r="U104" s="16">
        <v>1.6</v>
      </c>
      <c r="V104" s="16"/>
      <c r="W104" s="16">
        <v>1.1000000000000001</v>
      </c>
      <c r="X104" s="16"/>
      <c r="Y104" s="16">
        <v>0.76520338300443014</v>
      </c>
      <c r="Z104" s="16"/>
      <c r="AA104" s="16">
        <v>0.77021822849807453</v>
      </c>
      <c r="AB104" s="16"/>
      <c r="AC104" s="16">
        <v>0.3</v>
      </c>
      <c r="AD104" s="16"/>
    </row>
    <row r="105" spans="1:40">
      <c r="A105" s="13">
        <v>41</v>
      </c>
      <c r="B105" s="14" t="s">
        <v>105</v>
      </c>
      <c r="C105" s="15">
        <v>0.7</v>
      </c>
      <c r="D105" s="15"/>
      <c r="E105" s="15">
        <v>0.9</v>
      </c>
      <c r="F105" s="15"/>
      <c r="G105" s="15">
        <v>0.9</v>
      </c>
      <c r="H105" s="15"/>
      <c r="I105" s="15">
        <v>0.9</v>
      </c>
      <c r="J105" s="15"/>
      <c r="K105" s="15">
        <v>0.8</v>
      </c>
      <c r="L105" s="15"/>
      <c r="M105" s="15">
        <v>1.9</v>
      </c>
      <c r="N105" s="15"/>
      <c r="O105" s="15">
        <v>0.9</v>
      </c>
      <c r="P105" s="15"/>
      <c r="Q105" s="16">
        <v>0.6</v>
      </c>
      <c r="R105" s="16"/>
      <c r="S105" s="16">
        <v>0.4</v>
      </c>
      <c r="T105" s="16"/>
      <c r="U105" s="16">
        <v>0.3</v>
      </c>
      <c r="V105" s="16"/>
      <c r="W105" s="16">
        <v>0.6</v>
      </c>
      <c r="X105" s="16"/>
      <c r="Y105" s="16">
        <v>0.1</v>
      </c>
      <c r="Z105" s="16"/>
      <c r="AA105" s="16">
        <v>8.2827167310877969E-2</v>
      </c>
      <c r="AB105" s="16"/>
      <c r="AC105" s="16">
        <v>0</v>
      </c>
      <c r="AD105" s="16"/>
    </row>
    <row r="106" spans="1:40">
      <c r="A106" s="21" t="s">
        <v>106</v>
      </c>
      <c r="B106" s="21"/>
      <c r="C106" s="18">
        <v>15</v>
      </c>
      <c r="D106" s="18">
        <v>3</v>
      </c>
      <c r="E106" s="18">
        <v>17</v>
      </c>
      <c r="F106" s="18">
        <v>3</v>
      </c>
      <c r="G106" s="18">
        <v>17</v>
      </c>
      <c r="H106" s="18">
        <v>2</v>
      </c>
      <c r="I106" s="18">
        <v>18</v>
      </c>
      <c r="J106" s="18">
        <v>2</v>
      </c>
      <c r="K106" s="18">
        <v>18</v>
      </c>
      <c r="L106" s="18">
        <v>3</v>
      </c>
      <c r="M106" s="18">
        <v>14</v>
      </c>
      <c r="N106" s="18">
        <v>3</v>
      </c>
      <c r="O106" s="18">
        <v>16</v>
      </c>
      <c r="P106" s="18">
        <v>0</v>
      </c>
      <c r="Q106" s="18">
        <v>20</v>
      </c>
      <c r="R106" s="18"/>
      <c r="S106" s="18">
        <v>18</v>
      </c>
      <c r="T106" s="18"/>
      <c r="U106" s="18">
        <f t="shared" ref="U106:Z106" si="10">COUNT(U107:U127)</f>
        <v>14</v>
      </c>
      <c r="V106" s="18">
        <f t="shared" si="10"/>
        <v>3</v>
      </c>
      <c r="W106" s="18">
        <f t="shared" si="10"/>
        <v>14</v>
      </c>
      <c r="X106" s="18">
        <f t="shared" si="10"/>
        <v>7</v>
      </c>
      <c r="Y106" s="18">
        <f t="shared" si="10"/>
        <v>16</v>
      </c>
      <c r="Z106" s="18">
        <f t="shared" si="10"/>
        <v>3</v>
      </c>
      <c r="AA106" s="18">
        <f>COUNT(AA107:AA127)</f>
        <v>15</v>
      </c>
      <c r="AB106" s="18">
        <f>COUNT(AB107:AB127)</f>
        <v>5</v>
      </c>
      <c r="AC106" s="18">
        <f>COUNT(AC107:AC127)</f>
        <v>17</v>
      </c>
      <c r="AD106" s="18">
        <f>COUNT(AD107:AD127)</f>
        <v>4</v>
      </c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</row>
    <row r="107" spans="1:40">
      <c r="A107" s="13">
        <v>1</v>
      </c>
      <c r="B107" s="14" t="s">
        <v>107</v>
      </c>
      <c r="C107" s="15">
        <v>0.8</v>
      </c>
      <c r="D107" s="15"/>
      <c r="E107" s="15">
        <v>0.3</v>
      </c>
      <c r="F107" s="15"/>
      <c r="G107" s="15">
        <v>0.5</v>
      </c>
      <c r="H107" s="15"/>
      <c r="I107" s="15">
        <v>0.3</v>
      </c>
      <c r="J107" s="15"/>
      <c r="K107" s="15">
        <v>0.2</v>
      </c>
      <c r="L107" s="15"/>
      <c r="M107" s="15">
        <v>0.2</v>
      </c>
      <c r="N107" s="15"/>
      <c r="O107" s="15">
        <v>0.2</v>
      </c>
      <c r="P107" s="15"/>
      <c r="Q107" s="16">
        <v>0.5</v>
      </c>
      <c r="R107" s="15"/>
      <c r="S107" s="16">
        <v>0.3</v>
      </c>
      <c r="T107" s="15"/>
      <c r="U107" s="16">
        <v>0.7</v>
      </c>
      <c r="V107" s="15"/>
      <c r="W107" s="16">
        <v>0.9</v>
      </c>
      <c r="X107" s="15"/>
      <c r="Y107" s="16">
        <v>0.62068965517241381</v>
      </c>
      <c r="Z107" s="15"/>
      <c r="AA107" s="16">
        <v>0.22163120567375888</v>
      </c>
      <c r="AB107" s="15"/>
      <c r="AC107" s="16">
        <v>0.75519194461925743</v>
      </c>
      <c r="AD107" s="15"/>
    </row>
    <row r="108" spans="1:40">
      <c r="A108" s="13">
        <v>2</v>
      </c>
      <c r="B108" s="14" t="s">
        <v>108</v>
      </c>
      <c r="C108" s="15">
        <v>0.6</v>
      </c>
      <c r="D108" s="15"/>
      <c r="E108" s="15">
        <v>0.5</v>
      </c>
      <c r="F108" s="15"/>
      <c r="G108" s="15">
        <v>0</v>
      </c>
      <c r="H108" s="15"/>
      <c r="I108" s="15">
        <v>0.6</v>
      </c>
      <c r="J108" s="15"/>
      <c r="K108" s="15">
        <v>0.9</v>
      </c>
      <c r="L108" s="15"/>
      <c r="M108" s="15">
        <v>0.2</v>
      </c>
      <c r="N108" s="15"/>
      <c r="O108" s="15">
        <v>0.5</v>
      </c>
      <c r="P108" s="15"/>
      <c r="Q108" s="16">
        <v>0.6</v>
      </c>
      <c r="R108" s="15"/>
      <c r="S108" s="16">
        <v>0.6</v>
      </c>
      <c r="T108" s="15"/>
      <c r="U108" s="16">
        <v>0.4</v>
      </c>
      <c r="V108" s="15"/>
      <c r="W108" s="16">
        <v>0.5</v>
      </c>
      <c r="X108" s="15"/>
      <c r="Y108" s="16">
        <v>0.51502145922746778</v>
      </c>
      <c r="Z108" s="15"/>
      <c r="AA108" s="16">
        <v>1.1363636363636365</v>
      </c>
      <c r="AB108" s="15"/>
      <c r="AC108" s="16">
        <v>1.1494252873563218</v>
      </c>
      <c r="AD108" s="15"/>
    </row>
    <row r="109" spans="1:40">
      <c r="A109" s="13">
        <v>3</v>
      </c>
      <c r="B109" s="14" t="s">
        <v>109</v>
      </c>
      <c r="C109" s="15"/>
      <c r="D109" s="16">
        <v>4</v>
      </c>
      <c r="E109" s="15">
        <v>2.9</v>
      </c>
      <c r="F109" s="15"/>
      <c r="G109" s="15">
        <v>1.9</v>
      </c>
      <c r="H109" s="15"/>
      <c r="I109" s="15">
        <v>1.8</v>
      </c>
      <c r="J109" s="15"/>
      <c r="K109" s="15">
        <v>1.5</v>
      </c>
      <c r="L109" s="15"/>
      <c r="M109" s="15"/>
      <c r="N109" s="15"/>
      <c r="O109" s="16">
        <v>2</v>
      </c>
      <c r="P109" s="15"/>
      <c r="Q109" s="16">
        <v>1.9</v>
      </c>
      <c r="R109" s="15"/>
      <c r="S109" s="16">
        <v>1.2</v>
      </c>
      <c r="T109" s="15"/>
      <c r="U109" s="16">
        <v>0.3</v>
      </c>
      <c r="V109" s="15"/>
      <c r="W109" s="16"/>
      <c r="X109" s="15">
        <v>4.2</v>
      </c>
      <c r="Y109" s="16"/>
      <c r="Z109" s="16">
        <v>5.7535046728971961</v>
      </c>
      <c r="AA109" s="16"/>
      <c r="AB109" s="16">
        <v>3.564356435643564</v>
      </c>
      <c r="AC109" s="16"/>
      <c r="AD109" s="16">
        <v>3.8273253226524258</v>
      </c>
    </row>
    <row r="110" spans="1:40">
      <c r="A110" s="13">
        <v>4</v>
      </c>
      <c r="B110" s="14" t="s">
        <v>110</v>
      </c>
      <c r="C110" s="15">
        <v>0.5</v>
      </c>
      <c r="D110" s="15"/>
      <c r="E110" s="15">
        <v>0.5</v>
      </c>
      <c r="F110" s="15"/>
      <c r="G110" s="15">
        <v>0.9</v>
      </c>
      <c r="H110" s="15"/>
      <c r="I110" s="16">
        <v>1</v>
      </c>
      <c r="J110" s="15"/>
      <c r="K110" s="15">
        <v>2.7</v>
      </c>
      <c r="L110" s="15"/>
      <c r="M110" s="15"/>
      <c r="N110" s="15">
        <v>3.2</v>
      </c>
      <c r="O110" s="15">
        <v>0.6</v>
      </c>
      <c r="P110" s="15"/>
      <c r="Q110" s="16">
        <v>1.1000000000000001</v>
      </c>
      <c r="R110" s="15"/>
      <c r="S110" s="16">
        <v>0.6</v>
      </c>
      <c r="T110" s="15"/>
      <c r="U110" s="16">
        <v>0.8</v>
      </c>
      <c r="V110" s="15"/>
      <c r="W110" s="16">
        <v>0.9</v>
      </c>
      <c r="X110" s="15"/>
      <c r="Y110" s="16">
        <v>0.59825126553152319</v>
      </c>
      <c r="Z110" s="15"/>
      <c r="AA110" s="16">
        <v>0.3778932451582428</v>
      </c>
      <c r="AB110" s="15"/>
      <c r="AC110" s="16">
        <v>0.8767881864328565</v>
      </c>
      <c r="AD110" s="15"/>
    </row>
    <row r="111" spans="1:40">
      <c r="A111" s="13">
        <v>5</v>
      </c>
      <c r="B111" s="14" t="s">
        <v>111</v>
      </c>
      <c r="C111" s="15"/>
      <c r="D111" s="15"/>
      <c r="E111" s="15">
        <v>0.6</v>
      </c>
      <c r="F111" s="15"/>
      <c r="G111" s="15"/>
      <c r="H111" s="15"/>
      <c r="I111" s="15">
        <v>0.1</v>
      </c>
      <c r="J111" s="15"/>
      <c r="K111" s="15"/>
      <c r="L111" s="16">
        <v>0</v>
      </c>
      <c r="M111" s="15">
        <v>0.9</v>
      </c>
      <c r="N111" s="15"/>
      <c r="O111" s="15"/>
      <c r="P111" s="15"/>
      <c r="Q111" s="16">
        <v>0</v>
      </c>
      <c r="R111" s="15"/>
      <c r="S111" s="16"/>
      <c r="T111" s="15"/>
      <c r="U111" s="16"/>
      <c r="V111" s="15"/>
      <c r="W111" s="16">
        <v>0</v>
      </c>
      <c r="X111" s="15"/>
      <c r="Y111" s="16">
        <v>0.36968576709796674</v>
      </c>
      <c r="Z111" s="15"/>
      <c r="AA111" s="16">
        <v>0</v>
      </c>
      <c r="AB111" s="15"/>
      <c r="AC111" s="16">
        <v>1.6574585635359116</v>
      </c>
      <c r="AD111" s="15"/>
    </row>
    <row r="112" spans="1:40">
      <c r="A112" s="13">
        <v>6</v>
      </c>
      <c r="B112" s="14" t="s">
        <v>112</v>
      </c>
      <c r="C112" s="15"/>
      <c r="D112" s="15">
        <v>7.5</v>
      </c>
      <c r="E112" s="15"/>
      <c r="F112" s="15">
        <v>9.6</v>
      </c>
      <c r="G112" s="15"/>
      <c r="H112" s="16">
        <v>4</v>
      </c>
      <c r="I112" s="15"/>
      <c r="J112" s="15">
        <v>4.7</v>
      </c>
      <c r="K112" s="15"/>
      <c r="L112" s="15">
        <v>3.5</v>
      </c>
      <c r="M112" s="15">
        <v>0.6</v>
      </c>
      <c r="N112" s="15"/>
      <c r="O112" s="15">
        <v>1.5</v>
      </c>
      <c r="P112" s="15"/>
      <c r="Q112" s="16">
        <v>2</v>
      </c>
      <c r="R112" s="15"/>
      <c r="S112" s="16">
        <v>1.6</v>
      </c>
      <c r="T112" s="15"/>
      <c r="U112" s="16">
        <v>1</v>
      </c>
      <c r="V112" s="15"/>
      <c r="W112" s="16"/>
      <c r="X112" s="15">
        <v>6.1</v>
      </c>
      <c r="Y112" s="16">
        <v>2.4102311854402361</v>
      </c>
      <c r="Z112" s="15"/>
      <c r="AA112" s="16">
        <v>2.4267534773601658</v>
      </c>
      <c r="AB112" s="15"/>
      <c r="AC112" s="16">
        <v>2.7143738433066007</v>
      </c>
      <c r="AD112" s="15"/>
    </row>
    <row r="113" spans="1:40">
      <c r="A113" s="13">
        <v>7</v>
      </c>
      <c r="B113" s="14" t="s">
        <v>113</v>
      </c>
      <c r="C113" s="15"/>
      <c r="D113" s="15"/>
      <c r="E113" s="15">
        <v>2.6</v>
      </c>
      <c r="F113" s="15"/>
      <c r="G113" s="15"/>
      <c r="H113" s="15">
        <v>4.2</v>
      </c>
      <c r="I113" s="15">
        <v>2.6</v>
      </c>
      <c r="J113" s="15"/>
      <c r="K113" s="15">
        <v>2.9</v>
      </c>
      <c r="L113" s="15"/>
      <c r="M113" s="15"/>
      <c r="N113" s="15"/>
      <c r="O113" s="15">
        <v>1.3</v>
      </c>
      <c r="P113" s="15"/>
      <c r="Q113" s="16">
        <v>0.6</v>
      </c>
      <c r="R113" s="15"/>
      <c r="S113" s="16">
        <v>0</v>
      </c>
      <c r="T113" s="15"/>
      <c r="U113" s="16"/>
      <c r="V113" s="15">
        <v>6.6</v>
      </c>
      <c r="W113" s="16"/>
      <c r="X113" s="15">
        <v>24.2</v>
      </c>
      <c r="Y113" s="16"/>
      <c r="Z113" s="15"/>
      <c r="AA113" s="16"/>
      <c r="AB113" s="16">
        <v>3.6211699164345403</v>
      </c>
      <c r="AC113" s="16">
        <v>7.7519379844961236</v>
      </c>
      <c r="AD113" s="16"/>
    </row>
    <row r="114" spans="1:40">
      <c r="A114" s="13">
        <v>8</v>
      </c>
      <c r="B114" s="14" t="s">
        <v>114</v>
      </c>
      <c r="C114" s="15">
        <v>1.2</v>
      </c>
      <c r="D114" s="15"/>
      <c r="E114" s="15">
        <v>0.6</v>
      </c>
      <c r="F114" s="15"/>
      <c r="G114" s="15">
        <v>0.4</v>
      </c>
      <c r="H114" s="15"/>
      <c r="I114" s="15">
        <v>1.1000000000000001</v>
      </c>
      <c r="J114" s="15"/>
      <c r="K114" s="15">
        <v>1.1000000000000001</v>
      </c>
      <c r="L114" s="15"/>
      <c r="M114" s="15">
        <v>0.9</v>
      </c>
      <c r="N114" s="15"/>
      <c r="O114" s="15">
        <v>1.1000000000000001</v>
      </c>
      <c r="P114" s="15"/>
      <c r="Q114" s="16">
        <v>0.9</v>
      </c>
      <c r="R114" s="15"/>
      <c r="S114" s="16">
        <v>0.7</v>
      </c>
      <c r="T114" s="15"/>
      <c r="U114" s="16">
        <v>0.6</v>
      </c>
      <c r="V114" s="15"/>
      <c r="W114" s="16">
        <v>1.2</v>
      </c>
      <c r="X114" s="15"/>
      <c r="Y114" s="16">
        <v>1.6548463356973995</v>
      </c>
      <c r="Z114" s="15"/>
      <c r="AA114" s="16">
        <v>1.2744651797906235</v>
      </c>
      <c r="AB114" s="15"/>
      <c r="AC114" s="16">
        <v>1.2595057034220531</v>
      </c>
      <c r="AD114" s="15"/>
    </row>
    <row r="115" spans="1:40">
      <c r="A115" s="13">
        <v>9</v>
      </c>
      <c r="B115" s="14" t="s">
        <v>115</v>
      </c>
      <c r="C115" s="15">
        <v>0.4</v>
      </c>
      <c r="D115" s="15"/>
      <c r="E115" s="15"/>
      <c r="F115" s="15"/>
      <c r="G115" s="15">
        <v>0.6</v>
      </c>
      <c r="H115" s="15"/>
      <c r="I115" s="15"/>
      <c r="J115" s="15"/>
      <c r="K115" s="16">
        <v>0</v>
      </c>
      <c r="L115" s="15"/>
      <c r="M115" s="15"/>
      <c r="N115" s="15"/>
      <c r="O115" s="15"/>
      <c r="P115" s="15"/>
      <c r="Q115" s="16"/>
      <c r="R115" s="15"/>
      <c r="S115" s="16"/>
      <c r="T115" s="15"/>
      <c r="U115" s="16"/>
      <c r="V115" s="15"/>
      <c r="W115" s="16">
        <v>0</v>
      </c>
      <c r="X115" s="15"/>
      <c r="Y115" s="16"/>
      <c r="Z115" s="15"/>
      <c r="AA115" s="16">
        <v>0</v>
      </c>
      <c r="AB115" s="15"/>
      <c r="AC115" s="16">
        <v>1.0833333333333335</v>
      </c>
      <c r="AD115" s="15"/>
    </row>
    <row r="116" spans="1:40">
      <c r="A116" s="13">
        <v>10</v>
      </c>
      <c r="B116" s="14" t="s">
        <v>116</v>
      </c>
      <c r="C116" s="15"/>
      <c r="D116" s="15">
        <v>7.5</v>
      </c>
      <c r="E116" s="15">
        <v>0.5</v>
      </c>
      <c r="F116" s="15"/>
      <c r="G116" s="16">
        <v>1</v>
      </c>
      <c r="H116" s="15"/>
      <c r="I116" s="15">
        <v>2.6</v>
      </c>
      <c r="J116" s="15"/>
      <c r="K116" s="15">
        <v>0.5</v>
      </c>
      <c r="L116" s="15"/>
      <c r="M116" s="15">
        <v>1.5</v>
      </c>
      <c r="N116" s="15"/>
      <c r="O116" s="16">
        <v>0</v>
      </c>
      <c r="P116" s="15"/>
      <c r="Q116" s="16">
        <v>1</v>
      </c>
      <c r="R116" s="15"/>
      <c r="S116" s="16"/>
      <c r="T116" s="15"/>
      <c r="U116" s="16">
        <v>0.2</v>
      </c>
      <c r="V116" s="15"/>
      <c r="W116" s="16">
        <v>0.2</v>
      </c>
      <c r="X116" s="15"/>
      <c r="Y116" s="16">
        <v>1.2320328542094456</v>
      </c>
      <c r="Z116" s="15"/>
      <c r="AA116" s="16">
        <v>0.69444444444444442</v>
      </c>
      <c r="AB116" s="15"/>
      <c r="AC116" s="16">
        <v>0.34965034965034963</v>
      </c>
      <c r="AD116" s="15"/>
    </row>
    <row r="117" spans="1:40">
      <c r="A117" s="13">
        <v>11</v>
      </c>
      <c r="B117" s="14" t="s">
        <v>117</v>
      </c>
      <c r="C117" s="15">
        <v>0.3</v>
      </c>
      <c r="D117" s="15"/>
      <c r="E117" s="15"/>
      <c r="F117" s="15">
        <v>4.2</v>
      </c>
      <c r="G117" s="15">
        <v>0.8</v>
      </c>
      <c r="H117" s="15"/>
      <c r="I117" s="15">
        <v>0.4</v>
      </c>
      <c r="J117" s="15"/>
      <c r="K117" s="15">
        <v>1.9</v>
      </c>
      <c r="L117" s="15"/>
      <c r="M117" s="15"/>
      <c r="N117" s="15">
        <v>15.4</v>
      </c>
      <c r="O117" s="15"/>
      <c r="P117" s="15"/>
      <c r="Q117" s="16">
        <v>1.8</v>
      </c>
      <c r="R117" s="15"/>
      <c r="S117" s="16">
        <v>1.8</v>
      </c>
      <c r="T117" s="15"/>
      <c r="U117" s="16"/>
      <c r="V117" s="15"/>
      <c r="W117" s="16"/>
      <c r="X117" s="15">
        <v>11.5</v>
      </c>
      <c r="Y117" s="16">
        <v>0.87976539589442826</v>
      </c>
      <c r="Z117" s="15"/>
      <c r="AA117" s="16">
        <v>0</v>
      </c>
      <c r="AB117" s="15"/>
      <c r="AC117" s="16"/>
      <c r="AD117" s="16">
        <v>4.3850267379679151</v>
      </c>
    </row>
    <row r="118" spans="1:40">
      <c r="A118" s="13">
        <v>12</v>
      </c>
      <c r="B118" s="14" t="s">
        <v>118</v>
      </c>
      <c r="C118" s="15">
        <v>2.9</v>
      </c>
      <c r="D118" s="15"/>
      <c r="E118" s="15">
        <v>1.1000000000000001</v>
      </c>
      <c r="F118" s="15"/>
      <c r="G118" s="15">
        <v>1.2</v>
      </c>
      <c r="H118" s="15"/>
      <c r="I118" s="15">
        <v>1.6</v>
      </c>
      <c r="J118" s="15"/>
      <c r="K118" s="15">
        <v>0.6</v>
      </c>
      <c r="L118" s="15"/>
      <c r="M118" s="15"/>
      <c r="N118" s="15">
        <v>3.3</v>
      </c>
      <c r="O118" s="16">
        <v>1</v>
      </c>
      <c r="P118" s="15"/>
      <c r="Q118" s="16">
        <v>1.7</v>
      </c>
      <c r="R118" s="15"/>
      <c r="S118" s="16">
        <v>0.8</v>
      </c>
      <c r="T118" s="15"/>
      <c r="U118" s="16"/>
      <c r="V118" s="15">
        <v>3.2</v>
      </c>
      <c r="W118" s="16">
        <v>1.7</v>
      </c>
      <c r="X118" s="15"/>
      <c r="Y118" s="16">
        <v>2.2669383596535915</v>
      </c>
      <c r="Z118" s="15"/>
      <c r="AA118" s="16">
        <v>1.3597328244274809</v>
      </c>
      <c r="AB118" s="15"/>
      <c r="AC118" s="16">
        <v>1.3172966781214204</v>
      </c>
      <c r="AD118" s="15"/>
    </row>
    <row r="119" spans="1:40">
      <c r="A119" s="13">
        <v>13</v>
      </c>
      <c r="B119" s="14" t="s">
        <v>119</v>
      </c>
      <c r="C119" s="15">
        <v>1.3</v>
      </c>
      <c r="D119" s="15"/>
      <c r="E119" s="15">
        <v>0.7</v>
      </c>
      <c r="F119" s="15"/>
      <c r="G119" s="15">
        <v>0.6</v>
      </c>
      <c r="H119" s="15"/>
      <c r="I119" s="15">
        <v>0.8</v>
      </c>
      <c r="J119" s="15"/>
      <c r="K119" s="15">
        <v>0.9</v>
      </c>
      <c r="L119" s="15"/>
      <c r="M119" s="15">
        <v>0.9</v>
      </c>
      <c r="N119" s="15"/>
      <c r="O119" s="15">
        <v>1.6</v>
      </c>
      <c r="P119" s="15"/>
      <c r="Q119" s="16">
        <v>1.4</v>
      </c>
      <c r="R119" s="15"/>
      <c r="S119" s="16">
        <v>0.6</v>
      </c>
      <c r="T119" s="15"/>
      <c r="U119" s="16">
        <v>0.6</v>
      </c>
      <c r="V119" s="15"/>
      <c r="W119" s="16">
        <v>2.2999999999999998</v>
      </c>
      <c r="X119" s="15"/>
      <c r="Y119" s="16"/>
      <c r="Z119" s="16">
        <v>3.5067873303167421</v>
      </c>
      <c r="AA119" s="16"/>
      <c r="AB119" s="16">
        <v>5.8398950131233596</v>
      </c>
      <c r="AC119" s="16">
        <v>2.0714655618850339</v>
      </c>
      <c r="AD119" s="16"/>
    </row>
    <row r="120" spans="1:40">
      <c r="A120" s="13">
        <v>14</v>
      </c>
      <c r="B120" s="14" t="s">
        <v>120</v>
      </c>
      <c r="C120" s="15">
        <v>1.3</v>
      </c>
      <c r="D120" s="15"/>
      <c r="E120" s="15">
        <v>1.4</v>
      </c>
      <c r="F120" s="15"/>
      <c r="G120" s="16">
        <v>1</v>
      </c>
      <c r="H120" s="15"/>
      <c r="I120" s="15">
        <v>1.1000000000000001</v>
      </c>
      <c r="J120" s="15"/>
      <c r="K120" s="15">
        <v>1.8</v>
      </c>
      <c r="L120" s="15"/>
      <c r="M120" s="15">
        <v>0.2</v>
      </c>
      <c r="N120" s="15"/>
      <c r="O120" s="15">
        <v>1.4</v>
      </c>
      <c r="P120" s="15"/>
      <c r="Q120" s="16">
        <v>0.9</v>
      </c>
      <c r="R120" s="15"/>
      <c r="S120" s="16">
        <v>1.1000000000000001</v>
      </c>
      <c r="T120" s="15"/>
      <c r="U120" s="16">
        <v>2.5</v>
      </c>
      <c r="V120" s="15"/>
      <c r="W120" s="16"/>
      <c r="X120" s="15">
        <v>8.5</v>
      </c>
      <c r="Y120" s="16">
        <v>2.3224308109154248</v>
      </c>
      <c r="Z120" s="15"/>
      <c r="AA120" s="16">
        <v>2.1038110018968785</v>
      </c>
      <c r="AB120" s="15"/>
      <c r="AC120" s="16">
        <v>2.7875793930839805</v>
      </c>
      <c r="AD120" s="15"/>
    </row>
    <row r="121" spans="1:40">
      <c r="A121" s="13">
        <v>15</v>
      </c>
      <c r="B121" s="14" t="s">
        <v>121</v>
      </c>
      <c r="C121" s="15">
        <v>2.8</v>
      </c>
      <c r="D121" s="15"/>
      <c r="E121" s="15">
        <v>2.6</v>
      </c>
      <c r="F121" s="15"/>
      <c r="G121" s="15">
        <v>1.6</v>
      </c>
      <c r="H121" s="15"/>
      <c r="I121" s="15">
        <v>2.6</v>
      </c>
      <c r="J121" s="15"/>
      <c r="K121" s="15">
        <v>2.4</v>
      </c>
      <c r="L121" s="15"/>
      <c r="M121" s="15">
        <v>0.5</v>
      </c>
      <c r="N121" s="15"/>
      <c r="O121" s="16"/>
      <c r="P121" s="15"/>
      <c r="Q121" s="16">
        <v>1.8</v>
      </c>
      <c r="R121" s="15"/>
      <c r="S121" s="16">
        <v>0.9</v>
      </c>
      <c r="T121" s="15"/>
      <c r="U121" s="16"/>
      <c r="V121" s="15">
        <v>25.5</v>
      </c>
      <c r="W121" s="16"/>
      <c r="X121" s="15">
        <v>9.3000000000000007</v>
      </c>
      <c r="Y121" s="16">
        <v>1.2612612612612613</v>
      </c>
      <c r="Z121" s="15"/>
      <c r="AA121" s="16">
        <v>1.3793103448275863</v>
      </c>
      <c r="AB121" s="15"/>
      <c r="AC121" s="16">
        <v>1.2711864406779663</v>
      </c>
      <c r="AD121" s="15"/>
    </row>
    <row r="122" spans="1:40">
      <c r="A122" s="13">
        <v>16</v>
      </c>
      <c r="B122" s="14" t="s">
        <v>122</v>
      </c>
      <c r="C122" s="15"/>
      <c r="D122" s="15"/>
      <c r="E122" s="15">
        <v>1.1000000000000001</v>
      </c>
      <c r="F122" s="15"/>
      <c r="G122" s="15"/>
      <c r="H122" s="15"/>
      <c r="I122" s="15">
        <v>0.5</v>
      </c>
      <c r="J122" s="15"/>
      <c r="K122" s="15"/>
      <c r="L122" s="16">
        <v>3</v>
      </c>
      <c r="M122" s="15"/>
      <c r="N122" s="15"/>
      <c r="O122" s="15"/>
      <c r="P122" s="15"/>
      <c r="Q122" s="16">
        <v>1</v>
      </c>
      <c r="R122" s="15"/>
      <c r="S122" s="16">
        <v>2.2000000000000002</v>
      </c>
      <c r="T122" s="15"/>
      <c r="U122" s="16"/>
      <c r="V122" s="15"/>
      <c r="W122" s="16">
        <v>0</v>
      </c>
      <c r="X122" s="15"/>
      <c r="Y122" s="16">
        <v>1.1363636363636365</v>
      </c>
      <c r="Z122" s="15"/>
      <c r="AA122" s="16"/>
      <c r="AB122" s="15"/>
      <c r="AC122" s="16"/>
      <c r="AD122" s="16">
        <v>6.7375886524822697</v>
      </c>
      <c r="AF122" s="22"/>
    </row>
    <row r="123" spans="1:40">
      <c r="A123" s="13">
        <v>17</v>
      </c>
      <c r="B123" s="14" t="s">
        <v>123</v>
      </c>
      <c r="C123" s="15">
        <v>0.8</v>
      </c>
      <c r="D123" s="15"/>
      <c r="E123" s="15">
        <v>1.4</v>
      </c>
      <c r="F123" s="15"/>
      <c r="G123" s="15">
        <v>0.9</v>
      </c>
      <c r="H123" s="15"/>
      <c r="I123" s="15">
        <v>0.9</v>
      </c>
      <c r="J123" s="15"/>
      <c r="K123" s="15">
        <v>0.6</v>
      </c>
      <c r="L123" s="15"/>
      <c r="M123" s="15">
        <v>0.6</v>
      </c>
      <c r="N123" s="15"/>
      <c r="O123" s="15">
        <v>0.5</v>
      </c>
      <c r="P123" s="15"/>
      <c r="Q123" s="16">
        <v>0.3</v>
      </c>
      <c r="R123" s="15"/>
      <c r="S123" s="16">
        <v>0.4</v>
      </c>
      <c r="T123" s="15"/>
      <c r="U123" s="16">
        <v>0.2</v>
      </c>
      <c r="V123" s="15"/>
      <c r="W123" s="16">
        <v>0.4</v>
      </c>
      <c r="X123" s="15"/>
      <c r="Y123" s="16">
        <v>0.23353573096683791</v>
      </c>
      <c r="Z123" s="15"/>
      <c r="AA123" s="16">
        <v>0.20695364238410596</v>
      </c>
      <c r="AB123" s="15"/>
      <c r="AC123" s="16">
        <v>0.24732069249793898</v>
      </c>
      <c r="AD123" s="15"/>
    </row>
    <row r="124" spans="1:40">
      <c r="A124" s="13">
        <v>18</v>
      </c>
      <c r="B124" s="14" t="s">
        <v>124</v>
      </c>
      <c r="C124" s="15">
        <v>1.9</v>
      </c>
      <c r="D124" s="15"/>
      <c r="E124" s="15"/>
      <c r="F124" s="15">
        <v>5.4</v>
      </c>
      <c r="G124" s="15">
        <v>2.5</v>
      </c>
      <c r="H124" s="15"/>
      <c r="I124" s="15"/>
      <c r="J124" s="15">
        <v>3.2</v>
      </c>
      <c r="K124" s="15">
        <v>0.7</v>
      </c>
      <c r="L124" s="15"/>
      <c r="M124" s="15">
        <v>1.1000000000000001</v>
      </c>
      <c r="N124" s="15"/>
      <c r="O124" s="15">
        <v>1.4</v>
      </c>
      <c r="P124" s="15"/>
      <c r="Q124" s="16">
        <v>1.6</v>
      </c>
      <c r="R124" s="15"/>
      <c r="S124" s="16">
        <v>1.7</v>
      </c>
      <c r="T124" s="15"/>
      <c r="U124" s="16">
        <v>2.6</v>
      </c>
      <c r="V124" s="15"/>
      <c r="W124" s="16"/>
      <c r="X124" s="15">
        <v>4.5999999999999996</v>
      </c>
      <c r="Y124" s="16"/>
      <c r="Z124" s="16">
        <v>5.3495762711864412</v>
      </c>
      <c r="AA124" s="16"/>
      <c r="AB124" s="16">
        <v>7.6802507836990594</v>
      </c>
      <c r="AC124" s="16"/>
      <c r="AD124" s="16">
        <v>6.4655172413793105</v>
      </c>
    </row>
    <row r="125" spans="1:40">
      <c r="A125" s="13">
        <v>19</v>
      </c>
      <c r="B125" s="14" t="s">
        <v>125</v>
      </c>
      <c r="C125" s="15">
        <v>0.2</v>
      </c>
      <c r="D125" s="15"/>
      <c r="E125" s="15">
        <v>0.5</v>
      </c>
      <c r="F125" s="15"/>
      <c r="G125" s="15">
        <v>0.2</v>
      </c>
      <c r="H125" s="15"/>
      <c r="I125" s="15">
        <v>0.6</v>
      </c>
      <c r="J125" s="15"/>
      <c r="K125" s="15">
        <v>0.8</v>
      </c>
      <c r="L125" s="15"/>
      <c r="M125" s="15">
        <v>1.9</v>
      </c>
      <c r="N125" s="15"/>
      <c r="O125" s="15">
        <v>0.8</v>
      </c>
      <c r="P125" s="15"/>
      <c r="Q125" s="16">
        <v>0.4</v>
      </c>
      <c r="R125" s="15"/>
      <c r="S125" s="16">
        <v>0.3</v>
      </c>
      <c r="T125" s="15"/>
      <c r="U125" s="16">
        <v>0.6</v>
      </c>
      <c r="V125" s="15"/>
      <c r="W125" s="16">
        <v>0.4</v>
      </c>
      <c r="X125" s="15"/>
      <c r="Y125" s="16">
        <v>0.5961251862891207</v>
      </c>
      <c r="Z125" s="15"/>
      <c r="AA125" s="16"/>
      <c r="AB125" s="16">
        <v>0.4551820728291317</v>
      </c>
      <c r="AC125" s="16">
        <v>0.62915910465819713</v>
      </c>
      <c r="AD125" s="16"/>
    </row>
    <row r="126" spans="1:40">
      <c r="A126" s="13">
        <v>20</v>
      </c>
      <c r="B126" s="14" t="s">
        <v>126</v>
      </c>
      <c r="C126" s="15">
        <v>0.5</v>
      </c>
      <c r="D126" s="15"/>
      <c r="E126" s="15">
        <v>0.1</v>
      </c>
      <c r="F126" s="15"/>
      <c r="G126" s="16">
        <v>0</v>
      </c>
      <c r="H126" s="15"/>
      <c r="I126" s="15">
        <v>0.1</v>
      </c>
      <c r="J126" s="15"/>
      <c r="K126" s="15">
        <v>0.3</v>
      </c>
      <c r="L126" s="15"/>
      <c r="M126" s="15">
        <v>0.1</v>
      </c>
      <c r="N126" s="15"/>
      <c r="O126" s="15">
        <v>0.2</v>
      </c>
      <c r="P126" s="15"/>
      <c r="Q126" s="16">
        <v>0.1</v>
      </c>
      <c r="R126" s="15"/>
      <c r="S126" s="16">
        <v>0.3</v>
      </c>
      <c r="T126" s="15"/>
      <c r="U126" s="16">
        <v>0</v>
      </c>
      <c r="V126" s="15"/>
      <c r="W126" s="16">
        <v>0.7</v>
      </c>
      <c r="X126" s="15"/>
      <c r="Y126" s="16">
        <v>0</v>
      </c>
      <c r="Z126" s="15"/>
      <c r="AA126" s="16">
        <v>1.0319917440660475</v>
      </c>
      <c r="AB126" s="15"/>
      <c r="AC126" s="16">
        <v>0.667779632721202</v>
      </c>
      <c r="AD126" s="15"/>
    </row>
    <row r="127" spans="1:40">
      <c r="A127" s="13">
        <v>21</v>
      </c>
      <c r="B127" s="14" t="s">
        <v>127</v>
      </c>
      <c r="C127" s="15">
        <v>1.8</v>
      </c>
      <c r="D127" s="15"/>
      <c r="E127" s="15">
        <v>1.9</v>
      </c>
      <c r="F127" s="15"/>
      <c r="G127" s="15">
        <v>1.8</v>
      </c>
      <c r="H127" s="15"/>
      <c r="I127" s="15">
        <v>1.6</v>
      </c>
      <c r="J127" s="15"/>
      <c r="K127" s="15">
        <v>1.5</v>
      </c>
      <c r="L127" s="15"/>
      <c r="M127" s="15">
        <v>2.2000000000000002</v>
      </c>
      <c r="N127" s="15"/>
      <c r="O127" s="15">
        <v>1.6</v>
      </c>
      <c r="P127" s="15"/>
      <c r="Q127" s="16">
        <v>0.9</v>
      </c>
      <c r="R127" s="15"/>
      <c r="S127" s="16">
        <v>0.6</v>
      </c>
      <c r="T127" s="15"/>
      <c r="U127" s="16">
        <v>0.8</v>
      </c>
      <c r="V127" s="15"/>
      <c r="W127" s="16">
        <v>1.1000000000000001</v>
      </c>
      <c r="X127" s="15"/>
      <c r="Y127" s="16">
        <v>1.1931962427011933</v>
      </c>
      <c r="Z127" s="15"/>
      <c r="AA127" s="16">
        <v>0.88415325323055993</v>
      </c>
      <c r="AB127" s="15"/>
      <c r="AC127" s="16">
        <v>0.68737970855100361</v>
      </c>
      <c r="AD127" s="15"/>
    </row>
    <row r="128" spans="1:40">
      <c r="A128" s="21" t="s">
        <v>128</v>
      </c>
      <c r="B128" s="21"/>
      <c r="C128" s="18">
        <v>5</v>
      </c>
      <c r="D128" s="18">
        <v>5</v>
      </c>
      <c r="E128" s="18">
        <v>5</v>
      </c>
      <c r="F128" s="18">
        <v>5</v>
      </c>
      <c r="G128" s="18">
        <v>6</v>
      </c>
      <c r="H128" s="18">
        <v>4</v>
      </c>
      <c r="I128" s="18">
        <v>5</v>
      </c>
      <c r="J128" s="18">
        <v>5</v>
      </c>
      <c r="K128" s="18">
        <v>6</v>
      </c>
      <c r="L128" s="18">
        <v>4</v>
      </c>
      <c r="M128" s="18">
        <v>6</v>
      </c>
      <c r="N128" s="18">
        <v>4</v>
      </c>
      <c r="O128" s="18">
        <v>8</v>
      </c>
      <c r="P128" s="18">
        <v>2</v>
      </c>
      <c r="Q128" s="18">
        <v>8</v>
      </c>
      <c r="R128" s="18">
        <v>2</v>
      </c>
      <c r="S128" s="18">
        <v>8</v>
      </c>
      <c r="T128" s="18">
        <v>2</v>
      </c>
      <c r="U128" s="18">
        <f t="shared" ref="U128:Z128" si="11">COUNT(U129:U138)</f>
        <v>6</v>
      </c>
      <c r="V128" s="18">
        <f t="shared" si="11"/>
        <v>3</v>
      </c>
      <c r="W128" s="18">
        <f t="shared" si="11"/>
        <v>8</v>
      </c>
      <c r="X128" s="18">
        <f t="shared" si="11"/>
        <v>2</v>
      </c>
      <c r="Y128" s="18">
        <f t="shared" si="11"/>
        <v>8</v>
      </c>
      <c r="Z128" s="18">
        <f t="shared" si="11"/>
        <v>2</v>
      </c>
      <c r="AA128" s="18">
        <f>COUNT(AA129:AA138)</f>
        <v>7</v>
      </c>
      <c r="AB128" s="18">
        <f>COUNT(AB129:AB138)</f>
        <v>3</v>
      </c>
      <c r="AC128" s="18">
        <f>COUNT(AC129:AC138)</f>
        <v>8</v>
      </c>
      <c r="AD128" s="18">
        <f>COUNT(AD129:AD138)</f>
        <v>2</v>
      </c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</row>
    <row r="129" spans="1:40">
      <c r="A129" s="13">
        <v>1</v>
      </c>
      <c r="B129" s="23" t="s">
        <v>129</v>
      </c>
      <c r="C129" s="15"/>
      <c r="D129" s="15">
        <v>25.3</v>
      </c>
      <c r="E129" s="15"/>
      <c r="F129" s="15">
        <v>7.7</v>
      </c>
      <c r="G129" s="15"/>
      <c r="H129" s="15">
        <v>11.5</v>
      </c>
      <c r="I129" s="15"/>
      <c r="J129" s="15">
        <v>10.7</v>
      </c>
      <c r="K129" s="15"/>
      <c r="L129" s="15">
        <v>4.8</v>
      </c>
      <c r="M129" s="15"/>
      <c r="N129" s="15">
        <v>5.2</v>
      </c>
      <c r="O129" s="15">
        <v>1.9</v>
      </c>
      <c r="P129" s="15"/>
      <c r="Q129" s="16">
        <v>2</v>
      </c>
      <c r="R129" s="16"/>
      <c r="S129" s="16">
        <v>1.6</v>
      </c>
      <c r="T129" s="16"/>
      <c r="U129" s="16">
        <v>0</v>
      </c>
      <c r="V129" s="16"/>
      <c r="W129" s="16">
        <v>1.8</v>
      </c>
      <c r="X129" s="16"/>
      <c r="Y129" s="16">
        <v>1.1240164855751216</v>
      </c>
      <c r="Z129" s="16"/>
      <c r="AA129" s="16"/>
      <c r="AB129" s="16">
        <v>3.1871016122984623</v>
      </c>
      <c r="AC129" s="16">
        <v>1.5</v>
      </c>
      <c r="AD129" s="16"/>
    </row>
    <row r="130" spans="1:40">
      <c r="A130" s="13">
        <v>2</v>
      </c>
      <c r="B130" s="23" t="s">
        <v>130</v>
      </c>
      <c r="C130" s="15">
        <v>1.5</v>
      </c>
      <c r="D130" s="15"/>
      <c r="E130" s="15"/>
      <c r="F130" s="15">
        <v>4.3</v>
      </c>
      <c r="G130" s="16">
        <v>1</v>
      </c>
      <c r="H130" s="15"/>
      <c r="I130" s="15">
        <v>0.8</v>
      </c>
      <c r="J130" s="15"/>
      <c r="K130" s="15">
        <v>0.8</v>
      </c>
      <c r="L130" s="15"/>
      <c r="M130" s="15">
        <v>0.5</v>
      </c>
      <c r="N130" s="15"/>
      <c r="O130" s="15">
        <v>0.8</v>
      </c>
      <c r="P130" s="15"/>
      <c r="Q130" s="16">
        <v>0.8</v>
      </c>
      <c r="R130" s="16"/>
      <c r="S130" s="16">
        <v>0.5</v>
      </c>
      <c r="T130" s="16"/>
      <c r="U130" s="16">
        <v>1.7</v>
      </c>
      <c r="V130" s="16"/>
      <c r="W130" s="16">
        <v>1</v>
      </c>
      <c r="X130" s="16"/>
      <c r="Y130" s="16">
        <v>0.92790863668807988</v>
      </c>
      <c r="Z130" s="16"/>
      <c r="AA130" s="16">
        <v>1.0094212651413188</v>
      </c>
      <c r="AB130" s="16"/>
      <c r="AC130" s="16">
        <v>1.6</v>
      </c>
      <c r="AD130" s="16"/>
    </row>
    <row r="131" spans="1:40">
      <c r="A131" s="13">
        <v>3</v>
      </c>
      <c r="B131" s="23" t="s">
        <v>131</v>
      </c>
      <c r="C131" s="15"/>
      <c r="D131" s="15">
        <v>3.1</v>
      </c>
      <c r="E131" s="15"/>
      <c r="F131" s="15">
        <v>3.6</v>
      </c>
      <c r="G131" s="15"/>
      <c r="H131" s="16">
        <v>7</v>
      </c>
      <c r="I131" s="15"/>
      <c r="J131" s="15">
        <v>7.1</v>
      </c>
      <c r="K131" s="15"/>
      <c r="L131" s="15">
        <v>5.5</v>
      </c>
      <c r="M131" s="15"/>
      <c r="N131" s="15">
        <v>6.4</v>
      </c>
      <c r="O131" s="15"/>
      <c r="P131" s="15">
        <v>5.5</v>
      </c>
      <c r="Q131" s="16">
        <v>2.2999999999999998</v>
      </c>
      <c r="R131" s="16"/>
      <c r="S131" s="16"/>
      <c r="T131" s="16">
        <v>3.5</v>
      </c>
      <c r="U131" s="16"/>
      <c r="V131" s="16">
        <v>18.5</v>
      </c>
      <c r="W131" s="16"/>
      <c r="X131" s="16">
        <v>10.4</v>
      </c>
      <c r="Y131" s="16"/>
      <c r="Z131" s="16">
        <v>6.4118372379778048</v>
      </c>
      <c r="AA131" s="16"/>
      <c r="AB131" s="16">
        <v>9.6273291925465845</v>
      </c>
      <c r="AC131" s="16"/>
      <c r="AD131" s="16">
        <v>7.5</v>
      </c>
    </row>
    <row r="132" spans="1:40">
      <c r="A132" s="13">
        <v>4</v>
      </c>
      <c r="B132" s="23" t="s">
        <v>132</v>
      </c>
      <c r="C132" s="16">
        <v>1</v>
      </c>
      <c r="D132" s="15"/>
      <c r="E132" s="15">
        <v>0.8</v>
      </c>
      <c r="F132" s="15"/>
      <c r="G132" s="15">
        <v>0.5</v>
      </c>
      <c r="H132" s="15"/>
      <c r="I132" s="15">
        <v>0.1</v>
      </c>
      <c r="J132" s="15"/>
      <c r="K132" s="16">
        <v>0</v>
      </c>
      <c r="L132" s="15"/>
      <c r="M132" s="15">
        <v>0.3</v>
      </c>
      <c r="N132" s="15"/>
      <c r="O132" s="15">
        <v>0.3</v>
      </c>
      <c r="P132" s="15"/>
      <c r="Q132" s="16">
        <v>0.4</v>
      </c>
      <c r="R132" s="16"/>
      <c r="S132" s="16">
        <v>0.2</v>
      </c>
      <c r="T132" s="16"/>
      <c r="U132" s="16">
        <v>0</v>
      </c>
      <c r="V132" s="16"/>
      <c r="W132" s="16">
        <v>0.4</v>
      </c>
      <c r="X132" s="16"/>
      <c r="Y132" s="16">
        <v>8.2304526748971193E-2</v>
      </c>
      <c r="Z132" s="16"/>
      <c r="AA132" s="16">
        <v>0.18433179723502305</v>
      </c>
      <c r="AB132" s="16"/>
      <c r="AC132" s="16">
        <v>0.1</v>
      </c>
      <c r="AD132" s="16"/>
    </row>
    <row r="133" spans="1:40">
      <c r="A133" s="13">
        <v>5</v>
      </c>
      <c r="B133" s="23" t="s">
        <v>133</v>
      </c>
      <c r="C133" s="15">
        <v>2.4</v>
      </c>
      <c r="D133" s="15"/>
      <c r="E133" s="15">
        <v>0.8</v>
      </c>
      <c r="F133" s="15"/>
      <c r="G133" s="15">
        <v>1.2</v>
      </c>
      <c r="H133" s="15"/>
      <c r="I133" s="15">
        <v>0.8</v>
      </c>
      <c r="J133" s="15"/>
      <c r="K133" s="15">
        <v>1.6</v>
      </c>
      <c r="L133" s="15"/>
      <c r="M133" s="15">
        <v>0.7</v>
      </c>
      <c r="N133" s="15"/>
      <c r="O133" s="16">
        <v>1</v>
      </c>
      <c r="P133" s="15"/>
      <c r="Q133" s="16">
        <v>0.8</v>
      </c>
      <c r="R133" s="16"/>
      <c r="S133" s="16">
        <v>0.2</v>
      </c>
      <c r="T133" s="16"/>
      <c r="U133" s="16">
        <v>1.9</v>
      </c>
      <c r="V133" s="16"/>
      <c r="W133" s="16">
        <v>0.8</v>
      </c>
      <c r="X133" s="16"/>
      <c r="Y133" s="16">
        <v>0.93131548311990686</v>
      </c>
      <c r="Z133" s="16"/>
      <c r="AA133" s="16">
        <v>0.78805474906677719</v>
      </c>
      <c r="AB133" s="16"/>
      <c r="AC133" s="16">
        <v>0.8</v>
      </c>
      <c r="AD133" s="16"/>
    </row>
    <row r="134" spans="1:40">
      <c r="A134" s="13">
        <v>6</v>
      </c>
      <c r="B134" s="23" t="s">
        <v>134</v>
      </c>
      <c r="C134" s="15"/>
      <c r="D134" s="15">
        <v>3.6</v>
      </c>
      <c r="E134" s="16">
        <v>2.3558080000000001</v>
      </c>
      <c r="F134" s="15"/>
      <c r="G134" s="15">
        <v>2.6</v>
      </c>
      <c r="H134" s="15"/>
      <c r="I134" s="15"/>
      <c r="J134" s="15">
        <v>4.2</v>
      </c>
      <c r="K134" s="15">
        <v>1.3</v>
      </c>
      <c r="L134" s="15"/>
      <c r="M134" s="15">
        <v>1.2</v>
      </c>
      <c r="N134" s="15"/>
      <c r="O134" s="15">
        <v>1.1000000000000001</v>
      </c>
      <c r="P134" s="15"/>
      <c r="Q134" s="16">
        <v>1.8</v>
      </c>
      <c r="R134" s="16"/>
      <c r="S134" s="16">
        <v>0.7</v>
      </c>
      <c r="T134" s="16"/>
      <c r="U134" s="16"/>
      <c r="V134" s="16">
        <v>7.3</v>
      </c>
      <c r="W134" s="16">
        <v>1.4</v>
      </c>
      <c r="X134" s="16"/>
      <c r="Y134" s="16">
        <v>0.87028595109821805</v>
      </c>
      <c r="Z134" s="16"/>
      <c r="AA134" s="16">
        <v>0.88211708099438657</v>
      </c>
      <c r="AB134" s="16"/>
      <c r="AC134" s="16">
        <v>1.3</v>
      </c>
      <c r="AD134" s="16"/>
    </row>
    <row r="135" spans="1:40">
      <c r="A135" s="13">
        <v>7</v>
      </c>
      <c r="B135" s="23" t="s">
        <v>135</v>
      </c>
      <c r="C135" s="15">
        <v>0.8</v>
      </c>
      <c r="D135" s="15"/>
      <c r="E135" s="15">
        <v>0.5</v>
      </c>
      <c r="F135" s="15"/>
      <c r="G135" s="15">
        <v>0.3</v>
      </c>
      <c r="H135" s="15"/>
      <c r="I135" s="15">
        <v>0.5</v>
      </c>
      <c r="J135" s="15"/>
      <c r="K135" s="15">
        <v>0.3</v>
      </c>
      <c r="L135" s="15"/>
      <c r="M135" s="15">
        <v>0.3</v>
      </c>
      <c r="N135" s="15"/>
      <c r="O135" s="15">
        <v>0.2</v>
      </c>
      <c r="P135" s="15"/>
      <c r="Q135" s="16">
        <v>0.5</v>
      </c>
      <c r="R135" s="16"/>
      <c r="S135" s="16">
        <v>0.4</v>
      </c>
      <c r="T135" s="16"/>
      <c r="U135" s="16">
        <v>0.3</v>
      </c>
      <c r="V135" s="16"/>
      <c r="W135" s="16">
        <v>0.2</v>
      </c>
      <c r="X135" s="16"/>
      <c r="Y135" s="16">
        <v>0.39735099337748342</v>
      </c>
      <c r="Z135" s="16"/>
      <c r="AA135" s="16">
        <v>0.23786869647954328</v>
      </c>
      <c r="AB135" s="16"/>
      <c r="AC135" s="16">
        <v>0.4</v>
      </c>
      <c r="AD135" s="16"/>
    </row>
    <row r="136" spans="1:40">
      <c r="A136" s="13">
        <v>8</v>
      </c>
      <c r="B136" s="23" t="s">
        <v>136</v>
      </c>
      <c r="C136" s="15"/>
      <c r="D136" s="15">
        <v>4.5</v>
      </c>
      <c r="E136" s="15"/>
      <c r="F136" s="15">
        <v>7.4</v>
      </c>
      <c r="G136" s="15"/>
      <c r="H136" s="15">
        <v>3.9</v>
      </c>
      <c r="I136" s="15"/>
      <c r="J136" s="15">
        <v>5.7</v>
      </c>
      <c r="K136" s="15"/>
      <c r="L136" s="15">
        <v>6.5</v>
      </c>
      <c r="M136" s="15"/>
      <c r="N136" s="15">
        <v>4.4000000000000004</v>
      </c>
      <c r="O136" s="15"/>
      <c r="P136" s="15">
        <v>3.2</v>
      </c>
      <c r="Q136" s="16"/>
      <c r="R136" s="16">
        <v>4.2</v>
      </c>
      <c r="S136" s="16">
        <v>0.2</v>
      </c>
      <c r="T136" s="16"/>
      <c r="U136" s="16">
        <v>0</v>
      </c>
      <c r="V136" s="16"/>
      <c r="W136" s="16"/>
      <c r="X136" s="16">
        <v>3</v>
      </c>
      <c r="Y136" s="16">
        <v>2.2688356164383561</v>
      </c>
      <c r="Z136" s="16"/>
      <c r="AA136" s="16">
        <v>2.7111574556830034</v>
      </c>
      <c r="AB136" s="16"/>
      <c r="AC136" s="16">
        <v>2.2000000000000002</v>
      </c>
      <c r="AD136" s="16"/>
    </row>
    <row r="137" spans="1:40">
      <c r="A137" s="13">
        <v>9</v>
      </c>
      <c r="B137" s="23" t="s">
        <v>137</v>
      </c>
      <c r="C137" s="15"/>
      <c r="D137" s="15">
        <v>23.5</v>
      </c>
      <c r="E137" s="15"/>
      <c r="F137" s="15">
        <v>29.5</v>
      </c>
      <c r="G137" s="15"/>
      <c r="H137" s="15">
        <v>16.100000000000001</v>
      </c>
      <c r="I137" s="15"/>
      <c r="J137" s="15">
        <v>19.899999999999999</v>
      </c>
      <c r="K137" s="15"/>
      <c r="L137" s="16">
        <v>6</v>
      </c>
      <c r="M137" s="15"/>
      <c r="N137" s="15">
        <v>17.3</v>
      </c>
      <c r="O137" s="15">
        <v>2.8</v>
      </c>
      <c r="P137" s="15"/>
      <c r="Q137" s="16"/>
      <c r="R137" s="16">
        <v>10</v>
      </c>
      <c r="S137" s="16"/>
      <c r="T137" s="16">
        <v>7.4</v>
      </c>
      <c r="U137" s="16"/>
      <c r="V137" s="16">
        <v>9</v>
      </c>
      <c r="W137" s="16">
        <v>1.5</v>
      </c>
      <c r="X137" s="16"/>
      <c r="Y137" s="16"/>
      <c r="Z137" s="16">
        <v>20.892857142857142</v>
      </c>
      <c r="AA137" s="16"/>
      <c r="AB137" s="16">
        <v>15.297450424929179</v>
      </c>
      <c r="AC137" s="16"/>
      <c r="AD137" s="16">
        <v>7.6</v>
      </c>
    </row>
    <row r="138" spans="1:40">
      <c r="A138" s="13">
        <v>10</v>
      </c>
      <c r="B138" s="23" t="s">
        <v>138</v>
      </c>
      <c r="C138" s="15">
        <v>1.2</v>
      </c>
      <c r="D138" s="15"/>
      <c r="E138" s="15">
        <v>0.5</v>
      </c>
      <c r="F138" s="15"/>
      <c r="G138" s="15">
        <v>0.1</v>
      </c>
      <c r="H138" s="15"/>
      <c r="I138" s="15">
        <v>0.3</v>
      </c>
      <c r="J138" s="15"/>
      <c r="K138" s="16">
        <v>0</v>
      </c>
      <c r="L138" s="15"/>
      <c r="M138" s="15">
        <v>0.2</v>
      </c>
      <c r="N138" s="15"/>
      <c r="O138" s="15">
        <v>0.6</v>
      </c>
      <c r="P138" s="15"/>
      <c r="Q138" s="16">
        <v>0.3</v>
      </c>
      <c r="R138" s="16"/>
      <c r="S138" s="16">
        <v>0</v>
      </c>
      <c r="T138" s="16"/>
      <c r="U138" s="16"/>
      <c r="V138" s="16"/>
      <c r="W138" s="16">
        <v>0.9</v>
      </c>
      <c r="X138" s="16"/>
      <c r="Y138" s="16">
        <v>1.4218009478672986</v>
      </c>
      <c r="Z138" s="16"/>
      <c r="AA138" s="16">
        <v>0.26619343389529726</v>
      </c>
      <c r="AB138" s="16"/>
      <c r="AC138" s="16">
        <v>0</v>
      </c>
      <c r="AD138" s="16"/>
    </row>
    <row r="139" spans="1:40">
      <c r="A139" s="24" t="s">
        <v>139</v>
      </c>
      <c r="B139" s="21"/>
      <c r="C139" s="18">
        <v>3</v>
      </c>
      <c r="D139" s="18">
        <v>10</v>
      </c>
      <c r="E139" s="18">
        <v>2</v>
      </c>
      <c r="F139" s="18">
        <v>9</v>
      </c>
      <c r="G139" s="18">
        <v>4</v>
      </c>
      <c r="H139" s="18">
        <v>6</v>
      </c>
      <c r="I139" s="18">
        <v>9</v>
      </c>
      <c r="J139" s="18">
        <v>2</v>
      </c>
      <c r="K139" s="18">
        <v>6</v>
      </c>
      <c r="L139" s="18">
        <v>3</v>
      </c>
      <c r="M139" s="18">
        <v>4</v>
      </c>
      <c r="N139" s="18">
        <v>7</v>
      </c>
      <c r="O139" s="18">
        <v>9</v>
      </c>
      <c r="P139" s="18">
        <v>9</v>
      </c>
      <c r="Q139" s="18">
        <v>5</v>
      </c>
      <c r="R139" s="18">
        <v>3</v>
      </c>
      <c r="S139" s="18">
        <v>13</v>
      </c>
      <c r="T139" s="18">
        <v>2</v>
      </c>
      <c r="U139" s="18">
        <f>COUNT(U140:U169)</f>
        <v>2</v>
      </c>
      <c r="V139" s="18">
        <f>COUNT(V140:V169)</f>
        <v>0</v>
      </c>
      <c r="W139" s="18">
        <f>COUNT(W140:W169)</f>
        <v>0</v>
      </c>
      <c r="X139" s="18">
        <f>COUNT(X140:X169)</f>
        <v>3</v>
      </c>
      <c r="Y139" s="18">
        <f t="shared" ref="Y139:AD139" si="12">COUNT(Y140:Y170)</f>
        <v>5</v>
      </c>
      <c r="Z139" s="18">
        <f t="shared" si="12"/>
        <v>5</v>
      </c>
      <c r="AA139" s="18">
        <f t="shared" si="12"/>
        <v>6</v>
      </c>
      <c r="AB139" s="18">
        <f t="shared" si="12"/>
        <v>5</v>
      </c>
      <c r="AC139" s="18">
        <f t="shared" si="12"/>
        <v>6</v>
      </c>
      <c r="AD139" s="18">
        <f t="shared" si="12"/>
        <v>4</v>
      </c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</row>
    <row r="140" spans="1:40">
      <c r="A140" s="13">
        <v>1</v>
      </c>
      <c r="B140" s="14" t="s">
        <v>140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>
        <v>2</v>
      </c>
      <c r="P140" s="15"/>
      <c r="Q140" s="16"/>
      <c r="R140" s="15"/>
      <c r="S140" s="16"/>
      <c r="T140" s="15"/>
      <c r="U140" s="16"/>
      <c r="V140" s="15"/>
      <c r="W140" s="16"/>
      <c r="X140" s="15"/>
      <c r="Y140" s="16"/>
      <c r="Z140" s="16">
        <v>6.3247863247863245</v>
      </c>
      <c r="AA140" s="16"/>
      <c r="AB140" s="16">
        <v>4.4568245125348191</v>
      </c>
      <c r="AC140" s="16"/>
      <c r="AD140" s="16">
        <v>6.4</v>
      </c>
      <c r="AF140" s="22"/>
    </row>
    <row r="141" spans="1:40">
      <c r="A141" s="13">
        <v>2</v>
      </c>
      <c r="B141" s="14" t="s">
        <v>141</v>
      </c>
      <c r="C141" s="15"/>
      <c r="D141" s="15">
        <v>14.7</v>
      </c>
      <c r="E141" s="15"/>
      <c r="F141" s="15">
        <v>8.4</v>
      </c>
      <c r="G141" s="15"/>
      <c r="H141" s="15"/>
      <c r="I141" s="15"/>
      <c r="J141" s="15"/>
      <c r="K141" s="15"/>
      <c r="L141" s="15"/>
      <c r="M141" s="15"/>
      <c r="N141" s="15"/>
      <c r="O141" s="15">
        <v>1.7</v>
      </c>
      <c r="P141" s="15"/>
      <c r="Q141" s="15"/>
      <c r="R141" s="15"/>
      <c r="S141" s="15">
        <v>1.7</v>
      </c>
      <c r="T141" s="15"/>
      <c r="U141" s="15"/>
      <c r="V141" s="15"/>
      <c r="W141" s="15"/>
      <c r="X141" s="15"/>
      <c r="Y141" s="15"/>
      <c r="Z141" s="16">
        <v>8.6021505376344081</v>
      </c>
      <c r="AA141" s="15"/>
      <c r="AB141" s="16"/>
      <c r="AC141" s="15"/>
      <c r="AD141" s="16"/>
    </row>
    <row r="142" spans="1:40">
      <c r="A142" s="13">
        <v>3</v>
      </c>
      <c r="B142" s="14" t="s">
        <v>142</v>
      </c>
      <c r="C142" s="15"/>
      <c r="D142" s="15">
        <v>5.0999999999999996</v>
      </c>
      <c r="E142" s="15"/>
      <c r="F142" s="15">
        <v>3.3</v>
      </c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spans="1:40">
      <c r="A143" s="13">
        <v>4</v>
      </c>
      <c r="B143" s="14" t="s">
        <v>143</v>
      </c>
      <c r="C143" s="15"/>
      <c r="D143" s="16">
        <v>7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>
        <v>5.8</v>
      </c>
      <c r="Q143" s="15"/>
      <c r="R143" s="15">
        <v>5.0999999999999996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spans="1:40">
      <c r="A144" s="13">
        <v>5</v>
      </c>
      <c r="B144" s="14" t="s">
        <v>144</v>
      </c>
      <c r="C144" s="15"/>
      <c r="D144" s="15">
        <v>13</v>
      </c>
      <c r="E144" s="15"/>
      <c r="F144" s="15">
        <v>5.7</v>
      </c>
      <c r="G144" s="15"/>
      <c r="H144" s="15"/>
      <c r="I144" s="15"/>
      <c r="J144" s="15"/>
      <c r="K144" s="15"/>
      <c r="L144" s="15">
        <v>12.1</v>
      </c>
      <c r="M144" s="15"/>
      <c r="N144" s="15">
        <v>4.5999999999999996</v>
      </c>
      <c r="O144" s="15"/>
      <c r="P144" s="15"/>
      <c r="Q144" s="15"/>
      <c r="R144" s="15"/>
      <c r="S144" s="15"/>
      <c r="T144" s="15"/>
      <c r="U144" s="15"/>
      <c r="V144" s="15"/>
      <c r="W144" s="15"/>
      <c r="X144" s="15">
        <v>14</v>
      </c>
      <c r="Y144" s="15"/>
      <c r="Z144" s="15"/>
      <c r="AA144" s="15"/>
      <c r="AB144" s="15"/>
      <c r="AC144" s="15"/>
      <c r="AD144" s="15"/>
    </row>
    <row r="145" spans="1:30">
      <c r="A145" s="13">
        <v>6</v>
      </c>
      <c r="B145" s="14" t="s">
        <v>145</v>
      </c>
      <c r="C145" s="15"/>
      <c r="D145" s="15">
        <v>3.5</v>
      </c>
      <c r="E145" s="15"/>
      <c r="F145" s="15">
        <v>9.8000000000000007</v>
      </c>
      <c r="G145" s="15"/>
      <c r="H145" s="16">
        <v>7</v>
      </c>
      <c r="I145" s="15">
        <v>2.6</v>
      </c>
      <c r="J145" s="15"/>
      <c r="K145" s="15">
        <v>1.1000000000000001</v>
      </c>
      <c r="L145" s="15"/>
      <c r="M145" s="15"/>
      <c r="N145" s="15">
        <v>6.3</v>
      </c>
      <c r="O145" s="15"/>
      <c r="P145" s="15">
        <v>27.6</v>
      </c>
      <c r="Q145" s="15"/>
      <c r="R145" s="15">
        <v>9.3000000000000007</v>
      </c>
      <c r="S145" s="15">
        <v>2.2999999999999998</v>
      </c>
      <c r="T145" s="15"/>
      <c r="U145" s="15"/>
      <c r="V145" s="15"/>
      <c r="W145" s="15"/>
      <c r="X145" s="15"/>
      <c r="Y145" s="15"/>
      <c r="Z145" s="15"/>
      <c r="AA145" s="16">
        <v>1.405152224824356</v>
      </c>
      <c r="AB145" s="15"/>
      <c r="AC145" s="16"/>
      <c r="AD145" s="15"/>
    </row>
    <row r="146" spans="1:30">
      <c r="A146" s="13">
        <v>7</v>
      </c>
      <c r="B146" s="14" t="s">
        <v>146</v>
      </c>
      <c r="C146" s="15"/>
      <c r="D146" s="15"/>
      <c r="E146" s="15"/>
      <c r="F146" s="15"/>
      <c r="G146" s="15"/>
      <c r="H146" s="15"/>
      <c r="I146" s="16">
        <v>0</v>
      </c>
      <c r="J146" s="15"/>
      <c r="K146" s="15"/>
      <c r="L146" s="15"/>
      <c r="M146" s="15"/>
      <c r="N146" s="15"/>
      <c r="O146" s="15"/>
      <c r="P146" s="15"/>
      <c r="Q146" s="15"/>
      <c r="R146" s="15"/>
      <c r="S146" s="15">
        <v>1.8</v>
      </c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spans="1:30">
      <c r="A147" s="13">
        <v>8</v>
      </c>
      <c r="B147" s="14" t="s">
        <v>147</v>
      </c>
      <c r="C147" s="15"/>
      <c r="D147" s="15">
        <v>9.5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>
        <v>7.2</v>
      </c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6">
        <v>54.852320675105481</v>
      </c>
      <c r="AC147" s="15"/>
      <c r="AD147" s="16">
        <v>23.3</v>
      </c>
    </row>
    <row r="148" spans="1:30">
      <c r="A148" s="13">
        <v>9</v>
      </c>
      <c r="B148" s="14" t="s">
        <v>148</v>
      </c>
      <c r="C148" s="15"/>
      <c r="D148" s="15"/>
      <c r="E148" s="15"/>
      <c r="F148" s="15">
        <v>9.6</v>
      </c>
      <c r="G148" s="15">
        <v>2.2000000000000002</v>
      </c>
      <c r="H148" s="15"/>
      <c r="I148" s="15"/>
      <c r="J148" s="15">
        <v>3.5</v>
      </c>
      <c r="K148" s="15"/>
      <c r="L148" s="15">
        <v>4.4000000000000004</v>
      </c>
      <c r="M148" s="15"/>
      <c r="N148" s="15">
        <v>5.4</v>
      </c>
      <c r="O148" s="15"/>
      <c r="P148" s="15">
        <v>10.4</v>
      </c>
      <c r="Q148" s="15"/>
      <c r="R148" s="15">
        <v>19.8</v>
      </c>
      <c r="S148" s="15"/>
      <c r="T148" s="15">
        <v>8.3000000000000007</v>
      </c>
      <c r="U148" s="15"/>
      <c r="V148" s="15"/>
      <c r="W148" s="15"/>
      <c r="X148" s="15">
        <v>8.8000000000000007</v>
      </c>
      <c r="Y148" s="15"/>
      <c r="Z148" s="16">
        <v>3.125</v>
      </c>
      <c r="AA148" s="15"/>
      <c r="AB148" s="16">
        <v>11.796246648793565</v>
      </c>
      <c r="AC148" s="15"/>
      <c r="AD148" s="16">
        <v>12</v>
      </c>
    </row>
    <row r="149" spans="1:30">
      <c r="A149" s="13">
        <v>10</v>
      </c>
      <c r="B149" s="14" t="s">
        <v>149</v>
      </c>
      <c r="C149" s="15"/>
      <c r="D149" s="15">
        <v>14.6</v>
      </c>
      <c r="E149" s="15"/>
      <c r="F149" s="15">
        <v>10.9</v>
      </c>
      <c r="G149" s="15"/>
      <c r="H149" s="15">
        <v>7.4</v>
      </c>
      <c r="I149" s="15"/>
      <c r="J149" s="15"/>
      <c r="K149" s="15"/>
      <c r="L149" s="15"/>
      <c r="M149" s="15"/>
      <c r="N149" s="15"/>
      <c r="O149" s="15"/>
      <c r="P149" s="15"/>
      <c r="Q149" s="16">
        <v>0</v>
      </c>
      <c r="R149" s="15"/>
      <c r="S149" s="16"/>
      <c r="T149" s="15">
        <v>8.1</v>
      </c>
      <c r="U149" s="16"/>
      <c r="V149" s="15"/>
      <c r="W149" s="16"/>
      <c r="X149" s="15">
        <v>8.1999999999999993</v>
      </c>
      <c r="Y149" s="16">
        <v>0.67888662593346916</v>
      </c>
      <c r="Z149" s="15"/>
      <c r="AA149" s="16"/>
      <c r="AB149" s="15"/>
      <c r="AC149" s="16"/>
      <c r="AD149" s="15"/>
    </row>
    <row r="150" spans="1:30">
      <c r="A150" s="13">
        <v>11</v>
      </c>
      <c r="B150" s="14" t="s">
        <v>150</v>
      </c>
      <c r="C150" s="15"/>
      <c r="D150" s="15"/>
      <c r="E150" s="15"/>
      <c r="F150" s="15"/>
      <c r="G150" s="16">
        <v>0</v>
      </c>
      <c r="H150" s="15"/>
      <c r="I150" s="15"/>
      <c r="J150" s="15">
        <v>3.7</v>
      </c>
      <c r="K150" s="15"/>
      <c r="L150" s="15"/>
      <c r="M150" s="15"/>
      <c r="N150" s="15"/>
      <c r="O150" s="15"/>
      <c r="P150" s="15">
        <v>19.600000000000001</v>
      </c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6">
        <v>3.6144578313253009</v>
      </c>
      <c r="AC150" s="15"/>
      <c r="AD150" s="16">
        <v>12</v>
      </c>
    </row>
    <row r="151" spans="1:30">
      <c r="A151" s="13">
        <v>12</v>
      </c>
      <c r="B151" s="14" t="s">
        <v>151</v>
      </c>
      <c r="C151" s="15"/>
      <c r="D151" s="15">
        <v>3.5</v>
      </c>
      <c r="E151" s="15"/>
      <c r="F151" s="15"/>
      <c r="G151" s="15"/>
      <c r="H151" s="15"/>
      <c r="I151" s="15">
        <v>2.8</v>
      </c>
      <c r="J151" s="15"/>
      <c r="K151" s="15"/>
      <c r="L151" s="15"/>
      <c r="M151" s="15"/>
      <c r="N151" s="15"/>
      <c r="O151" s="15"/>
      <c r="P151" s="15"/>
      <c r="Q151" s="16">
        <v>0</v>
      </c>
      <c r="R151" s="15"/>
      <c r="S151" s="16"/>
      <c r="T151" s="15"/>
      <c r="U151" s="16"/>
      <c r="V151" s="15"/>
      <c r="W151" s="16"/>
      <c r="X151" s="15"/>
      <c r="Y151" s="16"/>
      <c r="Z151" s="15"/>
      <c r="AA151" s="16"/>
      <c r="AB151" s="15"/>
      <c r="AC151" s="16"/>
      <c r="AD151" s="15"/>
    </row>
    <row r="152" spans="1:30">
      <c r="A152" s="13">
        <v>13</v>
      </c>
      <c r="B152" s="14" t="s">
        <v>152</v>
      </c>
      <c r="C152" s="15"/>
      <c r="D152" s="15"/>
      <c r="E152" s="15"/>
      <c r="F152" s="15"/>
      <c r="G152" s="15"/>
      <c r="H152" s="15"/>
      <c r="I152" s="16">
        <v>0</v>
      </c>
      <c r="J152" s="15"/>
      <c r="K152" s="15"/>
      <c r="L152" s="15"/>
      <c r="M152" s="15"/>
      <c r="N152" s="15">
        <v>4.3</v>
      </c>
      <c r="O152" s="16">
        <v>0</v>
      </c>
      <c r="P152" s="15"/>
      <c r="Q152" s="16"/>
      <c r="R152" s="15"/>
      <c r="S152" s="16">
        <v>0</v>
      </c>
      <c r="T152" s="15"/>
      <c r="U152" s="16"/>
      <c r="V152" s="15"/>
      <c r="W152" s="16"/>
      <c r="X152" s="15"/>
      <c r="Y152" s="16">
        <v>0.8928571428571429</v>
      </c>
      <c r="Z152" s="15"/>
      <c r="AA152" s="16">
        <v>2.7508090614886731</v>
      </c>
      <c r="AB152" s="15"/>
      <c r="AC152" s="16">
        <v>0.5</v>
      </c>
      <c r="AD152" s="15"/>
    </row>
    <row r="153" spans="1:30">
      <c r="A153" s="13">
        <v>14</v>
      </c>
      <c r="B153" s="14" t="s">
        <v>153</v>
      </c>
      <c r="C153" s="15"/>
      <c r="D153" s="15"/>
      <c r="E153" s="15"/>
      <c r="F153" s="15"/>
      <c r="G153" s="15"/>
      <c r="H153" s="15">
        <v>9.1</v>
      </c>
      <c r="I153" s="15">
        <v>2.9</v>
      </c>
      <c r="J153" s="15"/>
      <c r="K153" s="15">
        <v>2.5</v>
      </c>
      <c r="L153" s="15"/>
      <c r="M153" s="15">
        <v>2.1</v>
      </c>
      <c r="N153" s="15"/>
      <c r="O153" s="15"/>
      <c r="P153" s="15">
        <v>21.1</v>
      </c>
      <c r="Q153" s="15"/>
      <c r="R153" s="15"/>
      <c r="S153" s="15">
        <v>2.1</v>
      </c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spans="1:30">
      <c r="A154" s="13">
        <v>15</v>
      </c>
      <c r="B154" s="14" t="s">
        <v>154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spans="1:30">
      <c r="A155" s="13">
        <v>16</v>
      </c>
      <c r="B155" s="14" t="s">
        <v>155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>
        <v>0.5</v>
      </c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spans="1:30">
      <c r="A156" s="13">
        <v>17</v>
      </c>
      <c r="B156" s="14" t="s">
        <v>156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>
        <v>13.2</v>
      </c>
      <c r="O156" s="15"/>
      <c r="P156" s="15">
        <v>5.6</v>
      </c>
      <c r="Q156" s="16">
        <v>0</v>
      </c>
      <c r="R156" s="15"/>
      <c r="S156" s="16">
        <v>1.3</v>
      </c>
      <c r="T156" s="15"/>
      <c r="U156" s="16"/>
      <c r="V156" s="15"/>
      <c r="W156" s="16"/>
      <c r="X156" s="15"/>
      <c r="Y156" s="16"/>
      <c r="Z156" s="16">
        <v>27.272727272727273</v>
      </c>
      <c r="AA156" s="16"/>
      <c r="AB156" s="16"/>
      <c r="AC156" s="16">
        <v>2.2000000000000002</v>
      </c>
      <c r="AD156" s="16"/>
    </row>
    <row r="157" spans="1:30">
      <c r="A157" s="13">
        <v>18</v>
      </c>
      <c r="B157" s="14" t="s">
        <v>157</v>
      </c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>
        <v>0.8</v>
      </c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spans="1:30">
      <c r="A158" s="13">
        <v>19</v>
      </c>
      <c r="B158" s="14" t="s">
        <v>158</v>
      </c>
      <c r="C158" s="15">
        <v>1.2</v>
      </c>
      <c r="D158" s="15"/>
      <c r="E158" s="16">
        <v>0</v>
      </c>
      <c r="F158" s="15"/>
      <c r="G158" s="15"/>
      <c r="H158" s="15"/>
      <c r="I158" s="15">
        <v>2.2999999999999998</v>
      </c>
      <c r="J158" s="15"/>
      <c r="K158" s="16">
        <v>0</v>
      </c>
      <c r="L158" s="15"/>
      <c r="M158" s="15"/>
      <c r="N158" s="15"/>
      <c r="O158" s="16">
        <v>0</v>
      </c>
      <c r="P158" s="15"/>
      <c r="Q158" s="16">
        <v>0</v>
      </c>
      <c r="R158" s="15"/>
      <c r="S158" s="16">
        <v>0</v>
      </c>
      <c r="T158" s="15"/>
      <c r="U158" s="16">
        <v>0</v>
      </c>
      <c r="V158" s="15"/>
      <c r="W158" s="16"/>
      <c r="X158" s="15"/>
      <c r="Y158" s="16"/>
      <c r="Z158" s="15"/>
      <c r="AA158" s="16"/>
      <c r="AB158" s="15"/>
      <c r="AC158" s="16"/>
      <c r="AD158" s="15"/>
    </row>
    <row r="159" spans="1:30">
      <c r="A159" s="13">
        <v>20</v>
      </c>
      <c r="B159" s="14" t="s">
        <v>159</v>
      </c>
      <c r="C159" s="15"/>
      <c r="D159" s="15"/>
      <c r="E159" s="15"/>
      <c r="F159" s="15"/>
      <c r="G159" s="15"/>
      <c r="H159" s="15">
        <v>12.2</v>
      </c>
      <c r="I159" s="15">
        <v>2.2999999999999998</v>
      </c>
      <c r="J159" s="15"/>
      <c r="K159" s="15">
        <v>2.8</v>
      </c>
      <c r="L159" s="15"/>
      <c r="M159" s="15"/>
      <c r="N159" s="16">
        <v>4</v>
      </c>
      <c r="O159" s="15"/>
      <c r="P159" s="15">
        <v>7.9</v>
      </c>
      <c r="Q159" s="15"/>
      <c r="R159" s="15"/>
      <c r="S159" s="15">
        <v>0.3</v>
      </c>
      <c r="T159" s="15"/>
      <c r="U159" s="15"/>
      <c r="V159" s="15"/>
      <c r="W159" s="15"/>
      <c r="X159" s="15"/>
      <c r="Y159" s="15"/>
      <c r="Z159" s="16">
        <v>4.117647058823529</v>
      </c>
      <c r="AA159" s="15"/>
      <c r="AB159" s="16">
        <v>3.233830845771144</v>
      </c>
      <c r="AC159" s="15">
        <v>1.9</v>
      </c>
      <c r="AD159" s="16"/>
    </row>
    <row r="160" spans="1:30">
      <c r="A160" s="13">
        <v>21</v>
      </c>
      <c r="B160" s="14" t="s">
        <v>160</v>
      </c>
      <c r="C160" s="16">
        <v>1</v>
      </c>
      <c r="D160" s="15"/>
      <c r="E160" s="16">
        <v>1</v>
      </c>
      <c r="F160" s="15"/>
      <c r="G160" s="15"/>
      <c r="H160" s="15"/>
      <c r="I160" s="15"/>
      <c r="J160" s="15"/>
      <c r="K160" s="15"/>
      <c r="L160" s="15"/>
      <c r="M160" s="15"/>
      <c r="N160" s="15"/>
      <c r="O160" s="15">
        <v>1.7</v>
      </c>
      <c r="P160" s="15"/>
      <c r="Q160" s="15"/>
      <c r="R160" s="15"/>
      <c r="S160" s="16">
        <v>0</v>
      </c>
      <c r="T160" s="15"/>
      <c r="U160" s="16"/>
      <c r="V160" s="15"/>
      <c r="W160" s="16"/>
      <c r="X160" s="15"/>
      <c r="Y160" s="16">
        <v>0</v>
      </c>
      <c r="Z160" s="15"/>
      <c r="AA160" s="16">
        <v>0</v>
      </c>
      <c r="AB160" s="15"/>
      <c r="AC160" s="16">
        <v>0.3</v>
      </c>
      <c r="AD160" s="15"/>
    </row>
    <row r="161" spans="1:40">
      <c r="A161" s="13">
        <v>22</v>
      </c>
      <c r="B161" s="14" t="s">
        <v>161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spans="1:40">
      <c r="A162" s="13">
        <v>23</v>
      </c>
      <c r="B162" s="14" t="s">
        <v>162</v>
      </c>
      <c r="C162" s="15"/>
      <c r="D162" s="15">
        <v>6.6</v>
      </c>
      <c r="E162" s="15"/>
      <c r="F162" s="16">
        <v>4</v>
      </c>
      <c r="G162" s="15"/>
      <c r="H162" s="15">
        <v>3.2</v>
      </c>
      <c r="I162" s="15"/>
      <c r="J162" s="15"/>
      <c r="K162" s="15">
        <v>3.2</v>
      </c>
      <c r="L162" s="15"/>
      <c r="M162" s="15">
        <v>2.6</v>
      </c>
      <c r="N162" s="15"/>
      <c r="O162" s="15">
        <v>2.5</v>
      </c>
      <c r="P162" s="15"/>
      <c r="Q162" s="15"/>
      <c r="R162" s="15"/>
      <c r="S162" s="16">
        <v>0</v>
      </c>
      <c r="T162" s="15"/>
      <c r="U162" s="16"/>
      <c r="V162" s="15"/>
      <c r="W162" s="16"/>
      <c r="X162" s="15"/>
      <c r="Y162" s="16"/>
      <c r="Z162" s="15"/>
      <c r="AA162" s="16"/>
      <c r="AB162" s="15"/>
      <c r="AC162" s="16"/>
      <c r="AD162" s="15"/>
    </row>
    <row r="163" spans="1:40">
      <c r="A163" s="13">
        <v>24</v>
      </c>
      <c r="B163" s="14" t="s">
        <v>163</v>
      </c>
      <c r="C163" s="15"/>
      <c r="D163" s="15"/>
      <c r="E163" s="15"/>
      <c r="F163" s="15"/>
      <c r="G163" s="15">
        <v>0.8</v>
      </c>
      <c r="H163" s="15"/>
      <c r="I163" s="15"/>
      <c r="J163" s="15"/>
      <c r="K163" s="15"/>
      <c r="L163" s="15"/>
      <c r="M163" s="15">
        <v>2.2000000000000002</v>
      </c>
      <c r="N163" s="15"/>
      <c r="O163" s="15">
        <v>0.8</v>
      </c>
      <c r="P163" s="15"/>
      <c r="Q163" s="15"/>
      <c r="R163" s="15"/>
      <c r="S163" s="15">
        <v>0.7</v>
      </c>
      <c r="T163" s="15"/>
      <c r="U163" s="15"/>
      <c r="V163" s="15"/>
      <c r="W163" s="15"/>
      <c r="X163" s="15"/>
      <c r="Y163" s="16">
        <v>0.46728971962616822</v>
      </c>
      <c r="Z163" s="15"/>
      <c r="AA163" s="16">
        <v>0.41493775933609961</v>
      </c>
      <c r="AB163" s="15"/>
      <c r="AC163" s="16">
        <v>0.5</v>
      </c>
      <c r="AD163" s="15"/>
    </row>
    <row r="164" spans="1:40">
      <c r="A164" s="13">
        <v>25</v>
      </c>
      <c r="B164" s="14" t="s">
        <v>164</v>
      </c>
      <c r="C164" s="15"/>
      <c r="D164" s="15"/>
      <c r="E164" s="15"/>
      <c r="F164" s="15">
        <v>7.7</v>
      </c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spans="1:40">
      <c r="A165" s="13">
        <v>26</v>
      </c>
      <c r="B165" s="14" t="s">
        <v>165</v>
      </c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spans="1:40">
      <c r="A166" s="13">
        <v>27</v>
      </c>
      <c r="B166" s="14" t="s">
        <v>166</v>
      </c>
      <c r="C166" s="15"/>
      <c r="D166" s="15">
        <v>35.299999999999997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spans="1:40">
      <c r="A167" s="13">
        <v>28</v>
      </c>
      <c r="B167" s="14" t="s">
        <v>167</v>
      </c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6">
        <v>0.86580086580086579</v>
      </c>
      <c r="Z167" s="15"/>
      <c r="AA167" s="16"/>
      <c r="AB167" s="15"/>
      <c r="AC167" s="16"/>
      <c r="AD167" s="15"/>
    </row>
    <row r="168" spans="1:40">
      <c r="A168" s="13">
        <v>29</v>
      </c>
      <c r="B168" s="14" t="s">
        <v>168</v>
      </c>
      <c r="C168" s="15"/>
      <c r="D168" s="15"/>
      <c r="E168" s="15"/>
      <c r="F168" s="15"/>
      <c r="G168" s="16">
        <v>0</v>
      </c>
      <c r="H168" s="15"/>
      <c r="I168" s="15">
        <v>0.8</v>
      </c>
      <c r="J168" s="15"/>
      <c r="K168" s="15"/>
      <c r="L168" s="15">
        <v>3.2</v>
      </c>
      <c r="M168" s="15"/>
      <c r="N168" s="15">
        <v>6.1</v>
      </c>
      <c r="O168" s="15"/>
      <c r="P168" s="15">
        <v>5.9</v>
      </c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6">
        <v>2.1505376344086025</v>
      </c>
      <c r="AB168" s="15"/>
      <c r="AC168" s="16"/>
      <c r="AD168" s="15"/>
    </row>
    <row r="169" spans="1:40">
      <c r="A169" s="13">
        <v>30</v>
      </c>
      <c r="B169" s="14" t="s">
        <v>169</v>
      </c>
      <c r="C169" s="15">
        <v>1.9</v>
      </c>
      <c r="D169" s="15"/>
      <c r="E169" s="15"/>
      <c r="F169" s="15">
        <v>9.6999999999999993</v>
      </c>
      <c r="G169" s="15"/>
      <c r="H169" s="15">
        <v>3.8</v>
      </c>
      <c r="I169" s="15">
        <v>1.8</v>
      </c>
      <c r="J169" s="15"/>
      <c r="K169" s="15">
        <v>1.4</v>
      </c>
      <c r="L169" s="15"/>
      <c r="M169" s="15">
        <v>1.3</v>
      </c>
      <c r="N169" s="15"/>
      <c r="O169" s="15">
        <v>1.6</v>
      </c>
      <c r="P169" s="15"/>
      <c r="Q169" s="16">
        <v>0</v>
      </c>
      <c r="R169" s="15"/>
      <c r="S169" s="16">
        <v>0.4</v>
      </c>
      <c r="T169" s="15"/>
      <c r="U169" s="16">
        <v>1</v>
      </c>
      <c r="V169" s="15"/>
      <c r="W169" s="16"/>
      <c r="X169" s="15"/>
      <c r="Y169" s="16"/>
      <c r="Z169" s="15"/>
      <c r="AA169" s="16">
        <v>1.5037593984962405</v>
      </c>
      <c r="AB169" s="15"/>
      <c r="AC169" s="16">
        <v>0.7</v>
      </c>
      <c r="AD169" s="15"/>
    </row>
    <row r="170" spans="1:40">
      <c r="A170" s="25">
        <v>31</v>
      </c>
      <c r="B170" s="26" t="s">
        <v>170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>
        <v>30.8</v>
      </c>
      <c r="Y170" s="15"/>
      <c r="Z170" s="15"/>
      <c r="AA170" s="15"/>
      <c r="AB170" s="15"/>
      <c r="AC170" s="15"/>
      <c r="AD170" s="15"/>
    </row>
    <row r="171" spans="1:40">
      <c r="A171" s="82" t="s">
        <v>171</v>
      </c>
      <c r="B171" s="83"/>
      <c r="C171" s="27">
        <f t="shared" ref="C171:AB171" si="13">+C139+C128+C106+C64+C38+C8</f>
        <v>70</v>
      </c>
      <c r="D171" s="27">
        <f t="shared" si="13"/>
        <v>46</v>
      </c>
      <c r="E171" s="27">
        <f t="shared" si="13"/>
        <v>76</v>
      </c>
      <c r="F171" s="27">
        <f t="shared" si="13"/>
        <v>42</v>
      </c>
      <c r="G171" s="27">
        <f t="shared" si="13"/>
        <v>77</v>
      </c>
      <c r="H171" s="27">
        <f>+H139+H128+H106+H64+H38+H8</f>
        <v>35</v>
      </c>
      <c r="I171" s="27">
        <f t="shared" si="13"/>
        <v>81</v>
      </c>
      <c r="J171" s="27">
        <f t="shared" si="13"/>
        <v>34</v>
      </c>
      <c r="K171" s="27">
        <f t="shared" si="13"/>
        <v>83</v>
      </c>
      <c r="L171" s="27">
        <f t="shared" si="13"/>
        <v>29</v>
      </c>
      <c r="M171" s="27">
        <f t="shared" si="13"/>
        <v>81</v>
      </c>
      <c r="N171" s="27">
        <f t="shared" si="13"/>
        <v>34</v>
      </c>
      <c r="O171" s="27">
        <f t="shared" si="13"/>
        <v>91</v>
      </c>
      <c r="P171" s="27">
        <f t="shared" si="13"/>
        <v>30</v>
      </c>
      <c r="Q171" s="27">
        <f t="shared" si="13"/>
        <v>101</v>
      </c>
      <c r="R171" s="27">
        <f t="shared" si="13"/>
        <v>13</v>
      </c>
      <c r="S171" s="27">
        <f t="shared" si="13"/>
        <v>102</v>
      </c>
      <c r="T171" s="27">
        <f t="shared" si="13"/>
        <v>12</v>
      </c>
      <c r="U171" s="27">
        <f t="shared" si="13"/>
        <v>68</v>
      </c>
      <c r="V171" s="27">
        <f t="shared" si="13"/>
        <v>18</v>
      </c>
      <c r="W171" s="27">
        <f t="shared" si="13"/>
        <v>78</v>
      </c>
      <c r="X171" s="27">
        <f t="shared" si="13"/>
        <v>27</v>
      </c>
      <c r="Y171" s="27">
        <f t="shared" si="13"/>
        <v>87</v>
      </c>
      <c r="Z171" s="27">
        <f t="shared" si="13"/>
        <v>25</v>
      </c>
      <c r="AA171" s="27">
        <f t="shared" si="13"/>
        <v>85</v>
      </c>
      <c r="AB171" s="27">
        <f t="shared" si="13"/>
        <v>28</v>
      </c>
      <c r="AC171" s="27">
        <f>+AC139+AC128+AC106+AC64+AC38+AC8</f>
        <v>85</v>
      </c>
      <c r="AD171" s="27">
        <f>+AD139+AD128+AD106+AD64+AD38+AD8</f>
        <v>30</v>
      </c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</row>
    <row r="172" spans="1:40" ht="16.5">
      <c r="A172" s="28" t="s">
        <v>172</v>
      </c>
      <c r="B172" s="29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spans="1:40" ht="16.5"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85" spans="31:40" ht="16.5"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spans="31:40" ht="16.5"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spans="31:40" ht="15.75"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</row>
    <row r="192" spans="31:40" ht="16.5"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5" spans="1:2">
      <c r="A195" s="4"/>
      <c r="B195" s="48"/>
    </row>
    <row r="196" spans="1:2">
      <c r="A196" s="4"/>
      <c r="B196" s="48"/>
    </row>
    <row r="197" spans="1:2">
      <c r="A197" s="4"/>
      <c r="B197" s="48"/>
    </row>
    <row r="198" spans="1:2">
      <c r="A198" s="4"/>
      <c r="B198" s="48"/>
    </row>
    <row r="199" spans="1:2">
      <c r="A199" s="4"/>
      <c r="B199" s="48"/>
    </row>
    <row r="200" spans="1:2">
      <c r="A200" s="4"/>
      <c r="B200" s="48"/>
    </row>
    <row r="201" spans="1:2">
      <c r="A201" s="4"/>
      <c r="B201" s="48"/>
    </row>
    <row r="202" spans="1:2">
      <c r="A202" s="4"/>
      <c r="B202" s="48"/>
    </row>
    <row r="203" spans="1:2">
      <c r="A203" s="4"/>
      <c r="B203" s="48"/>
    </row>
    <row r="204" spans="1:2">
      <c r="A204" s="4"/>
      <c r="B204" s="48"/>
    </row>
    <row r="205" spans="1:2">
      <c r="A205" s="4"/>
      <c r="B205" s="48"/>
    </row>
    <row r="206" spans="1:2">
      <c r="A206" s="4"/>
      <c r="B206" s="48"/>
    </row>
    <row r="207" spans="1:2">
      <c r="A207" s="4"/>
      <c r="B207" s="48"/>
    </row>
    <row r="208" spans="1:2">
      <c r="A208" s="4"/>
      <c r="B208" s="48"/>
    </row>
    <row r="209" spans="1:2">
      <c r="A209" s="4"/>
      <c r="B209" s="48"/>
    </row>
    <row r="210" spans="1:2">
      <c r="A210" s="4"/>
      <c r="B210" s="48"/>
    </row>
    <row r="211" spans="1:2">
      <c r="A211" s="4"/>
      <c r="B211" s="48"/>
    </row>
    <row r="212" spans="1:2">
      <c r="A212" s="4"/>
      <c r="B212" s="48"/>
    </row>
  </sheetData>
  <mergeCells count="40">
    <mergeCell ref="A1:AD1"/>
    <mergeCell ref="A2:AD2"/>
    <mergeCell ref="A3:AD3"/>
    <mergeCell ref="A5:AD5"/>
    <mergeCell ref="A6:A7"/>
    <mergeCell ref="B6:B7"/>
    <mergeCell ref="C6:D6"/>
    <mergeCell ref="E6:F6"/>
    <mergeCell ref="G6:H6"/>
    <mergeCell ref="I6:J6"/>
    <mergeCell ref="W6:X6"/>
    <mergeCell ref="Y6:Z6"/>
    <mergeCell ref="AA6:AB6"/>
    <mergeCell ref="AC6:AD6"/>
    <mergeCell ref="S6:T6"/>
    <mergeCell ref="U6:V6"/>
    <mergeCell ref="A171:B171"/>
    <mergeCell ref="K6:L6"/>
    <mergeCell ref="M6:N6"/>
    <mergeCell ref="O6:P6"/>
    <mergeCell ref="Q6:R6"/>
    <mergeCell ref="BH9:BI9"/>
    <mergeCell ref="BJ9:BK9"/>
    <mergeCell ref="AH17:AI17"/>
    <mergeCell ref="AP9:AQ9"/>
    <mergeCell ref="AR9:AS9"/>
    <mergeCell ref="AT9:AU9"/>
    <mergeCell ref="AV9:AW9"/>
    <mergeCell ref="AX9:AY9"/>
    <mergeCell ref="AZ9:BA9"/>
    <mergeCell ref="AH9:AH10"/>
    <mergeCell ref="AI9:AI10"/>
    <mergeCell ref="AJ9:AK9"/>
    <mergeCell ref="AL9:AM9"/>
    <mergeCell ref="AN9:AO9"/>
    <mergeCell ref="AH18:AI18"/>
    <mergeCell ref="AI21:AX21"/>
    <mergeCell ref="BB9:BC9"/>
    <mergeCell ref="BD9:BE9"/>
    <mergeCell ref="BF9:BG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DDD19-4AE7-476A-B0C0-FA8B67BA5E91}">
  <dimension ref="A1:Y352"/>
  <sheetViews>
    <sheetView zoomScale="80" zoomScaleNormal="80" workbookViewId="0">
      <pane xSplit="5" ySplit="1" topLeftCell="N233" activePane="bottomRight" state="frozen"/>
      <selection pane="topRight" activeCell="F1" sqref="F1"/>
      <selection pane="bottomLeft" activeCell="A2" sqref="A2"/>
      <selection pane="bottomRight" sqref="A1:Q1"/>
    </sheetView>
  </sheetViews>
  <sheetFormatPr baseColWidth="10" defaultRowHeight="15"/>
  <cols>
    <col min="1" max="1" width="12.28515625" bestFit="1" customWidth="1"/>
    <col min="6" max="11" width="11.42578125" style="59"/>
    <col min="12" max="17" width="17.140625" style="63" customWidth="1"/>
    <col min="18" max="20" width="18.5703125" customWidth="1"/>
    <col min="21" max="21" width="19.7109375" style="62" customWidth="1"/>
    <col min="22" max="23" width="18.5703125" style="62" customWidth="1"/>
    <col min="24" max="24" width="18.5703125" customWidth="1"/>
    <col min="25" max="25" width="22.28515625" style="62" customWidth="1"/>
  </cols>
  <sheetData>
    <row r="1" spans="1:25" s="68" customFormat="1" ht="30" customHeight="1">
      <c r="A1" s="66" t="s">
        <v>498</v>
      </c>
      <c r="B1" s="66" t="s">
        <v>499</v>
      </c>
      <c r="C1" s="66" t="s">
        <v>180</v>
      </c>
      <c r="D1" s="66" t="s">
        <v>500</v>
      </c>
      <c r="E1" s="66" t="s">
        <v>501</v>
      </c>
      <c r="F1" s="67" t="s">
        <v>676</v>
      </c>
      <c r="G1" s="66" t="s">
        <v>677</v>
      </c>
      <c r="H1" s="67" t="s">
        <v>678</v>
      </c>
      <c r="I1" s="66" t="s">
        <v>679</v>
      </c>
      <c r="J1" s="66" t="s">
        <v>680</v>
      </c>
      <c r="K1" s="66" t="s">
        <v>681</v>
      </c>
      <c r="L1" s="67" t="s">
        <v>670</v>
      </c>
      <c r="M1" s="67" t="s">
        <v>671</v>
      </c>
      <c r="N1" s="67" t="s">
        <v>672</v>
      </c>
      <c r="O1" s="67" t="s">
        <v>673</v>
      </c>
      <c r="P1" s="67" t="s">
        <v>674</v>
      </c>
      <c r="Q1" s="67" t="s">
        <v>675</v>
      </c>
      <c r="R1" s="66" t="s">
        <v>682</v>
      </c>
      <c r="S1" s="66" t="s">
        <v>683</v>
      </c>
      <c r="T1" s="66" t="s">
        <v>684</v>
      </c>
      <c r="U1" s="69" t="s">
        <v>685</v>
      </c>
      <c r="V1" s="69" t="s">
        <v>686</v>
      </c>
      <c r="W1" s="69" t="s">
        <v>687</v>
      </c>
      <c r="X1" s="66" t="s">
        <v>688</v>
      </c>
      <c r="Y1" s="69" t="s">
        <v>689</v>
      </c>
    </row>
    <row r="2" spans="1:25">
      <c r="A2" s="60" t="s">
        <v>8</v>
      </c>
      <c r="B2" s="60" t="s">
        <v>502</v>
      </c>
      <c r="C2" s="60" t="s">
        <v>190</v>
      </c>
      <c r="D2" s="60" t="s">
        <v>190</v>
      </c>
      <c r="E2" s="60">
        <v>10101</v>
      </c>
      <c r="F2" s="52">
        <v>74464</v>
      </c>
      <c r="G2" s="52">
        <v>76578</v>
      </c>
      <c r="H2" s="52">
        <v>79587</v>
      </c>
      <c r="I2" s="52">
        <v>106666</v>
      </c>
      <c r="J2" s="52">
        <v>109675</v>
      </c>
      <c r="K2" s="52">
        <v>112684</v>
      </c>
      <c r="L2" s="52">
        <v>7446</v>
      </c>
      <c r="M2" s="52">
        <v>3369</v>
      </c>
      <c r="N2" s="52">
        <v>2069</v>
      </c>
      <c r="O2" s="52">
        <v>755</v>
      </c>
      <c r="P2" s="52">
        <v>1329</v>
      </c>
      <c r="Q2" s="52">
        <v>1352</v>
      </c>
      <c r="R2" s="60">
        <v>10</v>
      </c>
      <c r="S2" s="60">
        <v>4.4000000000000004</v>
      </c>
      <c r="T2" s="60">
        <v>2.6000000000000005</v>
      </c>
      <c r="U2" s="65">
        <v>5.666666666666667</v>
      </c>
      <c r="V2" s="65">
        <v>0.70794182005406103</v>
      </c>
      <c r="W2" s="65">
        <v>1.2116122840690979</v>
      </c>
      <c r="X2" s="60">
        <v>1.2</v>
      </c>
      <c r="Y2" s="65">
        <v>1.039851368041053</v>
      </c>
    </row>
    <row r="3" spans="1:25">
      <c r="A3" s="60" t="s">
        <v>8</v>
      </c>
      <c r="B3" s="60" t="s">
        <v>502</v>
      </c>
      <c r="C3" s="60" t="s">
        <v>242</v>
      </c>
      <c r="D3" s="60" t="s">
        <v>242</v>
      </c>
      <c r="E3" s="60">
        <v>10102</v>
      </c>
      <c r="F3" s="52">
        <v>3419</v>
      </c>
      <c r="G3" s="52">
        <v>3449</v>
      </c>
      <c r="H3" s="52">
        <v>3570</v>
      </c>
      <c r="I3" s="52">
        <v>4663</v>
      </c>
      <c r="J3" s="52">
        <v>4785</v>
      </c>
      <c r="K3" s="52">
        <v>4906</v>
      </c>
      <c r="L3" s="52">
        <v>256</v>
      </c>
      <c r="M3" s="52">
        <v>186</v>
      </c>
      <c r="N3" s="52">
        <v>111</v>
      </c>
      <c r="O3" s="52">
        <v>179</v>
      </c>
      <c r="P3" s="52">
        <v>231</v>
      </c>
      <c r="Q3" s="52">
        <v>304</v>
      </c>
      <c r="R3" s="60">
        <v>7.5</v>
      </c>
      <c r="S3" s="60">
        <v>5.4</v>
      </c>
      <c r="T3" s="60">
        <v>3.1</v>
      </c>
      <c r="U3" s="65">
        <v>5.333333333333333</v>
      </c>
      <c r="V3" s="65">
        <v>3.8352272727272729</v>
      </c>
      <c r="W3" s="65">
        <v>4.821002386634845</v>
      </c>
      <c r="X3" s="60">
        <v>6.2000000000000011</v>
      </c>
      <c r="Y3" s="65">
        <v>4.9520765531207065</v>
      </c>
    </row>
    <row r="4" spans="1:25">
      <c r="A4" s="60" t="s">
        <v>8</v>
      </c>
      <c r="B4" s="60" t="s">
        <v>502</v>
      </c>
      <c r="C4" s="60" t="s">
        <v>492</v>
      </c>
      <c r="D4" s="60" t="s">
        <v>492</v>
      </c>
      <c r="E4" s="60">
        <v>10103</v>
      </c>
      <c r="F4" s="52">
        <v>5494</v>
      </c>
      <c r="G4" s="52">
        <v>5594</v>
      </c>
      <c r="H4" s="52">
        <v>5686</v>
      </c>
      <c r="I4" s="52">
        <v>6518</v>
      </c>
      <c r="J4" s="52">
        <v>6611</v>
      </c>
      <c r="K4" s="52">
        <v>6703</v>
      </c>
      <c r="L4" s="52">
        <v>181</v>
      </c>
      <c r="M4" s="52">
        <v>201</v>
      </c>
      <c r="N4" s="52">
        <v>80</v>
      </c>
      <c r="O4" s="52">
        <v>81</v>
      </c>
      <c r="P4" s="52">
        <v>1556</v>
      </c>
      <c r="Q4" s="52">
        <v>282</v>
      </c>
      <c r="R4" s="60">
        <v>3.3000000000000003</v>
      </c>
      <c r="S4" s="60">
        <v>3.6000000000000005</v>
      </c>
      <c r="T4" s="60">
        <v>1.4</v>
      </c>
      <c r="U4" s="65">
        <v>2.7666666666666671</v>
      </c>
      <c r="V4" s="65">
        <v>1.2391158740790356</v>
      </c>
      <c r="W4" s="65">
        <v>23.52941176470588</v>
      </c>
      <c r="X4" s="60">
        <v>4.2</v>
      </c>
      <c r="Y4" s="65">
        <v>9.6561758795949721</v>
      </c>
    </row>
    <row r="5" spans="1:25">
      <c r="A5" s="60" t="s">
        <v>8</v>
      </c>
      <c r="B5" s="60" t="s">
        <v>486</v>
      </c>
      <c r="C5" s="60" t="s">
        <v>503</v>
      </c>
      <c r="D5" s="60" t="s">
        <v>503</v>
      </c>
      <c r="E5" s="60">
        <v>10201</v>
      </c>
      <c r="F5" s="52">
        <v>3086</v>
      </c>
      <c r="G5" s="52">
        <v>3120</v>
      </c>
      <c r="H5" s="52">
        <v>3219</v>
      </c>
      <c r="I5" s="52">
        <v>4110</v>
      </c>
      <c r="J5" s="52">
        <v>4209</v>
      </c>
      <c r="K5" s="52">
        <v>4308</v>
      </c>
      <c r="L5" s="52">
        <v>43</v>
      </c>
      <c r="M5" s="52">
        <v>53</v>
      </c>
      <c r="N5" s="52">
        <v>19</v>
      </c>
      <c r="O5" s="52">
        <v>0</v>
      </c>
      <c r="P5" s="52">
        <v>151</v>
      </c>
      <c r="Q5" s="52">
        <v>534</v>
      </c>
      <c r="R5" s="60">
        <v>1.3999999999999997</v>
      </c>
      <c r="S5" s="60">
        <v>1.7000000000000002</v>
      </c>
      <c r="T5" s="60">
        <v>0.6</v>
      </c>
      <c r="U5" s="65">
        <v>1.2333333333333332</v>
      </c>
      <c r="V5" s="65">
        <v>0</v>
      </c>
      <c r="W5" s="65">
        <v>3.5805626598465472</v>
      </c>
      <c r="X5" s="60">
        <v>12.4</v>
      </c>
      <c r="Y5" s="65">
        <v>5.3268542199488493</v>
      </c>
    </row>
    <row r="6" spans="1:25">
      <c r="A6" s="60" t="s">
        <v>8</v>
      </c>
      <c r="B6" s="60" t="s">
        <v>486</v>
      </c>
      <c r="C6" s="60" t="s">
        <v>216</v>
      </c>
      <c r="D6" s="60" t="s">
        <v>504</v>
      </c>
      <c r="E6" s="60">
        <v>10202</v>
      </c>
      <c r="F6" s="52">
        <v>4375</v>
      </c>
      <c r="G6" s="52">
        <v>4428</v>
      </c>
      <c r="H6" s="52">
        <v>4608</v>
      </c>
      <c r="I6" s="52">
        <v>6231</v>
      </c>
      <c r="J6" s="52">
        <v>6411</v>
      </c>
      <c r="K6" s="52">
        <v>6591</v>
      </c>
      <c r="L6" s="52">
        <v>0</v>
      </c>
      <c r="M6" s="52">
        <v>137</v>
      </c>
      <c r="N6" s="52">
        <v>88</v>
      </c>
      <c r="O6" s="52">
        <v>0</v>
      </c>
      <c r="P6" s="52">
        <v>48</v>
      </c>
      <c r="Q6" s="52">
        <v>0</v>
      </c>
      <c r="R6" s="60">
        <v>0</v>
      </c>
      <c r="S6" s="60">
        <v>3.1</v>
      </c>
      <c r="T6" s="60">
        <v>1.9</v>
      </c>
      <c r="U6" s="65">
        <v>1.6666666666666667</v>
      </c>
      <c r="V6" s="65">
        <v>0</v>
      </c>
      <c r="W6" s="65">
        <v>0.74487895716945995</v>
      </c>
      <c r="X6" s="60">
        <v>0</v>
      </c>
      <c r="Y6" s="65">
        <v>0.24829298572315331</v>
      </c>
    </row>
    <row r="7" spans="1:25">
      <c r="A7" s="60" t="s">
        <v>8</v>
      </c>
      <c r="B7" s="60" t="s">
        <v>231</v>
      </c>
      <c r="C7" s="60" t="s">
        <v>505</v>
      </c>
      <c r="D7" s="60" t="s">
        <v>506</v>
      </c>
      <c r="E7" s="60">
        <v>10301</v>
      </c>
      <c r="F7" s="52">
        <v>2917</v>
      </c>
      <c r="G7" s="52">
        <v>2968</v>
      </c>
      <c r="H7" s="52">
        <v>3024</v>
      </c>
      <c r="I7" s="52">
        <v>3531</v>
      </c>
      <c r="J7" s="52">
        <v>3588</v>
      </c>
      <c r="K7" s="52">
        <v>3644</v>
      </c>
      <c r="L7" s="52">
        <v>53</v>
      </c>
      <c r="M7" s="52">
        <v>9</v>
      </c>
      <c r="N7" s="52">
        <v>27</v>
      </c>
      <c r="O7" s="52">
        <v>0</v>
      </c>
      <c r="P7" s="52">
        <v>18</v>
      </c>
      <c r="Q7" s="52">
        <v>15</v>
      </c>
      <c r="R7" s="60">
        <v>1.8000000000000003</v>
      </c>
      <c r="S7" s="60">
        <v>0.3</v>
      </c>
      <c r="T7" s="60">
        <v>0.90000000000000013</v>
      </c>
      <c r="U7" s="65">
        <v>1</v>
      </c>
      <c r="V7" s="65">
        <v>0</v>
      </c>
      <c r="W7" s="65">
        <v>0.50287356321839083</v>
      </c>
      <c r="X7" s="60">
        <v>0.4</v>
      </c>
      <c r="Y7" s="65">
        <v>0.30095785440613027</v>
      </c>
    </row>
    <row r="8" spans="1:25">
      <c r="A8" s="60" t="s">
        <v>8</v>
      </c>
      <c r="B8" s="60" t="s">
        <v>231</v>
      </c>
      <c r="C8" s="60" t="s">
        <v>488</v>
      </c>
      <c r="D8" s="60" t="s">
        <v>488</v>
      </c>
      <c r="E8" s="60">
        <v>10302</v>
      </c>
      <c r="F8" s="52">
        <v>3168</v>
      </c>
      <c r="G8" s="52">
        <v>3237</v>
      </c>
      <c r="H8" s="52">
        <v>3325</v>
      </c>
      <c r="I8" s="52">
        <v>4117</v>
      </c>
      <c r="J8" s="52">
        <v>4205</v>
      </c>
      <c r="K8" s="52">
        <v>4293</v>
      </c>
      <c r="L8" s="52">
        <v>41</v>
      </c>
      <c r="M8" s="52">
        <v>117</v>
      </c>
      <c r="N8" s="52">
        <v>90</v>
      </c>
      <c r="O8" s="52">
        <v>303</v>
      </c>
      <c r="P8" s="52">
        <v>516</v>
      </c>
      <c r="Q8" s="52">
        <v>150</v>
      </c>
      <c r="R8" s="60">
        <v>1.3</v>
      </c>
      <c r="S8" s="60">
        <v>3.6000000000000005</v>
      </c>
      <c r="T8" s="60">
        <v>2.7</v>
      </c>
      <c r="U8" s="65">
        <v>2.5333333333333337</v>
      </c>
      <c r="V8" s="65">
        <v>7.3563218390804597</v>
      </c>
      <c r="W8" s="65">
        <v>12.268518518518519</v>
      </c>
      <c r="X8" s="60">
        <v>3.5000000000000004</v>
      </c>
      <c r="Y8" s="65">
        <v>7.7082801191996593</v>
      </c>
    </row>
    <row r="9" spans="1:25">
      <c r="A9" s="60" t="s">
        <v>8</v>
      </c>
      <c r="B9" s="60" t="s">
        <v>231</v>
      </c>
      <c r="C9" s="60" t="s">
        <v>507</v>
      </c>
      <c r="D9" s="60" t="s">
        <v>508</v>
      </c>
      <c r="E9" s="60">
        <v>10303</v>
      </c>
      <c r="F9" s="52">
        <v>2942</v>
      </c>
      <c r="G9" s="52">
        <v>2984</v>
      </c>
      <c r="H9" s="52">
        <v>3067</v>
      </c>
      <c r="I9" s="52">
        <v>3814</v>
      </c>
      <c r="J9" s="52">
        <v>3897</v>
      </c>
      <c r="K9" s="52">
        <v>3980</v>
      </c>
      <c r="L9" s="52">
        <v>85</v>
      </c>
      <c r="M9" s="52">
        <v>57</v>
      </c>
      <c r="N9" s="52">
        <v>83</v>
      </c>
      <c r="O9" s="52">
        <v>523</v>
      </c>
      <c r="P9" s="52">
        <v>792</v>
      </c>
      <c r="Q9" s="52">
        <v>844</v>
      </c>
      <c r="R9" s="60">
        <v>2.9000000000000004</v>
      </c>
      <c r="S9" s="60">
        <v>1.9</v>
      </c>
      <c r="T9" s="60">
        <v>2.7</v>
      </c>
      <c r="U9" s="65">
        <v>2.5000000000000004</v>
      </c>
      <c r="V9" s="65">
        <v>13.712374581939802</v>
      </c>
      <c r="W9" s="65">
        <v>20.333333333333332</v>
      </c>
      <c r="X9" s="60">
        <v>21.2</v>
      </c>
      <c r="Y9" s="65">
        <v>18.41523597175771</v>
      </c>
    </row>
    <row r="10" spans="1:25">
      <c r="A10" s="60" t="s">
        <v>8</v>
      </c>
      <c r="B10" s="60" t="s">
        <v>231</v>
      </c>
      <c r="C10" s="60" t="s">
        <v>479</v>
      </c>
      <c r="D10" s="60" t="s">
        <v>479</v>
      </c>
      <c r="E10" s="60">
        <v>10304</v>
      </c>
      <c r="F10" s="52">
        <v>2255</v>
      </c>
      <c r="G10" s="52">
        <v>2285</v>
      </c>
      <c r="H10" s="52">
        <v>2439</v>
      </c>
      <c r="I10" s="52">
        <v>3822</v>
      </c>
      <c r="J10" s="52">
        <v>3975</v>
      </c>
      <c r="K10" s="52">
        <v>4129</v>
      </c>
      <c r="L10" s="52">
        <v>88</v>
      </c>
      <c r="M10" s="52">
        <v>30</v>
      </c>
      <c r="N10" s="52">
        <v>29</v>
      </c>
      <c r="O10" s="52">
        <v>26</v>
      </c>
      <c r="P10" s="52">
        <v>472</v>
      </c>
      <c r="Q10" s="52">
        <v>12</v>
      </c>
      <c r="R10" s="60">
        <v>3.9</v>
      </c>
      <c r="S10" s="60">
        <v>1.3</v>
      </c>
      <c r="T10" s="60">
        <v>1.2</v>
      </c>
      <c r="U10" s="65">
        <v>2.1333333333333333</v>
      </c>
      <c r="V10" s="65">
        <v>0.68337129840546695</v>
      </c>
      <c r="W10" s="65">
        <v>11.874105865522175</v>
      </c>
      <c r="X10" s="60">
        <v>0.3</v>
      </c>
      <c r="Y10" s="65">
        <v>4.2858257213092141</v>
      </c>
    </row>
    <row r="11" spans="1:25">
      <c r="A11" s="60" t="s">
        <v>8</v>
      </c>
      <c r="B11" s="60" t="s">
        <v>485</v>
      </c>
      <c r="C11" s="60" t="s">
        <v>199</v>
      </c>
      <c r="D11" s="60" t="s">
        <v>199</v>
      </c>
      <c r="E11" s="60">
        <v>10401</v>
      </c>
      <c r="F11" s="52">
        <v>3589</v>
      </c>
      <c r="G11" s="52">
        <v>3628</v>
      </c>
      <c r="H11" s="52">
        <v>3733</v>
      </c>
      <c r="I11" s="52">
        <v>4681</v>
      </c>
      <c r="J11" s="52">
        <v>4786</v>
      </c>
      <c r="K11" s="52">
        <v>4891</v>
      </c>
      <c r="L11" s="52">
        <v>0</v>
      </c>
      <c r="M11" s="52">
        <v>341</v>
      </c>
      <c r="N11" s="52">
        <v>105</v>
      </c>
      <c r="O11" s="52">
        <v>39</v>
      </c>
      <c r="P11" s="52">
        <v>50</v>
      </c>
      <c r="Q11" s="52">
        <v>15</v>
      </c>
      <c r="R11" s="60">
        <v>0</v>
      </c>
      <c r="S11" s="60">
        <v>9.4</v>
      </c>
      <c r="T11" s="60">
        <v>2.8</v>
      </c>
      <c r="U11" s="65">
        <v>4.0666666666666664</v>
      </c>
      <c r="V11" s="65">
        <v>0.82352941176470595</v>
      </c>
      <c r="W11" s="65">
        <v>1.0526315789473684</v>
      </c>
      <c r="X11" s="60">
        <v>0.3</v>
      </c>
      <c r="Y11" s="65">
        <v>0.72538699690402464</v>
      </c>
    </row>
    <row r="12" spans="1:25">
      <c r="A12" s="60" t="s">
        <v>8</v>
      </c>
      <c r="B12" s="60" t="s">
        <v>485</v>
      </c>
      <c r="C12" s="60" t="s">
        <v>485</v>
      </c>
      <c r="D12" s="60" t="s">
        <v>509</v>
      </c>
      <c r="E12" s="60">
        <v>10402</v>
      </c>
      <c r="F12" s="52">
        <v>2557</v>
      </c>
      <c r="G12" s="52">
        <v>2584</v>
      </c>
      <c r="H12" s="52">
        <v>2670</v>
      </c>
      <c r="I12" s="52">
        <v>3439</v>
      </c>
      <c r="J12" s="52">
        <v>3525</v>
      </c>
      <c r="K12" s="52">
        <v>3610</v>
      </c>
      <c r="L12" s="52">
        <v>138</v>
      </c>
      <c r="M12" s="52">
        <v>96</v>
      </c>
      <c r="N12" s="52">
        <v>96</v>
      </c>
      <c r="O12" s="52">
        <v>225</v>
      </c>
      <c r="P12" s="52">
        <v>0</v>
      </c>
      <c r="Q12" s="52">
        <v>625</v>
      </c>
      <c r="R12" s="60">
        <v>5.4000000000000012</v>
      </c>
      <c r="S12" s="60">
        <v>3.7000000000000006</v>
      </c>
      <c r="T12" s="60">
        <v>3.6000000000000005</v>
      </c>
      <c r="U12" s="65">
        <v>4.2333333333333343</v>
      </c>
      <c r="V12" s="65">
        <v>6.5292096219931279</v>
      </c>
      <c r="W12" s="65">
        <v>0</v>
      </c>
      <c r="X12" s="60">
        <v>17.3</v>
      </c>
      <c r="Y12" s="65">
        <v>7.9430698739977101</v>
      </c>
    </row>
    <row r="13" spans="1:25">
      <c r="A13" s="60" t="s">
        <v>8</v>
      </c>
      <c r="B13" s="60" t="s">
        <v>485</v>
      </c>
      <c r="C13" s="60" t="s">
        <v>449</v>
      </c>
      <c r="D13" s="60" t="s">
        <v>510</v>
      </c>
      <c r="E13" s="60">
        <v>10403</v>
      </c>
      <c r="F13" s="52">
        <v>2542</v>
      </c>
      <c r="G13" s="52">
        <v>2612</v>
      </c>
      <c r="H13" s="52">
        <v>2651</v>
      </c>
      <c r="I13" s="52">
        <v>3005</v>
      </c>
      <c r="J13" s="52">
        <v>3045</v>
      </c>
      <c r="K13" s="52">
        <v>3084</v>
      </c>
      <c r="L13" s="52">
        <v>3</v>
      </c>
      <c r="M13" s="52">
        <v>8</v>
      </c>
      <c r="N13" s="52">
        <v>0</v>
      </c>
      <c r="O13" s="52">
        <v>0</v>
      </c>
      <c r="P13" s="52">
        <v>13</v>
      </c>
      <c r="Q13" s="52">
        <v>0</v>
      </c>
      <c r="R13" s="60">
        <v>0.1</v>
      </c>
      <c r="S13" s="60">
        <v>0.3</v>
      </c>
      <c r="T13" s="60">
        <v>0</v>
      </c>
      <c r="U13" s="65">
        <v>0.13333333333333333</v>
      </c>
      <c r="V13" s="65">
        <v>0</v>
      </c>
      <c r="W13" s="65">
        <v>0.42698548249359519</v>
      </c>
      <c r="X13" s="60">
        <v>0</v>
      </c>
      <c r="Y13" s="65">
        <v>0.14232849416453172</v>
      </c>
    </row>
    <row r="14" spans="1:25">
      <c r="A14" s="60" t="s">
        <v>8</v>
      </c>
      <c r="B14" s="60" t="s">
        <v>485</v>
      </c>
      <c r="C14" s="60" t="s">
        <v>511</v>
      </c>
      <c r="D14" s="60" t="s">
        <v>211</v>
      </c>
      <c r="E14" s="60">
        <v>10404</v>
      </c>
      <c r="F14" s="52">
        <v>1240</v>
      </c>
      <c r="G14" s="52">
        <v>1272</v>
      </c>
      <c r="H14" s="52">
        <v>1305</v>
      </c>
      <c r="I14" s="52">
        <v>1601</v>
      </c>
      <c r="J14" s="52">
        <v>1634</v>
      </c>
      <c r="K14" s="52">
        <v>1667</v>
      </c>
      <c r="L14" s="52">
        <v>42</v>
      </c>
      <c r="M14" s="52">
        <v>48</v>
      </c>
      <c r="N14" s="52">
        <v>12</v>
      </c>
      <c r="O14" s="52">
        <v>0</v>
      </c>
      <c r="P14" s="52">
        <v>33</v>
      </c>
      <c r="Q14" s="52">
        <v>10</v>
      </c>
      <c r="R14" s="60">
        <v>3.4000000000000004</v>
      </c>
      <c r="S14" s="60">
        <v>3.8</v>
      </c>
      <c r="T14" s="60">
        <v>0.90000000000000013</v>
      </c>
      <c r="U14" s="65">
        <v>2.6999999999999997</v>
      </c>
      <c r="V14" s="65">
        <v>0</v>
      </c>
      <c r="W14" s="65">
        <v>2.0433436532507741</v>
      </c>
      <c r="X14" s="60">
        <v>0.6</v>
      </c>
      <c r="Y14" s="65">
        <v>0.88111455108359138</v>
      </c>
    </row>
    <row r="15" spans="1:25">
      <c r="A15" s="60" t="s">
        <v>8</v>
      </c>
      <c r="B15" s="60" t="s">
        <v>485</v>
      </c>
      <c r="C15" s="60" t="s">
        <v>209</v>
      </c>
      <c r="D15" s="60" t="s">
        <v>209</v>
      </c>
      <c r="E15" s="60">
        <v>10405</v>
      </c>
      <c r="F15" s="52">
        <v>1418</v>
      </c>
      <c r="G15" s="52">
        <v>1433</v>
      </c>
      <c r="H15" s="52">
        <v>1476</v>
      </c>
      <c r="I15" s="52">
        <v>1864</v>
      </c>
      <c r="J15" s="52">
        <v>1907</v>
      </c>
      <c r="K15" s="52">
        <v>1950</v>
      </c>
      <c r="L15" s="52">
        <v>145</v>
      </c>
      <c r="M15" s="52">
        <v>79</v>
      </c>
      <c r="N15" s="52">
        <v>32</v>
      </c>
      <c r="O15" s="52">
        <v>0</v>
      </c>
      <c r="P15" s="52">
        <v>189</v>
      </c>
      <c r="Q15" s="52">
        <v>39</v>
      </c>
      <c r="R15" s="60">
        <v>10.199999999999999</v>
      </c>
      <c r="S15" s="60">
        <v>5.5</v>
      </c>
      <c r="T15" s="60">
        <v>2.1999999999999997</v>
      </c>
      <c r="U15" s="65">
        <v>5.9666666666666659</v>
      </c>
      <c r="V15" s="65">
        <v>0</v>
      </c>
      <c r="W15" s="65">
        <v>9.9352051835853139</v>
      </c>
      <c r="X15" s="60">
        <v>2</v>
      </c>
      <c r="Y15" s="65">
        <v>3.9784017278617712</v>
      </c>
    </row>
    <row r="16" spans="1:25">
      <c r="A16" s="60" t="s">
        <v>8</v>
      </c>
      <c r="B16" s="60" t="s">
        <v>512</v>
      </c>
      <c r="C16" s="60" t="s">
        <v>459</v>
      </c>
      <c r="D16" s="60" t="s">
        <v>459</v>
      </c>
      <c r="E16" s="60">
        <v>10501</v>
      </c>
      <c r="F16" s="52">
        <v>6890</v>
      </c>
      <c r="G16" s="52">
        <v>6968</v>
      </c>
      <c r="H16" s="52">
        <v>7212</v>
      </c>
      <c r="I16" s="52">
        <v>9411</v>
      </c>
      <c r="J16" s="52">
        <v>9655</v>
      </c>
      <c r="K16" s="52">
        <v>9899</v>
      </c>
      <c r="L16" s="52">
        <v>296</v>
      </c>
      <c r="M16" s="52">
        <v>202</v>
      </c>
      <c r="N16" s="52">
        <v>87</v>
      </c>
      <c r="O16" s="52">
        <v>556</v>
      </c>
      <c r="P16" s="52">
        <v>7</v>
      </c>
      <c r="Q16" s="52">
        <v>337</v>
      </c>
      <c r="R16" s="60">
        <v>4.3</v>
      </c>
      <c r="S16" s="60">
        <v>2.9</v>
      </c>
      <c r="T16" s="60">
        <v>1.2</v>
      </c>
      <c r="U16" s="65">
        <v>2.7999999999999994</v>
      </c>
      <c r="V16" s="65">
        <v>5.9127864005912789</v>
      </c>
      <c r="W16" s="65">
        <v>7.6745970836531077E-2</v>
      </c>
      <c r="X16" s="60">
        <v>3.4000000000000004</v>
      </c>
      <c r="Y16" s="65">
        <v>3.1298441238092702</v>
      </c>
    </row>
    <row r="17" spans="1:25">
      <c r="A17" s="60" t="s">
        <v>8</v>
      </c>
      <c r="B17" s="60" t="s">
        <v>512</v>
      </c>
      <c r="C17" s="60" t="s">
        <v>513</v>
      </c>
      <c r="D17" s="60" t="s">
        <v>513</v>
      </c>
      <c r="E17" s="60">
        <v>10502</v>
      </c>
      <c r="F17" s="52">
        <v>2461</v>
      </c>
      <c r="G17" s="52">
        <v>2485</v>
      </c>
      <c r="H17" s="52">
        <v>2543</v>
      </c>
      <c r="I17" s="52">
        <v>3060</v>
      </c>
      <c r="J17" s="52">
        <v>3118</v>
      </c>
      <c r="K17" s="52">
        <v>3175</v>
      </c>
      <c r="L17" s="52">
        <v>121</v>
      </c>
      <c r="M17" s="52">
        <v>104</v>
      </c>
      <c r="N17" s="52">
        <v>135</v>
      </c>
      <c r="O17" s="52">
        <v>104</v>
      </c>
      <c r="P17" s="52">
        <v>67</v>
      </c>
      <c r="Q17" s="52">
        <v>98</v>
      </c>
      <c r="R17" s="60">
        <v>4.9000000000000004</v>
      </c>
      <c r="S17" s="60">
        <v>4.2</v>
      </c>
      <c r="T17" s="60">
        <v>5.3</v>
      </c>
      <c r="U17" s="65">
        <v>4.8000000000000007</v>
      </c>
      <c r="V17" s="65">
        <v>3.390435403283369</v>
      </c>
      <c r="W17" s="65">
        <v>2.1383647798742142</v>
      </c>
      <c r="X17" s="60">
        <v>3.1</v>
      </c>
      <c r="Y17" s="65">
        <v>2.8762667277191944</v>
      </c>
    </row>
    <row r="18" spans="1:25">
      <c r="A18" s="60" t="s">
        <v>8</v>
      </c>
      <c r="B18" s="60" t="s">
        <v>186</v>
      </c>
      <c r="C18" s="60" t="s">
        <v>478</v>
      </c>
      <c r="D18" s="60" t="s">
        <v>478</v>
      </c>
      <c r="E18" s="60">
        <v>10601</v>
      </c>
      <c r="F18" s="52">
        <v>5533</v>
      </c>
      <c r="G18" s="52">
        <v>5528</v>
      </c>
      <c r="H18" s="52">
        <v>5588</v>
      </c>
      <c r="I18" s="52">
        <v>6124</v>
      </c>
      <c r="J18" s="52">
        <v>6183</v>
      </c>
      <c r="K18" s="52">
        <v>6243</v>
      </c>
      <c r="L18" s="52">
        <v>631</v>
      </c>
      <c r="M18" s="52">
        <v>88</v>
      </c>
      <c r="N18" s="52">
        <v>162</v>
      </c>
      <c r="O18" s="52">
        <v>0</v>
      </c>
      <c r="P18" s="52">
        <v>362</v>
      </c>
      <c r="Q18" s="52">
        <v>1030</v>
      </c>
      <c r="R18" s="60">
        <v>11.4</v>
      </c>
      <c r="S18" s="60">
        <v>1.6</v>
      </c>
      <c r="T18" s="60">
        <v>2.9</v>
      </c>
      <c r="U18" s="65">
        <v>5.3</v>
      </c>
      <c r="V18" s="65">
        <v>0</v>
      </c>
      <c r="W18" s="65">
        <v>5.8468957203134417</v>
      </c>
      <c r="X18" s="60">
        <v>16.5</v>
      </c>
      <c r="Y18" s="65">
        <v>7.4489652401044806</v>
      </c>
    </row>
    <row r="19" spans="1:25">
      <c r="A19" s="60" t="s">
        <v>8</v>
      </c>
      <c r="B19" s="60" t="s">
        <v>186</v>
      </c>
      <c r="C19" s="60" t="s">
        <v>186</v>
      </c>
      <c r="D19" s="60" t="s">
        <v>186</v>
      </c>
      <c r="E19" s="60">
        <v>10602</v>
      </c>
      <c r="F19" s="52">
        <v>3581</v>
      </c>
      <c r="G19" s="52">
        <v>3614</v>
      </c>
      <c r="H19" s="52">
        <v>3649</v>
      </c>
      <c r="I19" s="52">
        <v>3960</v>
      </c>
      <c r="J19" s="52">
        <v>3994</v>
      </c>
      <c r="K19" s="52">
        <v>4029</v>
      </c>
      <c r="L19" s="52">
        <v>530</v>
      </c>
      <c r="M19" s="52">
        <v>177</v>
      </c>
      <c r="N19" s="52">
        <v>252</v>
      </c>
      <c r="O19" s="52">
        <v>0</v>
      </c>
      <c r="P19" s="52">
        <v>189</v>
      </c>
      <c r="Q19" s="52">
        <v>125</v>
      </c>
      <c r="R19" s="60">
        <v>14.800000000000002</v>
      </c>
      <c r="S19" s="60">
        <v>4.9000000000000004</v>
      </c>
      <c r="T19" s="60">
        <v>6.9</v>
      </c>
      <c r="U19" s="65">
        <v>8.8666666666666671</v>
      </c>
      <c r="V19" s="65">
        <v>0</v>
      </c>
      <c r="W19" s="65">
        <v>4.7353760445682447</v>
      </c>
      <c r="X19" s="60">
        <v>3.1</v>
      </c>
      <c r="Y19" s="65">
        <v>2.6117920148560816</v>
      </c>
    </row>
    <row r="20" spans="1:25">
      <c r="A20" s="60" t="s">
        <v>8</v>
      </c>
      <c r="B20" s="60" t="s">
        <v>514</v>
      </c>
      <c r="C20" s="60" t="s">
        <v>252</v>
      </c>
      <c r="D20" s="60" t="s">
        <v>252</v>
      </c>
      <c r="E20" s="60">
        <v>10701</v>
      </c>
      <c r="F20" s="52">
        <v>5425</v>
      </c>
      <c r="G20" s="52">
        <v>5494</v>
      </c>
      <c r="H20" s="52">
        <v>5624</v>
      </c>
      <c r="I20" s="52">
        <v>6796</v>
      </c>
      <c r="J20" s="52">
        <v>6926</v>
      </c>
      <c r="K20" s="52">
        <v>7056</v>
      </c>
      <c r="L20" s="52">
        <v>174</v>
      </c>
      <c r="M20" s="52">
        <v>104</v>
      </c>
      <c r="N20" s="52">
        <v>135</v>
      </c>
      <c r="O20" s="52">
        <v>402</v>
      </c>
      <c r="P20" s="52">
        <v>0</v>
      </c>
      <c r="Q20" s="52">
        <v>92</v>
      </c>
      <c r="R20" s="60">
        <v>3.2</v>
      </c>
      <c r="S20" s="60">
        <v>1.9</v>
      </c>
      <c r="T20" s="60">
        <v>2.4</v>
      </c>
      <c r="U20" s="65">
        <v>2.5</v>
      </c>
      <c r="V20" s="65">
        <v>5.913348946135832</v>
      </c>
      <c r="W20" s="65">
        <v>0</v>
      </c>
      <c r="X20" s="60">
        <v>1.3</v>
      </c>
      <c r="Y20" s="65">
        <v>2.4044496487119438</v>
      </c>
    </row>
    <row r="21" spans="1:25">
      <c r="A21" s="60" t="s">
        <v>8</v>
      </c>
      <c r="B21" s="60" t="s">
        <v>514</v>
      </c>
      <c r="C21" s="60" t="s">
        <v>493</v>
      </c>
      <c r="D21" s="60" t="s">
        <v>493</v>
      </c>
      <c r="E21" s="60">
        <v>10702</v>
      </c>
      <c r="F21" s="52">
        <v>10808</v>
      </c>
      <c r="G21" s="52">
        <v>10932</v>
      </c>
      <c r="H21" s="52">
        <v>11269</v>
      </c>
      <c r="I21" s="52">
        <v>14303</v>
      </c>
      <c r="J21" s="52">
        <v>14640</v>
      </c>
      <c r="K21" s="52">
        <v>14977</v>
      </c>
      <c r="L21" s="52">
        <v>195</v>
      </c>
      <c r="M21" s="52">
        <v>262</v>
      </c>
      <c r="N21" s="52">
        <v>180</v>
      </c>
      <c r="O21" s="52">
        <v>202</v>
      </c>
      <c r="P21" s="52">
        <v>3537</v>
      </c>
      <c r="Q21" s="52">
        <v>524</v>
      </c>
      <c r="R21" s="60">
        <v>1.8000000000000003</v>
      </c>
      <c r="S21" s="60">
        <v>2.4</v>
      </c>
      <c r="T21" s="60">
        <v>1.6</v>
      </c>
      <c r="U21" s="65">
        <v>1.9333333333333336</v>
      </c>
      <c r="V21" s="65">
        <v>1.408901697086135</v>
      </c>
      <c r="W21" s="65">
        <v>24.159663865546218</v>
      </c>
      <c r="X21" s="60">
        <v>3.5000000000000004</v>
      </c>
      <c r="Y21" s="65">
        <v>9.6895218542107848</v>
      </c>
    </row>
    <row r="22" spans="1:25">
      <c r="A22" s="60" t="s">
        <v>8</v>
      </c>
      <c r="B22" s="60" t="s">
        <v>514</v>
      </c>
      <c r="C22" s="60" t="s">
        <v>210</v>
      </c>
      <c r="D22" s="60" t="s">
        <v>210</v>
      </c>
      <c r="E22" s="60">
        <v>10703</v>
      </c>
      <c r="F22" s="52">
        <v>3117</v>
      </c>
      <c r="G22" s="52">
        <v>3166</v>
      </c>
      <c r="H22" s="52">
        <v>3285</v>
      </c>
      <c r="I22" s="52">
        <v>4353</v>
      </c>
      <c r="J22" s="52">
        <v>4471</v>
      </c>
      <c r="K22" s="52">
        <v>4590</v>
      </c>
      <c r="L22" s="52">
        <v>87</v>
      </c>
      <c r="M22" s="52">
        <v>70</v>
      </c>
      <c r="N22" s="52">
        <v>112</v>
      </c>
      <c r="O22" s="52">
        <v>108</v>
      </c>
      <c r="P22" s="52">
        <v>0</v>
      </c>
      <c r="Q22" s="52">
        <v>0</v>
      </c>
      <c r="R22" s="60">
        <v>2.8</v>
      </c>
      <c r="S22" s="60">
        <v>2.1999999999999997</v>
      </c>
      <c r="T22" s="60">
        <v>3.4000000000000004</v>
      </c>
      <c r="U22" s="65">
        <v>2.8000000000000003</v>
      </c>
      <c r="V22" s="65">
        <v>2.4861878453038675</v>
      </c>
      <c r="W22" s="65">
        <v>0</v>
      </c>
      <c r="X22" s="60">
        <v>0</v>
      </c>
      <c r="Y22" s="65">
        <v>0.82872928176795579</v>
      </c>
    </row>
    <row r="23" spans="1:25">
      <c r="A23" s="60" t="s">
        <v>8</v>
      </c>
      <c r="B23" s="60" t="s">
        <v>514</v>
      </c>
      <c r="C23" s="60" t="s">
        <v>494</v>
      </c>
      <c r="D23" s="60" t="s">
        <v>494</v>
      </c>
      <c r="E23" s="60">
        <v>10704</v>
      </c>
      <c r="F23" s="52">
        <v>3876</v>
      </c>
      <c r="G23" s="52">
        <v>3912</v>
      </c>
      <c r="H23" s="52">
        <v>4040</v>
      </c>
      <c r="I23" s="52">
        <v>5191</v>
      </c>
      <c r="J23" s="52">
        <v>5319</v>
      </c>
      <c r="K23" s="52">
        <v>5447</v>
      </c>
      <c r="L23" s="52">
        <v>116</v>
      </c>
      <c r="M23" s="52">
        <v>39</v>
      </c>
      <c r="N23" s="52">
        <v>89</v>
      </c>
      <c r="O23" s="52">
        <v>1136</v>
      </c>
      <c r="P23" s="52">
        <v>909</v>
      </c>
      <c r="Q23" s="52">
        <v>0</v>
      </c>
      <c r="R23" s="60">
        <v>3</v>
      </c>
      <c r="S23" s="60">
        <v>1</v>
      </c>
      <c r="T23" s="60">
        <v>2.2000000000000002</v>
      </c>
      <c r="U23" s="65">
        <v>2.0666666666666669</v>
      </c>
      <c r="V23" s="65">
        <v>21.875</v>
      </c>
      <c r="W23" s="65">
        <v>17.087667161961367</v>
      </c>
      <c r="X23" s="60">
        <v>0</v>
      </c>
      <c r="Y23" s="65">
        <v>12.987555720653788</v>
      </c>
    </row>
    <row r="24" spans="1:25">
      <c r="A24" s="60" t="s">
        <v>8</v>
      </c>
      <c r="B24" s="60" t="s">
        <v>515</v>
      </c>
      <c r="C24" s="60" t="s">
        <v>213</v>
      </c>
      <c r="D24" s="60" t="s">
        <v>213</v>
      </c>
      <c r="E24" s="60">
        <v>10801</v>
      </c>
      <c r="F24" s="52">
        <v>4425</v>
      </c>
      <c r="G24" s="52">
        <v>4489</v>
      </c>
      <c r="H24" s="52">
        <v>4599</v>
      </c>
      <c r="I24" s="52">
        <v>5587</v>
      </c>
      <c r="J24" s="52">
        <v>5696</v>
      </c>
      <c r="K24" s="52">
        <v>5806</v>
      </c>
      <c r="L24" s="52">
        <v>71</v>
      </c>
      <c r="M24" s="52">
        <v>36</v>
      </c>
      <c r="N24" s="52">
        <v>248</v>
      </c>
      <c r="O24" s="52">
        <v>13</v>
      </c>
      <c r="P24" s="52">
        <v>120</v>
      </c>
      <c r="Q24" s="52">
        <v>17</v>
      </c>
      <c r="R24" s="60">
        <v>1.6</v>
      </c>
      <c r="S24" s="60">
        <v>0.8</v>
      </c>
      <c r="T24" s="60">
        <v>5.4</v>
      </c>
      <c r="U24" s="65">
        <v>2.6</v>
      </c>
      <c r="V24" s="65">
        <v>0.23752969121140144</v>
      </c>
      <c r="W24" s="65">
        <v>2.1024967148488831</v>
      </c>
      <c r="X24" s="60">
        <v>0.3</v>
      </c>
      <c r="Y24" s="65">
        <v>0.88000880202009479</v>
      </c>
    </row>
    <row r="25" spans="1:25">
      <c r="A25" s="60" t="s">
        <v>8</v>
      </c>
      <c r="B25" s="60" t="s">
        <v>516</v>
      </c>
      <c r="C25" s="60" t="s">
        <v>470</v>
      </c>
      <c r="D25" s="60" t="s">
        <v>470</v>
      </c>
      <c r="E25" s="60">
        <v>10901</v>
      </c>
      <c r="F25" s="52">
        <v>1455</v>
      </c>
      <c r="G25" s="52">
        <v>1489</v>
      </c>
      <c r="H25" s="52">
        <v>1517</v>
      </c>
      <c r="I25" s="52">
        <v>1766</v>
      </c>
      <c r="J25" s="52">
        <v>1793</v>
      </c>
      <c r="K25" s="52">
        <v>1821</v>
      </c>
      <c r="L25" s="52">
        <v>29</v>
      </c>
      <c r="M25" s="52">
        <v>7</v>
      </c>
      <c r="N25" s="52">
        <v>17</v>
      </c>
      <c r="O25" s="52">
        <v>16</v>
      </c>
      <c r="P25" s="52">
        <v>83</v>
      </c>
      <c r="Q25" s="52">
        <v>13</v>
      </c>
      <c r="R25" s="60">
        <v>2</v>
      </c>
      <c r="S25" s="60">
        <v>0.5</v>
      </c>
      <c r="T25" s="60">
        <v>1.1000000000000001</v>
      </c>
      <c r="U25" s="65">
        <v>1.2</v>
      </c>
      <c r="V25" s="65">
        <v>0.90909090909090906</v>
      </c>
      <c r="W25" s="65">
        <v>4.6366782006920415</v>
      </c>
      <c r="X25" s="60">
        <v>0.7</v>
      </c>
      <c r="Y25" s="65">
        <v>2.0819230365943171</v>
      </c>
    </row>
    <row r="26" spans="1:25">
      <c r="A26" s="60" t="s">
        <v>8</v>
      </c>
      <c r="B26" s="60" t="s">
        <v>516</v>
      </c>
      <c r="C26" s="60" t="s">
        <v>471</v>
      </c>
      <c r="D26" s="60" t="s">
        <v>471</v>
      </c>
      <c r="E26" s="60">
        <v>10902</v>
      </c>
      <c r="F26" s="52">
        <v>5174</v>
      </c>
      <c r="G26" s="52">
        <v>5186</v>
      </c>
      <c r="H26" s="52">
        <v>5354</v>
      </c>
      <c r="I26" s="52">
        <v>6869</v>
      </c>
      <c r="J26" s="52">
        <v>7037</v>
      </c>
      <c r="K26" s="52">
        <v>7205</v>
      </c>
      <c r="L26" s="52">
        <v>67</v>
      </c>
      <c r="M26" s="52">
        <v>244</v>
      </c>
      <c r="N26" s="52">
        <v>246</v>
      </c>
      <c r="O26" s="52">
        <v>219</v>
      </c>
      <c r="P26" s="52">
        <v>69</v>
      </c>
      <c r="Q26" s="52">
        <v>656</v>
      </c>
      <c r="R26" s="60">
        <v>1.3</v>
      </c>
      <c r="S26" s="60">
        <v>4.7</v>
      </c>
      <c r="T26" s="60">
        <v>4.5999999999999996</v>
      </c>
      <c r="U26" s="65">
        <v>3.5333333333333332</v>
      </c>
      <c r="V26" s="65">
        <v>3.181427343078246</v>
      </c>
      <c r="W26" s="65">
        <v>0.98698968147151178</v>
      </c>
      <c r="X26" s="60">
        <v>9.1</v>
      </c>
      <c r="Y26" s="65">
        <v>4.4228056748499194</v>
      </c>
    </row>
    <row r="27" spans="1:25">
      <c r="A27" s="60" t="s">
        <v>8</v>
      </c>
      <c r="B27" s="60" t="s">
        <v>516</v>
      </c>
      <c r="C27" s="60" t="s">
        <v>481</v>
      </c>
      <c r="D27" s="60" t="s">
        <v>481</v>
      </c>
      <c r="E27" s="60">
        <v>10903</v>
      </c>
      <c r="F27" s="52">
        <v>1293</v>
      </c>
      <c r="G27" s="52">
        <v>1301</v>
      </c>
      <c r="H27" s="52">
        <v>1313</v>
      </c>
      <c r="I27" s="52">
        <v>1424</v>
      </c>
      <c r="J27" s="52">
        <v>1437</v>
      </c>
      <c r="K27" s="52">
        <v>1449</v>
      </c>
      <c r="L27" s="52">
        <v>129</v>
      </c>
      <c r="M27" s="52">
        <v>13</v>
      </c>
      <c r="N27" s="52">
        <v>21</v>
      </c>
      <c r="O27" s="52">
        <v>70</v>
      </c>
      <c r="P27" s="52">
        <v>39</v>
      </c>
      <c r="Q27" s="52">
        <v>184</v>
      </c>
      <c r="R27" s="60">
        <v>10.000000000000002</v>
      </c>
      <c r="S27" s="60">
        <v>1</v>
      </c>
      <c r="T27" s="60">
        <v>1.6</v>
      </c>
      <c r="U27" s="65">
        <v>4.2</v>
      </c>
      <c r="V27" s="65">
        <v>4.8820625342841462</v>
      </c>
      <c r="W27" s="65">
        <v>2.7258150721539285</v>
      </c>
      <c r="X27" s="60">
        <v>12.7</v>
      </c>
      <c r="Y27" s="65">
        <v>6.7692925354793587</v>
      </c>
    </row>
    <row r="28" spans="1:25">
      <c r="A28" s="60" t="s">
        <v>8</v>
      </c>
      <c r="B28" s="60" t="s">
        <v>517</v>
      </c>
      <c r="C28" s="60" t="s">
        <v>490</v>
      </c>
      <c r="D28" s="60" t="s">
        <v>490</v>
      </c>
      <c r="E28" s="60">
        <v>11001</v>
      </c>
      <c r="F28" s="52">
        <v>2837</v>
      </c>
      <c r="G28" s="52">
        <v>2887</v>
      </c>
      <c r="H28" s="52">
        <v>2959</v>
      </c>
      <c r="I28" s="52">
        <v>3609</v>
      </c>
      <c r="J28" s="52">
        <v>3681</v>
      </c>
      <c r="K28" s="52">
        <v>3753</v>
      </c>
      <c r="L28" s="52">
        <v>267</v>
      </c>
      <c r="M28" s="52">
        <v>228</v>
      </c>
      <c r="N28" s="52">
        <v>340</v>
      </c>
      <c r="O28" s="52">
        <v>354</v>
      </c>
      <c r="P28" s="52">
        <v>568</v>
      </c>
      <c r="Q28" s="52">
        <v>736</v>
      </c>
      <c r="R28" s="60">
        <v>9.4</v>
      </c>
      <c r="S28" s="60">
        <v>7.9</v>
      </c>
      <c r="T28" s="60">
        <v>11.5</v>
      </c>
      <c r="U28" s="65">
        <v>9.6</v>
      </c>
      <c r="V28" s="65">
        <v>9.7949886104783594</v>
      </c>
      <c r="W28" s="65">
        <v>15.441176470588236</v>
      </c>
      <c r="X28" s="60">
        <v>19.600000000000001</v>
      </c>
      <c r="Y28" s="65">
        <v>14.945388360355532</v>
      </c>
    </row>
    <row r="29" spans="1:25">
      <c r="A29" s="60" t="s">
        <v>8</v>
      </c>
      <c r="B29" s="60" t="s">
        <v>517</v>
      </c>
      <c r="C29" s="60" t="s">
        <v>518</v>
      </c>
      <c r="D29" s="60" t="s">
        <v>519</v>
      </c>
      <c r="E29" s="60">
        <v>11002</v>
      </c>
      <c r="F29" s="52">
        <v>667</v>
      </c>
      <c r="G29" s="52">
        <v>680</v>
      </c>
      <c r="H29" s="52">
        <v>707</v>
      </c>
      <c r="I29" s="52">
        <v>950</v>
      </c>
      <c r="J29" s="52">
        <v>977</v>
      </c>
      <c r="K29" s="52">
        <v>1004</v>
      </c>
      <c r="L29" s="52">
        <v>0</v>
      </c>
      <c r="M29" s="52">
        <v>109</v>
      </c>
      <c r="N29" s="52">
        <v>116</v>
      </c>
      <c r="O29" s="52">
        <v>120</v>
      </c>
      <c r="P29" s="52">
        <v>0</v>
      </c>
      <c r="Q29" s="52">
        <v>230</v>
      </c>
      <c r="R29" s="60">
        <v>0</v>
      </c>
      <c r="S29" s="60">
        <v>16.100000000000001</v>
      </c>
      <c r="T29" s="60">
        <v>16.399999999999999</v>
      </c>
      <c r="U29" s="65">
        <v>10.833333333333334</v>
      </c>
      <c r="V29" s="65">
        <v>12.663755458515283</v>
      </c>
      <c r="W29" s="65">
        <v>0</v>
      </c>
      <c r="X29" s="60">
        <v>22.9</v>
      </c>
      <c r="Y29" s="65">
        <v>11.854585152838427</v>
      </c>
    </row>
    <row r="30" spans="1:25">
      <c r="A30" s="60" t="s">
        <v>8</v>
      </c>
      <c r="B30" s="60" t="s">
        <v>517</v>
      </c>
      <c r="C30" s="60" t="s">
        <v>477</v>
      </c>
      <c r="D30" s="60" t="s">
        <v>520</v>
      </c>
      <c r="E30" s="60">
        <v>11003</v>
      </c>
      <c r="F30" s="52">
        <v>1983</v>
      </c>
      <c r="G30" s="52">
        <v>2016</v>
      </c>
      <c r="H30" s="52">
        <v>2075</v>
      </c>
      <c r="I30" s="52">
        <v>2604</v>
      </c>
      <c r="J30" s="52">
        <v>2663</v>
      </c>
      <c r="K30" s="52">
        <v>2722</v>
      </c>
      <c r="L30" s="52">
        <v>424</v>
      </c>
      <c r="M30" s="52">
        <v>139</v>
      </c>
      <c r="N30" s="52">
        <v>143</v>
      </c>
      <c r="O30" s="52">
        <v>658</v>
      </c>
      <c r="P30" s="52">
        <v>8</v>
      </c>
      <c r="Q30" s="52">
        <v>406</v>
      </c>
      <c r="R30" s="60">
        <v>21.4</v>
      </c>
      <c r="S30" s="60">
        <v>6.9</v>
      </c>
      <c r="T30" s="60">
        <v>6.9</v>
      </c>
      <c r="U30" s="65">
        <v>11.733333333333333</v>
      </c>
      <c r="V30" s="65">
        <v>25.272331154684096</v>
      </c>
      <c r="W30" s="65">
        <v>0.28780743066457354</v>
      </c>
      <c r="X30" s="60">
        <v>14.899999999999999</v>
      </c>
      <c r="Y30" s="65">
        <v>13.486712861782891</v>
      </c>
    </row>
    <row r="31" spans="1:25">
      <c r="A31" s="60" t="s">
        <v>38</v>
      </c>
      <c r="B31" s="60" t="s">
        <v>521</v>
      </c>
      <c r="C31" s="60" t="s">
        <v>263</v>
      </c>
      <c r="D31" s="60" t="s">
        <v>263</v>
      </c>
      <c r="E31" s="60">
        <v>20101</v>
      </c>
      <c r="F31" s="52">
        <v>243988</v>
      </c>
      <c r="G31" s="52">
        <v>246477</v>
      </c>
      <c r="H31" s="52">
        <v>251891</v>
      </c>
      <c r="I31" s="52">
        <v>300620</v>
      </c>
      <c r="J31" s="52">
        <v>306034</v>
      </c>
      <c r="K31" s="52">
        <v>311448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60">
        <v>0</v>
      </c>
      <c r="S31" s="60">
        <v>0</v>
      </c>
      <c r="T31" s="60">
        <v>0</v>
      </c>
      <c r="U31" s="65">
        <v>0</v>
      </c>
      <c r="V31" s="65">
        <v>0</v>
      </c>
      <c r="W31" s="65">
        <v>0</v>
      </c>
      <c r="X31" s="60">
        <v>0</v>
      </c>
      <c r="Y31" s="65">
        <v>0</v>
      </c>
    </row>
    <row r="32" spans="1:25">
      <c r="A32" s="60" t="s">
        <v>38</v>
      </c>
      <c r="B32" s="60" t="s">
        <v>521</v>
      </c>
      <c r="C32" s="60" t="s">
        <v>218</v>
      </c>
      <c r="D32" s="60" t="s">
        <v>218</v>
      </c>
      <c r="E32" s="60">
        <v>20102</v>
      </c>
      <c r="F32" s="52">
        <v>5138</v>
      </c>
      <c r="G32" s="52">
        <v>5246</v>
      </c>
      <c r="H32" s="52">
        <v>5553</v>
      </c>
      <c r="I32" s="52">
        <v>8320</v>
      </c>
      <c r="J32" s="52">
        <v>8628</v>
      </c>
      <c r="K32" s="52">
        <v>8935</v>
      </c>
      <c r="L32" s="52">
        <v>123</v>
      </c>
      <c r="M32" s="52">
        <v>105</v>
      </c>
      <c r="N32" s="52">
        <v>106</v>
      </c>
      <c r="O32" s="52">
        <v>0</v>
      </c>
      <c r="P32" s="52">
        <v>157</v>
      </c>
      <c r="Q32" s="52">
        <v>27</v>
      </c>
      <c r="R32" s="60">
        <v>2.4</v>
      </c>
      <c r="S32" s="60">
        <v>2</v>
      </c>
      <c r="T32" s="60">
        <v>1.9</v>
      </c>
      <c r="U32" s="65">
        <v>2.1</v>
      </c>
      <c r="V32" s="65">
        <v>0</v>
      </c>
      <c r="W32" s="65">
        <v>1.8181818181818181</v>
      </c>
      <c r="X32" s="60">
        <v>0.3</v>
      </c>
      <c r="Y32" s="65">
        <v>0.70606060606060606</v>
      </c>
    </row>
    <row r="33" spans="1:25">
      <c r="A33" s="60" t="s">
        <v>38</v>
      </c>
      <c r="B33" s="60" t="s">
        <v>521</v>
      </c>
      <c r="C33" s="60" t="s">
        <v>227</v>
      </c>
      <c r="D33" s="60" t="s">
        <v>227</v>
      </c>
      <c r="E33" s="60">
        <v>20103</v>
      </c>
      <c r="F33" s="52">
        <v>5422</v>
      </c>
      <c r="G33" s="52">
        <v>5617</v>
      </c>
      <c r="H33" s="52">
        <v>5904</v>
      </c>
      <c r="I33" s="52">
        <v>8490</v>
      </c>
      <c r="J33" s="52">
        <v>8777</v>
      </c>
      <c r="K33" s="52">
        <v>9064</v>
      </c>
      <c r="L33" s="52">
        <v>81</v>
      </c>
      <c r="M33" s="52">
        <v>34</v>
      </c>
      <c r="N33" s="52">
        <v>35</v>
      </c>
      <c r="O33" s="52">
        <v>0</v>
      </c>
      <c r="P33" s="52">
        <v>9</v>
      </c>
      <c r="Q33" s="52">
        <v>0</v>
      </c>
      <c r="R33" s="60">
        <v>1.5</v>
      </c>
      <c r="S33" s="60">
        <v>0.6</v>
      </c>
      <c r="T33" s="60">
        <v>0.6</v>
      </c>
      <c r="U33" s="65">
        <v>0.9</v>
      </c>
      <c r="V33" s="65">
        <v>0</v>
      </c>
      <c r="W33" s="65">
        <v>0.10643959552953698</v>
      </c>
      <c r="X33" s="60">
        <v>0</v>
      </c>
      <c r="Y33" s="65">
        <v>3.5479865176512325E-2</v>
      </c>
    </row>
    <row r="34" spans="1:25">
      <c r="A34" s="60" t="s">
        <v>38</v>
      </c>
      <c r="B34" s="60" t="s">
        <v>521</v>
      </c>
      <c r="C34" s="60" t="s">
        <v>264</v>
      </c>
      <c r="D34" s="60" t="s">
        <v>264</v>
      </c>
      <c r="E34" s="60">
        <v>20104</v>
      </c>
      <c r="F34" s="52">
        <v>7796</v>
      </c>
      <c r="G34" s="52">
        <v>8093</v>
      </c>
      <c r="H34" s="52">
        <v>9158</v>
      </c>
      <c r="I34" s="52">
        <v>18739</v>
      </c>
      <c r="J34" s="52">
        <v>19803</v>
      </c>
      <c r="K34" s="52">
        <v>20868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60">
        <v>0</v>
      </c>
      <c r="S34" s="60">
        <v>0</v>
      </c>
      <c r="T34" s="60">
        <v>0</v>
      </c>
      <c r="U34" s="65">
        <v>0</v>
      </c>
      <c r="V34" s="65">
        <v>0</v>
      </c>
      <c r="W34" s="65">
        <v>0</v>
      </c>
      <c r="X34" s="60">
        <v>0</v>
      </c>
      <c r="Y34" s="65">
        <v>0</v>
      </c>
    </row>
    <row r="35" spans="1:25">
      <c r="A35" s="60" t="s">
        <v>38</v>
      </c>
      <c r="B35" s="60" t="s">
        <v>521</v>
      </c>
      <c r="C35" s="60" t="s">
        <v>265</v>
      </c>
      <c r="D35" s="60" t="s">
        <v>265</v>
      </c>
      <c r="E35" s="60">
        <v>20105</v>
      </c>
      <c r="F35" s="52">
        <v>268989</v>
      </c>
      <c r="G35" s="52">
        <v>277673</v>
      </c>
      <c r="H35" s="52">
        <v>286320</v>
      </c>
      <c r="I35" s="52">
        <v>364144</v>
      </c>
      <c r="J35" s="52">
        <v>372791</v>
      </c>
      <c r="K35" s="52">
        <v>381438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60">
        <v>0</v>
      </c>
      <c r="S35" s="60">
        <v>0</v>
      </c>
      <c r="T35" s="60">
        <v>0</v>
      </c>
      <c r="U35" s="65">
        <v>0</v>
      </c>
      <c r="V35" s="65">
        <v>0</v>
      </c>
      <c r="W35" s="65">
        <v>0</v>
      </c>
      <c r="X35" s="60">
        <v>0</v>
      </c>
      <c r="Y35" s="65">
        <v>0</v>
      </c>
    </row>
    <row r="36" spans="1:25">
      <c r="A36" s="60" t="s">
        <v>38</v>
      </c>
      <c r="B36" s="60" t="s">
        <v>522</v>
      </c>
      <c r="C36" s="60" t="s">
        <v>266</v>
      </c>
      <c r="D36" s="60" t="s">
        <v>266</v>
      </c>
      <c r="E36" s="60">
        <v>20201</v>
      </c>
      <c r="F36" s="52">
        <v>17174</v>
      </c>
      <c r="G36" s="52">
        <v>17452</v>
      </c>
      <c r="H36" s="52">
        <v>17953</v>
      </c>
      <c r="I36" s="52">
        <v>22463</v>
      </c>
      <c r="J36" s="52">
        <v>22964</v>
      </c>
      <c r="K36" s="52">
        <v>23465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60">
        <v>0</v>
      </c>
      <c r="S36" s="60">
        <v>0</v>
      </c>
      <c r="T36" s="60">
        <v>0</v>
      </c>
      <c r="U36" s="65">
        <v>0</v>
      </c>
      <c r="V36" s="65">
        <v>0</v>
      </c>
      <c r="W36" s="65">
        <v>0</v>
      </c>
      <c r="X36" s="60">
        <v>0</v>
      </c>
      <c r="Y36" s="65">
        <v>0</v>
      </c>
    </row>
    <row r="37" spans="1:25">
      <c r="A37" s="60" t="s">
        <v>38</v>
      </c>
      <c r="B37" s="60" t="s">
        <v>522</v>
      </c>
      <c r="C37" s="60" t="s">
        <v>523</v>
      </c>
      <c r="D37" s="60" t="s">
        <v>267</v>
      </c>
      <c r="E37" s="60">
        <v>20202</v>
      </c>
      <c r="F37" s="52">
        <v>5409</v>
      </c>
      <c r="G37" s="52">
        <v>5427</v>
      </c>
      <c r="H37" s="52">
        <v>5622</v>
      </c>
      <c r="I37" s="52">
        <v>7375</v>
      </c>
      <c r="J37" s="52">
        <v>7570</v>
      </c>
      <c r="K37" s="52">
        <v>7765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60">
        <v>0</v>
      </c>
      <c r="S37" s="60">
        <v>0</v>
      </c>
      <c r="T37" s="60">
        <v>0</v>
      </c>
      <c r="U37" s="65">
        <v>0</v>
      </c>
      <c r="V37" s="65">
        <v>0</v>
      </c>
      <c r="W37" s="65">
        <v>0</v>
      </c>
      <c r="X37" s="60">
        <v>0</v>
      </c>
      <c r="Y37" s="65">
        <v>0</v>
      </c>
    </row>
    <row r="38" spans="1:25" s="59" customFormat="1">
      <c r="A38" s="60" t="s">
        <v>38</v>
      </c>
      <c r="B38" s="60" t="s">
        <v>522</v>
      </c>
      <c r="C38" s="60" t="s">
        <v>268</v>
      </c>
      <c r="D38" s="60" t="s">
        <v>268</v>
      </c>
      <c r="E38" s="60">
        <v>20203</v>
      </c>
      <c r="F38" s="52">
        <v>2188</v>
      </c>
      <c r="G38" s="52">
        <v>2215</v>
      </c>
      <c r="H38" s="52">
        <v>2278</v>
      </c>
      <c r="I38" s="52">
        <v>2842</v>
      </c>
      <c r="J38" s="52">
        <v>2904</v>
      </c>
      <c r="K38" s="52">
        <v>2967</v>
      </c>
      <c r="L38" s="52">
        <v>0</v>
      </c>
      <c r="M38" s="52">
        <v>0</v>
      </c>
      <c r="N38" s="52">
        <v>0</v>
      </c>
      <c r="O38" s="52">
        <v>0</v>
      </c>
      <c r="P38" s="52">
        <v>0</v>
      </c>
      <c r="Q38" s="52">
        <v>0</v>
      </c>
      <c r="R38" s="60">
        <v>0</v>
      </c>
      <c r="S38" s="60">
        <v>0</v>
      </c>
      <c r="T38" s="60">
        <v>0</v>
      </c>
      <c r="U38" s="65">
        <v>0</v>
      </c>
      <c r="V38" s="65">
        <v>0</v>
      </c>
      <c r="W38" s="65">
        <v>0</v>
      </c>
      <c r="X38" s="60">
        <v>0</v>
      </c>
      <c r="Y38" s="65">
        <v>0</v>
      </c>
    </row>
    <row r="39" spans="1:25">
      <c r="A39" s="60" t="s">
        <v>38</v>
      </c>
      <c r="B39" s="60" t="s">
        <v>522</v>
      </c>
      <c r="C39" s="60" t="s">
        <v>269</v>
      </c>
      <c r="D39" s="60" t="s">
        <v>269</v>
      </c>
      <c r="E39" s="60">
        <v>20204</v>
      </c>
      <c r="F39" s="52">
        <v>3658</v>
      </c>
      <c r="G39" s="52">
        <v>3702</v>
      </c>
      <c r="H39" s="52">
        <v>3814</v>
      </c>
      <c r="I39" s="52">
        <v>4821</v>
      </c>
      <c r="J39" s="52">
        <v>4933</v>
      </c>
      <c r="K39" s="52">
        <v>5045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60">
        <v>0</v>
      </c>
      <c r="S39" s="60">
        <v>0</v>
      </c>
      <c r="T39" s="60">
        <v>0</v>
      </c>
      <c r="U39" s="65">
        <v>0</v>
      </c>
      <c r="V39" s="65">
        <v>0</v>
      </c>
      <c r="W39" s="65">
        <v>0</v>
      </c>
      <c r="X39" s="60">
        <v>0</v>
      </c>
      <c r="Y39" s="65">
        <v>0</v>
      </c>
    </row>
    <row r="40" spans="1:25">
      <c r="A40" s="60" t="s">
        <v>38</v>
      </c>
      <c r="B40" s="60" t="s">
        <v>522</v>
      </c>
      <c r="C40" s="60" t="s">
        <v>270</v>
      </c>
      <c r="D40" s="60" t="s">
        <v>270</v>
      </c>
      <c r="E40" s="60">
        <v>20205</v>
      </c>
      <c r="F40" s="52">
        <v>4011</v>
      </c>
      <c r="G40" s="52">
        <v>4125</v>
      </c>
      <c r="H40" s="52">
        <v>4248</v>
      </c>
      <c r="I40" s="52">
        <v>5358</v>
      </c>
      <c r="J40" s="52">
        <v>5481</v>
      </c>
      <c r="K40" s="52">
        <v>5604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60">
        <v>0</v>
      </c>
      <c r="S40" s="60">
        <v>0</v>
      </c>
      <c r="T40" s="60">
        <v>0</v>
      </c>
      <c r="U40" s="65">
        <v>0</v>
      </c>
      <c r="V40" s="65">
        <v>0</v>
      </c>
      <c r="W40" s="65">
        <v>0</v>
      </c>
      <c r="X40" s="60">
        <v>0</v>
      </c>
      <c r="Y40" s="65">
        <v>0</v>
      </c>
    </row>
    <row r="41" spans="1:25">
      <c r="A41" s="60" t="s">
        <v>38</v>
      </c>
      <c r="B41" s="60" t="s">
        <v>522</v>
      </c>
      <c r="C41" s="60" t="s">
        <v>271</v>
      </c>
      <c r="D41" s="60" t="s">
        <v>271</v>
      </c>
      <c r="E41" s="60">
        <v>20206</v>
      </c>
      <c r="F41" s="52">
        <v>1753</v>
      </c>
      <c r="G41" s="52">
        <v>1803</v>
      </c>
      <c r="H41" s="52">
        <v>1899</v>
      </c>
      <c r="I41" s="52">
        <v>2767</v>
      </c>
      <c r="J41" s="52">
        <v>2864</v>
      </c>
      <c r="K41" s="52">
        <v>2960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60">
        <v>0</v>
      </c>
      <c r="S41" s="60">
        <v>0</v>
      </c>
      <c r="T41" s="60">
        <v>0</v>
      </c>
      <c r="U41" s="65">
        <v>0</v>
      </c>
      <c r="V41" s="65">
        <v>0</v>
      </c>
      <c r="W41" s="65">
        <v>0</v>
      </c>
      <c r="X41" s="60">
        <v>0</v>
      </c>
      <c r="Y41" s="65">
        <v>0</v>
      </c>
    </row>
    <row r="42" spans="1:25">
      <c r="A42" s="60" t="s">
        <v>38</v>
      </c>
      <c r="B42" s="60" t="s">
        <v>524</v>
      </c>
      <c r="C42" s="60" t="s">
        <v>525</v>
      </c>
      <c r="D42" s="60" t="s">
        <v>272</v>
      </c>
      <c r="E42" s="60">
        <v>20301</v>
      </c>
      <c r="F42" s="52">
        <v>4366</v>
      </c>
      <c r="G42" s="52">
        <v>4355</v>
      </c>
      <c r="H42" s="52">
        <v>4581</v>
      </c>
      <c r="I42" s="52">
        <v>6618</v>
      </c>
      <c r="J42" s="52">
        <v>6844</v>
      </c>
      <c r="K42" s="52">
        <v>7070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60">
        <v>0</v>
      </c>
      <c r="S42" s="60">
        <v>0</v>
      </c>
      <c r="T42" s="60">
        <v>0</v>
      </c>
      <c r="U42" s="65">
        <v>0</v>
      </c>
      <c r="V42" s="65">
        <v>0</v>
      </c>
      <c r="W42" s="65">
        <v>0</v>
      </c>
      <c r="X42" s="60">
        <v>0</v>
      </c>
      <c r="Y42" s="65">
        <v>0</v>
      </c>
    </row>
    <row r="43" spans="1:25">
      <c r="A43" s="60" t="s">
        <v>38</v>
      </c>
      <c r="B43" s="60" t="s">
        <v>524</v>
      </c>
      <c r="C43" s="60" t="s">
        <v>273</v>
      </c>
      <c r="D43" s="60" t="s">
        <v>273</v>
      </c>
      <c r="E43" s="60">
        <v>20302</v>
      </c>
      <c r="F43" s="52">
        <v>4528</v>
      </c>
      <c r="G43" s="52">
        <v>4483</v>
      </c>
      <c r="H43" s="52">
        <v>4687</v>
      </c>
      <c r="I43" s="52">
        <v>6527</v>
      </c>
      <c r="J43" s="52">
        <v>6732</v>
      </c>
      <c r="K43" s="52">
        <v>6936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60">
        <v>0</v>
      </c>
      <c r="S43" s="60">
        <v>0</v>
      </c>
      <c r="T43" s="60">
        <v>0</v>
      </c>
      <c r="U43" s="65">
        <v>0</v>
      </c>
      <c r="V43" s="65">
        <v>0</v>
      </c>
      <c r="W43" s="65">
        <v>0</v>
      </c>
      <c r="X43" s="60">
        <v>0</v>
      </c>
      <c r="Y43" s="65">
        <v>0</v>
      </c>
    </row>
    <row r="44" spans="1:25">
      <c r="A44" s="60" t="s">
        <v>38</v>
      </c>
      <c r="B44" s="60" t="s">
        <v>524</v>
      </c>
      <c r="C44" s="60" t="s">
        <v>274</v>
      </c>
      <c r="D44" s="60" t="s">
        <v>274</v>
      </c>
      <c r="E44" s="60">
        <v>20303</v>
      </c>
      <c r="F44" s="52">
        <v>4046</v>
      </c>
      <c r="G44" s="52">
        <v>4089</v>
      </c>
      <c r="H44" s="52">
        <v>4378</v>
      </c>
      <c r="I44" s="52">
        <v>6975</v>
      </c>
      <c r="J44" s="52">
        <v>7263</v>
      </c>
      <c r="K44" s="52">
        <v>7552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60">
        <v>0</v>
      </c>
      <c r="S44" s="60">
        <v>0</v>
      </c>
      <c r="T44" s="60">
        <v>0</v>
      </c>
      <c r="U44" s="65">
        <v>0</v>
      </c>
      <c r="V44" s="65">
        <v>0</v>
      </c>
      <c r="W44" s="65">
        <v>0</v>
      </c>
      <c r="X44" s="60">
        <v>0</v>
      </c>
      <c r="Y44" s="65">
        <v>0</v>
      </c>
    </row>
    <row r="45" spans="1:25">
      <c r="A45" s="60" t="s">
        <v>38</v>
      </c>
      <c r="B45" s="60" t="s">
        <v>524</v>
      </c>
      <c r="C45" s="60" t="s">
        <v>275</v>
      </c>
      <c r="D45" s="60" t="s">
        <v>275</v>
      </c>
      <c r="E45" s="60">
        <v>20304</v>
      </c>
      <c r="F45" s="52">
        <v>1603</v>
      </c>
      <c r="G45" s="52">
        <v>1606</v>
      </c>
      <c r="H45" s="52">
        <v>1654</v>
      </c>
      <c r="I45" s="52">
        <v>2082</v>
      </c>
      <c r="J45" s="52">
        <v>2129</v>
      </c>
      <c r="K45" s="52">
        <v>2177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60">
        <v>0</v>
      </c>
      <c r="S45" s="60">
        <v>0</v>
      </c>
      <c r="T45" s="60">
        <v>0</v>
      </c>
      <c r="U45" s="65">
        <v>0</v>
      </c>
      <c r="V45" s="65">
        <v>0</v>
      </c>
      <c r="W45" s="65">
        <v>0</v>
      </c>
      <c r="X45" s="60">
        <v>0</v>
      </c>
      <c r="Y45" s="65">
        <v>0</v>
      </c>
    </row>
    <row r="46" spans="1:25">
      <c r="A46" s="60" t="s">
        <v>38</v>
      </c>
      <c r="B46" s="60" t="s">
        <v>524</v>
      </c>
      <c r="C46" s="60" t="s">
        <v>276</v>
      </c>
      <c r="D46" s="60" t="s">
        <v>276</v>
      </c>
      <c r="E46" s="60">
        <v>20305</v>
      </c>
      <c r="F46" s="52">
        <v>1333</v>
      </c>
      <c r="G46" s="52">
        <v>1361</v>
      </c>
      <c r="H46" s="52">
        <v>1448</v>
      </c>
      <c r="I46" s="52">
        <v>2231</v>
      </c>
      <c r="J46" s="52">
        <v>2318</v>
      </c>
      <c r="K46" s="52">
        <v>2405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60">
        <v>0</v>
      </c>
      <c r="S46" s="60">
        <v>0</v>
      </c>
      <c r="T46" s="60">
        <v>0</v>
      </c>
      <c r="U46" s="65">
        <v>0</v>
      </c>
      <c r="V46" s="65">
        <v>0</v>
      </c>
      <c r="W46" s="65">
        <v>0</v>
      </c>
      <c r="X46" s="60">
        <v>0</v>
      </c>
      <c r="Y46" s="65">
        <v>0</v>
      </c>
    </row>
    <row r="47" spans="1:25">
      <c r="A47" s="60" t="s">
        <v>38</v>
      </c>
      <c r="B47" s="60" t="s">
        <v>524</v>
      </c>
      <c r="C47" s="60" t="s">
        <v>526</v>
      </c>
      <c r="D47" s="60" t="s">
        <v>526</v>
      </c>
      <c r="E47" s="60">
        <v>20306</v>
      </c>
      <c r="F47" s="52">
        <v>1122</v>
      </c>
      <c r="G47" s="52">
        <v>1157</v>
      </c>
      <c r="H47" s="52">
        <v>1188</v>
      </c>
      <c r="I47" s="52">
        <v>1469</v>
      </c>
      <c r="J47" s="52">
        <v>1500</v>
      </c>
      <c r="K47" s="52">
        <v>1531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60">
        <v>0</v>
      </c>
      <c r="S47" s="60">
        <v>0</v>
      </c>
      <c r="T47" s="60">
        <v>0</v>
      </c>
      <c r="U47" s="65">
        <v>0</v>
      </c>
      <c r="V47" s="65">
        <v>0</v>
      </c>
      <c r="W47" s="65">
        <v>0</v>
      </c>
      <c r="X47" s="60">
        <v>0</v>
      </c>
      <c r="Y47" s="65">
        <v>0</v>
      </c>
    </row>
    <row r="48" spans="1:25">
      <c r="A48" s="60" t="s">
        <v>38</v>
      </c>
      <c r="B48" s="60" t="s">
        <v>524</v>
      </c>
      <c r="C48" s="60" t="s">
        <v>277</v>
      </c>
      <c r="D48" s="60" t="s">
        <v>277</v>
      </c>
      <c r="E48" s="60">
        <v>20307</v>
      </c>
      <c r="F48" s="52">
        <v>275</v>
      </c>
      <c r="G48" s="52">
        <v>290</v>
      </c>
      <c r="H48" s="52">
        <v>389</v>
      </c>
      <c r="I48" s="52">
        <v>1278</v>
      </c>
      <c r="J48" s="52">
        <v>1377</v>
      </c>
      <c r="K48" s="52">
        <v>1476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60">
        <v>0</v>
      </c>
      <c r="S48" s="60">
        <v>0</v>
      </c>
      <c r="T48" s="60">
        <v>0</v>
      </c>
      <c r="U48" s="65">
        <v>0</v>
      </c>
      <c r="V48" s="65">
        <v>0</v>
      </c>
      <c r="W48" s="65">
        <v>0</v>
      </c>
      <c r="X48" s="60">
        <v>0</v>
      </c>
      <c r="Y48" s="65">
        <v>0</v>
      </c>
    </row>
    <row r="49" spans="1:25">
      <c r="A49" s="60" t="s">
        <v>38</v>
      </c>
      <c r="B49" s="60" t="s">
        <v>524</v>
      </c>
      <c r="C49" s="60" t="s">
        <v>278</v>
      </c>
      <c r="D49" s="60" t="s">
        <v>278</v>
      </c>
      <c r="E49" s="60">
        <v>20308</v>
      </c>
      <c r="F49" s="52">
        <v>3243</v>
      </c>
      <c r="G49" s="52">
        <v>3263</v>
      </c>
      <c r="H49" s="52">
        <v>3391</v>
      </c>
      <c r="I49" s="52">
        <v>4546</v>
      </c>
      <c r="J49" s="52">
        <v>4675</v>
      </c>
      <c r="K49" s="52">
        <v>4803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60">
        <v>0</v>
      </c>
      <c r="S49" s="60">
        <v>0</v>
      </c>
      <c r="T49" s="60">
        <v>0</v>
      </c>
      <c r="U49" s="65">
        <v>0</v>
      </c>
      <c r="V49" s="65">
        <v>0</v>
      </c>
      <c r="W49" s="65">
        <v>0</v>
      </c>
      <c r="X49" s="60">
        <v>0</v>
      </c>
      <c r="Y49" s="65">
        <v>0</v>
      </c>
    </row>
    <row r="50" spans="1:25">
      <c r="A50" s="60" t="s">
        <v>38</v>
      </c>
      <c r="B50" s="60" t="s">
        <v>527</v>
      </c>
      <c r="C50" s="60" t="s">
        <v>279</v>
      </c>
      <c r="D50" s="60" t="s">
        <v>279</v>
      </c>
      <c r="E50" s="60">
        <v>20401</v>
      </c>
      <c r="F50" s="52">
        <v>5435</v>
      </c>
      <c r="G50" s="52">
        <v>5402</v>
      </c>
      <c r="H50" s="52">
        <v>5625</v>
      </c>
      <c r="I50" s="52">
        <v>7627</v>
      </c>
      <c r="J50" s="52">
        <v>7850</v>
      </c>
      <c r="K50" s="52">
        <v>8072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60">
        <v>0</v>
      </c>
      <c r="S50" s="60">
        <v>0</v>
      </c>
      <c r="T50" s="60">
        <v>0</v>
      </c>
      <c r="U50" s="65">
        <v>0</v>
      </c>
      <c r="V50" s="65">
        <v>0</v>
      </c>
      <c r="W50" s="65">
        <v>0</v>
      </c>
      <c r="X50" s="60">
        <v>0</v>
      </c>
      <c r="Y50" s="65">
        <v>0</v>
      </c>
    </row>
    <row r="51" spans="1:25">
      <c r="A51" s="60" t="s">
        <v>38</v>
      </c>
      <c r="B51" s="60" t="s">
        <v>527</v>
      </c>
      <c r="C51" s="60" t="s">
        <v>280</v>
      </c>
      <c r="D51" s="60" t="s">
        <v>280</v>
      </c>
      <c r="E51" s="60">
        <v>20402</v>
      </c>
      <c r="F51" s="52">
        <v>7420</v>
      </c>
      <c r="G51" s="52">
        <v>7467</v>
      </c>
      <c r="H51" s="52">
        <v>7624</v>
      </c>
      <c r="I51" s="52">
        <v>9039</v>
      </c>
      <c r="J51" s="52">
        <v>9196</v>
      </c>
      <c r="K51" s="52">
        <v>9353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60">
        <v>0</v>
      </c>
      <c r="S51" s="60">
        <v>0</v>
      </c>
      <c r="T51" s="60">
        <v>0</v>
      </c>
      <c r="U51" s="65">
        <v>0</v>
      </c>
      <c r="V51" s="65">
        <v>0</v>
      </c>
      <c r="W51" s="65">
        <v>0</v>
      </c>
      <c r="X51" s="60">
        <v>0</v>
      </c>
      <c r="Y51" s="65">
        <v>0</v>
      </c>
    </row>
    <row r="52" spans="1:25">
      <c r="A52" s="60" t="s">
        <v>38</v>
      </c>
      <c r="B52" s="60" t="s">
        <v>527</v>
      </c>
      <c r="C52" s="60" t="s">
        <v>281</v>
      </c>
      <c r="D52" s="60" t="s">
        <v>528</v>
      </c>
      <c r="E52" s="60">
        <v>20403</v>
      </c>
      <c r="F52" s="52">
        <v>5647</v>
      </c>
      <c r="G52" s="52">
        <v>5667</v>
      </c>
      <c r="H52" s="52">
        <v>5878</v>
      </c>
      <c r="I52" s="52">
        <v>7775</v>
      </c>
      <c r="J52" s="52">
        <v>7985</v>
      </c>
      <c r="K52" s="52">
        <v>8196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60">
        <v>0</v>
      </c>
      <c r="S52" s="60">
        <v>0</v>
      </c>
      <c r="T52" s="60">
        <v>0</v>
      </c>
      <c r="U52" s="65">
        <v>0</v>
      </c>
      <c r="V52" s="65">
        <v>0</v>
      </c>
      <c r="W52" s="65">
        <v>0</v>
      </c>
      <c r="X52" s="60">
        <v>0</v>
      </c>
      <c r="Y52" s="65">
        <v>0</v>
      </c>
    </row>
    <row r="53" spans="1:25">
      <c r="A53" s="60" t="s">
        <v>38</v>
      </c>
      <c r="B53" s="60" t="s">
        <v>527</v>
      </c>
      <c r="C53" s="60" t="s">
        <v>282</v>
      </c>
      <c r="D53" s="60" t="s">
        <v>282</v>
      </c>
      <c r="E53" s="60">
        <v>20404</v>
      </c>
      <c r="F53" s="52">
        <v>2275</v>
      </c>
      <c r="G53" s="52">
        <v>2293</v>
      </c>
      <c r="H53" s="52">
        <v>2344</v>
      </c>
      <c r="I53" s="52">
        <v>2805</v>
      </c>
      <c r="J53" s="52">
        <v>2856</v>
      </c>
      <c r="K53" s="52">
        <v>2907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60">
        <v>0</v>
      </c>
      <c r="S53" s="60">
        <v>0</v>
      </c>
      <c r="T53" s="60">
        <v>0</v>
      </c>
      <c r="U53" s="65">
        <v>0</v>
      </c>
      <c r="V53" s="65">
        <v>0</v>
      </c>
      <c r="W53" s="65">
        <v>0</v>
      </c>
      <c r="X53" s="60">
        <v>0</v>
      </c>
      <c r="Y53" s="65">
        <v>0</v>
      </c>
    </row>
    <row r="54" spans="1:25">
      <c r="A54" s="60" t="s">
        <v>38</v>
      </c>
      <c r="B54" s="60" t="s">
        <v>527</v>
      </c>
      <c r="C54" s="60" t="s">
        <v>283</v>
      </c>
      <c r="D54" s="60" t="s">
        <v>283</v>
      </c>
      <c r="E54" s="60">
        <v>20405</v>
      </c>
      <c r="F54" s="52">
        <v>3256</v>
      </c>
      <c r="G54" s="52">
        <v>3279</v>
      </c>
      <c r="H54" s="52">
        <v>3396</v>
      </c>
      <c r="I54" s="52">
        <v>4448</v>
      </c>
      <c r="J54" s="52">
        <v>4565</v>
      </c>
      <c r="K54" s="52">
        <v>4682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60">
        <v>0</v>
      </c>
      <c r="S54" s="60">
        <v>0</v>
      </c>
      <c r="T54" s="60">
        <v>0</v>
      </c>
      <c r="U54" s="65">
        <v>0</v>
      </c>
      <c r="V54" s="65">
        <v>0</v>
      </c>
      <c r="W54" s="65">
        <v>0</v>
      </c>
      <c r="X54" s="60">
        <v>0</v>
      </c>
      <c r="Y54" s="65">
        <v>0</v>
      </c>
    </row>
    <row r="55" spans="1:25">
      <c r="A55" s="60" t="s">
        <v>38</v>
      </c>
      <c r="B55" s="60" t="s">
        <v>529</v>
      </c>
      <c r="C55" s="60" t="s">
        <v>284</v>
      </c>
      <c r="D55" s="60" t="s">
        <v>284</v>
      </c>
      <c r="E55" s="60">
        <v>20501</v>
      </c>
      <c r="F55" s="52">
        <v>4274</v>
      </c>
      <c r="G55" s="52">
        <v>4283</v>
      </c>
      <c r="H55" s="52">
        <v>4539</v>
      </c>
      <c r="I55" s="52">
        <v>6846</v>
      </c>
      <c r="J55" s="52">
        <v>7103</v>
      </c>
      <c r="K55" s="52">
        <v>7359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60">
        <v>0</v>
      </c>
      <c r="S55" s="60">
        <v>0</v>
      </c>
      <c r="T55" s="60">
        <v>0</v>
      </c>
      <c r="U55" s="65">
        <v>0</v>
      </c>
      <c r="V55" s="65">
        <v>0</v>
      </c>
      <c r="W55" s="65">
        <v>0</v>
      </c>
      <c r="X55" s="60">
        <v>0</v>
      </c>
      <c r="Y55" s="65">
        <v>0</v>
      </c>
    </row>
    <row r="56" spans="1:25">
      <c r="A56" s="60" t="s">
        <v>38</v>
      </c>
      <c r="B56" s="60" t="s">
        <v>529</v>
      </c>
      <c r="C56" s="60" t="s">
        <v>285</v>
      </c>
      <c r="D56" s="60" t="s">
        <v>285</v>
      </c>
      <c r="E56" s="60">
        <v>20502</v>
      </c>
      <c r="F56" s="52">
        <v>2810</v>
      </c>
      <c r="G56" s="52">
        <v>2824</v>
      </c>
      <c r="H56" s="52">
        <v>2970</v>
      </c>
      <c r="I56" s="52">
        <v>4285</v>
      </c>
      <c r="J56" s="52">
        <v>4431</v>
      </c>
      <c r="K56" s="52">
        <v>4577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60">
        <v>0</v>
      </c>
      <c r="S56" s="60">
        <v>0</v>
      </c>
      <c r="T56" s="60">
        <v>0</v>
      </c>
      <c r="U56" s="65">
        <v>0</v>
      </c>
      <c r="V56" s="65">
        <v>0</v>
      </c>
      <c r="W56" s="65">
        <v>0</v>
      </c>
      <c r="X56" s="60">
        <v>0</v>
      </c>
      <c r="Y56" s="65">
        <v>0</v>
      </c>
    </row>
    <row r="57" spans="1:25">
      <c r="A57" s="60" t="s">
        <v>38</v>
      </c>
      <c r="B57" s="60" t="s">
        <v>529</v>
      </c>
      <c r="C57" s="60" t="s">
        <v>286</v>
      </c>
      <c r="D57" s="60" t="s">
        <v>286</v>
      </c>
      <c r="E57" s="60">
        <v>20503</v>
      </c>
      <c r="F57" s="52">
        <v>2229</v>
      </c>
      <c r="G57" s="52">
        <v>2285</v>
      </c>
      <c r="H57" s="52">
        <v>2355</v>
      </c>
      <c r="I57" s="52">
        <v>2986</v>
      </c>
      <c r="J57" s="52">
        <v>3056</v>
      </c>
      <c r="K57" s="52">
        <v>3126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60">
        <v>0</v>
      </c>
      <c r="S57" s="60">
        <v>0</v>
      </c>
      <c r="T57" s="60">
        <v>0</v>
      </c>
      <c r="U57" s="65">
        <v>0</v>
      </c>
      <c r="V57" s="65">
        <v>0</v>
      </c>
      <c r="W57" s="65">
        <v>0</v>
      </c>
      <c r="X57" s="60">
        <v>0</v>
      </c>
      <c r="Y57" s="65">
        <v>0</v>
      </c>
    </row>
    <row r="58" spans="1:25">
      <c r="A58" s="60" t="s">
        <v>38</v>
      </c>
      <c r="B58" s="60" t="s">
        <v>530</v>
      </c>
      <c r="C58" s="60" t="s">
        <v>287</v>
      </c>
      <c r="D58" s="60" t="s">
        <v>287</v>
      </c>
      <c r="E58" s="60">
        <v>20601</v>
      </c>
      <c r="F58" s="52">
        <v>9409</v>
      </c>
      <c r="G58" s="52">
        <v>9605</v>
      </c>
      <c r="H58" s="52">
        <v>9904</v>
      </c>
      <c r="I58" s="52">
        <v>12595</v>
      </c>
      <c r="J58" s="52">
        <v>12894</v>
      </c>
      <c r="K58" s="52">
        <v>13193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60">
        <v>0</v>
      </c>
      <c r="S58" s="60">
        <v>0</v>
      </c>
      <c r="T58" s="60">
        <v>0</v>
      </c>
      <c r="U58" s="65">
        <v>0</v>
      </c>
      <c r="V58" s="65">
        <v>0</v>
      </c>
      <c r="W58" s="65">
        <v>0</v>
      </c>
      <c r="X58" s="60">
        <v>0</v>
      </c>
      <c r="Y58" s="65">
        <v>0</v>
      </c>
    </row>
    <row r="59" spans="1:25">
      <c r="A59" s="60" t="s">
        <v>38</v>
      </c>
      <c r="B59" s="60" t="s">
        <v>530</v>
      </c>
      <c r="C59" s="60" t="s">
        <v>288</v>
      </c>
      <c r="D59" s="60" t="s">
        <v>288</v>
      </c>
      <c r="E59" s="60">
        <v>20602</v>
      </c>
      <c r="F59" s="52">
        <v>4831</v>
      </c>
      <c r="G59" s="52">
        <v>4987</v>
      </c>
      <c r="H59" s="52">
        <v>5168</v>
      </c>
      <c r="I59" s="52">
        <v>6799</v>
      </c>
      <c r="J59" s="52">
        <v>6980</v>
      </c>
      <c r="K59" s="52">
        <v>7161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60">
        <v>0</v>
      </c>
      <c r="S59" s="60">
        <v>0</v>
      </c>
      <c r="T59" s="60">
        <v>0</v>
      </c>
      <c r="U59" s="65">
        <v>0</v>
      </c>
      <c r="V59" s="65">
        <v>0</v>
      </c>
      <c r="W59" s="65">
        <v>0</v>
      </c>
      <c r="X59" s="60">
        <v>0</v>
      </c>
      <c r="Y59" s="65">
        <v>0</v>
      </c>
    </row>
    <row r="60" spans="1:25">
      <c r="A60" s="60" t="s">
        <v>38</v>
      </c>
      <c r="B60" s="60" t="s">
        <v>530</v>
      </c>
      <c r="C60" s="60" t="s">
        <v>237</v>
      </c>
      <c r="D60" s="60" t="s">
        <v>237</v>
      </c>
      <c r="E60" s="60">
        <v>20603</v>
      </c>
      <c r="F60" s="52">
        <v>3011</v>
      </c>
      <c r="G60" s="52">
        <v>3091</v>
      </c>
      <c r="H60" s="52">
        <v>3212</v>
      </c>
      <c r="I60" s="52">
        <v>4302</v>
      </c>
      <c r="J60" s="52">
        <v>4423</v>
      </c>
      <c r="K60" s="52">
        <v>4544</v>
      </c>
      <c r="L60" s="52">
        <v>0</v>
      </c>
      <c r="M60" s="52">
        <v>46</v>
      </c>
      <c r="N60" s="52">
        <v>0</v>
      </c>
      <c r="O60" s="52">
        <v>0</v>
      </c>
      <c r="P60" s="52">
        <v>0</v>
      </c>
      <c r="Q60" s="52">
        <v>0</v>
      </c>
      <c r="R60" s="60">
        <v>0</v>
      </c>
      <c r="S60" s="60">
        <v>1.4999999999999998</v>
      </c>
      <c r="T60" s="60">
        <v>0</v>
      </c>
      <c r="U60" s="65">
        <v>0.49999999999999994</v>
      </c>
      <c r="V60" s="65">
        <v>0</v>
      </c>
      <c r="W60" s="65">
        <v>0</v>
      </c>
      <c r="X60" s="60">
        <v>0</v>
      </c>
      <c r="Y60" s="65">
        <v>0</v>
      </c>
    </row>
    <row r="61" spans="1:25">
      <c r="A61" s="60" t="s">
        <v>38</v>
      </c>
      <c r="B61" s="60" t="s">
        <v>530</v>
      </c>
      <c r="C61" s="60" t="s">
        <v>289</v>
      </c>
      <c r="D61" s="60" t="s">
        <v>289</v>
      </c>
      <c r="E61" s="60">
        <v>20604</v>
      </c>
      <c r="F61" s="52">
        <v>1129</v>
      </c>
      <c r="G61" s="52">
        <v>1154</v>
      </c>
      <c r="H61" s="52">
        <v>1182</v>
      </c>
      <c r="I61" s="52">
        <v>1438</v>
      </c>
      <c r="J61" s="52">
        <v>1467</v>
      </c>
      <c r="K61" s="52">
        <v>1495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60">
        <v>0</v>
      </c>
      <c r="S61" s="60">
        <v>0</v>
      </c>
      <c r="T61" s="60">
        <v>0</v>
      </c>
      <c r="U61" s="65">
        <v>0</v>
      </c>
      <c r="V61" s="65">
        <v>0</v>
      </c>
      <c r="W61" s="65">
        <v>0</v>
      </c>
      <c r="X61" s="60">
        <v>0</v>
      </c>
      <c r="Y61" s="65">
        <v>0</v>
      </c>
    </row>
    <row r="62" spans="1:25">
      <c r="A62" s="60" t="s">
        <v>38</v>
      </c>
      <c r="B62" s="60" t="s">
        <v>530</v>
      </c>
      <c r="C62" s="60" t="s">
        <v>290</v>
      </c>
      <c r="D62" s="60" t="s">
        <v>290</v>
      </c>
      <c r="E62" s="60">
        <v>20605</v>
      </c>
      <c r="F62" s="52">
        <v>1093</v>
      </c>
      <c r="G62" s="52">
        <v>1103</v>
      </c>
      <c r="H62" s="52">
        <v>1140</v>
      </c>
      <c r="I62" s="52">
        <v>1477</v>
      </c>
      <c r="J62" s="52">
        <v>1515</v>
      </c>
      <c r="K62" s="52">
        <v>1552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60">
        <v>0</v>
      </c>
      <c r="S62" s="60">
        <v>0</v>
      </c>
      <c r="T62" s="60">
        <v>0</v>
      </c>
      <c r="U62" s="65">
        <v>0</v>
      </c>
      <c r="V62" s="65">
        <v>0</v>
      </c>
      <c r="W62" s="65">
        <v>0</v>
      </c>
      <c r="X62" s="60">
        <v>0</v>
      </c>
      <c r="Y62" s="65">
        <v>0</v>
      </c>
    </row>
    <row r="63" spans="1:25">
      <c r="A63" s="60" t="s">
        <v>38</v>
      </c>
      <c r="B63" s="60" t="s">
        <v>530</v>
      </c>
      <c r="C63" s="60" t="s">
        <v>291</v>
      </c>
      <c r="D63" s="60" t="s">
        <v>291</v>
      </c>
      <c r="E63" s="60">
        <v>20606</v>
      </c>
      <c r="F63" s="52">
        <v>4101</v>
      </c>
      <c r="G63" s="52">
        <v>4104</v>
      </c>
      <c r="H63" s="52">
        <v>4118</v>
      </c>
      <c r="I63" s="52">
        <v>4248</v>
      </c>
      <c r="J63" s="52">
        <v>4263</v>
      </c>
      <c r="K63" s="52">
        <v>4277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60">
        <v>0</v>
      </c>
      <c r="S63" s="60">
        <v>0</v>
      </c>
      <c r="T63" s="60">
        <v>0</v>
      </c>
      <c r="U63" s="65">
        <v>0</v>
      </c>
      <c r="V63" s="65">
        <v>0</v>
      </c>
      <c r="W63" s="65">
        <v>0</v>
      </c>
      <c r="X63" s="60">
        <v>0</v>
      </c>
      <c r="Y63" s="65">
        <v>0</v>
      </c>
    </row>
    <row r="64" spans="1:25">
      <c r="A64" s="60" t="s">
        <v>38</v>
      </c>
      <c r="B64" s="60" t="s">
        <v>530</v>
      </c>
      <c r="C64" s="60" t="s">
        <v>292</v>
      </c>
      <c r="D64" s="60" t="s">
        <v>292</v>
      </c>
      <c r="E64" s="60">
        <v>20607</v>
      </c>
      <c r="F64" s="52">
        <v>4068</v>
      </c>
      <c r="G64" s="52">
        <v>4203</v>
      </c>
      <c r="H64" s="52">
        <v>4487</v>
      </c>
      <c r="I64" s="52">
        <v>7046</v>
      </c>
      <c r="J64" s="52">
        <v>7331</v>
      </c>
      <c r="K64" s="52">
        <v>7615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60">
        <v>0</v>
      </c>
      <c r="S64" s="60">
        <v>0</v>
      </c>
      <c r="T64" s="60">
        <v>0</v>
      </c>
      <c r="U64" s="65">
        <v>0</v>
      </c>
      <c r="V64" s="65">
        <v>0</v>
      </c>
      <c r="W64" s="65">
        <v>0</v>
      </c>
      <c r="X64" s="60">
        <v>0</v>
      </c>
      <c r="Y64" s="65">
        <v>0</v>
      </c>
    </row>
    <row r="65" spans="1:25">
      <c r="A65" s="60" t="s">
        <v>38</v>
      </c>
      <c r="B65" s="60" t="s">
        <v>530</v>
      </c>
      <c r="C65" s="60" t="s">
        <v>293</v>
      </c>
      <c r="D65" s="60" t="s">
        <v>293</v>
      </c>
      <c r="E65" s="60">
        <v>20608</v>
      </c>
      <c r="F65" s="52">
        <v>3677</v>
      </c>
      <c r="G65" s="52">
        <v>3782</v>
      </c>
      <c r="H65" s="52">
        <v>3890</v>
      </c>
      <c r="I65" s="52">
        <v>4858</v>
      </c>
      <c r="J65" s="52">
        <v>4965</v>
      </c>
      <c r="K65" s="52">
        <v>5073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60">
        <v>0</v>
      </c>
      <c r="S65" s="60">
        <v>0</v>
      </c>
      <c r="T65" s="60">
        <v>0</v>
      </c>
      <c r="U65" s="65">
        <v>0</v>
      </c>
      <c r="V65" s="65">
        <v>0</v>
      </c>
      <c r="W65" s="65">
        <v>0</v>
      </c>
      <c r="X65" s="60">
        <v>0</v>
      </c>
      <c r="Y65" s="65">
        <v>0</v>
      </c>
    </row>
    <row r="66" spans="1:25">
      <c r="A66" s="60" t="s">
        <v>38</v>
      </c>
      <c r="B66" s="60" t="s">
        <v>531</v>
      </c>
      <c r="C66" s="60" t="s">
        <v>294</v>
      </c>
      <c r="D66" s="60" t="s">
        <v>294</v>
      </c>
      <c r="E66" s="60">
        <v>20701</v>
      </c>
      <c r="F66" s="52">
        <v>4913</v>
      </c>
      <c r="G66" s="52">
        <v>5116</v>
      </c>
      <c r="H66" s="52">
        <v>5370</v>
      </c>
      <c r="I66" s="52">
        <v>7660</v>
      </c>
      <c r="J66" s="52">
        <v>7915</v>
      </c>
      <c r="K66" s="52">
        <v>8169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60">
        <v>0</v>
      </c>
      <c r="S66" s="60">
        <v>0</v>
      </c>
      <c r="T66" s="60">
        <v>0</v>
      </c>
      <c r="U66" s="65">
        <v>0</v>
      </c>
      <c r="V66" s="65">
        <v>0</v>
      </c>
      <c r="W66" s="65">
        <v>0</v>
      </c>
      <c r="X66" s="60">
        <v>0</v>
      </c>
      <c r="Y66" s="65">
        <v>0</v>
      </c>
    </row>
    <row r="67" spans="1:25">
      <c r="A67" s="60" t="s">
        <v>38</v>
      </c>
      <c r="B67" s="60" t="s">
        <v>531</v>
      </c>
      <c r="C67" s="60" t="s">
        <v>295</v>
      </c>
      <c r="D67" s="60" t="s">
        <v>295</v>
      </c>
      <c r="E67" s="60">
        <v>20702</v>
      </c>
      <c r="F67" s="52">
        <v>2816</v>
      </c>
      <c r="G67" s="52">
        <v>2872</v>
      </c>
      <c r="H67" s="52">
        <v>2982</v>
      </c>
      <c r="I67" s="52">
        <v>3975</v>
      </c>
      <c r="J67" s="52">
        <v>4086</v>
      </c>
      <c r="K67" s="52">
        <v>4196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60">
        <v>0</v>
      </c>
      <c r="S67" s="60">
        <v>0</v>
      </c>
      <c r="T67" s="60">
        <v>0</v>
      </c>
      <c r="U67" s="65">
        <v>0</v>
      </c>
      <c r="V67" s="65">
        <v>0</v>
      </c>
      <c r="W67" s="65">
        <v>0</v>
      </c>
      <c r="X67" s="60">
        <v>0</v>
      </c>
      <c r="Y67" s="65">
        <v>0</v>
      </c>
    </row>
    <row r="68" spans="1:25">
      <c r="A68" s="60" t="s">
        <v>38</v>
      </c>
      <c r="B68" s="60" t="s">
        <v>445</v>
      </c>
      <c r="C68" s="60" t="s">
        <v>296</v>
      </c>
      <c r="D68" s="60" t="s">
        <v>296</v>
      </c>
      <c r="E68" s="60">
        <v>20801</v>
      </c>
      <c r="F68" s="52">
        <v>27931</v>
      </c>
      <c r="G68" s="52">
        <v>29225</v>
      </c>
      <c r="H68" s="52">
        <v>31242</v>
      </c>
      <c r="I68" s="52">
        <v>49396</v>
      </c>
      <c r="J68" s="52">
        <v>51413</v>
      </c>
      <c r="K68" s="52">
        <v>53430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60">
        <v>0</v>
      </c>
      <c r="S68" s="60">
        <v>0</v>
      </c>
      <c r="T68" s="60">
        <v>0</v>
      </c>
      <c r="U68" s="65">
        <v>0</v>
      </c>
      <c r="V68" s="65">
        <v>0</v>
      </c>
      <c r="W68" s="65">
        <v>0</v>
      </c>
      <c r="X68" s="60">
        <v>0</v>
      </c>
      <c r="Y68" s="65">
        <v>0</v>
      </c>
    </row>
    <row r="69" spans="1:25">
      <c r="A69" s="60" t="s">
        <v>38</v>
      </c>
      <c r="B69" s="60" t="s">
        <v>445</v>
      </c>
      <c r="C69" s="60" t="s">
        <v>297</v>
      </c>
      <c r="D69" s="60" t="s">
        <v>532</v>
      </c>
      <c r="E69" s="60">
        <v>20802</v>
      </c>
      <c r="F69" s="52">
        <v>3199</v>
      </c>
      <c r="G69" s="52">
        <v>3216</v>
      </c>
      <c r="H69" s="52">
        <v>3312</v>
      </c>
      <c r="I69" s="52">
        <v>4179</v>
      </c>
      <c r="J69" s="52">
        <v>4275</v>
      </c>
      <c r="K69" s="52">
        <v>4371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60">
        <v>0</v>
      </c>
      <c r="S69" s="60">
        <v>0</v>
      </c>
      <c r="T69" s="60">
        <v>0</v>
      </c>
      <c r="U69" s="65">
        <v>0</v>
      </c>
      <c r="V69" s="65">
        <v>0</v>
      </c>
      <c r="W69" s="65">
        <v>0</v>
      </c>
      <c r="X69" s="60">
        <v>0</v>
      </c>
      <c r="Y69" s="65">
        <v>0</v>
      </c>
    </row>
    <row r="70" spans="1:25">
      <c r="A70" s="60" t="s">
        <v>38</v>
      </c>
      <c r="B70" s="60" t="s">
        <v>445</v>
      </c>
      <c r="C70" s="60" t="s">
        <v>298</v>
      </c>
      <c r="D70" s="60" t="s">
        <v>298</v>
      </c>
      <c r="E70" s="60">
        <v>20803</v>
      </c>
      <c r="F70" s="52">
        <v>3968</v>
      </c>
      <c r="G70" s="52">
        <v>3998</v>
      </c>
      <c r="H70" s="52">
        <v>4133</v>
      </c>
      <c r="I70" s="52">
        <v>5350</v>
      </c>
      <c r="J70" s="52">
        <v>5485</v>
      </c>
      <c r="K70" s="52">
        <v>5620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60">
        <v>0</v>
      </c>
      <c r="S70" s="60">
        <v>0</v>
      </c>
      <c r="T70" s="60">
        <v>0</v>
      </c>
      <c r="U70" s="65">
        <v>0</v>
      </c>
      <c r="V70" s="65">
        <v>0</v>
      </c>
      <c r="W70" s="65">
        <v>0</v>
      </c>
      <c r="X70" s="60">
        <v>0</v>
      </c>
      <c r="Y70" s="65">
        <v>0</v>
      </c>
    </row>
    <row r="71" spans="1:25">
      <c r="A71" s="60" t="s">
        <v>38</v>
      </c>
      <c r="B71" s="60" t="s">
        <v>445</v>
      </c>
      <c r="C71" s="60" t="s">
        <v>299</v>
      </c>
      <c r="D71" s="60" t="s">
        <v>299</v>
      </c>
      <c r="E71" s="60">
        <v>20804</v>
      </c>
      <c r="F71" s="52">
        <v>2495</v>
      </c>
      <c r="G71" s="52">
        <v>2555</v>
      </c>
      <c r="H71" s="52">
        <v>2626</v>
      </c>
      <c r="I71" s="52">
        <v>3266</v>
      </c>
      <c r="J71" s="52">
        <v>3337</v>
      </c>
      <c r="K71" s="52">
        <v>3408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60">
        <v>0</v>
      </c>
      <c r="S71" s="60">
        <v>0</v>
      </c>
      <c r="T71" s="60">
        <v>0</v>
      </c>
      <c r="U71" s="65">
        <v>0</v>
      </c>
      <c r="V71" s="65">
        <v>0</v>
      </c>
      <c r="W71" s="65">
        <v>0</v>
      </c>
      <c r="X71" s="60">
        <v>0</v>
      </c>
      <c r="Y71" s="65">
        <v>0</v>
      </c>
    </row>
    <row r="72" spans="1:25">
      <c r="A72" s="60" t="s">
        <v>38</v>
      </c>
      <c r="B72" s="60" t="s">
        <v>445</v>
      </c>
      <c r="C72" s="60" t="s">
        <v>533</v>
      </c>
      <c r="D72" s="60" t="s">
        <v>300</v>
      </c>
      <c r="E72" s="60">
        <v>20805</v>
      </c>
      <c r="F72" s="52">
        <v>2850</v>
      </c>
      <c r="G72" s="52">
        <v>2849</v>
      </c>
      <c r="H72" s="52">
        <v>2943</v>
      </c>
      <c r="I72" s="52">
        <v>3789</v>
      </c>
      <c r="J72" s="52">
        <v>3883</v>
      </c>
      <c r="K72" s="52">
        <v>3977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60">
        <v>0</v>
      </c>
      <c r="S72" s="60">
        <v>0</v>
      </c>
      <c r="T72" s="60">
        <v>0</v>
      </c>
      <c r="U72" s="65">
        <v>0</v>
      </c>
      <c r="V72" s="65">
        <v>0</v>
      </c>
      <c r="W72" s="65">
        <v>0</v>
      </c>
      <c r="X72" s="60">
        <v>0</v>
      </c>
      <c r="Y72" s="65">
        <v>0</v>
      </c>
    </row>
    <row r="73" spans="1:25">
      <c r="A73" s="60" t="s">
        <v>38</v>
      </c>
      <c r="B73" s="60" t="s">
        <v>445</v>
      </c>
      <c r="C73" s="60" t="s">
        <v>301</v>
      </c>
      <c r="D73" s="60" t="s">
        <v>534</v>
      </c>
      <c r="E73" s="60">
        <v>20806</v>
      </c>
      <c r="F73" s="52">
        <v>5872</v>
      </c>
      <c r="G73" s="52">
        <v>5849</v>
      </c>
      <c r="H73" s="52">
        <v>5990</v>
      </c>
      <c r="I73" s="52">
        <v>7256</v>
      </c>
      <c r="J73" s="52">
        <v>7396</v>
      </c>
      <c r="K73" s="52">
        <v>7537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60">
        <v>0</v>
      </c>
      <c r="S73" s="60">
        <v>0</v>
      </c>
      <c r="T73" s="60">
        <v>0</v>
      </c>
      <c r="U73" s="65">
        <v>0</v>
      </c>
      <c r="V73" s="65">
        <v>0</v>
      </c>
      <c r="W73" s="65">
        <v>0</v>
      </c>
      <c r="X73" s="60">
        <v>0</v>
      </c>
      <c r="Y73" s="65">
        <v>0</v>
      </c>
    </row>
    <row r="74" spans="1:25">
      <c r="A74" s="60" t="s">
        <v>38</v>
      </c>
      <c r="B74" s="60" t="s">
        <v>445</v>
      </c>
      <c r="C74" s="60" t="s">
        <v>302</v>
      </c>
      <c r="D74" s="60" t="s">
        <v>302</v>
      </c>
      <c r="E74" s="60">
        <v>20807</v>
      </c>
      <c r="F74" s="52">
        <v>1891</v>
      </c>
      <c r="G74" s="52">
        <v>1883</v>
      </c>
      <c r="H74" s="52">
        <v>1985</v>
      </c>
      <c r="I74" s="52">
        <v>2898</v>
      </c>
      <c r="J74" s="52">
        <v>3000</v>
      </c>
      <c r="K74" s="52">
        <v>3101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60">
        <v>0</v>
      </c>
      <c r="S74" s="60">
        <v>0</v>
      </c>
      <c r="T74" s="60">
        <v>0</v>
      </c>
      <c r="U74" s="65">
        <v>0</v>
      </c>
      <c r="V74" s="65">
        <v>0</v>
      </c>
      <c r="W74" s="65">
        <v>0</v>
      </c>
      <c r="X74" s="60">
        <v>0</v>
      </c>
      <c r="Y74" s="65">
        <v>0</v>
      </c>
    </row>
    <row r="75" spans="1:25">
      <c r="A75" s="60" t="s">
        <v>38</v>
      </c>
      <c r="B75" s="60" t="s">
        <v>535</v>
      </c>
      <c r="C75" s="60" t="s">
        <v>258</v>
      </c>
      <c r="D75" s="60" t="s">
        <v>258</v>
      </c>
      <c r="E75" s="60">
        <v>20901</v>
      </c>
      <c r="F75" s="52">
        <v>4138</v>
      </c>
      <c r="G75" s="52">
        <v>4230</v>
      </c>
      <c r="H75" s="52">
        <v>4329</v>
      </c>
      <c r="I75" s="52">
        <v>5223</v>
      </c>
      <c r="J75" s="52">
        <v>5323</v>
      </c>
      <c r="K75" s="52">
        <v>5422</v>
      </c>
      <c r="L75" s="52">
        <v>66</v>
      </c>
      <c r="M75" s="52">
        <v>59</v>
      </c>
      <c r="N75" s="52">
        <v>78</v>
      </c>
      <c r="O75" s="52">
        <v>111</v>
      </c>
      <c r="P75" s="52">
        <v>48</v>
      </c>
      <c r="Q75" s="52">
        <v>92</v>
      </c>
      <c r="R75" s="60">
        <v>1.6</v>
      </c>
      <c r="S75" s="60">
        <v>1.4</v>
      </c>
      <c r="T75" s="60">
        <v>1.8000000000000003</v>
      </c>
      <c r="U75" s="65">
        <v>1.6000000000000003</v>
      </c>
      <c r="V75" s="65">
        <v>2.1172638436482085</v>
      </c>
      <c r="W75" s="65">
        <v>0.90452261306532655</v>
      </c>
      <c r="X75" s="60">
        <v>1.7000000000000002</v>
      </c>
      <c r="Y75" s="65">
        <v>1.5739288189045118</v>
      </c>
    </row>
    <row r="76" spans="1:25">
      <c r="A76" s="60" t="s">
        <v>38</v>
      </c>
      <c r="B76" s="60" t="s">
        <v>535</v>
      </c>
      <c r="C76" s="60" t="s">
        <v>468</v>
      </c>
      <c r="D76" s="60" t="s">
        <v>468</v>
      </c>
      <c r="E76" s="60">
        <v>20902</v>
      </c>
      <c r="F76" s="52">
        <v>4901</v>
      </c>
      <c r="G76" s="52">
        <v>5003</v>
      </c>
      <c r="H76" s="52">
        <v>5229</v>
      </c>
      <c r="I76" s="52">
        <v>7261</v>
      </c>
      <c r="J76" s="52">
        <v>7487</v>
      </c>
      <c r="K76" s="52">
        <v>7713</v>
      </c>
      <c r="L76" s="52">
        <v>25</v>
      </c>
      <c r="M76" s="52">
        <v>70</v>
      </c>
      <c r="N76" s="52">
        <v>52</v>
      </c>
      <c r="O76" s="52">
        <v>88</v>
      </c>
      <c r="P76" s="52">
        <v>69</v>
      </c>
      <c r="Q76" s="52">
        <v>239</v>
      </c>
      <c r="R76" s="60">
        <v>0.5</v>
      </c>
      <c r="S76" s="60">
        <v>1.3999999999999997</v>
      </c>
      <c r="T76" s="60">
        <v>1</v>
      </c>
      <c r="U76" s="65">
        <v>0.96666666666666645</v>
      </c>
      <c r="V76" s="65">
        <v>1.2106537530266344</v>
      </c>
      <c r="W76" s="65">
        <v>0.9265858873841768</v>
      </c>
      <c r="X76" s="60">
        <v>3.1</v>
      </c>
      <c r="Y76" s="65">
        <v>1.7457465468036037</v>
      </c>
    </row>
    <row r="77" spans="1:25">
      <c r="A77" s="60" t="s">
        <v>38</v>
      </c>
      <c r="B77" s="60" t="s">
        <v>535</v>
      </c>
      <c r="C77" s="60" t="s">
        <v>303</v>
      </c>
      <c r="D77" s="60" t="s">
        <v>303</v>
      </c>
      <c r="E77" s="60">
        <v>20903</v>
      </c>
      <c r="F77" s="52">
        <v>2834</v>
      </c>
      <c r="G77" s="52">
        <v>2811</v>
      </c>
      <c r="H77" s="52">
        <v>2968</v>
      </c>
      <c r="I77" s="52">
        <v>4378</v>
      </c>
      <c r="J77" s="52">
        <v>4534</v>
      </c>
      <c r="K77" s="52">
        <v>4691</v>
      </c>
      <c r="L77" s="52">
        <v>0</v>
      </c>
      <c r="M77" s="52">
        <v>0</v>
      </c>
      <c r="N77" s="52">
        <v>0</v>
      </c>
      <c r="O77" s="52">
        <v>0</v>
      </c>
      <c r="P77" s="52">
        <v>0</v>
      </c>
      <c r="Q77" s="52">
        <v>0</v>
      </c>
      <c r="R77" s="60">
        <v>0</v>
      </c>
      <c r="S77" s="60">
        <v>0</v>
      </c>
      <c r="T77" s="60">
        <v>0</v>
      </c>
      <c r="U77" s="65">
        <v>0</v>
      </c>
      <c r="V77" s="65">
        <v>0</v>
      </c>
      <c r="W77" s="65">
        <v>0</v>
      </c>
      <c r="X77" s="60">
        <v>0</v>
      </c>
      <c r="Y77" s="65">
        <v>0</v>
      </c>
    </row>
    <row r="78" spans="1:25">
      <c r="A78" s="60" t="s">
        <v>38</v>
      </c>
      <c r="B78" s="60" t="s">
        <v>535</v>
      </c>
      <c r="C78" s="60" t="s">
        <v>304</v>
      </c>
      <c r="D78" s="60" t="s">
        <v>304</v>
      </c>
      <c r="E78" s="60">
        <v>20904</v>
      </c>
      <c r="F78" s="52">
        <v>1349</v>
      </c>
      <c r="G78" s="52">
        <v>1369</v>
      </c>
      <c r="H78" s="52">
        <v>1429</v>
      </c>
      <c r="I78" s="52">
        <v>1967</v>
      </c>
      <c r="J78" s="52">
        <v>2026</v>
      </c>
      <c r="K78" s="52">
        <v>2086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60">
        <v>0</v>
      </c>
      <c r="S78" s="60">
        <v>0</v>
      </c>
      <c r="T78" s="60">
        <v>0</v>
      </c>
      <c r="U78" s="65">
        <v>0</v>
      </c>
      <c r="V78" s="65">
        <v>0</v>
      </c>
      <c r="W78" s="65">
        <v>0</v>
      </c>
      <c r="X78" s="60">
        <v>0</v>
      </c>
      <c r="Y78" s="65">
        <v>0</v>
      </c>
    </row>
    <row r="79" spans="1:25">
      <c r="A79" s="60" t="s">
        <v>38</v>
      </c>
      <c r="B79" s="60" t="s">
        <v>535</v>
      </c>
      <c r="C79" s="60" t="s">
        <v>234</v>
      </c>
      <c r="D79" s="60" t="s">
        <v>234</v>
      </c>
      <c r="E79" s="60">
        <v>20905</v>
      </c>
      <c r="F79" s="52">
        <v>3166</v>
      </c>
      <c r="G79" s="52">
        <v>3146</v>
      </c>
      <c r="H79" s="52">
        <v>3351</v>
      </c>
      <c r="I79" s="52">
        <v>5196</v>
      </c>
      <c r="J79" s="52">
        <v>5401</v>
      </c>
      <c r="K79" s="52">
        <v>5606</v>
      </c>
      <c r="L79" s="52">
        <v>25</v>
      </c>
      <c r="M79" s="52">
        <v>35</v>
      </c>
      <c r="N79" s="52">
        <v>54</v>
      </c>
      <c r="O79" s="52">
        <v>91</v>
      </c>
      <c r="P79" s="52">
        <v>0</v>
      </c>
      <c r="Q79" s="52">
        <v>0</v>
      </c>
      <c r="R79" s="60">
        <v>0.8</v>
      </c>
      <c r="S79" s="60">
        <v>1.1000000000000001</v>
      </c>
      <c r="T79" s="60">
        <v>1.6</v>
      </c>
      <c r="U79" s="65">
        <v>1.1666666666666667</v>
      </c>
      <c r="V79" s="65">
        <v>1.7543859649122806</v>
      </c>
      <c r="W79" s="65">
        <v>0</v>
      </c>
      <c r="X79" s="60">
        <v>0</v>
      </c>
      <c r="Y79" s="65">
        <v>0.58479532163742687</v>
      </c>
    </row>
    <row r="80" spans="1:25">
      <c r="A80" s="60" t="s">
        <v>38</v>
      </c>
      <c r="B80" s="60" t="s">
        <v>469</v>
      </c>
      <c r="C80" s="60" t="s">
        <v>469</v>
      </c>
      <c r="D80" s="60" t="s">
        <v>469</v>
      </c>
      <c r="E80" s="60">
        <v>21001</v>
      </c>
      <c r="F80" s="52">
        <v>5393</v>
      </c>
      <c r="G80" s="52">
        <v>5428</v>
      </c>
      <c r="H80" s="52">
        <v>5678</v>
      </c>
      <c r="I80" s="52">
        <v>7924</v>
      </c>
      <c r="J80" s="52">
        <v>8173</v>
      </c>
      <c r="K80" s="52">
        <v>8423</v>
      </c>
      <c r="L80" s="52">
        <v>0</v>
      </c>
      <c r="M80" s="52">
        <v>49</v>
      </c>
      <c r="N80" s="52">
        <v>0</v>
      </c>
      <c r="O80" s="52">
        <v>0</v>
      </c>
      <c r="P80" s="52">
        <v>166</v>
      </c>
      <c r="Q80" s="52">
        <v>118</v>
      </c>
      <c r="R80" s="60">
        <v>0</v>
      </c>
      <c r="S80" s="60">
        <v>0.90000000000000013</v>
      </c>
      <c r="T80" s="60">
        <v>0</v>
      </c>
      <c r="U80" s="65">
        <v>0.30000000000000004</v>
      </c>
      <c r="V80" s="65">
        <v>0</v>
      </c>
      <c r="W80" s="65">
        <v>2.0270270270270272</v>
      </c>
      <c r="X80" s="60">
        <v>1.4</v>
      </c>
      <c r="Y80" s="65">
        <v>1.1423423423423424</v>
      </c>
    </row>
    <row r="81" spans="1:25">
      <c r="A81" s="60" t="s">
        <v>38</v>
      </c>
      <c r="B81" s="60" t="s">
        <v>469</v>
      </c>
      <c r="C81" s="60" t="s">
        <v>305</v>
      </c>
      <c r="D81" s="60" t="s">
        <v>305</v>
      </c>
      <c r="E81" s="60">
        <v>21002</v>
      </c>
      <c r="F81" s="52">
        <v>3807</v>
      </c>
      <c r="G81" s="52">
        <v>3858</v>
      </c>
      <c r="H81" s="52">
        <v>3998</v>
      </c>
      <c r="I81" s="52">
        <v>5253</v>
      </c>
      <c r="J81" s="52">
        <v>5393</v>
      </c>
      <c r="K81" s="52">
        <v>5532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60">
        <v>0</v>
      </c>
      <c r="S81" s="60">
        <v>0</v>
      </c>
      <c r="T81" s="60">
        <v>0</v>
      </c>
      <c r="U81" s="65">
        <v>0</v>
      </c>
      <c r="V81" s="65">
        <v>0</v>
      </c>
      <c r="W81" s="65">
        <v>0</v>
      </c>
      <c r="X81" s="60">
        <v>0</v>
      </c>
      <c r="Y81" s="65">
        <v>0</v>
      </c>
    </row>
    <row r="82" spans="1:25">
      <c r="A82" s="60" t="s">
        <v>38</v>
      </c>
      <c r="B82" s="60" t="s">
        <v>469</v>
      </c>
      <c r="C82" s="60" t="s">
        <v>451</v>
      </c>
      <c r="D82" s="60" t="s">
        <v>451</v>
      </c>
      <c r="E82" s="60">
        <v>21003</v>
      </c>
      <c r="F82" s="52">
        <v>3049</v>
      </c>
      <c r="G82" s="52">
        <v>3121</v>
      </c>
      <c r="H82" s="52">
        <v>3396</v>
      </c>
      <c r="I82" s="52">
        <v>5874</v>
      </c>
      <c r="J82" s="52">
        <v>6149</v>
      </c>
      <c r="K82" s="52">
        <v>6424</v>
      </c>
      <c r="L82" s="52">
        <v>3</v>
      </c>
      <c r="M82" s="52">
        <v>0</v>
      </c>
      <c r="N82" s="52">
        <v>0</v>
      </c>
      <c r="O82" s="52">
        <v>20</v>
      </c>
      <c r="P82" s="52">
        <v>0</v>
      </c>
      <c r="Q82" s="52">
        <v>0</v>
      </c>
      <c r="R82" s="60">
        <v>0.1</v>
      </c>
      <c r="S82" s="60">
        <v>0</v>
      </c>
      <c r="T82" s="60">
        <v>0</v>
      </c>
      <c r="U82" s="65">
        <v>3.3333333333333333E-2</v>
      </c>
      <c r="V82" s="65">
        <v>0.34843205574912894</v>
      </c>
      <c r="W82" s="65">
        <v>0</v>
      </c>
      <c r="X82" s="60">
        <v>0</v>
      </c>
      <c r="Y82" s="65">
        <v>0.11614401858304298</v>
      </c>
    </row>
    <row r="83" spans="1:25">
      <c r="A83" s="60" t="s">
        <v>38</v>
      </c>
      <c r="B83" s="60" t="s">
        <v>469</v>
      </c>
      <c r="C83" s="60" t="s">
        <v>460</v>
      </c>
      <c r="D83" s="60" t="s">
        <v>460</v>
      </c>
      <c r="E83" s="60">
        <v>21004</v>
      </c>
      <c r="F83" s="52">
        <v>6180</v>
      </c>
      <c r="G83" s="52">
        <v>6196</v>
      </c>
      <c r="H83" s="52">
        <v>6494</v>
      </c>
      <c r="I83" s="52">
        <v>9173</v>
      </c>
      <c r="J83" s="52">
        <v>9470</v>
      </c>
      <c r="K83" s="52">
        <v>9768</v>
      </c>
      <c r="L83" s="52">
        <v>0</v>
      </c>
      <c r="M83" s="52">
        <v>0</v>
      </c>
      <c r="N83" s="52">
        <v>0</v>
      </c>
      <c r="O83" s="52">
        <v>49</v>
      </c>
      <c r="P83" s="52">
        <v>0</v>
      </c>
      <c r="Q83" s="52">
        <v>49</v>
      </c>
      <c r="R83" s="60">
        <v>0</v>
      </c>
      <c r="S83" s="60">
        <v>0</v>
      </c>
      <c r="T83" s="60">
        <v>0</v>
      </c>
      <c r="U83" s="65">
        <v>0</v>
      </c>
      <c r="V83" s="65">
        <v>0.53191489361702127</v>
      </c>
      <c r="W83" s="65">
        <v>0</v>
      </c>
      <c r="X83" s="60">
        <v>0.5</v>
      </c>
      <c r="Y83" s="65">
        <v>0.34397163120567376</v>
      </c>
    </row>
    <row r="84" spans="1:25">
      <c r="A84" s="60" t="s">
        <v>38</v>
      </c>
      <c r="B84" s="60" t="s">
        <v>469</v>
      </c>
      <c r="C84" s="60" t="s">
        <v>306</v>
      </c>
      <c r="D84" s="60" t="s">
        <v>306</v>
      </c>
      <c r="E84" s="60">
        <v>21005</v>
      </c>
      <c r="F84" s="52">
        <v>1865</v>
      </c>
      <c r="G84" s="52">
        <v>1815</v>
      </c>
      <c r="H84" s="52">
        <v>1989</v>
      </c>
      <c r="I84" s="52">
        <v>3553</v>
      </c>
      <c r="J84" s="52">
        <v>3726</v>
      </c>
      <c r="K84" s="52">
        <v>3900</v>
      </c>
      <c r="L84" s="52">
        <v>0</v>
      </c>
      <c r="M84" s="52">
        <v>0</v>
      </c>
      <c r="N84" s="52">
        <v>0</v>
      </c>
      <c r="O84" s="52">
        <v>0</v>
      </c>
      <c r="P84" s="52">
        <v>0</v>
      </c>
      <c r="Q84" s="52">
        <v>0</v>
      </c>
      <c r="R84" s="60">
        <v>0</v>
      </c>
      <c r="S84" s="60">
        <v>0</v>
      </c>
      <c r="T84" s="60">
        <v>0</v>
      </c>
      <c r="U84" s="65">
        <v>0</v>
      </c>
      <c r="V84" s="65">
        <v>0</v>
      </c>
      <c r="W84" s="65">
        <v>0</v>
      </c>
      <c r="X84" s="60">
        <v>0</v>
      </c>
      <c r="Y84" s="65">
        <v>0</v>
      </c>
    </row>
    <row r="85" spans="1:25">
      <c r="A85" s="60" t="s">
        <v>38</v>
      </c>
      <c r="B85" s="60" t="s">
        <v>469</v>
      </c>
      <c r="C85" s="60" t="s">
        <v>254</v>
      </c>
      <c r="D85" s="60" t="s">
        <v>254</v>
      </c>
      <c r="E85" s="60">
        <v>21006</v>
      </c>
      <c r="F85" s="52">
        <v>1005</v>
      </c>
      <c r="G85" s="52">
        <v>1022</v>
      </c>
      <c r="H85" s="52">
        <v>1098</v>
      </c>
      <c r="I85" s="52">
        <v>1782</v>
      </c>
      <c r="J85" s="52">
        <v>1858</v>
      </c>
      <c r="K85" s="52">
        <v>1934</v>
      </c>
      <c r="L85" s="52">
        <v>2</v>
      </c>
      <c r="M85" s="52">
        <v>0</v>
      </c>
      <c r="N85" s="52">
        <v>0</v>
      </c>
      <c r="O85" s="52">
        <v>0</v>
      </c>
      <c r="P85" s="52">
        <v>0</v>
      </c>
      <c r="Q85" s="52">
        <v>0</v>
      </c>
      <c r="R85" s="60">
        <v>0.2</v>
      </c>
      <c r="S85" s="60">
        <v>0</v>
      </c>
      <c r="T85" s="60">
        <v>0</v>
      </c>
      <c r="U85" s="65">
        <v>6.6666666666666666E-2</v>
      </c>
      <c r="V85" s="65">
        <v>0</v>
      </c>
      <c r="W85" s="65">
        <v>0</v>
      </c>
      <c r="X85" s="60">
        <v>0</v>
      </c>
      <c r="Y85" s="65">
        <v>0</v>
      </c>
    </row>
    <row r="86" spans="1:25">
      <c r="A86" s="60" t="s">
        <v>38</v>
      </c>
      <c r="B86" s="60" t="s">
        <v>536</v>
      </c>
      <c r="C86" s="60" t="s">
        <v>462</v>
      </c>
      <c r="D86" s="60" t="s">
        <v>537</v>
      </c>
      <c r="E86" s="60">
        <v>21101</v>
      </c>
      <c r="F86" s="52">
        <v>6572</v>
      </c>
      <c r="G86" s="52">
        <v>6759</v>
      </c>
      <c r="H86" s="52">
        <v>6947</v>
      </c>
      <c r="I86" s="52">
        <v>8641</v>
      </c>
      <c r="J86" s="52">
        <v>8829</v>
      </c>
      <c r="K86" s="52">
        <v>9017</v>
      </c>
      <c r="L86" s="52">
        <v>59</v>
      </c>
      <c r="M86" s="52">
        <v>54</v>
      </c>
      <c r="N86" s="52">
        <v>49</v>
      </c>
      <c r="O86" s="52">
        <v>97</v>
      </c>
      <c r="P86" s="52">
        <v>123</v>
      </c>
      <c r="Q86" s="52">
        <v>99</v>
      </c>
      <c r="R86" s="60">
        <v>0.90000000000000013</v>
      </c>
      <c r="S86" s="60">
        <v>0.8</v>
      </c>
      <c r="T86" s="60">
        <v>0.69999999999999984</v>
      </c>
      <c r="U86" s="65">
        <v>0.79999999999999993</v>
      </c>
      <c r="V86" s="65">
        <v>1.1235955056179776</v>
      </c>
      <c r="W86" s="65">
        <v>1.3904982618771726</v>
      </c>
      <c r="X86" s="60">
        <v>1.1000000000000001</v>
      </c>
      <c r="Y86" s="65">
        <v>1.2046979224983834</v>
      </c>
    </row>
    <row r="87" spans="1:25">
      <c r="A87" s="60" t="s">
        <v>38</v>
      </c>
      <c r="B87" s="60" t="s">
        <v>536</v>
      </c>
      <c r="C87" s="60" t="s">
        <v>243</v>
      </c>
      <c r="D87" s="60" t="s">
        <v>538</v>
      </c>
      <c r="E87" s="60">
        <v>21102</v>
      </c>
      <c r="F87" s="52">
        <v>6990</v>
      </c>
      <c r="G87" s="52">
        <v>7224</v>
      </c>
      <c r="H87" s="52">
        <v>7564</v>
      </c>
      <c r="I87" s="52">
        <v>10622</v>
      </c>
      <c r="J87" s="52">
        <v>10962</v>
      </c>
      <c r="K87" s="52">
        <v>11302</v>
      </c>
      <c r="L87" s="52">
        <v>21</v>
      </c>
      <c r="M87" s="52">
        <v>0</v>
      </c>
      <c r="N87" s="52">
        <v>76</v>
      </c>
      <c r="O87" s="52">
        <v>30</v>
      </c>
      <c r="P87" s="52">
        <v>0</v>
      </c>
      <c r="Q87" s="52">
        <v>0</v>
      </c>
      <c r="R87" s="60">
        <v>0.3</v>
      </c>
      <c r="S87" s="60">
        <v>0</v>
      </c>
      <c r="T87" s="60">
        <v>1</v>
      </c>
      <c r="U87" s="65">
        <v>0.43333333333333335</v>
      </c>
      <c r="V87" s="65">
        <v>0.27972027972027974</v>
      </c>
      <c r="W87" s="65">
        <v>0</v>
      </c>
      <c r="X87" s="60">
        <v>0</v>
      </c>
      <c r="Y87" s="65">
        <v>9.3240093240093247E-2</v>
      </c>
    </row>
    <row r="88" spans="1:25">
      <c r="A88" s="60" t="s">
        <v>38</v>
      </c>
      <c r="B88" s="60" t="s">
        <v>536</v>
      </c>
      <c r="C88" s="60" t="s">
        <v>456</v>
      </c>
      <c r="D88" s="60" t="s">
        <v>456</v>
      </c>
      <c r="E88" s="60">
        <v>21103</v>
      </c>
      <c r="F88" s="52">
        <v>2350</v>
      </c>
      <c r="G88" s="52">
        <v>2403</v>
      </c>
      <c r="H88" s="52">
        <v>2486</v>
      </c>
      <c r="I88" s="52">
        <v>3234</v>
      </c>
      <c r="J88" s="52">
        <v>3317</v>
      </c>
      <c r="K88" s="52">
        <v>3400</v>
      </c>
      <c r="L88" s="52">
        <v>12</v>
      </c>
      <c r="M88" s="52">
        <v>0</v>
      </c>
      <c r="N88" s="52">
        <v>0</v>
      </c>
      <c r="O88" s="52">
        <v>43</v>
      </c>
      <c r="P88" s="52">
        <v>0</v>
      </c>
      <c r="Q88" s="52">
        <v>0</v>
      </c>
      <c r="R88" s="60">
        <v>0.5</v>
      </c>
      <c r="S88" s="60">
        <v>0</v>
      </c>
      <c r="T88" s="60">
        <v>0</v>
      </c>
      <c r="U88" s="65">
        <v>0.16666666666666666</v>
      </c>
      <c r="V88" s="65">
        <v>1.3201320132013201</v>
      </c>
      <c r="W88" s="65">
        <v>0</v>
      </c>
      <c r="X88" s="60">
        <v>0</v>
      </c>
      <c r="Y88" s="65">
        <v>0.44004400440044006</v>
      </c>
    </row>
    <row r="89" spans="1:25">
      <c r="A89" s="60" t="s">
        <v>38</v>
      </c>
      <c r="B89" s="60" t="s">
        <v>536</v>
      </c>
      <c r="C89" s="60" t="s">
        <v>307</v>
      </c>
      <c r="D89" s="60" t="s">
        <v>307</v>
      </c>
      <c r="E89" s="60">
        <v>21104</v>
      </c>
      <c r="F89" s="52">
        <v>9218</v>
      </c>
      <c r="G89" s="52">
        <v>9660</v>
      </c>
      <c r="H89" s="52">
        <v>9936</v>
      </c>
      <c r="I89" s="52">
        <v>12423</v>
      </c>
      <c r="J89" s="52">
        <v>12699</v>
      </c>
      <c r="K89" s="52">
        <v>12975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60">
        <v>0</v>
      </c>
      <c r="S89" s="60">
        <v>0</v>
      </c>
      <c r="T89" s="60">
        <v>0</v>
      </c>
      <c r="U89" s="65">
        <v>0</v>
      </c>
      <c r="V89" s="65">
        <v>0</v>
      </c>
      <c r="W89" s="65">
        <v>0</v>
      </c>
      <c r="X89" s="60">
        <v>0</v>
      </c>
      <c r="Y89" s="65">
        <v>0</v>
      </c>
    </row>
    <row r="90" spans="1:25">
      <c r="A90" s="60" t="s">
        <v>38</v>
      </c>
      <c r="B90" s="60" t="s">
        <v>536</v>
      </c>
      <c r="C90" s="60" t="s">
        <v>473</v>
      </c>
      <c r="D90" s="60" t="s">
        <v>473</v>
      </c>
      <c r="E90" s="60">
        <v>21105</v>
      </c>
      <c r="F90" s="52">
        <v>13715</v>
      </c>
      <c r="G90" s="52">
        <v>14539</v>
      </c>
      <c r="H90" s="52">
        <v>15093</v>
      </c>
      <c r="I90" s="52">
        <v>20075</v>
      </c>
      <c r="J90" s="52">
        <v>20628</v>
      </c>
      <c r="K90" s="52">
        <v>21182</v>
      </c>
      <c r="L90" s="52">
        <v>0</v>
      </c>
      <c r="M90" s="52">
        <v>0</v>
      </c>
      <c r="N90" s="52">
        <v>0</v>
      </c>
      <c r="O90" s="52">
        <v>268</v>
      </c>
      <c r="P90" s="52">
        <v>186</v>
      </c>
      <c r="Q90" s="52">
        <v>381</v>
      </c>
      <c r="R90" s="60">
        <v>0</v>
      </c>
      <c r="S90" s="60">
        <v>0</v>
      </c>
      <c r="T90" s="60">
        <v>0</v>
      </c>
      <c r="U90" s="65">
        <v>0</v>
      </c>
      <c r="V90" s="65">
        <v>1.3333333333333335</v>
      </c>
      <c r="W90" s="65">
        <v>0.90016366612111298</v>
      </c>
      <c r="X90" s="60">
        <v>1.8000000000000003</v>
      </c>
      <c r="Y90" s="65">
        <v>1.3444989998181489</v>
      </c>
    </row>
    <row r="91" spans="1:25">
      <c r="A91" s="60" t="s">
        <v>38</v>
      </c>
      <c r="B91" s="60" t="s">
        <v>539</v>
      </c>
      <c r="C91" s="60" t="s">
        <v>308</v>
      </c>
      <c r="D91" s="60" t="s">
        <v>308</v>
      </c>
      <c r="E91" s="60">
        <v>21201</v>
      </c>
      <c r="F91" s="52">
        <v>11984</v>
      </c>
      <c r="G91" s="52">
        <v>12318</v>
      </c>
      <c r="H91" s="52">
        <v>13468</v>
      </c>
      <c r="I91" s="52">
        <v>23821</v>
      </c>
      <c r="J91" s="52">
        <v>24972</v>
      </c>
      <c r="K91" s="52">
        <v>26122</v>
      </c>
      <c r="L91" s="52">
        <v>0</v>
      </c>
      <c r="M91" s="52">
        <v>0</v>
      </c>
      <c r="N91" s="52">
        <v>0</v>
      </c>
      <c r="O91" s="52">
        <v>0</v>
      </c>
      <c r="P91" s="52">
        <v>0</v>
      </c>
      <c r="Q91" s="52">
        <v>0</v>
      </c>
      <c r="R91" s="60">
        <v>0</v>
      </c>
      <c r="S91" s="60">
        <v>0</v>
      </c>
      <c r="T91" s="60">
        <v>0</v>
      </c>
      <c r="U91" s="65">
        <v>0</v>
      </c>
      <c r="V91" s="65">
        <v>0</v>
      </c>
      <c r="W91" s="65">
        <v>0</v>
      </c>
      <c r="X91" s="60">
        <v>0</v>
      </c>
      <c r="Y91" s="65">
        <v>0</v>
      </c>
    </row>
    <row r="92" spans="1:25">
      <c r="A92" s="60" t="s">
        <v>38</v>
      </c>
      <c r="B92" s="60" t="s">
        <v>539</v>
      </c>
      <c r="C92" s="60" t="s">
        <v>309</v>
      </c>
      <c r="D92" s="60" t="s">
        <v>309</v>
      </c>
      <c r="E92" s="60">
        <v>21202</v>
      </c>
      <c r="F92" s="52">
        <v>7733</v>
      </c>
      <c r="G92" s="52">
        <v>8012</v>
      </c>
      <c r="H92" s="52">
        <v>8721</v>
      </c>
      <c r="I92" s="52">
        <v>15103</v>
      </c>
      <c r="J92" s="52">
        <v>15812</v>
      </c>
      <c r="K92" s="52">
        <v>16521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60">
        <v>0</v>
      </c>
      <c r="S92" s="60">
        <v>0</v>
      </c>
      <c r="T92" s="60">
        <v>0</v>
      </c>
      <c r="U92" s="65">
        <v>0</v>
      </c>
      <c r="V92" s="65">
        <v>0</v>
      </c>
      <c r="W92" s="65">
        <v>0</v>
      </c>
      <c r="X92" s="60">
        <v>0</v>
      </c>
      <c r="Y92" s="65">
        <v>0</v>
      </c>
    </row>
    <row r="93" spans="1:25">
      <c r="A93" s="60" t="s">
        <v>38</v>
      </c>
      <c r="B93" s="60" t="s">
        <v>539</v>
      </c>
      <c r="C93" s="60" t="s">
        <v>310</v>
      </c>
      <c r="D93" s="60" t="s">
        <v>310</v>
      </c>
      <c r="E93" s="60">
        <v>21203</v>
      </c>
      <c r="F93" s="52">
        <v>7010</v>
      </c>
      <c r="G93" s="52">
        <v>7004</v>
      </c>
      <c r="H93" s="52">
        <v>7294</v>
      </c>
      <c r="I93" s="52">
        <v>9902</v>
      </c>
      <c r="J93" s="52">
        <v>10192</v>
      </c>
      <c r="K93" s="52">
        <v>10482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60">
        <v>0</v>
      </c>
      <c r="S93" s="60">
        <v>0</v>
      </c>
      <c r="T93" s="60">
        <v>0</v>
      </c>
      <c r="U93" s="65">
        <v>0</v>
      </c>
      <c r="V93" s="65">
        <v>0</v>
      </c>
      <c r="W93" s="65">
        <v>0</v>
      </c>
      <c r="X93" s="60">
        <v>0</v>
      </c>
      <c r="Y93" s="65">
        <v>0</v>
      </c>
    </row>
    <row r="94" spans="1:25">
      <c r="A94" s="60" t="s">
        <v>38</v>
      </c>
      <c r="B94" s="60" t="s">
        <v>539</v>
      </c>
      <c r="C94" s="60" t="s">
        <v>311</v>
      </c>
      <c r="D94" s="60" t="s">
        <v>311</v>
      </c>
      <c r="E94" s="60">
        <v>21204</v>
      </c>
      <c r="F94" s="52">
        <v>2596</v>
      </c>
      <c r="G94" s="52">
        <v>2564</v>
      </c>
      <c r="H94" s="52">
        <v>2646</v>
      </c>
      <c r="I94" s="52">
        <v>3387</v>
      </c>
      <c r="J94" s="52">
        <v>3470</v>
      </c>
      <c r="K94" s="52">
        <v>3552</v>
      </c>
      <c r="L94" s="52">
        <v>0</v>
      </c>
      <c r="M94" s="52">
        <v>0</v>
      </c>
      <c r="N94" s="52">
        <v>0</v>
      </c>
      <c r="O94" s="52">
        <v>0</v>
      </c>
      <c r="P94" s="52">
        <v>0</v>
      </c>
      <c r="Q94" s="52">
        <v>0</v>
      </c>
      <c r="R94" s="60">
        <v>0</v>
      </c>
      <c r="S94" s="60">
        <v>0</v>
      </c>
      <c r="T94" s="60">
        <v>0</v>
      </c>
      <c r="U94" s="65">
        <v>0</v>
      </c>
      <c r="V94" s="65">
        <v>0</v>
      </c>
      <c r="W94" s="65">
        <v>0</v>
      </c>
      <c r="X94" s="60">
        <v>0</v>
      </c>
      <c r="Y94" s="65">
        <v>0</v>
      </c>
    </row>
    <row r="95" spans="1:25">
      <c r="A95" s="60" t="s">
        <v>38</v>
      </c>
      <c r="B95" s="60" t="s">
        <v>540</v>
      </c>
      <c r="C95" s="60" t="s">
        <v>541</v>
      </c>
      <c r="D95" s="60" t="s">
        <v>542</v>
      </c>
      <c r="E95" s="60">
        <v>21301</v>
      </c>
      <c r="F95" s="52">
        <v>10285</v>
      </c>
      <c r="G95" s="52">
        <v>10511</v>
      </c>
      <c r="H95" s="52">
        <v>10896</v>
      </c>
      <c r="I95" s="52">
        <v>14357</v>
      </c>
      <c r="J95" s="52">
        <v>14741</v>
      </c>
      <c r="K95" s="52">
        <v>15126</v>
      </c>
      <c r="L95" s="52">
        <v>0</v>
      </c>
      <c r="M95" s="52">
        <v>0</v>
      </c>
      <c r="N95" s="52">
        <v>0</v>
      </c>
      <c r="O95" s="52">
        <v>0</v>
      </c>
      <c r="P95" s="52">
        <v>0</v>
      </c>
      <c r="Q95" s="52">
        <v>0</v>
      </c>
      <c r="R95" s="60">
        <v>0</v>
      </c>
      <c r="S95" s="60">
        <v>0</v>
      </c>
      <c r="T95" s="60">
        <v>0</v>
      </c>
      <c r="U95" s="65">
        <v>0</v>
      </c>
      <c r="V95" s="65">
        <v>0</v>
      </c>
      <c r="W95" s="65">
        <v>0</v>
      </c>
      <c r="X95" s="60">
        <v>0</v>
      </c>
      <c r="Y95" s="65">
        <v>0</v>
      </c>
    </row>
    <row r="96" spans="1:25">
      <c r="A96" s="60" t="s">
        <v>38</v>
      </c>
      <c r="B96" s="60" t="s">
        <v>540</v>
      </c>
      <c r="C96" s="60" t="s">
        <v>312</v>
      </c>
      <c r="D96" s="60" t="s">
        <v>312</v>
      </c>
      <c r="E96" s="60">
        <v>21302</v>
      </c>
      <c r="F96" s="52">
        <v>3719</v>
      </c>
      <c r="G96" s="52">
        <v>3741</v>
      </c>
      <c r="H96" s="52">
        <v>3952</v>
      </c>
      <c r="I96" s="52">
        <v>5849</v>
      </c>
      <c r="J96" s="52">
        <v>6060</v>
      </c>
      <c r="K96" s="52">
        <v>6271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60">
        <v>0</v>
      </c>
      <c r="S96" s="60">
        <v>0</v>
      </c>
      <c r="T96" s="60">
        <v>0</v>
      </c>
      <c r="U96" s="65">
        <v>0</v>
      </c>
      <c r="V96" s="65">
        <v>0</v>
      </c>
      <c r="W96" s="65">
        <v>0</v>
      </c>
      <c r="X96" s="60">
        <v>0</v>
      </c>
      <c r="Y96" s="65">
        <v>0</v>
      </c>
    </row>
    <row r="97" spans="1:25">
      <c r="A97" s="60" t="s">
        <v>38</v>
      </c>
      <c r="B97" s="60" t="s">
        <v>540</v>
      </c>
      <c r="C97" s="60" t="s">
        <v>313</v>
      </c>
      <c r="D97" s="60" t="s">
        <v>313</v>
      </c>
      <c r="E97" s="60">
        <v>21303</v>
      </c>
      <c r="F97" s="52">
        <v>3151</v>
      </c>
      <c r="G97" s="52">
        <v>3225</v>
      </c>
      <c r="H97" s="52">
        <v>3427</v>
      </c>
      <c r="I97" s="52">
        <v>5243</v>
      </c>
      <c r="J97" s="52">
        <v>5444</v>
      </c>
      <c r="K97" s="52">
        <v>5646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60">
        <v>0</v>
      </c>
      <c r="S97" s="60">
        <v>0</v>
      </c>
      <c r="T97" s="60">
        <v>0</v>
      </c>
      <c r="U97" s="65">
        <v>0</v>
      </c>
      <c r="V97" s="65">
        <v>0</v>
      </c>
      <c r="W97" s="65">
        <v>0</v>
      </c>
      <c r="X97" s="60">
        <v>0</v>
      </c>
      <c r="Y97" s="65">
        <v>0</v>
      </c>
    </row>
    <row r="98" spans="1:25">
      <c r="A98" s="60" t="s">
        <v>38</v>
      </c>
      <c r="B98" s="60" t="s">
        <v>540</v>
      </c>
      <c r="C98" s="60" t="s">
        <v>314</v>
      </c>
      <c r="D98" s="60" t="s">
        <v>314</v>
      </c>
      <c r="E98" s="60">
        <v>21304</v>
      </c>
      <c r="F98" s="52">
        <v>4077</v>
      </c>
      <c r="G98" s="52">
        <v>4132</v>
      </c>
      <c r="H98" s="52">
        <v>4327</v>
      </c>
      <c r="I98" s="52">
        <v>6078</v>
      </c>
      <c r="J98" s="52">
        <v>6272</v>
      </c>
      <c r="K98" s="52">
        <v>6467</v>
      </c>
      <c r="L98" s="52">
        <v>0</v>
      </c>
      <c r="M98" s="52">
        <v>0</v>
      </c>
      <c r="N98" s="52">
        <v>0</v>
      </c>
      <c r="O98" s="52">
        <v>0</v>
      </c>
      <c r="P98" s="52">
        <v>0</v>
      </c>
      <c r="Q98" s="52">
        <v>0</v>
      </c>
      <c r="R98" s="60">
        <v>0</v>
      </c>
      <c r="S98" s="60">
        <v>0</v>
      </c>
      <c r="T98" s="60">
        <v>0</v>
      </c>
      <c r="U98" s="65">
        <v>0</v>
      </c>
      <c r="V98" s="65">
        <v>0</v>
      </c>
      <c r="W98" s="65">
        <v>0</v>
      </c>
      <c r="X98" s="60">
        <v>0</v>
      </c>
      <c r="Y98" s="65">
        <v>0</v>
      </c>
    </row>
    <row r="99" spans="1:25">
      <c r="A99" s="60" t="s">
        <v>38</v>
      </c>
      <c r="B99" s="60" t="s">
        <v>540</v>
      </c>
      <c r="C99" s="60" t="s">
        <v>315</v>
      </c>
      <c r="D99" s="60" t="s">
        <v>315</v>
      </c>
      <c r="E99" s="60">
        <v>21305</v>
      </c>
      <c r="F99" s="52">
        <v>7950</v>
      </c>
      <c r="G99" s="52">
        <v>8087</v>
      </c>
      <c r="H99" s="52">
        <v>8427</v>
      </c>
      <c r="I99" s="52">
        <v>11485</v>
      </c>
      <c r="J99" s="52">
        <v>11824</v>
      </c>
      <c r="K99" s="52">
        <v>12164</v>
      </c>
      <c r="L99" s="52">
        <v>0</v>
      </c>
      <c r="M99" s="52">
        <v>0</v>
      </c>
      <c r="N99" s="52">
        <v>0</v>
      </c>
      <c r="O99" s="52">
        <v>0</v>
      </c>
      <c r="P99" s="52">
        <v>0</v>
      </c>
      <c r="Q99" s="52">
        <v>0</v>
      </c>
      <c r="R99" s="60">
        <v>0</v>
      </c>
      <c r="S99" s="60">
        <v>0</v>
      </c>
      <c r="T99" s="60">
        <v>0</v>
      </c>
      <c r="U99" s="65">
        <v>0</v>
      </c>
      <c r="V99" s="65">
        <v>0</v>
      </c>
      <c r="W99" s="65">
        <v>0</v>
      </c>
      <c r="X99" s="60">
        <v>0</v>
      </c>
      <c r="Y99" s="65">
        <v>0</v>
      </c>
    </row>
    <row r="100" spans="1:25">
      <c r="A100" s="60" t="s">
        <v>38</v>
      </c>
      <c r="B100" s="60" t="s">
        <v>540</v>
      </c>
      <c r="C100" s="60" t="s">
        <v>316</v>
      </c>
      <c r="D100" s="60" t="s">
        <v>316</v>
      </c>
      <c r="E100" s="60">
        <v>21306</v>
      </c>
      <c r="F100" s="52">
        <v>3673</v>
      </c>
      <c r="G100" s="52">
        <v>3771</v>
      </c>
      <c r="H100" s="52">
        <v>3920</v>
      </c>
      <c r="I100" s="52">
        <v>5258</v>
      </c>
      <c r="J100" s="52">
        <v>5406</v>
      </c>
      <c r="K100" s="52">
        <v>5555</v>
      </c>
      <c r="L100" s="52">
        <v>0</v>
      </c>
      <c r="M100" s="52">
        <v>0</v>
      </c>
      <c r="N100" s="52">
        <v>0</v>
      </c>
      <c r="O100" s="52">
        <v>0</v>
      </c>
      <c r="P100" s="52">
        <v>0</v>
      </c>
      <c r="Q100" s="52">
        <v>0</v>
      </c>
      <c r="R100" s="60">
        <v>0</v>
      </c>
      <c r="S100" s="60">
        <v>0</v>
      </c>
      <c r="T100" s="60">
        <v>0</v>
      </c>
      <c r="U100" s="65">
        <v>0</v>
      </c>
      <c r="V100" s="65">
        <v>0</v>
      </c>
      <c r="W100" s="65">
        <v>0</v>
      </c>
      <c r="X100" s="60">
        <v>0</v>
      </c>
      <c r="Y100" s="65">
        <v>0</v>
      </c>
    </row>
    <row r="101" spans="1:25">
      <c r="A101" s="60" t="s">
        <v>38</v>
      </c>
      <c r="B101" s="60" t="s">
        <v>540</v>
      </c>
      <c r="C101" s="60" t="s">
        <v>317</v>
      </c>
      <c r="D101" s="60" t="s">
        <v>317</v>
      </c>
      <c r="E101" s="60">
        <v>21307</v>
      </c>
      <c r="F101" s="52">
        <v>1299</v>
      </c>
      <c r="G101" s="52">
        <v>1347</v>
      </c>
      <c r="H101" s="52">
        <v>1397</v>
      </c>
      <c r="I101" s="52">
        <v>1844</v>
      </c>
      <c r="J101" s="52">
        <v>1893</v>
      </c>
      <c r="K101" s="52">
        <v>1943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60">
        <v>0</v>
      </c>
      <c r="S101" s="60">
        <v>0</v>
      </c>
      <c r="T101" s="60">
        <v>0</v>
      </c>
      <c r="U101" s="65">
        <v>0</v>
      </c>
      <c r="V101" s="65">
        <v>0</v>
      </c>
      <c r="W101" s="65">
        <v>0</v>
      </c>
      <c r="X101" s="60">
        <v>0</v>
      </c>
      <c r="Y101" s="65">
        <v>0</v>
      </c>
    </row>
    <row r="102" spans="1:25">
      <c r="A102" s="60" t="s">
        <v>38</v>
      </c>
      <c r="B102" s="60" t="s">
        <v>543</v>
      </c>
      <c r="C102" s="60" t="s">
        <v>256</v>
      </c>
      <c r="D102" s="60" t="s">
        <v>256</v>
      </c>
      <c r="E102" s="60">
        <v>21401</v>
      </c>
      <c r="F102" s="52">
        <v>6888</v>
      </c>
      <c r="G102" s="52">
        <v>7164</v>
      </c>
      <c r="H102" s="52">
        <v>7516</v>
      </c>
      <c r="I102" s="52">
        <v>10687</v>
      </c>
      <c r="J102" s="52">
        <v>11040</v>
      </c>
      <c r="K102" s="52">
        <v>11392</v>
      </c>
      <c r="L102" s="52">
        <v>7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60">
        <v>0.1</v>
      </c>
      <c r="S102" s="60">
        <v>0</v>
      </c>
      <c r="T102" s="60">
        <v>0</v>
      </c>
      <c r="U102" s="65">
        <v>3.3333333333333333E-2</v>
      </c>
      <c r="V102" s="65">
        <v>0</v>
      </c>
      <c r="W102" s="65">
        <v>0</v>
      </c>
      <c r="X102" s="60">
        <v>0</v>
      </c>
      <c r="Y102" s="65">
        <v>0</v>
      </c>
    </row>
    <row r="103" spans="1:25">
      <c r="A103" s="60" t="s">
        <v>38</v>
      </c>
      <c r="B103" s="60" t="s">
        <v>543</v>
      </c>
      <c r="C103" s="60" t="s">
        <v>472</v>
      </c>
      <c r="D103" s="60" t="s">
        <v>472</v>
      </c>
      <c r="E103" s="60">
        <v>21402</v>
      </c>
      <c r="F103" s="52">
        <v>5448</v>
      </c>
      <c r="G103" s="52">
        <v>5648</v>
      </c>
      <c r="H103" s="52">
        <v>6039</v>
      </c>
      <c r="I103" s="52">
        <v>9560</v>
      </c>
      <c r="J103" s="52">
        <v>9951</v>
      </c>
      <c r="K103" s="52">
        <v>10342</v>
      </c>
      <c r="L103" s="52">
        <v>27</v>
      </c>
      <c r="M103" s="52">
        <v>0</v>
      </c>
      <c r="N103" s="52">
        <v>0</v>
      </c>
      <c r="O103" s="52">
        <v>0</v>
      </c>
      <c r="P103" s="52">
        <v>353</v>
      </c>
      <c r="Q103" s="52">
        <v>10</v>
      </c>
      <c r="R103" s="60">
        <v>0.5</v>
      </c>
      <c r="S103" s="60">
        <v>0</v>
      </c>
      <c r="T103" s="60">
        <v>0</v>
      </c>
      <c r="U103" s="65">
        <v>0.16666666666666666</v>
      </c>
      <c r="V103" s="65">
        <v>0</v>
      </c>
      <c r="W103" s="65">
        <v>3.5452322738386304</v>
      </c>
      <c r="X103" s="60">
        <v>0.1</v>
      </c>
      <c r="Y103" s="65">
        <v>1.2150774246128768</v>
      </c>
    </row>
    <row r="104" spans="1:25">
      <c r="A104" s="60" t="s">
        <v>38</v>
      </c>
      <c r="B104" s="60" t="s">
        <v>544</v>
      </c>
      <c r="C104" s="60" t="s">
        <v>318</v>
      </c>
      <c r="D104" s="60" t="s">
        <v>318</v>
      </c>
      <c r="E104" s="60">
        <v>21501</v>
      </c>
      <c r="F104" s="52">
        <v>2369</v>
      </c>
      <c r="G104" s="52">
        <v>2462</v>
      </c>
      <c r="H104" s="52">
        <v>2592</v>
      </c>
      <c r="I104" s="52">
        <v>3763</v>
      </c>
      <c r="J104" s="52">
        <v>3893</v>
      </c>
      <c r="K104" s="52">
        <v>4023</v>
      </c>
      <c r="L104" s="52">
        <v>0</v>
      </c>
      <c r="M104" s="52">
        <v>0</v>
      </c>
      <c r="N104" s="52">
        <v>0</v>
      </c>
      <c r="O104" s="52">
        <v>0</v>
      </c>
      <c r="P104" s="52">
        <v>0</v>
      </c>
      <c r="Q104" s="52">
        <v>0</v>
      </c>
      <c r="R104" s="60">
        <v>0</v>
      </c>
      <c r="S104" s="60">
        <v>0</v>
      </c>
      <c r="T104" s="60">
        <v>0</v>
      </c>
      <c r="U104" s="65">
        <v>0</v>
      </c>
      <c r="V104" s="65">
        <v>0</v>
      </c>
      <c r="W104" s="65">
        <v>0</v>
      </c>
      <c r="X104" s="60">
        <v>0</v>
      </c>
      <c r="Y104" s="65">
        <v>0</v>
      </c>
    </row>
    <row r="105" spans="1:25">
      <c r="A105" s="60" t="s">
        <v>38</v>
      </c>
      <c r="B105" s="60" t="s">
        <v>544</v>
      </c>
      <c r="C105" s="60" t="s">
        <v>319</v>
      </c>
      <c r="D105" s="60" t="s">
        <v>319</v>
      </c>
      <c r="E105" s="60">
        <v>21502</v>
      </c>
      <c r="F105" s="52">
        <v>2038</v>
      </c>
      <c r="G105" s="52">
        <v>2108</v>
      </c>
      <c r="H105" s="52">
        <v>2230</v>
      </c>
      <c r="I105" s="52">
        <v>3326</v>
      </c>
      <c r="J105" s="52">
        <v>3447</v>
      </c>
      <c r="K105" s="52">
        <v>3569</v>
      </c>
      <c r="L105" s="52">
        <v>0</v>
      </c>
      <c r="M105" s="52">
        <v>0</v>
      </c>
      <c r="N105" s="52">
        <v>0</v>
      </c>
      <c r="O105" s="52">
        <v>0</v>
      </c>
      <c r="P105" s="52">
        <v>0</v>
      </c>
      <c r="Q105" s="52">
        <v>0</v>
      </c>
      <c r="R105" s="60">
        <v>0</v>
      </c>
      <c r="S105" s="60">
        <v>0</v>
      </c>
      <c r="T105" s="60">
        <v>0</v>
      </c>
      <c r="U105" s="65">
        <v>0</v>
      </c>
      <c r="V105" s="65">
        <v>0</v>
      </c>
      <c r="W105" s="65">
        <v>0</v>
      </c>
      <c r="X105" s="60">
        <v>0</v>
      </c>
      <c r="Y105" s="65">
        <v>0</v>
      </c>
    </row>
    <row r="106" spans="1:25">
      <c r="A106" s="60" t="s">
        <v>38</v>
      </c>
      <c r="B106" s="60" t="s">
        <v>545</v>
      </c>
      <c r="C106" s="60" t="s">
        <v>546</v>
      </c>
      <c r="D106" s="60" t="s">
        <v>547</v>
      </c>
      <c r="E106" s="60">
        <v>21601</v>
      </c>
      <c r="F106" s="52">
        <v>3780</v>
      </c>
      <c r="G106" s="52">
        <v>3851</v>
      </c>
      <c r="H106" s="52">
        <v>4015</v>
      </c>
      <c r="I106" s="52">
        <v>5494</v>
      </c>
      <c r="J106" s="52">
        <v>5659</v>
      </c>
      <c r="K106" s="52">
        <v>5823</v>
      </c>
      <c r="L106" s="52">
        <v>0</v>
      </c>
      <c r="M106" s="52">
        <v>0</v>
      </c>
      <c r="N106" s="52">
        <v>0</v>
      </c>
      <c r="O106" s="52">
        <v>0</v>
      </c>
      <c r="P106" s="52">
        <v>0</v>
      </c>
      <c r="Q106" s="52">
        <v>0</v>
      </c>
      <c r="R106" s="60">
        <v>0</v>
      </c>
      <c r="S106" s="60">
        <v>0</v>
      </c>
      <c r="T106" s="60">
        <v>0</v>
      </c>
      <c r="U106" s="65">
        <v>0</v>
      </c>
      <c r="V106" s="65">
        <v>0</v>
      </c>
      <c r="W106" s="65">
        <v>0</v>
      </c>
      <c r="X106" s="60">
        <v>0</v>
      </c>
      <c r="Y106" s="65">
        <v>0</v>
      </c>
    </row>
    <row r="107" spans="1:25">
      <c r="A107" s="60" t="s">
        <v>38</v>
      </c>
      <c r="B107" s="60" t="s">
        <v>545</v>
      </c>
      <c r="C107" s="60" t="s">
        <v>320</v>
      </c>
      <c r="D107" s="60" t="s">
        <v>320</v>
      </c>
      <c r="E107" s="60">
        <v>21602</v>
      </c>
      <c r="F107" s="52">
        <v>1044</v>
      </c>
      <c r="G107" s="52">
        <v>1077</v>
      </c>
      <c r="H107" s="52">
        <v>1149</v>
      </c>
      <c r="I107" s="52">
        <v>1800</v>
      </c>
      <c r="J107" s="52">
        <v>1872</v>
      </c>
      <c r="K107" s="52">
        <v>1944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60">
        <v>0</v>
      </c>
      <c r="S107" s="60">
        <v>0</v>
      </c>
      <c r="T107" s="60">
        <v>0</v>
      </c>
      <c r="U107" s="65">
        <v>0</v>
      </c>
      <c r="V107" s="65">
        <v>0</v>
      </c>
      <c r="W107" s="65">
        <v>0</v>
      </c>
      <c r="X107" s="60">
        <v>0</v>
      </c>
      <c r="Y107" s="65">
        <v>0</v>
      </c>
    </row>
    <row r="108" spans="1:25">
      <c r="A108" s="60" t="s">
        <v>38</v>
      </c>
      <c r="B108" s="60" t="s">
        <v>548</v>
      </c>
      <c r="C108" s="60" t="s">
        <v>321</v>
      </c>
      <c r="D108" s="60" t="s">
        <v>321</v>
      </c>
      <c r="E108" s="60">
        <v>21701</v>
      </c>
      <c r="F108" s="52">
        <v>6119</v>
      </c>
      <c r="G108" s="52">
        <v>6205</v>
      </c>
      <c r="H108" s="52">
        <v>6444</v>
      </c>
      <c r="I108" s="52">
        <v>8594</v>
      </c>
      <c r="J108" s="52">
        <v>8833</v>
      </c>
      <c r="K108" s="52">
        <v>9072</v>
      </c>
      <c r="L108" s="52">
        <v>0</v>
      </c>
      <c r="M108" s="52">
        <v>0</v>
      </c>
      <c r="N108" s="52">
        <v>0</v>
      </c>
      <c r="O108" s="52">
        <v>0</v>
      </c>
      <c r="P108" s="52">
        <v>0</v>
      </c>
      <c r="Q108" s="52">
        <v>0</v>
      </c>
      <c r="R108" s="60">
        <v>0</v>
      </c>
      <c r="S108" s="60">
        <v>0</v>
      </c>
      <c r="T108" s="60">
        <v>0</v>
      </c>
      <c r="U108" s="65">
        <v>0</v>
      </c>
      <c r="V108" s="65">
        <v>0</v>
      </c>
      <c r="W108" s="65">
        <v>0</v>
      </c>
      <c r="X108" s="60">
        <v>0</v>
      </c>
      <c r="Y108" s="65">
        <v>0</v>
      </c>
    </row>
    <row r="109" spans="1:25">
      <c r="A109" s="60" t="s">
        <v>38</v>
      </c>
      <c r="B109" s="60" t="s">
        <v>548</v>
      </c>
      <c r="C109" s="60" t="s">
        <v>322</v>
      </c>
      <c r="D109" s="60" t="s">
        <v>322</v>
      </c>
      <c r="E109" s="60">
        <v>21702</v>
      </c>
      <c r="F109" s="52">
        <v>2911</v>
      </c>
      <c r="G109" s="52">
        <v>2895</v>
      </c>
      <c r="H109" s="52">
        <v>3021</v>
      </c>
      <c r="I109" s="52">
        <v>4153</v>
      </c>
      <c r="J109" s="52">
        <v>4279</v>
      </c>
      <c r="K109" s="52">
        <v>4405</v>
      </c>
      <c r="L109" s="52">
        <v>0</v>
      </c>
      <c r="M109" s="52">
        <v>0</v>
      </c>
      <c r="N109" s="52">
        <v>0</v>
      </c>
      <c r="O109" s="52">
        <v>0</v>
      </c>
      <c r="P109" s="52">
        <v>0</v>
      </c>
      <c r="Q109" s="52">
        <v>0</v>
      </c>
      <c r="R109" s="60">
        <v>0</v>
      </c>
      <c r="S109" s="60">
        <v>0</v>
      </c>
      <c r="T109" s="60">
        <v>0</v>
      </c>
      <c r="U109" s="65">
        <v>0</v>
      </c>
      <c r="V109" s="65">
        <v>0</v>
      </c>
      <c r="W109" s="65">
        <v>0</v>
      </c>
      <c r="X109" s="60">
        <v>0</v>
      </c>
      <c r="Y109" s="65">
        <v>0</v>
      </c>
    </row>
    <row r="110" spans="1:25">
      <c r="A110" s="60" t="s">
        <v>38</v>
      </c>
      <c r="B110" s="60" t="s">
        <v>548</v>
      </c>
      <c r="C110" s="60" t="s">
        <v>323</v>
      </c>
      <c r="D110" s="60" t="s">
        <v>323</v>
      </c>
      <c r="E110" s="60">
        <v>21703</v>
      </c>
      <c r="F110" s="52">
        <v>1270</v>
      </c>
      <c r="G110" s="52">
        <v>1304</v>
      </c>
      <c r="H110" s="52">
        <v>1323</v>
      </c>
      <c r="I110" s="52">
        <v>1489</v>
      </c>
      <c r="J110" s="52">
        <v>1508</v>
      </c>
      <c r="K110" s="52">
        <v>1526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60">
        <v>0</v>
      </c>
      <c r="S110" s="60">
        <v>0</v>
      </c>
      <c r="T110" s="60">
        <v>0</v>
      </c>
      <c r="U110" s="65">
        <v>0</v>
      </c>
      <c r="V110" s="65">
        <v>0</v>
      </c>
      <c r="W110" s="65">
        <v>0</v>
      </c>
      <c r="X110" s="60">
        <v>0</v>
      </c>
      <c r="Y110" s="65">
        <v>0</v>
      </c>
    </row>
    <row r="111" spans="1:25">
      <c r="A111" s="60" t="s">
        <v>38</v>
      </c>
      <c r="B111" s="60" t="s">
        <v>549</v>
      </c>
      <c r="C111" s="60" t="s">
        <v>324</v>
      </c>
      <c r="D111" s="60" t="s">
        <v>324</v>
      </c>
      <c r="E111" s="60">
        <v>21801</v>
      </c>
      <c r="F111" s="52">
        <v>3480</v>
      </c>
      <c r="G111" s="52">
        <v>3568</v>
      </c>
      <c r="H111" s="52">
        <v>3711</v>
      </c>
      <c r="I111" s="52">
        <v>5001</v>
      </c>
      <c r="J111" s="52">
        <v>5144</v>
      </c>
      <c r="K111" s="52">
        <v>5287</v>
      </c>
      <c r="L111" s="52">
        <v>0</v>
      </c>
      <c r="M111" s="52">
        <v>0</v>
      </c>
      <c r="N111" s="52">
        <v>0</v>
      </c>
      <c r="O111" s="52">
        <v>0</v>
      </c>
      <c r="P111" s="52">
        <v>0</v>
      </c>
      <c r="Q111" s="52">
        <v>0</v>
      </c>
      <c r="R111" s="60">
        <v>0</v>
      </c>
      <c r="S111" s="60">
        <v>0</v>
      </c>
      <c r="T111" s="60">
        <v>0</v>
      </c>
      <c r="U111" s="65">
        <v>0</v>
      </c>
      <c r="V111" s="65">
        <v>0</v>
      </c>
      <c r="W111" s="65">
        <v>0</v>
      </c>
      <c r="X111" s="60">
        <v>0</v>
      </c>
      <c r="Y111" s="65">
        <v>0</v>
      </c>
    </row>
    <row r="112" spans="1:25">
      <c r="A112" s="60" t="s">
        <v>38</v>
      </c>
      <c r="B112" s="60" t="s">
        <v>550</v>
      </c>
      <c r="C112" s="60" t="s">
        <v>325</v>
      </c>
      <c r="D112" s="60" t="s">
        <v>325</v>
      </c>
      <c r="E112" s="60">
        <v>21802</v>
      </c>
      <c r="F112" s="52">
        <v>3141</v>
      </c>
      <c r="G112" s="52">
        <v>3203</v>
      </c>
      <c r="H112" s="52">
        <v>3324</v>
      </c>
      <c r="I112" s="52">
        <v>4408</v>
      </c>
      <c r="J112" s="52">
        <v>4529</v>
      </c>
      <c r="K112" s="52">
        <v>4649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60">
        <v>0</v>
      </c>
      <c r="S112" s="60">
        <v>0</v>
      </c>
      <c r="T112" s="60">
        <v>0</v>
      </c>
      <c r="U112" s="65">
        <v>0</v>
      </c>
      <c r="V112" s="65">
        <v>0</v>
      </c>
      <c r="W112" s="65">
        <v>0</v>
      </c>
      <c r="X112" s="60">
        <v>0</v>
      </c>
      <c r="Y112" s="65">
        <v>0</v>
      </c>
    </row>
    <row r="113" spans="1:25">
      <c r="A113" s="60" t="s">
        <v>38</v>
      </c>
      <c r="B113" s="60" t="s">
        <v>550</v>
      </c>
      <c r="C113" s="60" t="s">
        <v>326</v>
      </c>
      <c r="D113" s="60" t="s">
        <v>326</v>
      </c>
      <c r="E113" s="60">
        <v>21803</v>
      </c>
      <c r="F113" s="52">
        <v>848</v>
      </c>
      <c r="G113" s="52">
        <v>866</v>
      </c>
      <c r="H113" s="52">
        <v>897</v>
      </c>
      <c r="I113" s="52">
        <v>1175</v>
      </c>
      <c r="J113" s="52">
        <v>1206</v>
      </c>
      <c r="K113" s="52">
        <v>1237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60">
        <v>0</v>
      </c>
      <c r="S113" s="60">
        <v>0</v>
      </c>
      <c r="T113" s="60">
        <v>0</v>
      </c>
      <c r="U113" s="65">
        <v>0</v>
      </c>
      <c r="V113" s="65">
        <v>0</v>
      </c>
      <c r="W113" s="65">
        <v>0</v>
      </c>
      <c r="X113" s="60">
        <v>0</v>
      </c>
      <c r="Y113" s="65">
        <v>0</v>
      </c>
    </row>
    <row r="114" spans="1:25">
      <c r="A114" s="60" t="s">
        <v>38</v>
      </c>
      <c r="B114" s="60" t="s">
        <v>551</v>
      </c>
      <c r="C114" s="60" t="s">
        <v>327</v>
      </c>
      <c r="D114" s="60" t="s">
        <v>327</v>
      </c>
      <c r="E114" s="60">
        <v>21901</v>
      </c>
      <c r="F114" s="52">
        <v>2698</v>
      </c>
      <c r="G114" s="52">
        <v>2734</v>
      </c>
      <c r="H114" s="52">
        <v>2842</v>
      </c>
      <c r="I114" s="52">
        <v>3812</v>
      </c>
      <c r="J114" s="52">
        <v>3919</v>
      </c>
      <c r="K114" s="52">
        <v>4027</v>
      </c>
      <c r="L114" s="52">
        <v>0</v>
      </c>
      <c r="M114" s="52">
        <v>0</v>
      </c>
      <c r="N114" s="52">
        <v>0</v>
      </c>
      <c r="O114" s="52">
        <v>0</v>
      </c>
      <c r="P114" s="52">
        <v>0</v>
      </c>
      <c r="Q114" s="52">
        <v>0</v>
      </c>
      <c r="R114" s="60">
        <v>0</v>
      </c>
      <c r="S114" s="60">
        <v>0</v>
      </c>
      <c r="T114" s="60">
        <v>0</v>
      </c>
      <c r="U114" s="65">
        <v>0</v>
      </c>
      <c r="V114" s="65">
        <v>0</v>
      </c>
      <c r="W114" s="65">
        <v>0</v>
      </c>
      <c r="X114" s="60">
        <v>0</v>
      </c>
      <c r="Y114" s="65">
        <v>0</v>
      </c>
    </row>
    <row r="115" spans="1:25">
      <c r="A115" s="60" t="s">
        <v>38</v>
      </c>
      <c r="B115" s="60" t="s">
        <v>551</v>
      </c>
      <c r="C115" s="60" t="s">
        <v>328</v>
      </c>
      <c r="D115" s="60" t="s">
        <v>328</v>
      </c>
      <c r="E115" s="60">
        <v>21902</v>
      </c>
      <c r="F115" s="52">
        <v>754</v>
      </c>
      <c r="G115" s="52">
        <v>776</v>
      </c>
      <c r="H115" s="52">
        <v>871</v>
      </c>
      <c r="I115" s="52">
        <v>1729</v>
      </c>
      <c r="J115" s="52">
        <v>1825</v>
      </c>
      <c r="K115" s="52">
        <v>1920</v>
      </c>
      <c r="L115" s="52">
        <v>0</v>
      </c>
      <c r="M115" s="52">
        <v>0</v>
      </c>
      <c r="N115" s="52">
        <v>0</v>
      </c>
      <c r="O115" s="52">
        <v>0</v>
      </c>
      <c r="P115" s="52">
        <v>0</v>
      </c>
      <c r="Q115" s="52">
        <v>0</v>
      </c>
      <c r="R115" s="60">
        <v>0</v>
      </c>
      <c r="S115" s="60">
        <v>0</v>
      </c>
      <c r="T115" s="60">
        <v>0</v>
      </c>
      <c r="U115" s="65">
        <v>0</v>
      </c>
      <c r="V115" s="65">
        <v>0</v>
      </c>
      <c r="W115" s="65">
        <v>0</v>
      </c>
      <c r="X115" s="60">
        <v>0</v>
      </c>
      <c r="Y115" s="65">
        <v>0</v>
      </c>
    </row>
    <row r="116" spans="1:25">
      <c r="A116" s="60" t="s">
        <v>38</v>
      </c>
      <c r="B116" s="60" t="s">
        <v>329</v>
      </c>
      <c r="C116" s="60" t="s">
        <v>329</v>
      </c>
      <c r="D116" s="60" t="s">
        <v>329</v>
      </c>
      <c r="E116" s="60">
        <v>22001</v>
      </c>
      <c r="F116" s="52">
        <v>17093</v>
      </c>
      <c r="G116" s="52">
        <v>17456</v>
      </c>
      <c r="H116" s="52">
        <v>17981</v>
      </c>
      <c r="I116" s="52">
        <v>22706</v>
      </c>
      <c r="J116" s="52">
        <v>23231</v>
      </c>
      <c r="K116" s="52">
        <v>23756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60">
        <v>0</v>
      </c>
      <c r="S116" s="60">
        <v>0</v>
      </c>
      <c r="T116" s="60">
        <v>0</v>
      </c>
      <c r="U116" s="65">
        <v>0</v>
      </c>
      <c r="V116" s="65">
        <v>0</v>
      </c>
      <c r="W116" s="65">
        <v>0</v>
      </c>
      <c r="X116" s="60">
        <v>0</v>
      </c>
      <c r="Y116" s="65">
        <v>0</v>
      </c>
    </row>
    <row r="117" spans="1:25">
      <c r="A117" s="60" t="s">
        <v>38</v>
      </c>
      <c r="B117" s="60" t="s">
        <v>329</v>
      </c>
      <c r="C117" s="60" t="s">
        <v>330</v>
      </c>
      <c r="D117" s="60" t="s">
        <v>330</v>
      </c>
      <c r="E117" s="60">
        <v>22002</v>
      </c>
      <c r="F117" s="52">
        <v>4131</v>
      </c>
      <c r="G117" s="52">
        <v>4318</v>
      </c>
      <c r="H117" s="52">
        <v>4380</v>
      </c>
      <c r="I117" s="52">
        <v>4939</v>
      </c>
      <c r="J117" s="52">
        <v>5001</v>
      </c>
      <c r="K117" s="52">
        <v>5063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60">
        <v>0</v>
      </c>
      <c r="S117" s="60">
        <v>0</v>
      </c>
      <c r="T117" s="60">
        <v>0</v>
      </c>
      <c r="U117" s="65">
        <v>0</v>
      </c>
      <c r="V117" s="65">
        <v>0</v>
      </c>
      <c r="W117" s="65">
        <v>0</v>
      </c>
      <c r="X117" s="60">
        <v>0</v>
      </c>
      <c r="Y117" s="65">
        <v>0</v>
      </c>
    </row>
    <row r="118" spans="1:25">
      <c r="A118" s="60" t="s">
        <v>64</v>
      </c>
      <c r="B118" s="60" t="s">
        <v>552</v>
      </c>
      <c r="C118" s="60" t="s">
        <v>64</v>
      </c>
      <c r="D118" s="60" t="s">
        <v>64</v>
      </c>
      <c r="E118" s="60">
        <v>30101</v>
      </c>
      <c r="F118" s="52">
        <v>188323</v>
      </c>
      <c r="G118" s="52">
        <v>193738</v>
      </c>
      <c r="H118" s="52">
        <v>198999</v>
      </c>
      <c r="I118" s="52">
        <v>246351</v>
      </c>
      <c r="J118" s="52">
        <v>251613</v>
      </c>
      <c r="K118" s="52">
        <v>256874</v>
      </c>
      <c r="L118" s="52">
        <v>13183</v>
      </c>
      <c r="M118" s="52">
        <v>30417</v>
      </c>
      <c r="N118" s="52">
        <v>105470</v>
      </c>
      <c r="O118" s="52">
        <v>545</v>
      </c>
      <c r="P118" s="52">
        <v>802</v>
      </c>
      <c r="Q118" s="52">
        <v>1284</v>
      </c>
      <c r="R118" s="60">
        <v>7.0000000000000009</v>
      </c>
      <c r="S118" s="60">
        <v>15.7</v>
      </c>
      <c r="T118" s="60">
        <v>53</v>
      </c>
      <c r="U118" s="65">
        <v>25.233333333333334</v>
      </c>
      <c r="V118" s="65">
        <v>0.22114540310253991</v>
      </c>
      <c r="W118" s="65">
        <v>0.31892146558909873</v>
      </c>
      <c r="X118" s="60">
        <v>0.5</v>
      </c>
      <c r="Y118" s="65">
        <v>0.34668895623054619</v>
      </c>
    </row>
    <row r="119" spans="1:25">
      <c r="A119" s="60" t="s">
        <v>64</v>
      </c>
      <c r="B119" s="60" t="s">
        <v>553</v>
      </c>
      <c r="C119" s="60" t="s">
        <v>204</v>
      </c>
      <c r="D119" s="60" t="s">
        <v>204</v>
      </c>
      <c r="E119" s="60">
        <v>30201</v>
      </c>
      <c r="F119" s="52">
        <v>8338</v>
      </c>
      <c r="G119" s="52">
        <v>8375</v>
      </c>
      <c r="H119" s="52">
        <v>8568</v>
      </c>
      <c r="I119" s="52">
        <v>10301</v>
      </c>
      <c r="J119" s="52">
        <v>10493</v>
      </c>
      <c r="K119" s="52">
        <v>10686</v>
      </c>
      <c r="L119" s="52">
        <v>475</v>
      </c>
      <c r="M119" s="52">
        <v>402</v>
      </c>
      <c r="N119" s="52">
        <v>163</v>
      </c>
      <c r="O119" s="52">
        <v>199</v>
      </c>
      <c r="P119" s="52">
        <v>85</v>
      </c>
      <c r="Q119" s="52">
        <v>150</v>
      </c>
      <c r="R119" s="60">
        <v>5.7</v>
      </c>
      <c r="S119" s="60">
        <v>4.8</v>
      </c>
      <c r="T119" s="60">
        <v>1.9</v>
      </c>
      <c r="U119" s="65">
        <v>4.1333333333333337</v>
      </c>
      <c r="V119" s="65">
        <v>1.9342121473450782</v>
      </c>
      <c r="W119" s="65">
        <v>0.81234768480909825</v>
      </c>
      <c r="X119" s="60">
        <v>1.4</v>
      </c>
      <c r="Y119" s="65">
        <v>1.3821866107180589</v>
      </c>
    </row>
    <row r="120" spans="1:25">
      <c r="A120" s="60" t="s">
        <v>64</v>
      </c>
      <c r="B120" s="60" t="s">
        <v>553</v>
      </c>
      <c r="C120" s="60" t="s">
        <v>228</v>
      </c>
      <c r="D120" s="60" t="s">
        <v>228</v>
      </c>
      <c r="E120" s="60">
        <v>30202</v>
      </c>
      <c r="F120" s="52">
        <v>1744</v>
      </c>
      <c r="G120" s="52">
        <v>1760</v>
      </c>
      <c r="H120" s="52">
        <v>1782</v>
      </c>
      <c r="I120" s="52">
        <v>1980</v>
      </c>
      <c r="J120" s="52">
        <v>2002</v>
      </c>
      <c r="K120" s="52">
        <v>2024</v>
      </c>
      <c r="L120" s="52">
        <v>63</v>
      </c>
      <c r="M120" s="52">
        <v>42</v>
      </c>
      <c r="N120" s="52">
        <v>57</v>
      </c>
      <c r="O120" s="52">
        <v>50</v>
      </c>
      <c r="P120" s="52">
        <v>56</v>
      </c>
      <c r="Q120" s="52">
        <v>26</v>
      </c>
      <c r="R120" s="60">
        <v>3.6000000000000005</v>
      </c>
      <c r="S120" s="60">
        <v>2.4</v>
      </c>
      <c r="T120" s="60">
        <v>3.2</v>
      </c>
      <c r="U120" s="65">
        <v>3.0666666666666664</v>
      </c>
      <c r="V120" s="65">
        <v>2.5316455696202533</v>
      </c>
      <c r="W120" s="65">
        <v>2.7954256670902162</v>
      </c>
      <c r="X120" s="60">
        <v>1.3</v>
      </c>
      <c r="Y120" s="65">
        <v>2.2090237455701565</v>
      </c>
    </row>
    <row r="121" spans="1:25">
      <c r="A121" s="60" t="s">
        <v>64</v>
      </c>
      <c r="B121" s="60" t="s">
        <v>553</v>
      </c>
      <c r="C121" s="60" t="s">
        <v>208</v>
      </c>
      <c r="D121" s="60" t="s">
        <v>208</v>
      </c>
      <c r="E121" s="60">
        <v>30203</v>
      </c>
      <c r="F121" s="52">
        <v>1849</v>
      </c>
      <c r="G121" s="52">
        <v>1860</v>
      </c>
      <c r="H121" s="52">
        <v>1918</v>
      </c>
      <c r="I121" s="52">
        <v>2435</v>
      </c>
      <c r="J121" s="52">
        <v>2493</v>
      </c>
      <c r="K121" s="52">
        <v>2550</v>
      </c>
      <c r="L121" s="52">
        <v>105</v>
      </c>
      <c r="M121" s="52">
        <v>71</v>
      </c>
      <c r="N121" s="52">
        <v>19</v>
      </c>
      <c r="O121" s="52">
        <v>39</v>
      </c>
      <c r="P121" s="52">
        <v>30</v>
      </c>
      <c r="Q121" s="52">
        <v>28</v>
      </c>
      <c r="R121" s="60">
        <v>5.7</v>
      </c>
      <c r="S121" s="60">
        <v>3.8</v>
      </c>
      <c r="T121" s="60">
        <v>1</v>
      </c>
      <c r="U121" s="65">
        <v>3.5</v>
      </c>
      <c r="V121" s="65">
        <v>1.6163222045574985</v>
      </c>
      <c r="W121" s="65">
        <v>1.2153950033760972</v>
      </c>
      <c r="X121" s="60">
        <v>1.1000000000000001</v>
      </c>
      <c r="Y121" s="65">
        <v>1.310572402644532</v>
      </c>
    </row>
    <row r="122" spans="1:25">
      <c r="A122" s="60" t="s">
        <v>64</v>
      </c>
      <c r="B122" s="60" t="s">
        <v>236</v>
      </c>
      <c r="C122" s="60" t="s">
        <v>554</v>
      </c>
      <c r="D122" s="60" t="s">
        <v>555</v>
      </c>
      <c r="E122" s="60">
        <v>30301</v>
      </c>
      <c r="F122" s="52">
        <v>9575</v>
      </c>
      <c r="G122" s="52">
        <v>9694</v>
      </c>
      <c r="H122" s="52">
        <v>9862</v>
      </c>
      <c r="I122" s="52">
        <v>11369</v>
      </c>
      <c r="J122" s="52">
        <v>11537</v>
      </c>
      <c r="K122" s="52">
        <v>11704</v>
      </c>
      <c r="L122" s="52">
        <v>230</v>
      </c>
      <c r="M122" s="52">
        <v>58</v>
      </c>
      <c r="N122" s="52">
        <v>59</v>
      </c>
      <c r="O122" s="52">
        <v>84</v>
      </c>
      <c r="P122" s="52">
        <v>126</v>
      </c>
      <c r="Q122" s="52">
        <v>23</v>
      </c>
      <c r="R122" s="60">
        <v>2.4</v>
      </c>
      <c r="S122" s="60">
        <v>0.6</v>
      </c>
      <c r="T122" s="60">
        <v>0.6</v>
      </c>
      <c r="U122" s="65">
        <v>1.2</v>
      </c>
      <c r="V122" s="65">
        <v>0.7399577167019028</v>
      </c>
      <c r="W122" s="65">
        <v>1.0901883052527255</v>
      </c>
      <c r="X122" s="60">
        <v>0.2</v>
      </c>
      <c r="Y122" s="65">
        <v>0.67671534065154282</v>
      </c>
    </row>
    <row r="123" spans="1:25">
      <c r="A123" s="60" t="s">
        <v>64</v>
      </c>
      <c r="B123" s="60" t="s">
        <v>236</v>
      </c>
      <c r="C123" s="60" t="s">
        <v>197</v>
      </c>
      <c r="D123" s="60" t="s">
        <v>197</v>
      </c>
      <c r="E123" s="60">
        <v>30302</v>
      </c>
      <c r="F123" s="52">
        <v>4715</v>
      </c>
      <c r="G123" s="52">
        <v>4715</v>
      </c>
      <c r="H123" s="52">
        <v>4851</v>
      </c>
      <c r="I123" s="52">
        <v>6073</v>
      </c>
      <c r="J123" s="52">
        <v>6208</v>
      </c>
      <c r="K123" s="52">
        <v>6344</v>
      </c>
      <c r="L123" s="52">
        <v>99</v>
      </c>
      <c r="M123" s="52">
        <v>47</v>
      </c>
      <c r="N123" s="52">
        <v>417</v>
      </c>
      <c r="O123" s="52">
        <v>17</v>
      </c>
      <c r="P123" s="52">
        <v>25</v>
      </c>
      <c r="Q123" s="52">
        <v>0</v>
      </c>
      <c r="R123" s="60">
        <v>2.1</v>
      </c>
      <c r="S123" s="60">
        <v>1</v>
      </c>
      <c r="T123" s="60">
        <v>8.6</v>
      </c>
      <c r="U123" s="65">
        <v>3.9</v>
      </c>
      <c r="V123" s="65">
        <v>0.2767527675276753</v>
      </c>
      <c r="W123" s="65">
        <v>0.41025641025641024</v>
      </c>
      <c r="X123" s="60">
        <v>0</v>
      </c>
      <c r="Y123" s="65">
        <v>0.22900305926136186</v>
      </c>
    </row>
    <row r="124" spans="1:25">
      <c r="A124" s="60" t="s">
        <v>64</v>
      </c>
      <c r="B124" s="60" t="s">
        <v>236</v>
      </c>
      <c r="C124" s="60" t="s">
        <v>463</v>
      </c>
      <c r="D124" s="60" t="s">
        <v>463</v>
      </c>
      <c r="E124" s="60">
        <v>30303</v>
      </c>
      <c r="F124" s="52">
        <v>5459</v>
      </c>
      <c r="G124" s="52">
        <v>5552</v>
      </c>
      <c r="H124" s="52">
        <v>5855</v>
      </c>
      <c r="I124" s="52">
        <v>8586</v>
      </c>
      <c r="J124" s="52">
        <v>8890</v>
      </c>
      <c r="K124" s="52">
        <v>9193</v>
      </c>
      <c r="L124" s="52">
        <v>0</v>
      </c>
      <c r="M124" s="52">
        <v>0</v>
      </c>
      <c r="N124" s="52">
        <v>76</v>
      </c>
      <c r="O124" s="52">
        <v>94</v>
      </c>
      <c r="P124" s="52">
        <v>132</v>
      </c>
      <c r="Q124" s="52">
        <v>0</v>
      </c>
      <c r="R124" s="60">
        <v>0</v>
      </c>
      <c r="S124" s="60">
        <v>0</v>
      </c>
      <c r="T124" s="60">
        <v>1.3</v>
      </c>
      <c r="U124" s="65">
        <v>0.43333333333333335</v>
      </c>
      <c r="V124" s="65">
        <v>1.098901098901099</v>
      </c>
      <c r="W124" s="65">
        <v>1.4814814814814814</v>
      </c>
      <c r="X124" s="60">
        <v>0</v>
      </c>
      <c r="Y124" s="65">
        <v>0.86012752679419346</v>
      </c>
    </row>
    <row r="125" spans="1:25">
      <c r="A125" s="60" t="s">
        <v>64</v>
      </c>
      <c r="B125" s="60" t="s">
        <v>556</v>
      </c>
      <c r="C125" s="60" t="s">
        <v>452</v>
      </c>
      <c r="D125" s="60" t="s">
        <v>452</v>
      </c>
      <c r="E125" s="60">
        <v>30401</v>
      </c>
      <c r="F125" s="52">
        <v>3136</v>
      </c>
      <c r="G125" s="52">
        <v>3168</v>
      </c>
      <c r="H125" s="52">
        <v>3342</v>
      </c>
      <c r="I125" s="52">
        <v>4909</v>
      </c>
      <c r="J125" s="52">
        <v>5083</v>
      </c>
      <c r="K125" s="52">
        <v>5257</v>
      </c>
      <c r="L125" s="52">
        <v>9</v>
      </c>
      <c r="M125" s="52">
        <v>6</v>
      </c>
      <c r="N125" s="52">
        <v>23</v>
      </c>
      <c r="O125" s="52">
        <v>7</v>
      </c>
      <c r="P125" s="52">
        <v>46</v>
      </c>
      <c r="Q125" s="52">
        <v>21</v>
      </c>
      <c r="R125" s="60">
        <v>0.3</v>
      </c>
      <c r="S125" s="60">
        <v>0.2</v>
      </c>
      <c r="T125" s="60">
        <v>0.7</v>
      </c>
      <c r="U125" s="65">
        <v>0.39999999999999997</v>
      </c>
      <c r="V125" s="65">
        <v>0.1433349259436216</v>
      </c>
      <c r="W125" s="65">
        <v>0.90702947845804993</v>
      </c>
      <c r="X125" s="60">
        <v>0.4</v>
      </c>
      <c r="Y125" s="65">
        <v>0.48345480146722392</v>
      </c>
    </row>
    <row r="126" spans="1:25">
      <c r="A126" s="60" t="s">
        <v>64</v>
      </c>
      <c r="B126" s="60" t="s">
        <v>556</v>
      </c>
      <c r="C126" s="60" t="s">
        <v>221</v>
      </c>
      <c r="D126" s="60" t="s">
        <v>557</v>
      </c>
      <c r="E126" s="60">
        <v>30402</v>
      </c>
      <c r="F126" s="52">
        <v>3617</v>
      </c>
      <c r="G126" s="52">
        <v>3600</v>
      </c>
      <c r="H126" s="52">
        <v>3666</v>
      </c>
      <c r="I126" s="52">
        <v>4261</v>
      </c>
      <c r="J126" s="52">
        <v>4327</v>
      </c>
      <c r="K126" s="52">
        <v>4393</v>
      </c>
      <c r="L126" s="52">
        <v>181</v>
      </c>
      <c r="M126" s="52">
        <v>18</v>
      </c>
      <c r="N126" s="52">
        <v>95</v>
      </c>
      <c r="O126" s="52">
        <v>77</v>
      </c>
      <c r="P126" s="52">
        <v>71</v>
      </c>
      <c r="Q126" s="52">
        <v>57</v>
      </c>
      <c r="R126" s="60">
        <v>5</v>
      </c>
      <c r="S126" s="60">
        <v>0.5</v>
      </c>
      <c r="T126" s="60">
        <v>2.6</v>
      </c>
      <c r="U126" s="65">
        <v>2.6999999999999997</v>
      </c>
      <c r="V126" s="65">
        <v>1.8135654697134567</v>
      </c>
      <c r="W126" s="65">
        <v>1.6341923318667504</v>
      </c>
      <c r="X126" s="60">
        <v>1.3</v>
      </c>
      <c r="Y126" s="65">
        <v>1.582585933860069</v>
      </c>
    </row>
    <row r="127" spans="1:25">
      <c r="A127" s="60" t="s">
        <v>64</v>
      </c>
      <c r="B127" s="60" t="s">
        <v>556</v>
      </c>
      <c r="C127" s="60" t="s">
        <v>188</v>
      </c>
      <c r="D127" s="60" t="s">
        <v>188</v>
      </c>
      <c r="E127" s="60">
        <v>30403</v>
      </c>
      <c r="F127" s="52">
        <v>6358</v>
      </c>
      <c r="G127" s="52">
        <v>6651</v>
      </c>
      <c r="H127" s="52">
        <v>7314</v>
      </c>
      <c r="I127" s="52">
        <v>13285</v>
      </c>
      <c r="J127" s="52">
        <v>13949</v>
      </c>
      <c r="K127" s="52">
        <v>14612</v>
      </c>
      <c r="L127" s="52">
        <v>153</v>
      </c>
      <c r="M127" s="52">
        <v>572</v>
      </c>
      <c r="N127" s="52">
        <v>600</v>
      </c>
      <c r="O127" s="52">
        <v>46</v>
      </c>
      <c r="P127" s="52">
        <v>407</v>
      </c>
      <c r="Q127" s="52">
        <v>190</v>
      </c>
      <c r="R127" s="60">
        <v>2.4</v>
      </c>
      <c r="S127" s="60">
        <v>8.6</v>
      </c>
      <c r="T127" s="60">
        <v>8.1999999999999993</v>
      </c>
      <c r="U127" s="65">
        <v>6.3999999999999995</v>
      </c>
      <c r="V127" s="65">
        <v>0.34684191310697332</v>
      </c>
      <c r="W127" s="65">
        <v>2.9185245237130117</v>
      </c>
      <c r="X127" s="60">
        <v>1.3</v>
      </c>
      <c r="Y127" s="65">
        <v>1.5217888122733283</v>
      </c>
    </row>
    <row r="128" spans="1:25">
      <c r="A128" s="60" t="s">
        <v>64</v>
      </c>
      <c r="B128" s="60" t="s">
        <v>556</v>
      </c>
      <c r="C128" s="60" t="s">
        <v>257</v>
      </c>
      <c r="D128" s="60" t="s">
        <v>257</v>
      </c>
      <c r="E128" s="60">
        <v>30404</v>
      </c>
      <c r="F128" s="52">
        <v>1954</v>
      </c>
      <c r="G128" s="52">
        <v>1963</v>
      </c>
      <c r="H128" s="52">
        <v>1999</v>
      </c>
      <c r="I128" s="52">
        <v>2326</v>
      </c>
      <c r="J128" s="52">
        <v>2362</v>
      </c>
      <c r="K128" s="52">
        <v>2398</v>
      </c>
      <c r="L128" s="52">
        <v>2</v>
      </c>
      <c r="M128" s="52">
        <v>0</v>
      </c>
      <c r="N128" s="52">
        <v>0</v>
      </c>
      <c r="O128" s="52">
        <v>0</v>
      </c>
      <c r="P128" s="52">
        <v>0</v>
      </c>
      <c r="Q128" s="52">
        <v>0</v>
      </c>
      <c r="R128" s="60">
        <v>0.1</v>
      </c>
      <c r="S128" s="60">
        <v>0</v>
      </c>
      <c r="T128" s="60">
        <v>0</v>
      </c>
      <c r="U128" s="65">
        <v>3.3333333333333333E-2</v>
      </c>
      <c r="V128" s="65">
        <v>0</v>
      </c>
      <c r="W128" s="65">
        <v>0</v>
      </c>
      <c r="X128" s="60">
        <v>0</v>
      </c>
      <c r="Y128" s="65">
        <v>0</v>
      </c>
    </row>
    <row r="129" spans="1:25">
      <c r="A129" s="60" t="s">
        <v>64</v>
      </c>
      <c r="B129" s="60" t="s">
        <v>240</v>
      </c>
      <c r="C129" s="60" t="s">
        <v>240</v>
      </c>
      <c r="D129" s="60" t="s">
        <v>240</v>
      </c>
      <c r="E129" s="60">
        <v>30501</v>
      </c>
      <c r="F129" s="52">
        <v>4422</v>
      </c>
      <c r="G129" s="52">
        <v>4415</v>
      </c>
      <c r="H129" s="52">
        <v>4546</v>
      </c>
      <c r="I129" s="52">
        <v>5721</v>
      </c>
      <c r="J129" s="52">
        <v>5851</v>
      </c>
      <c r="K129" s="52">
        <v>5982</v>
      </c>
      <c r="L129" s="52">
        <v>97</v>
      </c>
      <c r="M129" s="52">
        <v>88</v>
      </c>
      <c r="N129" s="52">
        <v>50</v>
      </c>
      <c r="O129" s="52">
        <v>69</v>
      </c>
      <c r="P129" s="52">
        <v>98</v>
      </c>
      <c r="Q129" s="52">
        <v>72</v>
      </c>
      <c r="R129" s="60">
        <v>2.2000000000000002</v>
      </c>
      <c r="S129" s="60">
        <v>2</v>
      </c>
      <c r="T129" s="60">
        <v>1.1000000000000001</v>
      </c>
      <c r="U129" s="65">
        <v>1.7666666666666668</v>
      </c>
      <c r="V129" s="65">
        <v>1.2058823529411764</v>
      </c>
      <c r="W129" s="65">
        <v>1.6666666666666667</v>
      </c>
      <c r="X129" s="60">
        <v>1.2</v>
      </c>
      <c r="Y129" s="65">
        <v>1.3575163398692809</v>
      </c>
    </row>
    <row r="130" spans="1:25">
      <c r="A130" s="60" t="s">
        <v>64</v>
      </c>
      <c r="B130" s="60" t="s">
        <v>240</v>
      </c>
      <c r="C130" s="60" t="s">
        <v>331</v>
      </c>
      <c r="D130" s="60" t="s">
        <v>331</v>
      </c>
      <c r="E130" s="60">
        <v>30502</v>
      </c>
      <c r="F130" s="52">
        <v>4843</v>
      </c>
      <c r="G130" s="52">
        <v>4842</v>
      </c>
      <c r="H130" s="52">
        <v>4901</v>
      </c>
      <c r="I130" s="52">
        <v>5435</v>
      </c>
      <c r="J130" s="52">
        <v>5494</v>
      </c>
      <c r="K130" s="52">
        <v>5553</v>
      </c>
      <c r="L130" s="52">
        <v>0</v>
      </c>
      <c r="M130" s="52">
        <v>0</v>
      </c>
      <c r="N130" s="52">
        <v>0</v>
      </c>
      <c r="O130" s="52">
        <v>0</v>
      </c>
      <c r="P130" s="52">
        <v>0</v>
      </c>
      <c r="Q130" s="52">
        <v>0</v>
      </c>
      <c r="R130" s="60">
        <v>0</v>
      </c>
      <c r="S130" s="60">
        <v>0</v>
      </c>
      <c r="T130" s="60">
        <v>0</v>
      </c>
      <c r="U130" s="65">
        <v>0</v>
      </c>
      <c r="V130" s="65">
        <v>0</v>
      </c>
      <c r="W130" s="65">
        <v>0</v>
      </c>
      <c r="X130" s="60">
        <v>0</v>
      </c>
      <c r="Y130" s="65">
        <v>0</v>
      </c>
    </row>
    <row r="131" spans="1:25">
      <c r="A131" s="60" t="s">
        <v>64</v>
      </c>
      <c r="B131" s="60" t="s">
        <v>457</v>
      </c>
      <c r="C131" s="60" t="s">
        <v>457</v>
      </c>
      <c r="D131" s="60" t="s">
        <v>558</v>
      </c>
      <c r="E131" s="60">
        <v>30601</v>
      </c>
      <c r="F131" s="52">
        <v>4221</v>
      </c>
      <c r="G131" s="52">
        <v>4287</v>
      </c>
      <c r="H131" s="52">
        <v>4434</v>
      </c>
      <c r="I131" s="52">
        <v>5761</v>
      </c>
      <c r="J131" s="52">
        <v>5909</v>
      </c>
      <c r="K131" s="52">
        <v>6056</v>
      </c>
      <c r="L131" s="52">
        <v>156</v>
      </c>
      <c r="M131" s="52">
        <v>64</v>
      </c>
      <c r="N131" s="52">
        <v>75</v>
      </c>
      <c r="O131" s="52">
        <v>50</v>
      </c>
      <c r="P131" s="52">
        <v>9</v>
      </c>
      <c r="Q131" s="52">
        <v>406</v>
      </c>
      <c r="R131" s="60">
        <v>3.7000000000000006</v>
      </c>
      <c r="S131" s="60">
        <v>1.4999999999999998</v>
      </c>
      <c r="T131" s="60">
        <v>1.7000000000000002</v>
      </c>
      <c r="U131" s="65">
        <v>2.3000000000000003</v>
      </c>
      <c r="V131" s="65">
        <v>0.86666666666666659</v>
      </c>
      <c r="W131" s="65">
        <v>0.15544041450777202</v>
      </c>
      <c r="X131" s="60">
        <v>6.7</v>
      </c>
      <c r="Y131" s="65">
        <v>2.574035693724813</v>
      </c>
    </row>
    <row r="132" spans="1:25">
      <c r="A132" s="60" t="s">
        <v>64</v>
      </c>
      <c r="B132" s="60" t="s">
        <v>457</v>
      </c>
      <c r="C132" s="60" t="s">
        <v>246</v>
      </c>
      <c r="D132" s="60" t="s">
        <v>246</v>
      </c>
      <c r="E132" s="60">
        <v>30602</v>
      </c>
      <c r="F132" s="52">
        <v>3759</v>
      </c>
      <c r="G132" s="52">
        <v>3792</v>
      </c>
      <c r="H132" s="52">
        <v>3951</v>
      </c>
      <c r="I132" s="52">
        <v>5380</v>
      </c>
      <c r="J132" s="52">
        <v>5539</v>
      </c>
      <c r="K132" s="52">
        <v>5698</v>
      </c>
      <c r="L132" s="52">
        <v>15</v>
      </c>
      <c r="M132" s="52">
        <v>15</v>
      </c>
      <c r="N132" s="52">
        <v>4</v>
      </c>
      <c r="O132" s="52">
        <v>0</v>
      </c>
      <c r="P132" s="52">
        <v>0</v>
      </c>
      <c r="Q132" s="52">
        <v>0</v>
      </c>
      <c r="R132" s="60">
        <v>0.4</v>
      </c>
      <c r="S132" s="60">
        <v>0.4</v>
      </c>
      <c r="T132" s="60">
        <v>0.1</v>
      </c>
      <c r="U132" s="65">
        <v>0.3</v>
      </c>
      <c r="V132" s="65">
        <v>0</v>
      </c>
      <c r="W132" s="65">
        <v>0</v>
      </c>
      <c r="X132" s="60">
        <v>0</v>
      </c>
      <c r="Y132" s="65">
        <v>0</v>
      </c>
    </row>
    <row r="133" spans="1:25">
      <c r="A133" s="60" t="s">
        <v>64</v>
      </c>
      <c r="B133" s="60" t="s">
        <v>195</v>
      </c>
      <c r="C133" s="60" t="s">
        <v>195</v>
      </c>
      <c r="D133" s="60" t="s">
        <v>195</v>
      </c>
      <c r="E133" s="60">
        <v>30701</v>
      </c>
      <c r="F133" s="52">
        <v>6669</v>
      </c>
      <c r="G133" s="52">
        <v>6779</v>
      </c>
      <c r="H133" s="52">
        <v>6994</v>
      </c>
      <c r="I133" s="52">
        <v>8928</v>
      </c>
      <c r="J133" s="52">
        <v>9143</v>
      </c>
      <c r="K133" s="52">
        <v>9358</v>
      </c>
      <c r="L133" s="52">
        <v>413</v>
      </c>
      <c r="M133" s="52">
        <v>353</v>
      </c>
      <c r="N133" s="52">
        <v>427</v>
      </c>
      <c r="O133" s="52">
        <v>128</v>
      </c>
      <c r="P133" s="52">
        <v>135</v>
      </c>
      <c r="Q133" s="52">
        <v>168</v>
      </c>
      <c r="R133" s="60">
        <v>6.2</v>
      </c>
      <c r="S133" s="60">
        <v>5.2</v>
      </c>
      <c r="T133" s="60">
        <v>6.1</v>
      </c>
      <c r="U133" s="65">
        <v>5.833333333333333</v>
      </c>
      <c r="V133" s="65">
        <v>1.4340537265198952</v>
      </c>
      <c r="W133" s="65">
        <v>1.4762070163251129</v>
      </c>
      <c r="X133" s="60">
        <v>1.8000000000000003</v>
      </c>
      <c r="Y133" s="65">
        <v>1.5700869142816696</v>
      </c>
    </row>
    <row r="134" spans="1:25">
      <c r="A134" s="60" t="s">
        <v>64</v>
      </c>
      <c r="B134" s="60" t="s">
        <v>195</v>
      </c>
      <c r="C134" s="60" t="s">
        <v>196</v>
      </c>
      <c r="D134" s="60" t="s">
        <v>559</v>
      </c>
      <c r="E134" s="60">
        <v>30702</v>
      </c>
      <c r="F134" s="52">
        <v>2761</v>
      </c>
      <c r="G134" s="52">
        <v>2782</v>
      </c>
      <c r="H134" s="52">
        <v>2909</v>
      </c>
      <c r="I134" s="52">
        <v>4053</v>
      </c>
      <c r="J134" s="52">
        <v>4180</v>
      </c>
      <c r="K134" s="52">
        <v>4307</v>
      </c>
      <c r="L134" s="52">
        <v>229</v>
      </c>
      <c r="M134" s="52">
        <v>50</v>
      </c>
      <c r="N134" s="52">
        <v>140</v>
      </c>
      <c r="O134" s="52">
        <v>49</v>
      </c>
      <c r="P134" s="52">
        <v>27</v>
      </c>
      <c r="Q134" s="52">
        <v>86</v>
      </c>
      <c r="R134" s="60">
        <v>8.3000000000000007</v>
      </c>
      <c r="S134" s="60">
        <v>1.8000000000000003</v>
      </c>
      <c r="T134" s="60">
        <v>4.8000000000000007</v>
      </c>
      <c r="U134" s="65">
        <v>4.9666666666666677</v>
      </c>
      <c r="V134" s="65">
        <v>1.2060828526481384</v>
      </c>
      <c r="W134" s="65">
        <v>0.65046217048955846</v>
      </c>
      <c r="X134" s="60">
        <v>2</v>
      </c>
      <c r="Y134" s="65">
        <v>1.2855150077125657</v>
      </c>
    </row>
    <row r="135" spans="1:25">
      <c r="A135" s="60" t="s">
        <v>64</v>
      </c>
      <c r="B135" s="60" t="s">
        <v>195</v>
      </c>
      <c r="C135" s="60" t="s">
        <v>219</v>
      </c>
      <c r="D135" s="60" t="s">
        <v>219</v>
      </c>
      <c r="E135" s="60">
        <v>30703</v>
      </c>
      <c r="F135" s="52">
        <v>1181</v>
      </c>
      <c r="G135" s="52">
        <v>1225</v>
      </c>
      <c r="H135" s="52">
        <v>1254</v>
      </c>
      <c r="I135" s="52">
        <v>1515</v>
      </c>
      <c r="J135" s="52">
        <v>1544</v>
      </c>
      <c r="K135" s="52">
        <v>1573</v>
      </c>
      <c r="L135" s="52">
        <v>30</v>
      </c>
      <c r="M135" s="52">
        <v>16</v>
      </c>
      <c r="N135" s="52">
        <v>68</v>
      </c>
      <c r="O135" s="52">
        <v>21</v>
      </c>
      <c r="P135" s="52">
        <v>30</v>
      </c>
      <c r="Q135" s="52">
        <v>33</v>
      </c>
      <c r="R135" s="60">
        <v>2.5</v>
      </c>
      <c r="S135" s="60">
        <v>1.3</v>
      </c>
      <c r="T135" s="60">
        <v>5.4</v>
      </c>
      <c r="U135" s="65">
        <v>3.0666666666666664</v>
      </c>
      <c r="V135" s="65">
        <v>1.3888888888888888</v>
      </c>
      <c r="W135" s="65">
        <v>1.9131714495952907</v>
      </c>
      <c r="X135" s="60">
        <v>2.1</v>
      </c>
      <c r="Y135" s="65">
        <v>1.8006867794947266</v>
      </c>
    </row>
    <row r="136" spans="1:25">
      <c r="A136" s="60" t="s">
        <v>64</v>
      </c>
      <c r="B136" s="60" t="s">
        <v>560</v>
      </c>
      <c r="C136" s="60" t="s">
        <v>239</v>
      </c>
      <c r="D136" s="60" t="s">
        <v>239</v>
      </c>
      <c r="E136" s="60">
        <v>30801</v>
      </c>
      <c r="F136" s="52">
        <v>6848</v>
      </c>
      <c r="G136" s="52">
        <v>6970</v>
      </c>
      <c r="H136" s="52">
        <v>7091</v>
      </c>
      <c r="I136" s="52">
        <v>8176</v>
      </c>
      <c r="J136" s="52">
        <v>8296</v>
      </c>
      <c r="K136" s="52">
        <v>8417</v>
      </c>
      <c r="L136" s="52">
        <v>75</v>
      </c>
      <c r="M136" s="52">
        <v>63</v>
      </c>
      <c r="N136" s="52">
        <v>43</v>
      </c>
      <c r="O136" s="52">
        <v>43</v>
      </c>
      <c r="P136" s="52">
        <v>41</v>
      </c>
      <c r="Q136" s="52">
        <v>25</v>
      </c>
      <c r="R136" s="60">
        <v>1.1000000000000001</v>
      </c>
      <c r="S136" s="60">
        <v>0.90000000000000013</v>
      </c>
      <c r="T136" s="60">
        <v>0.6</v>
      </c>
      <c r="U136" s="65">
        <v>0.8666666666666667</v>
      </c>
      <c r="V136" s="65">
        <v>0.52356020942408377</v>
      </c>
      <c r="W136" s="65">
        <v>0.49813200498132004</v>
      </c>
      <c r="X136" s="60">
        <v>0.3</v>
      </c>
      <c r="Y136" s="65">
        <v>0.44056407146846799</v>
      </c>
    </row>
    <row r="137" spans="1:25">
      <c r="A137" s="60" t="s">
        <v>64</v>
      </c>
      <c r="B137" s="60" t="s">
        <v>560</v>
      </c>
      <c r="C137" s="60" t="s">
        <v>244</v>
      </c>
      <c r="D137" s="60" t="s">
        <v>244</v>
      </c>
      <c r="E137" s="60">
        <v>30802</v>
      </c>
      <c r="F137" s="52">
        <v>2254</v>
      </c>
      <c r="G137" s="52">
        <v>2244</v>
      </c>
      <c r="H137" s="52">
        <v>2321</v>
      </c>
      <c r="I137" s="52">
        <v>3012</v>
      </c>
      <c r="J137" s="52">
        <v>3089</v>
      </c>
      <c r="K137" s="52">
        <v>3166</v>
      </c>
      <c r="L137" s="52">
        <v>16</v>
      </c>
      <c r="M137" s="52">
        <v>11</v>
      </c>
      <c r="N137" s="52">
        <v>0</v>
      </c>
      <c r="O137" s="52">
        <v>4</v>
      </c>
      <c r="P137" s="52">
        <v>0</v>
      </c>
      <c r="Q137" s="52">
        <v>3</v>
      </c>
      <c r="R137" s="60">
        <v>0.7</v>
      </c>
      <c r="S137" s="60">
        <v>0.5</v>
      </c>
      <c r="T137" s="60">
        <v>0</v>
      </c>
      <c r="U137" s="65">
        <v>0.39999999999999997</v>
      </c>
      <c r="V137" s="65">
        <v>0.12091898428053206</v>
      </c>
      <c r="W137" s="65">
        <v>0</v>
      </c>
      <c r="X137" s="60">
        <v>0.1</v>
      </c>
      <c r="Y137" s="65">
        <v>7.3639661426844027E-2</v>
      </c>
    </row>
    <row r="138" spans="1:25">
      <c r="A138" s="60" t="s">
        <v>64</v>
      </c>
      <c r="B138" s="60" t="s">
        <v>560</v>
      </c>
      <c r="C138" s="60" t="s">
        <v>453</v>
      </c>
      <c r="D138" s="60" t="s">
        <v>453</v>
      </c>
      <c r="E138" s="60">
        <v>30803</v>
      </c>
      <c r="F138" s="52">
        <v>1777</v>
      </c>
      <c r="G138" s="52">
        <v>1821</v>
      </c>
      <c r="H138" s="52">
        <v>1966</v>
      </c>
      <c r="I138" s="52">
        <v>3275</v>
      </c>
      <c r="J138" s="52">
        <v>3421</v>
      </c>
      <c r="K138" s="52">
        <v>3566</v>
      </c>
      <c r="L138" s="52">
        <v>5</v>
      </c>
      <c r="M138" s="52">
        <v>2</v>
      </c>
      <c r="N138" s="52">
        <v>0</v>
      </c>
      <c r="O138" s="52">
        <v>22</v>
      </c>
      <c r="P138" s="52">
        <v>7</v>
      </c>
      <c r="Q138" s="52">
        <v>0</v>
      </c>
      <c r="R138" s="60">
        <v>0.30000000000000004</v>
      </c>
      <c r="S138" s="60">
        <v>0.1</v>
      </c>
      <c r="T138" s="60">
        <v>0</v>
      </c>
      <c r="U138" s="65">
        <v>0.13333333333333333</v>
      </c>
      <c r="V138" s="65">
        <v>0.67340067340067344</v>
      </c>
      <c r="W138" s="65">
        <v>0.1984126984126984</v>
      </c>
      <c r="X138" s="60">
        <v>0</v>
      </c>
      <c r="Y138" s="65">
        <v>0.29060445727112394</v>
      </c>
    </row>
    <row r="139" spans="1:25">
      <c r="A139" s="60" t="s">
        <v>64</v>
      </c>
      <c r="B139" s="60" t="s">
        <v>187</v>
      </c>
      <c r="C139" s="60" t="s">
        <v>187</v>
      </c>
      <c r="D139" s="60" t="s">
        <v>187</v>
      </c>
      <c r="E139" s="60">
        <v>30901</v>
      </c>
      <c r="F139" s="52">
        <v>37598</v>
      </c>
      <c r="G139" s="52">
        <v>38787</v>
      </c>
      <c r="H139" s="52">
        <v>40434</v>
      </c>
      <c r="I139" s="52">
        <v>55256</v>
      </c>
      <c r="J139" s="52">
        <v>56903</v>
      </c>
      <c r="K139" s="52">
        <v>58550</v>
      </c>
      <c r="L139" s="52">
        <v>2143</v>
      </c>
      <c r="M139" s="52">
        <v>2870</v>
      </c>
      <c r="N139" s="52">
        <v>1900</v>
      </c>
      <c r="O139" s="52">
        <v>109</v>
      </c>
      <c r="P139" s="52">
        <v>280</v>
      </c>
      <c r="Q139" s="52">
        <v>176</v>
      </c>
      <c r="R139" s="60">
        <v>5.6999999999999993</v>
      </c>
      <c r="S139" s="60">
        <v>7.4000000000000012</v>
      </c>
      <c r="T139" s="60">
        <v>4.7</v>
      </c>
      <c r="U139" s="65">
        <v>5.9333333333333336</v>
      </c>
      <c r="V139" s="65">
        <v>0.19810386302532898</v>
      </c>
      <c r="W139" s="65">
        <v>0.49225159525979939</v>
      </c>
      <c r="X139" s="60">
        <v>0.3</v>
      </c>
      <c r="Y139" s="65">
        <v>0.3301184860950428</v>
      </c>
    </row>
    <row r="140" spans="1:25">
      <c r="A140" s="60" t="s">
        <v>64</v>
      </c>
      <c r="B140" s="60" t="s">
        <v>187</v>
      </c>
      <c r="C140" s="60" t="s">
        <v>238</v>
      </c>
      <c r="D140" s="60" t="s">
        <v>238</v>
      </c>
      <c r="E140" s="60">
        <v>30902</v>
      </c>
      <c r="F140" s="52">
        <v>13124</v>
      </c>
      <c r="G140" s="52">
        <v>13479</v>
      </c>
      <c r="H140" s="52">
        <v>14194</v>
      </c>
      <c r="I140" s="52">
        <v>20627</v>
      </c>
      <c r="J140" s="52">
        <v>21342</v>
      </c>
      <c r="K140" s="52">
        <v>22057</v>
      </c>
      <c r="L140" s="52">
        <v>433</v>
      </c>
      <c r="M140" s="52">
        <v>364</v>
      </c>
      <c r="N140" s="52">
        <v>724</v>
      </c>
      <c r="O140" s="52">
        <v>823</v>
      </c>
      <c r="P140" s="52">
        <v>439</v>
      </c>
      <c r="Q140" s="52">
        <v>794</v>
      </c>
      <c r="R140" s="60">
        <v>3.3000000000000003</v>
      </c>
      <c r="S140" s="60">
        <v>2.7</v>
      </c>
      <c r="T140" s="60">
        <v>5.0999999999999996</v>
      </c>
      <c r="U140" s="65">
        <v>3.6999999999999997</v>
      </c>
      <c r="V140" s="65">
        <v>3.9897510980966326</v>
      </c>
      <c r="W140" s="65">
        <v>2.0590868397493285</v>
      </c>
      <c r="X140" s="60">
        <v>3.6000000000000005</v>
      </c>
      <c r="Y140" s="65">
        <v>3.2162793126153204</v>
      </c>
    </row>
    <row r="141" spans="1:25">
      <c r="A141" s="60" t="s">
        <v>64</v>
      </c>
      <c r="B141" s="60" t="s">
        <v>187</v>
      </c>
      <c r="C141" s="60" t="s">
        <v>251</v>
      </c>
      <c r="D141" s="60" t="s">
        <v>251</v>
      </c>
      <c r="E141" s="60">
        <v>30903</v>
      </c>
      <c r="F141" s="52">
        <v>14736</v>
      </c>
      <c r="G141" s="52">
        <v>15296</v>
      </c>
      <c r="H141" s="52">
        <v>15804</v>
      </c>
      <c r="I141" s="52">
        <v>20377</v>
      </c>
      <c r="J141" s="52">
        <v>20885</v>
      </c>
      <c r="K141" s="52">
        <v>21393</v>
      </c>
      <c r="L141" s="52">
        <v>44</v>
      </c>
      <c r="M141" s="52">
        <v>61</v>
      </c>
      <c r="N141" s="52">
        <v>32</v>
      </c>
      <c r="O141" s="52">
        <v>82</v>
      </c>
      <c r="P141" s="52">
        <v>23</v>
      </c>
      <c r="Q141" s="52">
        <v>0</v>
      </c>
      <c r="R141" s="60">
        <v>0.3</v>
      </c>
      <c r="S141" s="60">
        <v>0.4</v>
      </c>
      <c r="T141" s="60">
        <v>0.2</v>
      </c>
      <c r="U141" s="65">
        <v>0.3</v>
      </c>
      <c r="V141" s="65">
        <v>0.4</v>
      </c>
      <c r="W141" s="65">
        <v>0.11198208286674133</v>
      </c>
      <c r="X141" s="60">
        <v>0</v>
      </c>
      <c r="Y141" s="65">
        <v>0.17066069428891381</v>
      </c>
    </row>
    <row r="142" spans="1:25">
      <c r="A142" s="60" t="s">
        <v>64</v>
      </c>
      <c r="B142" s="60" t="s">
        <v>187</v>
      </c>
      <c r="C142" s="60" t="s">
        <v>230</v>
      </c>
      <c r="D142" s="60" t="s">
        <v>230</v>
      </c>
      <c r="E142" s="60">
        <v>30904</v>
      </c>
      <c r="F142" s="52">
        <v>15385</v>
      </c>
      <c r="G142" s="52">
        <v>16088</v>
      </c>
      <c r="H142" s="52">
        <v>16473</v>
      </c>
      <c r="I142" s="52">
        <v>19933</v>
      </c>
      <c r="J142" s="52">
        <v>20318</v>
      </c>
      <c r="K142" s="52">
        <v>20702</v>
      </c>
      <c r="L142" s="52">
        <v>108</v>
      </c>
      <c r="M142" s="52">
        <v>145</v>
      </c>
      <c r="N142" s="52">
        <v>148</v>
      </c>
      <c r="O142" s="52">
        <v>20</v>
      </c>
      <c r="P142" s="52">
        <v>17</v>
      </c>
      <c r="Q142" s="52">
        <v>0</v>
      </c>
      <c r="R142" s="60">
        <v>0.7</v>
      </c>
      <c r="S142" s="60">
        <v>0.90000000000000013</v>
      </c>
      <c r="T142" s="60">
        <v>0.90000000000000013</v>
      </c>
      <c r="U142" s="65">
        <v>0.83333333333333337</v>
      </c>
      <c r="V142" s="65">
        <v>0.1</v>
      </c>
      <c r="W142" s="65">
        <v>8.2827167310877969E-2</v>
      </c>
      <c r="X142" s="60">
        <v>0</v>
      </c>
      <c r="Y142" s="65">
        <v>6.0942389103625989E-2</v>
      </c>
    </row>
    <row r="143" spans="1:25">
      <c r="A143" s="60" t="s">
        <v>64</v>
      </c>
      <c r="B143" s="60" t="s">
        <v>187</v>
      </c>
      <c r="C143" s="60" t="s">
        <v>250</v>
      </c>
      <c r="D143" s="60" t="s">
        <v>250</v>
      </c>
      <c r="E143" s="60">
        <v>30905</v>
      </c>
      <c r="F143" s="52">
        <v>14343</v>
      </c>
      <c r="G143" s="52">
        <v>14753</v>
      </c>
      <c r="H143" s="52">
        <v>15392</v>
      </c>
      <c r="I143" s="52">
        <v>21141</v>
      </c>
      <c r="J143" s="52">
        <v>21779</v>
      </c>
      <c r="K143" s="52">
        <v>22418</v>
      </c>
      <c r="L143" s="52">
        <v>86</v>
      </c>
      <c r="M143" s="52">
        <v>59</v>
      </c>
      <c r="N143" s="52">
        <v>123</v>
      </c>
      <c r="O143" s="52">
        <v>51</v>
      </c>
      <c r="P143" s="52">
        <v>153</v>
      </c>
      <c r="Q143" s="52">
        <v>67</v>
      </c>
      <c r="R143" s="60">
        <v>0.6</v>
      </c>
      <c r="S143" s="60">
        <v>0.4</v>
      </c>
      <c r="T143" s="60">
        <v>0.8</v>
      </c>
      <c r="U143" s="65">
        <v>0.6</v>
      </c>
      <c r="V143" s="65">
        <v>0.24330900243309003</v>
      </c>
      <c r="W143" s="65">
        <v>0.70371966106563266</v>
      </c>
      <c r="X143" s="60">
        <v>0.3</v>
      </c>
      <c r="Y143" s="65">
        <v>0.41567622116624087</v>
      </c>
    </row>
    <row r="144" spans="1:25">
      <c r="A144" s="60" t="s">
        <v>64</v>
      </c>
      <c r="B144" s="60" t="s">
        <v>561</v>
      </c>
      <c r="C144" s="60" t="s">
        <v>217</v>
      </c>
      <c r="D144" s="60" t="s">
        <v>217</v>
      </c>
      <c r="E144" s="60">
        <v>31001</v>
      </c>
      <c r="F144" s="52">
        <v>51659</v>
      </c>
      <c r="G144" s="52">
        <v>53648</v>
      </c>
      <c r="H144" s="52">
        <v>56162</v>
      </c>
      <c r="I144" s="52">
        <v>78784</v>
      </c>
      <c r="J144" s="52">
        <v>81297</v>
      </c>
      <c r="K144" s="52">
        <v>83811</v>
      </c>
      <c r="L144" s="52">
        <v>878</v>
      </c>
      <c r="M144" s="52">
        <v>858</v>
      </c>
      <c r="N144" s="52">
        <v>899</v>
      </c>
      <c r="O144" s="52">
        <v>222</v>
      </c>
      <c r="P144" s="52">
        <v>148</v>
      </c>
      <c r="Q144" s="52">
        <v>168</v>
      </c>
      <c r="R144" s="60">
        <v>1.7000000000000002</v>
      </c>
      <c r="S144" s="60">
        <v>1.6</v>
      </c>
      <c r="T144" s="60">
        <v>1.6</v>
      </c>
      <c r="U144" s="65">
        <v>1.6333333333333335</v>
      </c>
      <c r="V144" s="65">
        <v>0.2824098977945132</v>
      </c>
      <c r="W144" s="65">
        <v>0.18151815181518149</v>
      </c>
      <c r="X144" s="60">
        <v>0.2</v>
      </c>
      <c r="Y144" s="65">
        <v>0.22130934986989823</v>
      </c>
    </row>
    <row r="145" spans="1:25">
      <c r="A145" s="60" t="s">
        <v>64</v>
      </c>
      <c r="B145" s="60" t="s">
        <v>561</v>
      </c>
      <c r="C145" s="60" t="s">
        <v>332</v>
      </c>
      <c r="D145" s="60" t="s">
        <v>332</v>
      </c>
      <c r="E145" s="60">
        <v>31002</v>
      </c>
      <c r="F145" s="52">
        <v>7468</v>
      </c>
      <c r="G145" s="52">
        <v>7691</v>
      </c>
      <c r="H145" s="52">
        <v>7985</v>
      </c>
      <c r="I145" s="52">
        <v>10633</v>
      </c>
      <c r="J145" s="52">
        <v>10927</v>
      </c>
      <c r="K145" s="52">
        <v>11221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60">
        <v>0</v>
      </c>
      <c r="S145" s="60">
        <v>0</v>
      </c>
      <c r="T145" s="60">
        <v>0</v>
      </c>
      <c r="U145" s="65">
        <v>0</v>
      </c>
      <c r="V145" s="65">
        <v>0</v>
      </c>
      <c r="W145" s="65">
        <v>0</v>
      </c>
      <c r="X145" s="60">
        <v>0</v>
      </c>
      <c r="Y145" s="65">
        <v>0</v>
      </c>
    </row>
    <row r="146" spans="1:25">
      <c r="A146" s="60" t="s">
        <v>64</v>
      </c>
      <c r="B146" s="60" t="s">
        <v>561</v>
      </c>
      <c r="C146" s="60" t="s">
        <v>333</v>
      </c>
      <c r="D146" s="60" t="s">
        <v>333</v>
      </c>
      <c r="E146" s="60">
        <v>31003</v>
      </c>
      <c r="F146" s="52">
        <v>30429</v>
      </c>
      <c r="G146" s="52">
        <v>31560</v>
      </c>
      <c r="H146" s="52">
        <v>33106</v>
      </c>
      <c r="I146" s="52">
        <v>47016</v>
      </c>
      <c r="J146" s="52">
        <v>48561</v>
      </c>
      <c r="K146" s="52">
        <v>50107</v>
      </c>
      <c r="L146" s="52">
        <v>0</v>
      </c>
      <c r="M146" s="52">
        <v>0</v>
      </c>
      <c r="N146" s="52">
        <v>0</v>
      </c>
      <c r="O146" s="52">
        <v>0</v>
      </c>
      <c r="P146" s="52">
        <v>0</v>
      </c>
      <c r="Q146" s="52">
        <v>0</v>
      </c>
      <c r="R146" s="60">
        <v>0</v>
      </c>
      <c r="S146" s="60">
        <v>0</v>
      </c>
      <c r="T146" s="60">
        <v>0</v>
      </c>
      <c r="U146" s="65">
        <v>0</v>
      </c>
      <c r="V146" s="65">
        <v>0</v>
      </c>
      <c r="W146" s="65">
        <v>0</v>
      </c>
      <c r="X146" s="60">
        <v>0</v>
      </c>
      <c r="Y146" s="65">
        <v>0</v>
      </c>
    </row>
    <row r="147" spans="1:25">
      <c r="A147" s="60" t="s">
        <v>64</v>
      </c>
      <c r="B147" s="60" t="s">
        <v>215</v>
      </c>
      <c r="C147" s="60" t="s">
        <v>215</v>
      </c>
      <c r="D147" s="60" t="s">
        <v>215</v>
      </c>
      <c r="E147" s="60">
        <v>31101</v>
      </c>
      <c r="F147" s="52">
        <v>9374</v>
      </c>
      <c r="G147" s="52">
        <v>9522</v>
      </c>
      <c r="H147" s="52">
        <v>9799</v>
      </c>
      <c r="I147" s="52">
        <v>12287</v>
      </c>
      <c r="J147" s="52">
        <v>12564</v>
      </c>
      <c r="K147" s="52">
        <v>12840</v>
      </c>
      <c r="L147" s="52">
        <v>84</v>
      </c>
      <c r="M147" s="52">
        <v>152</v>
      </c>
      <c r="N147" s="52">
        <v>196</v>
      </c>
      <c r="O147" s="52">
        <v>25</v>
      </c>
      <c r="P147" s="52">
        <v>6</v>
      </c>
      <c r="Q147" s="52">
        <v>0</v>
      </c>
      <c r="R147" s="60">
        <v>0.90000000000000013</v>
      </c>
      <c r="S147" s="60">
        <v>1.6</v>
      </c>
      <c r="T147" s="60">
        <v>2</v>
      </c>
      <c r="U147" s="65">
        <v>1.5</v>
      </c>
      <c r="V147" s="65">
        <v>0.2</v>
      </c>
      <c r="W147" s="65">
        <v>4.4326241134751775E-2</v>
      </c>
      <c r="X147" s="60">
        <v>0</v>
      </c>
      <c r="Y147" s="65">
        <v>8.1442080378250598E-2</v>
      </c>
    </row>
    <row r="148" spans="1:25">
      <c r="A148" s="60" t="s">
        <v>64</v>
      </c>
      <c r="B148" s="60" t="s">
        <v>562</v>
      </c>
      <c r="C148" s="60" t="s">
        <v>248</v>
      </c>
      <c r="D148" s="60" t="s">
        <v>248</v>
      </c>
      <c r="E148" s="60">
        <v>31201</v>
      </c>
      <c r="F148" s="52">
        <v>5905</v>
      </c>
      <c r="G148" s="52">
        <v>6071</v>
      </c>
      <c r="H148" s="52">
        <v>6239</v>
      </c>
      <c r="I148" s="52">
        <v>7755</v>
      </c>
      <c r="J148" s="52">
        <v>7924</v>
      </c>
      <c r="K148" s="52">
        <v>8092</v>
      </c>
      <c r="L148" s="52">
        <v>59</v>
      </c>
      <c r="M148" s="52">
        <v>55</v>
      </c>
      <c r="N148" s="52">
        <v>44</v>
      </c>
      <c r="O148" s="52">
        <v>12</v>
      </c>
      <c r="P148" s="52">
        <v>37</v>
      </c>
      <c r="Q148" s="52">
        <v>97</v>
      </c>
      <c r="R148" s="60">
        <v>1</v>
      </c>
      <c r="S148" s="60">
        <v>0.90000000000000013</v>
      </c>
      <c r="T148" s="60">
        <v>0.7</v>
      </c>
      <c r="U148" s="65">
        <v>0.8666666666666667</v>
      </c>
      <c r="V148" s="65">
        <v>0.15376729882111737</v>
      </c>
      <c r="W148" s="65">
        <v>0.471976401179941</v>
      </c>
      <c r="X148" s="60">
        <v>1.2</v>
      </c>
      <c r="Y148" s="65">
        <v>0.60858123333368608</v>
      </c>
    </row>
    <row r="149" spans="1:25">
      <c r="A149" s="60" t="s">
        <v>64</v>
      </c>
      <c r="B149" s="60" t="s">
        <v>562</v>
      </c>
      <c r="C149" s="60" t="s">
        <v>205</v>
      </c>
      <c r="D149" s="60" t="s">
        <v>205</v>
      </c>
      <c r="E149" s="60">
        <v>31202</v>
      </c>
      <c r="F149" s="52">
        <v>3789</v>
      </c>
      <c r="G149" s="52">
        <v>3790</v>
      </c>
      <c r="H149" s="52">
        <v>3928</v>
      </c>
      <c r="I149" s="52">
        <v>5173</v>
      </c>
      <c r="J149" s="52">
        <v>5311</v>
      </c>
      <c r="K149" s="52">
        <v>5449</v>
      </c>
      <c r="L149" s="52">
        <v>102</v>
      </c>
      <c r="M149" s="52">
        <v>155</v>
      </c>
      <c r="N149" s="52">
        <v>126</v>
      </c>
      <c r="O149" s="52">
        <v>18</v>
      </c>
      <c r="P149" s="52">
        <v>64</v>
      </c>
      <c r="Q149" s="52">
        <v>38</v>
      </c>
      <c r="R149" s="60">
        <v>2.7</v>
      </c>
      <c r="S149" s="60">
        <v>4.0999999999999996</v>
      </c>
      <c r="T149" s="60">
        <v>3.2</v>
      </c>
      <c r="U149" s="65">
        <v>3.3333333333333335</v>
      </c>
      <c r="V149" s="65">
        <v>0.34572169403630071</v>
      </c>
      <c r="W149" s="65">
        <v>1.2060301507537687</v>
      </c>
      <c r="X149" s="60">
        <v>0.69999999999999984</v>
      </c>
      <c r="Y149" s="65">
        <v>0.75058394826335639</v>
      </c>
    </row>
    <row r="150" spans="1:25">
      <c r="A150" s="60" t="s">
        <v>64</v>
      </c>
      <c r="B150" s="60" t="s">
        <v>562</v>
      </c>
      <c r="C150" s="60" t="s">
        <v>247</v>
      </c>
      <c r="D150" s="60" t="s">
        <v>247</v>
      </c>
      <c r="E150" s="60">
        <v>31203</v>
      </c>
      <c r="F150" s="52">
        <v>4635</v>
      </c>
      <c r="G150" s="52">
        <v>4624</v>
      </c>
      <c r="H150" s="52">
        <v>4810</v>
      </c>
      <c r="I150" s="52">
        <v>6483</v>
      </c>
      <c r="J150" s="52">
        <v>6669</v>
      </c>
      <c r="K150" s="52">
        <v>6855</v>
      </c>
      <c r="L150" s="52">
        <v>19</v>
      </c>
      <c r="M150" s="52">
        <v>23</v>
      </c>
      <c r="N150" s="52">
        <v>43</v>
      </c>
      <c r="O150" s="52">
        <v>30</v>
      </c>
      <c r="P150" s="52">
        <v>25</v>
      </c>
      <c r="Q150" s="52">
        <v>7</v>
      </c>
      <c r="R150" s="60">
        <v>0.4</v>
      </c>
      <c r="S150" s="60">
        <v>0.5</v>
      </c>
      <c r="T150" s="60">
        <v>0.90000000000000013</v>
      </c>
      <c r="U150" s="65">
        <v>0.60000000000000009</v>
      </c>
      <c r="V150" s="65">
        <v>0.46296296296296291</v>
      </c>
      <c r="W150" s="65">
        <v>0.38105606967882416</v>
      </c>
      <c r="X150" s="60">
        <v>0.1</v>
      </c>
      <c r="Y150" s="65">
        <v>0.31467301088059568</v>
      </c>
    </row>
    <row r="151" spans="1:25">
      <c r="A151" s="60" t="s">
        <v>64</v>
      </c>
      <c r="B151" s="60" t="s">
        <v>562</v>
      </c>
      <c r="C151" s="60" t="s">
        <v>334</v>
      </c>
      <c r="D151" s="60" t="s">
        <v>334</v>
      </c>
      <c r="E151" s="60">
        <v>31204</v>
      </c>
      <c r="F151" s="52">
        <v>7536</v>
      </c>
      <c r="G151" s="52">
        <v>7848</v>
      </c>
      <c r="H151" s="52">
        <v>8250</v>
      </c>
      <c r="I151" s="52">
        <v>11866</v>
      </c>
      <c r="J151" s="52">
        <v>12267</v>
      </c>
      <c r="K151" s="52">
        <v>12669</v>
      </c>
      <c r="L151" s="52">
        <v>0</v>
      </c>
      <c r="M151" s="52">
        <v>0</v>
      </c>
      <c r="N151" s="52">
        <v>0</v>
      </c>
      <c r="O151" s="52">
        <v>0</v>
      </c>
      <c r="P151" s="52">
        <v>0</v>
      </c>
      <c r="Q151" s="52">
        <v>0</v>
      </c>
      <c r="R151" s="60">
        <v>0</v>
      </c>
      <c r="S151" s="60">
        <v>0</v>
      </c>
      <c r="T151" s="60">
        <v>0</v>
      </c>
      <c r="U151" s="65">
        <v>0</v>
      </c>
      <c r="V151" s="65">
        <v>0</v>
      </c>
      <c r="W151" s="65">
        <v>0</v>
      </c>
      <c r="X151" s="60">
        <v>0</v>
      </c>
      <c r="Y151" s="65">
        <v>0</v>
      </c>
    </row>
    <row r="152" spans="1:25">
      <c r="A152" s="60" t="s">
        <v>64</v>
      </c>
      <c r="B152" s="60" t="s">
        <v>562</v>
      </c>
      <c r="C152" s="60" t="s">
        <v>335</v>
      </c>
      <c r="D152" s="60" t="s">
        <v>335</v>
      </c>
      <c r="E152" s="60">
        <v>31205</v>
      </c>
      <c r="F152" s="52">
        <v>18266</v>
      </c>
      <c r="G152" s="52">
        <v>18797</v>
      </c>
      <c r="H152" s="52">
        <v>19728</v>
      </c>
      <c r="I152" s="52">
        <v>28105</v>
      </c>
      <c r="J152" s="52">
        <v>29035</v>
      </c>
      <c r="K152" s="52">
        <v>29966</v>
      </c>
      <c r="L152" s="52">
        <v>0</v>
      </c>
      <c r="M152" s="52">
        <v>0</v>
      </c>
      <c r="N152" s="52">
        <v>0</v>
      </c>
      <c r="O152" s="52">
        <v>0</v>
      </c>
      <c r="P152" s="52">
        <v>0</v>
      </c>
      <c r="Q152" s="52">
        <v>0</v>
      </c>
      <c r="R152" s="60">
        <v>0</v>
      </c>
      <c r="S152" s="60">
        <v>0</v>
      </c>
      <c r="T152" s="60">
        <v>0</v>
      </c>
      <c r="U152" s="65">
        <v>0</v>
      </c>
      <c r="V152" s="65">
        <v>0</v>
      </c>
      <c r="W152" s="65">
        <v>0</v>
      </c>
      <c r="X152" s="60">
        <v>0</v>
      </c>
      <c r="Y152" s="65">
        <v>0</v>
      </c>
    </row>
    <row r="153" spans="1:25">
      <c r="A153" s="60" t="s">
        <v>64</v>
      </c>
      <c r="B153" s="60" t="s">
        <v>562</v>
      </c>
      <c r="C153" s="60" t="s">
        <v>336</v>
      </c>
      <c r="D153" s="60" t="s">
        <v>336</v>
      </c>
      <c r="E153" s="60">
        <v>31206</v>
      </c>
      <c r="F153" s="52">
        <v>12774</v>
      </c>
      <c r="G153" s="52">
        <v>13412</v>
      </c>
      <c r="H153" s="52">
        <v>13956</v>
      </c>
      <c r="I153" s="52">
        <v>18853</v>
      </c>
      <c r="J153" s="52">
        <v>19397</v>
      </c>
      <c r="K153" s="52">
        <v>19941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60">
        <v>0</v>
      </c>
      <c r="S153" s="60">
        <v>0</v>
      </c>
      <c r="T153" s="60">
        <v>0</v>
      </c>
      <c r="U153" s="65">
        <v>0</v>
      </c>
      <c r="V153" s="65">
        <v>0</v>
      </c>
      <c r="W153" s="65">
        <v>0</v>
      </c>
      <c r="X153" s="60">
        <v>0</v>
      </c>
      <c r="Y153" s="65">
        <v>0</v>
      </c>
    </row>
    <row r="154" spans="1:25">
      <c r="A154" s="60" t="s">
        <v>64</v>
      </c>
      <c r="B154" s="60" t="s">
        <v>184</v>
      </c>
      <c r="C154" s="60" t="s">
        <v>184</v>
      </c>
      <c r="D154" s="60" t="s">
        <v>184</v>
      </c>
      <c r="E154" s="60">
        <v>31301</v>
      </c>
      <c r="F154" s="52">
        <v>7556</v>
      </c>
      <c r="G154" s="52">
        <v>7594</v>
      </c>
      <c r="H154" s="52">
        <v>7744</v>
      </c>
      <c r="I154" s="52">
        <v>9093</v>
      </c>
      <c r="J154" s="52">
        <v>9243</v>
      </c>
      <c r="K154" s="52">
        <v>9393</v>
      </c>
      <c r="L154" s="52">
        <v>801</v>
      </c>
      <c r="M154" s="52">
        <v>486</v>
      </c>
      <c r="N154" s="52">
        <v>403</v>
      </c>
      <c r="O154" s="52">
        <v>54</v>
      </c>
      <c r="P154" s="52">
        <v>70</v>
      </c>
      <c r="Q154" s="52">
        <v>47</v>
      </c>
      <c r="R154" s="60">
        <v>10.599999999999998</v>
      </c>
      <c r="S154" s="60">
        <v>6.4</v>
      </c>
      <c r="T154" s="60">
        <v>5.2</v>
      </c>
      <c r="U154" s="65">
        <v>7.3999999999999995</v>
      </c>
      <c r="V154" s="65">
        <v>0.58934464875058934</v>
      </c>
      <c r="W154" s="65">
        <v>0.76257682676986116</v>
      </c>
      <c r="X154" s="60">
        <v>0.5</v>
      </c>
      <c r="Y154" s="65">
        <v>0.61730715850681683</v>
      </c>
    </row>
    <row r="155" spans="1:25">
      <c r="A155" s="60" t="s">
        <v>64</v>
      </c>
      <c r="B155" s="60" t="s">
        <v>184</v>
      </c>
      <c r="C155" s="60" t="s">
        <v>198</v>
      </c>
      <c r="D155" s="60" t="s">
        <v>198</v>
      </c>
      <c r="E155" s="60">
        <v>31302</v>
      </c>
      <c r="F155" s="52">
        <v>1766</v>
      </c>
      <c r="G155" s="52">
        <v>1786</v>
      </c>
      <c r="H155" s="52">
        <v>1826</v>
      </c>
      <c r="I155" s="52">
        <v>2183</v>
      </c>
      <c r="J155" s="52">
        <v>2222</v>
      </c>
      <c r="K155" s="52">
        <v>2262</v>
      </c>
      <c r="L155" s="52">
        <v>168</v>
      </c>
      <c r="M155" s="52">
        <v>25</v>
      </c>
      <c r="N155" s="52">
        <v>86</v>
      </c>
      <c r="O155" s="52">
        <v>61</v>
      </c>
      <c r="P155" s="52">
        <v>22</v>
      </c>
      <c r="Q155" s="52">
        <v>27</v>
      </c>
      <c r="R155" s="60">
        <v>9.5</v>
      </c>
      <c r="S155" s="60">
        <v>1.4</v>
      </c>
      <c r="T155" s="60">
        <v>4.7</v>
      </c>
      <c r="U155" s="65">
        <v>5.2</v>
      </c>
      <c r="V155" s="65">
        <v>2.7803521779425395</v>
      </c>
      <c r="W155" s="65">
        <v>0.99191770756796482</v>
      </c>
      <c r="X155" s="60">
        <v>1.2</v>
      </c>
      <c r="Y155" s="65">
        <v>1.6574232951701682</v>
      </c>
    </row>
    <row r="156" spans="1:25">
      <c r="A156" s="60" t="s">
        <v>64</v>
      </c>
      <c r="B156" s="60" t="s">
        <v>184</v>
      </c>
      <c r="C156" s="60" t="s">
        <v>337</v>
      </c>
      <c r="D156" s="60" t="s">
        <v>337</v>
      </c>
      <c r="E156" s="60">
        <v>31303</v>
      </c>
      <c r="F156" s="52">
        <v>1425</v>
      </c>
      <c r="G156" s="52">
        <v>1438</v>
      </c>
      <c r="H156" s="52">
        <v>1455</v>
      </c>
      <c r="I156" s="52">
        <v>1610</v>
      </c>
      <c r="J156" s="52">
        <v>1627</v>
      </c>
      <c r="K156" s="52">
        <v>1644</v>
      </c>
      <c r="L156" s="52">
        <v>0</v>
      </c>
      <c r="M156" s="52">
        <v>0</v>
      </c>
      <c r="N156" s="52">
        <v>0</v>
      </c>
      <c r="O156" s="52">
        <v>0</v>
      </c>
      <c r="P156" s="52">
        <v>0</v>
      </c>
      <c r="Q156" s="52">
        <v>0</v>
      </c>
      <c r="R156" s="60">
        <v>0</v>
      </c>
      <c r="S156" s="60">
        <v>0</v>
      </c>
      <c r="T156" s="60">
        <v>0</v>
      </c>
      <c r="U156" s="65">
        <v>0</v>
      </c>
      <c r="V156" s="65">
        <v>0</v>
      </c>
      <c r="W156" s="65">
        <v>0</v>
      </c>
      <c r="X156" s="60">
        <v>0</v>
      </c>
      <c r="Y156" s="65">
        <v>0</v>
      </c>
    </row>
    <row r="157" spans="1:25">
      <c r="A157" s="60" t="s">
        <v>64</v>
      </c>
      <c r="B157" s="60" t="s">
        <v>184</v>
      </c>
      <c r="C157" s="60" t="s">
        <v>484</v>
      </c>
      <c r="D157" s="60" t="s">
        <v>563</v>
      </c>
      <c r="E157" s="60">
        <v>31304</v>
      </c>
      <c r="F157" s="52">
        <v>2961</v>
      </c>
      <c r="G157" s="52">
        <v>3046</v>
      </c>
      <c r="H157" s="52">
        <v>3178</v>
      </c>
      <c r="I157" s="52">
        <v>4365</v>
      </c>
      <c r="J157" s="52">
        <v>4497</v>
      </c>
      <c r="K157" s="52">
        <v>4629</v>
      </c>
      <c r="L157" s="52">
        <v>0</v>
      </c>
      <c r="M157" s="52">
        <v>0</v>
      </c>
      <c r="N157" s="52">
        <v>0</v>
      </c>
      <c r="O157" s="52">
        <v>88</v>
      </c>
      <c r="P157" s="52">
        <v>243</v>
      </c>
      <c r="Q157" s="52">
        <v>148</v>
      </c>
      <c r="R157" s="60">
        <v>0</v>
      </c>
      <c r="S157" s="60">
        <v>0</v>
      </c>
      <c r="T157" s="60">
        <v>0</v>
      </c>
      <c r="U157" s="65">
        <v>0</v>
      </c>
      <c r="V157" s="65">
        <v>2.0181634712411705</v>
      </c>
      <c r="W157" s="65">
        <v>5.4</v>
      </c>
      <c r="X157" s="60">
        <v>3.2</v>
      </c>
      <c r="Y157" s="65">
        <v>3.5393878237470573</v>
      </c>
    </row>
    <row r="158" spans="1:25">
      <c r="A158" s="60" t="s">
        <v>64</v>
      </c>
      <c r="B158" s="60" t="s">
        <v>226</v>
      </c>
      <c r="C158" s="60" t="s">
        <v>226</v>
      </c>
      <c r="D158" s="60" t="s">
        <v>564</v>
      </c>
      <c r="E158" s="60">
        <v>31401</v>
      </c>
      <c r="F158" s="52">
        <v>10480</v>
      </c>
      <c r="G158" s="52">
        <v>10718</v>
      </c>
      <c r="H158" s="52">
        <v>11074</v>
      </c>
      <c r="I158" s="52">
        <v>14276</v>
      </c>
      <c r="J158" s="52">
        <v>14631</v>
      </c>
      <c r="K158" s="52">
        <v>14987</v>
      </c>
      <c r="L158" s="52">
        <v>231</v>
      </c>
      <c r="M158" s="52">
        <v>397</v>
      </c>
      <c r="N158" s="52">
        <v>133</v>
      </c>
      <c r="O158" s="52">
        <v>213</v>
      </c>
      <c r="P158" s="52">
        <v>210</v>
      </c>
      <c r="Q158" s="52">
        <v>225</v>
      </c>
      <c r="R158" s="60">
        <v>2.2000000000000002</v>
      </c>
      <c r="S158" s="60">
        <v>3.7000000000000006</v>
      </c>
      <c r="T158" s="60">
        <v>1.2</v>
      </c>
      <c r="U158" s="65">
        <v>2.3666666666666667</v>
      </c>
      <c r="V158" s="65">
        <v>1.4906832298136645</v>
      </c>
      <c r="W158" s="65">
        <v>1.4359156177982624</v>
      </c>
      <c r="X158" s="60">
        <v>1.4999999999999998</v>
      </c>
      <c r="Y158" s="65">
        <v>1.4755329492039755</v>
      </c>
    </row>
    <row r="159" spans="1:25">
      <c r="A159" s="60" t="s">
        <v>64</v>
      </c>
      <c r="B159" s="60" t="s">
        <v>226</v>
      </c>
      <c r="C159" s="60" t="s">
        <v>245</v>
      </c>
      <c r="D159" s="60" t="s">
        <v>245</v>
      </c>
      <c r="E159" s="60">
        <v>31402</v>
      </c>
      <c r="F159" s="52">
        <v>3516</v>
      </c>
      <c r="G159" s="52">
        <v>3663</v>
      </c>
      <c r="H159" s="52">
        <v>3772</v>
      </c>
      <c r="I159" s="52">
        <v>4751</v>
      </c>
      <c r="J159" s="52">
        <v>4860</v>
      </c>
      <c r="K159" s="52">
        <v>4969</v>
      </c>
      <c r="L159" s="52">
        <v>35</v>
      </c>
      <c r="M159" s="52">
        <v>44</v>
      </c>
      <c r="N159" s="52">
        <v>23</v>
      </c>
      <c r="O159" s="52">
        <v>36</v>
      </c>
      <c r="P159" s="52">
        <v>37</v>
      </c>
      <c r="Q159" s="52">
        <v>15</v>
      </c>
      <c r="R159" s="60">
        <v>1</v>
      </c>
      <c r="S159" s="60">
        <v>1.2</v>
      </c>
      <c r="T159" s="60">
        <v>0.6</v>
      </c>
      <c r="U159" s="65">
        <v>0.93333333333333346</v>
      </c>
      <c r="V159" s="65">
        <v>0.76520338300443003</v>
      </c>
      <c r="W159" s="65">
        <v>0.77021822849807453</v>
      </c>
      <c r="X159" s="60">
        <v>0.3</v>
      </c>
      <c r="Y159" s="65">
        <v>0.6118072038341682</v>
      </c>
    </row>
    <row r="160" spans="1:25">
      <c r="A160" s="60" t="s">
        <v>64</v>
      </c>
      <c r="B160" s="60" t="s">
        <v>226</v>
      </c>
      <c r="C160" s="60" t="s">
        <v>214</v>
      </c>
      <c r="D160" s="60" t="s">
        <v>565</v>
      </c>
      <c r="E160" s="60">
        <v>31403</v>
      </c>
      <c r="F160" s="52">
        <v>5097</v>
      </c>
      <c r="G160" s="52">
        <v>5175</v>
      </c>
      <c r="H160" s="52">
        <v>5283</v>
      </c>
      <c r="I160" s="52">
        <v>6253</v>
      </c>
      <c r="J160" s="52">
        <v>6360</v>
      </c>
      <c r="K160" s="52">
        <v>6468</v>
      </c>
      <c r="L160" s="52">
        <v>127</v>
      </c>
      <c r="M160" s="52">
        <v>114</v>
      </c>
      <c r="N160" s="52">
        <v>37</v>
      </c>
      <c r="O160" s="52">
        <v>13</v>
      </c>
      <c r="P160" s="52">
        <v>16</v>
      </c>
      <c r="Q160" s="52">
        <v>19</v>
      </c>
      <c r="R160" s="60">
        <v>2.5</v>
      </c>
      <c r="S160" s="60">
        <v>2.2000000000000002</v>
      </c>
      <c r="T160" s="60">
        <v>0.69999999999999984</v>
      </c>
      <c r="U160" s="65">
        <v>1.8</v>
      </c>
      <c r="V160" s="65">
        <v>0.21464345337467208</v>
      </c>
      <c r="W160" s="65">
        <v>0.25625862408831068</v>
      </c>
      <c r="X160" s="60">
        <v>0.3</v>
      </c>
      <c r="Y160" s="65">
        <v>0.25696735915432756</v>
      </c>
    </row>
    <row r="161" spans="1:25">
      <c r="A161" s="60" t="s">
        <v>64</v>
      </c>
      <c r="B161" s="60" t="s">
        <v>226</v>
      </c>
      <c r="C161" s="60" t="s">
        <v>200</v>
      </c>
      <c r="D161" s="60" t="s">
        <v>200</v>
      </c>
      <c r="E161" s="60">
        <v>31404</v>
      </c>
      <c r="F161" s="52">
        <v>436</v>
      </c>
      <c r="G161" s="52">
        <v>438</v>
      </c>
      <c r="H161" s="52">
        <v>460</v>
      </c>
      <c r="I161" s="52">
        <v>662</v>
      </c>
      <c r="J161" s="52">
        <v>685</v>
      </c>
      <c r="K161" s="52">
        <v>707</v>
      </c>
      <c r="L161" s="52">
        <v>0</v>
      </c>
      <c r="M161" s="52">
        <v>0</v>
      </c>
      <c r="N161" s="52">
        <v>60</v>
      </c>
      <c r="O161" s="52">
        <v>15</v>
      </c>
      <c r="P161" s="52">
        <v>4</v>
      </c>
      <c r="Q161" s="52">
        <v>6</v>
      </c>
      <c r="R161" s="60">
        <v>0</v>
      </c>
      <c r="S161" s="60">
        <v>0</v>
      </c>
      <c r="T161" s="60">
        <v>13.100000000000001</v>
      </c>
      <c r="U161" s="65">
        <v>4.3666666666666671</v>
      </c>
      <c r="V161" s="65">
        <v>2.2222222222222223</v>
      </c>
      <c r="W161" s="65">
        <v>0.63913470993116994</v>
      </c>
      <c r="X161" s="60">
        <v>0.8</v>
      </c>
      <c r="Y161" s="65">
        <v>1.2204523107177974</v>
      </c>
    </row>
    <row r="162" spans="1:25">
      <c r="A162" s="60" t="s">
        <v>64</v>
      </c>
      <c r="B162" s="60" t="s">
        <v>226</v>
      </c>
      <c r="C162" s="60" t="s">
        <v>566</v>
      </c>
      <c r="D162" s="60" t="s">
        <v>212</v>
      </c>
      <c r="E162" s="60">
        <v>31405</v>
      </c>
      <c r="F162" s="52">
        <v>723</v>
      </c>
      <c r="G162" s="52">
        <v>730</v>
      </c>
      <c r="H162" s="52">
        <v>771</v>
      </c>
      <c r="I162" s="52">
        <v>1141</v>
      </c>
      <c r="J162" s="52">
        <v>1182</v>
      </c>
      <c r="K162" s="52">
        <v>1223</v>
      </c>
      <c r="L162" s="52">
        <v>14</v>
      </c>
      <c r="M162" s="52">
        <v>9</v>
      </c>
      <c r="N162" s="52">
        <v>19</v>
      </c>
      <c r="O162" s="52">
        <v>2</v>
      </c>
      <c r="P162" s="52">
        <v>2</v>
      </c>
      <c r="Q162" s="52">
        <v>1</v>
      </c>
      <c r="R162" s="60">
        <v>1.9</v>
      </c>
      <c r="S162" s="60">
        <v>1.3</v>
      </c>
      <c r="T162" s="60">
        <v>2.5000000000000004</v>
      </c>
      <c r="U162" s="65">
        <v>1.9000000000000004</v>
      </c>
      <c r="V162" s="65">
        <v>0.2012072434607646</v>
      </c>
      <c r="W162" s="65">
        <v>0.17817371937639201</v>
      </c>
      <c r="X162" s="60">
        <v>0.1</v>
      </c>
      <c r="Y162" s="65">
        <v>0.15979365427905221</v>
      </c>
    </row>
    <row r="163" spans="1:25">
      <c r="A163" s="60" t="s">
        <v>64</v>
      </c>
      <c r="B163" s="60" t="s">
        <v>567</v>
      </c>
      <c r="C163" s="60" t="s">
        <v>567</v>
      </c>
      <c r="D163" s="60" t="s">
        <v>567</v>
      </c>
      <c r="E163" s="60">
        <v>31501</v>
      </c>
      <c r="F163" s="52">
        <v>2788</v>
      </c>
      <c r="G163" s="52">
        <v>2804</v>
      </c>
      <c r="H163" s="52">
        <v>2932</v>
      </c>
      <c r="I163" s="52">
        <v>4087</v>
      </c>
      <c r="J163" s="52">
        <v>4215</v>
      </c>
      <c r="K163" s="52">
        <v>4343</v>
      </c>
      <c r="L163" s="52">
        <v>0</v>
      </c>
      <c r="M163" s="52">
        <v>0</v>
      </c>
      <c r="N163" s="52">
        <v>0</v>
      </c>
      <c r="O163" s="52">
        <v>0</v>
      </c>
      <c r="P163" s="52">
        <v>0</v>
      </c>
      <c r="Q163" s="52">
        <v>0</v>
      </c>
      <c r="R163" s="60">
        <v>0</v>
      </c>
      <c r="S163" s="60">
        <v>0</v>
      </c>
      <c r="T163" s="60">
        <v>0</v>
      </c>
      <c r="U163" s="65">
        <v>0</v>
      </c>
      <c r="V163" s="65">
        <v>0</v>
      </c>
      <c r="W163" s="65">
        <v>0</v>
      </c>
      <c r="X163" s="60">
        <v>0</v>
      </c>
      <c r="Y163" s="65">
        <v>0</v>
      </c>
    </row>
    <row r="164" spans="1:25">
      <c r="A164" s="60" t="s">
        <v>64</v>
      </c>
      <c r="B164" s="60" t="s">
        <v>338</v>
      </c>
      <c r="C164" s="60" t="s">
        <v>338</v>
      </c>
      <c r="D164" s="60" t="s">
        <v>338</v>
      </c>
      <c r="E164" s="60">
        <v>31601</v>
      </c>
      <c r="F164" s="52">
        <v>8581</v>
      </c>
      <c r="G164" s="52">
        <v>8827</v>
      </c>
      <c r="H164" s="52">
        <v>8988</v>
      </c>
      <c r="I164" s="52">
        <v>10441</v>
      </c>
      <c r="J164" s="52">
        <v>10603</v>
      </c>
      <c r="K164" s="52">
        <v>10764</v>
      </c>
      <c r="L164" s="52">
        <v>0</v>
      </c>
      <c r="M164" s="52">
        <v>0</v>
      </c>
      <c r="N164" s="52">
        <v>0</v>
      </c>
      <c r="O164" s="52">
        <v>0</v>
      </c>
      <c r="P164" s="52">
        <v>0</v>
      </c>
      <c r="Q164" s="52">
        <v>0</v>
      </c>
      <c r="R164" s="60">
        <v>0</v>
      </c>
      <c r="S164" s="60">
        <v>0</v>
      </c>
      <c r="T164" s="60">
        <v>0</v>
      </c>
      <c r="U164" s="65">
        <v>0</v>
      </c>
      <c r="V164" s="65">
        <v>0</v>
      </c>
      <c r="W164" s="65">
        <v>0</v>
      </c>
      <c r="X164" s="60">
        <v>0</v>
      </c>
      <c r="Y164" s="65">
        <v>0</v>
      </c>
    </row>
    <row r="165" spans="1:25">
      <c r="A165" s="60" t="s">
        <v>64</v>
      </c>
      <c r="B165" s="60" t="s">
        <v>338</v>
      </c>
      <c r="C165" s="60" t="s">
        <v>339</v>
      </c>
      <c r="D165" s="60" t="s">
        <v>339</v>
      </c>
      <c r="E165" s="60">
        <v>31602</v>
      </c>
      <c r="F165" s="52">
        <v>7998</v>
      </c>
      <c r="G165" s="52">
        <v>8285</v>
      </c>
      <c r="H165" s="52">
        <v>8633</v>
      </c>
      <c r="I165" s="52">
        <v>11765</v>
      </c>
      <c r="J165" s="52">
        <v>12113</v>
      </c>
      <c r="K165" s="52">
        <v>12461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60">
        <v>0</v>
      </c>
      <c r="S165" s="60">
        <v>0</v>
      </c>
      <c r="T165" s="60">
        <v>0</v>
      </c>
      <c r="U165" s="65">
        <v>0</v>
      </c>
      <c r="V165" s="65">
        <v>0</v>
      </c>
      <c r="W165" s="65">
        <v>0</v>
      </c>
      <c r="X165" s="60">
        <v>0</v>
      </c>
      <c r="Y165" s="65">
        <v>0</v>
      </c>
    </row>
    <row r="166" spans="1:25">
      <c r="A166" s="60" t="s">
        <v>340</v>
      </c>
      <c r="B166" s="60" t="s">
        <v>552</v>
      </c>
      <c r="C166" s="60" t="s">
        <v>340</v>
      </c>
      <c r="D166" s="60" t="s">
        <v>340</v>
      </c>
      <c r="E166" s="60">
        <v>40101</v>
      </c>
      <c r="F166" s="52">
        <v>84497</v>
      </c>
      <c r="G166" s="52">
        <v>87587</v>
      </c>
      <c r="H166" s="52">
        <v>91351</v>
      </c>
      <c r="I166" s="52">
        <v>125225</v>
      </c>
      <c r="J166" s="52">
        <v>128988</v>
      </c>
      <c r="K166" s="52">
        <v>132752</v>
      </c>
      <c r="L166" s="52">
        <v>0</v>
      </c>
      <c r="M166" s="52">
        <v>0</v>
      </c>
      <c r="N166" s="52">
        <v>0</v>
      </c>
      <c r="O166" s="52">
        <v>0</v>
      </c>
      <c r="P166" s="52">
        <v>0</v>
      </c>
      <c r="Q166" s="52">
        <v>0</v>
      </c>
      <c r="R166" s="60">
        <v>0</v>
      </c>
      <c r="S166" s="60">
        <v>0</v>
      </c>
      <c r="T166" s="60">
        <v>0</v>
      </c>
      <c r="U166" s="65">
        <v>0</v>
      </c>
      <c r="V166" s="65">
        <v>0</v>
      </c>
      <c r="W166" s="65">
        <v>0</v>
      </c>
      <c r="X166" s="60">
        <v>0</v>
      </c>
      <c r="Y166" s="65">
        <v>0</v>
      </c>
    </row>
    <row r="167" spans="1:25">
      <c r="A167" s="60" t="s">
        <v>340</v>
      </c>
      <c r="B167" s="60" t="s">
        <v>552</v>
      </c>
      <c r="C167" s="60" t="s">
        <v>341</v>
      </c>
      <c r="D167" s="60" t="s">
        <v>341</v>
      </c>
      <c r="E167" s="60">
        <v>40102</v>
      </c>
      <c r="F167" s="52">
        <v>7570</v>
      </c>
      <c r="G167" s="52">
        <v>7730</v>
      </c>
      <c r="H167" s="52">
        <v>7992</v>
      </c>
      <c r="I167" s="52">
        <v>10352</v>
      </c>
      <c r="J167" s="52">
        <v>10614</v>
      </c>
      <c r="K167" s="52">
        <v>10876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60">
        <v>0</v>
      </c>
      <c r="S167" s="60">
        <v>0</v>
      </c>
      <c r="T167" s="60">
        <v>0</v>
      </c>
      <c r="U167" s="65">
        <v>0</v>
      </c>
      <c r="V167" s="65">
        <v>0</v>
      </c>
      <c r="W167" s="65">
        <v>0</v>
      </c>
      <c r="X167" s="60">
        <v>0</v>
      </c>
      <c r="Y167" s="65">
        <v>0</v>
      </c>
    </row>
    <row r="168" spans="1:25">
      <c r="A168" s="60" t="s">
        <v>340</v>
      </c>
      <c r="B168" s="60" t="s">
        <v>552</v>
      </c>
      <c r="C168" s="60" t="s">
        <v>342</v>
      </c>
      <c r="D168" s="60" t="s">
        <v>342</v>
      </c>
      <c r="E168" s="60">
        <v>40103</v>
      </c>
      <c r="F168" s="52">
        <v>4153</v>
      </c>
      <c r="G168" s="52">
        <v>4332</v>
      </c>
      <c r="H168" s="52">
        <v>4362</v>
      </c>
      <c r="I168" s="52">
        <v>4636</v>
      </c>
      <c r="J168" s="52">
        <v>4667</v>
      </c>
      <c r="K168" s="52">
        <v>4697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60">
        <v>0</v>
      </c>
      <c r="S168" s="60">
        <v>0</v>
      </c>
      <c r="T168" s="60">
        <v>0</v>
      </c>
      <c r="U168" s="65">
        <v>0</v>
      </c>
      <c r="V168" s="65">
        <v>0</v>
      </c>
      <c r="W168" s="65">
        <v>0</v>
      </c>
      <c r="X168" s="60">
        <v>0</v>
      </c>
      <c r="Y168" s="65">
        <v>0</v>
      </c>
    </row>
    <row r="169" spans="1:25">
      <c r="A169" s="60" t="s">
        <v>340</v>
      </c>
      <c r="B169" s="60" t="s">
        <v>552</v>
      </c>
      <c r="C169" s="60" t="s">
        <v>343</v>
      </c>
      <c r="D169" s="60" t="s">
        <v>568</v>
      </c>
      <c r="E169" s="60">
        <v>40104</v>
      </c>
      <c r="F169" s="52">
        <v>3800</v>
      </c>
      <c r="G169" s="52">
        <v>3841</v>
      </c>
      <c r="H169" s="52">
        <v>4097</v>
      </c>
      <c r="I169" s="52">
        <v>6396</v>
      </c>
      <c r="J169" s="52">
        <v>6652</v>
      </c>
      <c r="K169" s="52">
        <v>6907</v>
      </c>
      <c r="L169" s="52">
        <v>0</v>
      </c>
      <c r="M169" s="52">
        <v>0</v>
      </c>
      <c r="N169" s="52">
        <v>0</v>
      </c>
      <c r="O169" s="52">
        <v>0</v>
      </c>
      <c r="P169" s="52">
        <v>0</v>
      </c>
      <c r="Q169" s="52">
        <v>0</v>
      </c>
      <c r="R169" s="60">
        <v>0</v>
      </c>
      <c r="S169" s="60">
        <v>0</v>
      </c>
      <c r="T169" s="60">
        <v>0</v>
      </c>
      <c r="U169" s="65">
        <v>0</v>
      </c>
      <c r="V169" s="65">
        <v>0</v>
      </c>
      <c r="W169" s="65">
        <v>0</v>
      </c>
      <c r="X169" s="60">
        <v>0</v>
      </c>
      <c r="Y169" s="65">
        <v>0</v>
      </c>
    </row>
    <row r="170" spans="1:25">
      <c r="A170" s="60" t="s">
        <v>340</v>
      </c>
      <c r="B170" s="60" t="s">
        <v>569</v>
      </c>
      <c r="C170" s="60" t="s">
        <v>344</v>
      </c>
      <c r="D170" s="60" t="s">
        <v>344</v>
      </c>
      <c r="E170" s="60">
        <v>40201</v>
      </c>
      <c r="F170" s="52">
        <v>11036</v>
      </c>
      <c r="G170" s="52">
        <v>11328</v>
      </c>
      <c r="H170" s="52">
        <v>12046</v>
      </c>
      <c r="I170" s="52">
        <v>18510</v>
      </c>
      <c r="J170" s="52">
        <v>19228</v>
      </c>
      <c r="K170" s="52">
        <v>19946</v>
      </c>
      <c r="L170" s="52">
        <v>0</v>
      </c>
      <c r="M170" s="52">
        <v>0</v>
      </c>
      <c r="N170" s="52">
        <v>0</v>
      </c>
      <c r="O170" s="52">
        <v>0</v>
      </c>
      <c r="P170" s="52">
        <v>0</v>
      </c>
      <c r="Q170" s="52">
        <v>0</v>
      </c>
      <c r="R170" s="60">
        <v>0</v>
      </c>
      <c r="S170" s="60">
        <v>0</v>
      </c>
      <c r="T170" s="60">
        <v>0</v>
      </c>
      <c r="U170" s="65">
        <v>0</v>
      </c>
      <c r="V170" s="65">
        <v>0</v>
      </c>
      <c r="W170" s="65">
        <v>0</v>
      </c>
      <c r="X170" s="60">
        <v>0</v>
      </c>
      <c r="Y170" s="65">
        <v>0</v>
      </c>
    </row>
    <row r="171" spans="1:25">
      <c r="A171" s="60" t="s">
        <v>340</v>
      </c>
      <c r="B171" s="60" t="s">
        <v>569</v>
      </c>
      <c r="C171" s="60" t="s">
        <v>345</v>
      </c>
      <c r="D171" s="60" t="s">
        <v>345</v>
      </c>
      <c r="E171" s="60">
        <v>40202</v>
      </c>
      <c r="F171" s="52">
        <v>2010</v>
      </c>
      <c r="G171" s="52">
        <v>2049</v>
      </c>
      <c r="H171" s="52">
        <v>2162</v>
      </c>
      <c r="I171" s="52">
        <v>3174</v>
      </c>
      <c r="J171" s="52">
        <v>3287</v>
      </c>
      <c r="K171" s="52">
        <v>3399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60">
        <v>0</v>
      </c>
      <c r="S171" s="60">
        <v>0</v>
      </c>
      <c r="T171" s="60">
        <v>0</v>
      </c>
      <c r="U171" s="65">
        <v>0</v>
      </c>
      <c r="V171" s="65">
        <v>0</v>
      </c>
      <c r="W171" s="65">
        <v>0</v>
      </c>
      <c r="X171" s="60">
        <v>0</v>
      </c>
      <c r="Y171" s="65">
        <v>0</v>
      </c>
    </row>
    <row r="172" spans="1:25">
      <c r="A172" s="60" t="s">
        <v>340</v>
      </c>
      <c r="B172" s="60" t="s">
        <v>370</v>
      </c>
      <c r="C172" s="60" t="s">
        <v>346</v>
      </c>
      <c r="D172" s="60" t="s">
        <v>346</v>
      </c>
      <c r="E172" s="60">
        <v>40301</v>
      </c>
      <c r="F172" s="52">
        <v>4264</v>
      </c>
      <c r="G172" s="52">
        <v>4287</v>
      </c>
      <c r="H172" s="52">
        <v>4589</v>
      </c>
      <c r="I172" s="52">
        <v>7303</v>
      </c>
      <c r="J172" s="52">
        <v>7604</v>
      </c>
      <c r="K172" s="52">
        <v>7906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60">
        <v>0</v>
      </c>
      <c r="S172" s="60">
        <v>0</v>
      </c>
      <c r="T172" s="60">
        <v>0</v>
      </c>
      <c r="U172" s="65">
        <v>0</v>
      </c>
      <c r="V172" s="65">
        <v>0</v>
      </c>
      <c r="W172" s="65">
        <v>0</v>
      </c>
      <c r="X172" s="60">
        <v>0</v>
      </c>
      <c r="Y172" s="65">
        <v>0</v>
      </c>
    </row>
    <row r="173" spans="1:25">
      <c r="A173" s="60" t="s">
        <v>340</v>
      </c>
      <c r="B173" s="60" t="s">
        <v>370</v>
      </c>
      <c r="C173" s="60" t="s">
        <v>347</v>
      </c>
      <c r="D173" s="60" t="s">
        <v>347</v>
      </c>
      <c r="E173" s="60">
        <v>40302</v>
      </c>
      <c r="F173" s="52">
        <v>990</v>
      </c>
      <c r="G173" s="52">
        <v>1006</v>
      </c>
      <c r="H173" s="52">
        <v>1022</v>
      </c>
      <c r="I173" s="52">
        <v>1165</v>
      </c>
      <c r="J173" s="52">
        <v>1181</v>
      </c>
      <c r="K173" s="52">
        <v>1197</v>
      </c>
      <c r="L173" s="52">
        <v>0</v>
      </c>
      <c r="M173" s="52">
        <v>0</v>
      </c>
      <c r="N173" s="52">
        <v>0</v>
      </c>
      <c r="O173" s="52">
        <v>0</v>
      </c>
      <c r="P173" s="52">
        <v>0</v>
      </c>
      <c r="Q173" s="52">
        <v>0</v>
      </c>
      <c r="R173" s="60">
        <v>0</v>
      </c>
      <c r="S173" s="60">
        <v>0</v>
      </c>
      <c r="T173" s="60">
        <v>0</v>
      </c>
      <c r="U173" s="65">
        <v>0</v>
      </c>
      <c r="V173" s="65">
        <v>0</v>
      </c>
      <c r="W173" s="65">
        <v>0</v>
      </c>
      <c r="X173" s="60">
        <v>0</v>
      </c>
      <c r="Y173" s="65">
        <v>0</v>
      </c>
    </row>
    <row r="174" spans="1:25">
      <c r="A174" s="60" t="s">
        <v>340</v>
      </c>
      <c r="B174" s="60" t="s">
        <v>570</v>
      </c>
      <c r="C174" s="60" t="s">
        <v>348</v>
      </c>
      <c r="D174" s="60" t="s">
        <v>348</v>
      </c>
      <c r="E174" s="60">
        <v>40401</v>
      </c>
      <c r="F174" s="52">
        <v>1973</v>
      </c>
      <c r="G174" s="52">
        <v>1983</v>
      </c>
      <c r="H174" s="52">
        <v>2110</v>
      </c>
      <c r="I174" s="52">
        <v>3257</v>
      </c>
      <c r="J174" s="52">
        <v>3385</v>
      </c>
      <c r="K174" s="52">
        <v>3512</v>
      </c>
      <c r="L174" s="52">
        <v>0</v>
      </c>
      <c r="M174" s="52">
        <v>0</v>
      </c>
      <c r="N174" s="52">
        <v>0</v>
      </c>
      <c r="O174" s="52">
        <v>0</v>
      </c>
      <c r="P174" s="52">
        <v>0</v>
      </c>
      <c r="Q174" s="52">
        <v>0</v>
      </c>
      <c r="R174" s="60">
        <v>0</v>
      </c>
      <c r="S174" s="60">
        <v>0</v>
      </c>
      <c r="T174" s="60">
        <v>0</v>
      </c>
      <c r="U174" s="65">
        <v>0</v>
      </c>
      <c r="V174" s="65">
        <v>0</v>
      </c>
      <c r="W174" s="65">
        <v>0</v>
      </c>
      <c r="X174" s="60">
        <v>0</v>
      </c>
      <c r="Y174" s="65">
        <v>0</v>
      </c>
    </row>
    <row r="175" spans="1:25">
      <c r="A175" s="60" t="s">
        <v>340</v>
      </c>
      <c r="B175" s="60" t="s">
        <v>570</v>
      </c>
      <c r="C175" s="60" t="s">
        <v>349</v>
      </c>
      <c r="D175" s="60" t="s">
        <v>349</v>
      </c>
      <c r="E175" s="60">
        <v>40402</v>
      </c>
      <c r="F175" s="52">
        <v>2480</v>
      </c>
      <c r="G175" s="52">
        <v>2518</v>
      </c>
      <c r="H175" s="52">
        <v>2559</v>
      </c>
      <c r="I175" s="52">
        <v>2929</v>
      </c>
      <c r="J175" s="52">
        <v>2970</v>
      </c>
      <c r="K175" s="52">
        <v>3011</v>
      </c>
      <c r="L175" s="52">
        <v>0</v>
      </c>
      <c r="M175" s="52">
        <v>0</v>
      </c>
      <c r="N175" s="52">
        <v>0</v>
      </c>
      <c r="O175" s="52">
        <v>0</v>
      </c>
      <c r="P175" s="52">
        <v>0</v>
      </c>
      <c r="Q175" s="52">
        <v>0</v>
      </c>
      <c r="R175" s="60">
        <v>0</v>
      </c>
      <c r="S175" s="60">
        <v>0</v>
      </c>
      <c r="T175" s="60">
        <v>0</v>
      </c>
      <c r="U175" s="65">
        <v>0</v>
      </c>
      <c r="V175" s="65">
        <v>0</v>
      </c>
      <c r="W175" s="65">
        <v>0</v>
      </c>
      <c r="X175" s="60">
        <v>0</v>
      </c>
      <c r="Y175" s="65">
        <v>0</v>
      </c>
    </row>
    <row r="176" spans="1:25">
      <c r="A176" s="60" t="s">
        <v>340</v>
      </c>
      <c r="B176" s="60" t="s">
        <v>571</v>
      </c>
      <c r="C176" s="60" t="s">
        <v>350</v>
      </c>
      <c r="D176" s="60" t="s">
        <v>350</v>
      </c>
      <c r="E176" s="60">
        <v>40501</v>
      </c>
      <c r="F176" s="52">
        <v>774</v>
      </c>
      <c r="G176" s="52">
        <v>786</v>
      </c>
      <c r="H176" s="52">
        <v>861</v>
      </c>
      <c r="I176" s="52">
        <v>1532</v>
      </c>
      <c r="J176" s="52">
        <v>1606</v>
      </c>
      <c r="K176" s="52">
        <v>1681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60">
        <v>0</v>
      </c>
      <c r="S176" s="60">
        <v>0</v>
      </c>
      <c r="T176" s="60">
        <v>0</v>
      </c>
      <c r="U176" s="65">
        <v>0</v>
      </c>
      <c r="V176" s="65">
        <v>0</v>
      </c>
      <c r="W176" s="65">
        <v>0</v>
      </c>
      <c r="X176" s="60">
        <v>0</v>
      </c>
      <c r="Y176" s="65">
        <v>0</v>
      </c>
    </row>
    <row r="177" spans="1:25">
      <c r="A177" s="60" t="s">
        <v>340</v>
      </c>
      <c r="B177" s="60" t="s">
        <v>571</v>
      </c>
      <c r="C177" s="60" t="s">
        <v>351</v>
      </c>
      <c r="D177" s="60" t="s">
        <v>351</v>
      </c>
      <c r="E177" s="60">
        <v>40502</v>
      </c>
      <c r="F177" s="52">
        <v>1057</v>
      </c>
      <c r="G177" s="52">
        <v>1110</v>
      </c>
      <c r="H177" s="52">
        <v>1121</v>
      </c>
      <c r="I177" s="52">
        <v>1218</v>
      </c>
      <c r="J177" s="52">
        <v>1228</v>
      </c>
      <c r="K177" s="52">
        <v>1239</v>
      </c>
      <c r="L177" s="52">
        <v>0</v>
      </c>
      <c r="M177" s="52">
        <v>0</v>
      </c>
      <c r="N177" s="52">
        <v>0</v>
      </c>
      <c r="O177" s="52">
        <v>0</v>
      </c>
      <c r="P177" s="52">
        <v>0</v>
      </c>
      <c r="Q177" s="52">
        <v>0</v>
      </c>
      <c r="R177" s="60">
        <v>0</v>
      </c>
      <c r="S177" s="60">
        <v>0</v>
      </c>
      <c r="T177" s="60">
        <v>0</v>
      </c>
      <c r="U177" s="65">
        <v>0</v>
      </c>
      <c r="V177" s="65">
        <v>0</v>
      </c>
      <c r="W177" s="65">
        <v>0</v>
      </c>
      <c r="X177" s="60">
        <v>0</v>
      </c>
      <c r="Y177" s="65">
        <v>0</v>
      </c>
    </row>
    <row r="178" spans="1:25">
      <c r="A178" s="60" t="s">
        <v>340</v>
      </c>
      <c r="B178" s="60" t="s">
        <v>571</v>
      </c>
      <c r="C178" s="60" t="s">
        <v>352</v>
      </c>
      <c r="D178" s="60" t="s">
        <v>352</v>
      </c>
      <c r="E178" s="60">
        <v>40503</v>
      </c>
      <c r="F178" s="52">
        <v>606</v>
      </c>
      <c r="G178" s="52">
        <v>627</v>
      </c>
      <c r="H178" s="52">
        <v>633</v>
      </c>
      <c r="I178" s="52">
        <v>688</v>
      </c>
      <c r="J178" s="52">
        <v>694</v>
      </c>
      <c r="K178" s="52">
        <v>700</v>
      </c>
      <c r="L178" s="52">
        <v>0</v>
      </c>
      <c r="M178" s="52">
        <v>0</v>
      </c>
      <c r="N178" s="52">
        <v>0</v>
      </c>
      <c r="O178" s="52">
        <v>0</v>
      </c>
      <c r="P178" s="52">
        <v>0</v>
      </c>
      <c r="Q178" s="52">
        <v>0</v>
      </c>
      <c r="R178" s="60">
        <v>0</v>
      </c>
      <c r="S178" s="60">
        <v>0</v>
      </c>
      <c r="T178" s="60">
        <v>0</v>
      </c>
      <c r="U178" s="65">
        <v>0</v>
      </c>
      <c r="V178" s="65">
        <v>0</v>
      </c>
      <c r="W178" s="65">
        <v>0</v>
      </c>
      <c r="X178" s="60">
        <v>0</v>
      </c>
      <c r="Y178" s="65">
        <v>0</v>
      </c>
    </row>
    <row r="179" spans="1:25">
      <c r="A179" s="60" t="s">
        <v>340</v>
      </c>
      <c r="B179" s="60" t="s">
        <v>571</v>
      </c>
      <c r="C179" s="60" t="s">
        <v>353</v>
      </c>
      <c r="D179" s="60" t="s">
        <v>353</v>
      </c>
      <c r="E179" s="60">
        <v>40504</v>
      </c>
      <c r="F179" s="52">
        <v>194</v>
      </c>
      <c r="G179" s="52">
        <v>203</v>
      </c>
      <c r="H179" s="52">
        <v>207</v>
      </c>
      <c r="I179" s="52">
        <v>241</v>
      </c>
      <c r="J179" s="52">
        <v>245</v>
      </c>
      <c r="K179" s="52">
        <v>249</v>
      </c>
      <c r="L179" s="52">
        <v>0</v>
      </c>
      <c r="M179" s="52">
        <v>0</v>
      </c>
      <c r="N179" s="52">
        <v>0</v>
      </c>
      <c r="O179" s="52">
        <v>0</v>
      </c>
      <c r="P179" s="52">
        <v>0</v>
      </c>
      <c r="Q179" s="52">
        <v>0</v>
      </c>
      <c r="R179" s="60">
        <v>0</v>
      </c>
      <c r="S179" s="60">
        <v>0</v>
      </c>
      <c r="T179" s="60">
        <v>0</v>
      </c>
      <c r="U179" s="65">
        <v>0</v>
      </c>
      <c r="V179" s="65">
        <v>0</v>
      </c>
      <c r="W179" s="65">
        <v>0</v>
      </c>
      <c r="X179" s="60">
        <v>0</v>
      </c>
      <c r="Y179" s="65">
        <v>0</v>
      </c>
    </row>
    <row r="180" spans="1:25">
      <c r="A180" s="60" t="s">
        <v>340</v>
      </c>
      <c r="B180" s="60" t="s">
        <v>571</v>
      </c>
      <c r="C180" s="60" t="s">
        <v>354</v>
      </c>
      <c r="D180" s="60" t="s">
        <v>354</v>
      </c>
      <c r="E180" s="60">
        <v>40505</v>
      </c>
      <c r="F180" s="52">
        <v>749</v>
      </c>
      <c r="G180" s="52">
        <v>779</v>
      </c>
      <c r="H180" s="52">
        <v>791</v>
      </c>
      <c r="I180" s="52">
        <v>896</v>
      </c>
      <c r="J180" s="52">
        <v>907</v>
      </c>
      <c r="K180" s="52">
        <v>919</v>
      </c>
      <c r="L180" s="52">
        <v>0</v>
      </c>
      <c r="M180" s="52">
        <v>0</v>
      </c>
      <c r="N180" s="52">
        <v>0</v>
      </c>
      <c r="O180" s="52">
        <v>0</v>
      </c>
      <c r="P180" s="52">
        <v>0</v>
      </c>
      <c r="Q180" s="52">
        <v>0</v>
      </c>
      <c r="R180" s="60">
        <v>0</v>
      </c>
      <c r="S180" s="60">
        <v>0</v>
      </c>
      <c r="T180" s="60">
        <v>0</v>
      </c>
      <c r="U180" s="65">
        <v>0</v>
      </c>
      <c r="V180" s="65">
        <v>0</v>
      </c>
      <c r="W180" s="65">
        <v>0</v>
      </c>
      <c r="X180" s="60">
        <v>0</v>
      </c>
      <c r="Y180" s="65">
        <v>0</v>
      </c>
    </row>
    <row r="181" spans="1:25">
      <c r="A181" s="60" t="s">
        <v>340</v>
      </c>
      <c r="B181" s="60" t="s">
        <v>355</v>
      </c>
      <c r="C181" s="60" t="s">
        <v>355</v>
      </c>
      <c r="D181" s="60" t="s">
        <v>572</v>
      </c>
      <c r="E181" s="60">
        <v>40601</v>
      </c>
      <c r="F181" s="52">
        <v>3704</v>
      </c>
      <c r="G181" s="52">
        <v>3815</v>
      </c>
      <c r="H181" s="52">
        <v>3881</v>
      </c>
      <c r="I181" s="52">
        <v>4476</v>
      </c>
      <c r="J181" s="52">
        <v>4542</v>
      </c>
      <c r="K181" s="52">
        <v>4608</v>
      </c>
      <c r="L181" s="52">
        <v>0</v>
      </c>
      <c r="M181" s="52">
        <v>0</v>
      </c>
      <c r="N181" s="52">
        <v>0</v>
      </c>
      <c r="O181" s="52">
        <v>0</v>
      </c>
      <c r="P181" s="52">
        <v>0</v>
      </c>
      <c r="Q181" s="52">
        <v>0</v>
      </c>
      <c r="R181" s="60">
        <v>0</v>
      </c>
      <c r="S181" s="60">
        <v>0</v>
      </c>
      <c r="T181" s="60">
        <v>0</v>
      </c>
      <c r="U181" s="65">
        <v>0</v>
      </c>
      <c r="V181" s="65">
        <v>0</v>
      </c>
      <c r="W181" s="65">
        <v>0</v>
      </c>
      <c r="X181" s="60">
        <v>0</v>
      </c>
      <c r="Y181" s="65">
        <v>0</v>
      </c>
    </row>
    <row r="182" spans="1:25">
      <c r="A182" s="60" t="s">
        <v>340</v>
      </c>
      <c r="B182" s="60" t="s">
        <v>355</v>
      </c>
      <c r="C182" s="60" t="s">
        <v>356</v>
      </c>
      <c r="D182" s="60" t="s">
        <v>356</v>
      </c>
      <c r="E182" s="60">
        <v>40602</v>
      </c>
      <c r="F182" s="52">
        <v>2668</v>
      </c>
      <c r="G182" s="52">
        <v>2643</v>
      </c>
      <c r="H182" s="52">
        <v>2641</v>
      </c>
      <c r="I182" s="52">
        <v>2618</v>
      </c>
      <c r="J182" s="52">
        <v>2616</v>
      </c>
      <c r="K182" s="52">
        <v>2613</v>
      </c>
      <c r="L182" s="52">
        <v>0</v>
      </c>
      <c r="M182" s="52">
        <v>0</v>
      </c>
      <c r="N182" s="52">
        <v>0</v>
      </c>
      <c r="O182" s="52">
        <v>0</v>
      </c>
      <c r="P182" s="52">
        <v>0</v>
      </c>
      <c r="Q182" s="52">
        <v>0</v>
      </c>
      <c r="R182" s="60">
        <v>0</v>
      </c>
      <c r="S182" s="60">
        <v>0</v>
      </c>
      <c r="T182" s="60">
        <v>0</v>
      </c>
      <c r="U182" s="65">
        <v>0</v>
      </c>
      <c r="V182" s="65">
        <v>0</v>
      </c>
      <c r="W182" s="65">
        <v>0</v>
      </c>
      <c r="X182" s="60">
        <v>0</v>
      </c>
      <c r="Y182" s="65">
        <v>0</v>
      </c>
    </row>
    <row r="183" spans="1:25">
      <c r="A183" s="60" t="s">
        <v>340</v>
      </c>
      <c r="B183" s="60" t="s">
        <v>355</v>
      </c>
      <c r="C183" s="60" t="s">
        <v>357</v>
      </c>
      <c r="D183" s="60" t="s">
        <v>357</v>
      </c>
      <c r="E183" s="60">
        <v>40603</v>
      </c>
      <c r="F183" s="52">
        <v>1487</v>
      </c>
      <c r="G183" s="52">
        <v>1521</v>
      </c>
      <c r="H183" s="52">
        <v>1597</v>
      </c>
      <c r="I183" s="52">
        <v>2284</v>
      </c>
      <c r="J183" s="52">
        <v>2360</v>
      </c>
      <c r="K183" s="52">
        <v>2436</v>
      </c>
      <c r="L183" s="52">
        <v>0</v>
      </c>
      <c r="M183" s="52">
        <v>0</v>
      </c>
      <c r="N183" s="52">
        <v>0</v>
      </c>
      <c r="O183" s="52">
        <v>0</v>
      </c>
      <c r="P183" s="52">
        <v>0</v>
      </c>
      <c r="Q183" s="52">
        <v>0</v>
      </c>
      <c r="R183" s="60">
        <v>0</v>
      </c>
      <c r="S183" s="60">
        <v>0</v>
      </c>
      <c r="T183" s="60">
        <v>0</v>
      </c>
      <c r="U183" s="65">
        <v>0</v>
      </c>
      <c r="V183" s="65">
        <v>0</v>
      </c>
      <c r="W183" s="65">
        <v>0</v>
      </c>
      <c r="X183" s="60">
        <v>0</v>
      </c>
      <c r="Y183" s="65">
        <v>0</v>
      </c>
    </row>
    <row r="184" spans="1:25">
      <c r="A184" s="60" t="s">
        <v>340</v>
      </c>
      <c r="B184" s="60" t="s">
        <v>573</v>
      </c>
      <c r="C184" s="60" t="s">
        <v>358</v>
      </c>
      <c r="D184" s="60" t="s">
        <v>574</v>
      </c>
      <c r="E184" s="60">
        <v>40701</v>
      </c>
      <c r="F184" s="52">
        <v>7941</v>
      </c>
      <c r="G184" s="52">
        <v>8115</v>
      </c>
      <c r="H184" s="52">
        <v>8144</v>
      </c>
      <c r="I184" s="52">
        <v>8406</v>
      </c>
      <c r="J184" s="52">
        <v>8435</v>
      </c>
      <c r="K184" s="52">
        <v>8464</v>
      </c>
      <c r="L184" s="52">
        <v>0</v>
      </c>
      <c r="M184" s="52">
        <v>0</v>
      </c>
      <c r="N184" s="52">
        <v>0</v>
      </c>
      <c r="O184" s="52">
        <v>0</v>
      </c>
      <c r="P184" s="52">
        <v>0</v>
      </c>
      <c r="Q184" s="52">
        <v>0</v>
      </c>
      <c r="R184" s="60">
        <v>0</v>
      </c>
      <c r="S184" s="60">
        <v>0</v>
      </c>
      <c r="T184" s="60">
        <v>0</v>
      </c>
      <c r="U184" s="65">
        <v>0</v>
      </c>
      <c r="V184" s="65">
        <v>0</v>
      </c>
      <c r="W184" s="65">
        <v>0</v>
      </c>
      <c r="X184" s="60">
        <v>0</v>
      </c>
      <c r="Y184" s="65">
        <v>0</v>
      </c>
    </row>
    <row r="185" spans="1:25">
      <c r="A185" s="60" t="s">
        <v>340</v>
      </c>
      <c r="B185" s="60" t="s">
        <v>573</v>
      </c>
      <c r="C185" s="60" t="s">
        <v>359</v>
      </c>
      <c r="D185" s="60" t="s">
        <v>359</v>
      </c>
      <c r="E185" s="60">
        <v>40702</v>
      </c>
      <c r="F185" s="52">
        <v>1968</v>
      </c>
      <c r="G185" s="52">
        <v>1994</v>
      </c>
      <c r="H185" s="52">
        <v>2064</v>
      </c>
      <c r="I185" s="52">
        <v>2694</v>
      </c>
      <c r="J185" s="52">
        <v>2764</v>
      </c>
      <c r="K185" s="52">
        <v>2834</v>
      </c>
      <c r="L185" s="52">
        <v>0</v>
      </c>
      <c r="M185" s="52">
        <v>0</v>
      </c>
      <c r="N185" s="52">
        <v>0</v>
      </c>
      <c r="O185" s="52">
        <v>0</v>
      </c>
      <c r="P185" s="52">
        <v>0</v>
      </c>
      <c r="Q185" s="52">
        <v>0</v>
      </c>
      <c r="R185" s="60">
        <v>0</v>
      </c>
      <c r="S185" s="60">
        <v>0</v>
      </c>
      <c r="T185" s="60">
        <v>0</v>
      </c>
      <c r="U185" s="65">
        <v>0</v>
      </c>
      <c r="V185" s="65">
        <v>0</v>
      </c>
      <c r="W185" s="65">
        <v>0</v>
      </c>
      <c r="X185" s="60">
        <v>0</v>
      </c>
      <c r="Y185" s="65">
        <v>0</v>
      </c>
    </row>
    <row r="186" spans="1:25">
      <c r="A186" s="60" t="s">
        <v>340</v>
      </c>
      <c r="B186" s="60" t="s">
        <v>575</v>
      </c>
      <c r="C186" s="60" t="s">
        <v>576</v>
      </c>
      <c r="D186" s="60" t="s">
        <v>576</v>
      </c>
      <c r="E186" s="60">
        <v>40801</v>
      </c>
      <c r="F186" s="52">
        <v>4908</v>
      </c>
      <c r="G186" s="52">
        <v>5038</v>
      </c>
      <c r="H186" s="52">
        <v>5275</v>
      </c>
      <c r="I186" s="52">
        <v>7409</v>
      </c>
      <c r="J186" s="52">
        <v>7646</v>
      </c>
      <c r="K186" s="52">
        <v>7883</v>
      </c>
      <c r="L186" s="52">
        <v>0</v>
      </c>
      <c r="M186" s="52">
        <v>0</v>
      </c>
      <c r="N186" s="52">
        <v>0</v>
      </c>
      <c r="O186" s="52">
        <v>0</v>
      </c>
      <c r="P186" s="52">
        <v>0</v>
      </c>
      <c r="Q186" s="52">
        <v>0</v>
      </c>
      <c r="R186" s="60">
        <v>0</v>
      </c>
      <c r="S186" s="60">
        <v>0</v>
      </c>
      <c r="T186" s="60">
        <v>0</v>
      </c>
      <c r="U186" s="65">
        <v>0</v>
      </c>
      <c r="V186" s="65">
        <v>0</v>
      </c>
      <c r="W186" s="65">
        <v>0</v>
      </c>
      <c r="X186" s="60">
        <v>0</v>
      </c>
      <c r="Y186" s="65">
        <v>0</v>
      </c>
    </row>
    <row r="187" spans="1:25">
      <c r="A187" s="60" t="s">
        <v>340</v>
      </c>
      <c r="B187" s="60" t="s">
        <v>575</v>
      </c>
      <c r="C187" s="60" t="s">
        <v>360</v>
      </c>
      <c r="D187" s="60" t="s">
        <v>360</v>
      </c>
      <c r="E187" s="60">
        <v>40802</v>
      </c>
      <c r="F187" s="52">
        <v>1521</v>
      </c>
      <c r="G187" s="52">
        <v>1570</v>
      </c>
      <c r="H187" s="52">
        <v>1614</v>
      </c>
      <c r="I187" s="52">
        <v>2006</v>
      </c>
      <c r="J187" s="52">
        <v>2049</v>
      </c>
      <c r="K187" s="52">
        <v>2093</v>
      </c>
      <c r="L187" s="52">
        <v>0</v>
      </c>
      <c r="M187" s="52">
        <v>0</v>
      </c>
      <c r="N187" s="52">
        <v>0</v>
      </c>
      <c r="O187" s="52">
        <v>0</v>
      </c>
      <c r="P187" s="52">
        <v>0</v>
      </c>
      <c r="Q187" s="52">
        <v>0</v>
      </c>
      <c r="R187" s="60">
        <v>0</v>
      </c>
      <c r="S187" s="60">
        <v>0</v>
      </c>
      <c r="T187" s="60">
        <v>0</v>
      </c>
      <c r="U187" s="65">
        <v>0</v>
      </c>
      <c r="V187" s="65">
        <v>0</v>
      </c>
      <c r="W187" s="65">
        <v>0</v>
      </c>
      <c r="X187" s="60">
        <v>0</v>
      </c>
      <c r="Y187" s="65">
        <v>0</v>
      </c>
    </row>
    <row r="188" spans="1:25">
      <c r="A188" s="60" t="s">
        <v>340</v>
      </c>
      <c r="B188" s="60" t="s">
        <v>361</v>
      </c>
      <c r="C188" s="60" t="s">
        <v>361</v>
      </c>
      <c r="D188" s="60" t="s">
        <v>361</v>
      </c>
      <c r="E188" s="60">
        <v>40901</v>
      </c>
      <c r="F188" s="52">
        <v>2863</v>
      </c>
      <c r="G188" s="52">
        <v>2959</v>
      </c>
      <c r="H188" s="52">
        <v>3148</v>
      </c>
      <c r="I188" s="52">
        <v>4844</v>
      </c>
      <c r="J188" s="52">
        <v>5033</v>
      </c>
      <c r="K188" s="52">
        <v>5221</v>
      </c>
      <c r="L188" s="52">
        <v>0</v>
      </c>
      <c r="M188" s="52">
        <v>0</v>
      </c>
      <c r="N188" s="52">
        <v>0</v>
      </c>
      <c r="O188" s="52">
        <v>0</v>
      </c>
      <c r="P188" s="52">
        <v>0</v>
      </c>
      <c r="Q188" s="52">
        <v>0</v>
      </c>
      <c r="R188" s="60">
        <v>0</v>
      </c>
      <c r="S188" s="60">
        <v>0</v>
      </c>
      <c r="T188" s="60">
        <v>0</v>
      </c>
      <c r="U188" s="65">
        <v>0</v>
      </c>
      <c r="V188" s="65">
        <v>0</v>
      </c>
      <c r="W188" s="65">
        <v>0</v>
      </c>
      <c r="X188" s="60">
        <v>0</v>
      </c>
      <c r="Y188" s="65">
        <v>0</v>
      </c>
    </row>
    <row r="189" spans="1:25">
      <c r="A189" s="60" t="s">
        <v>340</v>
      </c>
      <c r="B189" s="60" t="s">
        <v>361</v>
      </c>
      <c r="C189" s="60" t="s">
        <v>362</v>
      </c>
      <c r="D189" s="60" t="s">
        <v>362</v>
      </c>
      <c r="E189" s="60">
        <v>40902</v>
      </c>
      <c r="F189" s="52">
        <v>324</v>
      </c>
      <c r="G189" s="52">
        <v>337</v>
      </c>
      <c r="H189" s="52">
        <v>342</v>
      </c>
      <c r="I189" s="52">
        <v>385</v>
      </c>
      <c r="J189" s="52">
        <v>390</v>
      </c>
      <c r="K189" s="52">
        <v>395</v>
      </c>
      <c r="L189" s="52">
        <v>0</v>
      </c>
      <c r="M189" s="52">
        <v>0</v>
      </c>
      <c r="N189" s="52">
        <v>0</v>
      </c>
      <c r="O189" s="52">
        <v>0</v>
      </c>
      <c r="P189" s="52">
        <v>0</v>
      </c>
      <c r="Q189" s="52">
        <v>0</v>
      </c>
      <c r="R189" s="60">
        <v>0</v>
      </c>
      <c r="S189" s="60">
        <v>0</v>
      </c>
      <c r="T189" s="60">
        <v>0</v>
      </c>
      <c r="U189" s="65">
        <v>0</v>
      </c>
      <c r="V189" s="65">
        <v>0</v>
      </c>
      <c r="W189" s="65">
        <v>0</v>
      </c>
      <c r="X189" s="60">
        <v>0</v>
      </c>
      <c r="Y189" s="65">
        <v>0</v>
      </c>
    </row>
    <row r="190" spans="1:25">
      <c r="A190" s="60" t="s">
        <v>340</v>
      </c>
      <c r="B190" s="60" t="s">
        <v>361</v>
      </c>
      <c r="C190" s="60" t="s">
        <v>577</v>
      </c>
      <c r="D190" s="60" t="s">
        <v>577</v>
      </c>
      <c r="E190" s="60">
        <v>40903</v>
      </c>
      <c r="F190" s="52">
        <v>1192</v>
      </c>
      <c r="G190" s="52">
        <v>1226</v>
      </c>
      <c r="H190" s="52">
        <v>1278</v>
      </c>
      <c r="I190" s="52">
        <v>1747</v>
      </c>
      <c r="J190" s="52">
        <v>1799</v>
      </c>
      <c r="K190" s="52">
        <v>1851</v>
      </c>
      <c r="L190" s="52">
        <v>0</v>
      </c>
      <c r="M190" s="52">
        <v>0</v>
      </c>
      <c r="N190" s="52">
        <v>0</v>
      </c>
      <c r="O190" s="52">
        <v>0</v>
      </c>
      <c r="P190" s="52">
        <v>0</v>
      </c>
      <c r="Q190" s="52">
        <v>0</v>
      </c>
      <c r="R190" s="60">
        <v>0</v>
      </c>
      <c r="S190" s="60">
        <v>0</v>
      </c>
      <c r="T190" s="60">
        <v>0</v>
      </c>
      <c r="U190" s="65">
        <v>0</v>
      </c>
      <c r="V190" s="65">
        <v>0</v>
      </c>
      <c r="W190" s="65">
        <v>0</v>
      </c>
      <c r="X190" s="60">
        <v>0</v>
      </c>
      <c r="Y190" s="65">
        <v>0</v>
      </c>
    </row>
    <row r="191" spans="1:25">
      <c r="A191" s="60" t="s">
        <v>340</v>
      </c>
      <c r="B191" s="60" t="s">
        <v>578</v>
      </c>
      <c r="C191" s="60" t="s">
        <v>363</v>
      </c>
      <c r="D191" s="60" t="s">
        <v>363</v>
      </c>
      <c r="E191" s="60">
        <v>41001</v>
      </c>
      <c r="F191" s="52">
        <v>5648</v>
      </c>
      <c r="G191" s="52">
        <v>5839</v>
      </c>
      <c r="H191" s="52">
        <v>5872</v>
      </c>
      <c r="I191" s="52">
        <v>6168</v>
      </c>
      <c r="J191" s="52">
        <v>6201</v>
      </c>
      <c r="K191" s="52">
        <v>6234</v>
      </c>
      <c r="L191" s="52">
        <v>0</v>
      </c>
      <c r="M191" s="52">
        <v>0</v>
      </c>
      <c r="N191" s="52">
        <v>0</v>
      </c>
      <c r="O191" s="52">
        <v>0</v>
      </c>
      <c r="P191" s="52">
        <v>0</v>
      </c>
      <c r="Q191" s="52">
        <v>0</v>
      </c>
      <c r="R191" s="60">
        <v>0</v>
      </c>
      <c r="S191" s="60">
        <v>0</v>
      </c>
      <c r="T191" s="60">
        <v>0</v>
      </c>
      <c r="U191" s="65">
        <v>0</v>
      </c>
      <c r="V191" s="65">
        <v>0</v>
      </c>
      <c r="W191" s="65">
        <v>0</v>
      </c>
      <c r="X191" s="60">
        <v>0</v>
      </c>
      <c r="Y191" s="65">
        <v>0</v>
      </c>
    </row>
    <row r="192" spans="1:25">
      <c r="A192" s="60" t="s">
        <v>340</v>
      </c>
      <c r="B192" s="60" t="s">
        <v>579</v>
      </c>
      <c r="C192" s="60" t="s">
        <v>364</v>
      </c>
      <c r="D192" s="60" t="s">
        <v>364</v>
      </c>
      <c r="E192" s="60">
        <v>41101</v>
      </c>
      <c r="F192" s="52">
        <v>2513</v>
      </c>
      <c r="G192" s="52">
        <v>2531</v>
      </c>
      <c r="H192" s="52">
        <v>2553</v>
      </c>
      <c r="I192" s="52">
        <v>2746</v>
      </c>
      <c r="J192" s="52">
        <v>2768</v>
      </c>
      <c r="K192" s="52">
        <v>2789</v>
      </c>
      <c r="L192" s="52">
        <v>0</v>
      </c>
      <c r="M192" s="52">
        <v>0</v>
      </c>
      <c r="N192" s="52">
        <v>0</v>
      </c>
      <c r="O192" s="52">
        <v>0</v>
      </c>
      <c r="P192" s="52">
        <v>0</v>
      </c>
      <c r="Q192" s="52">
        <v>0</v>
      </c>
      <c r="R192" s="60">
        <v>0</v>
      </c>
      <c r="S192" s="60">
        <v>0</v>
      </c>
      <c r="T192" s="60">
        <v>0</v>
      </c>
      <c r="U192" s="65">
        <v>0</v>
      </c>
      <c r="V192" s="65">
        <v>0</v>
      </c>
      <c r="W192" s="65">
        <v>0</v>
      </c>
      <c r="X192" s="60">
        <v>0</v>
      </c>
      <c r="Y192" s="65">
        <v>0</v>
      </c>
    </row>
    <row r="193" spans="1:25">
      <c r="A193" s="60" t="s">
        <v>340</v>
      </c>
      <c r="B193" s="60" t="s">
        <v>580</v>
      </c>
      <c r="C193" s="60" t="s">
        <v>365</v>
      </c>
      <c r="D193" s="60" t="s">
        <v>581</v>
      </c>
      <c r="E193" s="60">
        <v>41201</v>
      </c>
      <c r="F193" s="52">
        <v>3151</v>
      </c>
      <c r="G193" s="52">
        <v>3195</v>
      </c>
      <c r="H193" s="52">
        <v>3321</v>
      </c>
      <c r="I193" s="52">
        <v>4458</v>
      </c>
      <c r="J193" s="52">
        <v>4584</v>
      </c>
      <c r="K193" s="52">
        <v>4710</v>
      </c>
      <c r="L193" s="52">
        <v>0</v>
      </c>
      <c r="M193" s="52">
        <v>0</v>
      </c>
      <c r="N193" s="52">
        <v>0</v>
      </c>
      <c r="O193" s="52">
        <v>0</v>
      </c>
      <c r="P193" s="52">
        <v>0</v>
      </c>
      <c r="Q193" s="52">
        <v>0</v>
      </c>
      <c r="R193" s="60">
        <v>0</v>
      </c>
      <c r="S193" s="60">
        <v>0</v>
      </c>
      <c r="T193" s="60">
        <v>0</v>
      </c>
      <c r="U193" s="65">
        <v>0</v>
      </c>
      <c r="V193" s="65">
        <v>0</v>
      </c>
      <c r="W193" s="65">
        <v>0</v>
      </c>
      <c r="X193" s="60">
        <v>0</v>
      </c>
      <c r="Y193" s="65">
        <v>0</v>
      </c>
    </row>
    <row r="194" spans="1:25">
      <c r="A194" s="60" t="s">
        <v>340</v>
      </c>
      <c r="B194" s="60" t="s">
        <v>580</v>
      </c>
      <c r="C194" s="60" t="s">
        <v>366</v>
      </c>
      <c r="D194" s="60" t="s">
        <v>366</v>
      </c>
      <c r="E194" s="60">
        <v>41202</v>
      </c>
      <c r="F194" s="52">
        <v>1207</v>
      </c>
      <c r="G194" s="52">
        <v>1217</v>
      </c>
      <c r="H194" s="52">
        <v>1255</v>
      </c>
      <c r="I194" s="52">
        <v>1598</v>
      </c>
      <c r="J194" s="52">
        <v>1636</v>
      </c>
      <c r="K194" s="52">
        <v>1674</v>
      </c>
      <c r="L194" s="52">
        <v>0</v>
      </c>
      <c r="M194" s="52">
        <v>0</v>
      </c>
      <c r="N194" s="52">
        <v>0</v>
      </c>
      <c r="O194" s="52">
        <v>0</v>
      </c>
      <c r="P194" s="52">
        <v>0</v>
      </c>
      <c r="Q194" s="52">
        <v>0</v>
      </c>
      <c r="R194" s="60">
        <v>0</v>
      </c>
      <c r="S194" s="60">
        <v>0</v>
      </c>
      <c r="T194" s="60">
        <v>0</v>
      </c>
      <c r="U194" s="65">
        <v>0</v>
      </c>
      <c r="V194" s="65">
        <v>0</v>
      </c>
      <c r="W194" s="65">
        <v>0</v>
      </c>
      <c r="X194" s="60">
        <v>0</v>
      </c>
      <c r="Y194" s="65">
        <v>0</v>
      </c>
    </row>
    <row r="195" spans="1:25">
      <c r="A195" s="60" t="s">
        <v>340</v>
      </c>
      <c r="B195" s="60" t="s">
        <v>582</v>
      </c>
      <c r="C195" s="60" t="s">
        <v>248</v>
      </c>
      <c r="D195" s="60" t="s">
        <v>248</v>
      </c>
      <c r="E195" s="60">
        <v>41301</v>
      </c>
      <c r="F195" s="52">
        <v>2790</v>
      </c>
      <c r="G195" s="52">
        <v>2832</v>
      </c>
      <c r="H195" s="52">
        <v>2976</v>
      </c>
      <c r="I195" s="52">
        <v>4268</v>
      </c>
      <c r="J195" s="52">
        <v>4411</v>
      </c>
      <c r="K195" s="52">
        <v>4555</v>
      </c>
      <c r="L195" s="52">
        <v>0</v>
      </c>
      <c r="M195" s="52">
        <v>0</v>
      </c>
      <c r="N195" s="52">
        <v>0</v>
      </c>
      <c r="O195" s="52">
        <v>0</v>
      </c>
      <c r="P195" s="52">
        <v>0</v>
      </c>
      <c r="Q195" s="52">
        <v>0</v>
      </c>
      <c r="R195" s="60">
        <v>0</v>
      </c>
      <c r="S195" s="60">
        <v>0</v>
      </c>
      <c r="T195" s="60">
        <v>0</v>
      </c>
      <c r="U195" s="65">
        <v>0</v>
      </c>
      <c r="V195" s="65">
        <v>0</v>
      </c>
      <c r="W195" s="65">
        <v>0</v>
      </c>
      <c r="X195" s="60">
        <v>0</v>
      </c>
      <c r="Y195" s="65">
        <v>0</v>
      </c>
    </row>
    <row r="196" spans="1:25">
      <c r="A196" s="60" t="s">
        <v>340</v>
      </c>
      <c r="B196" s="60" t="s">
        <v>583</v>
      </c>
      <c r="C196" s="60" t="s">
        <v>367</v>
      </c>
      <c r="D196" s="60" t="s">
        <v>367</v>
      </c>
      <c r="E196" s="60">
        <v>41401</v>
      </c>
      <c r="F196" s="52">
        <v>5071</v>
      </c>
      <c r="G196" s="52">
        <v>5257</v>
      </c>
      <c r="H196" s="52">
        <v>5384</v>
      </c>
      <c r="I196" s="52">
        <v>6526</v>
      </c>
      <c r="J196" s="52">
        <v>6653</v>
      </c>
      <c r="K196" s="52">
        <v>6780</v>
      </c>
      <c r="L196" s="52">
        <v>0</v>
      </c>
      <c r="M196" s="52">
        <v>0</v>
      </c>
      <c r="N196" s="52">
        <v>0</v>
      </c>
      <c r="O196" s="52">
        <v>0</v>
      </c>
      <c r="P196" s="52">
        <v>0</v>
      </c>
      <c r="Q196" s="52">
        <v>0</v>
      </c>
      <c r="R196" s="60">
        <v>0</v>
      </c>
      <c r="S196" s="60">
        <v>0</v>
      </c>
      <c r="T196" s="60">
        <v>0</v>
      </c>
      <c r="U196" s="65">
        <v>0</v>
      </c>
      <c r="V196" s="65">
        <v>0</v>
      </c>
      <c r="W196" s="65">
        <v>0</v>
      </c>
      <c r="X196" s="60">
        <v>0</v>
      </c>
      <c r="Y196" s="65">
        <v>0</v>
      </c>
    </row>
    <row r="197" spans="1:25">
      <c r="A197" s="60" t="s">
        <v>340</v>
      </c>
      <c r="B197" s="60" t="s">
        <v>584</v>
      </c>
      <c r="C197" s="60" t="s">
        <v>368</v>
      </c>
      <c r="D197" s="60" t="s">
        <v>368</v>
      </c>
      <c r="E197" s="60">
        <v>41501</v>
      </c>
      <c r="F197" s="52">
        <v>187</v>
      </c>
      <c r="G197" s="52">
        <v>189</v>
      </c>
      <c r="H197" s="52">
        <v>208</v>
      </c>
      <c r="I197" s="52">
        <v>377</v>
      </c>
      <c r="J197" s="52">
        <v>395</v>
      </c>
      <c r="K197" s="52">
        <v>414</v>
      </c>
      <c r="L197" s="52">
        <v>0</v>
      </c>
      <c r="M197" s="52">
        <v>0</v>
      </c>
      <c r="N197" s="52">
        <v>0</v>
      </c>
      <c r="O197" s="52">
        <v>0</v>
      </c>
      <c r="P197" s="52">
        <v>0</v>
      </c>
      <c r="Q197" s="52">
        <v>0</v>
      </c>
      <c r="R197" s="60">
        <v>0</v>
      </c>
      <c r="S197" s="60">
        <v>0</v>
      </c>
      <c r="T197" s="60">
        <v>0</v>
      </c>
      <c r="U197" s="65">
        <v>0</v>
      </c>
      <c r="V197" s="65">
        <v>0</v>
      </c>
      <c r="W197" s="65">
        <v>0</v>
      </c>
      <c r="X197" s="60">
        <v>0</v>
      </c>
      <c r="Y197" s="65">
        <v>0</v>
      </c>
    </row>
    <row r="198" spans="1:25">
      <c r="A198" s="60" t="s">
        <v>340</v>
      </c>
      <c r="B198" s="60" t="s">
        <v>584</v>
      </c>
      <c r="C198" s="60" t="s">
        <v>369</v>
      </c>
      <c r="D198" s="60" t="s">
        <v>369</v>
      </c>
      <c r="E198" s="60">
        <v>41502</v>
      </c>
      <c r="F198" s="52">
        <v>269</v>
      </c>
      <c r="G198" s="52">
        <v>278</v>
      </c>
      <c r="H198" s="52">
        <v>293</v>
      </c>
      <c r="I198" s="52">
        <v>430</v>
      </c>
      <c r="J198" s="52">
        <v>445</v>
      </c>
      <c r="K198" s="52">
        <v>460</v>
      </c>
      <c r="L198" s="52">
        <v>0</v>
      </c>
      <c r="M198" s="52">
        <v>0</v>
      </c>
      <c r="N198" s="52">
        <v>0</v>
      </c>
      <c r="O198" s="52">
        <v>0</v>
      </c>
      <c r="P198" s="52">
        <v>0</v>
      </c>
      <c r="Q198" s="52">
        <v>0</v>
      </c>
      <c r="R198" s="60">
        <v>0</v>
      </c>
      <c r="S198" s="60">
        <v>0</v>
      </c>
      <c r="T198" s="60">
        <v>0</v>
      </c>
      <c r="U198" s="65">
        <v>0</v>
      </c>
      <c r="V198" s="65">
        <v>0</v>
      </c>
      <c r="W198" s="65">
        <v>0</v>
      </c>
      <c r="X198" s="60">
        <v>0</v>
      </c>
      <c r="Y198" s="65">
        <v>0</v>
      </c>
    </row>
    <row r="199" spans="1:25">
      <c r="A199" s="60" t="s">
        <v>340</v>
      </c>
      <c r="B199" s="60" t="s">
        <v>584</v>
      </c>
      <c r="C199" s="60" t="s">
        <v>370</v>
      </c>
      <c r="D199" s="60" t="s">
        <v>370</v>
      </c>
      <c r="E199" s="60">
        <v>41503</v>
      </c>
      <c r="F199" s="52">
        <v>288</v>
      </c>
      <c r="G199" s="52">
        <v>302</v>
      </c>
      <c r="H199" s="52">
        <v>307</v>
      </c>
      <c r="I199" s="52">
        <v>356</v>
      </c>
      <c r="J199" s="52">
        <v>362</v>
      </c>
      <c r="K199" s="52">
        <v>367</v>
      </c>
      <c r="L199" s="52">
        <v>0</v>
      </c>
      <c r="M199" s="52">
        <v>0</v>
      </c>
      <c r="N199" s="52">
        <v>0</v>
      </c>
      <c r="O199" s="52">
        <v>0</v>
      </c>
      <c r="P199" s="52">
        <v>0</v>
      </c>
      <c r="Q199" s="52">
        <v>0</v>
      </c>
      <c r="R199" s="60">
        <v>0</v>
      </c>
      <c r="S199" s="60">
        <v>0</v>
      </c>
      <c r="T199" s="60">
        <v>0</v>
      </c>
      <c r="U199" s="65">
        <v>0</v>
      </c>
      <c r="V199" s="65">
        <v>0</v>
      </c>
      <c r="W199" s="65">
        <v>0</v>
      </c>
      <c r="X199" s="60">
        <v>0</v>
      </c>
      <c r="Y199" s="65">
        <v>0</v>
      </c>
    </row>
    <row r="200" spans="1:25">
      <c r="A200" s="60" t="s">
        <v>340</v>
      </c>
      <c r="B200" s="60" t="s">
        <v>585</v>
      </c>
      <c r="C200" s="60" t="s">
        <v>586</v>
      </c>
      <c r="D200" s="60" t="s">
        <v>371</v>
      </c>
      <c r="E200" s="60">
        <v>41601</v>
      </c>
      <c r="F200" s="52">
        <v>3455</v>
      </c>
      <c r="G200" s="52">
        <v>3476</v>
      </c>
      <c r="H200" s="52">
        <v>3576</v>
      </c>
      <c r="I200" s="52">
        <v>4480</v>
      </c>
      <c r="J200" s="52">
        <v>4581</v>
      </c>
      <c r="K200" s="52">
        <v>4681</v>
      </c>
      <c r="L200" s="52">
        <v>0</v>
      </c>
      <c r="M200" s="52">
        <v>0</v>
      </c>
      <c r="N200" s="52">
        <v>0</v>
      </c>
      <c r="O200" s="52">
        <v>0</v>
      </c>
      <c r="P200" s="52">
        <v>0</v>
      </c>
      <c r="Q200" s="52">
        <v>0</v>
      </c>
      <c r="R200" s="60">
        <v>0</v>
      </c>
      <c r="S200" s="60">
        <v>0</v>
      </c>
      <c r="T200" s="60">
        <v>0</v>
      </c>
      <c r="U200" s="65">
        <v>0</v>
      </c>
      <c r="V200" s="65">
        <v>0</v>
      </c>
      <c r="W200" s="65">
        <v>0</v>
      </c>
      <c r="X200" s="60">
        <v>0</v>
      </c>
      <c r="Y200" s="65">
        <v>0</v>
      </c>
    </row>
    <row r="201" spans="1:25">
      <c r="A201" s="60" t="s">
        <v>192</v>
      </c>
      <c r="B201" s="60" t="s">
        <v>587</v>
      </c>
      <c r="C201" s="60" t="s">
        <v>192</v>
      </c>
      <c r="D201" s="60" t="s">
        <v>192</v>
      </c>
      <c r="E201" s="60">
        <v>50101</v>
      </c>
      <c r="F201" s="52">
        <v>53266</v>
      </c>
      <c r="G201" s="52">
        <v>54852</v>
      </c>
      <c r="H201" s="52">
        <v>56819</v>
      </c>
      <c r="I201" s="52">
        <v>74519</v>
      </c>
      <c r="J201" s="52">
        <v>76485</v>
      </c>
      <c r="K201" s="52">
        <v>78452</v>
      </c>
      <c r="L201" s="52">
        <v>0</v>
      </c>
      <c r="M201" s="52">
        <v>0</v>
      </c>
      <c r="N201" s="52">
        <v>0</v>
      </c>
      <c r="O201" s="52">
        <v>0</v>
      </c>
      <c r="P201" s="52">
        <v>0</v>
      </c>
      <c r="Q201" s="52">
        <v>0</v>
      </c>
      <c r="R201" s="60">
        <v>0</v>
      </c>
      <c r="S201" s="60">
        <v>0</v>
      </c>
      <c r="T201" s="60">
        <v>0</v>
      </c>
      <c r="U201" s="65">
        <v>0</v>
      </c>
      <c r="V201" s="65">
        <v>0</v>
      </c>
      <c r="W201" s="65">
        <v>0</v>
      </c>
      <c r="X201" s="60">
        <v>0</v>
      </c>
      <c r="Y201" s="65">
        <v>0</v>
      </c>
    </row>
    <row r="202" spans="1:25">
      <c r="A202" s="60" t="s">
        <v>192</v>
      </c>
      <c r="B202" s="60" t="s">
        <v>587</v>
      </c>
      <c r="C202" s="60" t="s">
        <v>480</v>
      </c>
      <c r="D202" s="60" t="s">
        <v>480</v>
      </c>
      <c r="E202" s="60">
        <v>50102</v>
      </c>
      <c r="F202" s="52">
        <v>8667</v>
      </c>
      <c r="G202" s="52">
        <v>8959</v>
      </c>
      <c r="H202" s="52">
        <v>9163</v>
      </c>
      <c r="I202" s="52">
        <v>10997</v>
      </c>
      <c r="J202" s="52">
        <v>11200</v>
      </c>
      <c r="K202" s="52">
        <v>11404</v>
      </c>
      <c r="L202" s="52">
        <v>0</v>
      </c>
      <c r="M202" s="52">
        <v>99</v>
      </c>
      <c r="N202" s="52">
        <v>0</v>
      </c>
      <c r="O202" s="52">
        <v>125</v>
      </c>
      <c r="P202" s="52">
        <v>0</v>
      </c>
      <c r="Q202" s="52">
        <v>768</v>
      </c>
      <c r="R202" s="60">
        <v>0</v>
      </c>
      <c r="S202" s="60">
        <v>1.1000000000000001</v>
      </c>
      <c r="T202" s="60">
        <v>0</v>
      </c>
      <c r="U202" s="65">
        <v>0.3666666666666667</v>
      </c>
      <c r="V202" s="65">
        <v>1.1363636363636365</v>
      </c>
      <c r="W202" s="65">
        <v>0</v>
      </c>
      <c r="X202" s="60">
        <v>6.7375886524822697</v>
      </c>
      <c r="Y202" s="65">
        <v>2.6246507629486353</v>
      </c>
    </row>
    <row r="203" spans="1:25">
      <c r="A203" s="60" t="s">
        <v>192</v>
      </c>
      <c r="B203" s="60" t="s">
        <v>587</v>
      </c>
      <c r="C203" s="60" t="s">
        <v>372</v>
      </c>
      <c r="D203" s="60" t="s">
        <v>588</v>
      </c>
      <c r="E203" s="60">
        <v>50103</v>
      </c>
      <c r="F203" s="52">
        <v>3288</v>
      </c>
      <c r="G203" s="52">
        <v>3330</v>
      </c>
      <c r="H203" s="52">
        <v>3466</v>
      </c>
      <c r="I203" s="52">
        <v>4691</v>
      </c>
      <c r="J203" s="52">
        <v>4827</v>
      </c>
      <c r="K203" s="52">
        <v>4963</v>
      </c>
      <c r="L203" s="52">
        <v>0</v>
      </c>
      <c r="M203" s="52">
        <v>0</v>
      </c>
      <c r="N203" s="52">
        <v>0</v>
      </c>
      <c r="O203" s="52">
        <v>0</v>
      </c>
      <c r="P203" s="52">
        <v>0</v>
      </c>
      <c r="Q203" s="52">
        <v>0</v>
      </c>
      <c r="R203" s="60">
        <v>0</v>
      </c>
      <c r="S203" s="60">
        <v>0</v>
      </c>
      <c r="T203" s="60">
        <v>0</v>
      </c>
      <c r="U203" s="65">
        <v>0</v>
      </c>
      <c r="V203" s="65">
        <v>0</v>
      </c>
      <c r="W203" s="65">
        <v>0</v>
      </c>
      <c r="X203" s="60">
        <v>0</v>
      </c>
      <c r="Y203" s="65">
        <v>0</v>
      </c>
    </row>
    <row r="204" spans="1:25">
      <c r="A204" s="60" t="s">
        <v>192</v>
      </c>
      <c r="B204" s="60" t="s">
        <v>587</v>
      </c>
      <c r="C204" s="60" t="s">
        <v>373</v>
      </c>
      <c r="D204" s="60" t="s">
        <v>589</v>
      </c>
      <c r="E204" s="60">
        <v>50104</v>
      </c>
      <c r="F204" s="52">
        <v>1577</v>
      </c>
      <c r="G204" s="52">
        <v>1611</v>
      </c>
      <c r="H204" s="52">
        <v>1631</v>
      </c>
      <c r="I204" s="52">
        <v>1806</v>
      </c>
      <c r="J204" s="52">
        <v>1826</v>
      </c>
      <c r="K204" s="52">
        <v>1845</v>
      </c>
      <c r="L204" s="52">
        <v>0</v>
      </c>
      <c r="M204" s="52">
        <v>0</v>
      </c>
      <c r="N204" s="52">
        <v>0</v>
      </c>
      <c r="O204" s="52">
        <v>0</v>
      </c>
      <c r="P204" s="52">
        <v>0</v>
      </c>
      <c r="Q204" s="52">
        <v>0</v>
      </c>
      <c r="R204" s="60">
        <v>0</v>
      </c>
      <c r="S204" s="60">
        <v>0</v>
      </c>
      <c r="T204" s="60">
        <v>0</v>
      </c>
      <c r="U204" s="65">
        <v>0</v>
      </c>
      <c r="V204" s="65">
        <v>0</v>
      </c>
      <c r="W204" s="65">
        <v>0</v>
      </c>
      <c r="X204" s="60">
        <v>0</v>
      </c>
      <c r="Y204" s="65">
        <v>0</v>
      </c>
    </row>
    <row r="205" spans="1:25">
      <c r="A205" s="60" t="s">
        <v>192</v>
      </c>
      <c r="B205" s="60" t="s">
        <v>590</v>
      </c>
      <c r="C205" s="60" t="s">
        <v>374</v>
      </c>
      <c r="D205" s="60" t="s">
        <v>374</v>
      </c>
      <c r="E205" s="60">
        <v>50201</v>
      </c>
      <c r="F205" s="52">
        <v>6973</v>
      </c>
      <c r="G205" s="52">
        <v>7127</v>
      </c>
      <c r="H205" s="52">
        <v>7418</v>
      </c>
      <c r="I205" s="52">
        <v>10032</v>
      </c>
      <c r="J205" s="52">
        <v>10323</v>
      </c>
      <c r="K205" s="52">
        <v>10613</v>
      </c>
      <c r="L205" s="52">
        <v>0</v>
      </c>
      <c r="M205" s="52">
        <v>0</v>
      </c>
      <c r="N205" s="52">
        <v>0</v>
      </c>
      <c r="O205" s="52">
        <v>0</v>
      </c>
      <c r="P205" s="52">
        <v>0</v>
      </c>
      <c r="Q205" s="52">
        <v>0</v>
      </c>
      <c r="R205" s="60">
        <v>0</v>
      </c>
      <c r="S205" s="60">
        <v>0</v>
      </c>
      <c r="T205" s="60">
        <v>0</v>
      </c>
      <c r="U205" s="65">
        <v>0</v>
      </c>
      <c r="V205" s="65">
        <v>0</v>
      </c>
      <c r="W205" s="65">
        <v>0</v>
      </c>
      <c r="X205" s="60">
        <v>0</v>
      </c>
      <c r="Y205" s="65">
        <v>0</v>
      </c>
    </row>
    <row r="206" spans="1:25">
      <c r="A206" s="60" t="s">
        <v>192</v>
      </c>
      <c r="B206" s="60" t="s">
        <v>590</v>
      </c>
      <c r="C206" s="60" t="s">
        <v>375</v>
      </c>
      <c r="D206" s="60" t="s">
        <v>375</v>
      </c>
      <c r="E206" s="60">
        <v>50202</v>
      </c>
      <c r="F206" s="52">
        <v>5046</v>
      </c>
      <c r="G206" s="52">
        <v>5106</v>
      </c>
      <c r="H206" s="52">
        <v>5260</v>
      </c>
      <c r="I206" s="52">
        <v>6641</v>
      </c>
      <c r="J206" s="52">
        <v>6795</v>
      </c>
      <c r="K206" s="52">
        <v>6948</v>
      </c>
      <c r="L206" s="52">
        <v>0</v>
      </c>
      <c r="M206" s="52">
        <v>0</v>
      </c>
      <c r="N206" s="52">
        <v>0</v>
      </c>
      <c r="O206" s="52">
        <v>0</v>
      </c>
      <c r="P206" s="52">
        <v>0</v>
      </c>
      <c r="Q206" s="52">
        <v>0</v>
      </c>
      <c r="R206" s="60">
        <v>0</v>
      </c>
      <c r="S206" s="60">
        <v>0</v>
      </c>
      <c r="T206" s="60">
        <v>0</v>
      </c>
      <c r="U206" s="65">
        <v>0</v>
      </c>
      <c r="V206" s="65">
        <v>0</v>
      </c>
      <c r="W206" s="65">
        <v>0</v>
      </c>
      <c r="X206" s="60">
        <v>0</v>
      </c>
      <c r="Y206" s="65">
        <v>0</v>
      </c>
    </row>
    <row r="207" spans="1:25">
      <c r="A207" s="60" t="s">
        <v>192</v>
      </c>
      <c r="B207" s="60" t="s">
        <v>590</v>
      </c>
      <c r="C207" s="60" t="s">
        <v>376</v>
      </c>
      <c r="D207" s="60" t="s">
        <v>376</v>
      </c>
      <c r="E207" s="60">
        <v>50203</v>
      </c>
      <c r="F207" s="52">
        <v>13943</v>
      </c>
      <c r="G207" s="52">
        <v>14135</v>
      </c>
      <c r="H207" s="52">
        <v>14600</v>
      </c>
      <c r="I207" s="52">
        <v>18787</v>
      </c>
      <c r="J207" s="52">
        <v>19252</v>
      </c>
      <c r="K207" s="52">
        <v>19717</v>
      </c>
      <c r="L207" s="52">
        <v>0</v>
      </c>
      <c r="M207" s="52">
        <v>0</v>
      </c>
      <c r="N207" s="52">
        <v>0</v>
      </c>
      <c r="O207" s="52">
        <v>0</v>
      </c>
      <c r="P207" s="52">
        <v>0</v>
      </c>
      <c r="Q207" s="52">
        <v>0</v>
      </c>
      <c r="R207" s="60">
        <v>0</v>
      </c>
      <c r="S207" s="60">
        <v>0</v>
      </c>
      <c r="T207" s="60">
        <v>0</v>
      </c>
      <c r="U207" s="65">
        <v>0</v>
      </c>
      <c r="V207" s="65">
        <v>0</v>
      </c>
      <c r="W207" s="65">
        <v>0</v>
      </c>
      <c r="X207" s="60">
        <v>0</v>
      </c>
      <c r="Y207" s="65">
        <v>0</v>
      </c>
    </row>
    <row r="208" spans="1:25">
      <c r="A208" s="60" t="s">
        <v>192</v>
      </c>
      <c r="B208" s="60" t="s">
        <v>590</v>
      </c>
      <c r="C208" s="60" t="s">
        <v>377</v>
      </c>
      <c r="D208" s="60" t="s">
        <v>377</v>
      </c>
      <c r="E208" s="60">
        <v>50204</v>
      </c>
      <c r="F208" s="52">
        <v>2404</v>
      </c>
      <c r="G208" s="52">
        <v>2456</v>
      </c>
      <c r="H208" s="52">
        <v>2561</v>
      </c>
      <c r="I208" s="52">
        <v>3508</v>
      </c>
      <c r="J208" s="52">
        <v>3613</v>
      </c>
      <c r="K208" s="52">
        <v>3718</v>
      </c>
      <c r="L208" s="52">
        <v>0</v>
      </c>
      <c r="M208" s="52">
        <v>0</v>
      </c>
      <c r="N208" s="52">
        <v>0</v>
      </c>
      <c r="O208" s="52">
        <v>0</v>
      </c>
      <c r="P208" s="52">
        <v>0</v>
      </c>
      <c r="Q208" s="52">
        <v>0</v>
      </c>
      <c r="R208" s="60">
        <v>0</v>
      </c>
      <c r="S208" s="60">
        <v>0</v>
      </c>
      <c r="T208" s="60">
        <v>0</v>
      </c>
      <c r="U208" s="65">
        <v>0</v>
      </c>
      <c r="V208" s="65">
        <v>0</v>
      </c>
      <c r="W208" s="65">
        <v>0</v>
      </c>
      <c r="X208" s="60">
        <v>0</v>
      </c>
      <c r="Y208" s="65">
        <v>0</v>
      </c>
    </row>
    <row r="209" spans="1:25">
      <c r="A209" s="60" t="s">
        <v>192</v>
      </c>
      <c r="B209" s="60" t="s">
        <v>591</v>
      </c>
      <c r="C209" s="60" t="s">
        <v>475</v>
      </c>
      <c r="D209" s="60" t="s">
        <v>592</v>
      </c>
      <c r="E209" s="60">
        <v>50301</v>
      </c>
      <c r="F209" s="52">
        <v>11353</v>
      </c>
      <c r="G209" s="52">
        <v>11467</v>
      </c>
      <c r="H209" s="52">
        <v>11641</v>
      </c>
      <c r="I209" s="52">
        <v>13210</v>
      </c>
      <c r="J209" s="52">
        <v>13385</v>
      </c>
      <c r="K209" s="52">
        <v>13559</v>
      </c>
      <c r="L209" s="52">
        <v>454</v>
      </c>
      <c r="M209" s="52">
        <v>333</v>
      </c>
      <c r="N209" s="52">
        <v>221</v>
      </c>
      <c r="O209" s="52">
        <v>760</v>
      </c>
      <c r="P209" s="52">
        <v>477</v>
      </c>
      <c r="Q209" s="52">
        <v>519</v>
      </c>
      <c r="R209" s="60">
        <v>4</v>
      </c>
      <c r="S209" s="60">
        <v>2.8999999999999995</v>
      </c>
      <c r="T209" s="60">
        <v>1.9</v>
      </c>
      <c r="U209" s="65">
        <v>2.9333333333333331</v>
      </c>
      <c r="V209" s="65">
        <v>5.7535046728971952</v>
      </c>
      <c r="W209" s="65">
        <v>3.564356435643564</v>
      </c>
      <c r="X209" s="60">
        <v>3.8273253226524258</v>
      </c>
      <c r="Y209" s="65">
        <v>4.3817288103977283</v>
      </c>
    </row>
    <row r="210" spans="1:25">
      <c r="A210" s="60" t="s">
        <v>192</v>
      </c>
      <c r="B210" s="60" t="s">
        <v>591</v>
      </c>
      <c r="C210" s="60" t="s">
        <v>464</v>
      </c>
      <c r="D210" s="60" t="s">
        <v>464</v>
      </c>
      <c r="E210" s="60">
        <v>50302</v>
      </c>
      <c r="F210" s="52">
        <v>3600</v>
      </c>
      <c r="G210" s="52">
        <v>3631</v>
      </c>
      <c r="H210" s="52">
        <v>3714</v>
      </c>
      <c r="I210" s="52">
        <v>4462</v>
      </c>
      <c r="J210" s="52">
        <v>4545</v>
      </c>
      <c r="K210" s="52">
        <v>4628</v>
      </c>
      <c r="L210" s="52">
        <v>0</v>
      </c>
      <c r="M210" s="52">
        <v>22</v>
      </c>
      <c r="N210" s="52">
        <v>0</v>
      </c>
      <c r="O210" s="52">
        <v>16</v>
      </c>
      <c r="P210" s="52">
        <v>0</v>
      </c>
      <c r="Q210" s="52">
        <v>77</v>
      </c>
      <c r="R210" s="60">
        <v>0</v>
      </c>
      <c r="S210" s="60">
        <v>0.6</v>
      </c>
      <c r="T210" s="60">
        <v>0</v>
      </c>
      <c r="U210" s="65">
        <v>0.19999999999999998</v>
      </c>
      <c r="V210" s="65">
        <v>0.36968576709796674</v>
      </c>
      <c r="W210" s="65">
        <v>0</v>
      </c>
      <c r="X210" s="60">
        <v>1.6574585635359116</v>
      </c>
      <c r="Y210" s="65">
        <v>0.67571477687795944</v>
      </c>
    </row>
    <row r="211" spans="1:25">
      <c r="A211" s="60" t="s">
        <v>192</v>
      </c>
      <c r="B211" s="60" t="s">
        <v>591</v>
      </c>
      <c r="C211" s="60" t="s">
        <v>223</v>
      </c>
      <c r="D211" s="60" t="s">
        <v>223</v>
      </c>
      <c r="E211" s="60">
        <v>50303</v>
      </c>
      <c r="F211" s="52">
        <v>4345</v>
      </c>
      <c r="G211" s="52">
        <v>4379</v>
      </c>
      <c r="H211" s="52">
        <v>4526</v>
      </c>
      <c r="I211" s="52">
        <v>5852</v>
      </c>
      <c r="J211" s="52">
        <v>6000</v>
      </c>
      <c r="K211" s="52">
        <v>6147</v>
      </c>
      <c r="L211" s="52">
        <v>122</v>
      </c>
      <c r="M211" s="52">
        <v>114</v>
      </c>
      <c r="N211" s="52">
        <v>72</v>
      </c>
      <c r="O211" s="52">
        <v>74</v>
      </c>
      <c r="P211" s="52">
        <v>83</v>
      </c>
      <c r="Q211" s="52">
        <v>78</v>
      </c>
      <c r="R211" s="60">
        <v>2.8</v>
      </c>
      <c r="S211" s="60">
        <v>2.6</v>
      </c>
      <c r="T211" s="60">
        <v>1.6</v>
      </c>
      <c r="U211" s="65">
        <v>2.3333333333333335</v>
      </c>
      <c r="V211" s="65">
        <v>1.2612612612612613</v>
      </c>
      <c r="W211" s="65">
        <v>1.3793103448275865</v>
      </c>
      <c r="X211" s="60">
        <v>1.271186440677966</v>
      </c>
      <c r="Y211" s="65">
        <v>1.3039193489222713</v>
      </c>
    </row>
    <row r="212" spans="1:25">
      <c r="A212" s="60" t="s">
        <v>192</v>
      </c>
      <c r="B212" s="60" t="s">
        <v>375</v>
      </c>
      <c r="C212" s="60" t="s">
        <v>476</v>
      </c>
      <c r="D212" s="60" t="s">
        <v>476</v>
      </c>
      <c r="E212" s="60">
        <v>50401</v>
      </c>
      <c r="F212" s="52">
        <v>4455</v>
      </c>
      <c r="G212" s="52">
        <v>4465</v>
      </c>
      <c r="H212" s="52">
        <v>4708</v>
      </c>
      <c r="I212" s="52">
        <v>6890</v>
      </c>
      <c r="J212" s="52">
        <v>7133</v>
      </c>
      <c r="K212" s="52">
        <v>7375</v>
      </c>
      <c r="L212" s="52">
        <v>0</v>
      </c>
      <c r="M212" s="52">
        <v>116</v>
      </c>
      <c r="N212" s="52">
        <v>198</v>
      </c>
      <c r="O212" s="52">
        <v>0</v>
      </c>
      <c r="P212" s="52">
        <v>258</v>
      </c>
      <c r="Q212" s="52">
        <v>572</v>
      </c>
      <c r="R212" s="60">
        <v>0</v>
      </c>
      <c r="S212" s="60">
        <v>2.6</v>
      </c>
      <c r="T212" s="60">
        <v>4.2</v>
      </c>
      <c r="U212" s="65">
        <v>2.2666666666666671</v>
      </c>
      <c r="V212" s="65">
        <v>0</v>
      </c>
      <c r="W212" s="65">
        <v>3.6211699164345412</v>
      </c>
      <c r="X212" s="60">
        <v>7.7519379844961236</v>
      </c>
      <c r="Y212" s="65">
        <v>3.7910359669768883</v>
      </c>
    </row>
    <row r="213" spans="1:25">
      <c r="A213" s="60" t="s">
        <v>192</v>
      </c>
      <c r="B213" s="60" t="s">
        <v>375</v>
      </c>
      <c r="C213" s="60" t="s">
        <v>482</v>
      </c>
      <c r="D213" s="60" t="s">
        <v>482</v>
      </c>
      <c r="E213" s="60">
        <v>50402</v>
      </c>
      <c r="F213" s="52">
        <v>7972</v>
      </c>
      <c r="G213" s="52">
        <v>8124</v>
      </c>
      <c r="H213" s="52">
        <v>8274</v>
      </c>
      <c r="I213" s="52">
        <v>9627</v>
      </c>
      <c r="J213" s="52">
        <v>9778</v>
      </c>
      <c r="K213" s="52">
        <v>9928</v>
      </c>
      <c r="L213" s="52">
        <v>104</v>
      </c>
      <c r="M213" s="52">
        <v>57</v>
      </c>
      <c r="N213" s="52">
        <v>50</v>
      </c>
      <c r="O213" s="52">
        <v>338</v>
      </c>
      <c r="P213" s="52">
        <v>571</v>
      </c>
      <c r="Q213" s="52">
        <v>206</v>
      </c>
      <c r="R213" s="60">
        <v>1.3</v>
      </c>
      <c r="S213" s="60">
        <v>0.7</v>
      </c>
      <c r="T213" s="60">
        <v>0.6</v>
      </c>
      <c r="U213" s="65">
        <v>0.8666666666666667</v>
      </c>
      <c r="V213" s="65">
        <v>3.5067873303167421</v>
      </c>
      <c r="W213" s="65">
        <v>5.8398950131233596</v>
      </c>
      <c r="X213" s="60">
        <v>2.0714655618850339</v>
      </c>
      <c r="Y213" s="65">
        <v>3.8060493017750452</v>
      </c>
    </row>
    <row r="214" spans="1:25">
      <c r="A214" s="60" t="s">
        <v>192</v>
      </c>
      <c r="B214" s="60" t="s">
        <v>375</v>
      </c>
      <c r="C214" s="60" t="s">
        <v>260</v>
      </c>
      <c r="D214" s="60" t="s">
        <v>260</v>
      </c>
      <c r="E214" s="60">
        <v>50403</v>
      </c>
      <c r="F214" s="52">
        <v>9089</v>
      </c>
      <c r="G214" s="52">
        <v>9374</v>
      </c>
      <c r="H214" s="52">
        <v>9815</v>
      </c>
      <c r="I214" s="52">
        <v>13781</v>
      </c>
      <c r="J214" s="52">
        <v>14221</v>
      </c>
      <c r="K214" s="52">
        <v>14662</v>
      </c>
      <c r="L214" s="52">
        <v>27</v>
      </c>
      <c r="M214" s="52">
        <v>394</v>
      </c>
      <c r="N214" s="52">
        <v>79</v>
      </c>
      <c r="O214" s="52">
        <v>121</v>
      </c>
      <c r="P214" s="52">
        <v>0</v>
      </c>
      <c r="Q214" s="52">
        <v>643</v>
      </c>
      <c r="R214" s="60">
        <v>0.3</v>
      </c>
      <c r="S214" s="60">
        <v>4.2</v>
      </c>
      <c r="T214" s="60">
        <v>0.8</v>
      </c>
      <c r="U214" s="65">
        <v>1.7666666666666666</v>
      </c>
      <c r="V214" s="65">
        <v>0.87976539589442826</v>
      </c>
      <c r="W214" s="65">
        <v>0</v>
      </c>
      <c r="X214" s="60">
        <v>4.3850267379679151</v>
      </c>
      <c r="Y214" s="65">
        <v>1.7549307112874477</v>
      </c>
    </row>
    <row r="215" spans="1:25">
      <c r="A215" s="60" t="s">
        <v>192</v>
      </c>
      <c r="B215" s="60" t="s">
        <v>375</v>
      </c>
      <c r="C215" s="60" t="s">
        <v>207</v>
      </c>
      <c r="D215" s="60" t="s">
        <v>207</v>
      </c>
      <c r="E215" s="60">
        <v>50404</v>
      </c>
      <c r="F215" s="52">
        <v>5783</v>
      </c>
      <c r="G215" s="52">
        <v>5801</v>
      </c>
      <c r="H215" s="52">
        <v>5917</v>
      </c>
      <c r="I215" s="52">
        <v>6964</v>
      </c>
      <c r="J215" s="52">
        <v>7081</v>
      </c>
      <c r="K215" s="52">
        <v>7197</v>
      </c>
      <c r="L215" s="52">
        <v>434</v>
      </c>
      <c r="M215" s="52">
        <v>29</v>
      </c>
      <c r="N215" s="52">
        <v>59</v>
      </c>
      <c r="O215" s="52">
        <v>86</v>
      </c>
      <c r="P215" s="52">
        <v>49</v>
      </c>
      <c r="Q215" s="52">
        <v>25</v>
      </c>
      <c r="R215" s="60">
        <v>7.5</v>
      </c>
      <c r="S215" s="60">
        <v>0.5</v>
      </c>
      <c r="T215" s="60">
        <v>1</v>
      </c>
      <c r="U215" s="65">
        <v>3</v>
      </c>
      <c r="V215" s="65">
        <v>1.2320328542094456</v>
      </c>
      <c r="W215" s="65">
        <v>0.69444444444444442</v>
      </c>
      <c r="X215" s="60">
        <v>0.34965034965034963</v>
      </c>
      <c r="Y215" s="65">
        <v>0.75870921610141329</v>
      </c>
    </row>
    <row r="216" spans="1:25">
      <c r="A216" s="60" t="s">
        <v>192</v>
      </c>
      <c r="B216" s="60" t="s">
        <v>375</v>
      </c>
      <c r="C216" s="60" t="s">
        <v>262</v>
      </c>
      <c r="D216" s="60" t="s">
        <v>262</v>
      </c>
      <c r="E216" s="60">
        <v>50405</v>
      </c>
      <c r="F216" s="52">
        <v>7172</v>
      </c>
      <c r="G216" s="52">
        <v>7313</v>
      </c>
      <c r="H216" s="52">
        <v>7602</v>
      </c>
      <c r="I216" s="52">
        <v>10204</v>
      </c>
      <c r="J216" s="52">
        <v>10493</v>
      </c>
      <c r="K216" s="52">
        <v>10782</v>
      </c>
      <c r="L216" s="52">
        <v>0</v>
      </c>
      <c r="M216" s="52">
        <v>0</v>
      </c>
      <c r="N216" s="52">
        <v>0</v>
      </c>
      <c r="O216" s="52">
        <v>0</v>
      </c>
      <c r="P216" s="52">
        <v>0</v>
      </c>
      <c r="Q216" s="52">
        <v>0</v>
      </c>
      <c r="R216" s="60">
        <v>0</v>
      </c>
      <c r="S216" s="60">
        <v>0</v>
      </c>
      <c r="T216" s="60">
        <v>0</v>
      </c>
      <c r="U216" s="65">
        <v>0</v>
      </c>
      <c r="V216" s="65">
        <v>0</v>
      </c>
      <c r="W216" s="65">
        <v>0</v>
      </c>
      <c r="X216" s="60">
        <v>0</v>
      </c>
      <c r="Y216" s="65">
        <v>0</v>
      </c>
    </row>
    <row r="217" spans="1:25">
      <c r="A217" s="60" t="s">
        <v>192</v>
      </c>
      <c r="B217" s="60" t="s">
        <v>593</v>
      </c>
      <c r="C217" s="60" t="s">
        <v>412</v>
      </c>
      <c r="D217" s="60" t="s">
        <v>412</v>
      </c>
      <c r="E217" s="60">
        <v>50501</v>
      </c>
      <c r="F217" s="52">
        <v>9185</v>
      </c>
      <c r="G217" s="52">
        <v>9323</v>
      </c>
      <c r="H217" s="52">
        <v>9797</v>
      </c>
      <c r="I217" s="52">
        <v>14067</v>
      </c>
      <c r="J217" s="52">
        <v>14542</v>
      </c>
      <c r="K217" s="52">
        <v>15016</v>
      </c>
      <c r="L217" s="52">
        <v>119</v>
      </c>
      <c r="M217" s="52">
        <v>131</v>
      </c>
      <c r="N217" s="52">
        <v>98</v>
      </c>
      <c r="O217" s="52">
        <v>327</v>
      </c>
      <c r="P217" s="52">
        <v>306</v>
      </c>
      <c r="Q217" s="52">
        <v>419</v>
      </c>
      <c r="R217" s="60">
        <v>1.3</v>
      </c>
      <c r="S217" s="60">
        <v>1.4</v>
      </c>
      <c r="T217" s="60">
        <v>1</v>
      </c>
      <c r="U217" s="65">
        <v>1.2333333333333334</v>
      </c>
      <c r="V217" s="65">
        <v>2.3224308109154248</v>
      </c>
      <c r="W217" s="65">
        <v>2.1038110018968785</v>
      </c>
      <c r="X217" s="60">
        <v>2.7875793930839805</v>
      </c>
      <c r="Y217" s="65">
        <v>2.4046070686320946</v>
      </c>
    </row>
    <row r="218" spans="1:25">
      <c r="A218" s="60" t="s">
        <v>192</v>
      </c>
      <c r="B218" s="60" t="s">
        <v>593</v>
      </c>
      <c r="C218" s="60" t="s">
        <v>483</v>
      </c>
      <c r="D218" s="60" t="s">
        <v>483</v>
      </c>
      <c r="E218" s="60">
        <v>50502</v>
      </c>
      <c r="F218" s="52">
        <v>4114</v>
      </c>
      <c r="G218" s="52">
        <v>4188</v>
      </c>
      <c r="H218" s="52">
        <v>4310</v>
      </c>
      <c r="I218" s="52">
        <v>5411</v>
      </c>
      <c r="J218" s="52">
        <v>5533</v>
      </c>
      <c r="K218" s="52">
        <v>5655</v>
      </c>
      <c r="L218" s="52">
        <v>78</v>
      </c>
      <c r="M218" s="52">
        <v>226</v>
      </c>
      <c r="N218" s="52">
        <v>108</v>
      </c>
      <c r="O218" s="52">
        <v>289</v>
      </c>
      <c r="P218" s="52">
        <v>425</v>
      </c>
      <c r="Q218" s="52">
        <v>366</v>
      </c>
      <c r="R218" s="60">
        <v>1.9</v>
      </c>
      <c r="S218" s="60">
        <v>5.4</v>
      </c>
      <c r="T218" s="60">
        <v>2.5</v>
      </c>
      <c r="U218" s="65">
        <v>3.2666666666666671</v>
      </c>
      <c r="V218" s="65">
        <v>5.3495762711864403</v>
      </c>
      <c r="W218" s="65">
        <v>7.6802507836990594</v>
      </c>
      <c r="X218" s="60">
        <v>6.4655172413793105</v>
      </c>
      <c r="Y218" s="65">
        <v>6.4984480987549373</v>
      </c>
    </row>
    <row r="219" spans="1:25">
      <c r="A219" s="60" t="s">
        <v>192</v>
      </c>
      <c r="B219" s="60" t="s">
        <v>594</v>
      </c>
      <c r="C219" s="60" t="s">
        <v>466</v>
      </c>
      <c r="D219" s="60" t="s">
        <v>466</v>
      </c>
      <c r="E219" s="60">
        <v>50601</v>
      </c>
      <c r="F219" s="52">
        <v>10177</v>
      </c>
      <c r="G219" s="52">
        <v>10362</v>
      </c>
      <c r="H219" s="52">
        <v>10599</v>
      </c>
      <c r="I219" s="52">
        <v>12730</v>
      </c>
      <c r="J219" s="52">
        <v>12967</v>
      </c>
      <c r="K219" s="52">
        <v>13204</v>
      </c>
      <c r="L219" s="52">
        <v>122</v>
      </c>
      <c r="M219" s="52">
        <v>62</v>
      </c>
      <c r="N219" s="52">
        <v>42</v>
      </c>
      <c r="O219" s="52">
        <v>211</v>
      </c>
      <c r="P219" s="52">
        <v>165</v>
      </c>
      <c r="Q219" s="52">
        <v>166</v>
      </c>
      <c r="R219" s="60">
        <v>1.2</v>
      </c>
      <c r="S219" s="60">
        <v>0.6</v>
      </c>
      <c r="T219" s="60">
        <v>0.4</v>
      </c>
      <c r="U219" s="65">
        <v>0.73333333333333328</v>
      </c>
      <c r="V219" s="65">
        <v>1.6548463356973995</v>
      </c>
      <c r="W219" s="65">
        <v>1.2744651797906235</v>
      </c>
      <c r="X219" s="60">
        <v>1.2595057034220531</v>
      </c>
      <c r="Y219" s="65">
        <v>1.3962724063033587</v>
      </c>
    </row>
    <row r="220" spans="1:25">
      <c r="A220" s="60" t="s">
        <v>192</v>
      </c>
      <c r="B220" s="60" t="s">
        <v>594</v>
      </c>
      <c r="C220" s="60" t="s">
        <v>225</v>
      </c>
      <c r="D220" s="60" t="s">
        <v>225</v>
      </c>
      <c r="E220" s="60">
        <v>50602</v>
      </c>
      <c r="F220" s="52">
        <v>4106</v>
      </c>
      <c r="G220" s="52">
        <v>4106</v>
      </c>
      <c r="H220" s="52">
        <v>4275</v>
      </c>
      <c r="I220" s="52">
        <v>5799</v>
      </c>
      <c r="J220" s="52">
        <v>5968</v>
      </c>
      <c r="K220" s="52">
        <v>6137</v>
      </c>
      <c r="L220" s="52">
        <v>74</v>
      </c>
      <c r="M220" s="52">
        <v>78</v>
      </c>
      <c r="N220" s="52">
        <v>77</v>
      </c>
      <c r="O220" s="52">
        <v>69</v>
      </c>
      <c r="P220" s="52">
        <v>53</v>
      </c>
      <c r="Q220" s="52">
        <v>42</v>
      </c>
      <c r="R220" s="60">
        <v>1.8000000000000003</v>
      </c>
      <c r="S220" s="60">
        <v>1.9</v>
      </c>
      <c r="T220" s="60">
        <v>1.8000000000000003</v>
      </c>
      <c r="U220" s="65">
        <v>1.8333333333333333</v>
      </c>
      <c r="V220" s="65">
        <v>1.1931962427011933</v>
      </c>
      <c r="W220" s="65">
        <v>0.88415325323055993</v>
      </c>
      <c r="X220" s="60">
        <v>0.68737970855100361</v>
      </c>
      <c r="Y220" s="65">
        <v>0.92157640149425235</v>
      </c>
    </row>
    <row r="221" spans="1:25">
      <c r="A221" s="60" t="s">
        <v>192</v>
      </c>
      <c r="B221" s="60" t="s">
        <v>595</v>
      </c>
      <c r="C221" s="60" t="s">
        <v>378</v>
      </c>
      <c r="D221" s="60" t="s">
        <v>596</v>
      </c>
      <c r="E221" s="60">
        <v>50701</v>
      </c>
      <c r="F221" s="52">
        <v>6164</v>
      </c>
      <c r="G221" s="52">
        <v>6252</v>
      </c>
      <c r="H221" s="52">
        <v>6498</v>
      </c>
      <c r="I221" s="52">
        <v>8710</v>
      </c>
      <c r="J221" s="52">
        <v>8956</v>
      </c>
      <c r="K221" s="52">
        <v>9202</v>
      </c>
      <c r="L221" s="52">
        <v>0</v>
      </c>
      <c r="M221" s="52">
        <v>0</v>
      </c>
      <c r="N221" s="52">
        <v>0</v>
      </c>
      <c r="O221" s="52">
        <v>0</v>
      </c>
      <c r="P221" s="52">
        <v>0</v>
      </c>
      <c r="Q221" s="52">
        <v>0</v>
      </c>
      <c r="R221" s="60">
        <v>0</v>
      </c>
      <c r="S221" s="60">
        <v>0</v>
      </c>
      <c r="T221" s="60">
        <v>0</v>
      </c>
      <c r="U221" s="65">
        <v>0</v>
      </c>
      <c r="V221" s="65">
        <v>0</v>
      </c>
      <c r="W221" s="65">
        <v>0</v>
      </c>
      <c r="X221" s="60">
        <v>0</v>
      </c>
      <c r="Y221" s="65">
        <v>0</v>
      </c>
    </row>
    <row r="222" spans="1:25">
      <c r="A222" s="60" t="s">
        <v>192</v>
      </c>
      <c r="B222" s="60" t="s">
        <v>595</v>
      </c>
      <c r="C222" s="60" t="s">
        <v>379</v>
      </c>
      <c r="D222" s="60" t="s">
        <v>379</v>
      </c>
      <c r="E222" s="60">
        <v>50702</v>
      </c>
      <c r="F222" s="52">
        <v>3164</v>
      </c>
      <c r="G222" s="52">
        <v>3214</v>
      </c>
      <c r="H222" s="52">
        <v>3354</v>
      </c>
      <c r="I222" s="52">
        <v>4616</v>
      </c>
      <c r="J222" s="52">
        <v>4756</v>
      </c>
      <c r="K222" s="52">
        <v>4896</v>
      </c>
      <c r="L222" s="52">
        <v>0</v>
      </c>
      <c r="M222" s="52">
        <v>0</v>
      </c>
      <c r="N222" s="52">
        <v>0</v>
      </c>
      <c r="O222" s="52">
        <v>0</v>
      </c>
      <c r="P222" s="52">
        <v>0</v>
      </c>
      <c r="Q222" s="52">
        <v>0</v>
      </c>
      <c r="R222" s="60">
        <v>0</v>
      </c>
      <c r="S222" s="60">
        <v>0</v>
      </c>
      <c r="T222" s="60">
        <v>0</v>
      </c>
      <c r="U222" s="65">
        <v>0</v>
      </c>
      <c r="V222" s="65">
        <v>0</v>
      </c>
      <c r="W222" s="65">
        <v>0</v>
      </c>
      <c r="X222" s="60">
        <v>0</v>
      </c>
      <c r="Y222" s="65">
        <v>0</v>
      </c>
    </row>
    <row r="223" spans="1:25">
      <c r="A223" s="60" t="s">
        <v>192</v>
      </c>
      <c r="B223" s="60" t="s">
        <v>597</v>
      </c>
      <c r="C223" s="60" t="s">
        <v>455</v>
      </c>
      <c r="D223" s="60" t="s">
        <v>455</v>
      </c>
      <c r="E223" s="60">
        <v>50801</v>
      </c>
      <c r="F223" s="52">
        <v>15342</v>
      </c>
      <c r="G223" s="52">
        <v>15537</v>
      </c>
      <c r="H223" s="52">
        <v>15891</v>
      </c>
      <c r="I223" s="52">
        <v>19081</v>
      </c>
      <c r="J223" s="52">
        <v>19436</v>
      </c>
      <c r="K223" s="52">
        <v>19790</v>
      </c>
      <c r="L223" s="52">
        <v>31</v>
      </c>
      <c r="M223" s="52">
        <v>78</v>
      </c>
      <c r="N223" s="52">
        <v>32</v>
      </c>
      <c r="O223" s="52">
        <v>114</v>
      </c>
      <c r="P223" s="52">
        <v>88</v>
      </c>
      <c r="Q223" s="52">
        <v>125</v>
      </c>
      <c r="R223" s="60">
        <v>0.2</v>
      </c>
      <c r="S223" s="60">
        <v>0.5</v>
      </c>
      <c r="T223" s="60">
        <v>0.2</v>
      </c>
      <c r="U223" s="65">
        <v>0.3</v>
      </c>
      <c r="V223" s="65">
        <v>0.5961251862891207</v>
      </c>
      <c r="W223" s="65">
        <v>0.4551820728291317</v>
      </c>
      <c r="X223" s="60">
        <v>0.62915910465819713</v>
      </c>
      <c r="Y223" s="65">
        <v>0.56015545459214977</v>
      </c>
    </row>
    <row r="224" spans="1:25">
      <c r="A224" s="60" t="s">
        <v>192</v>
      </c>
      <c r="B224" s="60" t="s">
        <v>597</v>
      </c>
      <c r="C224" s="60" t="s">
        <v>380</v>
      </c>
      <c r="D224" s="60" t="s">
        <v>380</v>
      </c>
      <c r="E224" s="60">
        <v>50802</v>
      </c>
      <c r="F224" s="52">
        <v>4267</v>
      </c>
      <c r="G224" s="52">
        <v>4290</v>
      </c>
      <c r="H224" s="52">
        <v>4329</v>
      </c>
      <c r="I224" s="52">
        <v>4679</v>
      </c>
      <c r="J224" s="52">
        <v>4718</v>
      </c>
      <c r="K224" s="52">
        <v>4757</v>
      </c>
      <c r="L224" s="52">
        <v>0</v>
      </c>
      <c r="M224" s="52">
        <v>0</v>
      </c>
      <c r="N224" s="52">
        <v>0</v>
      </c>
      <c r="O224" s="52">
        <v>0</v>
      </c>
      <c r="P224" s="52">
        <v>0</v>
      </c>
      <c r="Q224" s="52">
        <v>0</v>
      </c>
      <c r="R224" s="60">
        <v>0</v>
      </c>
      <c r="S224" s="60">
        <v>0</v>
      </c>
      <c r="T224" s="60">
        <v>0</v>
      </c>
      <c r="U224" s="65">
        <v>0</v>
      </c>
      <c r="V224" s="65">
        <v>0</v>
      </c>
      <c r="W224" s="65">
        <v>0</v>
      </c>
      <c r="X224" s="60">
        <v>0</v>
      </c>
      <c r="Y224" s="65">
        <v>0</v>
      </c>
    </row>
    <row r="225" spans="1:25">
      <c r="A225" s="60" t="s">
        <v>192</v>
      </c>
      <c r="B225" s="60" t="s">
        <v>598</v>
      </c>
      <c r="C225" s="60" t="s">
        <v>381</v>
      </c>
      <c r="D225" s="60" t="s">
        <v>599</v>
      </c>
      <c r="E225" s="60">
        <v>50901</v>
      </c>
      <c r="F225" s="52">
        <v>4001</v>
      </c>
      <c r="G225" s="52">
        <v>4094</v>
      </c>
      <c r="H225" s="52">
        <v>4300</v>
      </c>
      <c r="I225" s="52">
        <v>6155</v>
      </c>
      <c r="J225" s="52">
        <v>6361</v>
      </c>
      <c r="K225" s="52">
        <v>6567</v>
      </c>
      <c r="L225" s="52">
        <v>0</v>
      </c>
      <c r="M225" s="52">
        <v>0</v>
      </c>
      <c r="N225" s="52">
        <v>0</v>
      </c>
      <c r="O225" s="52">
        <v>0</v>
      </c>
      <c r="P225" s="52">
        <v>0</v>
      </c>
      <c r="Q225" s="52">
        <v>0</v>
      </c>
      <c r="R225" s="60">
        <v>0</v>
      </c>
      <c r="S225" s="60">
        <v>0</v>
      </c>
      <c r="T225" s="60">
        <v>0</v>
      </c>
      <c r="U225" s="65">
        <v>0</v>
      </c>
      <c r="V225" s="65">
        <v>0</v>
      </c>
      <c r="W225" s="65">
        <v>0</v>
      </c>
      <c r="X225" s="60">
        <v>0</v>
      </c>
      <c r="Y225" s="65">
        <v>0</v>
      </c>
    </row>
    <row r="226" spans="1:25">
      <c r="A226" s="60" t="s">
        <v>192</v>
      </c>
      <c r="B226" s="60" t="s">
        <v>598</v>
      </c>
      <c r="C226" s="60" t="s">
        <v>382</v>
      </c>
      <c r="D226" s="60" t="s">
        <v>600</v>
      </c>
      <c r="E226" s="60">
        <v>50902</v>
      </c>
      <c r="F226" s="52">
        <v>480</v>
      </c>
      <c r="G226" s="52">
        <v>493</v>
      </c>
      <c r="H226" s="52">
        <v>525</v>
      </c>
      <c r="I226" s="52">
        <v>815</v>
      </c>
      <c r="J226" s="52">
        <v>847</v>
      </c>
      <c r="K226" s="52">
        <v>879</v>
      </c>
      <c r="L226" s="52">
        <v>0</v>
      </c>
      <c r="M226" s="52">
        <v>0</v>
      </c>
      <c r="N226" s="52">
        <v>0</v>
      </c>
      <c r="O226" s="52">
        <v>0</v>
      </c>
      <c r="P226" s="52">
        <v>0</v>
      </c>
      <c r="Q226" s="52">
        <v>0</v>
      </c>
      <c r="R226" s="60">
        <v>0</v>
      </c>
      <c r="S226" s="60">
        <v>0</v>
      </c>
      <c r="T226" s="60">
        <v>0</v>
      </c>
      <c r="U226" s="65">
        <v>0</v>
      </c>
      <c r="V226" s="65">
        <v>0</v>
      </c>
      <c r="W226" s="65">
        <v>0</v>
      </c>
      <c r="X226" s="60">
        <v>0</v>
      </c>
      <c r="Y226" s="65">
        <v>0</v>
      </c>
    </row>
    <row r="227" spans="1:25">
      <c r="A227" s="60" t="s">
        <v>192</v>
      </c>
      <c r="B227" s="60" t="s">
        <v>601</v>
      </c>
      <c r="C227" s="60" t="s">
        <v>383</v>
      </c>
      <c r="D227" s="60" t="s">
        <v>602</v>
      </c>
      <c r="E227" s="60">
        <v>51001</v>
      </c>
      <c r="F227" s="52">
        <v>1189</v>
      </c>
      <c r="G227" s="52">
        <v>1208</v>
      </c>
      <c r="H227" s="52">
        <v>1250</v>
      </c>
      <c r="I227" s="52">
        <v>1631</v>
      </c>
      <c r="J227" s="52">
        <v>1673</v>
      </c>
      <c r="K227" s="52">
        <v>1715</v>
      </c>
      <c r="L227" s="52">
        <v>0</v>
      </c>
      <c r="M227" s="52">
        <v>0</v>
      </c>
      <c r="N227" s="52">
        <v>0</v>
      </c>
      <c r="O227" s="52">
        <v>0</v>
      </c>
      <c r="P227" s="52">
        <v>0</v>
      </c>
      <c r="Q227" s="52">
        <v>0</v>
      </c>
      <c r="R227" s="60">
        <v>0</v>
      </c>
      <c r="S227" s="60">
        <v>0</v>
      </c>
      <c r="T227" s="60">
        <v>0</v>
      </c>
      <c r="U227" s="65">
        <v>0</v>
      </c>
      <c r="V227" s="65">
        <v>0</v>
      </c>
      <c r="W227" s="65">
        <v>0</v>
      </c>
      <c r="X227" s="60">
        <v>0</v>
      </c>
      <c r="Y227" s="65">
        <v>0</v>
      </c>
    </row>
    <row r="228" spans="1:25">
      <c r="A228" s="60" t="s">
        <v>192</v>
      </c>
      <c r="B228" s="60" t="s">
        <v>601</v>
      </c>
      <c r="C228" s="60" t="s">
        <v>450</v>
      </c>
      <c r="D228" s="60" t="s">
        <v>450</v>
      </c>
      <c r="E228" s="60">
        <v>51002</v>
      </c>
      <c r="F228" s="52">
        <v>425</v>
      </c>
      <c r="G228" s="52">
        <v>428</v>
      </c>
      <c r="H228" s="52">
        <v>428</v>
      </c>
      <c r="I228" s="52">
        <v>431</v>
      </c>
      <c r="J228" s="52">
        <v>431</v>
      </c>
      <c r="K228" s="52">
        <v>431</v>
      </c>
      <c r="L228" s="52">
        <v>2</v>
      </c>
      <c r="M228" s="52">
        <v>0</v>
      </c>
      <c r="N228" s="52">
        <v>3</v>
      </c>
      <c r="O228" s="52">
        <v>0</v>
      </c>
      <c r="P228" s="52">
        <v>0</v>
      </c>
      <c r="Q228" s="52">
        <v>5</v>
      </c>
      <c r="R228" s="60">
        <v>0.4</v>
      </c>
      <c r="S228" s="60">
        <v>0</v>
      </c>
      <c r="T228" s="60">
        <v>0.6</v>
      </c>
      <c r="U228" s="65">
        <v>0.33333333333333331</v>
      </c>
      <c r="V228" s="65">
        <v>0</v>
      </c>
      <c r="W228" s="65">
        <v>0</v>
      </c>
      <c r="X228" s="60">
        <v>1.0833333333333335</v>
      </c>
      <c r="Y228" s="65">
        <v>0.36111111111111116</v>
      </c>
    </row>
    <row r="229" spans="1:25">
      <c r="A229" s="60" t="s">
        <v>192</v>
      </c>
      <c r="B229" s="60" t="s">
        <v>601</v>
      </c>
      <c r="C229" s="60" t="s">
        <v>384</v>
      </c>
      <c r="D229" s="60" t="s">
        <v>384</v>
      </c>
      <c r="E229" s="60">
        <v>51003</v>
      </c>
      <c r="F229" s="52">
        <v>920</v>
      </c>
      <c r="G229" s="52">
        <v>939</v>
      </c>
      <c r="H229" s="52">
        <v>952</v>
      </c>
      <c r="I229" s="52">
        <v>1073</v>
      </c>
      <c r="J229" s="52">
        <v>1087</v>
      </c>
      <c r="K229" s="52">
        <v>1100</v>
      </c>
      <c r="L229" s="52">
        <v>0</v>
      </c>
      <c r="M229" s="52">
        <v>0</v>
      </c>
      <c r="N229" s="52">
        <v>0</v>
      </c>
      <c r="O229" s="52">
        <v>0</v>
      </c>
      <c r="P229" s="52">
        <v>0</v>
      </c>
      <c r="Q229" s="52">
        <v>0</v>
      </c>
      <c r="R229" s="60">
        <v>0</v>
      </c>
      <c r="S229" s="60">
        <v>0</v>
      </c>
      <c r="T229" s="60">
        <v>0</v>
      </c>
      <c r="U229" s="65">
        <v>0</v>
      </c>
      <c r="V229" s="65">
        <v>0</v>
      </c>
      <c r="W229" s="65">
        <v>0</v>
      </c>
      <c r="X229" s="60">
        <v>0</v>
      </c>
      <c r="Y229" s="65">
        <v>0</v>
      </c>
    </row>
    <row r="230" spans="1:25">
      <c r="A230" s="60" t="s">
        <v>192</v>
      </c>
      <c r="B230" s="60" t="s">
        <v>603</v>
      </c>
      <c r="C230" s="60" t="s">
        <v>253</v>
      </c>
      <c r="D230" s="60" t="s">
        <v>604</v>
      </c>
      <c r="E230" s="60">
        <v>51101</v>
      </c>
      <c r="F230" s="52">
        <v>8951</v>
      </c>
      <c r="G230" s="52">
        <v>8970</v>
      </c>
      <c r="H230" s="52">
        <v>9076</v>
      </c>
      <c r="I230" s="52">
        <v>10030</v>
      </c>
      <c r="J230" s="52">
        <v>10136</v>
      </c>
      <c r="K230" s="52">
        <v>10242</v>
      </c>
      <c r="L230" s="52">
        <v>260</v>
      </c>
      <c r="M230" s="52">
        <v>99</v>
      </c>
      <c r="N230" s="52">
        <v>109</v>
      </c>
      <c r="O230" s="52">
        <v>227</v>
      </c>
      <c r="P230" s="52">
        <v>138</v>
      </c>
      <c r="Q230" s="52">
        <v>135</v>
      </c>
      <c r="R230" s="60">
        <v>2.9</v>
      </c>
      <c r="S230" s="60">
        <v>1.1000000000000001</v>
      </c>
      <c r="T230" s="60">
        <v>1.2</v>
      </c>
      <c r="U230" s="65">
        <v>1.7333333333333334</v>
      </c>
      <c r="V230" s="65">
        <v>2.2669383596535915</v>
      </c>
      <c r="W230" s="65">
        <v>1.3597328244274809</v>
      </c>
      <c r="X230" s="60">
        <v>1.3172966781214204</v>
      </c>
      <c r="Y230" s="65">
        <v>1.6479892874008308</v>
      </c>
    </row>
    <row r="231" spans="1:25">
      <c r="A231" s="60" t="s">
        <v>192</v>
      </c>
      <c r="B231" s="60" t="s">
        <v>603</v>
      </c>
      <c r="C231" s="60" t="s">
        <v>259</v>
      </c>
      <c r="D231" s="60" t="s">
        <v>259</v>
      </c>
      <c r="E231" s="60">
        <v>51102</v>
      </c>
      <c r="F231" s="52">
        <v>3970</v>
      </c>
      <c r="G231" s="52">
        <v>3984</v>
      </c>
      <c r="H231" s="52">
        <v>4155</v>
      </c>
      <c r="I231" s="52">
        <v>5691</v>
      </c>
      <c r="J231" s="52">
        <v>5861</v>
      </c>
      <c r="K231" s="52">
        <v>6032</v>
      </c>
      <c r="L231" s="52">
        <v>20</v>
      </c>
      <c r="M231" s="52">
        <v>20</v>
      </c>
      <c r="N231" s="52">
        <v>37</v>
      </c>
      <c r="O231" s="52">
        <v>34</v>
      </c>
      <c r="P231" s="52">
        <v>22</v>
      </c>
      <c r="Q231" s="52">
        <v>53</v>
      </c>
      <c r="R231" s="60">
        <v>0.5</v>
      </c>
      <c r="S231" s="60">
        <v>0.5</v>
      </c>
      <c r="T231" s="60">
        <v>0.90000000000000013</v>
      </c>
      <c r="U231" s="65">
        <v>0.63333333333333341</v>
      </c>
      <c r="V231" s="65">
        <v>0.59825126553152319</v>
      </c>
      <c r="W231" s="65">
        <v>0.3778932451582428</v>
      </c>
      <c r="X231" s="60">
        <v>0.8767881864328565</v>
      </c>
      <c r="Y231" s="65">
        <v>0.6176442323742074</v>
      </c>
    </row>
    <row r="232" spans="1:25">
      <c r="A232" s="60" t="s">
        <v>192</v>
      </c>
      <c r="B232" s="60" t="s">
        <v>603</v>
      </c>
      <c r="C232" s="60" t="s">
        <v>193</v>
      </c>
      <c r="D232" s="60" t="s">
        <v>193</v>
      </c>
      <c r="E232" s="60">
        <v>51103</v>
      </c>
      <c r="F232" s="52">
        <v>4296</v>
      </c>
      <c r="G232" s="52">
        <v>4315</v>
      </c>
      <c r="H232" s="52">
        <v>4437</v>
      </c>
      <c r="I232" s="52">
        <v>5536</v>
      </c>
      <c r="J232" s="52">
        <v>5658</v>
      </c>
      <c r="K232" s="52">
        <v>5780</v>
      </c>
      <c r="L232" s="52">
        <v>322</v>
      </c>
      <c r="M232" s="52">
        <v>414</v>
      </c>
      <c r="N232" s="52">
        <v>177</v>
      </c>
      <c r="O232" s="52">
        <v>133</v>
      </c>
      <c r="P232" s="52">
        <v>137</v>
      </c>
      <c r="Q232" s="52">
        <v>157</v>
      </c>
      <c r="R232" s="60">
        <v>7.5</v>
      </c>
      <c r="S232" s="60">
        <v>9.6</v>
      </c>
      <c r="T232" s="60">
        <v>4</v>
      </c>
      <c r="U232" s="65">
        <v>7.0333333333333341</v>
      </c>
      <c r="V232" s="65">
        <v>2.4102311854402356</v>
      </c>
      <c r="W232" s="65">
        <v>2.4267534773601658</v>
      </c>
      <c r="X232" s="60">
        <v>2.7143738433066007</v>
      </c>
      <c r="Y232" s="65">
        <v>2.5171195020356674</v>
      </c>
    </row>
    <row r="233" spans="1:25">
      <c r="A233" s="60" t="s">
        <v>192</v>
      </c>
      <c r="B233" s="60" t="s">
        <v>605</v>
      </c>
      <c r="C233" s="60" t="s">
        <v>385</v>
      </c>
      <c r="D233" s="60" t="s">
        <v>385</v>
      </c>
      <c r="E233" s="60">
        <v>51201</v>
      </c>
      <c r="F233" s="52">
        <v>11093</v>
      </c>
      <c r="G233" s="52">
        <v>11486</v>
      </c>
      <c r="H233" s="52">
        <v>11927</v>
      </c>
      <c r="I233" s="52">
        <v>15896</v>
      </c>
      <c r="J233" s="52">
        <v>16337</v>
      </c>
      <c r="K233" s="52">
        <v>16778</v>
      </c>
      <c r="L233" s="52">
        <v>0</v>
      </c>
      <c r="M233" s="52">
        <v>0</v>
      </c>
      <c r="N233" s="52">
        <v>0</v>
      </c>
      <c r="O233" s="52">
        <v>0</v>
      </c>
      <c r="P233" s="52">
        <v>0</v>
      </c>
      <c r="Q233" s="52">
        <v>0</v>
      </c>
      <c r="R233" s="60">
        <v>0</v>
      </c>
      <c r="S233" s="60">
        <v>0</v>
      </c>
      <c r="T233" s="60">
        <v>0</v>
      </c>
      <c r="U233" s="65">
        <v>0</v>
      </c>
      <c r="V233" s="65">
        <v>0</v>
      </c>
      <c r="W233" s="65">
        <v>0</v>
      </c>
      <c r="X233" s="60">
        <v>0</v>
      </c>
      <c r="Y233" s="65">
        <v>0</v>
      </c>
    </row>
    <row r="234" spans="1:25">
      <c r="A234" s="60" t="s">
        <v>192</v>
      </c>
      <c r="B234" s="60" t="s">
        <v>605</v>
      </c>
      <c r="C234" s="60" t="s">
        <v>229</v>
      </c>
      <c r="D234" s="60" t="s">
        <v>229</v>
      </c>
      <c r="E234" s="60">
        <v>51202</v>
      </c>
      <c r="F234" s="52">
        <v>3816</v>
      </c>
      <c r="G234" s="52">
        <v>3882</v>
      </c>
      <c r="H234" s="52">
        <v>3966</v>
      </c>
      <c r="I234" s="52">
        <v>4717</v>
      </c>
      <c r="J234" s="52">
        <v>4801</v>
      </c>
      <c r="K234" s="52">
        <v>4884</v>
      </c>
      <c r="L234" s="52">
        <v>31</v>
      </c>
      <c r="M234" s="52">
        <v>54</v>
      </c>
      <c r="N234" s="52">
        <v>36</v>
      </c>
      <c r="O234" s="52">
        <v>11</v>
      </c>
      <c r="P234" s="52">
        <v>10</v>
      </c>
      <c r="Q234" s="52">
        <v>12</v>
      </c>
      <c r="R234" s="60">
        <v>0.8</v>
      </c>
      <c r="S234" s="60">
        <v>1.4</v>
      </c>
      <c r="T234" s="60">
        <v>0.90000000000000013</v>
      </c>
      <c r="U234" s="65">
        <v>1.0333333333333334</v>
      </c>
      <c r="V234" s="65">
        <v>0.23353573096683791</v>
      </c>
      <c r="W234" s="65">
        <v>0.20695364238410596</v>
      </c>
      <c r="X234" s="60">
        <v>0.24732069249793898</v>
      </c>
      <c r="Y234" s="65">
        <v>0.22927002194962762</v>
      </c>
    </row>
    <row r="235" spans="1:25">
      <c r="A235" s="60" t="s">
        <v>192</v>
      </c>
      <c r="B235" s="60" t="s">
        <v>605</v>
      </c>
      <c r="C235" s="60" t="s">
        <v>386</v>
      </c>
      <c r="D235" s="60" t="s">
        <v>386</v>
      </c>
      <c r="E235" s="60">
        <v>51203</v>
      </c>
      <c r="F235" s="52">
        <v>3274</v>
      </c>
      <c r="G235" s="52">
        <v>3433</v>
      </c>
      <c r="H235" s="52">
        <v>3639</v>
      </c>
      <c r="I235" s="52">
        <v>5491</v>
      </c>
      <c r="J235" s="52">
        <v>5696</v>
      </c>
      <c r="K235" s="52">
        <v>5902</v>
      </c>
      <c r="L235" s="52">
        <v>0</v>
      </c>
      <c r="M235" s="52">
        <v>0</v>
      </c>
      <c r="N235" s="52">
        <v>0</v>
      </c>
      <c r="O235" s="52">
        <v>0</v>
      </c>
      <c r="P235" s="52">
        <v>0</v>
      </c>
      <c r="Q235" s="52">
        <v>0</v>
      </c>
      <c r="R235" s="60">
        <v>0</v>
      </c>
      <c r="S235" s="60">
        <v>0</v>
      </c>
      <c r="T235" s="60">
        <v>0</v>
      </c>
      <c r="U235" s="65">
        <v>0</v>
      </c>
      <c r="V235" s="65">
        <v>0</v>
      </c>
      <c r="W235" s="65">
        <v>0</v>
      </c>
      <c r="X235" s="60">
        <v>0</v>
      </c>
      <c r="Y235" s="65">
        <v>0</v>
      </c>
    </row>
    <row r="236" spans="1:25">
      <c r="A236" s="60" t="s">
        <v>192</v>
      </c>
      <c r="B236" s="60" t="s">
        <v>229</v>
      </c>
      <c r="C236" s="60" t="s">
        <v>606</v>
      </c>
      <c r="D236" s="60" t="s">
        <v>606</v>
      </c>
      <c r="E236" s="60">
        <v>51204</v>
      </c>
      <c r="F236" s="52">
        <v>2771</v>
      </c>
      <c r="G236" s="52">
        <v>2864</v>
      </c>
      <c r="H236" s="52">
        <v>2935</v>
      </c>
      <c r="I236" s="52">
        <v>3571</v>
      </c>
      <c r="J236" s="52">
        <v>3641</v>
      </c>
      <c r="K236" s="52">
        <v>3712</v>
      </c>
      <c r="L236" s="52">
        <v>0</v>
      </c>
      <c r="M236" s="52">
        <v>0</v>
      </c>
      <c r="N236" s="52">
        <v>0</v>
      </c>
      <c r="O236" s="52">
        <v>0</v>
      </c>
      <c r="P236" s="52">
        <v>0</v>
      </c>
      <c r="Q236" s="52">
        <v>0</v>
      </c>
      <c r="R236" s="60">
        <v>0</v>
      </c>
      <c r="S236" s="60">
        <v>0</v>
      </c>
      <c r="T236" s="60">
        <v>0</v>
      </c>
      <c r="U236" s="65">
        <v>0</v>
      </c>
      <c r="V236" s="65">
        <v>0</v>
      </c>
      <c r="W236" s="65">
        <v>0</v>
      </c>
      <c r="X236" s="60">
        <v>0</v>
      </c>
      <c r="Y236" s="65">
        <v>0</v>
      </c>
    </row>
    <row r="237" spans="1:25">
      <c r="A237" s="60" t="s">
        <v>192</v>
      </c>
      <c r="B237" s="60" t="s">
        <v>607</v>
      </c>
      <c r="C237" s="60" t="s">
        <v>465</v>
      </c>
      <c r="D237" s="60" t="s">
        <v>465</v>
      </c>
      <c r="E237" s="60">
        <v>51301</v>
      </c>
      <c r="F237" s="52">
        <v>1569</v>
      </c>
      <c r="G237" s="52">
        <v>1572</v>
      </c>
      <c r="H237" s="52">
        <v>1617</v>
      </c>
      <c r="I237" s="52">
        <v>2022</v>
      </c>
      <c r="J237" s="52">
        <v>2067</v>
      </c>
      <c r="K237" s="52">
        <v>2112</v>
      </c>
      <c r="L237" s="52">
        <v>9</v>
      </c>
      <c r="M237" s="52">
        <v>8</v>
      </c>
      <c r="N237" s="52">
        <v>0</v>
      </c>
      <c r="O237" s="52">
        <v>10</v>
      </c>
      <c r="P237" s="52">
        <v>23</v>
      </c>
      <c r="Q237" s="52">
        <v>24</v>
      </c>
      <c r="R237" s="60">
        <v>0.6</v>
      </c>
      <c r="S237" s="60">
        <v>0.5</v>
      </c>
      <c r="T237" s="60">
        <v>0</v>
      </c>
      <c r="U237" s="65">
        <v>0.3666666666666667</v>
      </c>
      <c r="V237" s="65">
        <v>0.51502145922746778</v>
      </c>
      <c r="W237" s="65">
        <v>1.1363636363636365</v>
      </c>
      <c r="X237" s="60">
        <v>1.1494252873563218</v>
      </c>
      <c r="Y237" s="65">
        <v>0.93360346098247537</v>
      </c>
    </row>
    <row r="238" spans="1:25">
      <c r="A238" s="60" t="s">
        <v>192</v>
      </c>
      <c r="B238" s="60" t="s">
        <v>607</v>
      </c>
      <c r="C238" s="60" t="s">
        <v>261</v>
      </c>
      <c r="D238" s="60" t="s">
        <v>261</v>
      </c>
      <c r="E238" s="60">
        <v>51302</v>
      </c>
      <c r="F238" s="52">
        <v>2041</v>
      </c>
      <c r="G238" s="52">
        <v>2069</v>
      </c>
      <c r="H238" s="52">
        <v>2124</v>
      </c>
      <c r="I238" s="52">
        <v>2617</v>
      </c>
      <c r="J238" s="52">
        <v>2672</v>
      </c>
      <c r="K238" s="52">
        <v>2727</v>
      </c>
      <c r="L238" s="52">
        <v>16</v>
      </c>
      <c r="M238" s="52">
        <v>6</v>
      </c>
      <c r="N238" s="52">
        <v>11</v>
      </c>
      <c r="O238" s="52">
        <v>16</v>
      </c>
      <c r="P238" s="52">
        <v>6</v>
      </c>
      <c r="Q238" s="52">
        <v>21</v>
      </c>
      <c r="R238" s="60">
        <v>0.8</v>
      </c>
      <c r="S238" s="60">
        <v>0.3</v>
      </c>
      <c r="T238" s="60">
        <v>0.5</v>
      </c>
      <c r="U238" s="65">
        <v>0.53333333333333333</v>
      </c>
      <c r="V238" s="65">
        <v>0.62068965517241392</v>
      </c>
      <c r="W238" s="65">
        <v>0.22163120567375888</v>
      </c>
      <c r="X238" s="60">
        <v>0.75519194461925743</v>
      </c>
      <c r="Y238" s="65">
        <v>0.53250426848847676</v>
      </c>
    </row>
    <row r="239" spans="1:25">
      <c r="A239" s="60" t="s">
        <v>192</v>
      </c>
      <c r="B239" s="60" t="s">
        <v>608</v>
      </c>
      <c r="C239" s="60" t="s">
        <v>387</v>
      </c>
      <c r="D239" s="60" t="s">
        <v>387</v>
      </c>
      <c r="E239" s="60">
        <v>51401</v>
      </c>
      <c r="F239" s="52">
        <v>2176</v>
      </c>
      <c r="G239" s="52">
        <v>2244</v>
      </c>
      <c r="H239" s="52">
        <v>2288</v>
      </c>
      <c r="I239" s="52">
        <v>2682</v>
      </c>
      <c r="J239" s="52">
        <v>2725</v>
      </c>
      <c r="K239" s="52">
        <v>2769</v>
      </c>
      <c r="L239" s="52">
        <v>0</v>
      </c>
      <c r="M239" s="52">
        <v>0</v>
      </c>
      <c r="N239" s="52">
        <v>0</v>
      </c>
      <c r="O239" s="52">
        <v>0</v>
      </c>
      <c r="P239" s="52">
        <v>0</v>
      </c>
      <c r="Q239" s="52">
        <v>0</v>
      </c>
      <c r="R239" s="60">
        <v>0</v>
      </c>
      <c r="S239" s="60">
        <v>0</v>
      </c>
      <c r="T239" s="60">
        <v>0</v>
      </c>
      <c r="U239" s="65">
        <v>0</v>
      </c>
      <c r="V239" s="65">
        <v>0</v>
      </c>
      <c r="W239" s="65">
        <v>0</v>
      </c>
      <c r="X239" s="60">
        <v>0</v>
      </c>
      <c r="Y239" s="65">
        <v>0</v>
      </c>
    </row>
    <row r="240" spans="1:25">
      <c r="A240" s="60" t="s">
        <v>192</v>
      </c>
      <c r="B240" s="60" t="s">
        <v>608</v>
      </c>
      <c r="C240" s="60" t="s">
        <v>388</v>
      </c>
      <c r="D240" s="60" t="s">
        <v>388</v>
      </c>
      <c r="E240" s="60">
        <v>51402</v>
      </c>
      <c r="F240" s="52">
        <v>825</v>
      </c>
      <c r="G240" s="52">
        <v>824</v>
      </c>
      <c r="H240" s="52">
        <v>834</v>
      </c>
      <c r="I240" s="52">
        <v>920</v>
      </c>
      <c r="J240" s="52">
        <v>929</v>
      </c>
      <c r="K240" s="52">
        <v>939</v>
      </c>
      <c r="L240" s="52">
        <v>0</v>
      </c>
      <c r="M240" s="52">
        <v>0</v>
      </c>
      <c r="N240" s="52">
        <v>0</v>
      </c>
      <c r="O240" s="52">
        <v>0</v>
      </c>
      <c r="P240" s="52">
        <v>0</v>
      </c>
      <c r="Q240" s="52">
        <v>0</v>
      </c>
      <c r="R240" s="60">
        <v>0</v>
      </c>
      <c r="S240" s="60">
        <v>0</v>
      </c>
      <c r="T240" s="60">
        <v>0</v>
      </c>
      <c r="U240" s="65">
        <v>0</v>
      </c>
      <c r="V240" s="65">
        <v>0</v>
      </c>
      <c r="W240" s="65">
        <v>0</v>
      </c>
      <c r="X240" s="60">
        <v>0</v>
      </c>
      <c r="Y240" s="65">
        <v>0</v>
      </c>
    </row>
    <row r="241" spans="1:25">
      <c r="A241" s="60" t="s">
        <v>192</v>
      </c>
      <c r="B241" s="60" t="s">
        <v>609</v>
      </c>
      <c r="C241" s="60" t="s">
        <v>461</v>
      </c>
      <c r="D241" s="60" t="s">
        <v>461</v>
      </c>
      <c r="E241" s="60">
        <v>51501</v>
      </c>
      <c r="F241" s="52">
        <v>13369</v>
      </c>
      <c r="G241" s="52">
        <v>13611</v>
      </c>
      <c r="H241" s="52">
        <v>13888</v>
      </c>
      <c r="I241" s="52">
        <v>16382</v>
      </c>
      <c r="J241" s="52">
        <v>16659</v>
      </c>
      <c r="K241" s="52">
        <v>16936</v>
      </c>
      <c r="L241" s="52">
        <v>67</v>
      </c>
      <c r="M241" s="52">
        <v>14</v>
      </c>
      <c r="N241" s="52">
        <v>0</v>
      </c>
      <c r="O241" s="52">
        <v>0</v>
      </c>
      <c r="P241" s="52">
        <v>172</v>
      </c>
      <c r="Q241" s="52">
        <v>113</v>
      </c>
      <c r="R241" s="60">
        <v>0.5</v>
      </c>
      <c r="S241" s="60">
        <v>0.1</v>
      </c>
      <c r="T241" s="60">
        <v>0</v>
      </c>
      <c r="U241" s="65">
        <v>0.19999999999999998</v>
      </c>
      <c r="V241" s="65">
        <v>0</v>
      </c>
      <c r="W241" s="65">
        <v>1.0319917440660475</v>
      </c>
      <c r="X241" s="60">
        <v>0.667779632721202</v>
      </c>
      <c r="Y241" s="65">
        <v>0.56659045892908322</v>
      </c>
    </row>
    <row r="242" spans="1:25">
      <c r="A242" s="60" t="s">
        <v>192</v>
      </c>
      <c r="B242" s="60" t="s">
        <v>610</v>
      </c>
      <c r="C242" s="60" t="s">
        <v>389</v>
      </c>
      <c r="D242" s="60" t="s">
        <v>389</v>
      </c>
      <c r="E242" s="60">
        <v>51601</v>
      </c>
      <c r="F242" s="52">
        <v>701</v>
      </c>
      <c r="G242" s="52">
        <v>724</v>
      </c>
      <c r="H242" s="52">
        <v>764</v>
      </c>
      <c r="I242" s="52">
        <v>1124</v>
      </c>
      <c r="J242" s="52">
        <v>1164</v>
      </c>
      <c r="K242" s="52">
        <v>1204</v>
      </c>
      <c r="L242" s="52">
        <v>0</v>
      </c>
      <c r="M242" s="52">
        <v>0</v>
      </c>
      <c r="N242" s="52">
        <v>0</v>
      </c>
      <c r="O242" s="52">
        <v>0</v>
      </c>
      <c r="P242" s="52">
        <v>0</v>
      </c>
      <c r="Q242" s="52">
        <v>0</v>
      </c>
      <c r="R242" s="60">
        <v>0</v>
      </c>
      <c r="S242" s="60">
        <v>0</v>
      </c>
      <c r="T242" s="60">
        <v>0</v>
      </c>
      <c r="U242" s="65">
        <v>0</v>
      </c>
      <c r="V242" s="65">
        <v>0</v>
      </c>
      <c r="W242" s="65">
        <v>0</v>
      </c>
      <c r="X242" s="60">
        <v>0</v>
      </c>
      <c r="Y242" s="65">
        <v>0</v>
      </c>
    </row>
    <row r="243" spans="1:25">
      <c r="A243" s="60" t="s">
        <v>128</v>
      </c>
      <c r="B243" s="60" t="s">
        <v>552</v>
      </c>
      <c r="C243" s="60" t="s">
        <v>128</v>
      </c>
      <c r="D243" s="60" t="s">
        <v>128</v>
      </c>
      <c r="E243" s="60">
        <v>60101</v>
      </c>
      <c r="F243" s="52">
        <v>59698</v>
      </c>
      <c r="G243" s="52">
        <v>61716</v>
      </c>
      <c r="H243" s="52">
        <v>64053</v>
      </c>
      <c r="I243" s="52">
        <v>85086</v>
      </c>
      <c r="J243" s="52">
        <v>87423</v>
      </c>
      <c r="K243" s="52">
        <v>89760</v>
      </c>
      <c r="L243" s="52">
        <v>2149</v>
      </c>
      <c r="M243" s="52">
        <v>1454</v>
      </c>
      <c r="N243" s="52">
        <v>1665</v>
      </c>
      <c r="O243" s="52">
        <v>740</v>
      </c>
      <c r="P243" s="52">
        <v>771</v>
      </c>
      <c r="Q243" s="52">
        <v>1167</v>
      </c>
      <c r="R243" s="60">
        <v>3.6000000000000005</v>
      </c>
      <c r="S243" s="60">
        <v>2.3558080000000001</v>
      </c>
      <c r="T243" s="60">
        <v>2.6</v>
      </c>
      <c r="U243" s="65">
        <v>2.8519360000000002</v>
      </c>
      <c r="V243" s="65">
        <v>0.87028595109821805</v>
      </c>
      <c r="W243" s="65">
        <v>0.88211708099438657</v>
      </c>
      <c r="X243" s="60">
        <v>1.3</v>
      </c>
      <c r="Y243" s="65">
        <v>1.0174676773642017</v>
      </c>
    </row>
    <row r="244" spans="1:25">
      <c r="A244" s="60" t="s">
        <v>128</v>
      </c>
      <c r="B244" s="60" t="s">
        <v>611</v>
      </c>
      <c r="C244" s="60" t="s">
        <v>232</v>
      </c>
      <c r="D244" s="60" t="s">
        <v>232</v>
      </c>
      <c r="E244" s="60">
        <v>60201</v>
      </c>
      <c r="F244" s="52">
        <v>6229</v>
      </c>
      <c r="G244" s="52">
        <v>6316</v>
      </c>
      <c r="H244" s="52">
        <v>6460</v>
      </c>
      <c r="I244" s="52">
        <v>7754</v>
      </c>
      <c r="J244" s="52">
        <v>7898</v>
      </c>
      <c r="K244" s="52">
        <v>8042</v>
      </c>
      <c r="L244" s="52">
        <v>62</v>
      </c>
      <c r="M244" s="52">
        <v>51</v>
      </c>
      <c r="N244" s="52">
        <v>32</v>
      </c>
      <c r="O244" s="52">
        <v>6</v>
      </c>
      <c r="P244" s="52">
        <v>15</v>
      </c>
      <c r="Q244" s="52">
        <v>8</v>
      </c>
      <c r="R244" s="60">
        <v>1</v>
      </c>
      <c r="S244" s="60">
        <v>0.8</v>
      </c>
      <c r="T244" s="60">
        <v>0.5</v>
      </c>
      <c r="U244" s="65">
        <v>0.76666666666666661</v>
      </c>
      <c r="V244" s="65">
        <v>8.2304526748971193E-2</v>
      </c>
      <c r="W244" s="65">
        <v>0.18433179723502305</v>
      </c>
      <c r="X244" s="60">
        <v>0.1</v>
      </c>
      <c r="Y244" s="65">
        <v>0.12221210799466475</v>
      </c>
    </row>
    <row r="245" spans="1:25">
      <c r="A245" s="60" t="s">
        <v>128</v>
      </c>
      <c r="B245" s="60" t="s">
        <v>611</v>
      </c>
      <c r="C245" s="60" t="s">
        <v>390</v>
      </c>
      <c r="D245" s="60" t="s">
        <v>390</v>
      </c>
      <c r="E245" s="60">
        <v>60202</v>
      </c>
      <c r="F245" s="52">
        <v>9883</v>
      </c>
      <c r="G245" s="52">
        <v>10093</v>
      </c>
      <c r="H245" s="52">
        <v>10269</v>
      </c>
      <c r="I245" s="52">
        <v>11849</v>
      </c>
      <c r="J245" s="52">
        <v>12024</v>
      </c>
      <c r="K245" s="52">
        <v>12200</v>
      </c>
      <c r="L245" s="52">
        <v>0</v>
      </c>
      <c r="M245" s="52">
        <v>0</v>
      </c>
      <c r="N245" s="52">
        <v>0</v>
      </c>
      <c r="O245" s="52">
        <v>0</v>
      </c>
      <c r="P245" s="52">
        <v>0</v>
      </c>
      <c r="Q245" s="52">
        <v>0</v>
      </c>
      <c r="R245" s="60">
        <v>0</v>
      </c>
      <c r="S245" s="60">
        <v>0</v>
      </c>
      <c r="T245" s="60">
        <v>0</v>
      </c>
      <c r="U245" s="65">
        <v>0</v>
      </c>
      <c r="V245" s="65">
        <v>0</v>
      </c>
      <c r="W245" s="65">
        <v>0</v>
      </c>
      <c r="X245" s="60">
        <v>0</v>
      </c>
      <c r="Y245" s="65">
        <v>0</v>
      </c>
    </row>
    <row r="246" spans="1:25">
      <c r="A246" s="60" t="s">
        <v>128</v>
      </c>
      <c r="B246" s="60" t="s">
        <v>612</v>
      </c>
      <c r="C246" s="60" t="s">
        <v>183</v>
      </c>
      <c r="D246" s="60" t="s">
        <v>183</v>
      </c>
      <c r="E246" s="60">
        <v>60301</v>
      </c>
      <c r="F246" s="52">
        <v>23584</v>
      </c>
      <c r="G246" s="52">
        <v>24047</v>
      </c>
      <c r="H246" s="52">
        <v>24659</v>
      </c>
      <c r="I246" s="52">
        <v>30165</v>
      </c>
      <c r="J246" s="52">
        <v>30777</v>
      </c>
      <c r="K246" s="52">
        <v>31389</v>
      </c>
      <c r="L246" s="52">
        <v>5542</v>
      </c>
      <c r="M246" s="52">
        <v>7094</v>
      </c>
      <c r="N246" s="52">
        <v>3970</v>
      </c>
      <c r="O246" s="52">
        <v>6302</v>
      </c>
      <c r="P246" s="52">
        <v>4708</v>
      </c>
      <c r="Q246" s="52">
        <v>2386</v>
      </c>
      <c r="R246" s="60">
        <v>23.5</v>
      </c>
      <c r="S246" s="60">
        <v>29.5</v>
      </c>
      <c r="T246" s="60">
        <v>16.100000000000001</v>
      </c>
      <c r="U246" s="65">
        <v>23.033333333333331</v>
      </c>
      <c r="V246" s="65">
        <v>20.892857142857146</v>
      </c>
      <c r="W246" s="65">
        <v>15.297450424929179</v>
      </c>
      <c r="X246" s="60">
        <v>7.6</v>
      </c>
      <c r="Y246" s="65">
        <v>14.59676918926211</v>
      </c>
    </row>
    <row r="247" spans="1:25">
      <c r="A247" s="60" t="s">
        <v>128</v>
      </c>
      <c r="B247" s="60" t="s">
        <v>612</v>
      </c>
      <c r="C247" s="60" t="s">
        <v>181</v>
      </c>
      <c r="D247" s="60" t="s">
        <v>181</v>
      </c>
      <c r="E247" s="60">
        <v>60302</v>
      </c>
      <c r="F247" s="52">
        <v>4092</v>
      </c>
      <c r="G247" s="52">
        <v>4308</v>
      </c>
      <c r="H247" s="52">
        <v>4423</v>
      </c>
      <c r="I247" s="52">
        <v>5462</v>
      </c>
      <c r="J247" s="52">
        <v>5578</v>
      </c>
      <c r="K247" s="52">
        <v>5693</v>
      </c>
      <c r="L247" s="52">
        <v>1035</v>
      </c>
      <c r="M247" s="52">
        <v>332</v>
      </c>
      <c r="N247" s="52">
        <v>509</v>
      </c>
      <c r="O247" s="52">
        <v>61</v>
      </c>
      <c r="P247" s="52">
        <v>178</v>
      </c>
      <c r="Q247" s="52">
        <v>85</v>
      </c>
      <c r="R247" s="60">
        <v>25.3</v>
      </c>
      <c r="S247" s="60">
        <v>7.7</v>
      </c>
      <c r="T247" s="60">
        <v>11.5</v>
      </c>
      <c r="U247" s="65">
        <v>14.833333333333334</v>
      </c>
      <c r="V247" s="65">
        <v>1.1240164855751216</v>
      </c>
      <c r="W247" s="65">
        <v>3.1871016122984623</v>
      </c>
      <c r="X247" s="60">
        <v>1.5</v>
      </c>
      <c r="Y247" s="65">
        <v>1.9370393659578611</v>
      </c>
    </row>
    <row r="248" spans="1:25">
      <c r="A248" s="60" t="s">
        <v>128</v>
      </c>
      <c r="B248" s="60" t="s">
        <v>612</v>
      </c>
      <c r="C248" s="60" t="s">
        <v>202</v>
      </c>
      <c r="D248" s="60" t="s">
        <v>202</v>
      </c>
      <c r="E248" s="60">
        <v>60303</v>
      </c>
      <c r="F248" s="52">
        <v>10940</v>
      </c>
      <c r="G248" s="52">
        <v>11503</v>
      </c>
      <c r="H248" s="52">
        <v>11992</v>
      </c>
      <c r="I248" s="52">
        <v>16391</v>
      </c>
      <c r="J248" s="52">
        <v>16880</v>
      </c>
      <c r="K248" s="52">
        <v>17369</v>
      </c>
      <c r="L248" s="52">
        <v>492</v>
      </c>
      <c r="M248" s="52">
        <v>851</v>
      </c>
      <c r="N248" s="52">
        <v>468</v>
      </c>
      <c r="O248" s="52">
        <v>372</v>
      </c>
      <c r="P248" s="52">
        <v>458</v>
      </c>
      <c r="Q248" s="52">
        <v>382</v>
      </c>
      <c r="R248" s="60">
        <v>4.5</v>
      </c>
      <c r="S248" s="60">
        <v>7.4000000000000012</v>
      </c>
      <c r="T248" s="60">
        <v>3.9</v>
      </c>
      <c r="U248" s="65">
        <v>5.2666666666666675</v>
      </c>
      <c r="V248" s="65">
        <v>2.2688356164383561</v>
      </c>
      <c r="W248" s="65">
        <v>2.7111574556830034</v>
      </c>
      <c r="X248" s="60">
        <v>2.2000000000000002</v>
      </c>
      <c r="Y248" s="65">
        <v>2.3933310240404535</v>
      </c>
    </row>
    <row r="249" spans="1:25">
      <c r="A249" s="60" t="s">
        <v>128</v>
      </c>
      <c r="B249" s="60" t="s">
        <v>613</v>
      </c>
      <c r="C249" s="60" t="s">
        <v>249</v>
      </c>
      <c r="D249" s="60" t="s">
        <v>413</v>
      </c>
      <c r="E249" s="60">
        <v>60401</v>
      </c>
      <c r="F249" s="52">
        <v>4777</v>
      </c>
      <c r="G249" s="52">
        <v>4885</v>
      </c>
      <c r="H249" s="52">
        <v>5047</v>
      </c>
      <c r="I249" s="52">
        <v>6508</v>
      </c>
      <c r="J249" s="52">
        <v>6671</v>
      </c>
      <c r="K249" s="52">
        <v>6833</v>
      </c>
      <c r="L249" s="52">
        <v>38</v>
      </c>
      <c r="M249" s="52">
        <v>24</v>
      </c>
      <c r="N249" s="52">
        <v>15</v>
      </c>
      <c r="O249" s="52">
        <v>26</v>
      </c>
      <c r="P249" s="52">
        <v>16</v>
      </c>
      <c r="Q249" s="52">
        <v>27</v>
      </c>
      <c r="R249" s="60">
        <v>0.8</v>
      </c>
      <c r="S249" s="60">
        <v>0.5</v>
      </c>
      <c r="T249" s="60">
        <v>0.3</v>
      </c>
      <c r="U249" s="65">
        <v>0.53333333333333333</v>
      </c>
      <c r="V249" s="65">
        <v>0.39735099337748342</v>
      </c>
      <c r="W249" s="65">
        <v>0.23786869647954328</v>
      </c>
      <c r="X249" s="60">
        <v>0.4</v>
      </c>
      <c r="Y249" s="65">
        <v>0.34507322995234224</v>
      </c>
    </row>
    <row r="250" spans="1:25">
      <c r="A250" s="60" t="s">
        <v>128</v>
      </c>
      <c r="B250" s="60" t="s">
        <v>613</v>
      </c>
      <c r="C250" s="60" t="s">
        <v>255</v>
      </c>
      <c r="D250" s="60" t="s">
        <v>255</v>
      </c>
      <c r="E250" s="60">
        <v>60402</v>
      </c>
      <c r="F250" s="52">
        <v>1880</v>
      </c>
      <c r="G250" s="52">
        <v>1879</v>
      </c>
      <c r="H250" s="52">
        <v>1898</v>
      </c>
      <c r="I250" s="52">
        <v>2065</v>
      </c>
      <c r="J250" s="52">
        <v>2083</v>
      </c>
      <c r="K250" s="52">
        <v>2102</v>
      </c>
      <c r="L250" s="52">
        <v>23</v>
      </c>
      <c r="M250" s="52">
        <v>9</v>
      </c>
      <c r="N250" s="52">
        <v>2</v>
      </c>
      <c r="O250" s="52">
        <v>29</v>
      </c>
      <c r="P250" s="52">
        <v>6</v>
      </c>
      <c r="Q250" s="52">
        <v>0</v>
      </c>
      <c r="R250" s="60">
        <v>1.2</v>
      </c>
      <c r="S250" s="60">
        <v>0.5</v>
      </c>
      <c r="T250" s="60">
        <v>0.1</v>
      </c>
      <c r="U250" s="65">
        <v>0.6</v>
      </c>
      <c r="V250" s="65">
        <v>1.4218009478672986</v>
      </c>
      <c r="W250" s="65">
        <v>0.26619343389529726</v>
      </c>
      <c r="X250" s="60">
        <v>0</v>
      </c>
      <c r="Y250" s="65">
        <v>0.56266479392086532</v>
      </c>
    </row>
    <row r="251" spans="1:25">
      <c r="A251" s="60" t="s">
        <v>128</v>
      </c>
      <c r="B251" s="60" t="s">
        <v>614</v>
      </c>
      <c r="C251" s="60" t="s">
        <v>233</v>
      </c>
      <c r="D251" s="60" t="s">
        <v>615</v>
      </c>
      <c r="E251" s="60">
        <v>60501</v>
      </c>
      <c r="F251" s="52">
        <v>7655</v>
      </c>
      <c r="G251" s="52">
        <v>7874</v>
      </c>
      <c r="H251" s="52">
        <v>8292</v>
      </c>
      <c r="I251" s="52">
        <v>12053</v>
      </c>
      <c r="J251" s="52">
        <v>12471</v>
      </c>
      <c r="K251" s="52">
        <v>12889</v>
      </c>
      <c r="L251" s="52">
        <v>184</v>
      </c>
      <c r="M251" s="52">
        <v>63</v>
      </c>
      <c r="N251" s="52">
        <v>100</v>
      </c>
      <c r="O251" s="52">
        <v>112</v>
      </c>
      <c r="P251" s="52">
        <v>98</v>
      </c>
      <c r="Q251" s="52">
        <v>103</v>
      </c>
      <c r="R251" s="60">
        <v>2.4</v>
      </c>
      <c r="S251" s="60">
        <v>0.8</v>
      </c>
      <c r="T251" s="60">
        <v>1.2</v>
      </c>
      <c r="U251" s="65">
        <v>1.4666666666666668</v>
      </c>
      <c r="V251" s="65">
        <v>0.93131548311990686</v>
      </c>
      <c r="W251" s="65">
        <v>0.78805474906677719</v>
      </c>
      <c r="X251" s="60">
        <v>0.8</v>
      </c>
      <c r="Y251" s="65">
        <v>0.83979007739556144</v>
      </c>
    </row>
    <row r="252" spans="1:25">
      <c r="A252" s="60" t="s">
        <v>128</v>
      </c>
      <c r="B252" s="60" t="s">
        <v>614</v>
      </c>
      <c r="C252" s="60" t="s">
        <v>222</v>
      </c>
      <c r="D252" s="60" t="s">
        <v>222</v>
      </c>
      <c r="E252" s="60">
        <v>60502</v>
      </c>
      <c r="F252" s="52">
        <v>4199</v>
      </c>
      <c r="G252" s="52">
        <v>4281</v>
      </c>
      <c r="H252" s="52">
        <v>4299</v>
      </c>
      <c r="I252" s="52">
        <v>4464</v>
      </c>
      <c r="J252" s="52">
        <v>4482</v>
      </c>
      <c r="K252" s="52">
        <v>4500</v>
      </c>
      <c r="L252" s="52">
        <v>63</v>
      </c>
      <c r="M252" s="52">
        <v>184</v>
      </c>
      <c r="N252" s="52">
        <v>43</v>
      </c>
      <c r="O252" s="52">
        <v>41</v>
      </c>
      <c r="P252" s="52">
        <v>45</v>
      </c>
      <c r="Q252" s="52">
        <v>72</v>
      </c>
      <c r="R252" s="60">
        <v>1.5</v>
      </c>
      <c r="S252" s="60">
        <v>4.3</v>
      </c>
      <c r="T252" s="60">
        <v>1</v>
      </c>
      <c r="U252" s="65">
        <v>2.2666666666666666</v>
      </c>
      <c r="V252" s="65">
        <v>0.92790863668807988</v>
      </c>
      <c r="W252" s="65">
        <v>1.0094212651413188</v>
      </c>
      <c r="X252" s="60">
        <v>1.6</v>
      </c>
      <c r="Y252" s="65">
        <v>1.1791099672764662</v>
      </c>
    </row>
    <row r="253" spans="1:25">
      <c r="A253" s="60" t="s">
        <v>128</v>
      </c>
      <c r="B253" s="60" t="s">
        <v>616</v>
      </c>
      <c r="C253" s="60" t="s">
        <v>336</v>
      </c>
      <c r="D253" s="60" t="s">
        <v>336</v>
      </c>
      <c r="E253" s="60">
        <v>60601</v>
      </c>
      <c r="F253" s="52">
        <v>6049</v>
      </c>
      <c r="G253" s="52">
        <v>6222</v>
      </c>
      <c r="H253" s="52">
        <v>6380</v>
      </c>
      <c r="I253" s="52">
        <v>7802</v>
      </c>
      <c r="J253" s="52">
        <v>7960</v>
      </c>
      <c r="K253" s="52">
        <v>8118</v>
      </c>
      <c r="L253" s="52">
        <v>188</v>
      </c>
      <c r="M253" s="52">
        <v>224</v>
      </c>
      <c r="N253" s="52">
        <v>447</v>
      </c>
      <c r="O253" s="52">
        <v>500</v>
      </c>
      <c r="P253" s="52">
        <v>766</v>
      </c>
      <c r="Q253" s="52">
        <v>609</v>
      </c>
      <c r="R253" s="60">
        <v>3.1</v>
      </c>
      <c r="S253" s="60">
        <v>3.6000000000000005</v>
      </c>
      <c r="T253" s="60">
        <v>7.0000000000000009</v>
      </c>
      <c r="U253" s="65">
        <v>4.5666666666666673</v>
      </c>
      <c r="V253" s="65">
        <v>6.4118372379778048</v>
      </c>
      <c r="W253" s="65">
        <v>9.6273291925465845</v>
      </c>
      <c r="X253" s="60">
        <v>7.5</v>
      </c>
      <c r="Y253" s="65">
        <v>7.8463888101747967</v>
      </c>
    </row>
    <row r="254" spans="1:25">
      <c r="A254" s="60" t="s">
        <v>139</v>
      </c>
      <c r="B254" s="60" t="s">
        <v>617</v>
      </c>
      <c r="C254" s="60" t="s">
        <v>458</v>
      </c>
      <c r="D254" s="60" t="s">
        <v>458</v>
      </c>
      <c r="E254" s="60">
        <v>70101</v>
      </c>
      <c r="F254" s="52">
        <v>375588</v>
      </c>
      <c r="G254" s="52">
        <v>386109</v>
      </c>
      <c r="H254" s="52">
        <v>396763</v>
      </c>
      <c r="I254" s="52">
        <v>492648</v>
      </c>
      <c r="J254" s="52">
        <v>503302</v>
      </c>
      <c r="K254" s="52">
        <v>513956</v>
      </c>
      <c r="L254" s="52">
        <v>0</v>
      </c>
      <c r="M254" s="52">
        <v>0</v>
      </c>
      <c r="N254" s="52">
        <v>0</v>
      </c>
      <c r="O254" s="52">
        <v>4265</v>
      </c>
      <c r="P254" s="52">
        <v>0</v>
      </c>
      <c r="Q254" s="52">
        <v>0</v>
      </c>
      <c r="R254" s="60">
        <v>0</v>
      </c>
      <c r="S254" s="60">
        <v>0</v>
      </c>
      <c r="T254" s="60">
        <v>0</v>
      </c>
      <c r="U254" s="65">
        <v>0</v>
      </c>
      <c r="V254" s="65">
        <v>0.86580086580086579</v>
      </c>
      <c r="W254" s="65">
        <v>0</v>
      </c>
      <c r="X254" s="60">
        <v>0</v>
      </c>
      <c r="Y254" s="65">
        <v>0.28860028860028858</v>
      </c>
    </row>
    <row r="255" spans="1:25">
      <c r="A255" s="60" t="s">
        <v>139</v>
      </c>
      <c r="B255" s="60" t="s">
        <v>617</v>
      </c>
      <c r="C255" s="60" t="s">
        <v>391</v>
      </c>
      <c r="D255" s="60" t="s">
        <v>391</v>
      </c>
      <c r="E255" s="60">
        <v>70102</v>
      </c>
      <c r="F255" s="52">
        <v>13360</v>
      </c>
      <c r="G255" s="52">
        <v>13916</v>
      </c>
      <c r="H255" s="52">
        <v>15567</v>
      </c>
      <c r="I255" s="52">
        <v>30426</v>
      </c>
      <c r="J255" s="52">
        <v>32077</v>
      </c>
      <c r="K255" s="52">
        <v>33728</v>
      </c>
      <c r="L255" s="52">
        <v>0</v>
      </c>
      <c r="M255" s="52">
        <v>0</v>
      </c>
      <c r="N255" s="52">
        <v>0</v>
      </c>
      <c r="O255" s="52">
        <v>0</v>
      </c>
      <c r="P255" s="52">
        <v>0</v>
      </c>
      <c r="Q255" s="52">
        <v>0</v>
      </c>
      <c r="R255" s="60">
        <v>0</v>
      </c>
      <c r="S255" s="60">
        <v>0</v>
      </c>
      <c r="T255" s="60">
        <v>0</v>
      </c>
      <c r="U255" s="65">
        <v>0</v>
      </c>
      <c r="V255" s="65">
        <v>0</v>
      </c>
      <c r="W255" s="65">
        <v>0</v>
      </c>
      <c r="X255" s="60">
        <v>0</v>
      </c>
      <c r="Y255" s="65">
        <v>0</v>
      </c>
    </row>
    <row r="256" spans="1:25">
      <c r="A256" s="60" t="s">
        <v>139</v>
      </c>
      <c r="B256" s="60" t="s">
        <v>617</v>
      </c>
      <c r="C256" s="60" t="s">
        <v>392</v>
      </c>
      <c r="D256" s="60" t="s">
        <v>618</v>
      </c>
      <c r="E256" s="60">
        <v>70103</v>
      </c>
      <c r="F256" s="52">
        <v>4211</v>
      </c>
      <c r="G256" s="52">
        <v>4379</v>
      </c>
      <c r="H256" s="52">
        <v>4691</v>
      </c>
      <c r="I256" s="52">
        <v>7496</v>
      </c>
      <c r="J256" s="52">
        <v>7807</v>
      </c>
      <c r="K256" s="52">
        <v>8119</v>
      </c>
      <c r="L256" s="52">
        <v>0</v>
      </c>
      <c r="M256" s="52">
        <v>0</v>
      </c>
      <c r="N256" s="52">
        <v>0</v>
      </c>
      <c r="O256" s="52">
        <v>0</v>
      </c>
      <c r="P256" s="52">
        <v>0</v>
      </c>
      <c r="Q256" s="52">
        <v>0</v>
      </c>
      <c r="R256" s="60">
        <v>0</v>
      </c>
      <c r="S256" s="60">
        <v>0</v>
      </c>
      <c r="T256" s="60">
        <v>0</v>
      </c>
      <c r="U256" s="65">
        <v>0</v>
      </c>
      <c r="V256" s="65">
        <v>0</v>
      </c>
      <c r="W256" s="65">
        <v>0</v>
      </c>
      <c r="X256" s="60">
        <v>0</v>
      </c>
      <c r="Y256" s="65">
        <v>0</v>
      </c>
    </row>
    <row r="257" spans="1:25">
      <c r="A257" s="60" t="s">
        <v>139</v>
      </c>
      <c r="B257" s="60" t="s">
        <v>617</v>
      </c>
      <c r="C257" s="60" t="s">
        <v>489</v>
      </c>
      <c r="D257" s="60" t="s">
        <v>489</v>
      </c>
      <c r="E257" s="60">
        <v>70104</v>
      </c>
      <c r="F257" s="52">
        <v>21685</v>
      </c>
      <c r="G257" s="52">
        <v>22965</v>
      </c>
      <c r="H257" s="52">
        <v>24879</v>
      </c>
      <c r="I257" s="52">
        <v>42103</v>
      </c>
      <c r="J257" s="52">
        <v>44016</v>
      </c>
      <c r="K257" s="52">
        <v>45930</v>
      </c>
      <c r="L257" s="52">
        <v>0</v>
      </c>
      <c r="M257" s="52">
        <v>0</v>
      </c>
      <c r="N257" s="52">
        <v>0</v>
      </c>
      <c r="O257" s="52">
        <v>0</v>
      </c>
      <c r="P257" s="52">
        <v>1591</v>
      </c>
      <c r="Q257" s="52">
        <v>5512</v>
      </c>
      <c r="R257" s="60">
        <v>0</v>
      </c>
      <c r="S257" s="60">
        <v>0</v>
      </c>
      <c r="T257" s="60">
        <v>0</v>
      </c>
      <c r="U257" s="65">
        <v>0</v>
      </c>
      <c r="V257" s="65">
        <v>0</v>
      </c>
      <c r="W257" s="65">
        <v>3.6144578313253009</v>
      </c>
      <c r="X257" s="60">
        <v>11.999999999999998</v>
      </c>
      <c r="Y257" s="65">
        <v>5.2048192771084336</v>
      </c>
    </row>
    <row r="258" spans="1:25">
      <c r="A258" s="60" t="s">
        <v>139</v>
      </c>
      <c r="B258" s="60" t="s">
        <v>617</v>
      </c>
      <c r="C258" s="60" t="s">
        <v>487</v>
      </c>
      <c r="D258" s="60" t="s">
        <v>487</v>
      </c>
      <c r="E258" s="60">
        <v>70105</v>
      </c>
      <c r="F258" s="52">
        <v>13013</v>
      </c>
      <c r="G258" s="52">
        <v>13424</v>
      </c>
      <c r="H258" s="52">
        <v>13932</v>
      </c>
      <c r="I258" s="52">
        <v>18499</v>
      </c>
      <c r="J258" s="52">
        <v>19007</v>
      </c>
      <c r="K258" s="52">
        <v>19514</v>
      </c>
      <c r="L258" s="52">
        <v>0</v>
      </c>
      <c r="M258" s="52">
        <v>1289</v>
      </c>
      <c r="N258" s="52">
        <v>306</v>
      </c>
      <c r="O258" s="52">
        <v>578</v>
      </c>
      <c r="P258" s="52">
        <v>2242</v>
      </c>
      <c r="Q258" s="52">
        <v>2342</v>
      </c>
      <c r="R258" s="60">
        <v>0</v>
      </c>
      <c r="S258" s="60">
        <v>9.6</v>
      </c>
      <c r="T258" s="60">
        <v>2.2000000000000002</v>
      </c>
      <c r="U258" s="65">
        <v>3.9333333333333336</v>
      </c>
      <c r="V258" s="65">
        <v>3.125</v>
      </c>
      <c r="W258" s="65">
        <v>11.796246648793565</v>
      </c>
      <c r="X258" s="60">
        <v>12</v>
      </c>
      <c r="Y258" s="65">
        <v>8.9737488829311882</v>
      </c>
    </row>
    <row r="259" spans="1:25">
      <c r="A259" s="60" t="s">
        <v>139</v>
      </c>
      <c r="B259" s="60" t="s">
        <v>393</v>
      </c>
      <c r="C259" s="60" t="s">
        <v>393</v>
      </c>
      <c r="D259" s="60" t="s">
        <v>393</v>
      </c>
      <c r="E259" s="60">
        <v>70201</v>
      </c>
      <c r="F259" s="52">
        <v>23849</v>
      </c>
      <c r="G259" s="52">
        <v>25279</v>
      </c>
      <c r="H259" s="52">
        <v>27141</v>
      </c>
      <c r="I259" s="52">
        <v>43894</v>
      </c>
      <c r="J259" s="52">
        <v>45756</v>
      </c>
      <c r="K259" s="52">
        <v>47617</v>
      </c>
      <c r="L259" s="52">
        <v>0</v>
      </c>
      <c r="M259" s="52">
        <v>0</v>
      </c>
      <c r="N259" s="52">
        <v>0</v>
      </c>
      <c r="O259" s="52">
        <v>0</v>
      </c>
      <c r="P259" s="52">
        <v>0</v>
      </c>
      <c r="Q259" s="52">
        <v>0</v>
      </c>
      <c r="R259" s="60">
        <v>0</v>
      </c>
      <c r="S259" s="60">
        <v>0</v>
      </c>
      <c r="T259" s="60">
        <v>0</v>
      </c>
      <c r="U259" s="65">
        <v>0</v>
      </c>
      <c r="V259" s="65">
        <v>0</v>
      </c>
      <c r="W259" s="65">
        <v>0</v>
      </c>
      <c r="X259" s="60">
        <v>0</v>
      </c>
      <c r="Y259" s="65">
        <v>0</v>
      </c>
    </row>
    <row r="260" spans="1:25">
      <c r="A260" s="60" t="s">
        <v>139</v>
      </c>
      <c r="B260" s="60" t="s">
        <v>393</v>
      </c>
      <c r="C260" s="60" t="s">
        <v>394</v>
      </c>
      <c r="D260" s="60" t="s">
        <v>394</v>
      </c>
      <c r="E260" s="60">
        <v>70202</v>
      </c>
      <c r="F260" s="52">
        <v>2723</v>
      </c>
      <c r="G260" s="52">
        <v>2756</v>
      </c>
      <c r="H260" s="52">
        <v>2815</v>
      </c>
      <c r="I260" s="52">
        <v>3344</v>
      </c>
      <c r="J260" s="52">
        <v>3403</v>
      </c>
      <c r="K260" s="52">
        <v>3462</v>
      </c>
      <c r="L260" s="52">
        <v>0</v>
      </c>
      <c r="M260" s="52">
        <v>0</v>
      </c>
      <c r="N260" s="52">
        <v>0</v>
      </c>
      <c r="O260" s="52">
        <v>0</v>
      </c>
      <c r="P260" s="52">
        <v>0</v>
      </c>
      <c r="Q260" s="52">
        <v>0</v>
      </c>
      <c r="R260" s="60">
        <v>0</v>
      </c>
      <c r="S260" s="60">
        <v>0</v>
      </c>
      <c r="T260" s="60">
        <v>0</v>
      </c>
      <c r="U260" s="65">
        <v>0</v>
      </c>
      <c r="V260" s="65">
        <v>0</v>
      </c>
      <c r="W260" s="65">
        <v>0</v>
      </c>
      <c r="X260" s="60">
        <v>0</v>
      </c>
      <c r="Y260" s="65">
        <v>0</v>
      </c>
    </row>
    <row r="261" spans="1:25">
      <c r="A261" s="60" t="s">
        <v>139</v>
      </c>
      <c r="B261" s="60" t="s">
        <v>619</v>
      </c>
      <c r="C261" s="60" t="s">
        <v>395</v>
      </c>
      <c r="D261" s="60" t="s">
        <v>429</v>
      </c>
      <c r="E261" s="60">
        <v>70301</v>
      </c>
      <c r="F261" s="52">
        <v>11261</v>
      </c>
      <c r="G261" s="52">
        <v>11610</v>
      </c>
      <c r="H261" s="52">
        <v>12267</v>
      </c>
      <c r="I261" s="52">
        <v>18178</v>
      </c>
      <c r="J261" s="52">
        <v>18834</v>
      </c>
      <c r="K261" s="52">
        <v>19491</v>
      </c>
      <c r="L261" s="52">
        <v>0</v>
      </c>
      <c r="M261" s="52">
        <v>0</v>
      </c>
      <c r="N261" s="52">
        <v>0</v>
      </c>
      <c r="O261" s="52">
        <v>0</v>
      </c>
      <c r="P261" s="52">
        <v>0</v>
      </c>
      <c r="Q261" s="52">
        <v>0</v>
      </c>
      <c r="R261" s="60">
        <v>0</v>
      </c>
      <c r="S261" s="60">
        <v>0</v>
      </c>
      <c r="T261" s="60">
        <v>0</v>
      </c>
      <c r="U261" s="65">
        <v>0</v>
      </c>
      <c r="V261" s="65">
        <v>0</v>
      </c>
      <c r="W261" s="65">
        <v>0</v>
      </c>
      <c r="X261" s="60">
        <v>0</v>
      </c>
      <c r="Y261" s="65">
        <v>0</v>
      </c>
    </row>
    <row r="262" spans="1:25">
      <c r="A262" s="60" t="s">
        <v>139</v>
      </c>
      <c r="B262" s="60" t="s">
        <v>619</v>
      </c>
      <c r="C262" s="60" t="s">
        <v>396</v>
      </c>
      <c r="D262" s="60" t="s">
        <v>620</v>
      </c>
      <c r="E262" s="60">
        <v>70302</v>
      </c>
      <c r="F262" s="52">
        <v>2969</v>
      </c>
      <c r="G262" s="52">
        <v>3048</v>
      </c>
      <c r="H262" s="52">
        <v>3227</v>
      </c>
      <c r="I262" s="52">
        <v>4837</v>
      </c>
      <c r="J262" s="52">
        <v>5016</v>
      </c>
      <c r="K262" s="52">
        <v>5195</v>
      </c>
      <c r="L262" s="52">
        <v>0</v>
      </c>
      <c r="M262" s="52">
        <v>0</v>
      </c>
      <c r="N262" s="52">
        <v>0</v>
      </c>
      <c r="O262" s="52">
        <v>0</v>
      </c>
      <c r="P262" s="52">
        <v>0</v>
      </c>
      <c r="Q262" s="52">
        <v>0</v>
      </c>
      <c r="R262" s="60">
        <v>0</v>
      </c>
      <c r="S262" s="60">
        <v>0</v>
      </c>
      <c r="T262" s="60">
        <v>0</v>
      </c>
      <c r="U262" s="65">
        <v>0</v>
      </c>
      <c r="V262" s="65">
        <v>0</v>
      </c>
      <c r="W262" s="65">
        <v>0</v>
      </c>
      <c r="X262" s="60">
        <v>0</v>
      </c>
      <c r="Y262" s="65">
        <v>0</v>
      </c>
    </row>
    <row r="263" spans="1:25">
      <c r="A263" s="60" t="s">
        <v>139</v>
      </c>
      <c r="B263" s="60" t="s">
        <v>619</v>
      </c>
      <c r="C263" s="60" t="s">
        <v>397</v>
      </c>
      <c r="D263" s="60" t="s">
        <v>397</v>
      </c>
      <c r="E263" s="60">
        <v>70303</v>
      </c>
      <c r="F263" s="52">
        <v>1236</v>
      </c>
      <c r="G263" s="52">
        <v>1280</v>
      </c>
      <c r="H263" s="52">
        <v>1440</v>
      </c>
      <c r="I263" s="52">
        <v>2883</v>
      </c>
      <c r="J263" s="52">
        <v>3044</v>
      </c>
      <c r="K263" s="52">
        <v>3204</v>
      </c>
      <c r="L263" s="52">
        <v>0</v>
      </c>
      <c r="M263" s="52">
        <v>0</v>
      </c>
      <c r="N263" s="52">
        <v>0</v>
      </c>
      <c r="O263" s="52">
        <v>0</v>
      </c>
      <c r="P263" s="52">
        <v>0</v>
      </c>
      <c r="Q263" s="52">
        <v>0</v>
      </c>
      <c r="R263" s="60">
        <v>0</v>
      </c>
      <c r="S263" s="60">
        <v>0</v>
      </c>
      <c r="T263" s="60">
        <v>0</v>
      </c>
      <c r="U263" s="65">
        <v>0</v>
      </c>
      <c r="V263" s="65">
        <v>0</v>
      </c>
      <c r="W263" s="65">
        <v>0</v>
      </c>
      <c r="X263" s="60">
        <v>0</v>
      </c>
      <c r="Y263" s="65">
        <v>0</v>
      </c>
    </row>
    <row r="264" spans="1:25">
      <c r="A264" s="60" t="s">
        <v>139</v>
      </c>
      <c r="B264" s="60" t="s">
        <v>621</v>
      </c>
      <c r="C264" s="60" t="s">
        <v>398</v>
      </c>
      <c r="D264" s="60" t="s">
        <v>398</v>
      </c>
      <c r="E264" s="60">
        <v>70401</v>
      </c>
      <c r="F264" s="52">
        <v>3664</v>
      </c>
      <c r="G264" s="52">
        <v>3721</v>
      </c>
      <c r="H264" s="52">
        <v>3808</v>
      </c>
      <c r="I264" s="52">
        <v>4593</v>
      </c>
      <c r="J264" s="52">
        <v>4680</v>
      </c>
      <c r="K264" s="52">
        <v>4767</v>
      </c>
      <c r="L264" s="52">
        <v>0</v>
      </c>
      <c r="M264" s="52">
        <v>0</v>
      </c>
      <c r="N264" s="52">
        <v>0</v>
      </c>
      <c r="O264" s="52">
        <v>0</v>
      </c>
      <c r="P264" s="52">
        <v>0</v>
      </c>
      <c r="Q264" s="52">
        <v>0</v>
      </c>
      <c r="R264" s="60">
        <v>0</v>
      </c>
      <c r="S264" s="60">
        <v>0</v>
      </c>
      <c r="T264" s="60">
        <v>0</v>
      </c>
      <c r="U264" s="65">
        <v>0</v>
      </c>
      <c r="V264" s="65">
        <v>0</v>
      </c>
      <c r="W264" s="65">
        <v>0</v>
      </c>
      <c r="X264" s="60">
        <v>0</v>
      </c>
      <c r="Y264" s="65">
        <v>0</v>
      </c>
    </row>
    <row r="265" spans="1:25">
      <c r="A265" s="60" t="s">
        <v>139</v>
      </c>
      <c r="B265" s="60" t="s">
        <v>621</v>
      </c>
      <c r="C265" s="60" t="s">
        <v>399</v>
      </c>
      <c r="D265" s="60" t="s">
        <v>399</v>
      </c>
      <c r="E265" s="60">
        <v>70402</v>
      </c>
      <c r="F265" s="52">
        <v>4781</v>
      </c>
      <c r="G265" s="52">
        <v>4901</v>
      </c>
      <c r="H265" s="52">
        <v>5034</v>
      </c>
      <c r="I265" s="52">
        <v>6229</v>
      </c>
      <c r="J265" s="52">
        <v>6361</v>
      </c>
      <c r="K265" s="52">
        <v>6494</v>
      </c>
      <c r="L265" s="52">
        <v>0</v>
      </c>
      <c r="M265" s="52">
        <v>0</v>
      </c>
      <c r="N265" s="52">
        <v>0</v>
      </c>
      <c r="O265" s="52">
        <v>0</v>
      </c>
      <c r="P265" s="52">
        <v>0</v>
      </c>
      <c r="Q265" s="52">
        <v>0</v>
      </c>
      <c r="R265" s="60">
        <v>0</v>
      </c>
      <c r="S265" s="60">
        <v>0</v>
      </c>
      <c r="T265" s="60">
        <v>0</v>
      </c>
      <c r="U265" s="65">
        <v>0</v>
      </c>
      <c r="V265" s="65">
        <v>0</v>
      </c>
      <c r="W265" s="65">
        <v>0</v>
      </c>
      <c r="X265" s="60">
        <v>0</v>
      </c>
      <c r="Y265" s="65">
        <v>0</v>
      </c>
    </row>
    <row r="266" spans="1:25">
      <c r="A266" s="60" t="s">
        <v>139</v>
      </c>
      <c r="B266" s="60" t="s">
        <v>621</v>
      </c>
      <c r="C266" s="60" t="s">
        <v>400</v>
      </c>
      <c r="D266" s="60" t="s">
        <v>400</v>
      </c>
      <c r="E266" s="60">
        <v>70403</v>
      </c>
      <c r="F266" s="52">
        <v>15238</v>
      </c>
      <c r="G266" s="52">
        <v>16020</v>
      </c>
      <c r="H266" s="52">
        <v>16646</v>
      </c>
      <c r="I266" s="52">
        <v>22283</v>
      </c>
      <c r="J266" s="52">
        <v>22909</v>
      </c>
      <c r="K266" s="52">
        <v>23535</v>
      </c>
      <c r="L266" s="52">
        <v>0</v>
      </c>
      <c r="M266" s="52">
        <v>0</v>
      </c>
      <c r="N266" s="52">
        <v>0</v>
      </c>
      <c r="O266" s="52">
        <v>0</v>
      </c>
      <c r="P266" s="52">
        <v>0</v>
      </c>
      <c r="Q266" s="52">
        <v>0</v>
      </c>
      <c r="R266" s="60">
        <v>0</v>
      </c>
      <c r="S266" s="60">
        <v>0</v>
      </c>
      <c r="T266" s="60">
        <v>0</v>
      </c>
      <c r="U266" s="65">
        <v>0</v>
      </c>
      <c r="V266" s="65">
        <v>0</v>
      </c>
      <c r="W266" s="65">
        <v>0</v>
      </c>
      <c r="X266" s="60">
        <v>0</v>
      </c>
      <c r="Y266" s="65">
        <v>0</v>
      </c>
    </row>
    <row r="267" spans="1:25">
      <c r="A267" s="60" t="s">
        <v>139</v>
      </c>
      <c r="B267" s="60" t="s">
        <v>621</v>
      </c>
      <c r="C267" s="60" t="s">
        <v>401</v>
      </c>
      <c r="D267" s="60" t="s">
        <v>401</v>
      </c>
      <c r="E267" s="60">
        <v>70404</v>
      </c>
      <c r="F267" s="52">
        <v>2172</v>
      </c>
      <c r="G267" s="52">
        <v>2175</v>
      </c>
      <c r="H267" s="52">
        <v>2275</v>
      </c>
      <c r="I267" s="52">
        <v>3176</v>
      </c>
      <c r="J267" s="52">
        <v>3276</v>
      </c>
      <c r="K267" s="52">
        <v>3376</v>
      </c>
      <c r="L267" s="52">
        <v>0</v>
      </c>
      <c r="M267" s="52">
        <v>0</v>
      </c>
      <c r="N267" s="52">
        <v>0</v>
      </c>
      <c r="O267" s="52">
        <v>0</v>
      </c>
      <c r="P267" s="52">
        <v>0</v>
      </c>
      <c r="Q267" s="52">
        <v>0</v>
      </c>
      <c r="R267" s="60">
        <v>0</v>
      </c>
      <c r="S267" s="60">
        <v>0</v>
      </c>
      <c r="T267" s="60">
        <v>0</v>
      </c>
      <c r="U267" s="65">
        <v>0</v>
      </c>
      <c r="V267" s="65">
        <v>0</v>
      </c>
      <c r="W267" s="65">
        <v>0</v>
      </c>
      <c r="X267" s="60">
        <v>0</v>
      </c>
      <c r="Y267" s="65">
        <v>0</v>
      </c>
    </row>
    <row r="268" spans="1:25">
      <c r="A268" s="60" t="s">
        <v>139</v>
      </c>
      <c r="B268" s="60" t="s">
        <v>622</v>
      </c>
      <c r="C268" s="60" t="s">
        <v>402</v>
      </c>
      <c r="D268" s="60" t="s">
        <v>623</v>
      </c>
      <c r="E268" s="60">
        <v>70501</v>
      </c>
      <c r="F268" s="52">
        <v>4654</v>
      </c>
      <c r="G268" s="52">
        <v>4804</v>
      </c>
      <c r="H268" s="52">
        <v>5481</v>
      </c>
      <c r="I268" s="52">
        <v>11572</v>
      </c>
      <c r="J268" s="52">
        <v>12249</v>
      </c>
      <c r="K268" s="52">
        <v>12926</v>
      </c>
      <c r="L268" s="52">
        <v>0</v>
      </c>
      <c r="M268" s="52">
        <v>0</v>
      </c>
      <c r="N268" s="52">
        <v>0</v>
      </c>
      <c r="O268" s="52">
        <v>0</v>
      </c>
      <c r="P268" s="52">
        <v>0</v>
      </c>
      <c r="Q268" s="52">
        <v>0</v>
      </c>
      <c r="R268" s="60">
        <v>0</v>
      </c>
      <c r="S268" s="60">
        <v>0</v>
      </c>
      <c r="T268" s="60">
        <v>0</v>
      </c>
      <c r="U268" s="65">
        <v>0</v>
      </c>
      <c r="V268" s="65">
        <v>0</v>
      </c>
      <c r="W268" s="65">
        <v>0</v>
      </c>
      <c r="X268" s="60">
        <v>0</v>
      </c>
      <c r="Y268" s="65">
        <v>0</v>
      </c>
    </row>
    <row r="269" spans="1:25">
      <c r="A269" s="60" t="s">
        <v>139</v>
      </c>
      <c r="B269" s="60" t="s">
        <v>622</v>
      </c>
      <c r="C269" s="60" t="s">
        <v>403</v>
      </c>
      <c r="D269" s="60" t="s">
        <v>403</v>
      </c>
      <c r="E269" s="60">
        <v>70502</v>
      </c>
      <c r="F269" s="52">
        <v>7231</v>
      </c>
      <c r="G269" s="52">
        <v>7414</v>
      </c>
      <c r="H269" s="52">
        <v>8000</v>
      </c>
      <c r="I269" s="52">
        <v>13273</v>
      </c>
      <c r="J269" s="52">
        <v>13859</v>
      </c>
      <c r="K269" s="52">
        <v>14445</v>
      </c>
      <c r="L269" s="52">
        <v>0</v>
      </c>
      <c r="M269" s="52">
        <v>0</v>
      </c>
      <c r="N269" s="52">
        <v>0</v>
      </c>
      <c r="O269" s="52">
        <v>0</v>
      </c>
      <c r="P269" s="52">
        <v>0</v>
      </c>
      <c r="Q269" s="52">
        <v>0</v>
      </c>
      <c r="R269" s="60">
        <v>0</v>
      </c>
      <c r="S269" s="60">
        <v>0</v>
      </c>
      <c r="T269" s="60">
        <v>0</v>
      </c>
      <c r="U269" s="65">
        <v>0</v>
      </c>
      <c r="V269" s="65">
        <v>0</v>
      </c>
      <c r="W269" s="65">
        <v>0</v>
      </c>
      <c r="X269" s="60">
        <v>0</v>
      </c>
      <c r="Y269" s="65">
        <v>0</v>
      </c>
    </row>
    <row r="270" spans="1:25">
      <c r="A270" s="60" t="s">
        <v>139</v>
      </c>
      <c r="B270" s="60" t="s">
        <v>622</v>
      </c>
      <c r="C270" s="60" t="s">
        <v>404</v>
      </c>
      <c r="D270" s="60" t="s">
        <v>404</v>
      </c>
      <c r="E270" s="60">
        <v>70503</v>
      </c>
      <c r="F270" s="52">
        <v>4158</v>
      </c>
      <c r="G270" s="52">
        <v>4252</v>
      </c>
      <c r="H270" s="52">
        <v>4510</v>
      </c>
      <c r="I270" s="52">
        <v>6831</v>
      </c>
      <c r="J270" s="52">
        <v>7089</v>
      </c>
      <c r="K270" s="52">
        <v>7347</v>
      </c>
      <c r="L270" s="52">
        <v>0</v>
      </c>
      <c r="M270" s="52">
        <v>0</v>
      </c>
      <c r="N270" s="52">
        <v>0</v>
      </c>
      <c r="O270" s="52">
        <v>0</v>
      </c>
      <c r="P270" s="52">
        <v>0</v>
      </c>
      <c r="Q270" s="52">
        <v>0</v>
      </c>
      <c r="R270" s="60">
        <v>0</v>
      </c>
      <c r="S270" s="60">
        <v>0</v>
      </c>
      <c r="T270" s="60">
        <v>0</v>
      </c>
      <c r="U270" s="65">
        <v>0</v>
      </c>
      <c r="V270" s="65">
        <v>0</v>
      </c>
      <c r="W270" s="65">
        <v>0</v>
      </c>
      <c r="X270" s="60">
        <v>0</v>
      </c>
      <c r="Y270" s="65">
        <v>0</v>
      </c>
    </row>
    <row r="271" spans="1:25">
      <c r="A271" s="60" t="s">
        <v>139</v>
      </c>
      <c r="B271" s="60" t="s">
        <v>624</v>
      </c>
      <c r="C271" s="60" t="s">
        <v>405</v>
      </c>
      <c r="D271" s="60" t="s">
        <v>405</v>
      </c>
      <c r="E271" s="60">
        <v>70601</v>
      </c>
      <c r="F271" s="52">
        <v>4441</v>
      </c>
      <c r="G271" s="52">
        <v>4519</v>
      </c>
      <c r="H271" s="52">
        <v>4672</v>
      </c>
      <c r="I271" s="52">
        <v>6052</v>
      </c>
      <c r="J271" s="52">
        <v>6205</v>
      </c>
      <c r="K271" s="52">
        <v>6358</v>
      </c>
      <c r="L271" s="52">
        <v>0</v>
      </c>
      <c r="M271" s="52">
        <v>0</v>
      </c>
      <c r="N271" s="52">
        <v>0</v>
      </c>
      <c r="O271" s="52">
        <v>0</v>
      </c>
      <c r="P271" s="52">
        <v>0</v>
      </c>
      <c r="Q271" s="52">
        <v>0</v>
      </c>
      <c r="R271" s="60">
        <v>0</v>
      </c>
      <c r="S271" s="60">
        <v>0</v>
      </c>
      <c r="T271" s="60">
        <v>0</v>
      </c>
      <c r="U271" s="65">
        <v>0</v>
      </c>
      <c r="V271" s="65">
        <v>0</v>
      </c>
      <c r="W271" s="65">
        <v>0</v>
      </c>
      <c r="X271" s="60">
        <v>0</v>
      </c>
      <c r="Y271" s="65">
        <v>0</v>
      </c>
    </row>
    <row r="272" spans="1:25">
      <c r="A272" s="60" t="s">
        <v>139</v>
      </c>
      <c r="B272" s="60" t="s">
        <v>624</v>
      </c>
      <c r="C272" s="60" t="s">
        <v>406</v>
      </c>
      <c r="D272" s="60" t="s">
        <v>425</v>
      </c>
      <c r="E272" s="60">
        <v>70602</v>
      </c>
      <c r="F272" s="52">
        <v>5185</v>
      </c>
      <c r="G272" s="52">
        <v>5361</v>
      </c>
      <c r="H272" s="52">
        <v>5530</v>
      </c>
      <c r="I272" s="52">
        <v>7050</v>
      </c>
      <c r="J272" s="52">
        <v>7219</v>
      </c>
      <c r="K272" s="52">
        <v>7388</v>
      </c>
      <c r="L272" s="52">
        <v>0</v>
      </c>
      <c r="M272" s="52">
        <v>0</v>
      </c>
      <c r="N272" s="52">
        <v>0</v>
      </c>
      <c r="O272" s="52">
        <v>0</v>
      </c>
      <c r="P272" s="52">
        <v>0</v>
      </c>
      <c r="Q272" s="52">
        <v>0</v>
      </c>
      <c r="R272" s="60">
        <v>0</v>
      </c>
      <c r="S272" s="60">
        <v>0</v>
      </c>
      <c r="T272" s="60">
        <v>0</v>
      </c>
      <c r="U272" s="65">
        <v>0</v>
      </c>
      <c r="V272" s="65">
        <v>0</v>
      </c>
      <c r="W272" s="65">
        <v>0</v>
      </c>
      <c r="X272" s="60">
        <v>0</v>
      </c>
      <c r="Y272" s="65">
        <v>0</v>
      </c>
    </row>
    <row r="273" spans="1:25">
      <c r="A273" s="60" t="s">
        <v>139</v>
      </c>
      <c r="B273" s="60" t="s">
        <v>624</v>
      </c>
      <c r="C273" s="60" t="s">
        <v>407</v>
      </c>
      <c r="D273" s="60" t="s">
        <v>407</v>
      </c>
      <c r="E273" s="60">
        <v>70603</v>
      </c>
      <c r="F273" s="52">
        <v>1387</v>
      </c>
      <c r="G273" s="52">
        <v>1393</v>
      </c>
      <c r="H273" s="52">
        <v>1438</v>
      </c>
      <c r="I273" s="52">
        <v>1838</v>
      </c>
      <c r="J273" s="52">
        <v>1883</v>
      </c>
      <c r="K273" s="52">
        <v>1927</v>
      </c>
      <c r="L273" s="52">
        <v>0</v>
      </c>
      <c r="M273" s="52">
        <v>0</v>
      </c>
      <c r="N273" s="52">
        <v>0</v>
      </c>
      <c r="O273" s="52">
        <v>0</v>
      </c>
      <c r="P273" s="52">
        <v>0</v>
      </c>
      <c r="Q273" s="52">
        <v>0</v>
      </c>
      <c r="R273" s="60">
        <v>0</v>
      </c>
      <c r="S273" s="60">
        <v>0</v>
      </c>
      <c r="T273" s="60">
        <v>0</v>
      </c>
      <c r="U273" s="65">
        <v>0</v>
      </c>
      <c r="V273" s="65">
        <v>0</v>
      </c>
      <c r="W273" s="65">
        <v>0</v>
      </c>
      <c r="X273" s="60">
        <v>0</v>
      </c>
      <c r="Y273" s="65">
        <v>0</v>
      </c>
    </row>
    <row r="274" spans="1:25">
      <c r="A274" s="60" t="s">
        <v>139</v>
      </c>
      <c r="B274" s="60" t="s">
        <v>625</v>
      </c>
      <c r="C274" s="60" t="s">
        <v>220</v>
      </c>
      <c r="D274" s="60" t="s">
        <v>220</v>
      </c>
      <c r="E274" s="60">
        <v>70701</v>
      </c>
      <c r="F274" s="52">
        <v>1136</v>
      </c>
      <c r="G274" s="52">
        <v>1146</v>
      </c>
      <c r="H274" s="52">
        <v>1214</v>
      </c>
      <c r="I274" s="52">
        <v>1826</v>
      </c>
      <c r="J274" s="52">
        <v>1894</v>
      </c>
      <c r="K274" s="52">
        <v>1962</v>
      </c>
      <c r="L274" s="52">
        <v>40</v>
      </c>
      <c r="M274" s="52">
        <v>0</v>
      </c>
      <c r="N274" s="52">
        <v>0</v>
      </c>
      <c r="O274" s="52">
        <v>0</v>
      </c>
      <c r="P274" s="52">
        <v>0</v>
      </c>
      <c r="Q274" s="52">
        <v>0</v>
      </c>
      <c r="R274" s="60">
        <v>3.5000000000000004</v>
      </c>
      <c r="S274" s="60">
        <v>0</v>
      </c>
      <c r="T274" s="60">
        <v>0</v>
      </c>
      <c r="U274" s="65">
        <v>1.1666666666666667</v>
      </c>
      <c r="V274" s="65">
        <v>0</v>
      </c>
      <c r="W274" s="65">
        <v>0</v>
      </c>
      <c r="X274" s="60">
        <v>0</v>
      </c>
      <c r="Y274" s="65">
        <v>0</v>
      </c>
    </row>
    <row r="275" spans="1:25">
      <c r="A275" s="60" t="s">
        <v>139</v>
      </c>
      <c r="B275" s="60" t="s">
        <v>625</v>
      </c>
      <c r="C275" s="60" t="s">
        <v>626</v>
      </c>
      <c r="D275" s="60" t="s">
        <v>626</v>
      </c>
      <c r="E275" s="60">
        <v>70702</v>
      </c>
      <c r="F275" s="52">
        <v>6559</v>
      </c>
      <c r="G275" s="52">
        <v>6760</v>
      </c>
      <c r="H275" s="52">
        <v>7123</v>
      </c>
      <c r="I275" s="52">
        <v>10394</v>
      </c>
      <c r="J275" s="52">
        <v>10758</v>
      </c>
      <c r="K275" s="52">
        <v>11121</v>
      </c>
      <c r="L275" s="52">
        <v>853</v>
      </c>
      <c r="M275" s="52">
        <v>385</v>
      </c>
      <c r="N275" s="52">
        <v>0</v>
      </c>
      <c r="O275" s="52">
        <v>0</v>
      </c>
      <c r="P275" s="52">
        <v>0</v>
      </c>
      <c r="Q275" s="52">
        <v>0</v>
      </c>
      <c r="R275" s="60">
        <v>13</v>
      </c>
      <c r="S275" s="60">
        <v>5.7</v>
      </c>
      <c r="T275" s="60">
        <v>0</v>
      </c>
      <c r="U275" s="65">
        <v>6.2333333333333334</v>
      </c>
      <c r="V275" s="65">
        <v>0</v>
      </c>
      <c r="W275" s="65">
        <v>0</v>
      </c>
      <c r="X275" s="60">
        <v>0</v>
      </c>
      <c r="Y275" s="65">
        <v>0</v>
      </c>
    </row>
    <row r="276" spans="1:25">
      <c r="A276" s="60" t="s">
        <v>139</v>
      </c>
      <c r="B276" s="60" t="s">
        <v>625</v>
      </c>
      <c r="C276" s="60" t="s">
        <v>203</v>
      </c>
      <c r="D276" s="60" t="s">
        <v>203</v>
      </c>
      <c r="E276" s="60">
        <v>70703</v>
      </c>
      <c r="F276" s="52">
        <v>5859</v>
      </c>
      <c r="G276" s="52">
        <v>6022</v>
      </c>
      <c r="H276" s="52">
        <v>6330</v>
      </c>
      <c r="I276" s="52">
        <v>9105</v>
      </c>
      <c r="J276" s="52">
        <v>9414</v>
      </c>
      <c r="K276" s="52">
        <v>9722</v>
      </c>
      <c r="L276" s="52">
        <v>299</v>
      </c>
      <c r="M276" s="52">
        <v>199</v>
      </c>
      <c r="N276" s="52">
        <v>0</v>
      </c>
      <c r="O276" s="52">
        <v>0</v>
      </c>
      <c r="P276" s="52">
        <v>0</v>
      </c>
      <c r="Q276" s="52">
        <v>0</v>
      </c>
      <c r="R276" s="60">
        <v>5.0999999999999996</v>
      </c>
      <c r="S276" s="60">
        <v>3.3000000000000003</v>
      </c>
      <c r="T276" s="60">
        <v>0</v>
      </c>
      <c r="U276" s="65">
        <v>2.8000000000000003</v>
      </c>
      <c r="V276" s="65">
        <v>0</v>
      </c>
      <c r="W276" s="65">
        <v>0</v>
      </c>
      <c r="X276" s="60">
        <v>0</v>
      </c>
      <c r="Y276" s="65">
        <v>0</v>
      </c>
    </row>
    <row r="277" spans="1:25">
      <c r="A277" s="60" t="s">
        <v>139</v>
      </c>
      <c r="B277" s="60" t="s">
        <v>625</v>
      </c>
      <c r="C277" s="60" t="s">
        <v>495</v>
      </c>
      <c r="D277" s="60" t="s">
        <v>495</v>
      </c>
      <c r="E277" s="60">
        <v>70704</v>
      </c>
      <c r="F277" s="52">
        <v>1091</v>
      </c>
      <c r="G277" s="52">
        <v>1125</v>
      </c>
      <c r="H277" s="52">
        <v>1149</v>
      </c>
      <c r="I277" s="52">
        <v>1369</v>
      </c>
      <c r="J277" s="52">
        <v>1394</v>
      </c>
      <c r="K277" s="52">
        <v>1418</v>
      </c>
      <c r="L277" s="52">
        <v>104</v>
      </c>
      <c r="M277" s="52">
        <v>0</v>
      </c>
      <c r="N277" s="52">
        <v>0</v>
      </c>
      <c r="O277" s="52">
        <v>0</v>
      </c>
      <c r="P277" s="52">
        <v>765</v>
      </c>
      <c r="Q277" s="52">
        <v>330</v>
      </c>
      <c r="R277" s="60">
        <v>9.5</v>
      </c>
      <c r="S277" s="60">
        <v>0</v>
      </c>
      <c r="T277" s="60">
        <v>0</v>
      </c>
      <c r="U277" s="65">
        <v>3.1666666666666665</v>
      </c>
      <c r="V277" s="65">
        <v>0</v>
      </c>
      <c r="W277" s="65">
        <v>54.852320675105481</v>
      </c>
      <c r="X277" s="60">
        <v>23.3</v>
      </c>
      <c r="Y277" s="65">
        <v>26.050773558368494</v>
      </c>
    </row>
    <row r="278" spans="1:25">
      <c r="A278" s="60" t="s">
        <v>139</v>
      </c>
      <c r="B278" s="60" t="s">
        <v>625</v>
      </c>
      <c r="C278" s="60" t="s">
        <v>627</v>
      </c>
      <c r="D278" s="60" t="s">
        <v>627</v>
      </c>
      <c r="E278" s="60">
        <v>70705</v>
      </c>
      <c r="F278" s="52">
        <v>2471</v>
      </c>
      <c r="G278" s="52">
        <v>2494</v>
      </c>
      <c r="H278" s="52">
        <v>2628</v>
      </c>
      <c r="I278" s="52">
        <v>3829</v>
      </c>
      <c r="J278" s="52">
        <v>3963</v>
      </c>
      <c r="K278" s="52">
        <v>4096</v>
      </c>
      <c r="L278" s="52">
        <v>361</v>
      </c>
      <c r="M278" s="52">
        <v>272</v>
      </c>
      <c r="N278" s="52">
        <v>194</v>
      </c>
      <c r="O278" s="52">
        <v>26</v>
      </c>
      <c r="P278" s="52">
        <v>0</v>
      </c>
      <c r="Q278" s="52">
        <v>0</v>
      </c>
      <c r="R278" s="60">
        <v>14.6</v>
      </c>
      <c r="S278" s="60">
        <v>10.9</v>
      </c>
      <c r="T278" s="60">
        <v>7.4000000000000012</v>
      </c>
      <c r="U278" s="65">
        <v>10.966666666666667</v>
      </c>
      <c r="V278" s="65">
        <v>0.67888662593346916</v>
      </c>
      <c r="W278" s="65">
        <v>0</v>
      </c>
      <c r="X278" s="60">
        <v>0</v>
      </c>
      <c r="Y278" s="65">
        <v>0.22629554197782306</v>
      </c>
    </row>
    <row r="279" spans="1:25">
      <c r="A279" s="60" t="s">
        <v>139</v>
      </c>
      <c r="B279" s="60" t="s">
        <v>625</v>
      </c>
      <c r="C279" s="60" t="s">
        <v>206</v>
      </c>
      <c r="D279" s="60" t="s">
        <v>206</v>
      </c>
      <c r="E279" s="60">
        <v>70706</v>
      </c>
      <c r="F279" s="52">
        <v>8853</v>
      </c>
      <c r="G279" s="52">
        <v>9032</v>
      </c>
      <c r="H279" s="52">
        <v>9196</v>
      </c>
      <c r="I279" s="52">
        <v>10668</v>
      </c>
      <c r="J279" s="52">
        <v>10831</v>
      </c>
      <c r="K279" s="52">
        <v>10995</v>
      </c>
      <c r="L279" s="52">
        <v>620</v>
      </c>
      <c r="M279" s="52">
        <v>0</v>
      </c>
      <c r="N279" s="52">
        <v>0</v>
      </c>
      <c r="O279" s="52">
        <v>0</v>
      </c>
      <c r="P279" s="52">
        <v>0</v>
      </c>
      <c r="Q279" s="52">
        <v>0</v>
      </c>
      <c r="R279" s="60">
        <v>7.0000000000000009</v>
      </c>
      <c r="S279" s="60">
        <v>0</v>
      </c>
      <c r="T279" s="60">
        <v>0</v>
      </c>
      <c r="U279" s="65">
        <v>2.3333333333333335</v>
      </c>
      <c r="V279" s="65">
        <v>0</v>
      </c>
      <c r="W279" s="65">
        <v>0</v>
      </c>
      <c r="X279" s="60">
        <v>0</v>
      </c>
      <c r="Y279" s="65">
        <v>0</v>
      </c>
    </row>
    <row r="280" spans="1:25">
      <c r="A280" s="60" t="s">
        <v>139</v>
      </c>
      <c r="B280" s="60" t="s">
        <v>625</v>
      </c>
      <c r="C280" s="60" t="s">
        <v>189</v>
      </c>
      <c r="D280" s="60" t="s">
        <v>189</v>
      </c>
      <c r="E280" s="60">
        <v>70707</v>
      </c>
      <c r="F280" s="52">
        <v>1053</v>
      </c>
      <c r="G280" s="52">
        <v>1077</v>
      </c>
      <c r="H280" s="52">
        <v>1120</v>
      </c>
      <c r="I280" s="52">
        <v>1502</v>
      </c>
      <c r="J280" s="52">
        <v>1545</v>
      </c>
      <c r="K280" s="52">
        <v>1587</v>
      </c>
      <c r="L280" s="52">
        <v>155</v>
      </c>
      <c r="M280" s="52">
        <v>90</v>
      </c>
      <c r="N280" s="52">
        <v>0</v>
      </c>
      <c r="O280" s="52">
        <v>129</v>
      </c>
      <c r="P280" s="52">
        <v>0</v>
      </c>
      <c r="Q280" s="52">
        <v>0</v>
      </c>
      <c r="R280" s="60">
        <v>14.7</v>
      </c>
      <c r="S280" s="60">
        <v>8.4</v>
      </c>
      <c r="T280" s="60">
        <v>0</v>
      </c>
      <c r="U280" s="65">
        <v>7.7</v>
      </c>
      <c r="V280" s="65">
        <v>8.6021505376344081</v>
      </c>
      <c r="W280" s="65">
        <v>0</v>
      </c>
      <c r="X280" s="60">
        <v>0</v>
      </c>
      <c r="Y280" s="65">
        <v>2.8673835125448028</v>
      </c>
    </row>
    <row r="281" spans="1:25">
      <c r="A281" s="60" t="s">
        <v>139</v>
      </c>
      <c r="B281" s="60" t="s">
        <v>194</v>
      </c>
      <c r="C281" s="60" t="s">
        <v>194</v>
      </c>
      <c r="D281" s="60" t="s">
        <v>194</v>
      </c>
      <c r="E281" s="60">
        <v>70801</v>
      </c>
      <c r="F281" s="52">
        <v>6800</v>
      </c>
      <c r="G281" s="52">
        <v>6902</v>
      </c>
      <c r="H281" s="52">
        <v>7112</v>
      </c>
      <c r="I281" s="52">
        <v>9000</v>
      </c>
      <c r="J281" s="52">
        <v>9210</v>
      </c>
      <c r="K281" s="52">
        <v>9420</v>
      </c>
      <c r="L281" s="52">
        <v>129</v>
      </c>
      <c r="M281" s="52">
        <v>669</v>
      </c>
      <c r="N281" s="52">
        <v>270</v>
      </c>
      <c r="O281" s="52">
        <v>0</v>
      </c>
      <c r="P281" s="52">
        <v>138</v>
      </c>
      <c r="Q281" s="52">
        <v>66</v>
      </c>
      <c r="R281" s="60">
        <v>1.8999999999999997</v>
      </c>
      <c r="S281" s="60">
        <v>9.6999999999999993</v>
      </c>
      <c r="T281" s="60">
        <v>3.8</v>
      </c>
      <c r="U281" s="65">
        <v>5.1333333333333329</v>
      </c>
      <c r="V281" s="65">
        <v>0</v>
      </c>
      <c r="W281" s="65">
        <v>1.5037593984962405</v>
      </c>
      <c r="X281" s="60">
        <v>0.70000000000000007</v>
      </c>
      <c r="Y281" s="65">
        <v>0.73458646616541357</v>
      </c>
    </row>
    <row r="282" spans="1:25">
      <c r="A282" s="60" t="s">
        <v>139</v>
      </c>
      <c r="B282" s="60" t="s">
        <v>194</v>
      </c>
      <c r="C282" s="60" t="s">
        <v>467</v>
      </c>
      <c r="D282" s="60" t="s">
        <v>467</v>
      </c>
      <c r="E282" s="60">
        <v>70802</v>
      </c>
      <c r="F282" s="52">
        <v>712</v>
      </c>
      <c r="G282" s="52">
        <v>711</v>
      </c>
      <c r="H282" s="52">
        <v>731</v>
      </c>
      <c r="I282" s="52">
        <v>907</v>
      </c>
      <c r="J282" s="52">
        <v>926</v>
      </c>
      <c r="K282" s="52">
        <v>946</v>
      </c>
      <c r="L282" s="52">
        <v>0</v>
      </c>
      <c r="M282" s="52">
        <v>0</v>
      </c>
      <c r="N282" s="52">
        <v>0</v>
      </c>
      <c r="O282" s="52">
        <v>0</v>
      </c>
      <c r="P282" s="52">
        <v>20</v>
      </c>
      <c r="Q282" s="52">
        <v>0</v>
      </c>
      <c r="R282" s="60">
        <v>0</v>
      </c>
      <c r="S282" s="60">
        <v>0</v>
      </c>
      <c r="T282" s="60">
        <v>0</v>
      </c>
      <c r="U282" s="65">
        <v>0</v>
      </c>
      <c r="V282" s="65">
        <v>0</v>
      </c>
      <c r="W282" s="65">
        <v>2.1505376344086025</v>
      </c>
      <c r="X282" s="60">
        <v>0</v>
      </c>
      <c r="Y282" s="65">
        <v>0.71684587813620082</v>
      </c>
    </row>
    <row r="283" spans="1:25">
      <c r="A283" s="60" t="s">
        <v>139</v>
      </c>
      <c r="B283" s="60" t="s">
        <v>194</v>
      </c>
      <c r="C283" s="60" t="s">
        <v>628</v>
      </c>
      <c r="D283" s="60" t="s">
        <v>201</v>
      </c>
      <c r="E283" s="60">
        <v>70803</v>
      </c>
      <c r="F283" s="52">
        <v>1266</v>
      </c>
      <c r="G283" s="52">
        <v>1271</v>
      </c>
      <c r="H283" s="52">
        <v>1305</v>
      </c>
      <c r="I283" s="52">
        <v>1609</v>
      </c>
      <c r="J283" s="52">
        <v>1643</v>
      </c>
      <c r="K283" s="52">
        <v>1677</v>
      </c>
      <c r="L283" s="52">
        <v>0</v>
      </c>
      <c r="M283" s="52">
        <v>0</v>
      </c>
      <c r="N283" s="52">
        <v>119</v>
      </c>
      <c r="O283" s="52">
        <v>0</v>
      </c>
      <c r="P283" s="52">
        <v>0</v>
      </c>
      <c r="Q283" s="52">
        <v>0</v>
      </c>
      <c r="R283" s="60">
        <v>0</v>
      </c>
      <c r="S283" s="60">
        <v>0</v>
      </c>
      <c r="T283" s="60">
        <v>9.1</v>
      </c>
      <c r="U283" s="65">
        <v>3.0333333333333332</v>
      </c>
      <c r="V283" s="65">
        <v>0</v>
      </c>
      <c r="W283" s="65">
        <v>0</v>
      </c>
      <c r="X283" s="60">
        <v>0</v>
      </c>
      <c r="Y283" s="65">
        <v>0</v>
      </c>
    </row>
    <row r="284" spans="1:25">
      <c r="A284" s="60" t="s">
        <v>139</v>
      </c>
      <c r="B284" s="60" t="s">
        <v>194</v>
      </c>
      <c r="C284" s="60" t="s">
        <v>241</v>
      </c>
      <c r="D284" s="60" t="s">
        <v>241</v>
      </c>
      <c r="E284" s="60">
        <v>70804</v>
      </c>
      <c r="F284" s="52">
        <v>708</v>
      </c>
      <c r="G284" s="52">
        <v>720</v>
      </c>
      <c r="H284" s="52">
        <v>734</v>
      </c>
      <c r="I284" s="52">
        <v>863</v>
      </c>
      <c r="J284" s="52">
        <v>877</v>
      </c>
      <c r="K284" s="52">
        <v>891</v>
      </c>
      <c r="L284" s="52">
        <v>8</v>
      </c>
      <c r="M284" s="52">
        <v>0</v>
      </c>
      <c r="N284" s="52">
        <v>0</v>
      </c>
      <c r="O284" s="52">
        <v>0</v>
      </c>
      <c r="P284" s="52">
        <v>0</v>
      </c>
      <c r="Q284" s="52">
        <v>0</v>
      </c>
      <c r="R284" s="60">
        <v>1.2</v>
      </c>
      <c r="S284" s="60">
        <v>0</v>
      </c>
      <c r="T284" s="60">
        <v>0</v>
      </c>
      <c r="U284" s="65">
        <v>0.39999999999999997</v>
      </c>
      <c r="V284" s="65">
        <v>0</v>
      </c>
      <c r="W284" s="65">
        <v>0</v>
      </c>
      <c r="X284" s="60">
        <v>0</v>
      </c>
      <c r="Y284" s="65">
        <v>0</v>
      </c>
    </row>
    <row r="285" spans="1:25">
      <c r="A285" s="60" t="s">
        <v>139</v>
      </c>
      <c r="B285" s="60" t="s">
        <v>194</v>
      </c>
      <c r="C285" s="60" t="s">
        <v>224</v>
      </c>
      <c r="D285" s="60" t="s">
        <v>224</v>
      </c>
      <c r="E285" s="60">
        <v>70805</v>
      </c>
      <c r="F285" s="52">
        <v>658</v>
      </c>
      <c r="G285" s="52">
        <v>646</v>
      </c>
      <c r="H285" s="52">
        <v>673</v>
      </c>
      <c r="I285" s="52">
        <v>918</v>
      </c>
      <c r="J285" s="52">
        <v>945</v>
      </c>
      <c r="K285" s="52">
        <v>972</v>
      </c>
      <c r="L285" s="52">
        <v>0</v>
      </c>
      <c r="M285" s="52">
        <v>0</v>
      </c>
      <c r="N285" s="52">
        <v>82</v>
      </c>
      <c r="O285" s="52">
        <v>38</v>
      </c>
      <c r="P285" s="52">
        <v>31</v>
      </c>
      <c r="Q285" s="52">
        <v>18</v>
      </c>
      <c r="R285" s="60">
        <v>0</v>
      </c>
      <c r="S285" s="60">
        <v>0</v>
      </c>
      <c r="T285" s="60">
        <v>12.199999999999998</v>
      </c>
      <c r="U285" s="65">
        <v>4.0666666666666655</v>
      </c>
      <c r="V285" s="65">
        <v>4.117647058823529</v>
      </c>
      <c r="W285" s="65">
        <v>3.233830845771144</v>
      </c>
      <c r="X285" s="60">
        <v>1.9</v>
      </c>
      <c r="Y285" s="65">
        <v>3.0838259681982243</v>
      </c>
    </row>
    <row r="286" spans="1:25">
      <c r="A286" s="60" t="s">
        <v>139</v>
      </c>
      <c r="B286" s="60" t="s">
        <v>629</v>
      </c>
      <c r="C286" s="60" t="s">
        <v>454</v>
      </c>
      <c r="D286" s="60" t="s">
        <v>454</v>
      </c>
      <c r="E286" s="60">
        <v>70901</v>
      </c>
      <c r="F286" s="52">
        <v>3991</v>
      </c>
      <c r="G286" s="52">
        <v>4068</v>
      </c>
      <c r="H286" s="52">
        <v>4211</v>
      </c>
      <c r="I286" s="52">
        <v>5499</v>
      </c>
      <c r="J286" s="52">
        <v>5642</v>
      </c>
      <c r="K286" s="52">
        <v>5785</v>
      </c>
      <c r="L286" s="52">
        <v>0</v>
      </c>
      <c r="M286" s="52">
        <v>0</v>
      </c>
      <c r="N286" s="52">
        <v>34</v>
      </c>
      <c r="O286" s="52">
        <v>26</v>
      </c>
      <c r="P286" s="52">
        <v>23</v>
      </c>
      <c r="Q286" s="52">
        <v>29</v>
      </c>
      <c r="R286" s="60">
        <v>0</v>
      </c>
      <c r="S286" s="60">
        <v>0</v>
      </c>
      <c r="T286" s="60">
        <v>0.8</v>
      </c>
      <c r="U286" s="65">
        <v>0.26666666666666666</v>
      </c>
      <c r="V286" s="65">
        <v>0.46728971962616817</v>
      </c>
      <c r="W286" s="65">
        <v>0.41493775933609961</v>
      </c>
      <c r="X286" s="60">
        <v>0.5</v>
      </c>
      <c r="Y286" s="65">
        <v>0.46074249298742259</v>
      </c>
    </row>
    <row r="287" spans="1:25">
      <c r="A287" s="60" t="s">
        <v>139</v>
      </c>
      <c r="B287" s="60" t="s">
        <v>629</v>
      </c>
      <c r="C287" s="60" t="s">
        <v>630</v>
      </c>
      <c r="D287" s="60" t="s">
        <v>630</v>
      </c>
      <c r="E287" s="60">
        <v>70902</v>
      </c>
      <c r="F287" s="52">
        <v>3236</v>
      </c>
      <c r="G287" s="52">
        <v>3324</v>
      </c>
      <c r="H287" s="52">
        <v>3379</v>
      </c>
      <c r="I287" s="52">
        <v>3870</v>
      </c>
      <c r="J287" s="52">
        <v>3924</v>
      </c>
      <c r="K287" s="52">
        <v>3979</v>
      </c>
      <c r="L287" s="52">
        <v>0</v>
      </c>
      <c r="M287" s="52">
        <v>0</v>
      </c>
      <c r="N287" s="52">
        <v>0</v>
      </c>
      <c r="O287" s="52">
        <v>1055</v>
      </c>
      <c r="P287" s="52">
        <v>0</v>
      </c>
      <c r="Q287" s="52">
        <v>88</v>
      </c>
      <c r="R287" s="60">
        <v>0</v>
      </c>
      <c r="S287" s="60">
        <v>0</v>
      </c>
      <c r="T287" s="60">
        <v>0</v>
      </c>
      <c r="U287" s="65">
        <v>0</v>
      </c>
      <c r="V287" s="65">
        <v>27.272727272727266</v>
      </c>
      <c r="W287" s="65">
        <v>0</v>
      </c>
      <c r="X287" s="60">
        <v>2.2000000000000002</v>
      </c>
      <c r="Y287" s="65">
        <v>9.8242424242424224</v>
      </c>
    </row>
    <row r="288" spans="1:25">
      <c r="A288" s="60" t="s">
        <v>139</v>
      </c>
      <c r="B288" s="60" t="s">
        <v>629</v>
      </c>
      <c r="C288" s="60" t="s">
        <v>474</v>
      </c>
      <c r="D288" s="60" t="s">
        <v>474</v>
      </c>
      <c r="E288" s="60">
        <v>70903</v>
      </c>
      <c r="F288" s="52">
        <v>3346</v>
      </c>
      <c r="G288" s="52">
        <v>3453</v>
      </c>
      <c r="H288" s="52">
        <v>3626</v>
      </c>
      <c r="I288" s="52">
        <v>5186</v>
      </c>
      <c r="J288" s="52">
        <v>5359</v>
      </c>
      <c r="K288" s="52">
        <v>5532</v>
      </c>
      <c r="L288" s="52">
        <v>0</v>
      </c>
      <c r="M288" s="52">
        <v>0</v>
      </c>
      <c r="N288" s="52">
        <v>0</v>
      </c>
      <c r="O288" s="52">
        <v>46</v>
      </c>
      <c r="P288" s="52">
        <v>147</v>
      </c>
      <c r="Q288" s="52">
        <v>28</v>
      </c>
      <c r="R288" s="60">
        <v>0</v>
      </c>
      <c r="S288" s="60">
        <v>0</v>
      </c>
      <c r="T288" s="60">
        <v>0</v>
      </c>
      <c r="U288" s="65">
        <v>0</v>
      </c>
      <c r="V288" s="65">
        <v>0.89285714285714302</v>
      </c>
      <c r="W288" s="65">
        <v>2.7508090614886731</v>
      </c>
      <c r="X288" s="60">
        <v>0.5</v>
      </c>
      <c r="Y288" s="65">
        <v>1.381222068115272</v>
      </c>
    </row>
    <row r="289" spans="1:25">
      <c r="A289" s="60" t="s">
        <v>139</v>
      </c>
      <c r="B289" s="60" t="s">
        <v>629</v>
      </c>
      <c r="C289" s="60" t="s">
        <v>235</v>
      </c>
      <c r="D289" s="60" t="s">
        <v>235</v>
      </c>
      <c r="E289" s="60">
        <v>70904</v>
      </c>
      <c r="F289" s="52">
        <v>797</v>
      </c>
      <c r="G289" s="52">
        <v>824</v>
      </c>
      <c r="H289" s="52">
        <v>825</v>
      </c>
      <c r="I289" s="52">
        <v>837</v>
      </c>
      <c r="J289" s="52">
        <v>839</v>
      </c>
      <c r="K289" s="52">
        <v>840</v>
      </c>
      <c r="L289" s="52">
        <v>8</v>
      </c>
      <c r="M289" s="52">
        <v>8</v>
      </c>
      <c r="N289" s="52">
        <v>0</v>
      </c>
      <c r="O289" s="52">
        <v>0</v>
      </c>
      <c r="P289" s="52">
        <v>0</v>
      </c>
      <c r="Q289" s="52">
        <v>3</v>
      </c>
      <c r="R289" s="60">
        <v>1</v>
      </c>
      <c r="S289" s="60">
        <v>1</v>
      </c>
      <c r="T289" s="60">
        <v>0</v>
      </c>
      <c r="U289" s="65">
        <v>0.66666666666666663</v>
      </c>
      <c r="V289" s="65">
        <v>0</v>
      </c>
      <c r="W289" s="65">
        <v>0</v>
      </c>
      <c r="X289" s="60">
        <v>0.3</v>
      </c>
      <c r="Y289" s="65">
        <v>9.9999999999999992E-2</v>
      </c>
    </row>
    <row r="290" spans="1:25">
      <c r="A290" s="60" t="s">
        <v>139</v>
      </c>
      <c r="B290" s="60" t="s">
        <v>631</v>
      </c>
      <c r="C290" s="60" t="s">
        <v>408</v>
      </c>
      <c r="D290" s="60" t="s">
        <v>408</v>
      </c>
      <c r="E290" s="60">
        <v>71001</v>
      </c>
      <c r="F290" s="52">
        <v>27020</v>
      </c>
      <c r="G290" s="52">
        <v>27989</v>
      </c>
      <c r="H290" s="52">
        <v>28813</v>
      </c>
      <c r="I290" s="52">
        <v>36227</v>
      </c>
      <c r="J290" s="52">
        <v>37051</v>
      </c>
      <c r="K290" s="52">
        <v>37875</v>
      </c>
      <c r="L290" s="52">
        <v>0</v>
      </c>
      <c r="M290" s="52">
        <v>0</v>
      </c>
      <c r="N290" s="52">
        <v>0</v>
      </c>
      <c r="O290" s="52">
        <v>0</v>
      </c>
      <c r="P290" s="52">
        <v>0</v>
      </c>
      <c r="Q290" s="52">
        <v>0</v>
      </c>
      <c r="R290" s="60">
        <v>0</v>
      </c>
      <c r="S290" s="60">
        <v>0</v>
      </c>
      <c r="T290" s="60">
        <v>0</v>
      </c>
      <c r="U290" s="65">
        <v>0</v>
      </c>
      <c r="V290" s="65">
        <v>0</v>
      </c>
      <c r="W290" s="65">
        <v>0</v>
      </c>
      <c r="X290" s="60">
        <v>0</v>
      </c>
      <c r="Y290" s="65">
        <v>0</v>
      </c>
    </row>
    <row r="291" spans="1:25">
      <c r="A291" s="60" t="s">
        <v>139</v>
      </c>
      <c r="B291" s="60" t="s">
        <v>631</v>
      </c>
      <c r="C291" s="60" t="s">
        <v>409</v>
      </c>
      <c r="D291" s="60" t="s">
        <v>409</v>
      </c>
      <c r="E291" s="60">
        <v>71002</v>
      </c>
      <c r="F291" s="52">
        <v>3468</v>
      </c>
      <c r="G291" s="52">
        <v>3523</v>
      </c>
      <c r="H291" s="52">
        <v>3637</v>
      </c>
      <c r="I291" s="52">
        <v>4666</v>
      </c>
      <c r="J291" s="52">
        <v>4780</v>
      </c>
      <c r="K291" s="52">
        <v>4894</v>
      </c>
      <c r="L291" s="52">
        <v>0</v>
      </c>
      <c r="M291" s="52">
        <v>0</v>
      </c>
      <c r="N291" s="52">
        <v>0</v>
      </c>
      <c r="O291" s="52">
        <v>0</v>
      </c>
      <c r="P291" s="52">
        <v>0</v>
      </c>
      <c r="Q291" s="52">
        <v>0</v>
      </c>
      <c r="R291" s="60">
        <v>0</v>
      </c>
      <c r="S291" s="60">
        <v>0</v>
      </c>
      <c r="T291" s="60">
        <v>0</v>
      </c>
      <c r="U291" s="65">
        <v>0</v>
      </c>
      <c r="V291" s="65">
        <v>0</v>
      </c>
      <c r="W291" s="65">
        <v>0</v>
      </c>
      <c r="X291" s="60">
        <v>0</v>
      </c>
      <c r="Y291" s="65">
        <v>0</v>
      </c>
    </row>
    <row r="292" spans="1:25">
      <c r="A292" s="60" t="s">
        <v>139</v>
      </c>
      <c r="B292" s="60" t="s">
        <v>631</v>
      </c>
      <c r="C292" s="60" t="s">
        <v>410</v>
      </c>
      <c r="D292" s="60" t="s">
        <v>410</v>
      </c>
      <c r="E292" s="60">
        <v>71003</v>
      </c>
      <c r="F292" s="52">
        <v>5528</v>
      </c>
      <c r="G292" s="52">
        <v>5713</v>
      </c>
      <c r="H292" s="52">
        <v>5831</v>
      </c>
      <c r="I292" s="52">
        <v>6888</v>
      </c>
      <c r="J292" s="52">
        <v>7006</v>
      </c>
      <c r="K292" s="52">
        <v>7123</v>
      </c>
      <c r="L292" s="52">
        <v>0</v>
      </c>
      <c r="M292" s="52">
        <v>0</v>
      </c>
      <c r="N292" s="52">
        <v>0</v>
      </c>
      <c r="O292" s="52">
        <v>0</v>
      </c>
      <c r="P292" s="52">
        <v>0</v>
      </c>
      <c r="Q292" s="52">
        <v>0</v>
      </c>
      <c r="R292" s="60">
        <v>0</v>
      </c>
      <c r="S292" s="60">
        <v>0</v>
      </c>
      <c r="T292" s="60">
        <v>0</v>
      </c>
      <c r="U292" s="65">
        <v>0</v>
      </c>
      <c r="V292" s="65">
        <v>0</v>
      </c>
      <c r="W292" s="65">
        <v>0</v>
      </c>
      <c r="X292" s="60">
        <v>0</v>
      </c>
      <c r="Y292" s="65">
        <v>0</v>
      </c>
    </row>
    <row r="293" spans="1:25">
      <c r="A293" s="60" t="s">
        <v>139</v>
      </c>
      <c r="B293" s="60" t="s">
        <v>631</v>
      </c>
      <c r="C293" s="60" t="s">
        <v>411</v>
      </c>
      <c r="D293" s="60" t="s">
        <v>411</v>
      </c>
      <c r="E293" s="60">
        <v>71004</v>
      </c>
      <c r="F293" s="52">
        <v>3255</v>
      </c>
      <c r="G293" s="52">
        <v>3372</v>
      </c>
      <c r="H293" s="52">
        <v>3427</v>
      </c>
      <c r="I293" s="52">
        <v>3924</v>
      </c>
      <c r="J293" s="52">
        <v>3979</v>
      </c>
      <c r="K293" s="52">
        <v>4034</v>
      </c>
      <c r="L293" s="52">
        <v>0</v>
      </c>
      <c r="M293" s="52">
        <v>0</v>
      </c>
      <c r="N293" s="52">
        <v>0</v>
      </c>
      <c r="O293" s="52">
        <v>0</v>
      </c>
      <c r="P293" s="52">
        <v>0</v>
      </c>
      <c r="Q293" s="52">
        <v>0</v>
      </c>
      <c r="R293" s="60">
        <v>0</v>
      </c>
      <c r="S293" s="60">
        <v>0</v>
      </c>
      <c r="T293" s="60">
        <v>0</v>
      </c>
      <c r="U293" s="65">
        <v>0</v>
      </c>
      <c r="V293" s="65">
        <v>0</v>
      </c>
      <c r="W293" s="65">
        <v>0</v>
      </c>
      <c r="X293" s="60">
        <v>0</v>
      </c>
      <c r="Y293" s="65">
        <v>0</v>
      </c>
    </row>
    <row r="294" spans="1:25">
      <c r="A294" s="60" t="s">
        <v>139</v>
      </c>
      <c r="B294" s="60" t="s">
        <v>631</v>
      </c>
      <c r="C294" s="60" t="s">
        <v>412</v>
      </c>
      <c r="D294" s="60" t="s">
        <v>412</v>
      </c>
      <c r="E294" s="60">
        <v>71005</v>
      </c>
      <c r="F294" s="52">
        <v>3592</v>
      </c>
      <c r="G294" s="52">
        <v>3682</v>
      </c>
      <c r="H294" s="52">
        <v>3735</v>
      </c>
      <c r="I294" s="52">
        <v>4214</v>
      </c>
      <c r="J294" s="52">
        <v>4267</v>
      </c>
      <c r="K294" s="52">
        <v>4320</v>
      </c>
      <c r="L294" s="52">
        <v>0</v>
      </c>
      <c r="M294" s="52">
        <v>0</v>
      </c>
      <c r="N294" s="52">
        <v>0</v>
      </c>
      <c r="O294" s="52">
        <v>0</v>
      </c>
      <c r="P294" s="52">
        <v>0</v>
      </c>
      <c r="Q294" s="52">
        <v>0</v>
      </c>
      <c r="R294" s="60">
        <v>0</v>
      </c>
      <c r="S294" s="60">
        <v>0</v>
      </c>
      <c r="T294" s="60">
        <v>0</v>
      </c>
      <c r="U294" s="65">
        <v>0</v>
      </c>
      <c r="V294" s="65">
        <v>0</v>
      </c>
      <c r="W294" s="65">
        <v>0</v>
      </c>
      <c r="X294" s="60">
        <v>0</v>
      </c>
      <c r="Y294" s="65">
        <v>0</v>
      </c>
    </row>
    <row r="295" spans="1:25">
      <c r="A295" s="60" t="s">
        <v>139</v>
      </c>
      <c r="B295" s="60" t="s">
        <v>632</v>
      </c>
      <c r="C295" s="60" t="s">
        <v>413</v>
      </c>
      <c r="D295" s="60" t="s">
        <v>413</v>
      </c>
      <c r="E295" s="60">
        <v>71101</v>
      </c>
      <c r="F295" s="52">
        <v>4460</v>
      </c>
      <c r="G295" s="52">
        <v>4639</v>
      </c>
      <c r="H295" s="52">
        <v>5186</v>
      </c>
      <c r="I295" s="52">
        <v>10113</v>
      </c>
      <c r="J295" s="52">
        <v>10661</v>
      </c>
      <c r="K295" s="52">
        <v>11208</v>
      </c>
      <c r="L295" s="52">
        <v>0</v>
      </c>
      <c r="M295" s="52">
        <v>0</v>
      </c>
      <c r="N295" s="52">
        <v>0</v>
      </c>
      <c r="O295" s="52">
        <v>0</v>
      </c>
      <c r="P295" s="52">
        <v>0</v>
      </c>
      <c r="Q295" s="52">
        <v>0</v>
      </c>
      <c r="R295" s="60">
        <v>0</v>
      </c>
      <c r="S295" s="60">
        <v>0</v>
      </c>
      <c r="T295" s="60">
        <v>0</v>
      </c>
      <c r="U295" s="65">
        <v>0</v>
      </c>
      <c r="V295" s="65">
        <v>0</v>
      </c>
      <c r="W295" s="65">
        <v>0</v>
      </c>
      <c r="X295" s="60">
        <v>0</v>
      </c>
      <c r="Y295" s="65">
        <v>0</v>
      </c>
    </row>
    <row r="296" spans="1:25">
      <c r="A296" s="60" t="s">
        <v>139</v>
      </c>
      <c r="B296" s="60" t="s">
        <v>632</v>
      </c>
      <c r="C296" s="60" t="s">
        <v>414</v>
      </c>
      <c r="D296" s="60" t="s">
        <v>414</v>
      </c>
      <c r="E296" s="60">
        <v>71102</v>
      </c>
      <c r="F296" s="52">
        <v>3181</v>
      </c>
      <c r="G296" s="52">
        <v>3283</v>
      </c>
      <c r="H296" s="52">
        <v>3386</v>
      </c>
      <c r="I296" s="52">
        <v>4312</v>
      </c>
      <c r="J296" s="52">
        <v>4415</v>
      </c>
      <c r="K296" s="52">
        <v>4518</v>
      </c>
      <c r="L296" s="52">
        <v>0</v>
      </c>
      <c r="M296" s="52">
        <v>0</v>
      </c>
      <c r="N296" s="52">
        <v>0</v>
      </c>
      <c r="O296" s="52">
        <v>0</v>
      </c>
      <c r="P296" s="52">
        <v>0</v>
      </c>
      <c r="Q296" s="52">
        <v>0</v>
      </c>
      <c r="R296" s="60">
        <v>0</v>
      </c>
      <c r="S296" s="60">
        <v>0</v>
      </c>
      <c r="T296" s="60">
        <v>0</v>
      </c>
      <c r="U296" s="65">
        <v>0</v>
      </c>
      <c r="V296" s="65">
        <v>0</v>
      </c>
      <c r="W296" s="65">
        <v>0</v>
      </c>
      <c r="X296" s="60">
        <v>0</v>
      </c>
      <c r="Y296" s="65">
        <v>0</v>
      </c>
    </row>
    <row r="297" spans="1:25" s="59" customFormat="1">
      <c r="A297" s="60" t="s">
        <v>139</v>
      </c>
      <c r="B297" s="60" t="s">
        <v>632</v>
      </c>
      <c r="C297" s="60" t="s">
        <v>415</v>
      </c>
      <c r="D297" s="60" t="s">
        <v>415</v>
      </c>
      <c r="E297" s="60">
        <v>71103</v>
      </c>
      <c r="F297" s="52">
        <v>1733</v>
      </c>
      <c r="G297" s="52">
        <v>1789</v>
      </c>
      <c r="H297" s="52">
        <v>1864</v>
      </c>
      <c r="I297" s="52">
        <v>2543</v>
      </c>
      <c r="J297" s="52">
        <v>2619</v>
      </c>
      <c r="K297" s="52">
        <v>2694</v>
      </c>
      <c r="L297" s="52">
        <v>0</v>
      </c>
      <c r="M297" s="52">
        <v>0</v>
      </c>
      <c r="N297" s="52">
        <v>0</v>
      </c>
      <c r="O297" s="52">
        <v>0</v>
      </c>
      <c r="P297" s="52">
        <v>0</v>
      </c>
      <c r="Q297" s="52">
        <v>0</v>
      </c>
      <c r="R297" s="60">
        <v>0</v>
      </c>
      <c r="S297" s="60">
        <v>0</v>
      </c>
      <c r="T297" s="60">
        <v>0</v>
      </c>
      <c r="U297" s="65">
        <v>0</v>
      </c>
      <c r="V297" s="65">
        <v>0</v>
      </c>
      <c r="W297" s="65">
        <v>0</v>
      </c>
      <c r="X297" s="60">
        <v>0</v>
      </c>
      <c r="Y297" s="65">
        <v>0</v>
      </c>
    </row>
    <row r="298" spans="1:25">
      <c r="A298" s="60" t="s">
        <v>139</v>
      </c>
      <c r="B298" s="60" t="s">
        <v>632</v>
      </c>
      <c r="C298" s="60" t="s">
        <v>182</v>
      </c>
      <c r="D298" s="60" t="s">
        <v>182</v>
      </c>
      <c r="E298" s="60">
        <v>71104</v>
      </c>
      <c r="F298" s="52">
        <v>13148</v>
      </c>
      <c r="G298" s="52">
        <v>13636</v>
      </c>
      <c r="H298" s="52">
        <v>13888</v>
      </c>
      <c r="I298" s="52">
        <v>16151</v>
      </c>
      <c r="J298" s="52">
        <v>16403</v>
      </c>
      <c r="K298" s="52">
        <v>16654</v>
      </c>
      <c r="L298" s="52">
        <v>4641</v>
      </c>
      <c r="M298" s="52">
        <v>0</v>
      </c>
      <c r="N298" s="52">
        <v>0</v>
      </c>
      <c r="O298" s="52">
        <v>0</v>
      </c>
      <c r="P298" s="52">
        <v>0</v>
      </c>
      <c r="Q298" s="52">
        <v>0</v>
      </c>
      <c r="R298" s="60">
        <v>35.299999999999997</v>
      </c>
      <c r="S298" s="60">
        <v>0</v>
      </c>
      <c r="T298" s="60">
        <v>0</v>
      </c>
      <c r="U298" s="65">
        <v>11.766666666666666</v>
      </c>
      <c r="V298" s="65">
        <v>0</v>
      </c>
      <c r="W298" s="65">
        <v>0</v>
      </c>
      <c r="X298" s="60">
        <v>0</v>
      </c>
      <c r="Y298" s="65">
        <v>0</v>
      </c>
    </row>
    <row r="299" spans="1:25">
      <c r="A299" s="60" t="s">
        <v>139</v>
      </c>
      <c r="B299" s="60" t="s">
        <v>632</v>
      </c>
      <c r="C299" s="60" t="s">
        <v>633</v>
      </c>
      <c r="D299" s="60" t="s">
        <v>633</v>
      </c>
      <c r="E299" s="60">
        <v>71105</v>
      </c>
      <c r="F299" s="52">
        <v>1203</v>
      </c>
      <c r="G299" s="52">
        <v>1223</v>
      </c>
      <c r="H299" s="52">
        <v>1251</v>
      </c>
      <c r="I299" s="52">
        <v>1503</v>
      </c>
      <c r="J299" s="52">
        <v>1531</v>
      </c>
      <c r="K299" s="52">
        <v>1559</v>
      </c>
      <c r="L299" s="52">
        <v>0</v>
      </c>
      <c r="M299" s="52">
        <v>94</v>
      </c>
      <c r="N299" s="52">
        <v>0</v>
      </c>
      <c r="O299" s="52">
        <v>0</v>
      </c>
      <c r="P299" s="52">
        <v>0</v>
      </c>
      <c r="Q299" s="52">
        <v>0</v>
      </c>
      <c r="R299" s="60">
        <v>0</v>
      </c>
      <c r="S299" s="60">
        <v>7.7</v>
      </c>
      <c r="T299" s="60">
        <v>0</v>
      </c>
      <c r="U299" s="65">
        <v>2.5666666666666669</v>
      </c>
      <c r="V299" s="65">
        <v>0</v>
      </c>
      <c r="W299" s="65">
        <v>0</v>
      </c>
      <c r="X299" s="60">
        <v>0</v>
      </c>
      <c r="Y299" s="65">
        <v>0</v>
      </c>
    </row>
    <row r="300" spans="1:25">
      <c r="A300" s="60" t="s">
        <v>139</v>
      </c>
      <c r="B300" s="60" t="s">
        <v>632</v>
      </c>
      <c r="C300" s="60" t="s">
        <v>491</v>
      </c>
      <c r="D300" s="60" t="s">
        <v>491</v>
      </c>
      <c r="E300" s="60">
        <v>71106</v>
      </c>
      <c r="F300" s="52">
        <v>5392</v>
      </c>
      <c r="G300" s="52">
        <v>5563</v>
      </c>
      <c r="H300" s="52">
        <v>5744</v>
      </c>
      <c r="I300" s="52">
        <v>7377</v>
      </c>
      <c r="J300" s="52">
        <v>7559</v>
      </c>
      <c r="K300" s="52">
        <v>7740</v>
      </c>
      <c r="L300" s="52">
        <v>0</v>
      </c>
      <c r="M300" s="52">
        <v>0</v>
      </c>
      <c r="N300" s="52">
        <v>0</v>
      </c>
      <c r="O300" s="52">
        <v>467</v>
      </c>
      <c r="P300" s="52">
        <v>337</v>
      </c>
      <c r="Q300" s="52">
        <v>495</v>
      </c>
      <c r="R300" s="60">
        <v>0</v>
      </c>
      <c r="S300" s="60">
        <v>0</v>
      </c>
      <c r="T300" s="60">
        <v>0</v>
      </c>
      <c r="U300" s="65">
        <v>0</v>
      </c>
      <c r="V300" s="65">
        <v>6.3247863247863245</v>
      </c>
      <c r="W300" s="65">
        <v>4.4568245125348191</v>
      </c>
      <c r="X300" s="60">
        <v>6.4</v>
      </c>
      <c r="Y300" s="65">
        <v>5.7272036124403813</v>
      </c>
    </row>
    <row r="301" spans="1:25">
      <c r="A301" s="60" t="s">
        <v>139</v>
      </c>
      <c r="B301" s="60" t="s">
        <v>634</v>
      </c>
      <c r="C301" s="60" t="s">
        <v>416</v>
      </c>
      <c r="D301" s="60" t="s">
        <v>416</v>
      </c>
      <c r="E301" s="60">
        <v>71201</v>
      </c>
      <c r="F301" s="52">
        <v>3307</v>
      </c>
      <c r="G301" s="52">
        <v>3382</v>
      </c>
      <c r="H301" s="52">
        <v>3502</v>
      </c>
      <c r="I301" s="52">
        <v>4580</v>
      </c>
      <c r="J301" s="52">
        <v>4700</v>
      </c>
      <c r="K301" s="52">
        <v>4820</v>
      </c>
      <c r="L301" s="52">
        <v>0</v>
      </c>
      <c r="M301" s="52">
        <v>0</v>
      </c>
      <c r="N301" s="52">
        <v>0</v>
      </c>
      <c r="O301" s="52">
        <v>0</v>
      </c>
      <c r="P301" s="52">
        <v>0</v>
      </c>
      <c r="Q301" s="52">
        <v>0</v>
      </c>
      <c r="R301" s="60">
        <v>0</v>
      </c>
      <c r="S301" s="60">
        <v>0</v>
      </c>
      <c r="T301" s="60">
        <v>0</v>
      </c>
      <c r="U301" s="65">
        <v>0</v>
      </c>
      <c r="V301" s="65">
        <v>0</v>
      </c>
      <c r="W301" s="65">
        <v>0</v>
      </c>
      <c r="X301" s="60">
        <v>0</v>
      </c>
      <c r="Y301" s="65">
        <v>0</v>
      </c>
    </row>
    <row r="302" spans="1:25">
      <c r="A302" s="60" t="s">
        <v>139</v>
      </c>
      <c r="B302" s="60" t="s">
        <v>635</v>
      </c>
      <c r="C302" s="60" t="s">
        <v>185</v>
      </c>
      <c r="D302" s="60" t="s">
        <v>185</v>
      </c>
      <c r="E302" s="60">
        <v>71301</v>
      </c>
      <c r="F302" s="52">
        <v>5361</v>
      </c>
      <c r="G302" s="52">
        <v>5461</v>
      </c>
      <c r="H302" s="52">
        <v>5638</v>
      </c>
      <c r="I302" s="52">
        <v>7229</v>
      </c>
      <c r="J302" s="52">
        <v>7405</v>
      </c>
      <c r="K302" s="52">
        <v>7582</v>
      </c>
      <c r="L302" s="52">
        <v>188</v>
      </c>
      <c r="M302" s="52">
        <v>535</v>
      </c>
      <c r="N302" s="52">
        <v>395</v>
      </c>
      <c r="O302" s="52">
        <v>0</v>
      </c>
      <c r="P302" s="52">
        <v>104</v>
      </c>
      <c r="Q302" s="52">
        <v>0</v>
      </c>
      <c r="R302" s="60">
        <v>3.5000000000000004</v>
      </c>
      <c r="S302" s="60">
        <v>9.8000000000000007</v>
      </c>
      <c r="T302" s="60">
        <v>7.0000000000000009</v>
      </c>
      <c r="U302" s="65">
        <v>6.7666666666666666</v>
      </c>
      <c r="V302" s="65">
        <v>0</v>
      </c>
      <c r="W302" s="65">
        <v>1.405152224824356</v>
      </c>
      <c r="X302" s="60">
        <v>0</v>
      </c>
      <c r="Y302" s="65">
        <v>0.46838407494145201</v>
      </c>
    </row>
    <row r="303" spans="1:25">
      <c r="A303" s="60" t="s">
        <v>139</v>
      </c>
      <c r="B303" s="60" t="s">
        <v>635</v>
      </c>
      <c r="C303" s="60" t="s">
        <v>191</v>
      </c>
      <c r="D303" s="60" t="s">
        <v>191</v>
      </c>
      <c r="E303" s="60">
        <v>71302</v>
      </c>
      <c r="F303" s="52">
        <v>1939</v>
      </c>
      <c r="G303" s="52">
        <v>1998</v>
      </c>
      <c r="H303" s="52">
        <v>2036</v>
      </c>
      <c r="I303" s="52">
        <v>2381</v>
      </c>
      <c r="J303" s="52">
        <v>2419</v>
      </c>
      <c r="K303" s="52">
        <v>2457</v>
      </c>
      <c r="L303" s="52">
        <v>128</v>
      </c>
      <c r="M303" s="52">
        <v>80</v>
      </c>
      <c r="N303" s="52">
        <v>65</v>
      </c>
      <c r="O303" s="52">
        <v>0</v>
      </c>
      <c r="P303" s="52">
        <v>0</v>
      </c>
      <c r="Q303" s="52">
        <v>0</v>
      </c>
      <c r="R303" s="60">
        <v>6.6000000000000005</v>
      </c>
      <c r="S303" s="60">
        <v>4</v>
      </c>
      <c r="T303" s="60">
        <v>3.2</v>
      </c>
      <c r="U303" s="65">
        <v>4.6000000000000005</v>
      </c>
      <c r="V303" s="65">
        <v>0</v>
      </c>
      <c r="W303" s="65">
        <v>0</v>
      </c>
      <c r="X303" s="60">
        <v>0</v>
      </c>
      <c r="Y303" s="65">
        <v>0</v>
      </c>
    </row>
    <row r="304" spans="1:25">
      <c r="A304" s="60" t="s">
        <v>139</v>
      </c>
      <c r="B304" s="60" t="s">
        <v>636</v>
      </c>
      <c r="C304" s="60" t="s">
        <v>637</v>
      </c>
      <c r="D304" s="60" t="s">
        <v>637</v>
      </c>
      <c r="E304" s="60">
        <v>71401</v>
      </c>
      <c r="F304" s="52">
        <v>4827</v>
      </c>
      <c r="G304" s="52">
        <v>4973</v>
      </c>
      <c r="H304" s="52">
        <v>5048</v>
      </c>
      <c r="I304" s="52">
        <v>5722</v>
      </c>
      <c r="J304" s="52">
        <v>5797</v>
      </c>
      <c r="K304" s="52">
        <v>5872</v>
      </c>
      <c r="L304" s="52">
        <v>0</v>
      </c>
      <c r="M304" s="52">
        <v>0</v>
      </c>
      <c r="N304" s="52">
        <v>0</v>
      </c>
      <c r="O304" s="52">
        <v>0</v>
      </c>
      <c r="P304" s="52">
        <v>0</v>
      </c>
      <c r="Q304" s="52">
        <v>0</v>
      </c>
      <c r="R304" s="60">
        <v>0</v>
      </c>
      <c r="S304" s="60">
        <v>0</v>
      </c>
      <c r="T304" s="60">
        <v>0</v>
      </c>
      <c r="U304" s="65">
        <v>0</v>
      </c>
      <c r="V304" s="65">
        <v>0</v>
      </c>
      <c r="W304" s="65">
        <v>0</v>
      </c>
      <c r="X304" s="60">
        <v>0</v>
      </c>
      <c r="Y304" s="65">
        <v>0</v>
      </c>
    </row>
    <row r="305" spans="1:25">
      <c r="A305" s="60" t="s">
        <v>139</v>
      </c>
      <c r="B305" s="60" t="s">
        <v>636</v>
      </c>
      <c r="C305" s="60" t="s">
        <v>417</v>
      </c>
      <c r="D305" s="60" t="s">
        <v>417</v>
      </c>
      <c r="E305" s="60">
        <v>71402</v>
      </c>
      <c r="F305" s="52">
        <v>4184</v>
      </c>
      <c r="G305" s="52">
        <v>4312</v>
      </c>
      <c r="H305" s="52">
        <v>4437</v>
      </c>
      <c r="I305" s="52">
        <v>5563</v>
      </c>
      <c r="J305" s="52">
        <v>5688</v>
      </c>
      <c r="K305" s="52">
        <v>5813</v>
      </c>
      <c r="L305" s="52">
        <v>0</v>
      </c>
      <c r="M305" s="52">
        <v>0</v>
      </c>
      <c r="N305" s="52">
        <v>0</v>
      </c>
      <c r="O305" s="52">
        <v>0</v>
      </c>
      <c r="P305" s="52">
        <v>0</v>
      </c>
      <c r="Q305" s="52">
        <v>0</v>
      </c>
      <c r="R305" s="60">
        <v>0</v>
      </c>
      <c r="S305" s="60">
        <v>0</v>
      </c>
      <c r="T305" s="60">
        <v>0</v>
      </c>
      <c r="U305" s="65">
        <v>0</v>
      </c>
      <c r="V305" s="65">
        <v>0</v>
      </c>
      <c r="W305" s="65">
        <v>0</v>
      </c>
      <c r="X305" s="60">
        <v>0</v>
      </c>
      <c r="Y305" s="65">
        <v>0</v>
      </c>
    </row>
    <row r="306" spans="1:25">
      <c r="A306" s="60" t="s">
        <v>139</v>
      </c>
      <c r="B306" s="60" t="s">
        <v>636</v>
      </c>
      <c r="C306" s="60" t="s">
        <v>418</v>
      </c>
      <c r="D306" s="60" t="s">
        <v>418</v>
      </c>
      <c r="E306" s="60">
        <v>71403</v>
      </c>
      <c r="F306" s="52">
        <v>1567</v>
      </c>
      <c r="G306" s="52">
        <v>1622</v>
      </c>
      <c r="H306" s="52">
        <v>1720</v>
      </c>
      <c r="I306" s="52">
        <v>2602</v>
      </c>
      <c r="J306" s="52">
        <v>2700</v>
      </c>
      <c r="K306" s="52">
        <v>2798</v>
      </c>
      <c r="L306" s="52">
        <v>0</v>
      </c>
      <c r="M306" s="52">
        <v>0</v>
      </c>
      <c r="N306" s="52">
        <v>0</v>
      </c>
      <c r="O306" s="52">
        <v>0</v>
      </c>
      <c r="P306" s="52">
        <v>0</v>
      </c>
      <c r="Q306" s="52">
        <v>0</v>
      </c>
      <c r="R306" s="60">
        <v>0</v>
      </c>
      <c r="S306" s="60">
        <v>0</v>
      </c>
      <c r="T306" s="60">
        <v>0</v>
      </c>
      <c r="U306" s="65">
        <v>0</v>
      </c>
      <c r="V306" s="65">
        <v>0</v>
      </c>
      <c r="W306" s="65">
        <v>0</v>
      </c>
      <c r="X306" s="60">
        <v>0</v>
      </c>
      <c r="Y306" s="65">
        <v>0</v>
      </c>
    </row>
    <row r="307" spans="1:25">
      <c r="A307" s="60" t="s">
        <v>139</v>
      </c>
      <c r="B307" s="60" t="s">
        <v>638</v>
      </c>
      <c r="C307" s="60" t="s">
        <v>639</v>
      </c>
      <c r="D307" s="60" t="s">
        <v>639</v>
      </c>
      <c r="E307" s="60">
        <v>71501</v>
      </c>
      <c r="F307" s="52">
        <v>5613</v>
      </c>
      <c r="G307" s="52">
        <v>5831</v>
      </c>
      <c r="H307" s="52">
        <v>6411</v>
      </c>
      <c r="I307" s="52">
        <v>11633</v>
      </c>
      <c r="J307" s="52">
        <v>12213</v>
      </c>
      <c r="K307" s="52">
        <v>12793</v>
      </c>
      <c r="L307" s="52">
        <v>0</v>
      </c>
      <c r="M307" s="52">
        <v>0</v>
      </c>
      <c r="N307" s="52">
        <v>0</v>
      </c>
      <c r="O307" s="52">
        <v>0</v>
      </c>
      <c r="P307" s="52">
        <v>0</v>
      </c>
      <c r="Q307" s="52">
        <v>0</v>
      </c>
      <c r="R307" s="60">
        <v>0</v>
      </c>
      <c r="S307" s="60">
        <v>0</v>
      </c>
      <c r="T307" s="60">
        <v>0</v>
      </c>
      <c r="U307" s="65">
        <v>0</v>
      </c>
      <c r="V307" s="65">
        <v>0</v>
      </c>
      <c r="W307" s="65">
        <v>0</v>
      </c>
      <c r="X307" s="60">
        <v>0</v>
      </c>
      <c r="Y307" s="65">
        <v>0</v>
      </c>
    </row>
    <row r="308" spans="1:25">
      <c r="A308" s="60" t="s">
        <v>139</v>
      </c>
      <c r="B308" s="60" t="s">
        <v>638</v>
      </c>
      <c r="C308" s="60" t="s">
        <v>419</v>
      </c>
      <c r="D308" s="60" t="s">
        <v>640</v>
      </c>
      <c r="E308" s="60">
        <v>71502</v>
      </c>
      <c r="F308" s="52">
        <v>1253</v>
      </c>
      <c r="G308" s="52">
        <v>1275</v>
      </c>
      <c r="H308" s="52">
        <v>1325</v>
      </c>
      <c r="I308" s="52">
        <v>1774</v>
      </c>
      <c r="J308" s="52">
        <v>1824</v>
      </c>
      <c r="K308" s="52">
        <v>1874</v>
      </c>
      <c r="L308" s="52">
        <v>0</v>
      </c>
      <c r="M308" s="52">
        <v>0</v>
      </c>
      <c r="N308" s="52">
        <v>0</v>
      </c>
      <c r="O308" s="52">
        <v>0</v>
      </c>
      <c r="P308" s="52">
        <v>0</v>
      </c>
      <c r="Q308" s="52">
        <v>0</v>
      </c>
      <c r="R308" s="60">
        <v>0</v>
      </c>
      <c r="S308" s="60">
        <v>0</v>
      </c>
      <c r="T308" s="60">
        <v>0</v>
      </c>
      <c r="U308" s="65">
        <v>0</v>
      </c>
      <c r="V308" s="65">
        <v>0</v>
      </c>
      <c r="W308" s="65">
        <v>0</v>
      </c>
      <c r="X308" s="60">
        <v>0</v>
      </c>
      <c r="Y308" s="65">
        <v>0</v>
      </c>
    </row>
    <row r="309" spans="1:25">
      <c r="A309" s="60" t="s">
        <v>139</v>
      </c>
      <c r="B309" s="60" t="s">
        <v>638</v>
      </c>
      <c r="C309" s="60" t="s">
        <v>222</v>
      </c>
      <c r="D309" s="60" t="s">
        <v>222</v>
      </c>
      <c r="E309" s="60">
        <v>71503</v>
      </c>
      <c r="F309" s="52">
        <v>4602</v>
      </c>
      <c r="G309" s="52">
        <v>4855</v>
      </c>
      <c r="H309" s="52">
        <v>5083</v>
      </c>
      <c r="I309" s="52">
        <v>7132</v>
      </c>
      <c r="J309" s="52">
        <v>7359</v>
      </c>
      <c r="K309" s="52">
        <v>7587</v>
      </c>
      <c r="L309" s="52">
        <v>0</v>
      </c>
      <c r="M309" s="52">
        <v>0</v>
      </c>
      <c r="N309" s="52">
        <v>0</v>
      </c>
      <c r="O309" s="52">
        <v>0</v>
      </c>
      <c r="P309" s="52">
        <v>0</v>
      </c>
      <c r="Q309" s="52">
        <v>0</v>
      </c>
      <c r="R309" s="60">
        <v>0</v>
      </c>
      <c r="S309" s="60">
        <v>0</v>
      </c>
      <c r="T309" s="60">
        <v>0</v>
      </c>
      <c r="U309" s="65">
        <v>0</v>
      </c>
      <c r="V309" s="65">
        <v>0</v>
      </c>
      <c r="W309" s="65">
        <v>0</v>
      </c>
      <c r="X309" s="60">
        <v>0</v>
      </c>
      <c r="Y309" s="65">
        <v>0</v>
      </c>
    </row>
    <row r="310" spans="1:25">
      <c r="A310" s="60" t="s">
        <v>641</v>
      </c>
      <c r="B310" s="60" t="s">
        <v>552</v>
      </c>
      <c r="C310" s="60" t="s">
        <v>420</v>
      </c>
      <c r="D310" s="60" t="s">
        <v>420</v>
      </c>
      <c r="E310" s="60">
        <v>80101</v>
      </c>
      <c r="F310" s="52">
        <v>25313</v>
      </c>
      <c r="G310" s="52">
        <v>26222</v>
      </c>
      <c r="H310" s="52">
        <v>27049</v>
      </c>
      <c r="I310" s="52">
        <v>34491</v>
      </c>
      <c r="J310" s="52">
        <v>35318</v>
      </c>
      <c r="K310" s="52">
        <v>36145</v>
      </c>
      <c r="L310" s="52">
        <v>0</v>
      </c>
      <c r="M310" s="52">
        <v>0</v>
      </c>
      <c r="N310" s="52">
        <v>0</v>
      </c>
      <c r="O310" s="52">
        <v>0</v>
      </c>
      <c r="P310" s="52">
        <v>0</v>
      </c>
      <c r="Q310" s="52">
        <v>0</v>
      </c>
      <c r="R310" s="60">
        <v>0</v>
      </c>
      <c r="S310" s="60">
        <v>0</v>
      </c>
      <c r="T310" s="60">
        <v>0</v>
      </c>
      <c r="U310" s="65">
        <v>0</v>
      </c>
      <c r="V310" s="65">
        <v>0</v>
      </c>
      <c r="W310" s="65">
        <v>0</v>
      </c>
      <c r="X310" s="60">
        <v>0</v>
      </c>
      <c r="Y310" s="65">
        <v>0</v>
      </c>
    </row>
    <row r="311" spans="1:25">
      <c r="A311" s="60" t="s">
        <v>641</v>
      </c>
      <c r="B311" s="60" t="s">
        <v>552</v>
      </c>
      <c r="C311" s="60" t="s">
        <v>414</v>
      </c>
      <c r="D311" s="60" t="s">
        <v>414</v>
      </c>
      <c r="E311" s="60">
        <v>80102</v>
      </c>
      <c r="F311" s="52">
        <v>1174</v>
      </c>
      <c r="G311" s="52">
        <v>1232</v>
      </c>
      <c r="H311" s="52">
        <v>1312</v>
      </c>
      <c r="I311" s="52">
        <v>2036</v>
      </c>
      <c r="J311" s="52">
        <v>2117</v>
      </c>
      <c r="K311" s="52">
        <v>2197</v>
      </c>
      <c r="L311" s="52">
        <v>0</v>
      </c>
      <c r="M311" s="52">
        <v>0</v>
      </c>
      <c r="N311" s="52">
        <v>0</v>
      </c>
      <c r="O311" s="52">
        <v>0</v>
      </c>
      <c r="P311" s="52">
        <v>0</v>
      </c>
      <c r="Q311" s="52">
        <v>0</v>
      </c>
      <c r="R311" s="60">
        <v>0</v>
      </c>
      <c r="S311" s="60">
        <v>0</v>
      </c>
      <c r="T311" s="60">
        <v>0</v>
      </c>
      <c r="U311" s="65">
        <v>0</v>
      </c>
      <c r="V311" s="65">
        <v>0</v>
      </c>
      <c r="W311" s="65">
        <v>0</v>
      </c>
      <c r="X311" s="60">
        <v>0</v>
      </c>
      <c r="Y311" s="65">
        <v>0</v>
      </c>
    </row>
    <row r="312" spans="1:25">
      <c r="A312" s="60" t="s">
        <v>641</v>
      </c>
      <c r="B312" s="60" t="s">
        <v>642</v>
      </c>
      <c r="C312" s="60" t="s">
        <v>421</v>
      </c>
      <c r="D312" s="60" t="s">
        <v>421</v>
      </c>
      <c r="E312" s="60">
        <v>80201</v>
      </c>
      <c r="F312" s="52">
        <v>20175</v>
      </c>
      <c r="G312" s="52">
        <v>20742</v>
      </c>
      <c r="H312" s="52">
        <v>21640</v>
      </c>
      <c r="I312" s="52">
        <v>29722</v>
      </c>
      <c r="J312" s="52">
        <v>30620</v>
      </c>
      <c r="K312" s="52">
        <v>31518</v>
      </c>
      <c r="L312" s="52">
        <v>0</v>
      </c>
      <c r="M312" s="52">
        <v>0</v>
      </c>
      <c r="N312" s="52">
        <v>0</v>
      </c>
      <c r="O312" s="52">
        <v>0</v>
      </c>
      <c r="P312" s="52">
        <v>0</v>
      </c>
      <c r="Q312" s="52">
        <v>0</v>
      </c>
      <c r="R312" s="60">
        <v>0</v>
      </c>
      <c r="S312" s="60">
        <v>0</v>
      </c>
      <c r="T312" s="60">
        <v>0</v>
      </c>
      <c r="U312" s="65">
        <v>0</v>
      </c>
      <c r="V312" s="65">
        <v>0</v>
      </c>
      <c r="W312" s="65">
        <v>0</v>
      </c>
      <c r="X312" s="60">
        <v>0</v>
      </c>
      <c r="Y312" s="65">
        <v>0</v>
      </c>
    </row>
    <row r="313" spans="1:25">
      <c r="A313" s="60" t="s">
        <v>641</v>
      </c>
      <c r="B313" s="60" t="s">
        <v>642</v>
      </c>
      <c r="C313" s="60" t="s">
        <v>422</v>
      </c>
      <c r="D313" s="60" t="s">
        <v>422</v>
      </c>
      <c r="E313" s="60">
        <v>80202</v>
      </c>
      <c r="F313" s="52">
        <v>9720</v>
      </c>
      <c r="G313" s="52">
        <v>9835</v>
      </c>
      <c r="H313" s="52">
        <v>10074</v>
      </c>
      <c r="I313" s="52">
        <v>12220</v>
      </c>
      <c r="J313" s="52">
        <v>12459</v>
      </c>
      <c r="K313" s="52">
        <v>12697</v>
      </c>
      <c r="L313" s="52">
        <v>0</v>
      </c>
      <c r="M313" s="52">
        <v>0</v>
      </c>
      <c r="N313" s="52">
        <v>0</v>
      </c>
      <c r="O313" s="52">
        <v>0</v>
      </c>
      <c r="P313" s="52">
        <v>0</v>
      </c>
      <c r="Q313" s="52">
        <v>0</v>
      </c>
      <c r="R313" s="60">
        <v>0</v>
      </c>
      <c r="S313" s="60">
        <v>0</v>
      </c>
      <c r="T313" s="60">
        <v>0</v>
      </c>
      <c r="U313" s="65">
        <v>0</v>
      </c>
      <c r="V313" s="65">
        <v>0</v>
      </c>
      <c r="W313" s="65">
        <v>0</v>
      </c>
      <c r="X313" s="60">
        <v>0</v>
      </c>
      <c r="Y313" s="65">
        <v>0</v>
      </c>
    </row>
    <row r="314" spans="1:25">
      <c r="A314" s="60" t="s">
        <v>641</v>
      </c>
      <c r="B314" s="60" t="s">
        <v>643</v>
      </c>
      <c r="C314" s="60" t="s">
        <v>423</v>
      </c>
      <c r="D314" s="60" t="s">
        <v>423</v>
      </c>
      <c r="E314" s="60">
        <v>80301</v>
      </c>
      <c r="F314" s="52">
        <v>3044</v>
      </c>
      <c r="G314" s="52">
        <v>3153</v>
      </c>
      <c r="H314" s="52">
        <v>3229</v>
      </c>
      <c r="I314" s="52">
        <v>3915</v>
      </c>
      <c r="J314" s="52">
        <v>3991</v>
      </c>
      <c r="K314" s="52">
        <v>4067</v>
      </c>
      <c r="L314" s="52">
        <v>0</v>
      </c>
      <c r="M314" s="52">
        <v>0</v>
      </c>
      <c r="N314" s="52">
        <v>0</v>
      </c>
      <c r="O314" s="52">
        <v>0</v>
      </c>
      <c r="P314" s="52">
        <v>0</v>
      </c>
      <c r="Q314" s="52">
        <v>0</v>
      </c>
      <c r="R314" s="60">
        <v>0</v>
      </c>
      <c r="S314" s="60">
        <v>0</v>
      </c>
      <c r="T314" s="60">
        <v>0</v>
      </c>
      <c r="U314" s="65">
        <v>0</v>
      </c>
      <c r="V314" s="65">
        <v>0</v>
      </c>
      <c r="W314" s="65">
        <v>0</v>
      </c>
      <c r="X314" s="60">
        <v>0</v>
      </c>
      <c r="Y314" s="65">
        <v>0</v>
      </c>
    </row>
    <row r="315" spans="1:25">
      <c r="A315" s="60" t="s">
        <v>641</v>
      </c>
      <c r="B315" s="60" t="s">
        <v>643</v>
      </c>
      <c r="C315" s="60" t="s">
        <v>424</v>
      </c>
      <c r="D315" s="60" t="s">
        <v>424</v>
      </c>
      <c r="E315" s="60">
        <v>80302</v>
      </c>
      <c r="F315" s="52">
        <v>9723</v>
      </c>
      <c r="G315" s="52">
        <v>10000</v>
      </c>
      <c r="H315" s="52">
        <v>10429</v>
      </c>
      <c r="I315" s="52">
        <v>14291</v>
      </c>
      <c r="J315" s="52">
        <v>14720</v>
      </c>
      <c r="K315" s="52">
        <v>15149</v>
      </c>
      <c r="L315" s="52">
        <v>0</v>
      </c>
      <c r="M315" s="52">
        <v>0</v>
      </c>
      <c r="N315" s="52">
        <v>0</v>
      </c>
      <c r="O315" s="52">
        <v>0</v>
      </c>
      <c r="P315" s="52">
        <v>0</v>
      </c>
      <c r="Q315" s="52">
        <v>0</v>
      </c>
      <c r="R315" s="60">
        <v>0</v>
      </c>
      <c r="S315" s="60">
        <v>0</v>
      </c>
      <c r="T315" s="60">
        <v>0</v>
      </c>
      <c r="U315" s="65">
        <v>0</v>
      </c>
      <c r="V315" s="65">
        <v>0</v>
      </c>
      <c r="W315" s="65">
        <v>0</v>
      </c>
      <c r="X315" s="60">
        <v>0</v>
      </c>
      <c r="Y315" s="65">
        <v>0</v>
      </c>
    </row>
    <row r="316" spans="1:25">
      <c r="A316" s="60" t="s">
        <v>641</v>
      </c>
      <c r="B316" s="60" t="s">
        <v>643</v>
      </c>
      <c r="C316" s="60" t="s">
        <v>425</v>
      </c>
      <c r="D316" s="60" t="s">
        <v>425</v>
      </c>
      <c r="E316" s="60">
        <v>80303</v>
      </c>
      <c r="F316" s="52">
        <v>1969</v>
      </c>
      <c r="G316" s="52">
        <v>2002</v>
      </c>
      <c r="H316" s="52">
        <v>2100</v>
      </c>
      <c r="I316" s="52">
        <v>2985</v>
      </c>
      <c r="J316" s="52">
        <v>3084</v>
      </c>
      <c r="K316" s="52">
        <v>3182</v>
      </c>
      <c r="L316" s="52">
        <v>0</v>
      </c>
      <c r="M316" s="52">
        <v>0</v>
      </c>
      <c r="N316" s="52">
        <v>0</v>
      </c>
      <c r="O316" s="52">
        <v>0</v>
      </c>
      <c r="P316" s="52">
        <v>0</v>
      </c>
      <c r="Q316" s="52">
        <v>0</v>
      </c>
      <c r="R316" s="60">
        <v>0</v>
      </c>
      <c r="S316" s="60">
        <v>0</v>
      </c>
      <c r="T316" s="60">
        <v>0</v>
      </c>
      <c r="U316" s="65">
        <v>0</v>
      </c>
      <c r="V316" s="65">
        <v>0</v>
      </c>
      <c r="W316" s="65">
        <v>0</v>
      </c>
      <c r="X316" s="60">
        <v>0</v>
      </c>
      <c r="Y316" s="65">
        <v>0</v>
      </c>
    </row>
    <row r="317" spans="1:25">
      <c r="A317" s="60" t="s">
        <v>641</v>
      </c>
      <c r="B317" s="60" t="s">
        <v>643</v>
      </c>
      <c r="C317" s="60" t="s">
        <v>426</v>
      </c>
      <c r="D317" s="60" t="s">
        <v>644</v>
      </c>
      <c r="E317" s="60">
        <v>80304</v>
      </c>
      <c r="F317" s="52">
        <v>4918</v>
      </c>
      <c r="G317" s="52">
        <v>5151</v>
      </c>
      <c r="H317" s="52">
        <v>5390</v>
      </c>
      <c r="I317" s="52">
        <v>7543</v>
      </c>
      <c r="J317" s="52">
        <v>7782</v>
      </c>
      <c r="K317" s="52">
        <v>8021</v>
      </c>
      <c r="L317" s="52">
        <v>0</v>
      </c>
      <c r="M317" s="52">
        <v>0</v>
      </c>
      <c r="N317" s="52">
        <v>0</v>
      </c>
      <c r="O317" s="52">
        <v>0</v>
      </c>
      <c r="P317" s="52">
        <v>0</v>
      </c>
      <c r="Q317" s="52">
        <v>0</v>
      </c>
      <c r="R317" s="60">
        <v>0</v>
      </c>
      <c r="S317" s="60">
        <v>0</v>
      </c>
      <c r="T317" s="60">
        <v>0</v>
      </c>
      <c r="U317" s="65">
        <v>0</v>
      </c>
      <c r="V317" s="65">
        <v>0</v>
      </c>
      <c r="W317" s="65">
        <v>0</v>
      </c>
      <c r="X317" s="60">
        <v>0</v>
      </c>
      <c r="Y317" s="65">
        <v>0</v>
      </c>
    </row>
    <row r="318" spans="1:25">
      <c r="A318" s="60" t="s">
        <v>641</v>
      </c>
      <c r="B318" s="60" t="s">
        <v>645</v>
      </c>
      <c r="C318" s="60" t="s">
        <v>427</v>
      </c>
      <c r="D318" s="60" t="s">
        <v>646</v>
      </c>
      <c r="E318" s="60">
        <v>80401</v>
      </c>
      <c r="F318" s="52">
        <v>3657</v>
      </c>
      <c r="G318" s="52">
        <v>3667</v>
      </c>
      <c r="H318" s="52">
        <v>3766</v>
      </c>
      <c r="I318" s="52">
        <v>4655</v>
      </c>
      <c r="J318" s="52">
        <v>4753</v>
      </c>
      <c r="K318" s="52">
        <v>4852</v>
      </c>
      <c r="L318" s="52">
        <v>0</v>
      </c>
      <c r="M318" s="52">
        <v>0</v>
      </c>
      <c r="N318" s="52">
        <v>0</v>
      </c>
      <c r="O318" s="52">
        <v>0</v>
      </c>
      <c r="P318" s="52">
        <v>0</v>
      </c>
      <c r="Q318" s="52">
        <v>0</v>
      </c>
      <c r="R318" s="60">
        <v>0</v>
      </c>
      <c r="S318" s="60">
        <v>0</v>
      </c>
      <c r="T318" s="60">
        <v>0</v>
      </c>
      <c r="U318" s="65">
        <v>0</v>
      </c>
      <c r="V318" s="65">
        <v>0</v>
      </c>
      <c r="W318" s="65">
        <v>0</v>
      </c>
      <c r="X318" s="60">
        <v>0</v>
      </c>
      <c r="Y318" s="65">
        <v>0</v>
      </c>
    </row>
    <row r="319" spans="1:25">
      <c r="A319" s="60" t="s">
        <v>641</v>
      </c>
      <c r="B319" s="60" t="s">
        <v>645</v>
      </c>
      <c r="C319" s="60" t="s">
        <v>428</v>
      </c>
      <c r="D319" s="60" t="s">
        <v>428</v>
      </c>
      <c r="E319" s="60">
        <v>80402</v>
      </c>
      <c r="F319" s="52">
        <v>970</v>
      </c>
      <c r="G319" s="52">
        <v>955</v>
      </c>
      <c r="H319" s="52">
        <v>1009</v>
      </c>
      <c r="I319" s="52">
        <v>1492</v>
      </c>
      <c r="J319" s="52">
        <v>1545</v>
      </c>
      <c r="K319" s="52">
        <v>1599</v>
      </c>
      <c r="L319" s="52">
        <v>0</v>
      </c>
      <c r="M319" s="52">
        <v>0</v>
      </c>
      <c r="N319" s="52">
        <v>0</v>
      </c>
      <c r="O319" s="52">
        <v>0</v>
      </c>
      <c r="P319" s="52">
        <v>0</v>
      </c>
      <c r="Q319" s="52">
        <v>0</v>
      </c>
      <c r="R319" s="60">
        <v>0</v>
      </c>
      <c r="S319" s="60">
        <v>0</v>
      </c>
      <c r="T319" s="60">
        <v>0</v>
      </c>
      <c r="U319" s="65">
        <v>0</v>
      </c>
      <c r="V319" s="65">
        <v>0</v>
      </c>
      <c r="W319" s="65">
        <v>0</v>
      </c>
      <c r="X319" s="60">
        <v>0</v>
      </c>
      <c r="Y319" s="65">
        <v>0</v>
      </c>
    </row>
    <row r="320" spans="1:25">
      <c r="A320" s="60" t="s">
        <v>641</v>
      </c>
      <c r="B320" s="60" t="s">
        <v>647</v>
      </c>
      <c r="C320" s="60" t="s">
        <v>429</v>
      </c>
      <c r="D320" s="60" t="s">
        <v>429</v>
      </c>
      <c r="E320" s="60">
        <v>80501</v>
      </c>
      <c r="F320" s="52">
        <v>4321</v>
      </c>
      <c r="G320" s="52">
        <v>4423</v>
      </c>
      <c r="H320" s="52">
        <v>4605</v>
      </c>
      <c r="I320" s="52">
        <v>6242</v>
      </c>
      <c r="J320" s="52">
        <v>6424</v>
      </c>
      <c r="K320" s="52">
        <v>6606</v>
      </c>
      <c r="L320" s="52">
        <v>0</v>
      </c>
      <c r="M320" s="52">
        <v>0</v>
      </c>
      <c r="N320" s="52">
        <v>0</v>
      </c>
      <c r="O320" s="52">
        <v>0</v>
      </c>
      <c r="P320" s="52">
        <v>0</v>
      </c>
      <c r="Q320" s="52">
        <v>0</v>
      </c>
      <c r="R320" s="60">
        <v>0</v>
      </c>
      <c r="S320" s="60">
        <v>0</v>
      </c>
      <c r="T320" s="60">
        <v>0</v>
      </c>
      <c r="U320" s="65">
        <v>0</v>
      </c>
      <c r="V320" s="65">
        <v>0</v>
      </c>
      <c r="W320" s="65">
        <v>0</v>
      </c>
      <c r="X320" s="60">
        <v>0</v>
      </c>
      <c r="Y320" s="65">
        <v>0</v>
      </c>
    </row>
    <row r="321" spans="1:25">
      <c r="A321" s="60" t="s">
        <v>641</v>
      </c>
      <c r="B321" s="60" t="s">
        <v>648</v>
      </c>
      <c r="C321" s="60" t="s">
        <v>430</v>
      </c>
      <c r="D321" s="60" t="s">
        <v>430</v>
      </c>
      <c r="E321" s="60">
        <v>80601</v>
      </c>
      <c r="F321" s="52">
        <v>947</v>
      </c>
      <c r="G321" s="52">
        <v>966</v>
      </c>
      <c r="H321" s="52">
        <v>988</v>
      </c>
      <c r="I321" s="52">
        <v>1189</v>
      </c>
      <c r="J321" s="52">
        <v>1212</v>
      </c>
      <c r="K321" s="52">
        <v>1234</v>
      </c>
      <c r="L321" s="52">
        <v>0</v>
      </c>
      <c r="M321" s="52">
        <v>0</v>
      </c>
      <c r="N321" s="52">
        <v>0</v>
      </c>
      <c r="O321" s="52">
        <v>0</v>
      </c>
      <c r="P321" s="52">
        <v>0</v>
      </c>
      <c r="Q321" s="52">
        <v>0</v>
      </c>
      <c r="R321" s="60">
        <v>0</v>
      </c>
      <c r="S321" s="60">
        <v>0</v>
      </c>
      <c r="T321" s="60">
        <v>0</v>
      </c>
      <c r="U321" s="65">
        <v>0</v>
      </c>
      <c r="V321" s="65">
        <v>0</v>
      </c>
      <c r="W321" s="65">
        <v>0</v>
      </c>
      <c r="X321" s="60">
        <v>0</v>
      </c>
      <c r="Y321" s="65">
        <v>0</v>
      </c>
    </row>
    <row r="322" spans="1:25">
      <c r="A322" s="60" t="s">
        <v>641</v>
      </c>
      <c r="B322" s="60" t="s">
        <v>648</v>
      </c>
      <c r="C322" s="60" t="s">
        <v>431</v>
      </c>
      <c r="D322" s="60" t="s">
        <v>431</v>
      </c>
      <c r="E322" s="60">
        <v>80602</v>
      </c>
      <c r="F322" s="52">
        <v>2994</v>
      </c>
      <c r="G322" s="52">
        <v>3082</v>
      </c>
      <c r="H322" s="52">
        <v>3305</v>
      </c>
      <c r="I322" s="52">
        <v>5309</v>
      </c>
      <c r="J322" s="52">
        <v>5531</v>
      </c>
      <c r="K322" s="52">
        <v>5754</v>
      </c>
      <c r="L322" s="52">
        <v>0</v>
      </c>
      <c r="M322" s="52">
        <v>0</v>
      </c>
      <c r="N322" s="52">
        <v>0</v>
      </c>
      <c r="O322" s="52">
        <v>0</v>
      </c>
      <c r="P322" s="52">
        <v>0</v>
      </c>
      <c r="Q322" s="52">
        <v>0</v>
      </c>
      <c r="R322" s="60">
        <v>0</v>
      </c>
      <c r="S322" s="60">
        <v>0</v>
      </c>
      <c r="T322" s="60">
        <v>0</v>
      </c>
      <c r="U322" s="65">
        <v>0</v>
      </c>
      <c r="V322" s="65">
        <v>0</v>
      </c>
      <c r="W322" s="65">
        <v>0</v>
      </c>
      <c r="X322" s="60">
        <v>0</v>
      </c>
      <c r="Y322" s="65">
        <v>0</v>
      </c>
    </row>
    <row r="323" spans="1:25">
      <c r="A323" s="60" t="s">
        <v>641</v>
      </c>
      <c r="B323" s="60" t="s">
        <v>649</v>
      </c>
      <c r="C323" s="60" t="s">
        <v>432</v>
      </c>
      <c r="D323" s="60" t="s">
        <v>432</v>
      </c>
      <c r="E323" s="60">
        <v>80701</v>
      </c>
      <c r="F323" s="52">
        <v>1306</v>
      </c>
      <c r="G323" s="52">
        <v>1338</v>
      </c>
      <c r="H323" s="52">
        <v>1363</v>
      </c>
      <c r="I323" s="52">
        <v>1590</v>
      </c>
      <c r="J323" s="52">
        <v>1615</v>
      </c>
      <c r="K323" s="52">
        <v>1640</v>
      </c>
      <c r="L323" s="52">
        <v>0</v>
      </c>
      <c r="M323" s="52">
        <v>0</v>
      </c>
      <c r="N323" s="52">
        <v>0</v>
      </c>
      <c r="O323" s="52">
        <v>0</v>
      </c>
      <c r="P323" s="52">
        <v>0</v>
      </c>
      <c r="Q323" s="52">
        <v>0</v>
      </c>
      <c r="R323" s="60">
        <v>0</v>
      </c>
      <c r="S323" s="60">
        <v>0</v>
      </c>
      <c r="T323" s="60">
        <v>0</v>
      </c>
      <c r="U323" s="65">
        <v>0</v>
      </c>
      <c r="V323" s="65">
        <v>0</v>
      </c>
      <c r="W323" s="65">
        <v>0</v>
      </c>
      <c r="X323" s="60">
        <v>0</v>
      </c>
      <c r="Y323" s="65">
        <v>0</v>
      </c>
    </row>
    <row r="324" spans="1:25">
      <c r="A324" s="60" t="s">
        <v>641</v>
      </c>
      <c r="B324" s="60" t="s">
        <v>649</v>
      </c>
      <c r="C324" s="60" t="s">
        <v>415</v>
      </c>
      <c r="D324" s="60" t="s">
        <v>415</v>
      </c>
      <c r="E324" s="60">
        <v>80702</v>
      </c>
      <c r="F324" s="52">
        <v>1243</v>
      </c>
      <c r="G324" s="52">
        <v>1270</v>
      </c>
      <c r="H324" s="52">
        <v>1308</v>
      </c>
      <c r="I324" s="52">
        <v>1645</v>
      </c>
      <c r="J324" s="52">
        <v>1683</v>
      </c>
      <c r="K324" s="52">
        <v>1720</v>
      </c>
      <c r="L324" s="52">
        <v>0</v>
      </c>
      <c r="M324" s="52">
        <v>0</v>
      </c>
      <c r="N324" s="52">
        <v>0</v>
      </c>
      <c r="O324" s="52">
        <v>0</v>
      </c>
      <c r="P324" s="52">
        <v>0</v>
      </c>
      <c r="Q324" s="52">
        <v>0</v>
      </c>
      <c r="R324" s="60">
        <v>0</v>
      </c>
      <c r="S324" s="60">
        <v>0</v>
      </c>
      <c r="T324" s="60">
        <v>0</v>
      </c>
      <c r="U324" s="65">
        <v>0</v>
      </c>
      <c r="V324" s="65">
        <v>0</v>
      </c>
      <c r="W324" s="65">
        <v>0</v>
      </c>
      <c r="X324" s="60">
        <v>0</v>
      </c>
      <c r="Y324" s="65">
        <v>0</v>
      </c>
    </row>
    <row r="325" spans="1:25">
      <c r="A325" s="60" t="s">
        <v>641</v>
      </c>
      <c r="B325" s="60" t="s">
        <v>649</v>
      </c>
      <c r="C325" s="60" t="s">
        <v>433</v>
      </c>
      <c r="D325" s="60" t="s">
        <v>433</v>
      </c>
      <c r="E325" s="60">
        <v>80703</v>
      </c>
      <c r="F325" s="52">
        <v>246</v>
      </c>
      <c r="G325" s="52">
        <v>249</v>
      </c>
      <c r="H325" s="52">
        <v>255</v>
      </c>
      <c r="I325" s="52">
        <v>312</v>
      </c>
      <c r="J325" s="52">
        <v>318</v>
      </c>
      <c r="K325" s="52">
        <v>324</v>
      </c>
      <c r="L325" s="52">
        <v>0</v>
      </c>
      <c r="M325" s="52">
        <v>0</v>
      </c>
      <c r="N325" s="52">
        <v>0</v>
      </c>
      <c r="O325" s="52">
        <v>0</v>
      </c>
      <c r="P325" s="52">
        <v>0</v>
      </c>
      <c r="Q325" s="52">
        <v>0</v>
      </c>
      <c r="R325" s="60">
        <v>0</v>
      </c>
      <c r="S325" s="60">
        <v>0</v>
      </c>
      <c r="T325" s="60">
        <v>0</v>
      </c>
      <c r="U325" s="65">
        <v>0</v>
      </c>
      <c r="V325" s="65">
        <v>0</v>
      </c>
      <c r="W325" s="65">
        <v>0</v>
      </c>
      <c r="X325" s="60">
        <v>0</v>
      </c>
      <c r="Y325" s="65">
        <v>0</v>
      </c>
    </row>
    <row r="326" spans="1:25">
      <c r="A326" s="60" t="s">
        <v>641</v>
      </c>
      <c r="B326" s="60" t="s">
        <v>650</v>
      </c>
      <c r="C326" s="60" t="s">
        <v>434</v>
      </c>
      <c r="D326" s="60" t="s">
        <v>434</v>
      </c>
      <c r="E326" s="60">
        <v>80801</v>
      </c>
      <c r="F326" s="52">
        <v>2356</v>
      </c>
      <c r="G326" s="52">
        <v>2408</v>
      </c>
      <c r="H326" s="52">
        <v>2484</v>
      </c>
      <c r="I326" s="52">
        <v>3164</v>
      </c>
      <c r="J326" s="52">
        <v>3239</v>
      </c>
      <c r="K326" s="52">
        <v>3315</v>
      </c>
      <c r="L326" s="52">
        <v>0</v>
      </c>
      <c r="M326" s="52">
        <v>0</v>
      </c>
      <c r="N326" s="52">
        <v>0</v>
      </c>
      <c r="O326" s="52">
        <v>0</v>
      </c>
      <c r="P326" s="52">
        <v>0</v>
      </c>
      <c r="Q326" s="52">
        <v>0</v>
      </c>
      <c r="R326" s="60">
        <v>0</v>
      </c>
      <c r="S326" s="60">
        <v>0</v>
      </c>
      <c r="T326" s="60">
        <v>0</v>
      </c>
      <c r="U326" s="65">
        <v>0</v>
      </c>
      <c r="V326" s="65">
        <v>0</v>
      </c>
      <c r="W326" s="65">
        <v>0</v>
      </c>
      <c r="X326" s="60">
        <v>0</v>
      </c>
      <c r="Y326" s="65">
        <v>0</v>
      </c>
    </row>
    <row r="327" spans="1:25">
      <c r="A327" s="60" t="s">
        <v>641</v>
      </c>
      <c r="B327" s="60" t="s">
        <v>650</v>
      </c>
      <c r="C327" s="60" t="s">
        <v>435</v>
      </c>
      <c r="D327" s="60" t="s">
        <v>435</v>
      </c>
      <c r="E327" s="60">
        <v>80802</v>
      </c>
      <c r="F327" s="52">
        <v>1386</v>
      </c>
      <c r="G327" s="52">
        <v>1437</v>
      </c>
      <c r="H327" s="52">
        <v>1509</v>
      </c>
      <c r="I327" s="52">
        <v>2154</v>
      </c>
      <c r="J327" s="52">
        <v>2225</v>
      </c>
      <c r="K327" s="52">
        <v>2297</v>
      </c>
      <c r="L327" s="52">
        <v>0</v>
      </c>
      <c r="M327" s="52">
        <v>0</v>
      </c>
      <c r="N327" s="52">
        <v>0</v>
      </c>
      <c r="O327" s="52">
        <v>0</v>
      </c>
      <c r="P327" s="52">
        <v>0</v>
      </c>
      <c r="Q327" s="52">
        <v>0</v>
      </c>
      <c r="R327" s="60">
        <v>0</v>
      </c>
      <c r="S327" s="60">
        <v>0</v>
      </c>
      <c r="T327" s="60">
        <v>0</v>
      </c>
      <c r="U327" s="65">
        <v>0</v>
      </c>
      <c r="V327" s="65">
        <v>0</v>
      </c>
      <c r="W327" s="65">
        <v>0</v>
      </c>
      <c r="X327" s="60">
        <v>0</v>
      </c>
      <c r="Y327" s="65">
        <v>0</v>
      </c>
    </row>
    <row r="328" spans="1:25">
      <c r="A328" s="60" t="s">
        <v>641</v>
      </c>
      <c r="B328" s="60" t="s">
        <v>650</v>
      </c>
      <c r="C328" s="60" t="s">
        <v>436</v>
      </c>
      <c r="D328" s="60" t="s">
        <v>436</v>
      </c>
      <c r="E328" s="60">
        <v>80803</v>
      </c>
      <c r="F328" s="52">
        <v>853</v>
      </c>
      <c r="G328" s="52">
        <v>875</v>
      </c>
      <c r="H328" s="52">
        <v>897</v>
      </c>
      <c r="I328" s="52">
        <v>1092</v>
      </c>
      <c r="J328" s="52">
        <v>1113</v>
      </c>
      <c r="K328" s="52">
        <v>1135</v>
      </c>
      <c r="L328" s="52">
        <v>0</v>
      </c>
      <c r="M328" s="52">
        <v>0</v>
      </c>
      <c r="N328" s="52">
        <v>0</v>
      </c>
      <c r="O328" s="52">
        <v>0</v>
      </c>
      <c r="P328" s="52">
        <v>0</v>
      </c>
      <c r="Q328" s="52">
        <v>0</v>
      </c>
      <c r="R328" s="60">
        <v>0</v>
      </c>
      <c r="S328" s="60">
        <v>0</v>
      </c>
      <c r="T328" s="60">
        <v>0</v>
      </c>
      <c r="U328" s="65">
        <v>0</v>
      </c>
      <c r="V328" s="65">
        <v>0</v>
      </c>
      <c r="W328" s="65">
        <v>0</v>
      </c>
      <c r="X328" s="60">
        <v>0</v>
      </c>
      <c r="Y328" s="65">
        <v>0</v>
      </c>
    </row>
    <row r="329" spans="1:25">
      <c r="A329" s="60" t="s">
        <v>641</v>
      </c>
      <c r="B329" s="60" t="s">
        <v>647</v>
      </c>
      <c r="C329" s="60" t="s">
        <v>651</v>
      </c>
      <c r="D329" s="60" t="s">
        <v>651</v>
      </c>
      <c r="E329" s="60">
        <v>80901</v>
      </c>
      <c r="F329" s="52">
        <v>647</v>
      </c>
      <c r="G329" s="52">
        <v>679</v>
      </c>
      <c r="H329" s="52">
        <v>705</v>
      </c>
      <c r="I329" s="52">
        <v>937</v>
      </c>
      <c r="J329" s="52">
        <v>962</v>
      </c>
      <c r="K329" s="52">
        <v>988</v>
      </c>
      <c r="L329" s="52">
        <v>0</v>
      </c>
      <c r="M329" s="52">
        <v>0</v>
      </c>
      <c r="N329" s="52">
        <v>0</v>
      </c>
      <c r="O329" s="52">
        <v>0</v>
      </c>
      <c r="P329" s="52">
        <v>0</v>
      </c>
      <c r="Q329" s="52">
        <v>0</v>
      </c>
      <c r="R329" s="60">
        <v>0</v>
      </c>
      <c r="S329" s="60">
        <v>0</v>
      </c>
      <c r="T329" s="60">
        <v>0</v>
      </c>
      <c r="U329" s="65">
        <v>0</v>
      </c>
      <c r="V329" s="65">
        <v>0</v>
      </c>
      <c r="W329" s="65">
        <v>0</v>
      </c>
      <c r="X329" s="60">
        <v>0</v>
      </c>
      <c r="Y329" s="65">
        <v>0</v>
      </c>
    </row>
    <row r="330" spans="1:25">
      <c r="A330" s="60" t="s">
        <v>652</v>
      </c>
      <c r="B330" s="60" t="s">
        <v>653</v>
      </c>
      <c r="C330" s="60" t="s">
        <v>437</v>
      </c>
      <c r="D330" s="60" t="s">
        <v>437</v>
      </c>
      <c r="E330" s="60">
        <v>90101</v>
      </c>
      <c r="F330" s="52">
        <v>12912</v>
      </c>
      <c r="G330" s="52">
        <v>13655</v>
      </c>
      <c r="H330" s="52">
        <v>14148</v>
      </c>
      <c r="I330" s="52">
        <v>18589</v>
      </c>
      <c r="J330" s="52">
        <v>19083</v>
      </c>
      <c r="K330" s="52">
        <v>19576</v>
      </c>
      <c r="L330" s="52">
        <v>0</v>
      </c>
      <c r="M330" s="52">
        <v>0</v>
      </c>
      <c r="N330" s="52">
        <v>0</v>
      </c>
      <c r="O330" s="52">
        <v>0</v>
      </c>
      <c r="P330" s="52">
        <v>0</v>
      </c>
      <c r="Q330" s="52">
        <v>0</v>
      </c>
      <c r="R330" s="60">
        <v>0</v>
      </c>
      <c r="S330" s="60">
        <v>0</v>
      </c>
      <c r="T330" s="60">
        <v>0</v>
      </c>
      <c r="U330" s="65">
        <v>0</v>
      </c>
      <c r="V330" s="65">
        <v>0</v>
      </c>
      <c r="W330" s="65">
        <v>0</v>
      </c>
      <c r="X330" s="60">
        <v>0</v>
      </c>
      <c r="Y330" s="65">
        <v>0</v>
      </c>
    </row>
    <row r="331" spans="1:25">
      <c r="A331" s="60" t="s">
        <v>652</v>
      </c>
      <c r="B331" s="60" t="s">
        <v>653</v>
      </c>
      <c r="C331" s="60" t="s">
        <v>438</v>
      </c>
      <c r="D331" s="60" t="s">
        <v>438</v>
      </c>
      <c r="E331" s="60">
        <v>90102</v>
      </c>
      <c r="F331" s="52">
        <v>1712</v>
      </c>
      <c r="G331" s="52">
        <v>1786</v>
      </c>
      <c r="H331" s="52">
        <v>1847</v>
      </c>
      <c r="I331" s="52">
        <v>2400</v>
      </c>
      <c r="J331" s="52">
        <v>2462</v>
      </c>
      <c r="K331" s="52">
        <v>2523</v>
      </c>
      <c r="L331" s="52">
        <v>0</v>
      </c>
      <c r="M331" s="52">
        <v>0</v>
      </c>
      <c r="N331" s="52">
        <v>0</v>
      </c>
      <c r="O331" s="52">
        <v>0</v>
      </c>
      <c r="P331" s="52">
        <v>0</v>
      </c>
      <c r="Q331" s="52">
        <v>0</v>
      </c>
      <c r="R331" s="60">
        <v>0</v>
      </c>
      <c r="S331" s="60">
        <v>0</v>
      </c>
      <c r="T331" s="60">
        <v>0</v>
      </c>
      <c r="U331" s="65">
        <v>0</v>
      </c>
      <c r="V331" s="65">
        <v>0</v>
      </c>
      <c r="W331" s="65">
        <v>0</v>
      </c>
      <c r="X331" s="60">
        <v>0</v>
      </c>
      <c r="Y331" s="65">
        <v>0</v>
      </c>
    </row>
    <row r="332" spans="1:25">
      <c r="A332" s="60" t="s">
        <v>652</v>
      </c>
      <c r="B332" s="60" t="s">
        <v>653</v>
      </c>
      <c r="C332" s="60" t="s">
        <v>439</v>
      </c>
      <c r="D332" s="60" t="s">
        <v>439</v>
      </c>
      <c r="E332" s="60">
        <v>90103</v>
      </c>
      <c r="F332" s="52">
        <v>581</v>
      </c>
      <c r="G332" s="52">
        <v>601</v>
      </c>
      <c r="H332" s="52">
        <v>636</v>
      </c>
      <c r="I332" s="52">
        <v>952</v>
      </c>
      <c r="J332" s="52">
        <v>987</v>
      </c>
      <c r="K332" s="52">
        <v>1022</v>
      </c>
      <c r="L332" s="52">
        <v>0</v>
      </c>
      <c r="M332" s="52">
        <v>0</v>
      </c>
      <c r="N332" s="52">
        <v>0</v>
      </c>
      <c r="O332" s="52">
        <v>0</v>
      </c>
      <c r="P332" s="52">
        <v>0</v>
      </c>
      <c r="Q332" s="52">
        <v>0</v>
      </c>
      <c r="R332" s="60">
        <v>0</v>
      </c>
      <c r="S332" s="60">
        <v>0</v>
      </c>
      <c r="T332" s="60">
        <v>0</v>
      </c>
      <c r="U332" s="65">
        <v>0</v>
      </c>
      <c r="V332" s="65">
        <v>0</v>
      </c>
      <c r="W332" s="65">
        <v>0</v>
      </c>
      <c r="X332" s="60">
        <v>0</v>
      </c>
      <c r="Y332" s="65">
        <v>0</v>
      </c>
    </row>
    <row r="333" spans="1:25">
      <c r="A333" s="60" t="s">
        <v>652</v>
      </c>
      <c r="B333" s="60" t="s">
        <v>653</v>
      </c>
      <c r="C333" s="60" t="s">
        <v>440</v>
      </c>
      <c r="D333" s="60" t="s">
        <v>440</v>
      </c>
      <c r="E333" s="60">
        <v>90104</v>
      </c>
      <c r="F333" s="52">
        <v>1102</v>
      </c>
      <c r="G333" s="52">
        <v>1154</v>
      </c>
      <c r="H333" s="52">
        <v>1187</v>
      </c>
      <c r="I333" s="52">
        <v>1479</v>
      </c>
      <c r="J333" s="52">
        <v>1512</v>
      </c>
      <c r="K333" s="52">
        <v>1544</v>
      </c>
      <c r="L333" s="52">
        <v>0</v>
      </c>
      <c r="M333" s="52">
        <v>0</v>
      </c>
      <c r="N333" s="52">
        <v>0</v>
      </c>
      <c r="O333" s="52">
        <v>0</v>
      </c>
      <c r="P333" s="52">
        <v>0</v>
      </c>
      <c r="Q333" s="52">
        <v>0</v>
      </c>
      <c r="R333" s="60">
        <v>0</v>
      </c>
      <c r="S333" s="60">
        <v>0</v>
      </c>
      <c r="T333" s="60">
        <v>0</v>
      </c>
      <c r="U333" s="65">
        <v>0</v>
      </c>
      <c r="V333" s="65">
        <v>0</v>
      </c>
      <c r="W333" s="65">
        <v>0</v>
      </c>
      <c r="X333" s="60">
        <v>0</v>
      </c>
      <c r="Y333" s="65">
        <v>0</v>
      </c>
    </row>
    <row r="334" spans="1:25">
      <c r="A334" s="60" t="s">
        <v>652</v>
      </c>
      <c r="B334" s="60" t="s">
        <v>654</v>
      </c>
      <c r="C334" s="60" t="s">
        <v>441</v>
      </c>
      <c r="D334" s="60" t="s">
        <v>441</v>
      </c>
      <c r="E334" s="60">
        <v>90201</v>
      </c>
      <c r="F334" s="52">
        <v>1483</v>
      </c>
      <c r="G334" s="52">
        <v>1549</v>
      </c>
      <c r="H334" s="52">
        <v>1630</v>
      </c>
      <c r="I334" s="52">
        <v>2356</v>
      </c>
      <c r="J334" s="52">
        <v>2436</v>
      </c>
      <c r="K334" s="52">
        <v>2517</v>
      </c>
      <c r="L334" s="52">
        <v>0</v>
      </c>
      <c r="M334" s="52">
        <v>0</v>
      </c>
      <c r="N334" s="52">
        <v>0</v>
      </c>
      <c r="O334" s="52">
        <v>0</v>
      </c>
      <c r="P334" s="52">
        <v>0</v>
      </c>
      <c r="Q334" s="52">
        <v>0</v>
      </c>
      <c r="R334" s="60">
        <v>0</v>
      </c>
      <c r="S334" s="60">
        <v>0</v>
      </c>
      <c r="T334" s="60">
        <v>0</v>
      </c>
      <c r="U334" s="65">
        <v>0</v>
      </c>
      <c r="V334" s="65">
        <v>0</v>
      </c>
      <c r="W334" s="65">
        <v>0</v>
      </c>
      <c r="X334" s="60">
        <v>0</v>
      </c>
      <c r="Y334" s="65">
        <v>0</v>
      </c>
    </row>
    <row r="335" spans="1:25">
      <c r="A335" s="60" t="s">
        <v>652</v>
      </c>
      <c r="B335" s="60" t="s">
        <v>654</v>
      </c>
      <c r="C335" s="60" t="s">
        <v>412</v>
      </c>
      <c r="D335" s="60" t="s">
        <v>412</v>
      </c>
      <c r="E335" s="60">
        <v>90202</v>
      </c>
      <c r="F335" s="52">
        <v>578</v>
      </c>
      <c r="G335" s="52">
        <v>613</v>
      </c>
      <c r="H335" s="52">
        <v>615</v>
      </c>
      <c r="I335" s="52">
        <v>629</v>
      </c>
      <c r="J335" s="52">
        <v>630</v>
      </c>
      <c r="K335" s="52">
        <v>632</v>
      </c>
      <c r="L335" s="52">
        <v>0</v>
      </c>
      <c r="M335" s="52">
        <v>0</v>
      </c>
      <c r="N335" s="52">
        <v>0</v>
      </c>
      <c r="O335" s="52">
        <v>0</v>
      </c>
      <c r="P335" s="52">
        <v>0</v>
      </c>
      <c r="Q335" s="52">
        <v>0</v>
      </c>
      <c r="R335" s="60">
        <v>0</v>
      </c>
      <c r="S335" s="60">
        <v>0</v>
      </c>
      <c r="T335" s="60">
        <v>0</v>
      </c>
      <c r="U335" s="65">
        <v>0</v>
      </c>
      <c r="V335" s="65">
        <v>0</v>
      </c>
      <c r="W335" s="65">
        <v>0</v>
      </c>
      <c r="X335" s="60">
        <v>0</v>
      </c>
      <c r="Y335" s="65">
        <v>0</v>
      </c>
    </row>
    <row r="336" spans="1:25">
      <c r="A336" s="60" t="s">
        <v>652</v>
      </c>
      <c r="B336" s="60" t="s">
        <v>654</v>
      </c>
      <c r="C336" s="60" t="s">
        <v>442</v>
      </c>
      <c r="D336" s="60" t="s">
        <v>442</v>
      </c>
      <c r="E336" s="60">
        <v>90203</v>
      </c>
      <c r="F336" s="52">
        <v>1385</v>
      </c>
      <c r="G336" s="52">
        <v>1459</v>
      </c>
      <c r="H336" s="52">
        <v>1598</v>
      </c>
      <c r="I336" s="52">
        <v>2844</v>
      </c>
      <c r="J336" s="52">
        <v>2983</v>
      </c>
      <c r="K336" s="52">
        <v>3121</v>
      </c>
      <c r="L336" s="52">
        <v>0</v>
      </c>
      <c r="M336" s="52">
        <v>0</v>
      </c>
      <c r="N336" s="52">
        <v>0</v>
      </c>
      <c r="O336" s="52">
        <v>0</v>
      </c>
      <c r="P336" s="52">
        <v>0</v>
      </c>
      <c r="Q336" s="52">
        <v>0</v>
      </c>
      <c r="R336" s="60">
        <v>0</v>
      </c>
      <c r="S336" s="60">
        <v>0</v>
      </c>
      <c r="T336" s="60">
        <v>0</v>
      </c>
      <c r="U336" s="65">
        <v>0</v>
      </c>
      <c r="V336" s="65">
        <v>0</v>
      </c>
      <c r="W336" s="65">
        <v>0</v>
      </c>
      <c r="X336" s="60">
        <v>0</v>
      </c>
      <c r="Y336" s="65">
        <v>0</v>
      </c>
    </row>
    <row r="337" spans="1:25">
      <c r="A337" s="60" t="s">
        <v>652</v>
      </c>
      <c r="B337" s="60" t="s">
        <v>655</v>
      </c>
      <c r="C337" s="60" t="s">
        <v>443</v>
      </c>
      <c r="D337" s="60" t="s">
        <v>443</v>
      </c>
      <c r="E337" s="60">
        <v>90301</v>
      </c>
      <c r="F337" s="52">
        <v>998</v>
      </c>
      <c r="G337" s="52">
        <v>1037</v>
      </c>
      <c r="H337" s="52">
        <v>1119</v>
      </c>
      <c r="I337" s="52">
        <v>1852</v>
      </c>
      <c r="J337" s="52">
        <v>1934</v>
      </c>
      <c r="K337" s="52">
        <v>2015</v>
      </c>
      <c r="L337" s="52">
        <v>0</v>
      </c>
      <c r="M337" s="52">
        <v>0</v>
      </c>
      <c r="N337" s="52">
        <v>0</v>
      </c>
      <c r="O337" s="52">
        <v>0</v>
      </c>
      <c r="P337" s="52">
        <v>0</v>
      </c>
      <c r="Q337" s="52">
        <v>0</v>
      </c>
      <c r="R337" s="60">
        <v>0</v>
      </c>
      <c r="S337" s="60">
        <v>0</v>
      </c>
      <c r="T337" s="60">
        <v>0</v>
      </c>
      <c r="U337" s="65">
        <v>0</v>
      </c>
      <c r="V337" s="65">
        <v>0</v>
      </c>
      <c r="W337" s="65">
        <v>0</v>
      </c>
      <c r="X337" s="60">
        <v>0</v>
      </c>
      <c r="Y337" s="65">
        <v>0</v>
      </c>
    </row>
    <row r="338" spans="1:25">
      <c r="A338" s="60" t="s">
        <v>652</v>
      </c>
      <c r="B338" s="60" t="s">
        <v>655</v>
      </c>
      <c r="C338" s="60" t="s">
        <v>233</v>
      </c>
      <c r="D338" s="60" t="s">
        <v>233</v>
      </c>
      <c r="E338" s="60">
        <v>90302</v>
      </c>
      <c r="F338" s="52">
        <v>1286</v>
      </c>
      <c r="G338" s="52">
        <v>1347</v>
      </c>
      <c r="H338" s="52">
        <v>1395</v>
      </c>
      <c r="I338" s="52">
        <v>1822</v>
      </c>
      <c r="J338" s="52">
        <v>1870</v>
      </c>
      <c r="K338" s="52">
        <v>1917</v>
      </c>
      <c r="L338" s="52">
        <v>0</v>
      </c>
      <c r="M338" s="52">
        <v>0</v>
      </c>
      <c r="N338" s="52">
        <v>0</v>
      </c>
      <c r="O338" s="52">
        <v>0</v>
      </c>
      <c r="P338" s="52">
        <v>0</v>
      </c>
      <c r="Q338" s="52">
        <v>0</v>
      </c>
      <c r="R338" s="60">
        <v>0</v>
      </c>
      <c r="S338" s="60">
        <v>0</v>
      </c>
      <c r="T338" s="60">
        <v>0</v>
      </c>
      <c r="U338" s="65">
        <v>0</v>
      </c>
      <c r="V338" s="65">
        <v>0</v>
      </c>
      <c r="W338" s="65">
        <v>0</v>
      </c>
      <c r="X338" s="60">
        <v>0</v>
      </c>
      <c r="Y338" s="65">
        <v>0</v>
      </c>
    </row>
    <row r="339" spans="1:25">
      <c r="A339" s="60" t="s">
        <v>652</v>
      </c>
      <c r="B339" s="60" t="s">
        <v>655</v>
      </c>
      <c r="C339" s="60" t="s">
        <v>444</v>
      </c>
      <c r="D339" s="60" t="s">
        <v>444</v>
      </c>
      <c r="E339" s="60">
        <v>90303</v>
      </c>
      <c r="F339" s="52">
        <v>1553</v>
      </c>
      <c r="G339" s="52">
        <v>1668</v>
      </c>
      <c r="H339" s="52">
        <v>1802</v>
      </c>
      <c r="I339" s="52">
        <v>3005</v>
      </c>
      <c r="J339" s="52">
        <v>3138</v>
      </c>
      <c r="K339" s="52">
        <v>3272</v>
      </c>
      <c r="L339" s="52">
        <v>0</v>
      </c>
      <c r="M339" s="52">
        <v>0</v>
      </c>
      <c r="N339" s="52">
        <v>0</v>
      </c>
      <c r="O339" s="52">
        <v>0</v>
      </c>
      <c r="P339" s="52">
        <v>0</v>
      </c>
      <c r="Q339" s="52">
        <v>0</v>
      </c>
      <c r="R339" s="60">
        <v>0</v>
      </c>
      <c r="S339" s="60">
        <v>0</v>
      </c>
      <c r="T339" s="60">
        <v>0</v>
      </c>
      <c r="U339" s="65">
        <v>0</v>
      </c>
      <c r="V339" s="65">
        <v>0</v>
      </c>
      <c r="W339" s="65">
        <v>0</v>
      </c>
      <c r="X339" s="60">
        <v>0</v>
      </c>
      <c r="Y339" s="65">
        <v>0</v>
      </c>
    </row>
    <row r="340" spans="1:25">
      <c r="A340" s="60" t="s">
        <v>652</v>
      </c>
      <c r="B340" s="60" t="s">
        <v>656</v>
      </c>
      <c r="C340" s="60" t="s">
        <v>425</v>
      </c>
      <c r="D340" s="60" t="s">
        <v>425</v>
      </c>
      <c r="E340" s="60">
        <v>90401</v>
      </c>
      <c r="F340" s="52">
        <v>606</v>
      </c>
      <c r="G340" s="52">
        <v>634</v>
      </c>
      <c r="H340" s="52">
        <v>677</v>
      </c>
      <c r="I340" s="52">
        <v>1066</v>
      </c>
      <c r="J340" s="52">
        <v>1109</v>
      </c>
      <c r="K340" s="52">
        <v>1152</v>
      </c>
      <c r="L340" s="52">
        <v>0</v>
      </c>
      <c r="M340" s="52">
        <v>0</v>
      </c>
      <c r="N340" s="52">
        <v>0</v>
      </c>
      <c r="O340" s="52">
        <v>0</v>
      </c>
      <c r="P340" s="52">
        <v>0</v>
      </c>
      <c r="Q340" s="52">
        <v>0</v>
      </c>
      <c r="R340" s="60">
        <v>0</v>
      </c>
      <c r="S340" s="60">
        <v>0</v>
      </c>
      <c r="T340" s="60">
        <v>0</v>
      </c>
      <c r="U340" s="65">
        <v>0</v>
      </c>
      <c r="V340" s="65">
        <v>0</v>
      </c>
      <c r="W340" s="65">
        <v>0</v>
      </c>
      <c r="X340" s="60">
        <v>0</v>
      </c>
      <c r="Y340" s="65">
        <v>0</v>
      </c>
    </row>
    <row r="341" spans="1:25">
      <c r="A341" s="60" t="s">
        <v>652</v>
      </c>
      <c r="B341" s="60" t="s">
        <v>656</v>
      </c>
      <c r="C341" s="60" t="s">
        <v>445</v>
      </c>
      <c r="D341" s="60" t="s">
        <v>445</v>
      </c>
      <c r="E341" s="60">
        <v>90402</v>
      </c>
      <c r="F341" s="52">
        <v>331</v>
      </c>
      <c r="G341" s="52">
        <v>347</v>
      </c>
      <c r="H341" s="52">
        <v>379</v>
      </c>
      <c r="I341" s="52">
        <v>662</v>
      </c>
      <c r="J341" s="52">
        <v>694</v>
      </c>
      <c r="K341" s="52">
        <v>725</v>
      </c>
      <c r="L341" s="52">
        <v>0</v>
      </c>
      <c r="M341" s="52">
        <v>0</v>
      </c>
      <c r="N341" s="52">
        <v>0</v>
      </c>
      <c r="O341" s="52">
        <v>0</v>
      </c>
      <c r="P341" s="52">
        <v>0</v>
      </c>
      <c r="Q341" s="52">
        <v>0</v>
      </c>
      <c r="R341" s="60">
        <v>0</v>
      </c>
      <c r="S341" s="60">
        <v>0</v>
      </c>
      <c r="T341" s="60">
        <v>0</v>
      </c>
      <c r="U341" s="65">
        <v>0</v>
      </c>
      <c r="V341" s="65">
        <v>0</v>
      </c>
      <c r="W341" s="65">
        <v>0</v>
      </c>
      <c r="X341" s="60">
        <v>0</v>
      </c>
      <c r="Y341" s="65">
        <v>0</v>
      </c>
    </row>
    <row r="342" spans="1:25">
      <c r="A342" s="60" t="s">
        <v>652</v>
      </c>
      <c r="B342" s="60" t="s">
        <v>657</v>
      </c>
      <c r="C342" s="60" t="s">
        <v>446</v>
      </c>
      <c r="D342" s="60" t="s">
        <v>446</v>
      </c>
      <c r="E342" s="60">
        <v>90501</v>
      </c>
      <c r="F342" s="52">
        <v>453</v>
      </c>
      <c r="G342" s="52">
        <v>481</v>
      </c>
      <c r="H342" s="52">
        <v>495</v>
      </c>
      <c r="I342" s="52">
        <v>624</v>
      </c>
      <c r="J342" s="52">
        <v>638</v>
      </c>
      <c r="K342" s="52">
        <v>652</v>
      </c>
      <c r="L342" s="52">
        <v>0</v>
      </c>
      <c r="M342" s="52">
        <v>0</v>
      </c>
      <c r="N342" s="52">
        <v>0</v>
      </c>
      <c r="O342" s="52">
        <v>0</v>
      </c>
      <c r="P342" s="52">
        <v>0</v>
      </c>
      <c r="Q342" s="52">
        <v>0</v>
      </c>
      <c r="R342" s="60">
        <v>0</v>
      </c>
      <c r="S342" s="60">
        <v>0</v>
      </c>
      <c r="T342" s="60">
        <v>0</v>
      </c>
      <c r="U342" s="65">
        <v>0</v>
      </c>
      <c r="V342" s="65">
        <v>0</v>
      </c>
      <c r="W342" s="65">
        <v>0</v>
      </c>
      <c r="X342" s="60">
        <v>0</v>
      </c>
      <c r="Y342" s="65">
        <v>0</v>
      </c>
    </row>
    <row r="343" spans="1:25">
      <c r="A343" s="60" t="s">
        <v>652</v>
      </c>
      <c r="B343" s="60" t="s">
        <v>657</v>
      </c>
      <c r="C343" s="60" t="s">
        <v>447</v>
      </c>
      <c r="D343" s="60" t="s">
        <v>658</v>
      </c>
      <c r="E343" s="60">
        <v>90502</v>
      </c>
      <c r="F343" s="52">
        <v>579</v>
      </c>
      <c r="G343" s="52">
        <v>616</v>
      </c>
      <c r="H343" s="52">
        <v>633</v>
      </c>
      <c r="I343" s="52">
        <v>781</v>
      </c>
      <c r="J343" s="52">
        <v>798</v>
      </c>
      <c r="K343" s="52">
        <v>814</v>
      </c>
      <c r="L343" s="52">
        <v>0</v>
      </c>
      <c r="M343" s="52">
        <v>0</v>
      </c>
      <c r="N343" s="52">
        <v>0</v>
      </c>
      <c r="O343" s="52">
        <v>0</v>
      </c>
      <c r="P343" s="52">
        <v>0</v>
      </c>
      <c r="Q343" s="52">
        <v>0</v>
      </c>
      <c r="R343" s="60">
        <v>0</v>
      </c>
      <c r="S343" s="60">
        <v>0</v>
      </c>
      <c r="T343" s="60">
        <v>0</v>
      </c>
      <c r="U343" s="65">
        <v>0</v>
      </c>
      <c r="V343" s="65">
        <v>0</v>
      </c>
      <c r="W343" s="65">
        <v>0</v>
      </c>
      <c r="X343" s="60">
        <v>0</v>
      </c>
      <c r="Y343" s="65">
        <v>0</v>
      </c>
    </row>
    <row r="344" spans="1:25">
      <c r="A344" s="60" t="s">
        <v>652</v>
      </c>
      <c r="B344" s="60" t="s">
        <v>657</v>
      </c>
      <c r="C344" s="60" t="s">
        <v>448</v>
      </c>
      <c r="D344" s="60" t="s">
        <v>448</v>
      </c>
      <c r="E344" s="60">
        <v>90503</v>
      </c>
      <c r="F344" s="52">
        <v>434</v>
      </c>
      <c r="G344" s="52">
        <v>468</v>
      </c>
      <c r="H344" s="52">
        <v>484</v>
      </c>
      <c r="I344" s="52">
        <v>624</v>
      </c>
      <c r="J344" s="52">
        <v>639</v>
      </c>
      <c r="K344" s="52">
        <v>655</v>
      </c>
      <c r="L344" s="52">
        <v>0</v>
      </c>
      <c r="M344" s="52">
        <v>0</v>
      </c>
      <c r="N344" s="52">
        <v>0</v>
      </c>
      <c r="O344" s="52">
        <v>0</v>
      </c>
      <c r="P344" s="52">
        <v>0</v>
      </c>
      <c r="Q344" s="52">
        <v>0</v>
      </c>
      <c r="R344" s="60">
        <v>0</v>
      </c>
      <c r="S344" s="60">
        <v>0</v>
      </c>
      <c r="T344" s="60">
        <v>0</v>
      </c>
      <c r="U344" s="65">
        <v>0</v>
      </c>
      <c r="V344" s="65">
        <v>0</v>
      </c>
      <c r="W344" s="65">
        <v>0</v>
      </c>
      <c r="X344" s="60">
        <v>0</v>
      </c>
      <c r="Y344" s="65">
        <v>0</v>
      </c>
    </row>
    <row r="346" spans="1:25">
      <c r="T346" t="s">
        <v>694</v>
      </c>
      <c r="U346" s="62">
        <f>AVERAGE(U2:U344)</f>
        <v>1.1852826122448983</v>
      </c>
      <c r="V346" s="62" t="s">
        <v>696</v>
      </c>
      <c r="W346" s="62">
        <f>U347*0.25</f>
        <v>0.7004045606450835</v>
      </c>
    </row>
    <row r="347" spans="1:25">
      <c r="T347" t="s">
        <v>695</v>
      </c>
      <c r="U347" s="62">
        <f>STDEVA(U2:U344)</f>
        <v>2.801618242580334</v>
      </c>
      <c r="V347" s="62" t="s">
        <v>697</v>
      </c>
      <c r="W347" s="62">
        <f>U346+W346</f>
        <v>1.8856871728899818</v>
      </c>
    </row>
    <row r="348" spans="1:25">
      <c r="V348" s="62" t="s">
        <v>698</v>
      </c>
      <c r="W348" s="62">
        <f>U346-W346</f>
        <v>0.48487805159981479</v>
      </c>
    </row>
    <row r="351" spans="1:25">
      <c r="T351" t="s">
        <v>699</v>
      </c>
      <c r="U351" s="62" t="s">
        <v>700</v>
      </c>
      <c r="V351" s="62" t="s">
        <v>701</v>
      </c>
      <c r="W351" s="62" t="s">
        <v>702</v>
      </c>
    </row>
    <row r="352" spans="1:25">
      <c r="T352">
        <v>0</v>
      </c>
      <c r="U352" s="62" t="s">
        <v>703</v>
      </c>
      <c r="V352" s="62" t="s">
        <v>704</v>
      </c>
      <c r="W352" s="62" t="s">
        <v>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4851-7310-41FF-A09E-E184337F6BA2}">
  <dimension ref="A1:D344"/>
  <sheetViews>
    <sheetView tabSelected="1" workbookViewId="0">
      <selection activeCell="J5" sqref="J5"/>
    </sheetView>
  </sheetViews>
  <sheetFormatPr baseColWidth="10" defaultRowHeight="15"/>
  <cols>
    <col min="3" max="4" width="24.140625" style="61" bestFit="1" customWidth="1"/>
  </cols>
  <sheetData>
    <row r="1" spans="1:4" ht="45">
      <c r="A1" s="70" t="s">
        <v>659</v>
      </c>
      <c r="B1" s="70" t="s">
        <v>180</v>
      </c>
      <c r="C1" s="72" t="s">
        <v>690</v>
      </c>
      <c r="D1" s="72" t="s">
        <v>691</v>
      </c>
    </row>
    <row r="2" spans="1:4">
      <c r="A2" s="52">
        <v>10101</v>
      </c>
      <c r="B2" s="51" t="s">
        <v>190</v>
      </c>
      <c r="C2" s="64">
        <v>5.666666666666667</v>
      </c>
      <c r="D2" s="64">
        <v>1.039851368041053</v>
      </c>
    </row>
    <row r="3" spans="1:4">
      <c r="A3" s="52">
        <v>10102</v>
      </c>
      <c r="B3" s="51" t="s">
        <v>242</v>
      </c>
      <c r="C3" s="64">
        <v>5.333333333333333</v>
      </c>
      <c r="D3" s="64">
        <v>4.9520765531207056</v>
      </c>
    </row>
    <row r="4" spans="1:4">
      <c r="A4" s="52">
        <v>10103</v>
      </c>
      <c r="B4" s="51" t="s">
        <v>492</v>
      </c>
      <c r="C4" s="64">
        <v>2.7666666666666671</v>
      </c>
      <c r="D4" s="64">
        <v>9.6561758795949721</v>
      </c>
    </row>
    <row r="5" spans="1:4">
      <c r="A5" s="52">
        <v>10201</v>
      </c>
      <c r="B5" s="51" t="s">
        <v>503</v>
      </c>
      <c r="C5" s="64">
        <v>1.2333333333333332</v>
      </c>
      <c r="D5" s="64">
        <v>5.3268542199488493</v>
      </c>
    </row>
    <row r="6" spans="1:4">
      <c r="A6" s="52">
        <v>10202</v>
      </c>
      <c r="B6" s="51" t="s">
        <v>216</v>
      </c>
      <c r="C6" s="64">
        <v>1.6666666666666667</v>
      </c>
      <c r="D6" s="64">
        <v>0.24829298572315331</v>
      </c>
    </row>
    <row r="7" spans="1:4">
      <c r="A7" s="52">
        <v>10301</v>
      </c>
      <c r="B7" s="51" t="s">
        <v>505</v>
      </c>
      <c r="C7" s="64">
        <v>1</v>
      </c>
      <c r="D7" s="64">
        <v>0.30095785440613027</v>
      </c>
    </row>
    <row r="8" spans="1:4">
      <c r="A8" s="52">
        <v>10302</v>
      </c>
      <c r="B8" s="51" t="s">
        <v>488</v>
      </c>
      <c r="C8" s="64">
        <v>2.5333333333333337</v>
      </c>
      <c r="D8" s="64">
        <v>7.7082801191996593</v>
      </c>
    </row>
    <row r="9" spans="1:4">
      <c r="A9" s="52">
        <v>10303</v>
      </c>
      <c r="B9" s="51" t="s">
        <v>507</v>
      </c>
      <c r="C9" s="64">
        <v>2.5</v>
      </c>
      <c r="D9" s="64">
        <v>18.41523597175771</v>
      </c>
    </row>
    <row r="10" spans="1:4">
      <c r="A10" s="52">
        <v>10304</v>
      </c>
      <c r="B10" s="51" t="s">
        <v>479</v>
      </c>
      <c r="C10" s="64">
        <v>2.1333333333333333</v>
      </c>
      <c r="D10" s="64">
        <v>4.2858257213092141</v>
      </c>
    </row>
    <row r="11" spans="1:4">
      <c r="A11" s="52">
        <v>10401</v>
      </c>
      <c r="B11" s="51" t="s">
        <v>199</v>
      </c>
      <c r="C11" s="64">
        <v>4.0666666666666664</v>
      </c>
      <c r="D11" s="64">
        <v>0.72538699690402464</v>
      </c>
    </row>
    <row r="12" spans="1:4">
      <c r="A12" s="52">
        <v>10402</v>
      </c>
      <c r="B12" s="51" t="s">
        <v>485</v>
      </c>
      <c r="C12" s="64">
        <v>4.2333333333333334</v>
      </c>
      <c r="D12" s="64">
        <v>7.9430698739977101</v>
      </c>
    </row>
    <row r="13" spans="1:4">
      <c r="A13" s="52">
        <v>10403</v>
      </c>
      <c r="B13" s="51" t="s">
        <v>449</v>
      </c>
      <c r="C13" s="64">
        <v>0.13333333333333333</v>
      </c>
      <c r="D13" s="64">
        <v>0.14232849416453172</v>
      </c>
    </row>
    <row r="14" spans="1:4">
      <c r="A14" s="52">
        <v>10404</v>
      </c>
      <c r="B14" s="51" t="s">
        <v>511</v>
      </c>
      <c r="C14" s="64">
        <v>2.6999999999999997</v>
      </c>
      <c r="D14" s="64">
        <v>0.88111455108359138</v>
      </c>
    </row>
    <row r="15" spans="1:4">
      <c r="A15" s="52">
        <v>10405</v>
      </c>
      <c r="B15" s="51" t="s">
        <v>209</v>
      </c>
      <c r="C15" s="64">
        <v>5.9666666666666659</v>
      </c>
      <c r="D15" s="64">
        <v>3.9784017278617712</v>
      </c>
    </row>
    <row r="16" spans="1:4">
      <c r="A16" s="52">
        <v>10501</v>
      </c>
      <c r="B16" s="51" t="s">
        <v>459</v>
      </c>
      <c r="C16" s="64">
        <v>2.7999999999999994</v>
      </c>
      <c r="D16" s="64">
        <v>3.1298441238092702</v>
      </c>
    </row>
    <row r="17" spans="1:4">
      <c r="A17" s="52">
        <v>10502</v>
      </c>
      <c r="B17" s="51" t="s">
        <v>513</v>
      </c>
      <c r="C17" s="64">
        <v>4.8000000000000007</v>
      </c>
      <c r="D17" s="64">
        <v>2.8762667277191944</v>
      </c>
    </row>
    <row r="18" spans="1:4">
      <c r="A18" s="52">
        <v>10601</v>
      </c>
      <c r="B18" s="51" t="s">
        <v>478</v>
      </c>
      <c r="C18" s="64">
        <v>5.3</v>
      </c>
      <c r="D18" s="64">
        <v>7.4489652401044806</v>
      </c>
    </row>
    <row r="19" spans="1:4">
      <c r="A19" s="52">
        <v>10602</v>
      </c>
      <c r="B19" s="51" t="s">
        <v>186</v>
      </c>
      <c r="C19" s="64">
        <v>8.8666666666666671</v>
      </c>
      <c r="D19" s="64">
        <v>2.6117920148560816</v>
      </c>
    </row>
    <row r="20" spans="1:4">
      <c r="A20" s="52">
        <v>10701</v>
      </c>
      <c r="B20" s="51" t="s">
        <v>252</v>
      </c>
      <c r="C20" s="64">
        <v>2.5</v>
      </c>
      <c r="D20" s="64">
        <v>2.4044496487119438</v>
      </c>
    </row>
    <row r="21" spans="1:4">
      <c r="A21" s="52">
        <v>10702</v>
      </c>
      <c r="B21" s="51" t="s">
        <v>493</v>
      </c>
      <c r="C21" s="64">
        <v>1.9333333333333336</v>
      </c>
      <c r="D21" s="64">
        <v>9.6895218542107848</v>
      </c>
    </row>
    <row r="22" spans="1:4">
      <c r="A22" s="52">
        <v>10703</v>
      </c>
      <c r="B22" s="51" t="s">
        <v>210</v>
      </c>
      <c r="C22" s="64">
        <v>2.8000000000000003</v>
      </c>
      <c r="D22" s="64">
        <v>0.82872928176795579</v>
      </c>
    </row>
    <row r="23" spans="1:4">
      <c r="A23" s="52">
        <v>10704</v>
      </c>
      <c r="B23" s="51" t="s">
        <v>494</v>
      </c>
      <c r="C23" s="64">
        <v>2.0666666666666669</v>
      </c>
      <c r="D23" s="64">
        <v>12.987555720653788</v>
      </c>
    </row>
    <row r="24" spans="1:4">
      <c r="A24" s="52">
        <v>10801</v>
      </c>
      <c r="B24" s="51" t="s">
        <v>213</v>
      </c>
      <c r="C24" s="64">
        <v>2.6</v>
      </c>
      <c r="D24" s="64">
        <v>0.88000880202009479</v>
      </c>
    </row>
    <row r="25" spans="1:4">
      <c r="A25" s="52">
        <v>10901</v>
      </c>
      <c r="B25" s="51" t="s">
        <v>470</v>
      </c>
      <c r="C25" s="64">
        <v>1.2</v>
      </c>
      <c r="D25" s="64">
        <v>2.0819230365943171</v>
      </c>
    </row>
    <row r="26" spans="1:4">
      <c r="A26" s="52">
        <v>10902</v>
      </c>
      <c r="B26" s="51" t="s">
        <v>471</v>
      </c>
      <c r="C26" s="64">
        <v>3.5333333333333332</v>
      </c>
      <c r="D26" s="64">
        <v>4.4228056748499194</v>
      </c>
    </row>
    <row r="27" spans="1:4">
      <c r="A27" s="52">
        <v>10903</v>
      </c>
      <c r="B27" s="51" t="s">
        <v>481</v>
      </c>
      <c r="C27" s="64">
        <v>4.2</v>
      </c>
      <c r="D27" s="64">
        <v>6.7692925354793587</v>
      </c>
    </row>
    <row r="28" spans="1:4">
      <c r="A28" s="52">
        <v>11001</v>
      </c>
      <c r="B28" s="51" t="s">
        <v>490</v>
      </c>
      <c r="C28" s="64">
        <v>9.6</v>
      </c>
      <c r="D28" s="64">
        <v>14.945388360355532</v>
      </c>
    </row>
    <row r="29" spans="1:4">
      <c r="A29" s="52">
        <v>11002</v>
      </c>
      <c r="B29" s="51" t="s">
        <v>518</v>
      </c>
      <c r="C29" s="64">
        <v>10.833333333333334</v>
      </c>
      <c r="D29" s="64">
        <v>11.854585152838427</v>
      </c>
    </row>
    <row r="30" spans="1:4">
      <c r="A30" s="52">
        <v>11003</v>
      </c>
      <c r="B30" s="51" t="s">
        <v>477</v>
      </c>
      <c r="C30" s="64">
        <v>11.733333333333333</v>
      </c>
      <c r="D30" s="64">
        <v>13.486712861782891</v>
      </c>
    </row>
    <row r="31" spans="1:4">
      <c r="A31" s="52">
        <v>20101</v>
      </c>
      <c r="B31" s="51" t="s">
        <v>263</v>
      </c>
      <c r="C31" s="64">
        <v>0</v>
      </c>
      <c r="D31" s="64">
        <v>0</v>
      </c>
    </row>
    <row r="32" spans="1:4">
      <c r="A32" s="52">
        <v>20102</v>
      </c>
      <c r="B32" s="51" t="s">
        <v>218</v>
      </c>
      <c r="C32" s="64">
        <v>2.1</v>
      </c>
      <c r="D32" s="64">
        <v>0.70606060606060606</v>
      </c>
    </row>
    <row r="33" spans="1:4">
      <c r="A33" s="52">
        <v>20103</v>
      </c>
      <c r="B33" s="51" t="s">
        <v>227</v>
      </c>
      <c r="C33" s="64">
        <v>0.9</v>
      </c>
      <c r="D33" s="64">
        <v>3.5479865176512325E-2</v>
      </c>
    </row>
    <row r="34" spans="1:4">
      <c r="A34" s="52">
        <v>20104</v>
      </c>
      <c r="B34" s="51" t="s">
        <v>264</v>
      </c>
      <c r="C34" s="64">
        <v>0</v>
      </c>
      <c r="D34" s="64">
        <v>0</v>
      </c>
    </row>
    <row r="35" spans="1:4">
      <c r="A35" s="52">
        <v>20105</v>
      </c>
      <c r="B35" s="51" t="s">
        <v>265</v>
      </c>
      <c r="C35" s="64">
        <v>0</v>
      </c>
      <c r="D35" s="64">
        <v>0</v>
      </c>
    </row>
    <row r="36" spans="1:4">
      <c r="A36" s="52">
        <v>20201</v>
      </c>
      <c r="B36" s="51" t="s">
        <v>266</v>
      </c>
      <c r="C36" s="64">
        <v>0</v>
      </c>
      <c r="D36" s="64">
        <v>0</v>
      </c>
    </row>
    <row r="37" spans="1:4">
      <c r="A37" s="52">
        <v>20202</v>
      </c>
      <c r="B37" s="51" t="s">
        <v>523</v>
      </c>
      <c r="C37" s="64">
        <v>0</v>
      </c>
      <c r="D37" s="64">
        <v>0</v>
      </c>
    </row>
    <row r="38" spans="1:4">
      <c r="A38" s="52">
        <v>20203</v>
      </c>
      <c r="B38" s="51" t="s">
        <v>268</v>
      </c>
      <c r="C38" s="64">
        <v>0</v>
      </c>
      <c r="D38" s="64">
        <v>0</v>
      </c>
    </row>
    <row r="39" spans="1:4">
      <c r="A39" s="52">
        <v>20204</v>
      </c>
      <c r="B39" s="51" t="s">
        <v>269</v>
      </c>
      <c r="C39" s="64">
        <v>0</v>
      </c>
      <c r="D39" s="64">
        <v>0</v>
      </c>
    </row>
    <row r="40" spans="1:4">
      <c r="A40" s="52">
        <v>20205</v>
      </c>
      <c r="B40" s="51" t="s">
        <v>270</v>
      </c>
      <c r="C40" s="64">
        <v>0</v>
      </c>
      <c r="D40" s="64">
        <v>0</v>
      </c>
    </row>
    <row r="41" spans="1:4">
      <c r="A41" s="52">
        <v>20206</v>
      </c>
      <c r="B41" s="51" t="s">
        <v>271</v>
      </c>
      <c r="C41" s="64">
        <v>0</v>
      </c>
      <c r="D41" s="64">
        <v>0</v>
      </c>
    </row>
    <row r="42" spans="1:4">
      <c r="A42" s="52">
        <v>20301</v>
      </c>
      <c r="B42" s="51" t="s">
        <v>525</v>
      </c>
      <c r="C42" s="64">
        <v>0</v>
      </c>
      <c r="D42" s="64">
        <v>0</v>
      </c>
    </row>
    <row r="43" spans="1:4">
      <c r="A43" s="52">
        <v>20302</v>
      </c>
      <c r="B43" s="51" t="s">
        <v>273</v>
      </c>
      <c r="C43" s="64">
        <v>0</v>
      </c>
      <c r="D43" s="64">
        <v>0</v>
      </c>
    </row>
    <row r="44" spans="1:4">
      <c r="A44" s="52">
        <v>20303</v>
      </c>
      <c r="B44" s="51" t="s">
        <v>274</v>
      </c>
      <c r="C44" s="64">
        <v>0</v>
      </c>
      <c r="D44" s="64">
        <v>0</v>
      </c>
    </row>
    <row r="45" spans="1:4">
      <c r="A45" s="52">
        <v>20304</v>
      </c>
      <c r="B45" s="51" t="s">
        <v>275</v>
      </c>
      <c r="C45" s="64">
        <v>0</v>
      </c>
      <c r="D45" s="64">
        <v>0</v>
      </c>
    </row>
    <row r="46" spans="1:4">
      <c r="A46" s="52">
        <v>20305</v>
      </c>
      <c r="B46" s="51" t="s">
        <v>276</v>
      </c>
      <c r="C46" s="64">
        <v>0</v>
      </c>
      <c r="D46" s="64">
        <v>0</v>
      </c>
    </row>
    <row r="47" spans="1:4">
      <c r="A47" s="52">
        <v>20306</v>
      </c>
      <c r="B47" s="51" t="s">
        <v>526</v>
      </c>
      <c r="C47" s="64">
        <v>0</v>
      </c>
      <c r="D47" s="64">
        <v>0</v>
      </c>
    </row>
    <row r="48" spans="1:4">
      <c r="A48" s="52">
        <v>20307</v>
      </c>
      <c r="B48" s="51" t="s">
        <v>277</v>
      </c>
      <c r="C48" s="64">
        <v>0</v>
      </c>
      <c r="D48" s="64">
        <v>0</v>
      </c>
    </row>
    <row r="49" spans="1:4">
      <c r="A49" s="52">
        <v>20308</v>
      </c>
      <c r="B49" s="51" t="s">
        <v>278</v>
      </c>
      <c r="C49" s="64">
        <v>0</v>
      </c>
      <c r="D49" s="64">
        <v>0</v>
      </c>
    </row>
    <row r="50" spans="1:4">
      <c r="A50" s="52">
        <v>20401</v>
      </c>
      <c r="B50" s="51" t="s">
        <v>279</v>
      </c>
      <c r="C50" s="64">
        <v>0</v>
      </c>
      <c r="D50" s="64">
        <v>0</v>
      </c>
    </row>
    <row r="51" spans="1:4">
      <c r="A51" s="52">
        <v>20402</v>
      </c>
      <c r="B51" s="51" t="s">
        <v>280</v>
      </c>
      <c r="C51" s="64">
        <v>0</v>
      </c>
      <c r="D51" s="64">
        <v>0</v>
      </c>
    </row>
    <row r="52" spans="1:4">
      <c r="A52" s="52">
        <v>20403</v>
      </c>
      <c r="B52" s="51" t="s">
        <v>281</v>
      </c>
      <c r="C52" s="64">
        <v>0</v>
      </c>
      <c r="D52" s="64">
        <v>0</v>
      </c>
    </row>
    <row r="53" spans="1:4">
      <c r="A53" s="52">
        <v>20404</v>
      </c>
      <c r="B53" s="51" t="s">
        <v>282</v>
      </c>
      <c r="C53" s="64">
        <v>0</v>
      </c>
      <c r="D53" s="64">
        <v>0</v>
      </c>
    </row>
    <row r="54" spans="1:4">
      <c r="A54" s="52">
        <v>20405</v>
      </c>
      <c r="B54" s="51" t="s">
        <v>283</v>
      </c>
      <c r="C54" s="64">
        <v>0</v>
      </c>
      <c r="D54" s="64">
        <v>0</v>
      </c>
    </row>
    <row r="55" spans="1:4">
      <c r="A55" s="52">
        <v>20501</v>
      </c>
      <c r="B55" s="51" t="s">
        <v>284</v>
      </c>
      <c r="C55" s="64">
        <v>0</v>
      </c>
      <c r="D55" s="64">
        <v>0</v>
      </c>
    </row>
    <row r="56" spans="1:4">
      <c r="A56" s="52">
        <v>20502</v>
      </c>
      <c r="B56" s="51" t="s">
        <v>285</v>
      </c>
      <c r="C56" s="64">
        <v>0</v>
      </c>
      <c r="D56" s="64">
        <v>0</v>
      </c>
    </row>
    <row r="57" spans="1:4">
      <c r="A57" s="52">
        <v>20503</v>
      </c>
      <c r="B57" s="51" t="s">
        <v>286</v>
      </c>
      <c r="C57" s="64">
        <v>0</v>
      </c>
      <c r="D57" s="64">
        <v>0</v>
      </c>
    </row>
    <row r="58" spans="1:4">
      <c r="A58" s="52">
        <v>20601</v>
      </c>
      <c r="B58" s="51" t="s">
        <v>287</v>
      </c>
      <c r="C58" s="64">
        <v>0</v>
      </c>
      <c r="D58" s="64">
        <v>0</v>
      </c>
    </row>
    <row r="59" spans="1:4">
      <c r="A59" s="52">
        <v>20602</v>
      </c>
      <c r="B59" s="51" t="s">
        <v>288</v>
      </c>
      <c r="C59" s="64">
        <v>0</v>
      </c>
      <c r="D59" s="64">
        <v>0</v>
      </c>
    </row>
    <row r="60" spans="1:4">
      <c r="A60" s="52">
        <v>20603</v>
      </c>
      <c r="B60" s="51" t="s">
        <v>237</v>
      </c>
      <c r="C60" s="64">
        <v>0.5</v>
      </c>
      <c r="D60" s="64">
        <v>0</v>
      </c>
    </row>
    <row r="61" spans="1:4">
      <c r="A61" s="52">
        <v>20604</v>
      </c>
      <c r="B61" s="51" t="s">
        <v>289</v>
      </c>
      <c r="C61" s="64">
        <v>0</v>
      </c>
      <c r="D61" s="64">
        <v>0</v>
      </c>
    </row>
    <row r="62" spans="1:4">
      <c r="A62" s="52">
        <v>20605</v>
      </c>
      <c r="B62" s="51" t="s">
        <v>290</v>
      </c>
      <c r="C62" s="64">
        <v>0</v>
      </c>
      <c r="D62" s="64">
        <v>0</v>
      </c>
    </row>
    <row r="63" spans="1:4">
      <c r="A63" s="52">
        <v>20606</v>
      </c>
      <c r="B63" s="51" t="s">
        <v>291</v>
      </c>
      <c r="C63" s="64">
        <v>0</v>
      </c>
      <c r="D63" s="64">
        <v>0</v>
      </c>
    </row>
    <row r="64" spans="1:4">
      <c r="A64" s="52">
        <v>20607</v>
      </c>
      <c r="B64" s="51" t="s">
        <v>292</v>
      </c>
      <c r="C64" s="64">
        <v>0</v>
      </c>
      <c r="D64" s="64">
        <v>0</v>
      </c>
    </row>
    <row r="65" spans="1:4">
      <c r="A65" s="52">
        <v>20608</v>
      </c>
      <c r="B65" s="51" t="s">
        <v>293</v>
      </c>
      <c r="C65" s="64">
        <v>0</v>
      </c>
      <c r="D65" s="64">
        <v>0</v>
      </c>
    </row>
    <row r="66" spans="1:4">
      <c r="A66" s="52">
        <v>20701</v>
      </c>
      <c r="B66" s="51" t="s">
        <v>294</v>
      </c>
      <c r="C66" s="64">
        <v>0</v>
      </c>
      <c r="D66" s="64">
        <v>0</v>
      </c>
    </row>
    <row r="67" spans="1:4">
      <c r="A67" s="52">
        <v>20702</v>
      </c>
      <c r="B67" s="51" t="s">
        <v>295</v>
      </c>
      <c r="C67" s="64">
        <v>0</v>
      </c>
      <c r="D67" s="64">
        <v>0</v>
      </c>
    </row>
    <row r="68" spans="1:4">
      <c r="A68" s="52">
        <v>20801</v>
      </c>
      <c r="B68" s="51" t="s">
        <v>296</v>
      </c>
      <c r="C68" s="64">
        <v>0</v>
      </c>
      <c r="D68" s="64">
        <v>0</v>
      </c>
    </row>
    <row r="69" spans="1:4">
      <c r="A69" s="52">
        <v>20802</v>
      </c>
      <c r="B69" s="51" t="s">
        <v>297</v>
      </c>
      <c r="C69" s="64">
        <v>0</v>
      </c>
      <c r="D69" s="64">
        <v>0</v>
      </c>
    </row>
    <row r="70" spans="1:4">
      <c r="A70" s="52">
        <v>20803</v>
      </c>
      <c r="B70" s="51" t="s">
        <v>298</v>
      </c>
      <c r="C70" s="64">
        <v>0</v>
      </c>
      <c r="D70" s="64">
        <v>0</v>
      </c>
    </row>
    <row r="71" spans="1:4">
      <c r="A71" s="52">
        <v>20804</v>
      </c>
      <c r="B71" s="51" t="s">
        <v>299</v>
      </c>
      <c r="C71" s="64">
        <v>0</v>
      </c>
      <c r="D71" s="64">
        <v>0</v>
      </c>
    </row>
    <row r="72" spans="1:4">
      <c r="A72" s="52">
        <v>20805</v>
      </c>
      <c r="B72" s="51" t="s">
        <v>533</v>
      </c>
      <c r="C72" s="64">
        <v>0</v>
      </c>
      <c r="D72" s="64">
        <v>0</v>
      </c>
    </row>
    <row r="73" spans="1:4">
      <c r="A73" s="52">
        <v>20806</v>
      </c>
      <c r="B73" s="51" t="s">
        <v>301</v>
      </c>
      <c r="C73" s="64">
        <v>0</v>
      </c>
      <c r="D73" s="64">
        <v>0</v>
      </c>
    </row>
    <row r="74" spans="1:4">
      <c r="A74" s="52">
        <v>20807</v>
      </c>
      <c r="B74" s="51" t="s">
        <v>302</v>
      </c>
      <c r="C74" s="64">
        <v>0</v>
      </c>
      <c r="D74" s="64">
        <v>0</v>
      </c>
    </row>
    <row r="75" spans="1:4">
      <c r="A75" s="52">
        <v>20901</v>
      </c>
      <c r="B75" s="51" t="s">
        <v>258</v>
      </c>
      <c r="C75" s="64">
        <v>1.5999999999999999</v>
      </c>
      <c r="D75" s="64">
        <v>1.5739288189045118</v>
      </c>
    </row>
    <row r="76" spans="1:4">
      <c r="A76" s="52">
        <v>20902</v>
      </c>
      <c r="B76" s="51" t="s">
        <v>468</v>
      </c>
      <c r="C76" s="64">
        <v>0.96666666666666667</v>
      </c>
      <c r="D76" s="64">
        <v>1.7457465468036037</v>
      </c>
    </row>
    <row r="77" spans="1:4">
      <c r="A77" s="52">
        <v>20903</v>
      </c>
      <c r="B77" s="51" t="s">
        <v>303</v>
      </c>
      <c r="C77" s="64">
        <v>0</v>
      </c>
      <c r="D77" s="64">
        <v>0</v>
      </c>
    </row>
    <row r="78" spans="1:4">
      <c r="A78" s="52">
        <v>20904</v>
      </c>
      <c r="B78" s="51" t="s">
        <v>304</v>
      </c>
      <c r="C78" s="64">
        <v>0</v>
      </c>
      <c r="D78" s="64">
        <v>0</v>
      </c>
    </row>
    <row r="79" spans="1:4">
      <c r="A79" s="52">
        <v>20905</v>
      </c>
      <c r="B79" s="51" t="s">
        <v>234</v>
      </c>
      <c r="C79" s="64">
        <v>1.1666666666666667</v>
      </c>
      <c r="D79" s="64">
        <v>0.58479532163742687</v>
      </c>
    </row>
    <row r="80" spans="1:4">
      <c r="A80" s="52">
        <v>21001</v>
      </c>
      <c r="B80" s="51" t="s">
        <v>469</v>
      </c>
      <c r="C80" s="64">
        <v>0.3</v>
      </c>
      <c r="D80" s="64">
        <v>1.1423423423423424</v>
      </c>
    </row>
    <row r="81" spans="1:4">
      <c r="A81" s="52">
        <v>21002</v>
      </c>
      <c r="B81" s="51" t="s">
        <v>305</v>
      </c>
      <c r="C81" s="64">
        <v>0</v>
      </c>
      <c r="D81" s="64">
        <v>0</v>
      </c>
    </row>
    <row r="82" spans="1:4">
      <c r="A82" s="52">
        <v>21003</v>
      </c>
      <c r="B82" s="51" t="s">
        <v>451</v>
      </c>
      <c r="C82" s="64">
        <v>3.3333333333333333E-2</v>
      </c>
      <c r="D82" s="64">
        <v>0.11614401858304298</v>
      </c>
    </row>
    <row r="83" spans="1:4">
      <c r="A83" s="52">
        <v>21004</v>
      </c>
      <c r="B83" s="51" t="s">
        <v>460</v>
      </c>
      <c r="C83" s="64">
        <v>0</v>
      </c>
      <c r="D83" s="64">
        <v>0.34397163120567376</v>
      </c>
    </row>
    <row r="84" spans="1:4">
      <c r="A84" s="52">
        <v>21005</v>
      </c>
      <c r="B84" s="51" t="s">
        <v>306</v>
      </c>
      <c r="C84" s="64">
        <v>0</v>
      </c>
      <c r="D84" s="64">
        <v>0</v>
      </c>
    </row>
    <row r="85" spans="1:4">
      <c r="A85" s="52">
        <v>21006</v>
      </c>
      <c r="B85" s="51" t="s">
        <v>254</v>
      </c>
      <c r="C85" s="64">
        <v>6.6666666666666666E-2</v>
      </c>
      <c r="D85" s="64">
        <v>0</v>
      </c>
    </row>
    <row r="86" spans="1:4">
      <c r="A86" s="52">
        <v>21101</v>
      </c>
      <c r="B86" s="51" t="s">
        <v>462</v>
      </c>
      <c r="C86" s="64">
        <v>0.80000000000000016</v>
      </c>
      <c r="D86" s="64">
        <v>1.2046979224983834</v>
      </c>
    </row>
    <row r="87" spans="1:4">
      <c r="A87" s="52">
        <v>21102</v>
      </c>
      <c r="B87" s="51" t="s">
        <v>243</v>
      </c>
      <c r="C87" s="64">
        <v>0.43333333333333335</v>
      </c>
      <c r="D87" s="64">
        <v>9.3240093240093247E-2</v>
      </c>
    </row>
    <row r="88" spans="1:4">
      <c r="A88" s="52">
        <v>21103</v>
      </c>
      <c r="B88" s="51" t="s">
        <v>456</v>
      </c>
      <c r="C88" s="64">
        <v>0.16666666666666666</v>
      </c>
      <c r="D88" s="64">
        <v>0.44004400440044006</v>
      </c>
    </row>
    <row r="89" spans="1:4">
      <c r="A89" s="52">
        <v>21104</v>
      </c>
      <c r="B89" s="51" t="s">
        <v>307</v>
      </c>
      <c r="C89" s="64">
        <v>0</v>
      </c>
      <c r="D89" s="64">
        <v>0</v>
      </c>
    </row>
    <row r="90" spans="1:4">
      <c r="A90" s="52">
        <v>21105</v>
      </c>
      <c r="B90" s="51" t="s">
        <v>473</v>
      </c>
      <c r="C90" s="64">
        <v>0</v>
      </c>
      <c r="D90" s="64">
        <v>1.3444989998181489</v>
      </c>
    </row>
    <row r="91" spans="1:4">
      <c r="A91" s="52">
        <v>21201</v>
      </c>
      <c r="B91" s="51" t="s">
        <v>308</v>
      </c>
      <c r="C91" s="64">
        <v>0</v>
      </c>
      <c r="D91" s="64">
        <v>0</v>
      </c>
    </row>
    <row r="92" spans="1:4">
      <c r="A92" s="52">
        <v>21202</v>
      </c>
      <c r="B92" s="51" t="s">
        <v>309</v>
      </c>
      <c r="C92" s="64">
        <v>0</v>
      </c>
      <c r="D92" s="64">
        <v>0</v>
      </c>
    </row>
    <row r="93" spans="1:4">
      <c r="A93" s="52">
        <v>21203</v>
      </c>
      <c r="B93" s="51" t="s">
        <v>310</v>
      </c>
      <c r="C93" s="64">
        <v>0</v>
      </c>
      <c r="D93" s="64">
        <v>0</v>
      </c>
    </row>
    <row r="94" spans="1:4">
      <c r="A94" s="52">
        <v>21204</v>
      </c>
      <c r="B94" s="51" t="s">
        <v>311</v>
      </c>
      <c r="C94" s="64">
        <v>0</v>
      </c>
      <c r="D94" s="64">
        <v>0</v>
      </c>
    </row>
    <row r="95" spans="1:4">
      <c r="A95" s="52">
        <v>21301</v>
      </c>
      <c r="B95" s="51" t="s">
        <v>541</v>
      </c>
      <c r="C95" s="64">
        <v>0</v>
      </c>
      <c r="D95" s="64">
        <v>0</v>
      </c>
    </row>
    <row r="96" spans="1:4">
      <c r="A96" s="52">
        <v>21302</v>
      </c>
      <c r="B96" s="51" t="s">
        <v>312</v>
      </c>
      <c r="C96" s="64">
        <v>0</v>
      </c>
      <c r="D96" s="64">
        <v>0</v>
      </c>
    </row>
    <row r="97" spans="1:4">
      <c r="A97" s="52">
        <v>21303</v>
      </c>
      <c r="B97" s="51" t="s">
        <v>313</v>
      </c>
      <c r="C97" s="64">
        <v>0</v>
      </c>
      <c r="D97" s="64">
        <v>0</v>
      </c>
    </row>
    <row r="98" spans="1:4">
      <c r="A98" s="52">
        <v>21304</v>
      </c>
      <c r="B98" s="51" t="s">
        <v>314</v>
      </c>
      <c r="C98" s="64">
        <v>0</v>
      </c>
      <c r="D98" s="64">
        <v>0</v>
      </c>
    </row>
    <row r="99" spans="1:4">
      <c r="A99" s="52">
        <v>21305</v>
      </c>
      <c r="B99" s="51" t="s">
        <v>315</v>
      </c>
      <c r="C99" s="64">
        <v>0</v>
      </c>
      <c r="D99" s="64">
        <v>0</v>
      </c>
    </row>
    <row r="100" spans="1:4">
      <c r="A100" s="52">
        <v>21306</v>
      </c>
      <c r="B100" s="51" t="s">
        <v>316</v>
      </c>
      <c r="C100" s="64">
        <v>0</v>
      </c>
      <c r="D100" s="64">
        <v>0</v>
      </c>
    </row>
    <row r="101" spans="1:4">
      <c r="A101" s="52">
        <v>21307</v>
      </c>
      <c r="B101" s="51" t="s">
        <v>317</v>
      </c>
      <c r="C101" s="64">
        <v>0</v>
      </c>
      <c r="D101" s="64">
        <v>0</v>
      </c>
    </row>
    <row r="102" spans="1:4">
      <c r="A102" s="52">
        <v>21401</v>
      </c>
      <c r="B102" s="51" t="s">
        <v>256</v>
      </c>
      <c r="C102" s="64">
        <v>3.3333333333333333E-2</v>
      </c>
      <c r="D102" s="64">
        <v>0</v>
      </c>
    </row>
    <row r="103" spans="1:4">
      <c r="A103" s="52">
        <v>21402</v>
      </c>
      <c r="B103" s="51" t="s">
        <v>472</v>
      </c>
      <c r="C103" s="64">
        <v>0.16666666666666666</v>
      </c>
      <c r="D103" s="64">
        <v>1.2150774246128768</v>
      </c>
    </row>
    <row r="104" spans="1:4">
      <c r="A104" s="52">
        <v>21501</v>
      </c>
      <c r="B104" s="51" t="s">
        <v>318</v>
      </c>
      <c r="C104" s="64">
        <v>0</v>
      </c>
      <c r="D104" s="64">
        <v>0</v>
      </c>
    </row>
    <row r="105" spans="1:4">
      <c r="A105" s="52">
        <v>21502</v>
      </c>
      <c r="B105" s="51" t="s">
        <v>319</v>
      </c>
      <c r="C105" s="64">
        <v>0</v>
      </c>
      <c r="D105" s="64">
        <v>0</v>
      </c>
    </row>
    <row r="106" spans="1:4">
      <c r="A106" s="52">
        <v>21601</v>
      </c>
      <c r="B106" s="51" t="s">
        <v>546</v>
      </c>
      <c r="C106" s="64">
        <v>0</v>
      </c>
      <c r="D106" s="64">
        <v>0</v>
      </c>
    </row>
    <row r="107" spans="1:4">
      <c r="A107" s="52">
        <v>21602</v>
      </c>
      <c r="B107" s="51" t="s">
        <v>320</v>
      </c>
      <c r="C107" s="64">
        <v>0</v>
      </c>
      <c r="D107" s="64">
        <v>0</v>
      </c>
    </row>
    <row r="108" spans="1:4">
      <c r="A108" s="52">
        <v>21701</v>
      </c>
      <c r="B108" s="51" t="s">
        <v>321</v>
      </c>
      <c r="C108" s="64">
        <v>0</v>
      </c>
      <c r="D108" s="64">
        <v>0</v>
      </c>
    </row>
    <row r="109" spans="1:4">
      <c r="A109" s="52">
        <v>21702</v>
      </c>
      <c r="B109" s="51" t="s">
        <v>322</v>
      </c>
      <c r="C109" s="64">
        <v>0</v>
      </c>
      <c r="D109" s="64">
        <v>0</v>
      </c>
    </row>
    <row r="110" spans="1:4">
      <c r="A110" s="52">
        <v>21703</v>
      </c>
      <c r="B110" s="51" t="s">
        <v>323</v>
      </c>
      <c r="C110" s="64">
        <v>0</v>
      </c>
      <c r="D110" s="64">
        <v>0</v>
      </c>
    </row>
    <row r="111" spans="1:4">
      <c r="A111" s="52">
        <v>21801</v>
      </c>
      <c r="B111" s="51" t="s">
        <v>324</v>
      </c>
      <c r="C111" s="64">
        <v>0</v>
      </c>
      <c r="D111" s="64">
        <v>0</v>
      </c>
    </row>
    <row r="112" spans="1:4">
      <c r="A112" s="52">
        <v>21802</v>
      </c>
      <c r="B112" s="51" t="s">
        <v>325</v>
      </c>
      <c r="C112" s="64">
        <v>0</v>
      </c>
      <c r="D112" s="64">
        <v>0</v>
      </c>
    </row>
    <row r="113" spans="1:4">
      <c r="A113" s="52">
        <v>21803</v>
      </c>
      <c r="B113" s="51" t="s">
        <v>326</v>
      </c>
      <c r="C113" s="64">
        <v>0</v>
      </c>
      <c r="D113" s="64">
        <v>0</v>
      </c>
    </row>
    <row r="114" spans="1:4">
      <c r="A114" s="52">
        <v>21901</v>
      </c>
      <c r="B114" s="51" t="s">
        <v>327</v>
      </c>
      <c r="C114" s="64">
        <v>0</v>
      </c>
      <c r="D114" s="64">
        <v>0</v>
      </c>
    </row>
    <row r="115" spans="1:4">
      <c r="A115" s="52">
        <v>21902</v>
      </c>
      <c r="B115" s="51" t="s">
        <v>328</v>
      </c>
      <c r="C115" s="64">
        <v>0</v>
      </c>
      <c r="D115" s="64">
        <v>0</v>
      </c>
    </row>
    <row r="116" spans="1:4">
      <c r="A116" s="52">
        <v>22001</v>
      </c>
      <c r="B116" s="51" t="s">
        <v>329</v>
      </c>
      <c r="C116" s="64">
        <v>0</v>
      </c>
      <c r="D116" s="64">
        <v>0</v>
      </c>
    </row>
    <row r="117" spans="1:4">
      <c r="A117" s="52">
        <v>22002</v>
      </c>
      <c r="B117" s="51" t="s">
        <v>330</v>
      </c>
      <c r="C117" s="64">
        <v>0</v>
      </c>
      <c r="D117" s="64">
        <v>0</v>
      </c>
    </row>
    <row r="118" spans="1:4">
      <c r="A118" s="52">
        <v>30101</v>
      </c>
      <c r="B118" s="51" t="s">
        <v>64</v>
      </c>
      <c r="C118" s="64">
        <v>25.233333333333334</v>
      </c>
      <c r="D118" s="64">
        <v>0.34668895623054619</v>
      </c>
    </row>
    <row r="119" spans="1:4">
      <c r="A119" s="52">
        <v>30201</v>
      </c>
      <c r="B119" s="51" t="s">
        <v>204</v>
      </c>
      <c r="C119" s="64">
        <v>4.1333333333333337</v>
      </c>
      <c r="D119" s="64">
        <v>1.3821866107180589</v>
      </c>
    </row>
    <row r="120" spans="1:4">
      <c r="A120" s="52">
        <v>30202</v>
      </c>
      <c r="B120" s="51" t="s">
        <v>228</v>
      </c>
      <c r="C120" s="64">
        <v>3.0666666666666664</v>
      </c>
      <c r="D120" s="64">
        <v>2.2090237455701565</v>
      </c>
    </row>
    <row r="121" spans="1:4">
      <c r="A121" s="52">
        <v>30203</v>
      </c>
      <c r="B121" s="51" t="s">
        <v>208</v>
      </c>
      <c r="C121" s="64">
        <v>3.5</v>
      </c>
      <c r="D121" s="64">
        <v>1.310572402644532</v>
      </c>
    </row>
    <row r="122" spans="1:4">
      <c r="A122" s="52">
        <v>30301</v>
      </c>
      <c r="B122" s="51" t="s">
        <v>554</v>
      </c>
      <c r="C122" s="64">
        <v>1.2</v>
      </c>
      <c r="D122" s="64">
        <v>0.67671534065154282</v>
      </c>
    </row>
    <row r="123" spans="1:4">
      <c r="A123" s="52">
        <v>30302</v>
      </c>
      <c r="B123" s="51" t="s">
        <v>197</v>
      </c>
      <c r="C123" s="64">
        <v>3.9</v>
      </c>
      <c r="D123" s="64">
        <v>0.22900305926136186</v>
      </c>
    </row>
    <row r="124" spans="1:4">
      <c r="A124" s="52">
        <v>30303</v>
      </c>
      <c r="B124" s="51" t="s">
        <v>463</v>
      </c>
      <c r="C124" s="64">
        <v>0.43333333333333335</v>
      </c>
      <c r="D124" s="64">
        <v>0.86012752679419346</v>
      </c>
    </row>
    <row r="125" spans="1:4">
      <c r="A125" s="52">
        <v>30401</v>
      </c>
      <c r="B125" s="51" t="s">
        <v>452</v>
      </c>
      <c r="C125" s="64">
        <v>0.39999999999999997</v>
      </c>
      <c r="D125" s="64">
        <v>0.48345480146722392</v>
      </c>
    </row>
    <row r="126" spans="1:4">
      <c r="A126" s="52">
        <v>30402</v>
      </c>
      <c r="B126" s="51" t="s">
        <v>221</v>
      </c>
      <c r="C126" s="64">
        <v>2.6999999999999997</v>
      </c>
      <c r="D126" s="64">
        <v>1.582585933860069</v>
      </c>
    </row>
    <row r="127" spans="1:4">
      <c r="A127" s="52">
        <v>30403</v>
      </c>
      <c r="B127" s="51" t="s">
        <v>188</v>
      </c>
      <c r="C127" s="64">
        <v>6.3999999999999995</v>
      </c>
      <c r="D127" s="64">
        <v>1.5217888122733283</v>
      </c>
    </row>
    <row r="128" spans="1:4">
      <c r="A128" s="52">
        <v>30404</v>
      </c>
      <c r="B128" s="51" t="s">
        <v>257</v>
      </c>
      <c r="C128" s="64">
        <v>3.3333333333333333E-2</v>
      </c>
      <c r="D128" s="64">
        <v>0</v>
      </c>
    </row>
    <row r="129" spans="1:4">
      <c r="A129" s="52">
        <v>30501</v>
      </c>
      <c r="B129" s="51" t="s">
        <v>240</v>
      </c>
      <c r="C129" s="64">
        <v>1.7666666666666668</v>
      </c>
      <c r="D129" s="64">
        <v>1.3575163398692809</v>
      </c>
    </row>
    <row r="130" spans="1:4">
      <c r="A130" s="52">
        <v>30502</v>
      </c>
      <c r="B130" s="51" t="s">
        <v>331</v>
      </c>
      <c r="C130" s="64">
        <v>0</v>
      </c>
      <c r="D130" s="64">
        <v>0</v>
      </c>
    </row>
    <row r="131" spans="1:4">
      <c r="A131" s="52">
        <v>30601</v>
      </c>
      <c r="B131" s="51" t="s">
        <v>457</v>
      </c>
      <c r="C131" s="64">
        <v>2.3000000000000003</v>
      </c>
      <c r="D131" s="64">
        <v>2.574035693724813</v>
      </c>
    </row>
    <row r="132" spans="1:4">
      <c r="A132" s="52">
        <v>30602</v>
      </c>
      <c r="B132" s="51" t="s">
        <v>246</v>
      </c>
      <c r="C132" s="64">
        <v>0.3</v>
      </c>
      <c r="D132" s="64">
        <v>0</v>
      </c>
    </row>
    <row r="133" spans="1:4">
      <c r="A133" s="52">
        <v>30701</v>
      </c>
      <c r="B133" s="51" t="s">
        <v>195</v>
      </c>
      <c r="C133" s="64">
        <v>5.833333333333333</v>
      </c>
      <c r="D133" s="64">
        <v>1.5700869142816691</v>
      </c>
    </row>
    <row r="134" spans="1:4">
      <c r="A134" s="52">
        <v>30702</v>
      </c>
      <c r="B134" s="51" t="s">
        <v>196</v>
      </c>
      <c r="C134" s="64">
        <v>4.9666666666666677</v>
      </c>
      <c r="D134" s="64">
        <v>1.2855150077125657</v>
      </c>
    </row>
    <row r="135" spans="1:4">
      <c r="A135" s="52">
        <v>30703</v>
      </c>
      <c r="B135" s="51" t="s">
        <v>219</v>
      </c>
      <c r="C135" s="64">
        <v>3.0666666666666664</v>
      </c>
      <c r="D135" s="64">
        <v>1.8006867794947266</v>
      </c>
    </row>
    <row r="136" spans="1:4">
      <c r="A136" s="52">
        <v>30801</v>
      </c>
      <c r="B136" s="51" t="s">
        <v>239</v>
      </c>
      <c r="C136" s="64">
        <v>0.8666666666666667</v>
      </c>
      <c r="D136" s="64">
        <v>0.44056407146846799</v>
      </c>
    </row>
    <row r="137" spans="1:4">
      <c r="A137" s="52">
        <v>30802</v>
      </c>
      <c r="B137" s="51" t="s">
        <v>244</v>
      </c>
      <c r="C137" s="64">
        <v>0.39999999999999997</v>
      </c>
      <c r="D137" s="64">
        <v>7.3639661426844014E-2</v>
      </c>
    </row>
    <row r="138" spans="1:4">
      <c r="A138" s="52">
        <v>30803</v>
      </c>
      <c r="B138" s="51" t="s">
        <v>453</v>
      </c>
      <c r="C138" s="64">
        <v>0.13333333333333333</v>
      </c>
      <c r="D138" s="64">
        <v>0.29060445727112394</v>
      </c>
    </row>
    <row r="139" spans="1:4">
      <c r="A139" s="52">
        <v>30901</v>
      </c>
      <c r="B139" s="51" t="s">
        <v>187</v>
      </c>
      <c r="C139" s="64">
        <v>5.9333333333333336</v>
      </c>
      <c r="D139" s="64">
        <v>0.3301184860950428</v>
      </c>
    </row>
    <row r="140" spans="1:4">
      <c r="A140" s="52">
        <v>30902</v>
      </c>
      <c r="B140" s="51" t="s">
        <v>238</v>
      </c>
      <c r="C140" s="64">
        <v>3.6999999999999997</v>
      </c>
      <c r="D140" s="64">
        <v>3.2162793126153204</v>
      </c>
    </row>
    <row r="141" spans="1:4">
      <c r="A141" s="52">
        <v>30903</v>
      </c>
      <c r="B141" s="51" t="s">
        <v>251</v>
      </c>
      <c r="C141" s="64">
        <v>0.3</v>
      </c>
      <c r="D141" s="64">
        <v>0.17066069428891381</v>
      </c>
    </row>
    <row r="142" spans="1:4">
      <c r="A142" s="52">
        <v>30904</v>
      </c>
      <c r="B142" s="51" t="s">
        <v>230</v>
      </c>
      <c r="C142" s="64">
        <v>0.83333333333333337</v>
      </c>
      <c r="D142" s="64">
        <v>6.0942389103625989E-2</v>
      </c>
    </row>
    <row r="143" spans="1:4">
      <c r="A143" s="52">
        <v>30905</v>
      </c>
      <c r="B143" s="51" t="s">
        <v>250</v>
      </c>
      <c r="C143" s="64">
        <v>0.6</v>
      </c>
      <c r="D143" s="64">
        <v>0.41567622116624087</v>
      </c>
    </row>
    <row r="144" spans="1:4">
      <c r="A144" s="52">
        <v>31001</v>
      </c>
      <c r="B144" s="51" t="s">
        <v>217</v>
      </c>
      <c r="C144" s="64">
        <v>1.6333333333333335</v>
      </c>
      <c r="D144" s="64">
        <v>0.22130934986989823</v>
      </c>
    </row>
    <row r="145" spans="1:4">
      <c r="A145" s="52">
        <v>31002</v>
      </c>
      <c r="B145" s="51" t="s">
        <v>332</v>
      </c>
      <c r="C145" s="64">
        <v>0</v>
      </c>
      <c r="D145" s="64">
        <v>0</v>
      </c>
    </row>
    <row r="146" spans="1:4">
      <c r="A146" s="52">
        <v>31003</v>
      </c>
      <c r="B146" s="51" t="s">
        <v>333</v>
      </c>
      <c r="C146" s="64">
        <v>0</v>
      </c>
      <c r="D146" s="64">
        <v>0</v>
      </c>
    </row>
    <row r="147" spans="1:4">
      <c r="A147" s="52">
        <v>31101</v>
      </c>
      <c r="B147" s="51" t="s">
        <v>215</v>
      </c>
      <c r="C147" s="64">
        <v>1.5</v>
      </c>
      <c r="D147" s="64">
        <v>8.1442080378250598E-2</v>
      </c>
    </row>
    <row r="148" spans="1:4">
      <c r="A148" s="52">
        <v>31201</v>
      </c>
      <c r="B148" s="51" t="s">
        <v>248</v>
      </c>
      <c r="C148" s="64">
        <v>0.86666666666666659</v>
      </c>
      <c r="D148" s="64">
        <v>0.60858123333368608</v>
      </c>
    </row>
    <row r="149" spans="1:4">
      <c r="A149" s="52">
        <v>31202</v>
      </c>
      <c r="B149" s="51" t="s">
        <v>205</v>
      </c>
      <c r="C149" s="64">
        <v>3.3333333333333335</v>
      </c>
      <c r="D149" s="64">
        <v>0.7505839482633565</v>
      </c>
    </row>
    <row r="150" spans="1:4">
      <c r="A150" s="52">
        <v>31203</v>
      </c>
      <c r="B150" s="51" t="s">
        <v>247</v>
      </c>
      <c r="C150" s="64">
        <v>0.6</v>
      </c>
      <c r="D150" s="64">
        <v>0.31467301088059568</v>
      </c>
    </row>
    <row r="151" spans="1:4">
      <c r="A151" s="52">
        <v>31204</v>
      </c>
      <c r="B151" s="51" t="s">
        <v>334</v>
      </c>
      <c r="C151" s="64">
        <v>0</v>
      </c>
      <c r="D151" s="64">
        <v>0</v>
      </c>
    </row>
    <row r="152" spans="1:4">
      <c r="A152" s="52">
        <v>31205</v>
      </c>
      <c r="B152" s="51" t="s">
        <v>335</v>
      </c>
      <c r="C152" s="64">
        <v>0</v>
      </c>
      <c r="D152" s="64">
        <v>0</v>
      </c>
    </row>
    <row r="153" spans="1:4">
      <c r="A153" s="52">
        <v>31206</v>
      </c>
      <c r="B153" s="51" t="s">
        <v>336</v>
      </c>
      <c r="C153" s="64">
        <v>0</v>
      </c>
      <c r="D153" s="64">
        <v>0</v>
      </c>
    </row>
    <row r="154" spans="1:4">
      <c r="A154" s="52">
        <v>31301</v>
      </c>
      <c r="B154" s="51" t="s">
        <v>184</v>
      </c>
      <c r="C154" s="64">
        <v>7.3999999999999995</v>
      </c>
      <c r="D154" s="64">
        <v>0.61730715850681683</v>
      </c>
    </row>
    <row r="155" spans="1:4">
      <c r="A155" s="52">
        <v>31302</v>
      </c>
      <c r="B155" s="51" t="s">
        <v>198</v>
      </c>
      <c r="C155" s="64">
        <v>5.2</v>
      </c>
      <c r="D155" s="64">
        <v>1.6574232951701682</v>
      </c>
    </row>
    <row r="156" spans="1:4">
      <c r="A156" s="52">
        <v>31303</v>
      </c>
      <c r="B156" s="51" t="s">
        <v>337</v>
      </c>
      <c r="C156" s="64">
        <v>0</v>
      </c>
      <c r="D156" s="64">
        <v>0</v>
      </c>
    </row>
    <row r="157" spans="1:4">
      <c r="A157" s="52">
        <v>31304</v>
      </c>
      <c r="B157" s="51" t="s">
        <v>484</v>
      </c>
      <c r="C157" s="64">
        <v>0</v>
      </c>
      <c r="D157" s="64">
        <v>3.5393878237470573</v>
      </c>
    </row>
    <row r="158" spans="1:4">
      <c r="A158" s="52">
        <v>31401</v>
      </c>
      <c r="B158" s="51" t="s">
        <v>226</v>
      </c>
      <c r="C158" s="64">
        <v>2.3666666666666667</v>
      </c>
      <c r="D158" s="64">
        <v>1.4755329492039759</v>
      </c>
    </row>
    <row r="159" spans="1:4">
      <c r="A159" s="52">
        <v>31402</v>
      </c>
      <c r="B159" s="51" t="s">
        <v>245</v>
      </c>
      <c r="C159" s="64">
        <v>0.93333333333333346</v>
      </c>
      <c r="D159" s="64">
        <v>0.6118072038341682</v>
      </c>
    </row>
    <row r="160" spans="1:4">
      <c r="A160" s="52">
        <v>31403</v>
      </c>
      <c r="B160" s="51" t="s">
        <v>214</v>
      </c>
      <c r="C160" s="64">
        <v>1.8</v>
      </c>
      <c r="D160" s="64">
        <v>0.25696735915432756</v>
      </c>
    </row>
    <row r="161" spans="1:4">
      <c r="A161" s="52">
        <v>31404</v>
      </c>
      <c r="B161" s="51" t="s">
        <v>200</v>
      </c>
      <c r="C161" s="64">
        <v>4.3666666666666663</v>
      </c>
      <c r="D161" s="64">
        <v>1.2204523107177974</v>
      </c>
    </row>
    <row r="162" spans="1:4">
      <c r="A162" s="52">
        <v>31405</v>
      </c>
      <c r="B162" s="51" t="s">
        <v>566</v>
      </c>
      <c r="C162" s="64">
        <v>1.9000000000000001</v>
      </c>
      <c r="D162" s="64">
        <v>0.15979365427905221</v>
      </c>
    </row>
    <row r="163" spans="1:4">
      <c r="A163" s="52">
        <v>31501</v>
      </c>
      <c r="B163" s="51" t="s">
        <v>567</v>
      </c>
      <c r="C163" s="64">
        <v>0</v>
      </c>
      <c r="D163" s="64">
        <v>0</v>
      </c>
    </row>
    <row r="164" spans="1:4">
      <c r="A164" s="52">
        <v>31601</v>
      </c>
      <c r="B164" s="51" t="s">
        <v>338</v>
      </c>
      <c r="C164" s="64">
        <v>0</v>
      </c>
      <c r="D164" s="64">
        <v>0</v>
      </c>
    </row>
    <row r="165" spans="1:4">
      <c r="A165" s="52">
        <v>31602</v>
      </c>
      <c r="B165" s="51" t="s">
        <v>339</v>
      </c>
      <c r="C165" s="64">
        <v>0</v>
      </c>
      <c r="D165" s="64">
        <v>0</v>
      </c>
    </row>
    <row r="166" spans="1:4">
      <c r="A166" s="52">
        <v>40101</v>
      </c>
      <c r="B166" s="51" t="s">
        <v>340</v>
      </c>
      <c r="C166" s="64">
        <v>0</v>
      </c>
      <c r="D166" s="64">
        <v>0</v>
      </c>
    </row>
    <row r="167" spans="1:4">
      <c r="A167" s="52">
        <v>40102</v>
      </c>
      <c r="B167" s="51" t="s">
        <v>341</v>
      </c>
      <c r="C167" s="64">
        <v>0</v>
      </c>
      <c r="D167" s="64">
        <v>0</v>
      </c>
    </row>
    <row r="168" spans="1:4">
      <c r="A168" s="52">
        <v>40103</v>
      </c>
      <c r="B168" s="51" t="s">
        <v>342</v>
      </c>
      <c r="C168" s="64">
        <v>0</v>
      </c>
      <c r="D168" s="64">
        <v>0</v>
      </c>
    </row>
    <row r="169" spans="1:4">
      <c r="A169" s="52">
        <v>40104</v>
      </c>
      <c r="B169" s="51" t="s">
        <v>343</v>
      </c>
      <c r="C169" s="64">
        <v>0</v>
      </c>
      <c r="D169" s="64">
        <v>0</v>
      </c>
    </row>
    <row r="170" spans="1:4">
      <c r="A170" s="52">
        <v>40201</v>
      </c>
      <c r="B170" s="51" t="s">
        <v>344</v>
      </c>
      <c r="C170" s="64">
        <v>0</v>
      </c>
      <c r="D170" s="64">
        <v>0</v>
      </c>
    </row>
    <row r="171" spans="1:4">
      <c r="A171" s="52">
        <v>40202</v>
      </c>
      <c r="B171" s="51" t="s">
        <v>345</v>
      </c>
      <c r="C171" s="64">
        <v>0</v>
      </c>
      <c r="D171" s="64">
        <v>0</v>
      </c>
    </row>
    <row r="172" spans="1:4">
      <c r="A172" s="52">
        <v>40301</v>
      </c>
      <c r="B172" s="51" t="s">
        <v>346</v>
      </c>
      <c r="C172" s="64">
        <v>0</v>
      </c>
      <c r="D172" s="64">
        <v>0</v>
      </c>
    </row>
    <row r="173" spans="1:4">
      <c r="A173" s="52">
        <v>40302</v>
      </c>
      <c r="B173" s="51" t="s">
        <v>347</v>
      </c>
      <c r="C173" s="64">
        <v>0</v>
      </c>
      <c r="D173" s="64">
        <v>0</v>
      </c>
    </row>
    <row r="174" spans="1:4">
      <c r="A174" s="52">
        <v>40401</v>
      </c>
      <c r="B174" s="51" t="s">
        <v>348</v>
      </c>
      <c r="C174" s="64">
        <v>0</v>
      </c>
      <c r="D174" s="64">
        <v>0</v>
      </c>
    </row>
    <row r="175" spans="1:4">
      <c r="A175" s="52">
        <v>40402</v>
      </c>
      <c r="B175" s="51" t="s">
        <v>349</v>
      </c>
      <c r="C175" s="64">
        <v>0</v>
      </c>
      <c r="D175" s="64">
        <v>0</v>
      </c>
    </row>
    <row r="176" spans="1:4">
      <c r="A176" s="52">
        <v>40501</v>
      </c>
      <c r="B176" s="51" t="s">
        <v>350</v>
      </c>
      <c r="C176" s="64">
        <v>0</v>
      </c>
      <c r="D176" s="64">
        <v>0</v>
      </c>
    </row>
    <row r="177" spans="1:4">
      <c r="A177" s="52">
        <v>40502</v>
      </c>
      <c r="B177" s="51" t="s">
        <v>351</v>
      </c>
      <c r="C177" s="64">
        <v>0</v>
      </c>
      <c r="D177" s="64">
        <v>0</v>
      </c>
    </row>
    <row r="178" spans="1:4">
      <c r="A178" s="52">
        <v>40503</v>
      </c>
      <c r="B178" s="51" t="s">
        <v>352</v>
      </c>
      <c r="C178" s="64">
        <v>0</v>
      </c>
      <c r="D178" s="64">
        <v>0</v>
      </c>
    </row>
    <row r="179" spans="1:4">
      <c r="A179" s="52">
        <v>40504</v>
      </c>
      <c r="B179" s="51" t="s">
        <v>353</v>
      </c>
      <c r="C179" s="64">
        <v>0</v>
      </c>
      <c r="D179" s="64">
        <v>0</v>
      </c>
    </row>
    <row r="180" spans="1:4">
      <c r="A180" s="52">
        <v>40505</v>
      </c>
      <c r="B180" s="51" t="s">
        <v>354</v>
      </c>
      <c r="C180" s="64">
        <v>0</v>
      </c>
      <c r="D180" s="64">
        <v>0</v>
      </c>
    </row>
    <row r="181" spans="1:4">
      <c r="A181" s="52">
        <v>40601</v>
      </c>
      <c r="B181" s="51" t="s">
        <v>355</v>
      </c>
      <c r="C181" s="64">
        <v>0</v>
      </c>
      <c r="D181" s="64">
        <v>0</v>
      </c>
    </row>
    <row r="182" spans="1:4">
      <c r="A182" s="52">
        <v>40602</v>
      </c>
      <c r="B182" s="51" t="s">
        <v>356</v>
      </c>
      <c r="C182" s="64">
        <v>0</v>
      </c>
      <c r="D182" s="64">
        <v>0</v>
      </c>
    </row>
    <row r="183" spans="1:4">
      <c r="A183" s="52">
        <v>40603</v>
      </c>
      <c r="B183" s="51" t="s">
        <v>357</v>
      </c>
      <c r="C183" s="64">
        <v>0</v>
      </c>
      <c r="D183" s="64">
        <v>0</v>
      </c>
    </row>
    <row r="184" spans="1:4">
      <c r="A184" s="52">
        <v>40701</v>
      </c>
      <c r="B184" s="51" t="s">
        <v>358</v>
      </c>
      <c r="C184" s="64">
        <v>0</v>
      </c>
      <c r="D184" s="64">
        <v>0</v>
      </c>
    </row>
    <row r="185" spans="1:4">
      <c r="A185" s="52">
        <v>40702</v>
      </c>
      <c r="B185" s="51" t="s">
        <v>359</v>
      </c>
      <c r="C185" s="64">
        <v>0</v>
      </c>
      <c r="D185" s="64">
        <v>0</v>
      </c>
    </row>
    <row r="186" spans="1:4">
      <c r="A186" s="52">
        <v>40801</v>
      </c>
      <c r="B186" s="51" t="s">
        <v>576</v>
      </c>
      <c r="C186" s="64">
        <v>0</v>
      </c>
      <c r="D186" s="64">
        <v>0</v>
      </c>
    </row>
    <row r="187" spans="1:4">
      <c r="A187" s="52">
        <v>40802</v>
      </c>
      <c r="B187" s="51" t="s">
        <v>360</v>
      </c>
      <c r="C187" s="64">
        <v>0</v>
      </c>
      <c r="D187" s="64">
        <v>0</v>
      </c>
    </row>
    <row r="188" spans="1:4">
      <c r="A188" s="52">
        <v>40901</v>
      </c>
      <c r="B188" s="51" t="s">
        <v>361</v>
      </c>
      <c r="C188" s="64">
        <v>0</v>
      </c>
      <c r="D188" s="64">
        <v>0</v>
      </c>
    </row>
    <row r="189" spans="1:4">
      <c r="A189" s="52">
        <v>40902</v>
      </c>
      <c r="B189" s="51" t="s">
        <v>362</v>
      </c>
      <c r="C189" s="64">
        <v>0</v>
      </c>
      <c r="D189" s="64">
        <v>0</v>
      </c>
    </row>
    <row r="190" spans="1:4">
      <c r="A190" s="52">
        <v>40903</v>
      </c>
      <c r="B190" s="51" t="s">
        <v>577</v>
      </c>
      <c r="C190" s="64">
        <v>0</v>
      </c>
      <c r="D190" s="64">
        <v>0</v>
      </c>
    </row>
    <row r="191" spans="1:4">
      <c r="A191" s="52">
        <v>41001</v>
      </c>
      <c r="B191" s="51" t="s">
        <v>363</v>
      </c>
      <c r="C191" s="64">
        <v>0</v>
      </c>
      <c r="D191" s="64">
        <v>0</v>
      </c>
    </row>
    <row r="192" spans="1:4">
      <c r="A192" s="52">
        <v>41101</v>
      </c>
      <c r="B192" s="51" t="s">
        <v>364</v>
      </c>
      <c r="C192" s="64">
        <v>0</v>
      </c>
      <c r="D192" s="64">
        <v>0</v>
      </c>
    </row>
    <row r="193" spans="1:4">
      <c r="A193" s="52">
        <v>41201</v>
      </c>
      <c r="B193" s="51" t="s">
        <v>365</v>
      </c>
      <c r="C193" s="64">
        <v>0</v>
      </c>
      <c r="D193" s="64">
        <v>0</v>
      </c>
    </row>
    <row r="194" spans="1:4">
      <c r="A194" s="52">
        <v>41202</v>
      </c>
      <c r="B194" s="51" t="s">
        <v>366</v>
      </c>
      <c r="C194" s="64">
        <v>0</v>
      </c>
      <c r="D194" s="64">
        <v>0</v>
      </c>
    </row>
    <row r="195" spans="1:4">
      <c r="A195" s="52">
        <v>41301</v>
      </c>
      <c r="B195" s="51" t="s">
        <v>248</v>
      </c>
      <c r="C195" s="64">
        <v>0</v>
      </c>
      <c r="D195" s="64">
        <v>0</v>
      </c>
    </row>
    <row r="196" spans="1:4">
      <c r="A196" s="52">
        <v>41401</v>
      </c>
      <c r="B196" s="51" t="s">
        <v>367</v>
      </c>
      <c r="C196" s="64">
        <v>0</v>
      </c>
      <c r="D196" s="64">
        <v>0</v>
      </c>
    </row>
    <row r="197" spans="1:4">
      <c r="A197" s="52">
        <v>41501</v>
      </c>
      <c r="B197" s="51" t="s">
        <v>368</v>
      </c>
      <c r="C197" s="64">
        <v>0</v>
      </c>
      <c r="D197" s="64">
        <v>0</v>
      </c>
    </row>
    <row r="198" spans="1:4">
      <c r="A198" s="52">
        <v>41502</v>
      </c>
      <c r="B198" s="51" t="s">
        <v>369</v>
      </c>
      <c r="C198" s="64">
        <v>0</v>
      </c>
      <c r="D198" s="64">
        <v>0</v>
      </c>
    </row>
    <row r="199" spans="1:4">
      <c r="A199" s="52">
        <v>41503</v>
      </c>
      <c r="B199" s="51" t="s">
        <v>370</v>
      </c>
      <c r="C199" s="64">
        <v>0</v>
      </c>
      <c r="D199" s="64">
        <v>0</v>
      </c>
    </row>
    <row r="200" spans="1:4">
      <c r="A200" s="52">
        <v>41601</v>
      </c>
      <c r="B200" s="51" t="s">
        <v>586</v>
      </c>
      <c r="C200" s="64">
        <v>0</v>
      </c>
      <c r="D200" s="64">
        <v>0</v>
      </c>
    </row>
    <row r="201" spans="1:4">
      <c r="A201" s="52">
        <v>50101</v>
      </c>
      <c r="B201" s="51" t="s">
        <v>192</v>
      </c>
      <c r="C201" s="64">
        <v>0</v>
      </c>
      <c r="D201" s="64">
        <v>0</v>
      </c>
    </row>
    <row r="202" spans="1:4">
      <c r="A202" s="52">
        <v>50102</v>
      </c>
      <c r="B202" s="51" t="s">
        <v>480</v>
      </c>
      <c r="C202" s="64">
        <v>0.3666666666666667</v>
      </c>
      <c r="D202" s="64">
        <v>2.6246507629486353</v>
      </c>
    </row>
    <row r="203" spans="1:4">
      <c r="A203" s="52">
        <v>50103</v>
      </c>
      <c r="B203" s="51" t="s">
        <v>372</v>
      </c>
      <c r="C203" s="64">
        <v>0</v>
      </c>
      <c r="D203" s="64">
        <v>0</v>
      </c>
    </row>
    <row r="204" spans="1:4">
      <c r="A204" s="52">
        <v>50104</v>
      </c>
      <c r="B204" s="51" t="s">
        <v>373</v>
      </c>
      <c r="C204" s="64">
        <v>0</v>
      </c>
      <c r="D204" s="64">
        <v>0</v>
      </c>
    </row>
    <row r="205" spans="1:4">
      <c r="A205" s="52">
        <v>50201</v>
      </c>
      <c r="B205" s="51" t="s">
        <v>374</v>
      </c>
      <c r="C205" s="64">
        <v>0</v>
      </c>
      <c r="D205" s="64">
        <v>0</v>
      </c>
    </row>
    <row r="206" spans="1:4">
      <c r="A206" s="52">
        <v>50202</v>
      </c>
      <c r="B206" s="51" t="s">
        <v>375</v>
      </c>
      <c r="C206" s="64">
        <v>0</v>
      </c>
      <c r="D206" s="64">
        <v>0</v>
      </c>
    </row>
    <row r="207" spans="1:4">
      <c r="A207" s="52">
        <v>50203</v>
      </c>
      <c r="B207" s="51" t="s">
        <v>376</v>
      </c>
      <c r="C207" s="64">
        <v>0</v>
      </c>
      <c r="D207" s="64">
        <v>0</v>
      </c>
    </row>
    <row r="208" spans="1:4">
      <c r="A208" s="52">
        <v>50204</v>
      </c>
      <c r="B208" s="51" t="s">
        <v>377</v>
      </c>
      <c r="C208" s="64">
        <v>0</v>
      </c>
      <c r="D208" s="64">
        <v>0</v>
      </c>
    </row>
    <row r="209" spans="1:4">
      <c r="A209" s="52">
        <v>50301</v>
      </c>
      <c r="B209" s="51" t="s">
        <v>475</v>
      </c>
      <c r="C209" s="64">
        <v>2.9333333333333336</v>
      </c>
      <c r="D209" s="64">
        <v>4.3817288103977292</v>
      </c>
    </row>
    <row r="210" spans="1:4">
      <c r="A210" s="52">
        <v>50302</v>
      </c>
      <c r="B210" s="51" t="s">
        <v>464</v>
      </c>
      <c r="C210" s="64">
        <v>0.19999999999999998</v>
      </c>
      <c r="D210" s="64">
        <v>0.67571477687795944</v>
      </c>
    </row>
    <row r="211" spans="1:4">
      <c r="A211" s="52">
        <v>50303</v>
      </c>
      <c r="B211" s="51" t="s">
        <v>223</v>
      </c>
      <c r="C211" s="64">
        <v>2.3333333333333335</v>
      </c>
      <c r="D211" s="64">
        <v>1.3039193489222713</v>
      </c>
    </row>
    <row r="212" spans="1:4">
      <c r="A212" s="52">
        <v>50401</v>
      </c>
      <c r="B212" s="51" t="s">
        <v>476</v>
      </c>
      <c r="C212" s="64">
        <v>2.2666666666666671</v>
      </c>
      <c r="D212" s="64">
        <v>3.7910359669768883</v>
      </c>
    </row>
    <row r="213" spans="1:4">
      <c r="A213" s="52">
        <v>50402</v>
      </c>
      <c r="B213" s="51" t="s">
        <v>482</v>
      </c>
      <c r="C213" s="64">
        <v>0.8666666666666667</v>
      </c>
      <c r="D213" s="64">
        <v>3.8060493017750452</v>
      </c>
    </row>
    <row r="214" spans="1:4">
      <c r="A214" s="52">
        <v>50403</v>
      </c>
      <c r="B214" s="51" t="s">
        <v>260</v>
      </c>
      <c r="C214" s="64">
        <v>1.7666666666666666</v>
      </c>
      <c r="D214" s="64">
        <v>1.7549307112874477</v>
      </c>
    </row>
    <row r="215" spans="1:4">
      <c r="A215" s="52">
        <v>50404</v>
      </c>
      <c r="B215" s="51" t="s">
        <v>207</v>
      </c>
      <c r="C215" s="64">
        <v>3</v>
      </c>
      <c r="D215" s="64">
        <v>0.75870921610141329</v>
      </c>
    </row>
    <row r="216" spans="1:4">
      <c r="A216" s="52">
        <v>50405</v>
      </c>
      <c r="B216" s="51" t="s">
        <v>262</v>
      </c>
      <c r="C216" s="64">
        <v>0</v>
      </c>
      <c r="D216" s="64">
        <v>0</v>
      </c>
    </row>
    <row r="217" spans="1:4">
      <c r="A217" s="52">
        <v>50501</v>
      </c>
      <c r="B217" s="51" t="s">
        <v>412</v>
      </c>
      <c r="C217" s="64">
        <v>1.2333333333333334</v>
      </c>
      <c r="D217" s="64">
        <v>2.4046070686320946</v>
      </c>
    </row>
    <row r="218" spans="1:4">
      <c r="A218" s="52">
        <v>50502</v>
      </c>
      <c r="B218" s="51" t="s">
        <v>483</v>
      </c>
      <c r="C218" s="64">
        <v>3.2666666666666671</v>
      </c>
      <c r="D218" s="64">
        <v>6.4984480987549373</v>
      </c>
    </row>
    <row r="219" spans="1:4">
      <c r="A219" s="52">
        <v>50601</v>
      </c>
      <c r="B219" s="51" t="s">
        <v>466</v>
      </c>
      <c r="C219" s="64">
        <v>0.73333333333333328</v>
      </c>
      <c r="D219" s="64">
        <v>1.3962724063033587</v>
      </c>
    </row>
    <row r="220" spans="1:4">
      <c r="A220" s="52">
        <v>50602</v>
      </c>
      <c r="B220" s="51" t="s">
        <v>225</v>
      </c>
      <c r="C220" s="64">
        <v>1.8333333333333333</v>
      </c>
      <c r="D220" s="64">
        <v>0.92157640149425235</v>
      </c>
    </row>
    <row r="221" spans="1:4">
      <c r="A221" s="52">
        <v>50701</v>
      </c>
      <c r="B221" s="51" t="s">
        <v>378</v>
      </c>
      <c r="C221" s="64">
        <v>0</v>
      </c>
      <c r="D221" s="64">
        <v>0</v>
      </c>
    </row>
    <row r="222" spans="1:4">
      <c r="A222" s="52">
        <v>50702</v>
      </c>
      <c r="B222" s="51" t="s">
        <v>379</v>
      </c>
      <c r="C222" s="64">
        <v>0</v>
      </c>
      <c r="D222" s="64">
        <v>0</v>
      </c>
    </row>
    <row r="223" spans="1:4">
      <c r="A223" s="52">
        <v>50801</v>
      </c>
      <c r="B223" s="51" t="s">
        <v>455</v>
      </c>
      <c r="C223" s="64">
        <v>0.3</v>
      </c>
      <c r="D223" s="64">
        <v>0.56015545459214977</v>
      </c>
    </row>
    <row r="224" spans="1:4">
      <c r="A224" s="52">
        <v>50802</v>
      </c>
      <c r="B224" s="51" t="s">
        <v>380</v>
      </c>
      <c r="C224" s="64">
        <v>0</v>
      </c>
      <c r="D224" s="64">
        <v>0</v>
      </c>
    </row>
    <row r="225" spans="1:4">
      <c r="A225" s="52">
        <v>50901</v>
      </c>
      <c r="B225" s="51" t="s">
        <v>381</v>
      </c>
      <c r="C225" s="64">
        <v>0</v>
      </c>
      <c r="D225" s="64">
        <v>0</v>
      </c>
    </row>
    <row r="226" spans="1:4">
      <c r="A226" s="52">
        <v>50902</v>
      </c>
      <c r="B226" s="51" t="s">
        <v>382</v>
      </c>
      <c r="C226" s="64">
        <v>0</v>
      </c>
      <c r="D226" s="64">
        <v>0</v>
      </c>
    </row>
    <row r="227" spans="1:4">
      <c r="A227" s="52">
        <v>51001</v>
      </c>
      <c r="B227" s="51" t="s">
        <v>383</v>
      </c>
      <c r="C227" s="64">
        <v>0</v>
      </c>
      <c r="D227" s="64">
        <v>0</v>
      </c>
    </row>
    <row r="228" spans="1:4">
      <c r="A228" s="52">
        <v>51002</v>
      </c>
      <c r="B228" s="51" t="s">
        <v>450</v>
      </c>
      <c r="C228" s="64">
        <v>0.33333333333333331</v>
      </c>
      <c r="D228" s="64">
        <v>0.36111111111111116</v>
      </c>
    </row>
    <row r="229" spans="1:4">
      <c r="A229" s="52">
        <v>51003</v>
      </c>
      <c r="B229" s="51" t="s">
        <v>384</v>
      </c>
      <c r="C229" s="64">
        <v>0</v>
      </c>
      <c r="D229" s="64">
        <v>0</v>
      </c>
    </row>
    <row r="230" spans="1:4">
      <c r="A230" s="52">
        <v>51101</v>
      </c>
      <c r="B230" s="51" t="s">
        <v>253</v>
      </c>
      <c r="C230" s="64">
        <v>1.7333333333333334</v>
      </c>
      <c r="D230" s="64">
        <v>1.6479892874008308</v>
      </c>
    </row>
    <row r="231" spans="1:4">
      <c r="A231" s="52">
        <v>51102</v>
      </c>
      <c r="B231" s="51" t="s">
        <v>259</v>
      </c>
      <c r="C231" s="64">
        <v>0.6333333333333333</v>
      </c>
      <c r="D231" s="64">
        <v>0.6176442323742074</v>
      </c>
    </row>
    <row r="232" spans="1:4">
      <c r="A232" s="52">
        <v>51103</v>
      </c>
      <c r="B232" s="51" t="s">
        <v>193</v>
      </c>
      <c r="C232" s="64">
        <v>7.0333333333333341</v>
      </c>
      <c r="D232" s="64">
        <v>2.5171195020356678</v>
      </c>
    </row>
    <row r="233" spans="1:4">
      <c r="A233" s="52">
        <v>51201</v>
      </c>
      <c r="B233" s="51" t="s">
        <v>385</v>
      </c>
      <c r="C233" s="64">
        <v>0</v>
      </c>
      <c r="D233" s="64">
        <v>0</v>
      </c>
    </row>
    <row r="234" spans="1:4">
      <c r="A234" s="52">
        <v>51202</v>
      </c>
      <c r="B234" s="51" t="s">
        <v>229</v>
      </c>
      <c r="C234" s="64">
        <v>1.0333333333333334</v>
      </c>
      <c r="D234" s="64">
        <v>0.22927002194962762</v>
      </c>
    </row>
    <row r="235" spans="1:4">
      <c r="A235" s="52">
        <v>51203</v>
      </c>
      <c r="B235" s="51" t="s">
        <v>386</v>
      </c>
      <c r="C235" s="64">
        <v>0</v>
      </c>
      <c r="D235" s="64">
        <v>0</v>
      </c>
    </row>
    <row r="236" spans="1:4">
      <c r="A236" s="52">
        <v>51204</v>
      </c>
      <c r="B236" s="51" t="s">
        <v>606</v>
      </c>
      <c r="C236" s="64">
        <v>0</v>
      </c>
      <c r="D236" s="64">
        <v>0</v>
      </c>
    </row>
    <row r="237" spans="1:4">
      <c r="A237" s="52">
        <v>51301</v>
      </c>
      <c r="B237" s="51" t="s">
        <v>465</v>
      </c>
      <c r="C237" s="64">
        <v>0.3666666666666667</v>
      </c>
      <c r="D237" s="64">
        <v>0.93360346098247537</v>
      </c>
    </row>
    <row r="238" spans="1:4">
      <c r="A238" s="52">
        <v>51302</v>
      </c>
      <c r="B238" s="51" t="s">
        <v>261</v>
      </c>
      <c r="C238" s="64">
        <v>0.53333333333333333</v>
      </c>
      <c r="D238" s="64">
        <v>0.53250426848847676</v>
      </c>
    </row>
    <row r="239" spans="1:4">
      <c r="A239" s="52">
        <v>51401</v>
      </c>
      <c r="B239" s="51" t="s">
        <v>387</v>
      </c>
      <c r="C239" s="64">
        <v>0</v>
      </c>
      <c r="D239" s="64">
        <v>0</v>
      </c>
    </row>
    <row r="240" spans="1:4">
      <c r="A240" s="52">
        <v>51402</v>
      </c>
      <c r="B240" s="51" t="s">
        <v>388</v>
      </c>
      <c r="C240" s="64">
        <v>0</v>
      </c>
      <c r="D240" s="64">
        <v>0</v>
      </c>
    </row>
    <row r="241" spans="1:4">
      <c r="A241" s="52">
        <v>51501</v>
      </c>
      <c r="B241" s="51" t="s">
        <v>461</v>
      </c>
      <c r="C241" s="64">
        <v>0.19999999999999998</v>
      </c>
      <c r="D241" s="64">
        <v>0.56659045892908322</v>
      </c>
    </row>
    <row r="242" spans="1:4">
      <c r="A242" s="52">
        <v>51601</v>
      </c>
      <c r="B242" s="51" t="s">
        <v>389</v>
      </c>
      <c r="C242" s="64">
        <v>0</v>
      </c>
      <c r="D242" s="64">
        <v>0</v>
      </c>
    </row>
    <row r="243" spans="1:4">
      <c r="A243" s="52">
        <v>60101</v>
      </c>
      <c r="B243" s="51" t="s">
        <v>128</v>
      </c>
      <c r="C243" s="64">
        <v>2.8519360000000002</v>
      </c>
      <c r="D243" s="64">
        <v>1.0174676773642017</v>
      </c>
    </row>
    <row r="244" spans="1:4">
      <c r="A244" s="52">
        <v>60201</v>
      </c>
      <c r="B244" s="51" t="s">
        <v>232</v>
      </c>
      <c r="C244" s="64">
        <v>0.76666666666666661</v>
      </c>
      <c r="D244" s="64">
        <v>0.12221210799466475</v>
      </c>
    </row>
    <row r="245" spans="1:4">
      <c r="A245" s="52">
        <v>60202</v>
      </c>
      <c r="B245" s="51" t="s">
        <v>390</v>
      </c>
      <c r="C245" s="64">
        <v>0</v>
      </c>
      <c r="D245" s="64">
        <v>0</v>
      </c>
    </row>
    <row r="246" spans="1:4">
      <c r="A246" s="52">
        <v>60301</v>
      </c>
      <c r="B246" s="51" t="s">
        <v>183</v>
      </c>
      <c r="C246" s="64">
        <v>23.033333333333331</v>
      </c>
      <c r="D246" s="64">
        <v>14.596769189262107</v>
      </c>
    </row>
    <row r="247" spans="1:4">
      <c r="A247" s="52">
        <v>60302</v>
      </c>
      <c r="B247" s="51" t="s">
        <v>181</v>
      </c>
      <c r="C247" s="64">
        <v>14.833333333333334</v>
      </c>
      <c r="D247" s="64">
        <v>1.9370393659578611</v>
      </c>
    </row>
    <row r="248" spans="1:4">
      <c r="A248" s="52">
        <v>60303</v>
      </c>
      <c r="B248" s="51" t="s">
        <v>202</v>
      </c>
      <c r="C248" s="64">
        <v>5.2666666666666666</v>
      </c>
      <c r="D248" s="64">
        <v>2.3933310240404535</v>
      </c>
    </row>
    <row r="249" spans="1:4">
      <c r="A249" s="52">
        <v>60401</v>
      </c>
      <c r="B249" s="51" t="s">
        <v>249</v>
      </c>
      <c r="C249" s="64">
        <v>0.53333333333333333</v>
      </c>
      <c r="D249" s="64">
        <v>0.34507322995234224</v>
      </c>
    </row>
    <row r="250" spans="1:4">
      <c r="A250" s="52">
        <v>60402</v>
      </c>
      <c r="B250" s="51" t="s">
        <v>255</v>
      </c>
      <c r="C250" s="64">
        <v>0.6</v>
      </c>
      <c r="D250" s="64">
        <v>0.56266479392086532</v>
      </c>
    </row>
    <row r="251" spans="1:4">
      <c r="A251" s="52">
        <v>60501</v>
      </c>
      <c r="B251" s="51" t="s">
        <v>233</v>
      </c>
      <c r="C251" s="64">
        <v>1.4666666666666668</v>
      </c>
      <c r="D251" s="64">
        <v>0.83979007739556144</v>
      </c>
    </row>
    <row r="252" spans="1:4">
      <c r="A252" s="52">
        <v>60502</v>
      </c>
      <c r="B252" s="51" t="s">
        <v>222</v>
      </c>
      <c r="C252" s="64">
        <v>2.2666666666666666</v>
      </c>
      <c r="D252" s="64">
        <v>1.1791099672764662</v>
      </c>
    </row>
    <row r="253" spans="1:4">
      <c r="A253" s="52">
        <v>60601</v>
      </c>
      <c r="B253" s="51" t="s">
        <v>336</v>
      </c>
      <c r="C253" s="64">
        <v>4.5666666666666664</v>
      </c>
      <c r="D253" s="64">
        <v>7.8463888101747967</v>
      </c>
    </row>
    <row r="254" spans="1:4">
      <c r="A254" s="52">
        <v>70101</v>
      </c>
      <c r="B254" s="51" t="s">
        <v>458</v>
      </c>
      <c r="C254" s="64">
        <v>0</v>
      </c>
      <c r="D254" s="64">
        <v>0.28860028860028858</v>
      </c>
    </row>
    <row r="255" spans="1:4">
      <c r="A255" s="52">
        <v>70102</v>
      </c>
      <c r="B255" s="51" t="s">
        <v>391</v>
      </c>
      <c r="C255" s="64">
        <v>0</v>
      </c>
      <c r="D255" s="64">
        <v>0</v>
      </c>
    </row>
    <row r="256" spans="1:4">
      <c r="A256" s="52">
        <v>70103</v>
      </c>
      <c r="B256" s="51" t="s">
        <v>392</v>
      </c>
      <c r="C256" s="64">
        <v>0</v>
      </c>
      <c r="D256" s="64">
        <v>0</v>
      </c>
    </row>
    <row r="257" spans="1:4">
      <c r="A257" s="52">
        <v>70104</v>
      </c>
      <c r="B257" s="51" t="s">
        <v>489</v>
      </c>
      <c r="C257" s="64">
        <v>0</v>
      </c>
      <c r="D257" s="64">
        <v>5.2048192771084336</v>
      </c>
    </row>
    <row r="258" spans="1:4">
      <c r="A258" s="52">
        <v>70105</v>
      </c>
      <c r="B258" s="51" t="s">
        <v>487</v>
      </c>
      <c r="C258" s="64">
        <v>3.9333333333333336</v>
      </c>
      <c r="D258" s="64">
        <v>8.9737488829311882</v>
      </c>
    </row>
    <row r="259" spans="1:4">
      <c r="A259" s="52">
        <v>70201</v>
      </c>
      <c r="B259" s="51" t="s">
        <v>393</v>
      </c>
      <c r="C259" s="64">
        <v>0</v>
      </c>
      <c r="D259" s="64">
        <v>0</v>
      </c>
    </row>
    <row r="260" spans="1:4">
      <c r="A260" s="52">
        <v>70202</v>
      </c>
      <c r="B260" s="51" t="s">
        <v>394</v>
      </c>
      <c r="C260" s="64">
        <v>0</v>
      </c>
      <c r="D260" s="64">
        <v>0</v>
      </c>
    </row>
    <row r="261" spans="1:4">
      <c r="A261" s="52">
        <v>70301</v>
      </c>
      <c r="B261" s="51" t="s">
        <v>395</v>
      </c>
      <c r="C261" s="64">
        <v>0</v>
      </c>
      <c r="D261" s="64">
        <v>0</v>
      </c>
    </row>
    <row r="262" spans="1:4">
      <c r="A262" s="52">
        <v>70302</v>
      </c>
      <c r="B262" s="51" t="s">
        <v>396</v>
      </c>
      <c r="C262" s="64">
        <v>0</v>
      </c>
      <c r="D262" s="64">
        <v>0</v>
      </c>
    </row>
    <row r="263" spans="1:4">
      <c r="A263" s="52">
        <v>70303</v>
      </c>
      <c r="B263" s="51" t="s">
        <v>397</v>
      </c>
      <c r="C263" s="64">
        <v>0</v>
      </c>
      <c r="D263" s="64">
        <v>0</v>
      </c>
    </row>
    <row r="264" spans="1:4">
      <c r="A264" s="52">
        <v>70401</v>
      </c>
      <c r="B264" s="51" t="s">
        <v>398</v>
      </c>
      <c r="C264" s="64">
        <v>0</v>
      </c>
      <c r="D264" s="64">
        <v>0</v>
      </c>
    </row>
    <row r="265" spans="1:4">
      <c r="A265" s="52">
        <v>70402</v>
      </c>
      <c r="B265" s="51" t="s">
        <v>399</v>
      </c>
      <c r="C265" s="64">
        <v>0</v>
      </c>
      <c r="D265" s="64">
        <v>0</v>
      </c>
    </row>
    <row r="266" spans="1:4">
      <c r="A266" s="52">
        <v>70403</v>
      </c>
      <c r="B266" s="51" t="s">
        <v>400</v>
      </c>
      <c r="C266" s="64">
        <v>0</v>
      </c>
      <c r="D266" s="64">
        <v>0</v>
      </c>
    </row>
    <row r="267" spans="1:4">
      <c r="A267" s="52">
        <v>70404</v>
      </c>
      <c r="B267" s="51" t="s">
        <v>401</v>
      </c>
      <c r="C267" s="64">
        <v>0</v>
      </c>
      <c r="D267" s="64">
        <v>0</v>
      </c>
    </row>
    <row r="268" spans="1:4">
      <c r="A268" s="52">
        <v>70501</v>
      </c>
      <c r="B268" s="51" t="s">
        <v>402</v>
      </c>
      <c r="C268" s="64">
        <v>0</v>
      </c>
      <c r="D268" s="64">
        <v>0</v>
      </c>
    </row>
    <row r="269" spans="1:4">
      <c r="A269" s="52">
        <v>70502</v>
      </c>
      <c r="B269" s="51" t="s">
        <v>403</v>
      </c>
      <c r="C269" s="64">
        <v>0</v>
      </c>
      <c r="D269" s="64">
        <v>0</v>
      </c>
    </row>
    <row r="270" spans="1:4">
      <c r="A270" s="52">
        <v>70503</v>
      </c>
      <c r="B270" s="51" t="s">
        <v>404</v>
      </c>
      <c r="C270" s="64">
        <v>0</v>
      </c>
      <c r="D270" s="64">
        <v>0</v>
      </c>
    </row>
    <row r="271" spans="1:4">
      <c r="A271" s="52">
        <v>70601</v>
      </c>
      <c r="B271" s="51" t="s">
        <v>405</v>
      </c>
      <c r="C271" s="64">
        <v>0</v>
      </c>
      <c r="D271" s="64">
        <v>0</v>
      </c>
    </row>
    <row r="272" spans="1:4">
      <c r="A272" s="52">
        <v>70602</v>
      </c>
      <c r="B272" s="51" t="s">
        <v>406</v>
      </c>
      <c r="C272" s="64">
        <v>0</v>
      </c>
      <c r="D272" s="64">
        <v>0</v>
      </c>
    </row>
    <row r="273" spans="1:4">
      <c r="A273" s="52">
        <v>70603</v>
      </c>
      <c r="B273" s="51" t="s">
        <v>407</v>
      </c>
      <c r="C273" s="64">
        <v>0</v>
      </c>
      <c r="D273" s="64">
        <v>0</v>
      </c>
    </row>
    <row r="274" spans="1:4">
      <c r="A274" s="52">
        <v>70701</v>
      </c>
      <c r="B274" s="51" t="s">
        <v>220</v>
      </c>
      <c r="C274" s="64">
        <v>1.1666666666666667</v>
      </c>
      <c r="D274" s="64">
        <v>0</v>
      </c>
    </row>
    <row r="275" spans="1:4">
      <c r="A275" s="52">
        <v>70702</v>
      </c>
      <c r="B275" s="51" t="s">
        <v>626</v>
      </c>
      <c r="C275" s="64">
        <v>6.2333333333333334</v>
      </c>
      <c r="D275" s="64">
        <v>0</v>
      </c>
    </row>
    <row r="276" spans="1:4">
      <c r="A276" s="52">
        <v>70703</v>
      </c>
      <c r="B276" s="51" t="s">
        <v>203</v>
      </c>
      <c r="C276" s="64">
        <v>2.7999999999999994</v>
      </c>
      <c r="D276" s="64">
        <v>0</v>
      </c>
    </row>
    <row r="277" spans="1:4">
      <c r="A277" s="52">
        <v>70704</v>
      </c>
      <c r="B277" s="51" t="s">
        <v>495</v>
      </c>
      <c r="C277" s="64">
        <v>3.1666666666666665</v>
      </c>
      <c r="D277" s="64">
        <v>26.050773558368494</v>
      </c>
    </row>
    <row r="278" spans="1:4">
      <c r="A278" s="52">
        <v>70705</v>
      </c>
      <c r="B278" s="51" t="s">
        <v>627</v>
      </c>
      <c r="C278" s="64">
        <v>10.966666666666667</v>
      </c>
      <c r="D278" s="64">
        <v>0.22629554197782306</v>
      </c>
    </row>
    <row r="279" spans="1:4">
      <c r="A279" s="52">
        <v>70706</v>
      </c>
      <c r="B279" s="51" t="s">
        <v>206</v>
      </c>
      <c r="C279" s="64">
        <v>2.3333333333333335</v>
      </c>
      <c r="D279" s="64">
        <v>0</v>
      </c>
    </row>
    <row r="280" spans="1:4">
      <c r="A280" s="52">
        <v>70707</v>
      </c>
      <c r="B280" s="51" t="s">
        <v>189</v>
      </c>
      <c r="C280" s="64">
        <v>7.7</v>
      </c>
      <c r="D280" s="64">
        <v>2.8673835125448028</v>
      </c>
    </row>
    <row r="281" spans="1:4">
      <c r="A281" s="52">
        <v>70801</v>
      </c>
      <c r="B281" s="51" t="s">
        <v>194</v>
      </c>
      <c r="C281" s="64">
        <v>5.1333333333333329</v>
      </c>
      <c r="D281" s="64">
        <v>0.73458646616541345</v>
      </c>
    </row>
    <row r="282" spans="1:4">
      <c r="A282" s="52">
        <v>70802</v>
      </c>
      <c r="B282" s="51" t="s">
        <v>467</v>
      </c>
      <c r="C282" s="64">
        <v>0</v>
      </c>
      <c r="D282" s="64">
        <v>0.71684587813620082</v>
      </c>
    </row>
    <row r="283" spans="1:4">
      <c r="A283" s="52">
        <v>70803</v>
      </c>
      <c r="B283" s="51" t="s">
        <v>628</v>
      </c>
      <c r="C283" s="64">
        <v>3.0333333333333332</v>
      </c>
      <c r="D283" s="64">
        <v>0</v>
      </c>
    </row>
    <row r="284" spans="1:4">
      <c r="A284" s="52">
        <v>70804</v>
      </c>
      <c r="B284" s="51" t="s">
        <v>241</v>
      </c>
      <c r="C284" s="64">
        <v>0.39999999999999997</v>
      </c>
      <c r="D284" s="64">
        <v>0</v>
      </c>
    </row>
    <row r="285" spans="1:4">
      <c r="A285" s="52">
        <v>70805</v>
      </c>
      <c r="B285" s="51" t="s">
        <v>224</v>
      </c>
      <c r="C285" s="64">
        <v>4.0666666666666664</v>
      </c>
      <c r="D285" s="64">
        <v>3.0838259681982243</v>
      </c>
    </row>
    <row r="286" spans="1:4">
      <c r="A286" s="52">
        <v>70901</v>
      </c>
      <c r="B286" s="51" t="s">
        <v>454</v>
      </c>
      <c r="C286" s="64">
        <v>0.26666666666666666</v>
      </c>
      <c r="D286" s="64">
        <v>0.46074249298742265</v>
      </c>
    </row>
    <row r="287" spans="1:4">
      <c r="A287" s="52">
        <v>70902</v>
      </c>
      <c r="B287" s="51" t="s">
        <v>630</v>
      </c>
      <c r="C287" s="64">
        <v>0</v>
      </c>
      <c r="D287" s="64">
        <v>9.8242424242424242</v>
      </c>
    </row>
    <row r="288" spans="1:4">
      <c r="A288" s="52">
        <v>70903</v>
      </c>
      <c r="B288" s="51" t="s">
        <v>474</v>
      </c>
      <c r="C288" s="64">
        <v>0</v>
      </c>
      <c r="D288" s="64">
        <v>1.381222068115272</v>
      </c>
    </row>
    <row r="289" spans="1:4">
      <c r="A289" s="52">
        <v>70904</v>
      </c>
      <c r="B289" s="51" t="s">
        <v>235</v>
      </c>
      <c r="C289" s="64">
        <v>0.66666666666666663</v>
      </c>
      <c r="D289" s="64">
        <v>9.9999999999999992E-2</v>
      </c>
    </row>
    <row r="290" spans="1:4">
      <c r="A290" s="52">
        <v>71001</v>
      </c>
      <c r="B290" s="51" t="s">
        <v>408</v>
      </c>
      <c r="C290" s="64">
        <v>0</v>
      </c>
      <c r="D290" s="64">
        <v>0</v>
      </c>
    </row>
    <row r="291" spans="1:4">
      <c r="A291" s="52">
        <v>71002</v>
      </c>
      <c r="B291" s="51" t="s">
        <v>409</v>
      </c>
      <c r="C291" s="64">
        <v>0</v>
      </c>
      <c r="D291" s="64">
        <v>0</v>
      </c>
    </row>
    <row r="292" spans="1:4">
      <c r="A292" s="52">
        <v>71003</v>
      </c>
      <c r="B292" s="51" t="s">
        <v>410</v>
      </c>
      <c r="C292" s="64">
        <v>0</v>
      </c>
      <c r="D292" s="64">
        <v>0</v>
      </c>
    </row>
    <row r="293" spans="1:4">
      <c r="A293" s="52">
        <v>71004</v>
      </c>
      <c r="B293" s="51" t="s">
        <v>411</v>
      </c>
      <c r="C293" s="64">
        <v>0</v>
      </c>
      <c r="D293" s="64">
        <v>0</v>
      </c>
    </row>
    <row r="294" spans="1:4">
      <c r="A294" s="52">
        <v>71005</v>
      </c>
      <c r="B294" s="51" t="s">
        <v>412</v>
      </c>
      <c r="C294" s="64">
        <v>0</v>
      </c>
      <c r="D294" s="64">
        <v>0</v>
      </c>
    </row>
    <row r="295" spans="1:4">
      <c r="A295" s="52">
        <v>71101</v>
      </c>
      <c r="B295" s="51" t="s">
        <v>413</v>
      </c>
      <c r="C295" s="64">
        <v>0</v>
      </c>
      <c r="D295" s="64">
        <v>0</v>
      </c>
    </row>
    <row r="296" spans="1:4">
      <c r="A296" s="52">
        <v>71102</v>
      </c>
      <c r="B296" s="51" t="s">
        <v>414</v>
      </c>
      <c r="C296" s="64">
        <v>0</v>
      </c>
      <c r="D296" s="64">
        <v>0</v>
      </c>
    </row>
    <row r="297" spans="1:4">
      <c r="A297" s="52">
        <v>71103</v>
      </c>
      <c r="B297" s="51" t="s">
        <v>415</v>
      </c>
      <c r="C297" s="64">
        <v>0</v>
      </c>
      <c r="D297" s="64">
        <v>0</v>
      </c>
    </row>
    <row r="298" spans="1:4">
      <c r="A298" s="52">
        <v>71104</v>
      </c>
      <c r="B298" s="51" t="s">
        <v>182</v>
      </c>
      <c r="C298" s="64">
        <v>11.766666666666666</v>
      </c>
      <c r="D298" s="64">
        <v>0</v>
      </c>
    </row>
    <row r="299" spans="1:4">
      <c r="A299" s="52">
        <v>71105</v>
      </c>
      <c r="B299" s="51" t="s">
        <v>633</v>
      </c>
      <c r="C299" s="64">
        <v>2.5666666666666669</v>
      </c>
      <c r="D299" s="64">
        <v>0</v>
      </c>
    </row>
    <row r="300" spans="1:4">
      <c r="A300" s="52">
        <v>71106</v>
      </c>
      <c r="B300" s="51" t="s">
        <v>491</v>
      </c>
      <c r="C300" s="64">
        <v>0</v>
      </c>
      <c r="D300" s="64">
        <v>5.7272036124403813</v>
      </c>
    </row>
    <row r="301" spans="1:4">
      <c r="A301" s="52">
        <v>71201</v>
      </c>
      <c r="B301" s="51" t="s">
        <v>416</v>
      </c>
      <c r="C301" s="64">
        <v>0</v>
      </c>
      <c r="D301" s="64">
        <v>0</v>
      </c>
    </row>
    <row r="302" spans="1:4">
      <c r="A302" s="52">
        <v>71301</v>
      </c>
      <c r="B302" s="51" t="s">
        <v>185</v>
      </c>
      <c r="C302" s="64">
        <v>6.7666666666666666</v>
      </c>
      <c r="D302" s="64">
        <v>0.46838407494145201</v>
      </c>
    </row>
    <row r="303" spans="1:4">
      <c r="A303" s="52">
        <v>71302</v>
      </c>
      <c r="B303" s="51" t="s">
        <v>191</v>
      </c>
      <c r="C303" s="64">
        <v>4.6000000000000005</v>
      </c>
      <c r="D303" s="64">
        <v>0</v>
      </c>
    </row>
    <row r="304" spans="1:4">
      <c r="A304" s="52">
        <v>71401</v>
      </c>
      <c r="B304" s="51" t="s">
        <v>637</v>
      </c>
      <c r="C304" s="64">
        <v>0</v>
      </c>
      <c r="D304" s="64">
        <v>0</v>
      </c>
    </row>
    <row r="305" spans="1:4">
      <c r="A305" s="52">
        <v>71402</v>
      </c>
      <c r="B305" s="51" t="s">
        <v>417</v>
      </c>
      <c r="C305" s="64">
        <v>0</v>
      </c>
      <c r="D305" s="64">
        <v>0</v>
      </c>
    </row>
    <row r="306" spans="1:4">
      <c r="A306" s="52">
        <v>71403</v>
      </c>
      <c r="B306" s="51" t="s">
        <v>418</v>
      </c>
      <c r="C306" s="64">
        <v>0</v>
      </c>
      <c r="D306" s="64">
        <v>0</v>
      </c>
    </row>
    <row r="307" spans="1:4">
      <c r="A307" s="52">
        <v>71501</v>
      </c>
      <c r="B307" s="51" t="s">
        <v>639</v>
      </c>
      <c r="C307" s="64">
        <v>0</v>
      </c>
      <c r="D307" s="64">
        <v>0</v>
      </c>
    </row>
    <row r="308" spans="1:4">
      <c r="A308" s="52">
        <v>71502</v>
      </c>
      <c r="B308" s="51" t="s">
        <v>419</v>
      </c>
      <c r="C308" s="64">
        <v>0</v>
      </c>
      <c r="D308" s="64">
        <v>0</v>
      </c>
    </row>
    <row r="309" spans="1:4">
      <c r="A309" s="52">
        <v>71503</v>
      </c>
      <c r="B309" s="51" t="s">
        <v>222</v>
      </c>
      <c r="C309" s="64">
        <v>0</v>
      </c>
      <c r="D309" s="64">
        <v>0</v>
      </c>
    </row>
    <row r="310" spans="1:4">
      <c r="A310" s="52">
        <v>80101</v>
      </c>
      <c r="B310" s="51" t="s">
        <v>420</v>
      </c>
      <c r="C310" s="64">
        <v>0</v>
      </c>
      <c r="D310" s="64">
        <v>0</v>
      </c>
    </row>
    <row r="311" spans="1:4">
      <c r="A311" s="52">
        <v>80102</v>
      </c>
      <c r="B311" s="51" t="s">
        <v>414</v>
      </c>
      <c r="C311" s="64">
        <v>0</v>
      </c>
      <c r="D311" s="64">
        <v>0</v>
      </c>
    </row>
    <row r="312" spans="1:4">
      <c r="A312" s="52">
        <v>80201</v>
      </c>
      <c r="B312" s="51" t="s">
        <v>421</v>
      </c>
      <c r="C312" s="64">
        <v>0</v>
      </c>
      <c r="D312" s="64">
        <v>0</v>
      </c>
    </row>
    <row r="313" spans="1:4">
      <c r="A313" s="52">
        <v>80202</v>
      </c>
      <c r="B313" s="51" t="s">
        <v>422</v>
      </c>
      <c r="C313" s="64">
        <v>0</v>
      </c>
      <c r="D313" s="64">
        <v>0</v>
      </c>
    </row>
    <row r="314" spans="1:4">
      <c r="A314" s="52">
        <v>80301</v>
      </c>
      <c r="B314" s="51" t="s">
        <v>423</v>
      </c>
      <c r="C314" s="64">
        <v>0</v>
      </c>
      <c r="D314" s="64">
        <v>0</v>
      </c>
    </row>
    <row r="315" spans="1:4">
      <c r="A315" s="52">
        <v>80302</v>
      </c>
      <c r="B315" s="51" t="s">
        <v>424</v>
      </c>
      <c r="C315" s="64">
        <v>0</v>
      </c>
      <c r="D315" s="64">
        <v>0</v>
      </c>
    </row>
    <row r="316" spans="1:4">
      <c r="A316" s="52">
        <v>80303</v>
      </c>
      <c r="B316" s="51" t="s">
        <v>425</v>
      </c>
      <c r="C316" s="64">
        <v>0</v>
      </c>
      <c r="D316" s="64">
        <v>0</v>
      </c>
    </row>
    <row r="317" spans="1:4">
      <c r="A317" s="52">
        <v>80304</v>
      </c>
      <c r="B317" s="51" t="s">
        <v>426</v>
      </c>
      <c r="C317" s="64">
        <v>0</v>
      </c>
      <c r="D317" s="64">
        <v>0</v>
      </c>
    </row>
    <row r="318" spans="1:4">
      <c r="A318" s="52">
        <v>80401</v>
      </c>
      <c r="B318" s="51" t="s">
        <v>427</v>
      </c>
      <c r="C318" s="64">
        <v>0</v>
      </c>
      <c r="D318" s="64">
        <v>0</v>
      </c>
    </row>
    <row r="319" spans="1:4">
      <c r="A319" s="52">
        <v>80402</v>
      </c>
      <c r="B319" s="51" t="s">
        <v>428</v>
      </c>
      <c r="C319" s="64">
        <v>0</v>
      </c>
      <c r="D319" s="64">
        <v>0</v>
      </c>
    </row>
    <row r="320" spans="1:4">
      <c r="A320" s="52">
        <v>80501</v>
      </c>
      <c r="B320" s="51" t="s">
        <v>429</v>
      </c>
      <c r="C320" s="64">
        <v>0</v>
      </c>
      <c r="D320" s="64">
        <v>0</v>
      </c>
    </row>
    <row r="321" spans="1:4">
      <c r="A321" s="52">
        <v>80601</v>
      </c>
      <c r="B321" s="51" t="s">
        <v>430</v>
      </c>
      <c r="C321" s="64">
        <v>0</v>
      </c>
      <c r="D321" s="64">
        <v>0</v>
      </c>
    </row>
    <row r="322" spans="1:4">
      <c r="A322" s="52">
        <v>80602</v>
      </c>
      <c r="B322" s="51" t="s">
        <v>431</v>
      </c>
      <c r="C322" s="64">
        <v>0</v>
      </c>
      <c r="D322" s="64">
        <v>0</v>
      </c>
    </row>
    <row r="323" spans="1:4">
      <c r="A323" s="52">
        <v>80701</v>
      </c>
      <c r="B323" s="51" t="s">
        <v>432</v>
      </c>
      <c r="C323" s="64">
        <v>0</v>
      </c>
      <c r="D323" s="64">
        <v>0</v>
      </c>
    </row>
    <row r="324" spans="1:4">
      <c r="A324" s="52">
        <v>80702</v>
      </c>
      <c r="B324" s="51" t="s">
        <v>415</v>
      </c>
      <c r="C324" s="64">
        <v>0</v>
      </c>
      <c r="D324" s="64">
        <v>0</v>
      </c>
    </row>
    <row r="325" spans="1:4">
      <c r="A325" s="52">
        <v>80703</v>
      </c>
      <c r="B325" s="51" t="s">
        <v>433</v>
      </c>
      <c r="C325" s="64">
        <v>0</v>
      </c>
      <c r="D325" s="64">
        <v>0</v>
      </c>
    </row>
    <row r="326" spans="1:4">
      <c r="A326" s="52">
        <v>80801</v>
      </c>
      <c r="B326" s="51" t="s">
        <v>434</v>
      </c>
      <c r="C326" s="64">
        <v>0</v>
      </c>
      <c r="D326" s="64">
        <v>0</v>
      </c>
    </row>
    <row r="327" spans="1:4">
      <c r="A327" s="52">
        <v>80802</v>
      </c>
      <c r="B327" s="51" t="s">
        <v>435</v>
      </c>
      <c r="C327" s="64">
        <v>0</v>
      </c>
      <c r="D327" s="64">
        <v>0</v>
      </c>
    </row>
    <row r="328" spans="1:4">
      <c r="A328" s="52">
        <v>80803</v>
      </c>
      <c r="B328" s="51" t="s">
        <v>436</v>
      </c>
      <c r="C328" s="64">
        <v>0</v>
      </c>
      <c r="D328" s="64">
        <v>0</v>
      </c>
    </row>
    <row r="329" spans="1:4">
      <c r="A329" s="52">
        <v>80901</v>
      </c>
      <c r="B329" s="51" t="s">
        <v>651</v>
      </c>
      <c r="C329" s="64">
        <v>0</v>
      </c>
      <c r="D329" s="64">
        <v>0</v>
      </c>
    </row>
    <row r="330" spans="1:4">
      <c r="A330" s="52">
        <v>90101</v>
      </c>
      <c r="B330" s="51" t="s">
        <v>437</v>
      </c>
      <c r="C330" s="64">
        <v>0</v>
      </c>
      <c r="D330" s="64">
        <v>0</v>
      </c>
    </row>
    <row r="331" spans="1:4">
      <c r="A331" s="52">
        <v>90102</v>
      </c>
      <c r="B331" s="51" t="s">
        <v>438</v>
      </c>
      <c r="C331" s="64">
        <v>0</v>
      </c>
      <c r="D331" s="64">
        <v>0</v>
      </c>
    </row>
    <row r="332" spans="1:4">
      <c r="A332" s="52">
        <v>90103</v>
      </c>
      <c r="B332" s="51" t="s">
        <v>439</v>
      </c>
      <c r="C332" s="64">
        <v>0</v>
      </c>
      <c r="D332" s="64">
        <v>0</v>
      </c>
    </row>
    <row r="333" spans="1:4">
      <c r="A333" s="52">
        <v>90104</v>
      </c>
      <c r="B333" s="51" t="s">
        <v>440</v>
      </c>
      <c r="C333" s="64">
        <v>0</v>
      </c>
      <c r="D333" s="64">
        <v>0</v>
      </c>
    </row>
    <row r="334" spans="1:4">
      <c r="A334" s="52">
        <v>90201</v>
      </c>
      <c r="B334" s="51" t="s">
        <v>441</v>
      </c>
      <c r="C334" s="64">
        <v>0</v>
      </c>
      <c r="D334" s="64">
        <v>0</v>
      </c>
    </row>
    <row r="335" spans="1:4">
      <c r="A335" s="52">
        <v>90202</v>
      </c>
      <c r="B335" s="51" t="s">
        <v>412</v>
      </c>
      <c r="C335" s="64">
        <v>0</v>
      </c>
      <c r="D335" s="64">
        <v>0</v>
      </c>
    </row>
    <row r="336" spans="1:4">
      <c r="A336" s="52">
        <v>90203</v>
      </c>
      <c r="B336" s="51" t="s">
        <v>442</v>
      </c>
      <c r="C336" s="64">
        <v>0</v>
      </c>
      <c r="D336" s="64">
        <v>0</v>
      </c>
    </row>
    <row r="337" spans="1:4">
      <c r="A337" s="52">
        <v>90301</v>
      </c>
      <c r="B337" s="51" t="s">
        <v>443</v>
      </c>
      <c r="C337" s="64">
        <v>0</v>
      </c>
      <c r="D337" s="64">
        <v>0</v>
      </c>
    </row>
    <row r="338" spans="1:4">
      <c r="A338" s="52">
        <v>90302</v>
      </c>
      <c r="B338" s="51" t="s">
        <v>233</v>
      </c>
      <c r="C338" s="64">
        <v>0</v>
      </c>
      <c r="D338" s="64">
        <v>0</v>
      </c>
    </row>
    <row r="339" spans="1:4">
      <c r="A339" s="52">
        <v>90303</v>
      </c>
      <c r="B339" s="51" t="s">
        <v>444</v>
      </c>
      <c r="C339" s="64">
        <v>0</v>
      </c>
      <c r="D339" s="64">
        <v>0</v>
      </c>
    </row>
    <row r="340" spans="1:4">
      <c r="A340" s="52">
        <v>90401</v>
      </c>
      <c r="B340" s="51" t="s">
        <v>425</v>
      </c>
      <c r="C340" s="64">
        <v>0</v>
      </c>
      <c r="D340" s="64">
        <v>0</v>
      </c>
    </row>
    <row r="341" spans="1:4">
      <c r="A341" s="52">
        <v>90402</v>
      </c>
      <c r="B341" s="51" t="s">
        <v>445</v>
      </c>
      <c r="C341" s="64">
        <v>0</v>
      </c>
      <c r="D341" s="64">
        <v>0</v>
      </c>
    </row>
    <row r="342" spans="1:4">
      <c r="A342" s="52">
        <v>90501</v>
      </c>
      <c r="B342" s="51" t="s">
        <v>446</v>
      </c>
      <c r="C342" s="64">
        <v>0</v>
      </c>
      <c r="D342" s="64">
        <v>0</v>
      </c>
    </row>
    <row r="343" spans="1:4">
      <c r="A343" s="52">
        <v>90502</v>
      </c>
      <c r="B343" s="51" t="s">
        <v>447</v>
      </c>
      <c r="C343" s="64">
        <v>0</v>
      </c>
      <c r="D343" s="64">
        <v>0</v>
      </c>
    </row>
    <row r="344" spans="1:4">
      <c r="A344" s="52">
        <v>90503</v>
      </c>
      <c r="B344" s="51" t="s">
        <v>448</v>
      </c>
      <c r="C344" s="64">
        <v>0</v>
      </c>
      <c r="D344" s="6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97F4B-DA9D-465C-AC07-E78BB03F53A5}">
  <dimension ref="A1:D344"/>
  <sheetViews>
    <sheetView workbookViewId="0">
      <selection activeCell="I10" sqref="I10"/>
    </sheetView>
  </sheetViews>
  <sheetFormatPr baseColWidth="10" defaultRowHeight="15"/>
  <cols>
    <col min="1" max="2" width="11.42578125" style="59"/>
    <col min="3" max="4" width="33.140625" customWidth="1"/>
  </cols>
  <sheetData>
    <row r="1" spans="1:4" ht="30" customHeight="1">
      <c r="A1" s="66" t="s">
        <v>659</v>
      </c>
      <c r="B1" s="66" t="s">
        <v>180</v>
      </c>
      <c r="C1" s="66" t="s">
        <v>692</v>
      </c>
      <c r="D1" s="66" t="s">
        <v>693</v>
      </c>
    </row>
    <row r="2" spans="1:4">
      <c r="A2" s="60">
        <v>10101</v>
      </c>
      <c r="B2" s="60" t="s">
        <v>190</v>
      </c>
      <c r="C2" s="52">
        <v>4295</v>
      </c>
      <c r="D2" s="52">
        <v>1145</v>
      </c>
    </row>
    <row r="3" spans="1:4">
      <c r="A3" s="60">
        <v>10102</v>
      </c>
      <c r="B3" s="60" t="s">
        <v>242</v>
      </c>
      <c r="C3" s="52">
        <v>184</v>
      </c>
      <c r="D3" s="52">
        <v>238</v>
      </c>
    </row>
    <row r="4" spans="1:4">
      <c r="A4" s="60">
        <v>10103</v>
      </c>
      <c r="B4" s="60" t="s">
        <v>492</v>
      </c>
      <c r="C4" s="52">
        <v>154</v>
      </c>
      <c r="D4" s="52">
        <v>640</v>
      </c>
    </row>
    <row r="5" spans="1:4">
      <c r="A5" s="60">
        <v>10201</v>
      </c>
      <c r="B5" s="60" t="s">
        <v>503</v>
      </c>
      <c r="C5" s="52">
        <v>38</v>
      </c>
      <c r="D5" s="52">
        <v>228</v>
      </c>
    </row>
    <row r="6" spans="1:4">
      <c r="A6" s="60">
        <v>10202</v>
      </c>
      <c r="B6" s="60" t="s">
        <v>216</v>
      </c>
      <c r="C6" s="52">
        <v>75</v>
      </c>
      <c r="D6" s="52">
        <v>16</v>
      </c>
    </row>
    <row r="7" spans="1:4">
      <c r="A7" s="60">
        <v>10301</v>
      </c>
      <c r="B7" s="60" t="s">
        <v>505</v>
      </c>
      <c r="C7" s="52">
        <v>30</v>
      </c>
      <c r="D7" s="52">
        <v>11</v>
      </c>
    </row>
    <row r="8" spans="1:4">
      <c r="A8" s="60">
        <v>10302</v>
      </c>
      <c r="B8" s="60" t="s">
        <v>488</v>
      </c>
      <c r="C8" s="52">
        <v>83</v>
      </c>
      <c r="D8" s="52">
        <v>323</v>
      </c>
    </row>
    <row r="9" spans="1:4">
      <c r="A9" s="60">
        <v>10303</v>
      </c>
      <c r="B9" s="60" t="s">
        <v>507</v>
      </c>
      <c r="C9" s="52">
        <v>75</v>
      </c>
      <c r="D9" s="52">
        <v>720</v>
      </c>
    </row>
    <row r="10" spans="1:4">
      <c r="A10" s="60">
        <v>10304</v>
      </c>
      <c r="B10" s="60" t="s">
        <v>479</v>
      </c>
      <c r="C10" s="52">
        <v>49</v>
      </c>
      <c r="D10" s="52">
        <v>170</v>
      </c>
    </row>
    <row r="11" spans="1:4">
      <c r="A11" s="60">
        <v>10401</v>
      </c>
      <c r="B11" s="60" t="s">
        <v>199</v>
      </c>
      <c r="C11" s="52">
        <v>149</v>
      </c>
      <c r="D11" s="52">
        <v>35</v>
      </c>
    </row>
    <row r="12" spans="1:4">
      <c r="A12" s="60">
        <v>10402</v>
      </c>
      <c r="B12" s="60" t="s">
        <v>485</v>
      </c>
      <c r="C12" s="52">
        <v>110</v>
      </c>
      <c r="D12" s="52">
        <v>283</v>
      </c>
    </row>
    <row r="13" spans="1:4">
      <c r="A13" s="60">
        <v>10403</v>
      </c>
      <c r="B13" s="60" t="s">
        <v>449</v>
      </c>
      <c r="C13" s="52">
        <v>4</v>
      </c>
      <c r="D13" s="52">
        <v>4</v>
      </c>
    </row>
    <row r="14" spans="1:4">
      <c r="A14" s="60">
        <v>10404</v>
      </c>
      <c r="B14" s="60" t="s">
        <v>511</v>
      </c>
      <c r="C14" s="52">
        <v>34</v>
      </c>
      <c r="D14" s="52">
        <v>14</v>
      </c>
    </row>
    <row r="15" spans="1:4">
      <c r="A15" s="60">
        <v>10405</v>
      </c>
      <c r="B15" s="60" t="s">
        <v>209</v>
      </c>
      <c r="C15" s="52">
        <v>85</v>
      </c>
      <c r="D15" s="52">
        <v>76</v>
      </c>
    </row>
    <row r="16" spans="1:4">
      <c r="A16" s="60">
        <v>10501</v>
      </c>
      <c r="B16" s="60" t="s">
        <v>459</v>
      </c>
      <c r="C16" s="52">
        <v>195</v>
      </c>
      <c r="D16" s="52">
        <v>300</v>
      </c>
    </row>
    <row r="17" spans="1:4">
      <c r="A17" s="60">
        <v>10502</v>
      </c>
      <c r="B17" s="60" t="s">
        <v>513</v>
      </c>
      <c r="C17" s="52">
        <v>120</v>
      </c>
      <c r="D17" s="52">
        <v>90</v>
      </c>
    </row>
    <row r="18" spans="1:4">
      <c r="A18" s="60">
        <v>10601</v>
      </c>
      <c r="B18" s="60" t="s">
        <v>478</v>
      </c>
      <c r="C18" s="52">
        <v>294</v>
      </c>
      <c r="D18" s="52">
        <v>464</v>
      </c>
    </row>
    <row r="19" spans="1:4">
      <c r="A19" s="60">
        <v>10602</v>
      </c>
      <c r="B19" s="60" t="s">
        <v>186</v>
      </c>
      <c r="C19" s="52">
        <v>320</v>
      </c>
      <c r="D19" s="52">
        <v>105</v>
      </c>
    </row>
    <row r="20" spans="1:4">
      <c r="A20" s="60">
        <v>10701</v>
      </c>
      <c r="B20" s="60" t="s">
        <v>252</v>
      </c>
      <c r="C20" s="52">
        <v>138</v>
      </c>
      <c r="D20" s="52">
        <v>165</v>
      </c>
    </row>
    <row r="21" spans="1:4">
      <c r="A21" s="60">
        <v>10702</v>
      </c>
      <c r="B21" s="60" t="s">
        <v>493</v>
      </c>
      <c r="C21" s="52">
        <v>212</v>
      </c>
      <c r="D21" s="52">
        <v>1421</v>
      </c>
    </row>
    <row r="22" spans="1:4">
      <c r="A22" s="60">
        <v>10703</v>
      </c>
      <c r="B22" s="60" t="s">
        <v>210</v>
      </c>
      <c r="C22" s="52">
        <v>90</v>
      </c>
      <c r="D22" s="52">
        <v>36</v>
      </c>
    </row>
    <row r="23" spans="1:4">
      <c r="A23" s="60">
        <v>10704</v>
      </c>
      <c r="B23" s="60" t="s">
        <v>494</v>
      </c>
      <c r="C23" s="52">
        <v>81</v>
      </c>
      <c r="D23" s="52">
        <v>682</v>
      </c>
    </row>
    <row r="24" spans="1:4">
      <c r="A24" s="60">
        <v>10801</v>
      </c>
      <c r="B24" s="60" t="s">
        <v>213</v>
      </c>
      <c r="C24" s="52">
        <v>118</v>
      </c>
      <c r="D24" s="52">
        <v>50</v>
      </c>
    </row>
    <row r="25" spans="1:4">
      <c r="A25" s="60">
        <v>10901</v>
      </c>
      <c r="B25" s="60" t="s">
        <v>470</v>
      </c>
      <c r="C25" s="52">
        <v>18</v>
      </c>
      <c r="D25" s="52">
        <v>37</v>
      </c>
    </row>
    <row r="26" spans="1:4">
      <c r="A26" s="60">
        <v>10902</v>
      </c>
      <c r="B26" s="60" t="s">
        <v>471</v>
      </c>
      <c r="C26" s="52">
        <v>186</v>
      </c>
      <c r="D26" s="52">
        <v>315</v>
      </c>
    </row>
    <row r="27" spans="1:4">
      <c r="A27" s="60">
        <v>10903</v>
      </c>
      <c r="B27" s="60" t="s">
        <v>481</v>
      </c>
      <c r="C27" s="52">
        <v>54</v>
      </c>
      <c r="D27" s="52">
        <v>98</v>
      </c>
    </row>
    <row r="28" spans="1:4">
      <c r="A28" s="60">
        <v>11001</v>
      </c>
      <c r="B28" s="60" t="s">
        <v>490</v>
      </c>
      <c r="C28" s="52">
        <v>278</v>
      </c>
      <c r="D28" s="52">
        <v>553</v>
      </c>
    </row>
    <row r="29" spans="1:4">
      <c r="A29" s="60">
        <v>11002</v>
      </c>
      <c r="B29" s="60" t="s">
        <v>518</v>
      </c>
      <c r="C29" s="52">
        <v>75</v>
      </c>
      <c r="D29" s="52">
        <v>117</v>
      </c>
    </row>
    <row r="30" spans="1:4">
      <c r="A30" s="60">
        <v>11003</v>
      </c>
      <c r="B30" s="60" t="s">
        <v>477</v>
      </c>
      <c r="C30" s="52">
        <v>235</v>
      </c>
      <c r="D30" s="52">
        <v>357</v>
      </c>
    </row>
    <row r="31" spans="1:4">
      <c r="A31" s="60">
        <v>20101</v>
      </c>
      <c r="B31" s="60" t="s">
        <v>263</v>
      </c>
      <c r="C31" s="52">
        <v>0</v>
      </c>
      <c r="D31" s="52">
        <v>0</v>
      </c>
    </row>
    <row r="32" spans="1:4">
      <c r="A32" s="60">
        <v>20102</v>
      </c>
      <c r="B32" s="60" t="s">
        <v>218</v>
      </c>
      <c r="C32" s="52">
        <v>111</v>
      </c>
      <c r="D32" s="52">
        <v>61</v>
      </c>
    </row>
    <row r="33" spans="1:4">
      <c r="A33" s="60">
        <v>20103</v>
      </c>
      <c r="B33" s="60" t="s">
        <v>227</v>
      </c>
      <c r="C33" s="52">
        <v>50</v>
      </c>
      <c r="D33" s="52">
        <v>3</v>
      </c>
    </row>
    <row r="34" spans="1:4">
      <c r="A34" s="60">
        <v>20104</v>
      </c>
      <c r="B34" s="60" t="s">
        <v>264</v>
      </c>
      <c r="C34" s="52">
        <v>0</v>
      </c>
      <c r="D34" s="52">
        <v>0</v>
      </c>
    </row>
    <row r="35" spans="1:4">
      <c r="A35" s="60">
        <v>20105</v>
      </c>
      <c r="B35" s="60" t="s">
        <v>265</v>
      </c>
      <c r="C35" s="52">
        <v>0</v>
      </c>
      <c r="D35" s="52">
        <v>0</v>
      </c>
    </row>
    <row r="36" spans="1:4">
      <c r="A36" s="60">
        <v>20201</v>
      </c>
      <c r="B36" s="60" t="s">
        <v>266</v>
      </c>
      <c r="C36" s="52">
        <v>0</v>
      </c>
      <c r="D36" s="52">
        <v>0</v>
      </c>
    </row>
    <row r="37" spans="1:4">
      <c r="A37" s="60">
        <v>20202</v>
      </c>
      <c r="B37" s="60" t="s">
        <v>523</v>
      </c>
      <c r="C37" s="52">
        <v>0</v>
      </c>
      <c r="D37" s="52">
        <v>0</v>
      </c>
    </row>
    <row r="38" spans="1:4">
      <c r="A38" s="60">
        <v>20203</v>
      </c>
      <c r="B38" s="60" t="s">
        <v>268</v>
      </c>
      <c r="C38" s="52">
        <v>0</v>
      </c>
      <c r="D38" s="52">
        <v>0</v>
      </c>
    </row>
    <row r="39" spans="1:4">
      <c r="A39" s="60">
        <v>20204</v>
      </c>
      <c r="B39" s="60" t="s">
        <v>269</v>
      </c>
      <c r="C39" s="52">
        <v>0</v>
      </c>
      <c r="D39" s="52">
        <v>0</v>
      </c>
    </row>
    <row r="40" spans="1:4">
      <c r="A40" s="60">
        <v>20205</v>
      </c>
      <c r="B40" s="60" t="s">
        <v>270</v>
      </c>
      <c r="C40" s="52">
        <v>0</v>
      </c>
      <c r="D40" s="52">
        <v>0</v>
      </c>
    </row>
    <row r="41" spans="1:4">
      <c r="A41" s="60">
        <v>20206</v>
      </c>
      <c r="B41" s="60" t="s">
        <v>271</v>
      </c>
      <c r="C41" s="52">
        <v>0</v>
      </c>
      <c r="D41" s="52">
        <v>0</v>
      </c>
    </row>
    <row r="42" spans="1:4">
      <c r="A42" s="60">
        <v>20301</v>
      </c>
      <c r="B42" s="60" t="s">
        <v>525</v>
      </c>
      <c r="C42" s="52">
        <v>0</v>
      </c>
      <c r="D42" s="52">
        <v>0</v>
      </c>
    </row>
    <row r="43" spans="1:4">
      <c r="A43" s="60">
        <v>20302</v>
      </c>
      <c r="B43" s="60" t="s">
        <v>273</v>
      </c>
      <c r="C43" s="52">
        <v>0</v>
      </c>
      <c r="D43" s="52">
        <v>0</v>
      </c>
    </row>
    <row r="44" spans="1:4">
      <c r="A44" s="60">
        <v>20303</v>
      </c>
      <c r="B44" s="60" t="s">
        <v>274</v>
      </c>
      <c r="C44" s="52">
        <v>0</v>
      </c>
      <c r="D44" s="52">
        <v>0</v>
      </c>
    </row>
    <row r="45" spans="1:4">
      <c r="A45" s="60">
        <v>20304</v>
      </c>
      <c r="B45" s="60" t="s">
        <v>275</v>
      </c>
      <c r="C45" s="52">
        <v>0</v>
      </c>
      <c r="D45" s="52">
        <v>0</v>
      </c>
    </row>
    <row r="46" spans="1:4">
      <c r="A46" s="60">
        <v>20305</v>
      </c>
      <c r="B46" s="60" t="s">
        <v>276</v>
      </c>
      <c r="C46" s="52">
        <v>0</v>
      </c>
      <c r="D46" s="52">
        <v>0</v>
      </c>
    </row>
    <row r="47" spans="1:4">
      <c r="A47" s="60">
        <v>20306</v>
      </c>
      <c r="B47" s="60" t="s">
        <v>526</v>
      </c>
      <c r="C47" s="52">
        <v>0</v>
      </c>
      <c r="D47" s="52">
        <v>0</v>
      </c>
    </row>
    <row r="48" spans="1:4">
      <c r="A48" s="60">
        <v>20307</v>
      </c>
      <c r="B48" s="60" t="s">
        <v>277</v>
      </c>
      <c r="C48" s="52">
        <v>0</v>
      </c>
      <c r="D48" s="52">
        <v>0</v>
      </c>
    </row>
    <row r="49" spans="1:4">
      <c r="A49" s="60">
        <v>20308</v>
      </c>
      <c r="B49" s="60" t="s">
        <v>278</v>
      </c>
      <c r="C49" s="52">
        <v>0</v>
      </c>
      <c r="D49" s="52">
        <v>0</v>
      </c>
    </row>
    <row r="50" spans="1:4">
      <c r="A50" s="60">
        <v>20401</v>
      </c>
      <c r="B50" s="60" t="s">
        <v>279</v>
      </c>
      <c r="C50" s="52">
        <v>0</v>
      </c>
      <c r="D50" s="52">
        <v>0</v>
      </c>
    </row>
    <row r="51" spans="1:4">
      <c r="A51" s="60">
        <v>20402</v>
      </c>
      <c r="B51" s="60" t="s">
        <v>280</v>
      </c>
      <c r="C51" s="52">
        <v>0</v>
      </c>
      <c r="D51" s="52">
        <v>0</v>
      </c>
    </row>
    <row r="52" spans="1:4">
      <c r="A52" s="60">
        <v>20403</v>
      </c>
      <c r="B52" s="60" t="s">
        <v>281</v>
      </c>
      <c r="C52" s="52">
        <v>0</v>
      </c>
      <c r="D52" s="52">
        <v>0</v>
      </c>
    </row>
    <row r="53" spans="1:4">
      <c r="A53" s="60">
        <v>20404</v>
      </c>
      <c r="B53" s="60" t="s">
        <v>282</v>
      </c>
      <c r="C53" s="52">
        <v>0</v>
      </c>
      <c r="D53" s="52">
        <v>0</v>
      </c>
    </row>
    <row r="54" spans="1:4">
      <c r="A54" s="60">
        <v>20405</v>
      </c>
      <c r="B54" s="60" t="s">
        <v>283</v>
      </c>
      <c r="C54" s="52">
        <v>0</v>
      </c>
      <c r="D54" s="52">
        <v>0</v>
      </c>
    </row>
    <row r="55" spans="1:4">
      <c r="A55" s="60">
        <v>20501</v>
      </c>
      <c r="B55" s="60" t="s">
        <v>284</v>
      </c>
      <c r="C55" s="52">
        <v>0</v>
      </c>
      <c r="D55" s="52">
        <v>0</v>
      </c>
    </row>
    <row r="56" spans="1:4">
      <c r="A56" s="60">
        <v>20502</v>
      </c>
      <c r="B56" s="60" t="s">
        <v>285</v>
      </c>
      <c r="C56" s="52">
        <v>0</v>
      </c>
      <c r="D56" s="52">
        <v>0</v>
      </c>
    </row>
    <row r="57" spans="1:4">
      <c r="A57" s="60">
        <v>20503</v>
      </c>
      <c r="B57" s="60" t="s">
        <v>286</v>
      </c>
      <c r="C57" s="52">
        <v>0</v>
      </c>
      <c r="D57" s="52">
        <v>0</v>
      </c>
    </row>
    <row r="58" spans="1:4">
      <c r="A58" s="60">
        <v>20601</v>
      </c>
      <c r="B58" s="60" t="s">
        <v>287</v>
      </c>
      <c r="C58" s="52">
        <v>0</v>
      </c>
      <c r="D58" s="52">
        <v>0</v>
      </c>
    </row>
    <row r="59" spans="1:4">
      <c r="A59" s="60">
        <v>20602</v>
      </c>
      <c r="B59" s="60" t="s">
        <v>288</v>
      </c>
      <c r="C59" s="52">
        <v>0</v>
      </c>
      <c r="D59" s="52">
        <v>0</v>
      </c>
    </row>
    <row r="60" spans="1:4">
      <c r="A60" s="60">
        <v>20603</v>
      </c>
      <c r="B60" s="60" t="s">
        <v>237</v>
      </c>
      <c r="C60" s="52">
        <v>15</v>
      </c>
      <c r="D60" s="52">
        <v>0</v>
      </c>
    </row>
    <row r="61" spans="1:4">
      <c r="A61" s="60">
        <v>20604</v>
      </c>
      <c r="B61" s="60" t="s">
        <v>289</v>
      </c>
      <c r="C61" s="52">
        <v>0</v>
      </c>
      <c r="D61" s="52">
        <v>0</v>
      </c>
    </row>
    <row r="62" spans="1:4">
      <c r="A62" s="60">
        <v>20605</v>
      </c>
      <c r="B62" s="60" t="s">
        <v>290</v>
      </c>
      <c r="C62" s="52">
        <v>0</v>
      </c>
      <c r="D62" s="52">
        <v>0</v>
      </c>
    </row>
    <row r="63" spans="1:4">
      <c r="A63" s="60">
        <v>20606</v>
      </c>
      <c r="B63" s="60" t="s">
        <v>291</v>
      </c>
      <c r="C63" s="52">
        <v>0</v>
      </c>
      <c r="D63" s="52">
        <v>0</v>
      </c>
    </row>
    <row r="64" spans="1:4">
      <c r="A64" s="60">
        <v>20607</v>
      </c>
      <c r="B64" s="60" t="s">
        <v>292</v>
      </c>
      <c r="C64" s="52">
        <v>0</v>
      </c>
      <c r="D64" s="52">
        <v>0</v>
      </c>
    </row>
    <row r="65" spans="1:4">
      <c r="A65" s="60">
        <v>20608</v>
      </c>
      <c r="B65" s="60" t="s">
        <v>293</v>
      </c>
      <c r="C65" s="52">
        <v>0</v>
      </c>
      <c r="D65" s="52">
        <v>0</v>
      </c>
    </row>
    <row r="66" spans="1:4">
      <c r="A66" s="60">
        <v>20701</v>
      </c>
      <c r="B66" s="60" t="s">
        <v>294</v>
      </c>
      <c r="C66" s="52">
        <v>0</v>
      </c>
      <c r="D66" s="52">
        <v>0</v>
      </c>
    </row>
    <row r="67" spans="1:4">
      <c r="A67" s="60">
        <v>20702</v>
      </c>
      <c r="B67" s="60" t="s">
        <v>295</v>
      </c>
      <c r="C67" s="52">
        <v>0</v>
      </c>
      <c r="D67" s="52">
        <v>0</v>
      </c>
    </row>
    <row r="68" spans="1:4">
      <c r="A68" s="60">
        <v>20801</v>
      </c>
      <c r="B68" s="60" t="s">
        <v>296</v>
      </c>
      <c r="C68" s="52">
        <v>0</v>
      </c>
      <c r="D68" s="52">
        <v>0</v>
      </c>
    </row>
    <row r="69" spans="1:4">
      <c r="A69" s="60">
        <v>20802</v>
      </c>
      <c r="B69" s="60" t="s">
        <v>297</v>
      </c>
      <c r="C69" s="52">
        <v>0</v>
      </c>
      <c r="D69" s="52">
        <v>0</v>
      </c>
    </row>
    <row r="70" spans="1:4">
      <c r="A70" s="60">
        <v>20803</v>
      </c>
      <c r="B70" s="60" t="s">
        <v>298</v>
      </c>
      <c r="C70" s="52">
        <v>0</v>
      </c>
      <c r="D70" s="52">
        <v>0</v>
      </c>
    </row>
    <row r="71" spans="1:4">
      <c r="A71" s="60">
        <v>20804</v>
      </c>
      <c r="B71" s="60" t="s">
        <v>299</v>
      </c>
      <c r="C71" s="52">
        <v>0</v>
      </c>
      <c r="D71" s="52">
        <v>0</v>
      </c>
    </row>
    <row r="72" spans="1:4">
      <c r="A72" s="60">
        <v>20805</v>
      </c>
      <c r="B72" s="60" t="s">
        <v>533</v>
      </c>
      <c r="C72" s="52">
        <v>0</v>
      </c>
      <c r="D72" s="52">
        <v>0</v>
      </c>
    </row>
    <row r="73" spans="1:4">
      <c r="A73" s="60">
        <v>20806</v>
      </c>
      <c r="B73" s="60" t="s">
        <v>301</v>
      </c>
      <c r="C73" s="52">
        <v>0</v>
      </c>
      <c r="D73" s="52">
        <v>0</v>
      </c>
    </row>
    <row r="74" spans="1:4">
      <c r="A74" s="60">
        <v>20807</v>
      </c>
      <c r="B74" s="60" t="s">
        <v>302</v>
      </c>
      <c r="C74" s="52">
        <v>0</v>
      </c>
      <c r="D74" s="52">
        <v>0</v>
      </c>
    </row>
    <row r="75" spans="1:4">
      <c r="A75" s="60">
        <v>20901</v>
      </c>
      <c r="B75" s="60" t="s">
        <v>258</v>
      </c>
      <c r="C75" s="52">
        <v>68</v>
      </c>
      <c r="D75" s="52">
        <v>84</v>
      </c>
    </row>
    <row r="76" spans="1:4">
      <c r="A76" s="60">
        <v>20902</v>
      </c>
      <c r="B76" s="60" t="s">
        <v>468</v>
      </c>
      <c r="C76" s="52">
        <v>49</v>
      </c>
      <c r="D76" s="52">
        <v>132</v>
      </c>
    </row>
    <row r="77" spans="1:4">
      <c r="A77" s="60">
        <v>20903</v>
      </c>
      <c r="B77" s="60" t="s">
        <v>303</v>
      </c>
      <c r="C77" s="52">
        <v>0</v>
      </c>
      <c r="D77" s="52">
        <v>0</v>
      </c>
    </row>
    <row r="78" spans="1:4">
      <c r="A78" s="60">
        <v>20904</v>
      </c>
      <c r="B78" s="60" t="s">
        <v>304</v>
      </c>
      <c r="C78" s="52">
        <v>0</v>
      </c>
      <c r="D78" s="52">
        <v>0</v>
      </c>
    </row>
    <row r="79" spans="1:4">
      <c r="A79" s="60">
        <v>20905</v>
      </c>
      <c r="B79" s="60" t="s">
        <v>234</v>
      </c>
      <c r="C79" s="52">
        <v>38</v>
      </c>
      <c r="D79" s="52">
        <v>30</v>
      </c>
    </row>
    <row r="80" spans="1:4">
      <c r="A80" s="60">
        <v>21001</v>
      </c>
      <c r="B80" s="60" t="s">
        <v>469</v>
      </c>
      <c r="C80" s="52">
        <v>16</v>
      </c>
      <c r="D80" s="52">
        <v>95</v>
      </c>
    </row>
    <row r="81" spans="1:4">
      <c r="A81" s="60">
        <v>21002</v>
      </c>
      <c r="B81" s="60" t="s">
        <v>305</v>
      </c>
      <c r="C81" s="52">
        <v>0</v>
      </c>
      <c r="D81" s="52">
        <v>0</v>
      </c>
    </row>
    <row r="82" spans="1:4">
      <c r="A82" s="60">
        <v>21003</v>
      </c>
      <c r="B82" s="60" t="s">
        <v>451</v>
      </c>
      <c r="C82" s="52">
        <v>1</v>
      </c>
      <c r="D82" s="52">
        <v>7</v>
      </c>
    </row>
    <row r="83" spans="1:4">
      <c r="A83" s="60">
        <v>21004</v>
      </c>
      <c r="B83" s="60" t="s">
        <v>460</v>
      </c>
      <c r="C83" s="52">
        <v>0</v>
      </c>
      <c r="D83" s="52">
        <v>33</v>
      </c>
    </row>
    <row r="84" spans="1:4">
      <c r="A84" s="60">
        <v>21005</v>
      </c>
      <c r="B84" s="60" t="s">
        <v>306</v>
      </c>
      <c r="C84" s="52">
        <v>0</v>
      </c>
      <c r="D84" s="52">
        <v>0</v>
      </c>
    </row>
    <row r="85" spans="1:4">
      <c r="A85" s="60">
        <v>21006</v>
      </c>
      <c r="B85" s="60" t="s">
        <v>254</v>
      </c>
      <c r="C85" s="52">
        <v>1</v>
      </c>
      <c r="D85" s="52">
        <v>0</v>
      </c>
    </row>
    <row r="86" spans="1:4">
      <c r="A86" s="60">
        <v>21101</v>
      </c>
      <c r="B86" s="60" t="s">
        <v>462</v>
      </c>
      <c r="C86" s="52">
        <v>54</v>
      </c>
      <c r="D86" s="52">
        <v>106</v>
      </c>
    </row>
    <row r="87" spans="1:4">
      <c r="A87" s="60">
        <v>21102</v>
      </c>
      <c r="B87" s="60" t="s">
        <v>243</v>
      </c>
      <c r="C87" s="52">
        <v>32</v>
      </c>
      <c r="D87" s="52">
        <v>10</v>
      </c>
    </row>
    <row r="88" spans="1:4">
      <c r="A88" s="60">
        <v>21103</v>
      </c>
      <c r="B88" s="60" t="s">
        <v>456</v>
      </c>
      <c r="C88" s="52">
        <v>4</v>
      </c>
      <c r="D88" s="52">
        <v>14</v>
      </c>
    </row>
    <row r="89" spans="1:4">
      <c r="A89" s="60">
        <v>21104</v>
      </c>
      <c r="B89" s="60" t="s">
        <v>307</v>
      </c>
      <c r="C89" s="52">
        <v>0</v>
      </c>
      <c r="D89" s="52">
        <v>0</v>
      </c>
    </row>
    <row r="90" spans="1:4">
      <c r="A90" s="60">
        <v>21105</v>
      </c>
      <c r="B90" s="60" t="s">
        <v>473</v>
      </c>
      <c r="C90" s="52">
        <v>0</v>
      </c>
      <c r="D90" s="52">
        <v>278</v>
      </c>
    </row>
    <row r="91" spans="1:4">
      <c r="A91" s="60">
        <v>21201</v>
      </c>
      <c r="B91" s="60" t="s">
        <v>308</v>
      </c>
      <c r="C91" s="52">
        <v>0</v>
      </c>
      <c r="D91" s="52">
        <v>0</v>
      </c>
    </row>
    <row r="92" spans="1:4">
      <c r="A92" s="60">
        <v>21202</v>
      </c>
      <c r="B92" s="60" t="s">
        <v>309</v>
      </c>
      <c r="C92" s="52">
        <v>0</v>
      </c>
      <c r="D92" s="52">
        <v>0</v>
      </c>
    </row>
    <row r="93" spans="1:4">
      <c r="A93" s="60">
        <v>21203</v>
      </c>
      <c r="B93" s="60" t="s">
        <v>310</v>
      </c>
      <c r="C93" s="52">
        <v>0</v>
      </c>
      <c r="D93" s="52">
        <v>0</v>
      </c>
    </row>
    <row r="94" spans="1:4">
      <c r="A94" s="60">
        <v>21204</v>
      </c>
      <c r="B94" s="60" t="s">
        <v>311</v>
      </c>
      <c r="C94" s="52">
        <v>0</v>
      </c>
      <c r="D94" s="52">
        <v>0</v>
      </c>
    </row>
    <row r="95" spans="1:4">
      <c r="A95" s="60">
        <v>21301</v>
      </c>
      <c r="B95" s="60" t="s">
        <v>541</v>
      </c>
      <c r="C95" s="52">
        <v>0</v>
      </c>
      <c r="D95" s="52">
        <v>0</v>
      </c>
    </row>
    <row r="96" spans="1:4">
      <c r="A96" s="60">
        <v>21302</v>
      </c>
      <c r="B96" s="60" t="s">
        <v>312</v>
      </c>
      <c r="C96" s="52">
        <v>0</v>
      </c>
      <c r="D96" s="52">
        <v>0</v>
      </c>
    </row>
    <row r="97" spans="1:4">
      <c r="A97" s="60">
        <v>21303</v>
      </c>
      <c r="B97" s="60" t="s">
        <v>313</v>
      </c>
      <c r="C97" s="52">
        <v>0</v>
      </c>
      <c r="D97" s="52">
        <v>0</v>
      </c>
    </row>
    <row r="98" spans="1:4">
      <c r="A98" s="60">
        <v>21304</v>
      </c>
      <c r="B98" s="60" t="s">
        <v>314</v>
      </c>
      <c r="C98" s="52">
        <v>0</v>
      </c>
      <c r="D98" s="52">
        <v>0</v>
      </c>
    </row>
    <row r="99" spans="1:4">
      <c r="A99" s="60">
        <v>21305</v>
      </c>
      <c r="B99" s="60" t="s">
        <v>315</v>
      </c>
      <c r="C99" s="52">
        <v>0</v>
      </c>
      <c r="D99" s="52">
        <v>0</v>
      </c>
    </row>
    <row r="100" spans="1:4">
      <c r="A100" s="60">
        <v>21306</v>
      </c>
      <c r="B100" s="60" t="s">
        <v>316</v>
      </c>
      <c r="C100" s="52">
        <v>0</v>
      </c>
      <c r="D100" s="52">
        <v>0</v>
      </c>
    </row>
    <row r="101" spans="1:4">
      <c r="A101" s="60">
        <v>21307</v>
      </c>
      <c r="B101" s="60" t="s">
        <v>317</v>
      </c>
      <c r="C101" s="52">
        <v>0</v>
      </c>
      <c r="D101" s="52">
        <v>0</v>
      </c>
    </row>
    <row r="102" spans="1:4">
      <c r="A102" s="60">
        <v>21401</v>
      </c>
      <c r="B102" s="60" t="s">
        <v>256</v>
      </c>
      <c r="C102" s="52">
        <v>2</v>
      </c>
      <c r="D102" s="52">
        <v>0</v>
      </c>
    </row>
    <row r="103" spans="1:4">
      <c r="A103" s="60">
        <v>21402</v>
      </c>
      <c r="B103" s="60" t="s">
        <v>472</v>
      </c>
      <c r="C103" s="52">
        <v>9</v>
      </c>
      <c r="D103" s="52">
        <v>121</v>
      </c>
    </row>
    <row r="104" spans="1:4">
      <c r="A104" s="60">
        <v>21501</v>
      </c>
      <c r="B104" s="60" t="s">
        <v>318</v>
      </c>
      <c r="C104" s="52">
        <v>0</v>
      </c>
      <c r="D104" s="52">
        <v>0</v>
      </c>
    </row>
    <row r="105" spans="1:4">
      <c r="A105" s="60">
        <v>21502</v>
      </c>
      <c r="B105" s="60" t="s">
        <v>319</v>
      </c>
      <c r="C105" s="52">
        <v>0</v>
      </c>
      <c r="D105" s="52">
        <v>0</v>
      </c>
    </row>
    <row r="106" spans="1:4">
      <c r="A106" s="60">
        <v>21601</v>
      </c>
      <c r="B106" s="60" t="s">
        <v>546</v>
      </c>
      <c r="C106" s="52">
        <v>0</v>
      </c>
      <c r="D106" s="52">
        <v>0</v>
      </c>
    </row>
    <row r="107" spans="1:4">
      <c r="A107" s="60">
        <v>21602</v>
      </c>
      <c r="B107" s="60" t="s">
        <v>320</v>
      </c>
      <c r="C107" s="52">
        <v>0</v>
      </c>
      <c r="D107" s="52">
        <v>0</v>
      </c>
    </row>
    <row r="108" spans="1:4">
      <c r="A108" s="60">
        <v>21701</v>
      </c>
      <c r="B108" s="60" t="s">
        <v>321</v>
      </c>
      <c r="C108" s="52">
        <v>0</v>
      </c>
      <c r="D108" s="52">
        <v>0</v>
      </c>
    </row>
    <row r="109" spans="1:4">
      <c r="A109" s="60">
        <v>21702</v>
      </c>
      <c r="B109" s="60" t="s">
        <v>322</v>
      </c>
      <c r="C109" s="52">
        <v>0</v>
      </c>
      <c r="D109" s="52">
        <v>0</v>
      </c>
    </row>
    <row r="110" spans="1:4">
      <c r="A110" s="60">
        <v>21703</v>
      </c>
      <c r="B110" s="60" t="s">
        <v>323</v>
      </c>
      <c r="C110" s="52">
        <v>0</v>
      </c>
      <c r="D110" s="52">
        <v>0</v>
      </c>
    </row>
    <row r="111" spans="1:4">
      <c r="A111" s="60">
        <v>21801</v>
      </c>
      <c r="B111" s="60" t="s">
        <v>324</v>
      </c>
      <c r="C111" s="52">
        <v>0</v>
      </c>
      <c r="D111" s="52">
        <v>0</v>
      </c>
    </row>
    <row r="112" spans="1:4">
      <c r="A112" s="60">
        <v>21802</v>
      </c>
      <c r="B112" s="60" t="s">
        <v>325</v>
      </c>
      <c r="C112" s="52">
        <v>0</v>
      </c>
      <c r="D112" s="52">
        <v>0</v>
      </c>
    </row>
    <row r="113" spans="1:4">
      <c r="A113" s="60">
        <v>21803</v>
      </c>
      <c r="B113" s="60" t="s">
        <v>326</v>
      </c>
      <c r="C113" s="52">
        <v>0</v>
      </c>
      <c r="D113" s="52">
        <v>0</v>
      </c>
    </row>
    <row r="114" spans="1:4">
      <c r="A114" s="60">
        <v>21901</v>
      </c>
      <c r="B114" s="60" t="s">
        <v>327</v>
      </c>
      <c r="C114" s="52">
        <v>0</v>
      </c>
      <c r="D114" s="52">
        <v>0</v>
      </c>
    </row>
    <row r="115" spans="1:4">
      <c r="A115" s="60">
        <v>21902</v>
      </c>
      <c r="B115" s="60" t="s">
        <v>328</v>
      </c>
      <c r="C115" s="52">
        <v>0</v>
      </c>
      <c r="D115" s="52">
        <v>0</v>
      </c>
    </row>
    <row r="116" spans="1:4">
      <c r="A116" s="60">
        <v>22001</v>
      </c>
      <c r="B116" s="60" t="s">
        <v>329</v>
      </c>
      <c r="C116" s="52">
        <v>0</v>
      </c>
      <c r="D116" s="52">
        <v>0</v>
      </c>
    </row>
    <row r="117" spans="1:4">
      <c r="A117" s="60">
        <v>22002</v>
      </c>
      <c r="B117" s="60" t="s">
        <v>330</v>
      </c>
      <c r="C117" s="52">
        <v>0</v>
      </c>
      <c r="D117" s="52">
        <v>0</v>
      </c>
    </row>
    <row r="118" spans="1:4">
      <c r="A118" s="60">
        <v>30101</v>
      </c>
      <c r="B118" s="60" t="s">
        <v>64</v>
      </c>
      <c r="C118" s="52">
        <v>49690</v>
      </c>
      <c r="D118" s="52">
        <v>877</v>
      </c>
    </row>
    <row r="119" spans="1:4">
      <c r="A119" s="60">
        <v>30201</v>
      </c>
      <c r="B119" s="60" t="s">
        <v>204</v>
      </c>
      <c r="C119" s="52">
        <v>347</v>
      </c>
      <c r="D119" s="52">
        <v>145</v>
      </c>
    </row>
    <row r="120" spans="1:4">
      <c r="A120" s="60">
        <v>30202</v>
      </c>
      <c r="B120" s="60" t="s">
        <v>228</v>
      </c>
      <c r="C120" s="52">
        <v>54</v>
      </c>
      <c r="D120" s="52">
        <v>44</v>
      </c>
    </row>
    <row r="121" spans="1:4">
      <c r="A121" s="60">
        <v>30203</v>
      </c>
      <c r="B121" s="60" t="s">
        <v>208</v>
      </c>
      <c r="C121" s="52">
        <v>65</v>
      </c>
      <c r="D121" s="52">
        <v>32</v>
      </c>
    </row>
    <row r="122" spans="1:4">
      <c r="A122" s="60">
        <v>30301</v>
      </c>
      <c r="B122" s="60" t="s">
        <v>554</v>
      </c>
      <c r="C122" s="52">
        <v>116</v>
      </c>
      <c r="D122" s="52">
        <v>78</v>
      </c>
    </row>
    <row r="123" spans="1:4">
      <c r="A123" s="60">
        <v>30302</v>
      </c>
      <c r="B123" s="60" t="s">
        <v>197</v>
      </c>
      <c r="C123" s="52">
        <v>188</v>
      </c>
      <c r="D123" s="52">
        <v>14</v>
      </c>
    </row>
    <row r="124" spans="1:4">
      <c r="A124" s="60">
        <v>30303</v>
      </c>
      <c r="B124" s="60" t="s">
        <v>463</v>
      </c>
      <c r="C124" s="52">
        <v>25</v>
      </c>
      <c r="D124" s="52">
        <v>75</v>
      </c>
    </row>
    <row r="125" spans="1:4">
      <c r="A125" s="60">
        <v>30401</v>
      </c>
      <c r="B125" s="60" t="s">
        <v>452</v>
      </c>
      <c r="C125" s="52">
        <v>13</v>
      </c>
      <c r="D125" s="52">
        <v>25</v>
      </c>
    </row>
    <row r="126" spans="1:4">
      <c r="A126" s="60">
        <v>30402</v>
      </c>
      <c r="B126" s="60" t="s">
        <v>221</v>
      </c>
      <c r="C126" s="52">
        <v>98</v>
      </c>
      <c r="D126" s="52">
        <v>68</v>
      </c>
    </row>
    <row r="127" spans="1:4">
      <c r="A127" s="60">
        <v>30403</v>
      </c>
      <c r="B127" s="60" t="s">
        <v>188</v>
      </c>
      <c r="C127" s="52">
        <v>442</v>
      </c>
      <c r="D127" s="52">
        <v>214</v>
      </c>
    </row>
    <row r="128" spans="1:4">
      <c r="A128" s="60">
        <v>30404</v>
      </c>
      <c r="B128" s="60" t="s">
        <v>257</v>
      </c>
      <c r="C128" s="52">
        <v>1</v>
      </c>
      <c r="D128" s="52">
        <v>0</v>
      </c>
    </row>
    <row r="129" spans="1:4">
      <c r="A129" s="60">
        <v>30501</v>
      </c>
      <c r="B129" s="60" t="s">
        <v>240</v>
      </c>
      <c r="C129" s="52">
        <v>78</v>
      </c>
      <c r="D129" s="52">
        <v>80</v>
      </c>
    </row>
    <row r="130" spans="1:4">
      <c r="A130" s="60">
        <v>30502</v>
      </c>
      <c r="B130" s="60" t="s">
        <v>331</v>
      </c>
      <c r="C130" s="52">
        <v>0</v>
      </c>
      <c r="D130" s="52">
        <v>0</v>
      </c>
    </row>
    <row r="131" spans="1:4">
      <c r="A131" s="60">
        <v>30601</v>
      </c>
      <c r="B131" s="60" t="s">
        <v>457</v>
      </c>
      <c r="C131" s="52">
        <v>98</v>
      </c>
      <c r="D131" s="52">
        <v>155</v>
      </c>
    </row>
    <row r="132" spans="1:4">
      <c r="A132" s="60">
        <v>30602</v>
      </c>
      <c r="B132" s="60" t="s">
        <v>246</v>
      </c>
      <c r="C132" s="52">
        <v>11</v>
      </c>
      <c r="D132" s="52">
        <v>0</v>
      </c>
    </row>
    <row r="133" spans="1:4">
      <c r="A133" s="60">
        <v>30701</v>
      </c>
      <c r="B133" s="60" t="s">
        <v>195</v>
      </c>
      <c r="C133" s="52">
        <v>398</v>
      </c>
      <c r="D133" s="52">
        <v>144</v>
      </c>
    </row>
    <row r="134" spans="1:4">
      <c r="A134" s="60">
        <v>30702</v>
      </c>
      <c r="B134" s="60" t="s">
        <v>196</v>
      </c>
      <c r="C134" s="52">
        <v>140</v>
      </c>
      <c r="D134" s="52">
        <v>54</v>
      </c>
    </row>
    <row r="135" spans="1:4">
      <c r="A135" s="60">
        <v>30703</v>
      </c>
      <c r="B135" s="60" t="s">
        <v>219</v>
      </c>
      <c r="C135" s="52">
        <v>38</v>
      </c>
      <c r="D135" s="52">
        <v>28</v>
      </c>
    </row>
    <row r="136" spans="1:4">
      <c r="A136" s="60">
        <v>30801</v>
      </c>
      <c r="B136" s="60" t="s">
        <v>239</v>
      </c>
      <c r="C136" s="52">
        <v>60</v>
      </c>
      <c r="D136" s="52">
        <v>36</v>
      </c>
    </row>
    <row r="137" spans="1:4">
      <c r="A137" s="60">
        <v>30802</v>
      </c>
      <c r="B137" s="60" t="s">
        <v>244</v>
      </c>
      <c r="C137" s="52">
        <v>9</v>
      </c>
      <c r="D137" s="52">
        <v>2</v>
      </c>
    </row>
    <row r="138" spans="1:4">
      <c r="A138" s="60">
        <v>30803</v>
      </c>
      <c r="B138" s="60" t="s">
        <v>453</v>
      </c>
      <c r="C138" s="52">
        <v>2</v>
      </c>
      <c r="D138" s="52">
        <v>10</v>
      </c>
    </row>
    <row r="139" spans="1:4">
      <c r="A139" s="60">
        <v>30901</v>
      </c>
      <c r="B139" s="60" t="s">
        <v>187</v>
      </c>
      <c r="C139" s="52">
        <v>2304</v>
      </c>
      <c r="D139" s="52">
        <v>188</v>
      </c>
    </row>
    <row r="140" spans="1:4">
      <c r="A140" s="60">
        <v>30902</v>
      </c>
      <c r="B140" s="60" t="s">
        <v>238</v>
      </c>
      <c r="C140" s="52">
        <v>507</v>
      </c>
      <c r="D140" s="52">
        <v>685</v>
      </c>
    </row>
    <row r="141" spans="1:4">
      <c r="A141" s="60">
        <v>30903</v>
      </c>
      <c r="B141" s="60" t="s">
        <v>251</v>
      </c>
      <c r="C141" s="52">
        <v>46</v>
      </c>
      <c r="D141" s="52">
        <v>35</v>
      </c>
    </row>
    <row r="142" spans="1:4">
      <c r="A142" s="60">
        <v>30904</v>
      </c>
      <c r="B142" s="60" t="s">
        <v>230</v>
      </c>
      <c r="C142" s="52">
        <v>134</v>
      </c>
      <c r="D142" s="52">
        <v>12</v>
      </c>
    </row>
    <row r="143" spans="1:4">
      <c r="A143" s="60">
        <v>30905</v>
      </c>
      <c r="B143" s="60" t="s">
        <v>250</v>
      </c>
      <c r="C143" s="52">
        <v>89</v>
      </c>
      <c r="D143" s="52">
        <v>90</v>
      </c>
    </row>
    <row r="144" spans="1:4">
      <c r="A144" s="60">
        <v>31001</v>
      </c>
      <c r="B144" s="60" t="s">
        <v>217</v>
      </c>
      <c r="C144" s="52">
        <v>878</v>
      </c>
      <c r="D144" s="52">
        <v>179</v>
      </c>
    </row>
    <row r="145" spans="1:4">
      <c r="A145" s="60">
        <v>31002</v>
      </c>
      <c r="B145" s="60" t="s">
        <v>332</v>
      </c>
      <c r="C145" s="52">
        <v>0</v>
      </c>
      <c r="D145" s="52">
        <v>0</v>
      </c>
    </row>
    <row r="146" spans="1:4">
      <c r="A146" s="60">
        <v>31003</v>
      </c>
      <c r="B146" s="60" t="s">
        <v>333</v>
      </c>
      <c r="C146" s="52">
        <v>0</v>
      </c>
      <c r="D146" s="52">
        <v>0</v>
      </c>
    </row>
    <row r="147" spans="1:4">
      <c r="A147" s="60">
        <v>31101</v>
      </c>
      <c r="B147" s="60" t="s">
        <v>215</v>
      </c>
      <c r="C147" s="52">
        <v>144</v>
      </c>
      <c r="D147" s="52">
        <v>10</v>
      </c>
    </row>
    <row r="148" spans="1:4">
      <c r="A148" s="60">
        <v>31201</v>
      </c>
      <c r="B148" s="60" t="s">
        <v>248</v>
      </c>
      <c r="C148" s="52">
        <v>53</v>
      </c>
      <c r="D148" s="52">
        <v>49</v>
      </c>
    </row>
    <row r="149" spans="1:4">
      <c r="A149" s="60">
        <v>31202</v>
      </c>
      <c r="B149" s="60" t="s">
        <v>205</v>
      </c>
      <c r="C149" s="52">
        <v>128</v>
      </c>
      <c r="D149" s="52">
        <v>40</v>
      </c>
    </row>
    <row r="150" spans="1:4">
      <c r="A150" s="60">
        <v>31203</v>
      </c>
      <c r="B150" s="60" t="s">
        <v>247</v>
      </c>
      <c r="C150" s="52">
        <v>28</v>
      </c>
      <c r="D150" s="52">
        <v>21</v>
      </c>
    </row>
    <row r="151" spans="1:4">
      <c r="A151" s="60">
        <v>31204</v>
      </c>
      <c r="B151" s="60" t="s">
        <v>334</v>
      </c>
      <c r="C151" s="52">
        <v>0</v>
      </c>
      <c r="D151" s="52">
        <v>0</v>
      </c>
    </row>
    <row r="152" spans="1:4">
      <c r="A152" s="60">
        <v>31205</v>
      </c>
      <c r="B152" s="60" t="s">
        <v>335</v>
      </c>
      <c r="C152" s="52">
        <v>0</v>
      </c>
      <c r="D152" s="52">
        <v>0</v>
      </c>
    </row>
    <row r="153" spans="1:4">
      <c r="A153" s="60">
        <v>31206</v>
      </c>
      <c r="B153" s="60" t="s">
        <v>336</v>
      </c>
      <c r="C153" s="52">
        <v>0</v>
      </c>
      <c r="D153" s="52">
        <v>0</v>
      </c>
    </row>
    <row r="154" spans="1:4">
      <c r="A154" s="60">
        <v>31301</v>
      </c>
      <c r="B154" s="60" t="s">
        <v>184</v>
      </c>
      <c r="C154" s="52">
        <v>563</v>
      </c>
      <c r="D154" s="52">
        <v>57</v>
      </c>
    </row>
    <row r="155" spans="1:4">
      <c r="A155" s="60">
        <v>31302</v>
      </c>
      <c r="B155" s="60" t="s">
        <v>198</v>
      </c>
      <c r="C155" s="52">
        <v>93</v>
      </c>
      <c r="D155" s="52">
        <v>37</v>
      </c>
    </row>
    <row r="156" spans="1:4">
      <c r="A156" s="60">
        <v>31303</v>
      </c>
      <c r="B156" s="60" t="s">
        <v>337</v>
      </c>
      <c r="C156" s="52">
        <v>0</v>
      </c>
      <c r="D156" s="52">
        <v>0</v>
      </c>
    </row>
    <row r="157" spans="1:4">
      <c r="A157" s="60">
        <v>31304</v>
      </c>
      <c r="B157" s="60" t="s">
        <v>484</v>
      </c>
      <c r="C157" s="52">
        <v>0</v>
      </c>
      <c r="D157" s="52">
        <v>160</v>
      </c>
    </row>
    <row r="158" spans="1:4">
      <c r="A158" s="60">
        <v>31401</v>
      </c>
      <c r="B158" s="60" t="s">
        <v>226</v>
      </c>
      <c r="C158" s="52">
        <v>254</v>
      </c>
      <c r="D158" s="52">
        <v>216</v>
      </c>
    </row>
    <row r="159" spans="1:4">
      <c r="A159" s="60">
        <v>31402</v>
      </c>
      <c r="B159" s="60" t="s">
        <v>245</v>
      </c>
      <c r="C159" s="52">
        <v>34</v>
      </c>
      <c r="D159" s="52">
        <v>29</v>
      </c>
    </row>
    <row r="160" spans="1:4">
      <c r="A160" s="60">
        <v>31403</v>
      </c>
      <c r="B160" s="60" t="s">
        <v>214</v>
      </c>
      <c r="C160" s="52">
        <v>93</v>
      </c>
      <c r="D160" s="52">
        <v>16</v>
      </c>
    </row>
    <row r="161" spans="1:4">
      <c r="A161" s="60">
        <v>31404</v>
      </c>
      <c r="B161" s="60" t="s">
        <v>200</v>
      </c>
      <c r="C161" s="52">
        <v>20</v>
      </c>
      <c r="D161" s="52">
        <v>8</v>
      </c>
    </row>
    <row r="162" spans="1:4">
      <c r="A162" s="60">
        <v>31405</v>
      </c>
      <c r="B162" s="60" t="s">
        <v>566</v>
      </c>
      <c r="C162" s="52">
        <v>14</v>
      </c>
      <c r="D162" s="52">
        <v>2</v>
      </c>
    </row>
    <row r="163" spans="1:4">
      <c r="A163" s="60">
        <v>31501</v>
      </c>
      <c r="B163" s="60" t="s">
        <v>567</v>
      </c>
      <c r="C163" s="52">
        <v>0</v>
      </c>
      <c r="D163" s="52">
        <v>0</v>
      </c>
    </row>
    <row r="164" spans="1:4">
      <c r="A164" s="60">
        <v>31601</v>
      </c>
      <c r="B164" s="60" t="s">
        <v>338</v>
      </c>
      <c r="C164" s="52">
        <v>0</v>
      </c>
      <c r="D164" s="52">
        <v>0</v>
      </c>
    </row>
    <row r="165" spans="1:4">
      <c r="A165" s="60">
        <v>31602</v>
      </c>
      <c r="B165" s="60" t="s">
        <v>339</v>
      </c>
      <c r="C165" s="52">
        <v>0</v>
      </c>
      <c r="D165" s="52">
        <v>0</v>
      </c>
    </row>
    <row r="166" spans="1:4">
      <c r="A166" s="60">
        <v>40101</v>
      </c>
      <c r="B166" s="60" t="s">
        <v>340</v>
      </c>
      <c r="C166" s="52">
        <v>0</v>
      </c>
      <c r="D166" s="52">
        <v>0</v>
      </c>
    </row>
    <row r="167" spans="1:4">
      <c r="A167" s="60">
        <v>40102</v>
      </c>
      <c r="B167" s="60" t="s">
        <v>341</v>
      </c>
      <c r="C167" s="52">
        <v>0</v>
      </c>
      <c r="D167" s="52">
        <v>0</v>
      </c>
    </row>
    <row r="168" spans="1:4">
      <c r="A168" s="60">
        <v>40103</v>
      </c>
      <c r="B168" s="60" t="s">
        <v>342</v>
      </c>
      <c r="C168" s="52">
        <v>0</v>
      </c>
      <c r="D168" s="52">
        <v>0</v>
      </c>
    </row>
    <row r="169" spans="1:4">
      <c r="A169" s="60">
        <v>40104</v>
      </c>
      <c r="B169" s="60" t="s">
        <v>343</v>
      </c>
      <c r="C169" s="52">
        <v>0</v>
      </c>
      <c r="D169" s="52">
        <v>0</v>
      </c>
    </row>
    <row r="170" spans="1:4">
      <c r="A170" s="60">
        <v>40201</v>
      </c>
      <c r="B170" s="60" t="s">
        <v>344</v>
      </c>
      <c r="C170" s="52">
        <v>0</v>
      </c>
      <c r="D170" s="52">
        <v>0</v>
      </c>
    </row>
    <row r="171" spans="1:4">
      <c r="A171" s="60">
        <v>40202</v>
      </c>
      <c r="B171" s="60" t="s">
        <v>345</v>
      </c>
      <c r="C171" s="52">
        <v>0</v>
      </c>
      <c r="D171" s="52">
        <v>0</v>
      </c>
    </row>
    <row r="172" spans="1:4">
      <c r="A172" s="60">
        <v>40301</v>
      </c>
      <c r="B172" s="60" t="s">
        <v>346</v>
      </c>
      <c r="C172" s="52">
        <v>0</v>
      </c>
      <c r="D172" s="52">
        <v>0</v>
      </c>
    </row>
    <row r="173" spans="1:4">
      <c r="A173" s="60">
        <v>40302</v>
      </c>
      <c r="B173" s="60" t="s">
        <v>347</v>
      </c>
      <c r="C173" s="52">
        <v>0</v>
      </c>
      <c r="D173" s="52">
        <v>0</v>
      </c>
    </row>
    <row r="174" spans="1:4">
      <c r="A174" s="60">
        <v>40401</v>
      </c>
      <c r="B174" s="60" t="s">
        <v>348</v>
      </c>
      <c r="C174" s="52">
        <v>0</v>
      </c>
      <c r="D174" s="52">
        <v>0</v>
      </c>
    </row>
    <row r="175" spans="1:4">
      <c r="A175" s="60">
        <v>40402</v>
      </c>
      <c r="B175" s="60" t="s">
        <v>349</v>
      </c>
      <c r="C175" s="52">
        <v>0</v>
      </c>
      <c r="D175" s="52">
        <v>0</v>
      </c>
    </row>
    <row r="176" spans="1:4">
      <c r="A176" s="60">
        <v>40501</v>
      </c>
      <c r="B176" s="60" t="s">
        <v>350</v>
      </c>
      <c r="C176" s="52">
        <v>0</v>
      </c>
      <c r="D176" s="52">
        <v>0</v>
      </c>
    </row>
    <row r="177" spans="1:4">
      <c r="A177" s="60">
        <v>40502</v>
      </c>
      <c r="B177" s="60" t="s">
        <v>351</v>
      </c>
      <c r="C177" s="52">
        <v>0</v>
      </c>
      <c r="D177" s="52">
        <v>0</v>
      </c>
    </row>
    <row r="178" spans="1:4">
      <c r="A178" s="60">
        <v>40503</v>
      </c>
      <c r="B178" s="60" t="s">
        <v>352</v>
      </c>
      <c r="C178" s="52">
        <v>0</v>
      </c>
      <c r="D178" s="52">
        <v>0</v>
      </c>
    </row>
    <row r="179" spans="1:4">
      <c r="A179" s="60">
        <v>40504</v>
      </c>
      <c r="B179" s="60" t="s">
        <v>353</v>
      </c>
      <c r="C179" s="52">
        <v>0</v>
      </c>
      <c r="D179" s="52">
        <v>0</v>
      </c>
    </row>
    <row r="180" spans="1:4">
      <c r="A180" s="60">
        <v>40505</v>
      </c>
      <c r="B180" s="60" t="s">
        <v>354</v>
      </c>
      <c r="C180" s="52">
        <v>0</v>
      </c>
      <c r="D180" s="52">
        <v>0</v>
      </c>
    </row>
    <row r="181" spans="1:4">
      <c r="A181" s="60">
        <v>40601</v>
      </c>
      <c r="B181" s="60" t="s">
        <v>355</v>
      </c>
      <c r="C181" s="52">
        <v>0</v>
      </c>
      <c r="D181" s="52">
        <v>0</v>
      </c>
    </row>
    <row r="182" spans="1:4">
      <c r="A182" s="60">
        <v>40602</v>
      </c>
      <c r="B182" s="60" t="s">
        <v>356</v>
      </c>
      <c r="C182" s="52">
        <v>0</v>
      </c>
      <c r="D182" s="52">
        <v>0</v>
      </c>
    </row>
    <row r="183" spans="1:4">
      <c r="A183" s="60">
        <v>40603</v>
      </c>
      <c r="B183" s="60" t="s">
        <v>357</v>
      </c>
      <c r="C183" s="52">
        <v>0</v>
      </c>
      <c r="D183" s="52">
        <v>0</v>
      </c>
    </row>
    <row r="184" spans="1:4">
      <c r="A184" s="60">
        <v>40701</v>
      </c>
      <c r="B184" s="60" t="s">
        <v>358</v>
      </c>
      <c r="C184" s="52">
        <v>0</v>
      </c>
      <c r="D184" s="52">
        <v>0</v>
      </c>
    </row>
    <row r="185" spans="1:4">
      <c r="A185" s="60">
        <v>40702</v>
      </c>
      <c r="B185" s="60" t="s">
        <v>359</v>
      </c>
      <c r="C185" s="52">
        <v>0</v>
      </c>
      <c r="D185" s="52">
        <v>0</v>
      </c>
    </row>
    <row r="186" spans="1:4">
      <c r="A186" s="60">
        <v>40801</v>
      </c>
      <c r="B186" s="60" t="s">
        <v>576</v>
      </c>
      <c r="C186" s="52">
        <v>0</v>
      </c>
      <c r="D186" s="52">
        <v>0</v>
      </c>
    </row>
    <row r="187" spans="1:4">
      <c r="A187" s="60">
        <v>40802</v>
      </c>
      <c r="B187" s="60" t="s">
        <v>360</v>
      </c>
      <c r="C187" s="52">
        <v>0</v>
      </c>
      <c r="D187" s="52">
        <v>0</v>
      </c>
    </row>
    <row r="188" spans="1:4">
      <c r="A188" s="60">
        <v>40901</v>
      </c>
      <c r="B188" s="60" t="s">
        <v>361</v>
      </c>
      <c r="C188" s="52">
        <v>0</v>
      </c>
      <c r="D188" s="52">
        <v>0</v>
      </c>
    </row>
    <row r="189" spans="1:4">
      <c r="A189" s="60">
        <v>40902</v>
      </c>
      <c r="B189" s="60" t="s">
        <v>362</v>
      </c>
      <c r="C189" s="52">
        <v>0</v>
      </c>
      <c r="D189" s="52">
        <v>0</v>
      </c>
    </row>
    <row r="190" spans="1:4">
      <c r="A190" s="60">
        <v>40903</v>
      </c>
      <c r="B190" s="60" t="s">
        <v>577</v>
      </c>
      <c r="C190" s="52">
        <v>0</v>
      </c>
      <c r="D190" s="52">
        <v>0</v>
      </c>
    </row>
    <row r="191" spans="1:4">
      <c r="A191" s="60">
        <v>41001</v>
      </c>
      <c r="B191" s="60" t="s">
        <v>363</v>
      </c>
      <c r="C191" s="52">
        <v>0</v>
      </c>
      <c r="D191" s="52">
        <v>0</v>
      </c>
    </row>
    <row r="192" spans="1:4">
      <c r="A192" s="60">
        <v>41101</v>
      </c>
      <c r="B192" s="60" t="s">
        <v>364</v>
      </c>
      <c r="C192" s="52">
        <v>0</v>
      </c>
      <c r="D192" s="52">
        <v>0</v>
      </c>
    </row>
    <row r="193" spans="1:4">
      <c r="A193" s="60">
        <v>41201</v>
      </c>
      <c r="B193" s="60" t="s">
        <v>365</v>
      </c>
      <c r="C193" s="52">
        <v>0</v>
      </c>
      <c r="D193" s="52">
        <v>0</v>
      </c>
    </row>
    <row r="194" spans="1:4">
      <c r="A194" s="60">
        <v>41202</v>
      </c>
      <c r="B194" s="60" t="s">
        <v>366</v>
      </c>
      <c r="C194" s="52">
        <v>0</v>
      </c>
      <c r="D194" s="52">
        <v>0</v>
      </c>
    </row>
    <row r="195" spans="1:4">
      <c r="A195" s="60">
        <v>41301</v>
      </c>
      <c r="B195" s="60" t="s">
        <v>248</v>
      </c>
      <c r="C195" s="52">
        <v>0</v>
      </c>
      <c r="D195" s="52">
        <v>0</v>
      </c>
    </row>
    <row r="196" spans="1:4">
      <c r="A196" s="60">
        <v>41401</v>
      </c>
      <c r="B196" s="60" t="s">
        <v>367</v>
      </c>
      <c r="C196" s="52">
        <v>0</v>
      </c>
      <c r="D196" s="52">
        <v>0</v>
      </c>
    </row>
    <row r="197" spans="1:4">
      <c r="A197" s="60">
        <v>41501</v>
      </c>
      <c r="B197" s="60" t="s">
        <v>368</v>
      </c>
      <c r="C197" s="52">
        <v>0</v>
      </c>
      <c r="D197" s="52">
        <v>0</v>
      </c>
    </row>
    <row r="198" spans="1:4">
      <c r="A198" s="60">
        <v>41502</v>
      </c>
      <c r="B198" s="60" t="s">
        <v>369</v>
      </c>
      <c r="C198" s="52">
        <v>0</v>
      </c>
      <c r="D198" s="52">
        <v>0</v>
      </c>
    </row>
    <row r="199" spans="1:4">
      <c r="A199" s="60">
        <v>41503</v>
      </c>
      <c r="B199" s="60" t="s">
        <v>370</v>
      </c>
      <c r="C199" s="52">
        <v>0</v>
      </c>
      <c r="D199" s="52">
        <v>0</v>
      </c>
    </row>
    <row r="200" spans="1:4">
      <c r="A200" s="60">
        <v>41601</v>
      </c>
      <c r="B200" s="60" t="s">
        <v>586</v>
      </c>
      <c r="C200" s="52">
        <v>0</v>
      </c>
      <c r="D200" s="52">
        <v>0</v>
      </c>
    </row>
    <row r="201" spans="1:4">
      <c r="A201" s="60">
        <v>50101</v>
      </c>
      <c r="B201" s="60" t="s">
        <v>192</v>
      </c>
      <c r="C201" s="52">
        <v>0</v>
      </c>
      <c r="D201" s="52">
        <v>0</v>
      </c>
    </row>
    <row r="202" spans="1:4">
      <c r="A202" s="60">
        <v>50102</v>
      </c>
      <c r="B202" s="60" t="s">
        <v>480</v>
      </c>
      <c r="C202" s="52">
        <v>33</v>
      </c>
      <c r="D202" s="52">
        <v>298</v>
      </c>
    </row>
    <row r="203" spans="1:4">
      <c r="A203" s="60">
        <v>50103</v>
      </c>
      <c r="B203" s="60" t="s">
        <v>372</v>
      </c>
      <c r="C203" s="52">
        <v>0</v>
      </c>
      <c r="D203" s="52">
        <v>0</v>
      </c>
    </row>
    <row r="204" spans="1:4">
      <c r="A204" s="60">
        <v>50104</v>
      </c>
      <c r="B204" s="60" t="s">
        <v>373</v>
      </c>
      <c r="C204" s="52">
        <v>0</v>
      </c>
      <c r="D204" s="52">
        <v>0</v>
      </c>
    </row>
    <row r="205" spans="1:4">
      <c r="A205" s="60">
        <v>50201</v>
      </c>
      <c r="B205" s="60" t="s">
        <v>374</v>
      </c>
      <c r="C205" s="52">
        <v>0</v>
      </c>
      <c r="D205" s="52">
        <v>0</v>
      </c>
    </row>
    <row r="206" spans="1:4">
      <c r="A206" s="60">
        <v>50202</v>
      </c>
      <c r="B206" s="60" t="s">
        <v>375</v>
      </c>
      <c r="C206" s="52">
        <v>0</v>
      </c>
      <c r="D206" s="52">
        <v>0</v>
      </c>
    </row>
    <row r="207" spans="1:4">
      <c r="A207" s="60">
        <v>50203</v>
      </c>
      <c r="B207" s="60" t="s">
        <v>376</v>
      </c>
      <c r="C207" s="52">
        <v>0</v>
      </c>
      <c r="D207" s="52">
        <v>0</v>
      </c>
    </row>
    <row r="208" spans="1:4">
      <c r="A208" s="60">
        <v>50204</v>
      </c>
      <c r="B208" s="60" t="s">
        <v>377</v>
      </c>
      <c r="C208" s="52">
        <v>0</v>
      </c>
      <c r="D208" s="52">
        <v>0</v>
      </c>
    </row>
    <row r="209" spans="1:4">
      <c r="A209" s="60">
        <v>50301</v>
      </c>
      <c r="B209" s="60" t="s">
        <v>475</v>
      </c>
      <c r="C209" s="52">
        <v>336</v>
      </c>
      <c r="D209" s="52">
        <v>585</v>
      </c>
    </row>
    <row r="210" spans="1:4">
      <c r="A210" s="60">
        <v>50302</v>
      </c>
      <c r="B210" s="60" t="s">
        <v>464</v>
      </c>
      <c r="C210" s="52">
        <v>7</v>
      </c>
      <c r="D210" s="52">
        <v>31</v>
      </c>
    </row>
    <row r="211" spans="1:4">
      <c r="A211" s="60">
        <v>50303</v>
      </c>
      <c r="B211" s="60" t="s">
        <v>223</v>
      </c>
      <c r="C211" s="52">
        <v>103</v>
      </c>
      <c r="D211" s="52">
        <v>78</v>
      </c>
    </row>
    <row r="212" spans="1:4">
      <c r="A212" s="60">
        <v>50401</v>
      </c>
      <c r="B212" s="60" t="s">
        <v>476</v>
      </c>
      <c r="C212" s="52">
        <v>105</v>
      </c>
      <c r="D212" s="52">
        <v>277</v>
      </c>
    </row>
    <row r="213" spans="1:4">
      <c r="A213" s="60">
        <v>50402</v>
      </c>
      <c r="B213" s="60" t="s">
        <v>482</v>
      </c>
      <c r="C213" s="52">
        <v>70</v>
      </c>
      <c r="D213" s="52">
        <v>372</v>
      </c>
    </row>
    <row r="214" spans="1:4">
      <c r="A214" s="60">
        <v>50403</v>
      </c>
      <c r="B214" s="60" t="s">
        <v>260</v>
      </c>
      <c r="C214" s="52">
        <v>167</v>
      </c>
      <c r="D214" s="52">
        <v>255</v>
      </c>
    </row>
    <row r="215" spans="1:4">
      <c r="A215" s="60">
        <v>50404</v>
      </c>
      <c r="B215" s="60" t="s">
        <v>207</v>
      </c>
      <c r="C215" s="52">
        <v>174</v>
      </c>
      <c r="D215" s="52">
        <v>53</v>
      </c>
    </row>
    <row r="216" spans="1:4">
      <c r="A216" s="60">
        <v>50405</v>
      </c>
      <c r="B216" s="60" t="s">
        <v>262</v>
      </c>
      <c r="C216" s="52">
        <v>0</v>
      </c>
      <c r="D216" s="52">
        <v>0</v>
      </c>
    </row>
    <row r="217" spans="1:4">
      <c r="A217" s="60">
        <v>50501</v>
      </c>
      <c r="B217" s="60" t="s">
        <v>412</v>
      </c>
      <c r="C217" s="52">
        <v>116</v>
      </c>
      <c r="D217" s="52">
        <v>351</v>
      </c>
    </row>
    <row r="218" spans="1:4">
      <c r="A218" s="60">
        <v>50502</v>
      </c>
      <c r="B218" s="60" t="s">
        <v>483</v>
      </c>
      <c r="C218" s="52">
        <v>137</v>
      </c>
      <c r="D218" s="52">
        <v>360</v>
      </c>
    </row>
    <row r="219" spans="1:4">
      <c r="A219" s="60">
        <v>50601</v>
      </c>
      <c r="B219" s="60" t="s">
        <v>466</v>
      </c>
      <c r="C219" s="52">
        <v>75</v>
      </c>
      <c r="D219" s="52">
        <v>181</v>
      </c>
    </row>
    <row r="220" spans="1:4">
      <c r="A220" s="60">
        <v>50602</v>
      </c>
      <c r="B220" s="60" t="s">
        <v>225</v>
      </c>
      <c r="C220" s="52">
        <v>76</v>
      </c>
      <c r="D220" s="52">
        <v>55</v>
      </c>
    </row>
    <row r="221" spans="1:4">
      <c r="A221" s="60">
        <v>50701</v>
      </c>
      <c r="B221" s="60" t="s">
        <v>378</v>
      </c>
      <c r="C221" s="52">
        <v>0</v>
      </c>
      <c r="D221" s="52">
        <v>0</v>
      </c>
    </row>
    <row r="222" spans="1:4">
      <c r="A222" s="60">
        <v>50702</v>
      </c>
      <c r="B222" s="60" t="s">
        <v>379</v>
      </c>
      <c r="C222" s="52">
        <v>0</v>
      </c>
      <c r="D222" s="52">
        <v>0</v>
      </c>
    </row>
    <row r="223" spans="1:4">
      <c r="A223" s="60">
        <v>50801</v>
      </c>
      <c r="B223" s="60" t="s">
        <v>455</v>
      </c>
      <c r="C223" s="52">
        <v>47</v>
      </c>
      <c r="D223" s="52">
        <v>109</v>
      </c>
    </row>
    <row r="224" spans="1:4">
      <c r="A224" s="60">
        <v>50802</v>
      </c>
      <c r="B224" s="60" t="s">
        <v>380</v>
      </c>
      <c r="C224" s="52">
        <v>0</v>
      </c>
      <c r="D224" s="52">
        <v>0</v>
      </c>
    </row>
    <row r="225" spans="1:4">
      <c r="A225" s="60">
        <v>50901</v>
      </c>
      <c r="B225" s="60" t="s">
        <v>381</v>
      </c>
      <c r="C225" s="52">
        <v>0</v>
      </c>
      <c r="D225" s="52">
        <v>0</v>
      </c>
    </row>
    <row r="226" spans="1:4">
      <c r="A226" s="60">
        <v>50902</v>
      </c>
      <c r="B226" s="60" t="s">
        <v>382</v>
      </c>
      <c r="C226" s="52">
        <v>0</v>
      </c>
      <c r="D226" s="52">
        <v>0</v>
      </c>
    </row>
    <row r="227" spans="1:4">
      <c r="A227" s="60">
        <v>51001</v>
      </c>
      <c r="B227" s="60" t="s">
        <v>383</v>
      </c>
      <c r="C227" s="52">
        <v>0</v>
      </c>
      <c r="D227" s="52">
        <v>0</v>
      </c>
    </row>
    <row r="228" spans="1:4">
      <c r="A228" s="60">
        <v>51002</v>
      </c>
      <c r="B228" s="60" t="s">
        <v>450</v>
      </c>
      <c r="C228" s="52">
        <v>2</v>
      </c>
      <c r="D228" s="52">
        <v>2</v>
      </c>
    </row>
    <row r="229" spans="1:4">
      <c r="A229" s="60">
        <v>51003</v>
      </c>
      <c r="B229" s="60" t="s">
        <v>384</v>
      </c>
      <c r="C229" s="52">
        <v>0</v>
      </c>
      <c r="D229" s="52">
        <v>0</v>
      </c>
    </row>
    <row r="230" spans="1:4">
      <c r="A230" s="60">
        <v>51101</v>
      </c>
      <c r="B230" s="60" t="s">
        <v>253</v>
      </c>
      <c r="C230" s="52">
        <v>156</v>
      </c>
      <c r="D230" s="52">
        <v>167</v>
      </c>
    </row>
    <row r="231" spans="1:4">
      <c r="A231" s="60">
        <v>51102</v>
      </c>
      <c r="B231" s="60" t="s">
        <v>259</v>
      </c>
      <c r="C231" s="52">
        <v>26</v>
      </c>
      <c r="D231" s="52">
        <v>36</v>
      </c>
    </row>
    <row r="232" spans="1:4">
      <c r="A232" s="60">
        <v>51103</v>
      </c>
      <c r="B232" s="60" t="s">
        <v>193</v>
      </c>
      <c r="C232" s="52">
        <v>304</v>
      </c>
      <c r="D232" s="52">
        <v>142</v>
      </c>
    </row>
    <row r="233" spans="1:4">
      <c r="A233" s="60">
        <v>51201</v>
      </c>
      <c r="B233" s="60" t="s">
        <v>385</v>
      </c>
      <c r="C233" s="52">
        <v>0</v>
      </c>
      <c r="D233" s="52">
        <v>0</v>
      </c>
    </row>
    <row r="234" spans="1:4">
      <c r="A234" s="60">
        <v>51202</v>
      </c>
      <c r="B234" s="60" t="s">
        <v>229</v>
      </c>
      <c r="C234" s="52">
        <v>40</v>
      </c>
      <c r="D234" s="52">
        <v>11</v>
      </c>
    </row>
    <row r="235" spans="1:4">
      <c r="A235" s="60">
        <v>51203</v>
      </c>
      <c r="B235" s="60" t="s">
        <v>386</v>
      </c>
      <c r="C235" s="52">
        <v>0</v>
      </c>
      <c r="D235" s="52">
        <v>0</v>
      </c>
    </row>
    <row r="236" spans="1:4">
      <c r="A236" s="60">
        <v>51204</v>
      </c>
      <c r="B236" s="60" t="s">
        <v>606</v>
      </c>
      <c r="C236" s="52">
        <v>0</v>
      </c>
      <c r="D236" s="52">
        <v>0</v>
      </c>
    </row>
    <row r="237" spans="1:4">
      <c r="A237" s="60">
        <v>51301</v>
      </c>
      <c r="B237" s="60" t="s">
        <v>465</v>
      </c>
      <c r="C237" s="52">
        <v>6</v>
      </c>
      <c r="D237" s="52">
        <v>19</v>
      </c>
    </row>
    <row r="238" spans="1:4">
      <c r="A238" s="60">
        <v>51302</v>
      </c>
      <c r="B238" s="60" t="s">
        <v>261</v>
      </c>
      <c r="C238" s="52">
        <v>11</v>
      </c>
      <c r="D238" s="52">
        <v>14</v>
      </c>
    </row>
    <row r="239" spans="1:4">
      <c r="A239" s="60">
        <v>51401</v>
      </c>
      <c r="B239" s="60" t="s">
        <v>387</v>
      </c>
      <c r="C239" s="52">
        <v>0</v>
      </c>
      <c r="D239" s="52">
        <v>0</v>
      </c>
    </row>
    <row r="240" spans="1:4">
      <c r="A240" s="60">
        <v>51402</v>
      </c>
      <c r="B240" s="60" t="s">
        <v>388</v>
      </c>
      <c r="C240" s="52">
        <v>0</v>
      </c>
      <c r="D240" s="52">
        <v>0</v>
      </c>
    </row>
    <row r="241" spans="1:4">
      <c r="A241" s="60">
        <v>51501</v>
      </c>
      <c r="B241" s="60" t="s">
        <v>461</v>
      </c>
      <c r="C241" s="52">
        <v>27</v>
      </c>
      <c r="D241" s="52">
        <v>95</v>
      </c>
    </row>
    <row r="242" spans="1:4">
      <c r="A242" s="60">
        <v>51601</v>
      </c>
      <c r="B242" s="60" t="s">
        <v>389</v>
      </c>
      <c r="C242" s="52">
        <v>0</v>
      </c>
      <c r="D242" s="52">
        <v>0</v>
      </c>
    </row>
    <row r="243" spans="1:4">
      <c r="A243" s="60">
        <v>60101</v>
      </c>
      <c r="B243" s="60" t="s">
        <v>128</v>
      </c>
      <c r="C243" s="52">
        <v>1756</v>
      </c>
      <c r="D243" s="52">
        <v>893</v>
      </c>
    </row>
    <row r="244" spans="1:4">
      <c r="A244" s="60">
        <v>60201</v>
      </c>
      <c r="B244" s="60" t="s">
        <v>232</v>
      </c>
      <c r="C244" s="52">
        <v>48</v>
      </c>
      <c r="D244" s="52">
        <v>10</v>
      </c>
    </row>
    <row r="245" spans="1:4">
      <c r="A245" s="60">
        <v>60202</v>
      </c>
      <c r="B245" s="60" t="s">
        <v>390</v>
      </c>
      <c r="C245" s="52">
        <v>0</v>
      </c>
      <c r="D245" s="52">
        <v>0</v>
      </c>
    </row>
    <row r="246" spans="1:4">
      <c r="A246" s="60">
        <v>60301</v>
      </c>
      <c r="B246" s="60" t="s">
        <v>183</v>
      </c>
      <c r="C246" s="52">
        <v>5535</v>
      </c>
      <c r="D246" s="52">
        <v>4465</v>
      </c>
    </row>
    <row r="247" spans="1:4">
      <c r="A247" s="60">
        <v>60302</v>
      </c>
      <c r="B247" s="60" t="s">
        <v>181</v>
      </c>
      <c r="C247" s="52">
        <v>625</v>
      </c>
      <c r="D247" s="52">
        <v>108</v>
      </c>
    </row>
    <row r="248" spans="1:4">
      <c r="A248" s="60">
        <v>60303</v>
      </c>
      <c r="B248" s="60" t="s">
        <v>202</v>
      </c>
      <c r="C248" s="52">
        <v>604</v>
      </c>
      <c r="D248" s="52">
        <v>404</v>
      </c>
    </row>
    <row r="249" spans="1:4">
      <c r="A249" s="60">
        <v>60401</v>
      </c>
      <c r="B249" s="60" t="s">
        <v>249</v>
      </c>
      <c r="C249" s="52">
        <v>26</v>
      </c>
      <c r="D249" s="52">
        <v>23</v>
      </c>
    </row>
    <row r="250" spans="1:4">
      <c r="A250" s="60">
        <v>60402</v>
      </c>
      <c r="B250" s="60" t="s">
        <v>255</v>
      </c>
      <c r="C250" s="52">
        <v>11</v>
      </c>
      <c r="D250" s="52">
        <v>12</v>
      </c>
    </row>
    <row r="251" spans="1:4">
      <c r="A251" s="60">
        <v>60501</v>
      </c>
      <c r="B251" s="60" t="s">
        <v>233</v>
      </c>
      <c r="C251" s="52">
        <v>116</v>
      </c>
      <c r="D251" s="52">
        <v>104</v>
      </c>
    </row>
    <row r="252" spans="1:4">
      <c r="A252" s="60">
        <v>60502</v>
      </c>
      <c r="B252" s="60" t="s">
        <v>222</v>
      </c>
      <c r="C252" s="52">
        <v>97</v>
      </c>
      <c r="D252" s="52">
        <v>53</v>
      </c>
    </row>
    <row r="253" spans="1:4">
      <c r="A253" s="60">
        <v>60601</v>
      </c>
      <c r="B253" s="60" t="s">
        <v>336</v>
      </c>
      <c r="C253" s="52">
        <v>286</v>
      </c>
      <c r="D253" s="52">
        <v>625</v>
      </c>
    </row>
    <row r="254" spans="1:4">
      <c r="A254" s="60">
        <v>70101</v>
      </c>
      <c r="B254" s="60" t="s">
        <v>458</v>
      </c>
      <c r="C254" s="52">
        <v>0</v>
      </c>
      <c r="D254" s="52">
        <v>1422</v>
      </c>
    </row>
    <row r="255" spans="1:4">
      <c r="A255" s="60">
        <v>70102</v>
      </c>
      <c r="B255" s="60" t="s">
        <v>391</v>
      </c>
      <c r="C255" s="52">
        <v>0</v>
      </c>
      <c r="D255" s="52">
        <v>0</v>
      </c>
    </row>
    <row r="256" spans="1:4">
      <c r="A256" s="60">
        <v>70103</v>
      </c>
      <c r="B256" s="60" t="s">
        <v>392</v>
      </c>
      <c r="C256" s="52">
        <v>0</v>
      </c>
      <c r="D256" s="52">
        <v>0</v>
      </c>
    </row>
    <row r="257" spans="1:4">
      <c r="A257" s="60">
        <v>70104</v>
      </c>
      <c r="B257" s="60" t="s">
        <v>489</v>
      </c>
      <c r="C257" s="52">
        <v>0</v>
      </c>
      <c r="D257" s="52">
        <v>2368</v>
      </c>
    </row>
    <row r="258" spans="1:4">
      <c r="A258" s="60">
        <v>70105</v>
      </c>
      <c r="B258" s="60" t="s">
        <v>487</v>
      </c>
      <c r="C258" s="52">
        <v>532</v>
      </c>
      <c r="D258" s="52">
        <v>1721</v>
      </c>
    </row>
    <row r="259" spans="1:4">
      <c r="A259" s="60">
        <v>70201</v>
      </c>
      <c r="B259" s="60" t="s">
        <v>393</v>
      </c>
      <c r="C259" s="52">
        <v>0</v>
      </c>
      <c r="D259" s="52">
        <v>0</v>
      </c>
    </row>
    <row r="260" spans="1:4">
      <c r="A260" s="60">
        <v>70202</v>
      </c>
      <c r="B260" s="60" t="s">
        <v>394</v>
      </c>
      <c r="C260" s="52">
        <v>0</v>
      </c>
      <c r="D260" s="52">
        <v>0</v>
      </c>
    </row>
    <row r="261" spans="1:4">
      <c r="A261" s="60">
        <v>70301</v>
      </c>
      <c r="B261" s="60" t="s">
        <v>395</v>
      </c>
      <c r="C261" s="52">
        <v>0</v>
      </c>
      <c r="D261" s="52">
        <v>0</v>
      </c>
    </row>
    <row r="262" spans="1:4">
      <c r="A262" s="60">
        <v>70302</v>
      </c>
      <c r="B262" s="60" t="s">
        <v>396</v>
      </c>
      <c r="C262" s="52">
        <v>0</v>
      </c>
      <c r="D262" s="52">
        <v>0</v>
      </c>
    </row>
    <row r="263" spans="1:4">
      <c r="A263" s="60">
        <v>70303</v>
      </c>
      <c r="B263" s="60" t="s">
        <v>397</v>
      </c>
      <c r="C263" s="52">
        <v>0</v>
      </c>
      <c r="D263" s="52">
        <v>0</v>
      </c>
    </row>
    <row r="264" spans="1:4">
      <c r="A264" s="60">
        <v>70401</v>
      </c>
      <c r="B264" s="60" t="s">
        <v>398</v>
      </c>
      <c r="C264" s="52">
        <v>0</v>
      </c>
      <c r="D264" s="52">
        <v>0</v>
      </c>
    </row>
    <row r="265" spans="1:4">
      <c r="A265" s="60">
        <v>70402</v>
      </c>
      <c r="B265" s="60" t="s">
        <v>399</v>
      </c>
      <c r="C265" s="52">
        <v>0</v>
      </c>
      <c r="D265" s="52">
        <v>0</v>
      </c>
    </row>
    <row r="266" spans="1:4">
      <c r="A266" s="60">
        <v>70403</v>
      </c>
      <c r="B266" s="60" t="s">
        <v>400</v>
      </c>
      <c r="C266" s="52">
        <v>0</v>
      </c>
      <c r="D266" s="52">
        <v>0</v>
      </c>
    </row>
    <row r="267" spans="1:4">
      <c r="A267" s="60">
        <v>70404</v>
      </c>
      <c r="B267" s="60" t="s">
        <v>401</v>
      </c>
      <c r="C267" s="52">
        <v>0</v>
      </c>
      <c r="D267" s="52">
        <v>0</v>
      </c>
    </row>
    <row r="268" spans="1:4">
      <c r="A268" s="60">
        <v>70501</v>
      </c>
      <c r="B268" s="60" t="s">
        <v>402</v>
      </c>
      <c r="C268" s="52">
        <v>0</v>
      </c>
      <c r="D268" s="52">
        <v>0</v>
      </c>
    </row>
    <row r="269" spans="1:4">
      <c r="A269" s="60">
        <v>70502</v>
      </c>
      <c r="B269" s="60" t="s">
        <v>403</v>
      </c>
      <c r="C269" s="52">
        <v>0</v>
      </c>
      <c r="D269" s="52">
        <v>0</v>
      </c>
    </row>
    <row r="270" spans="1:4">
      <c r="A270" s="60">
        <v>70503</v>
      </c>
      <c r="B270" s="60" t="s">
        <v>404</v>
      </c>
      <c r="C270" s="52">
        <v>0</v>
      </c>
      <c r="D270" s="52">
        <v>0</v>
      </c>
    </row>
    <row r="271" spans="1:4">
      <c r="A271" s="60">
        <v>70601</v>
      </c>
      <c r="B271" s="60" t="s">
        <v>405</v>
      </c>
      <c r="C271" s="52">
        <v>0</v>
      </c>
      <c r="D271" s="52">
        <v>0</v>
      </c>
    </row>
    <row r="272" spans="1:4">
      <c r="A272" s="60">
        <v>70602</v>
      </c>
      <c r="B272" s="60" t="s">
        <v>406</v>
      </c>
      <c r="C272" s="52">
        <v>0</v>
      </c>
      <c r="D272" s="52">
        <v>0</v>
      </c>
    </row>
    <row r="273" spans="1:4">
      <c r="A273" s="60">
        <v>70603</v>
      </c>
      <c r="B273" s="60" t="s">
        <v>407</v>
      </c>
      <c r="C273" s="52">
        <v>0</v>
      </c>
      <c r="D273" s="52">
        <v>0</v>
      </c>
    </row>
    <row r="274" spans="1:4">
      <c r="A274" s="60">
        <v>70701</v>
      </c>
      <c r="B274" s="60" t="s">
        <v>220</v>
      </c>
      <c r="C274" s="52">
        <v>13</v>
      </c>
      <c r="D274" s="52">
        <v>0</v>
      </c>
    </row>
    <row r="275" spans="1:4">
      <c r="A275" s="60">
        <v>70702</v>
      </c>
      <c r="B275" s="60" t="s">
        <v>626</v>
      </c>
      <c r="C275" s="52">
        <v>413</v>
      </c>
      <c r="D275" s="52">
        <v>0</v>
      </c>
    </row>
    <row r="276" spans="1:4">
      <c r="A276" s="60">
        <v>70703</v>
      </c>
      <c r="B276" s="60" t="s">
        <v>203</v>
      </c>
      <c r="C276" s="52">
        <v>166</v>
      </c>
      <c r="D276" s="52">
        <v>0</v>
      </c>
    </row>
    <row r="277" spans="1:4">
      <c r="A277" s="60">
        <v>70704</v>
      </c>
      <c r="B277" s="60" t="s">
        <v>495</v>
      </c>
      <c r="C277" s="52">
        <v>35</v>
      </c>
      <c r="D277" s="52">
        <v>365</v>
      </c>
    </row>
    <row r="278" spans="1:4">
      <c r="A278" s="60">
        <v>70705</v>
      </c>
      <c r="B278" s="60" t="s">
        <v>627</v>
      </c>
      <c r="C278" s="52">
        <v>276</v>
      </c>
      <c r="D278" s="52">
        <v>9</v>
      </c>
    </row>
    <row r="279" spans="1:4">
      <c r="A279" s="60">
        <v>70706</v>
      </c>
      <c r="B279" s="60" t="s">
        <v>206</v>
      </c>
      <c r="C279" s="52">
        <v>207</v>
      </c>
      <c r="D279" s="52">
        <v>0</v>
      </c>
    </row>
    <row r="280" spans="1:4">
      <c r="A280" s="60">
        <v>70707</v>
      </c>
      <c r="B280" s="60" t="s">
        <v>189</v>
      </c>
      <c r="C280" s="52">
        <v>82</v>
      </c>
      <c r="D280" s="52">
        <v>43</v>
      </c>
    </row>
    <row r="281" spans="1:4">
      <c r="A281" s="60">
        <v>70801</v>
      </c>
      <c r="B281" s="60" t="s">
        <v>194</v>
      </c>
      <c r="C281" s="52">
        <v>356</v>
      </c>
      <c r="D281" s="52">
        <v>68</v>
      </c>
    </row>
    <row r="282" spans="1:4">
      <c r="A282" s="60">
        <v>70802</v>
      </c>
      <c r="B282" s="60" t="s">
        <v>467</v>
      </c>
      <c r="C282" s="52">
        <v>0</v>
      </c>
      <c r="D282" s="52">
        <v>7</v>
      </c>
    </row>
    <row r="283" spans="1:4">
      <c r="A283" s="60">
        <v>70803</v>
      </c>
      <c r="B283" s="60" t="s">
        <v>628</v>
      </c>
      <c r="C283" s="52">
        <v>40</v>
      </c>
      <c r="D283" s="52">
        <v>0</v>
      </c>
    </row>
    <row r="284" spans="1:4">
      <c r="A284" s="60">
        <v>70804</v>
      </c>
      <c r="B284" s="60" t="s">
        <v>241</v>
      </c>
      <c r="C284" s="52">
        <v>3</v>
      </c>
      <c r="D284" s="52">
        <v>0</v>
      </c>
    </row>
    <row r="285" spans="1:4">
      <c r="A285" s="60">
        <v>70805</v>
      </c>
      <c r="B285" s="60" t="s">
        <v>224</v>
      </c>
      <c r="C285" s="52">
        <v>27</v>
      </c>
      <c r="D285" s="52">
        <v>29</v>
      </c>
    </row>
    <row r="286" spans="1:4">
      <c r="A286" s="60">
        <v>70901</v>
      </c>
      <c r="B286" s="60" t="s">
        <v>454</v>
      </c>
      <c r="C286" s="52">
        <v>11</v>
      </c>
      <c r="D286" s="52">
        <v>26</v>
      </c>
    </row>
    <row r="287" spans="1:4">
      <c r="A287" s="60">
        <v>70902</v>
      </c>
      <c r="B287" s="60" t="s">
        <v>630</v>
      </c>
      <c r="C287" s="52">
        <v>0</v>
      </c>
      <c r="D287" s="52">
        <v>381</v>
      </c>
    </row>
    <row r="288" spans="1:4">
      <c r="A288" s="60">
        <v>70903</v>
      </c>
      <c r="B288" s="60" t="s">
        <v>474</v>
      </c>
      <c r="C288" s="52">
        <v>0</v>
      </c>
      <c r="D288" s="52">
        <v>74</v>
      </c>
    </row>
    <row r="289" spans="1:4">
      <c r="A289" s="60">
        <v>70904</v>
      </c>
      <c r="B289" s="60" t="s">
        <v>235</v>
      </c>
      <c r="C289" s="52">
        <v>5</v>
      </c>
      <c r="D289" s="52">
        <v>1</v>
      </c>
    </row>
    <row r="290" spans="1:4">
      <c r="A290" s="60">
        <v>71001</v>
      </c>
      <c r="B290" s="60" t="s">
        <v>408</v>
      </c>
      <c r="C290" s="52">
        <v>0</v>
      </c>
      <c r="D290" s="52">
        <v>0</v>
      </c>
    </row>
    <row r="291" spans="1:4">
      <c r="A291" s="60">
        <v>71002</v>
      </c>
      <c r="B291" s="60" t="s">
        <v>409</v>
      </c>
      <c r="C291" s="52">
        <v>0</v>
      </c>
      <c r="D291" s="52">
        <v>0</v>
      </c>
    </row>
    <row r="292" spans="1:4">
      <c r="A292" s="60">
        <v>71003</v>
      </c>
      <c r="B292" s="60" t="s">
        <v>410</v>
      </c>
      <c r="C292" s="52">
        <v>0</v>
      </c>
      <c r="D292" s="52">
        <v>0</v>
      </c>
    </row>
    <row r="293" spans="1:4">
      <c r="A293" s="60">
        <v>71004</v>
      </c>
      <c r="B293" s="60" t="s">
        <v>411</v>
      </c>
      <c r="C293" s="52">
        <v>0</v>
      </c>
      <c r="D293" s="52">
        <v>0</v>
      </c>
    </row>
    <row r="294" spans="1:4">
      <c r="A294" s="60">
        <v>71005</v>
      </c>
      <c r="B294" s="60" t="s">
        <v>412</v>
      </c>
      <c r="C294" s="52">
        <v>0</v>
      </c>
      <c r="D294" s="52">
        <v>0</v>
      </c>
    </row>
    <row r="295" spans="1:4">
      <c r="A295" s="60">
        <v>71101</v>
      </c>
      <c r="B295" s="60" t="s">
        <v>413</v>
      </c>
      <c r="C295" s="52">
        <v>0</v>
      </c>
      <c r="D295" s="52">
        <v>0</v>
      </c>
    </row>
    <row r="296" spans="1:4">
      <c r="A296" s="60">
        <v>71102</v>
      </c>
      <c r="B296" s="60" t="s">
        <v>414</v>
      </c>
      <c r="C296" s="52">
        <v>0</v>
      </c>
      <c r="D296" s="52">
        <v>0</v>
      </c>
    </row>
    <row r="297" spans="1:4">
      <c r="A297" s="60">
        <v>71103</v>
      </c>
      <c r="B297" s="60" t="s">
        <v>415</v>
      </c>
      <c r="C297" s="52">
        <v>0</v>
      </c>
      <c r="D297" s="52">
        <v>0</v>
      </c>
    </row>
    <row r="298" spans="1:4">
      <c r="A298" s="60">
        <v>71104</v>
      </c>
      <c r="B298" s="60" t="s">
        <v>182</v>
      </c>
      <c r="C298" s="52">
        <v>1547</v>
      </c>
      <c r="D298" s="52">
        <v>0</v>
      </c>
    </row>
    <row r="299" spans="1:4">
      <c r="A299" s="60">
        <v>71105</v>
      </c>
      <c r="B299" s="60" t="s">
        <v>633</v>
      </c>
      <c r="C299" s="52">
        <v>31</v>
      </c>
      <c r="D299" s="52">
        <v>0</v>
      </c>
    </row>
    <row r="300" spans="1:4">
      <c r="A300" s="60">
        <v>71106</v>
      </c>
      <c r="B300" s="60" t="s">
        <v>491</v>
      </c>
      <c r="C300" s="52">
        <v>0</v>
      </c>
      <c r="D300" s="52">
        <v>433</v>
      </c>
    </row>
    <row r="301" spans="1:4">
      <c r="A301" s="60">
        <v>71201</v>
      </c>
      <c r="B301" s="60" t="s">
        <v>416</v>
      </c>
      <c r="C301" s="52">
        <v>0</v>
      </c>
      <c r="D301" s="52">
        <v>0</v>
      </c>
    </row>
    <row r="302" spans="1:4">
      <c r="A302" s="60">
        <v>71301</v>
      </c>
      <c r="B302" s="60" t="s">
        <v>185</v>
      </c>
      <c r="C302" s="52">
        <v>373</v>
      </c>
      <c r="D302" s="52">
        <v>35</v>
      </c>
    </row>
    <row r="303" spans="1:4">
      <c r="A303" s="60">
        <v>71302</v>
      </c>
      <c r="B303" s="60" t="s">
        <v>191</v>
      </c>
      <c r="C303" s="52">
        <v>91</v>
      </c>
      <c r="D303" s="52">
        <v>0</v>
      </c>
    </row>
    <row r="304" spans="1:4">
      <c r="A304" s="60">
        <v>71401</v>
      </c>
      <c r="B304" s="60" t="s">
        <v>637</v>
      </c>
      <c r="C304" s="52">
        <v>0</v>
      </c>
      <c r="D304" s="52">
        <v>0</v>
      </c>
    </row>
    <row r="305" spans="1:4">
      <c r="A305" s="60">
        <v>71402</v>
      </c>
      <c r="B305" s="60" t="s">
        <v>417</v>
      </c>
      <c r="C305" s="52">
        <v>0</v>
      </c>
      <c r="D305" s="52">
        <v>0</v>
      </c>
    </row>
    <row r="306" spans="1:4">
      <c r="A306" s="60">
        <v>71403</v>
      </c>
      <c r="B306" s="60" t="s">
        <v>418</v>
      </c>
      <c r="C306" s="52">
        <v>0</v>
      </c>
      <c r="D306" s="52">
        <v>0</v>
      </c>
    </row>
    <row r="307" spans="1:4">
      <c r="A307" s="60">
        <v>71501</v>
      </c>
      <c r="B307" s="60" t="s">
        <v>639</v>
      </c>
      <c r="C307" s="52">
        <v>0</v>
      </c>
      <c r="D307" s="52">
        <v>0</v>
      </c>
    </row>
    <row r="308" spans="1:4">
      <c r="A308" s="60">
        <v>71502</v>
      </c>
      <c r="B308" s="60" t="s">
        <v>419</v>
      </c>
      <c r="C308" s="52">
        <v>0</v>
      </c>
      <c r="D308" s="52">
        <v>0</v>
      </c>
    </row>
    <row r="309" spans="1:4">
      <c r="A309" s="60">
        <v>71503</v>
      </c>
      <c r="B309" s="60" t="s">
        <v>222</v>
      </c>
      <c r="C309" s="52">
        <v>0</v>
      </c>
      <c r="D309" s="52">
        <v>0</v>
      </c>
    </row>
    <row r="310" spans="1:4">
      <c r="A310" s="60">
        <v>80101</v>
      </c>
      <c r="B310" s="60" t="s">
        <v>420</v>
      </c>
      <c r="C310" s="52">
        <v>0</v>
      </c>
      <c r="D310" s="52">
        <v>0</v>
      </c>
    </row>
    <row r="311" spans="1:4">
      <c r="A311" s="60">
        <v>80102</v>
      </c>
      <c r="B311" s="60" t="s">
        <v>414</v>
      </c>
      <c r="C311" s="52">
        <v>0</v>
      </c>
      <c r="D311" s="52">
        <v>0</v>
      </c>
    </row>
    <row r="312" spans="1:4">
      <c r="A312" s="60">
        <v>80201</v>
      </c>
      <c r="B312" s="60" t="s">
        <v>421</v>
      </c>
      <c r="C312" s="52">
        <v>0</v>
      </c>
      <c r="D312" s="52">
        <v>0</v>
      </c>
    </row>
    <row r="313" spans="1:4">
      <c r="A313" s="60">
        <v>80202</v>
      </c>
      <c r="B313" s="60" t="s">
        <v>422</v>
      </c>
      <c r="C313" s="52">
        <v>0</v>
      </c>
      <c r="D313" s="52">
        <v>0</v>
      </c>
    </row>
    <row r="314" spans="1:4">
      <c r="A314" s="60">
        <v>80301</v>
      </c>
      <c r="B314" s="60" t="s">
        <v>423</v>
      </c>
      <c r="C314" s="52">
        <v>0</v>
      </c>
      <c r="D314" s="52">
        <v>0</v>
      </c>
    </row>
    <row r="315" spans="1:4">
      <c r="A315" s="60">
        <v>80302</v>
      </c>
      <c r="B315" s="60" t="s">
        <v>424</v>
      </c>
      <c r="C315" s="52">
        <v>0</v>
      </c>
      <c r="D315" s="52">
        <v>0</v>
      </c>
    </row>
    <row r="316" spans="1:4">
      <c r="A316" s="60">
        <v>80303</v>
      </c>
      <c r="B316" s="60" t="s">
        <v>425</v>
      </c>
      <c r="C316" s="52">
        <v>0</v>
      </c>
      <c r="D316" s="52">
        <v>0</v>
      </c>
    </row>
    <row r="317" spans="1:4">
      <c r="A317" s="60">
        <v>80304</v>
      </c>
      <c r="B317" s="60" t="s">
        <v>426</v>
      </c>
      <c r="C317" s="52">
        <v>0</v>
      </c>
      <c r="D317" s="52">
        <v>0</v>
      </c>
    </row>
    <row r="318" spans="1:4">
      <c r="A318" s="60">
        <v>80401</v>
      </c>
      <c r="B318" s="60" t="s">
        <v>427</v>
      </c>
      <c r="C318" s="52">
        <v>0</v>
      </c>
      <c r="D318" s="52">
        <v>0</v>
      </c>
    </row>
    <row r="319" spans="1:4">
      <c r="A319" s="60">
        <v>80402</v>
      </c>
      <c r="B319" s="60" t="s">
        <v>428</v>
      </c>
      <c r="C319" s="52">
        <v>0</v>
      </c>
      <c r="D319" s="52">
        <v>0</v>
      </c>
    </row>
    <row r="320" spans="1:4">
      <c r="A320" s="60">
        <v>80501</v>
      </c>
      <c r="B320" s="60" t="s">
        <v>429</v>
      </c>
      <c r="C320" s="52">
        <v>0</v>
      </c>
      <c r="D320" s="52">
        <v>0</v>
      </c>
    </row>
    <row r="321" spans="1:4">
      <c r="A321" s="60">
        <v>80601</v>
      </c>
      <c r="B321" s="60" t="s">
        <v>430</v>
      </c>
      <c r="C321" s="52">
        <v>0</v>
      </c>
      <c r="D321" s="52">
        <v>0</v>
      </c>
    </row>
    <row r="322" spans="1:4">
      <c r="A322" s="60">
        <v>80602</v>
      </c>
      <c r="B322" s="60" t="s">
        <v>431</v>
      </c>
      <c r="C322" s="52">
        <v>0</v>
      </c>
      <c r="D322" s="52">
        <v>0</v>
      </c>
    </row>
    <row r="323" spans="1:4">
      <c r="A323" s="60">
        <v>80701</v>
      </c>
      <c r="B323" s="60" t="s">
        <v>432</v>
      </c>
      <c r="C323" s="52">
        <v>0</v>
      </c>
      <c r="D323" s="52">
        <v>0</v>
      </c>
    </row>
    <row r="324" spans="1:4">
      <c r="A324" s="60">
        <v>80702</v>
      </c>
      <c r="B324" s="60" t="s">
        <v>415</v>
      </c>
      <c r="C324" s="52">
        <v>0</v>
      </c>
      <c r="D324" s="52">
        <v>0</v>
      </c>
    </row>
    <row r="325" spans="1:4">
      <c r="A325" s="60">
        <v>80703</v>
      </c>
      <c r="B325" s="60" t="s">
        <v>433</v>
      </c>
      <c r="C325" s="52">
        <v>0</v>
      </c>
      <c r="D325" s="52">
        <v>0</v>
      </c>
    </row>
    <row r="326" spans="1:4">
      <c r="A326" s="60">
        <v>80801</v>
      </c>
      <c r="B326" s="60" t="s">
        <v>434</v>
      </c>
      <c r="C326" s="52">
        <v>0</v>
      </c>
      <c r="D326" s="52">
        <v>0</v>
      </c>
    </row>
    <row r="327" spans="1:4">
      <c r="A327" s="60">
        <v>80802</v>
      </c>
      <c r="B327" s="60" t="s">
        <v>435</v>
      </c>
      <c r="C327" s="52">
        <v>0</v>
      </c>
      <c r="D327" s="52">
        <v>0</v>
      </c>
    </row>
    <row r="328" spans="1:4">
      <c r="A328" s="60">
        <v>80803</v>
      </c>
      <c r="B328" s="60" t="s">
        <v>436</v>
      </c>
      <c r="C328" s="52">
        <v>0</v>
      </c>
      <c r="D328" s="52">
        <v>0</v>
      </c>
    </row>
    <row r="329" spans="1:4">
      <c r="A329" s="60">
        <v>80901</v>
      </c>
      <c r="B329" s="60" t="s">
        <v>651</v>
      </c>
      <c r="C329" s="52">
        <v>0</v>
      </c>
      <c r="D329" s="52">
        <v>0</v>
      </c>
    </row>
    <row r="330" spans="1:4">
      <c r="A330" s="60">
        <v>90101</v>
      </c>
      <c r="B330" s="60" t="s">
        <v>437</v>
      </c>
      <c r="C330" s="52">
        <v>0</v>
      </c>
      <c r="D330" s="52">
        <v>0</v>
      </c>
    </row>
    <row r="331" spans="1:4">
      <c r="A331" s="60">
        <v>90102</v>
      </c>
      <c r="B331" s="60" t="s">
        <v>438</v>
      </c>
      <c r="C331" s="52">
        <v>0</v>
      </c>
      <c r="D331" s="52">
        <v>0</v>
      </c>
    </row>
    <row r="332" spans="1:4">
      <c r="A332" s="60">
        <v>90103</v>
      </c>
      <c r="B332" s="60" t="s">
        <v>439</v>
      </c>
      <c r="C332" s="52">
        <v>0</v>
      </c>
      <c r="D332" s="52">
        <v>0</v>
      </c>
    </row>
    <row r="333" spans="1:4">
      <c r="A333" s="60">
        <v>90104</v>
      </c>
      <c r="B333" s="60" t="s">
        <v>440</v>
      </c>
      <c r="C333" s="52">
        <v>0</v>
      </c>
      <c r="D333" s="52">
        <v>0</v>
      </c>
    </row>
    <row r="334" spans="1:4">
      <c r="A334" s="60">
        <v>90201</v>
      </c>
      <c r="B334" s="60" t="s">
        <v>441</v>
      </c>
      <c r="C334" s="52">
        <v>0</v>
      </c>
      <c r="D334" s="52">
        <v>0</v>
      </c>
    </row>
    <row r="335" spans="1:4">
      <c r="A335" s="60">
        <v>90202</v>
      </c>
      <c r="B335" s="60" t="s">
        <v>412</v>
      </c>
      <c r="C335" s="52">
        <v>0</v>
      </c>
      <c r="D335" s="52">
        <v>0</v>
      </c>
    </row>
    <row r="336" spans="1:4">
      <c r="A336" s="60">
        <v>90203</v>
      </c>
      <c r="B336" s="60" t="s">
        <v>442</v>
      </c>
      <c r="C336" s="52">
        <v>0</v>
      </c>
      <c r="D336" s="52">
        <v>0</v>
      </c>
    </row>
    <row r="337" spans="1:4">
      <c r="A337" s="60">
        <v>90301</v>
      </c>
      <c r="B337" s="60" t="s">
        <v>443</v>
      </c>
      <c r="C337" s="52">
        <v>0</v>
      </c>
      <c r="D337" s="52">
        <v>0</v>
      </c>
    </row>
    <row r="338" spans="1:4">
      <c r="A338" s="60">
        <v>90302</v>
      </c>
      <c r="B338" s="60" t="s">
        <v>233</v>
      </c>
      <c r="C338" s="52">
        <v>0</v>
      </c>
      <c r="D338" s="52">
        <v>0</v>
      </c>
    </row>
    <row r="339" spans="1:4">
      <c r="A339" s="60">
        <v>90303</v>
      </c>
      <c r="B339" s="60" t="s">
        <v>444</v>
      </c>
      <c r="C339" s="52">
        <v>0</v>
      </c>
      <c r="D339" s="52">
        <v>0</v>
      </c>
    </row>
    <row r="340" spans="1:4">
      <c r="A340" s="60">
        <v>90401</v>
      </c>
      <c r="B340" s="60" t="s">
        <v>425</v>
      </c>
      <c r="C340" s="52">
        <v>0</v>
      </c>
      <c r="D340" s="52">
        <v>0</v>
      </c>
    </row>
    <row r="341" spans="1:4">
      <c r="A341" s="60">
        <v>90402</v>
      </c>
      <c r="B341" s="60" t="s">
        <v>445</v>
      </c>
      <c r="C341" s="52">
        <v>0</v>
      </c>
      <c r="D341" s="52">
        <v>0</v>
      </c>
    </row>
    <row r="342" spans="1:4">
      <c r="A342" s="60">
        <v>90501</v>
      </c>
      <c r="B342" s="60" t="s">
        <v>446</v>
      </c>
      <c r="C342" s="52">
        <v>0</v>
      </c>
      <c r="D342" s="52">
        <v>0</v>
      </c>
    </row>
    <row r="343" spans="1:4">
      <c r="A343" s="60">
        <v>90502</v>
      </c>
      <c r="B343" s="60" t="s">
        <v>447</v>
      </c>
      <c r="C343" s="52">
        <v>0</v>
      </c>
      <c r="D343" s="52">
        <v>0</v>
      </c>
    </row>
    <row r="344" spans="1:4">
      <c r="A344" s="60">
        <v>90503</v>
      </c>
      <c r="B344" s="60" t="s">
        <v>448</v>
      </c>
      <c r="C344" s="52">
        <v>0</v>
      </c>
      <c r="D344" s="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50D9-505C-457C-8AAF-113FC13D5FED}">
  <dimension ref="A1:H12"/>
  <sheetViews>
    <sheetView workbookViewId="0">
      <selection activeCell="D14" sqref="D14"/>
    </sheetView>
  </sheetViews>
  <sheetFormatPr baseColWidth="10" defaultRowHeight="15"/>
  <cols>
    <col min="1" max="1" width="16.5703125" bestFit="1" customWidth="1"/>
    <col min="2" max="2" width="13.85546875" bestFit="1" customWidth="1"/>
    <col min="3" max="4" width="37.5703125" customWidth="1"/>
    <col min="6" max="8" width="11.42578125" style="59"/>
  </cols>
  <sheetData>
    <row r="1" spans="1:8" ht="30" customHeight="1">
      <c r="A1" s="71" t="s">
        <v>660</v>
      </c>
      <c r="B1" s="71" t="s">
        <v>174</v>
      </c>
      <c r="C1" s="72" t="s">
        <v>690</v>
      </c>
      <c r="D1" s="72" t="s">
        <v>691</v>
      </c>
      <c r="G1" s="73"/>
      <c r="H1" s="73"/>
    </row>
    <row r="2" spans="1:8">
      <c r="A2" s="51">
        <v>1</v>
      </c>
      <c r="B2" s="53" t="s">
        <v>8</v>
      </c>
      <c r="C2" s="64">
        <v>4.4231897896334988</v>
      </c>
      <c r="D2" s="64">
        <v>3.6165828070862971</v>
      </c>
      <c r="G2" s="74"/>
      <c r="H2" s="74"/>
    </row>
    <row r="3" spans="1:8">
      <c r="A3" s="51">
        <v>2</v>
      </c>
      <c r="B3" s="53" t="s">
        <v>38</v>
      </c>
      <c r="C3" s="64">
        <v>4.8268053368034192E-2</v>
      </c>
      <c r="D3" s="64">
        <v>7.5145071571529304E-2</v>
      </c>
      <c r="G3" s="74"/>
      <c r="H3" s="74"/>
    </row>
    <row r="4" spans="1:8">
      <c r="A4" s="51">
        <v>3</v>
      </c>
      <c r="B4" s="53" t="s">
        <v>64</v>
      </c>
      <c r="C4" s="64">
        <v>9.5182538920875963</v>
      </c>
      <c r="D4" s="64">
        <v>0.47742007196459524</v>
      </c>
      <c r="G4" s="74"/>
      <c r="H4" s="74"/>
    </row>
    <row r="5" spans="1:8">
      <c r="A5" s="51">
        <v>4</v>
      </c>
      <c r="B5" s="53" t="s">
        <v>340</v>
      </c>
      <c r="C5" s="52">
        <v>0</v>
      </c>
      <c r="D5" s="52">
        <v>0</v>
      </c>
      <c r="G5" s="74"/>
      <c r="H5" s="74"/>
    </row>
    <row r="6" spans="1:8">
      <c r="A6" s="51">
        <v>5</v>
      </c>
      <c r="B6" s="53" t="s">
        <v>192</v>
      </c>
      <c r="C6" s="64">
        <v>0.7299672855128998</v>
      </c>
      <c r="D6" s="64">
        <v>0.93380616813816175</v>
      </c>
      <c r="G6" s="74"/>
      <c r="H6" s="74"/>
    </row>
    <row r="7" spans="1:8">
      <c r="A7" s="51">
        <v>6</v>
      </c>
      <c r="B7" s="53" t="s">
        <v>128</v>
      </c>
      <c r="C7" s="64">
        <v>6.3758202157247217</v>
      </c>
      <c r="D7" s="64">
        <v>3.462373395564696</v>
      </c>
      <c r="G7" s="74"/>
      <c r="H7" s="74"/>
    </row>
    <row r="8" spans="1:8">
      <c r="A8" s="51">
        <v>7</v>
      </c>
      <c r="B8" s="53" t="s">
        <v>139</v>
      </c>
      <c r="C8" s="64">
        <v>0.61218014556154154</v>
      </c>
      <c r="D8" s="64">
        <v>0.70509537923362098</v>
      </c>
      <c r="G8" s="74"/>
      <c r="H8" s="74"/>
    </row>
    <row r="9" spans="1:8">
      <c r="A9" s="51">
        <v>8</v>
      </c>
      <c r="B9" s="53" t="s">
        <v>641</v>
      </c>
      <c r="C9" s="52">
        <v>0</v>
      </c>
      <c r="D9" s="52">
        <v>0</v>
      </c>
      <c r="G9" s="74"/>
      <c r="H9" s="74"/>
    </row>
    <row r="10" spans="1:8">
      <c r="A10" s="51">
        <v>9</v>
      </c>
      <c r="B10" s="53" t="s">
        <v>652</v>
      </c>
      <c r="C10" s="52">
        <v>0</v>
      </c>
      <c r="D10" s="52">
        <v>0</v>
      </c>
      <c r="G10" s="74"/>
      <c r="H10" s="74"/>
    </row>
    <row r="11" spans="1:8">
      <c r="A11" s="75">
        <v>10</v>
      </c>
      <c r="B11" s="76" t="s">
        <v>612</v>
      </c>
      <c r="C11" s="64">
        <v>17.038739717240283</v>
      </c>
      <c r="D11" s="64">
        <v>9.4085076548748336</v>
      </c>
    </row>
    <row r="12" spans="1:8">
      <c r="A12" s="75">
        <v>11</v>
      </c>
      <c r="B12" s="76" t="s">
        <v>706</v>
      </c>
      <c r="C12" s="64">
        <v>2.5531418079162571</v>
      </c>
      <c r="D12" s="64">
        <v>0.70595729004673691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B338D-7365-43C3-85FC-FD73CB8D77E1}">
  <dimension ref="A1:D15"/>
  <sheetViews>
    <sheetView workbookViewId="0">
      <selection activeCell="H11" sqref="H11"/>
    </sheetView>
  </sheetViews>
  <sheetFormatPr baseColWidth="10" defaultRowHeight="15"/>
  <cols>
    <col min="1" max="1" width="16.5703125" bestFit="1" customWidth="1"/>
    <col min="2" max="2" width="13.85546875" bestFit="1" customWidth="1"/>
    <col min="3" max="4" width="24.140625" bestFit="1" customWidth="1"/>
  </cols>
  <sheetData>
    <row r="1" spans="1:4" ht="45">
      <c r="A1" s="71" t="s">
        <v>660</v>
      </c>
      <c r="B1" s="71" t="s">
        <v>174</v>
      </c>
      <c r="C1" s="66" t="s">
        <v>692</v>
      </c>
      <c r="D1" s="66" t="s">
        <v>693</v>
      </c>
    </row>
    <row r="2" spans="1:4">
      <c r="A2" s="60">
        <v>1</v>
      </c>
      <c r="B2" s="53" t="s">
        <v>8</v>
      </c>
      <c r="C2" s="52">
        <v>7778</v>
      </c>
      <c r="D2" s="52">
        <v>8692</v>
      </c>
    </row>
    <row r="3" spans="1:4">
      <c r="A3" s="60">
        <v>2</v>
      </c>
      <c r="B3" s="53" t="s">
        <v>38</v>
      </c>
      <c r="C3" s="52">
        <v>451</v>
      </c>
      <c r="D3" s="52">
        <v>974</v>
      </c>
    </row>
    <row r="4" spans="1:4">
      <c r="A4" s="60">
        <v>3</v>
      </c>
      <c r="B4" s="53" t="s">
        <v>64</v>
      </c>
      <c r="C4" s="52">
        <v>57254</v>
      </c>
      <c r="D4" s="52">
        <v>3916</v>
      </c>
    </row>
    <row r="5" spans="1:4">
      <c r="A5" s="60">
        <v>4</v>
      </c>
      <c r="B5" s="53" t="s">
        <v>340</v>
      </c>
      <c r="C5" s="52">
        <v>0</v>
      </c>
      <c r="D5" s="52">
        <v>0</v>
      </c>
    </row>
    <row r="6" spans="1:4">
      <c r="A6" s="60">
        <v>5</v>
      </c>
      <c r="B6" s="53" t="s">
        <v>192</v>
      </c>
      <c r="C6" s="52">
        <v>2018</v>
      </c>
      <c r="D6" s="52">
        <v>3490</v>
      </c>
    </row>
    <row r="7" spans="1:4">
      <c r="A7" s="60">
        <v>6</v>
      </c>
      <c r="B7" s="53" t="s">
        <v>128</v>
      </c>
      <c r="C7" s="52">
        <v>9104</v>
      </c>
      <c r="D7" s="52">
        <v>6696</v>
      </c>
    </row>
    <row r="8" spans="1:4">
      <c r="A8" s="60">
        <v>7</v>
      </c>
      <c r="B8" s="53" t="s">
        <v>139</v>
      </c>
      <c r="C8" s="52">
        <v>4207</v>
      </c>
      <c r="D8" s="52">
        <v>6980</v>
      </c>
    </row>
    <row r="9" spans="1:4">
      <c r="A9" s="60">
        <v>8</v>
      </c>
      <c r="B9" s="53" t="s">
        <v>641</v>
      </c>
      <c r="C9" s="52">
        <v>0</v>
      </c>
      <c r="D9" s="52">
        <v>0</v>
      </c>
    </row>
    <row r="10" spans="1:4">
      <c r="A10" s="60">
        <v>9</v>
      </c>
      <c r="B10" s="53" t="s">
        <v>652</v>
      </c>
      <c r="C10" s="52">
        <v>0</v>
      </c>
      <c r="D10" s="52">
        <v>0</v>
      </c>
    </row>
    <row r="11" spans="1:4">
      <c r="A11" s="75">
        <v>10</v>
      </c>
      <c r="B11" s="76" t="s">
        <v>612</v>
      </c>
      <c r="C11" s="77">
        <v>6764</v>
      </c>
      <c r="D11" s="77">
        <v>4977</v>
      </c>
    </row>
    <row r="12" spans="1:4">
      <c r="A12" s="75">
        <v>11</v>
      </c>
      <c r="B12" s="76" t="s">
        <v>706</v>
      </c>
      <c r="C12" s="52">
        <v>80813</v>
      </c>
      <c r="D12" s="52">
        <v>30748</v>
      </c>
    </row>
    <row r="15" spans="1:4">
      <c r="D15" s="63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2655-9EEC-45B7-8BB4-70A3E935DD3E}">
  <dimension ref="A1:J2"/>
  <sheetViews>
    <sheetView workbookViewId="0">
      <selection activeCell="M6" sqref="M6"/>
    </sheetView>
  </sheetViews>
  <sheetFormatPr baseColWidth="10" defaultRowHeight="15"/>
  <sheetData>
    <row r="1" spans="1:10" ht="48.75" thickBot="1">
      <c r="A1" s="54" t="s">
        <v>496</v>
      </c>
      <c r="B1" s="54" t="s">
        <v>661</v>
      </c>
      <c r="C1" s="55" t="s">
        <v>662</v>
      </c>
      <c r="D1" s="55" t="s">
        <v>663</v>
      </c>
      <c r="E1" s="56" t="s">
        <v>664</v>
      </c>
      <c r="F1" s="56" t="s">
        <v>665</v>
      </c>
      <c r="G1" s="57" t="s">
        <v>666</v>
      </c>
      <c r="H1" s="57" t="s">
        <v>667</v>
      </c>
      <c r="I1" s="58" t="s">
        <v>668</v>
      </c>
      <c r="J1" s="58" t="s">
        <v>669</v>
      </c>
    </row>
    <row r="2" spans="1:10" ht="120.75" thickBot="1">
      <c r="A2" s="51">
        <v>3</v>
      </c>
      <c r="B2" s="50" t="s">
        <v>497</v>
      </c>
      <c r="C2" s="51">
        <v>0</v>
      </c>
      <c r="D2" s="51">
        <v>0</v>
      </c>
      <c r="E2" s="51">
        <v>0</v>
      </c>
      <c r="F2" s="51">
        <v>0.7</v>
      </c>
      <c r="G2" s="51">
        <v>0.7</v>
      </c>
      <c r="H2" s="51">
        <v>1.9</v>
      </c>
      <c r="I2" s="51">
        <v>1.9</v>
      </c>
      <c r="J2" s="5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9B4BF-8372-4B45-BD86-F44BAA979AE8}">
  <dimension ref="A1"/>
  <sheetViews>
    <sheetView workbookViewId="0">
      <selection activeCell="L9" sqref="L9"/>
    </sheetView>
  </sheetViews>
  <sheetFormatPr baseColWidth="10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MUÑOS</dc:creator>
  <cp:lastModifiedBy>ALVARO MUÑOS</cp:lastModifiedBy>
  <dcterms:created xsi:type="dcterms:W3CDTF">2026-01-27T14:36:35Z</dcterms:created>
  <dcterms:modified xsi:type="dcterms:W3CDTF">2026-05-08T13:26:42Z</dcterms:modified>
</cp:coreProperties>
</file>