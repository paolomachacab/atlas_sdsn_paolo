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8A1CA2A9-6DF8-47A7-A4F4-5737676DBC05}" xr6:coauthVersionLast="47" xr6:coauthVersionMax="47" xr10:uidLastSave="{00000000-0000-0000-0000-000000000000}"/>
  <bookViews>
    <workbookView xWindow="-120" yWindow="-120" windowWidth="20730" windowHeight="10545" firstSheet="1" activeTab="2" xr2:uid="{00000000-000D-0000-FFFF-FFFF00000000}"/>
  </bookViews>
  <sheets>
    <sheet name="Datos originales" sheetId="1" r:id="rId1"/>
    <sheet name="Comparacion Atlas 2020" sheetId="2" r:id="rId2"/>
    <sheet name="Datos procesados" sheetId="3" r:id="rId3"/>
    <sheet name="Indicador_MUN" sheetId="4" r:id="rId4"/>
    <sheet name="Absoluto_MUN" sheetId="5" r:id="rId5"/>
    <sheet name="Indicador_DEP" sheetId="6" r:id="rId6"/>
    <sheet name="Absoluto_DEP" sheetId="7" r:id="rId7"/>
    <sheet name="Umbral" sheetId="8" r:id="rId8"/>
  </sheets>
  <definedNames>
    <definedName name="_xlnm._FilterDatabase" localSheetId="4" hidden="1">Absoluto_MUN!$A$1:$D$344</definedName>
    <definedName name="_xlnm._FilterDatabase" localSheetId="0" hidden="1">'Datos originales'!$A$5:$Y$1406</definedName>
    <definedName name="_xlnm._FilterDatabase" localSheetId="3" hidden="1">Indicador_MUN!$A$1:$D$344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Bj2TMEjuQ+dh4jOAB8LN0OLJ+uvExmEBp59nJfpEYSE="/>
    </ext>
  </extLst>
</workbook>
</file>

<file path=xl/calcChain.xml><?xml version="1.0" encoding="utf-8"?>
<calcChain xmlns="http://schemas.openxmlformats.org/spreadsheetml/2006/main">
  <c r="P15" i="3" l="1"/>
  <c r="M15" i="3"/>
  <c r="L15" i="3"/>
  <c r="N15" i="3"/>
  <c r="O15" i="3"/>
  <c r="K15" i="3"/>
  <c r="H4" i="2"/>
  <c r="E352" i="3"/>
  <c r="E351" i="3"/>
  <c r="E350" i="3"/>
  <c r="E349" i="3"/>
  <c r="F349" i="3" s="1"/>
  <c r="H345" i="2"/>
  <c r="E345" i="2"/>
  <c r="I345" i="2" s="1"/>
  <c r="E344" i="2"/>
  <c r="I344" i="2" s="1"/>
  <c r="I343" i="2"/>
  <c r="H343" i="2"/>
  <c r="E343" i="2"/>
  <c r="I342" i="2"/>
  <c r="E342" i="2"/>
  <c r="H342" i="2" s="1"/>
  <c r="H341" i="2"/>
  <c r="E341" i="2"/>
  <c r="I341" i="2" s="1"/>
  <c r="E340" i="2"/>
  <c r="I340" i="2" s="1"/>
  <c r="I339" i="2"/>
  <c r="H339" i="2"/>
  <c r="E339" i="2"/>
  <c r="E338" i="2"/>
  <c r="H338" i="2" s="1"/>
  <c r="H337" i="2"/>
  <c r="E337" i="2"/>
  <c r="I337" i="2" s="1"/>
  <c r="E336" i="2"/>
  <c r="I336" i="2" s="1"/>
  <c r="I335" i="2"/>
  <c r="H335" i="2"/>
  <c r="E335" i="2"/>
  <c r="E334" i="2"/>
  <c r="H334" i="2" s="1"/>
  <c r="H333" i="2"/>
  <c r="E333" i="2"/>
  <c r="I333" i="2" s="1"/>
  <c r="E332" i="2"/>
  <c r="I332" i="2" s="1"/>
  <c r="I331" i="2"/>
  <c r="H331" i="2"/>
  <c r="E331" i="2"/>
  <c r="I330" i="2"/>
  <c r="H330" i="2"/>
  <c r="I329" i="2"/>
  <c r="E329" i="2"/>
  <c r="H329" i="2" s="1"/>
  <c r="I328" i="2"/>
  <c r="H328" i="2"/>
  <c r="E328" i="2"/>
  <c r="H327" i="2"/>
  <c r="E327" i="2"/>
  <c r="I327" i="2" s="1"/>
  <c r="E326" i="2"/>
  <c r="I325" i="2"/>
  <c r="E325" i="2"/>
  <c r="H325" i="2" s="1"/>
  <c r="I324" i="2"/>
  <c r="H324" i="2"/>
  <c r="E324" i="2"/>
  <c r="H323" i="2"/>
  <c r="E323" i="2"/>
  <c r="I323" i="2" s="1"/>
  <c r="E322" i="2"/>
  <c r="I321" i="2"/>
  <c r="E321" i="2"/>
  <c r="H321" i="2" s="1"/>
  <c r="I320" i="2"/>
  <c r="H320" i="2"/>
  <c r="E320" i="2"/>
  <c r="H319" i="2"/>
  <c r="E319" i="2"/>
  <c r="I319" i="2" s="1"/>
  <c r="E318" i="2"/>
  <c r="I317" i="2"/>
  <c r="E317" i="2"/>
  <c r="H317" i="2" s="1"/>
  <c r="I316" i="2"/>
  <c r="H316" i="2"/>
  <c r="E316" i="2"/>
  <c r="H315" i="2"/>
  <c r="E315" i="2"/>
  <c r="I315" i="2" s="1"/>
  <c r="E314" i="2"/>
  <c r="I313" i="2"/>
  <c r="E313" i="2"/>
  <c r="H313" i="2" s="1"/>
  <c r="I312" i="2"/>
  <c r="H312" i="2"/>
  <c r="E312" i="2"/>
  <c r="H311" i="2"/>
  <c r="E311" i="2"/>
  <c r="I311" i="2" s="1"/>
  <c r="E310" i="2"/>
  <c r="I309" i="2"/>
  <c r="E309" i="2"/>
  <c r="H309" i="2" s="1"/>
  <c r="I308" i="2"/>
  <c r="H308" i="2"/>
  <c r="E308" i="2"/>
  <c r="H307" i="2"/>
  <c r="E307" i="2"/>
  <c r="I307" i="2" s="1"/>
  <c r="E306" i="2"/>
  <c r="I305" i="2"/>
  <c r="E305" i="2"/>
  <c r="H305" i="2" s="1"/>
  <c r="I304" i="2"/>
  <c r="H304" i="2"/>
  <c r="E304" i="2"/>
  <c r="H303" i="2"/>
  <c r="E303" i="2"/>
  <c r="I303" i="2" s="1"/>
  <c r="E302" i="2"/>
  <c r="I301" i="2"/>
  <c r="E301" i="2"/>
  <c r="H301" i="2" s="1"/>
  <c r="I300" i="2"/>
  <c r="H300" i="2"/>
  <c r="E300" i="2"/>
  <c r="H299" i="2"/>
  <c r="E299" i="2"/>
  <c r="I299" i="2" s="1"/>
  <c r="E298" i="2"/>
  <c r="I297" i="2"/>
  <c r="E297" i="2"/>
  <c r="H297" i="2" s="1"/>
  <c r="I296" i="2"/>
  <c r="H296" i="2"/>
  <c r="E296" i="2"/>
  <c r="H295" i="2"/>
  <c r="E295" i="2"/>
  <c r="I295" i="2" s="1"/>
  <c r="E294" i="2"/>
  <c r="E293" i="2"/>
  <c r="H293" i="2" s="1"/>
  <c r="I292" i="2"/>
  <c r="H292" i="2"/>
  <c r="E292" i="2"/>
  <c r="I291" i="2"/>
  <c r="E291" i="2"/>
  <c r="H291" i="2" s="1"/>
  <c r="E290" i="2"/>
  <c r="I290" i="2" s="1"/>
  <c r="E289" i="2"/>
  <c r="H289" i="2" s="1"/>
  <c r="I288" i="2"/>
  <c r="H288" i="2"/>
  <c r="E288" i="2"/>
  <c r="H287" i="2"/>
  <c r="E287" i="2"/>
  <c r="I287" i="2" s="1"/>
  <c r="E286" i="2"/>
  <c r="I286" i="2" s="1"/>
  <c r="E285" i="2"/>
  <c r="H285" i="2" s="1"/>
  <c r="I284" i="2"/>
  <c r="H284" i="2"/>
  <c r="E284" i="2"/>
  <c r="I283" i="2"/>
  <c r="E283" i="2"/>
  <c r="H283" i="2" s="1"/>
  <c r="E282" i="2"/>
  <c r="I282" i="2" s="1"/>
  <c r="E281" i="2"/>
  <c r="H281" i="2" s="1"/>
  <c r="I280" i="2"/>
  <c r="H280" i="2"/>
  <c r="E280" i="2"/>
  <c r="H279" i="2"/>
  <c r="E279" i="2"/>
  <c r="I279" i="2" s="1"/>
  <c r="E278" i="2"/>
  <c r="I278" i="2" s="1"/>
  <c r="E277" i="2"/>
  <c r="H277" i="2" s="1"/>
  <c r="I276" i="2"/>
  <c r="H276" i="2"/>
  <c r="E276" i="2"/>
  <c r="I275" i="2"/>
  <c r="E275" i="2"/>
  <c r="H275" i="2" s="1"/>
  <c r="E274" i="2"/>
  <c r="I274" i="2" s="1"/>
  <c r="E273" i="2"/>
  <c r="H273" i="2" s="1"/>
  <c r="I272" i="2"/>
  <c r="H272" i="2"/>
  <c r="E272" i="2"/>
  <c r="H271" i="2"/>
  <c r="E271" i="2"/>
  <c r="I271" i="2" s="1"/>
  <c r="E270" i="2"/>
  <c r="I270" i="2" s="1"/>
  <c r="E269" i="2"/>
  <c r="H269" i="2" s="1"/>
  <c r="I268" i="2"/>
  <c r="H268" i="2"/>
  <c r="E268" i="2"/>
  <c r="I267" i="2"/>
  <c r="E267" i="2"/>
  <c r="H267" i="2" s="1"/>
  <c r="E266" i="2"/>
  <c r="I266" i="2" s="1"/>
  <c r="E265" i="2"/>
  <c r="H265" i="2" s="1"/>
  <c r="I264" i="2"/>
  <c r="H264" i="2"/>
  <c r="E264" i="2"/>
  <c r="H263" i="2"/>
  <c r="E263" i="2"/>
  <c r="I263" i="2" s="1"/>
  <c r="E262" i="2"/>
  <c r="I262" i="2" s="1"/>
  <c r="E261" i="2"/>
  <c r="H261" i="2" s="1"/>
  <c r="I260" i="2"/>
  <c r="H260" i="2"/>
  <c r="E260" i="2"/>
  <c r="I259" i="2"/>
  <c r="E259" i="2"/>
  <c r="H259" i="2" s="1"/>
  <c r="E258" i="2"/>
  <c r="I258" i="2" s="1"/>
  <c r="E257" i="2"/>
  <c r="H257" i="2" s="1"/>
  <c r="I256" i="2"/>
  <c r="H256" i="2"/>
  <c r="E256" i="2"/>
  <c r="H255" i="2"/>
  <c r="E255" i="2"/>
  <c r="I255" i="2" s="1"/>
  <c r="E254" i="2"/>
  <c r="I254" i="2" s="1"/>
  <c r="E253" i="2"/>
  <c r="H253" i="2" s="1"/>
  <c r="I252" i="2"/>
  <c r="H252" i="2"/>
  <c r="E252" i="2"/>
  <c r="I251" i="2"/>
  <c r="E251" i="2"/>
  <c r="H251" i="2" s="1"/>
  <c r="E250" i="2"/>
  <c r="I250" i="2" s="1"/>
  <c r="E249" i="2"/>
  <c r="H249" i="2" s="1"/>
  <c r="I248" i="2"/>
  <c r="H248" i="2"/>
  <c r="E248" i="2"/>
  <c r="H247" i="2"/>
  <c r="E247" i="2"/>
  <c r="I247" i="2" s="1"/>
  <c r="E246" i="2"/>
  <c r="I246" i="2" s="1"/>
  <c r="E245" i="2"/>
  <c r="H245" i="2" s="1"/>
  <c r="I244" i="2"/>
  <c r="H244" i="2"/>
  <c r="E244" i="2"/>
  <c r="I243" i="2"/>
  <c r="E243" i="2"/>
  <c r="H243" i="2" s="1"/>
  <c r="E242" i="2"/>
  <c r="I242" i="2" s="1"/>
  <c r="E241" i="2"/>
  <c r="H241" i="2" s="1"/>
  <c r="I240" i="2"/>
  <c r="H240" i="2"/>
  <c r="E240" i="2"/>
  <c r="H239" i="2"/>
  <c r="E239" i="2"/>
  <c r="I239" i="2" s="1"/>
  <c r="E238" i="2"/>
  <c r="I238" i="2" s="1"/>
  <c r="I237" i="2"/>
  <c r="H237" i="2"/>
  <c r="E236" i="2"/>
  <c r="H235" i="2"/>
  <c r="E235" i="2"/>
  <c r="I235" i="2" s="1"/>
  <c r="E234" i="2"/>
  <c r="I233" i="2"/>
  <c r="H233" i="2"/>
  <c r="E233" i="2"/>
  <c r="I232" i="2"/>
  <c r="H232" i="2"/>
  <c r="E232" i="2"/>
  <c r="E231" i="2"/>
  <c r="I230" i="2"/>
  <c r="E230" i="2"/>
  <c r="H230" i="2" s="1"/>
  <c r="I229" i="2"/>
  <c r="H229" i="2"/>
  <c r="E229" i="2"/>
  <c r="E228" i="2"/>
  <c r="H227" i="2"/>
  <c r="E227" i="2"/>
  <c r="I227" i="2" s="1"/>
  <c r="E226" i="2"/>
  <c r="I225" i="2"/>
  <c r="H225" i="2"/>
  <c r="E225" i="2"/>
  <c r="I224" i="2"/>
  <c r="H224" i="2"/>
  <c r="E224" i="2"/>
  <c r="E223" i="2"/>
  <c r="I222" i="2"/>
  <c r="E222" i="2"/>
  <c r="H222" i="2" s="1"/>
  <c r="I221" i="2"/>
  <c r="H221" i="2"/>
  <c r="E221" i="2"/>
  <c r="E220" i="2"/>
  <c r="H219" i="2"/>
  <c r="E219" i="2"/>
  <c r="I219" i="2" s="1"/>
  <c r="E218" i="2"/>
  <c r="I217" i="2"/>
  <c r="H217" i="2"/>
  <c r="E216" i="2"/>
  <c r="I215" i="2"/>
  <c r="E215" i="2"/>
  <c r="H215" i="2" s="1"/>
  <c r="I214" i="2"/>
  <c r="H214" i="2"/>
  <c r="E214" i="2"/>
  <c r="E213" i="2"/>
  <c r="H212" i="2"/>
  <c r="E212" i="2"/>
  <c r="I212" i="2" s="1"/>
  <c r="E211" i="2"/>
  <c r="I210" i="2"/>
  <c r="H210" i="2"/>
  <c r="E210" i="2"/>
  <c r="I209" i="2"/>
  <c r="H209" i="2"/>
  <c r="E209" i="2"/>
  <c r="E208" i="2"/>
  <c r="I207" i="2"/>
  <c r="E207" i="2"/>
  <c r="H207" i="2" s="1"/>
  <c r="I206" i="2"/>
  <c r="H206" i="2"/>
  <c r="E206" i="2"/>
  <c r="E205" i="2"/>
  <c r="H204" i="2"/>
  <c r="E204" i="2"/>
  <c r="I204" i="2" s="1"/>
  <c r="E203" i="2"/>
  <c r="I202" i="2"/>
  <c r="H202" i="2"/>
  <c r="E202" i="2"/>
  <c r="I201" i="2"/>
  <c r="H201" i="2"/>
  <c r="E201" i="2"/>
  <c r="E200" i="2"/>
  <c r="I199" i="2"/>
  <c r="E199" i="2"/>
  <c r="H199" i="2" s="1"/>
  <c r="I198" i="2"/>
  <c r="H198" i="2"/>
  <c r="E198" i="2"/>
  <c r="E197" i="2"/>
  <c r="H196" i="2"/>
  <c r="E196" i="2"/>
  <c r="I196" i="2" s="1"/>
  <c r="E195" i="2"/>
  <c r="I194" i="2"/>
  <c r="H194" i="2"/>
  <c r="E194" i="2"/>
  <c r="I193" i="2"/>
  <c r="H193" i="2"/>
  <c r="E193" i="2"/>
  <c r="E192" i="2"/>
  <c r="I191" i="2"/>
  <c r="E191" i="2"/>
  <c r="H191" i="2" s="1"/>
  <c r="I190" i="2"/>
  <c r="H190" i="2"/>
  <c r="E190" i="2"/>
  <c r="E189" i="2"/>
  <c r="H188" i="2"/>
  <c r="E188" i="2"/>
  <c r="I188" i="2" s="1"/>
  <c r="E187" i="2"/>
  <c r="I186" i="2"/>
  <c r="H186" i="2"/>
  <c r="E186" i="2"/>
  <c r="I185" i="2"/>
  <c r="H185" i="2"/>
  <c r="E185" i="2"/>
  <c r="E184" i="2"/>
  <c r="I183" i="2"/>
  <c r="E183" i="2"/>
  <c r="H183" i="2" s="1"/>
  <c r="I182" i="2"/>
  <c r="H182" i="2"/>
  <c r="E182" i="2"/>
  <c r="E181" i="2"/>
  <c r="H180" i="2"/>
  <c r="E180" i="2"/>
  <c r="I180" i="2" s="1"/>
  <c r="E179" i="2"/>
  <c r="I178" i="2"/>
  <c r="H178" i="2"/>
  <c r="E178" i="2"/>
  <c r="I177" i="2"/>
  <c r="H177" i="2"/>
  <c r="E177" i="2"/>
  <c r="E176" i="2"/>
  <c r="I176" i="2" s="1"/>
  <c r="E175" i="2"/>
  <c r="I174" i="2"/>
  <c r="H174" i="2"/>
  <c r="E174" i="2"/>
  <c r="I173" i="2"/>
  <c r="H173" i="2"/>
  <c r="E173" i="2"/>
  <c r="H172" i="2"/>
  <c r="E172" i="2"/>
  <c r="I172" i="2" s="1"/>
  <c r="E171" i="2"/>
  <c r="I170" i="2"/>
  <c r="H170" i="2"/>
  <c r="E170" i="2"/>
  <c r="I169" i="2"/>
  <c r="H169" i="2"/>
  <c r="E169" i="2"/>
  <c r="H168" i="2"/>
  <c r="E168" i="2"/>
  <c r="I168" i="2" s="1"/>
  <c r="E167" i="2"/>
  <c r="I166" i="2"/>
  <c r="H166" i="2"/>
  <c r="E166" i="2"/>
  <c r="I165" i="2"/>
  <c r="H165" i="2"/>
  <c r="E165" i="2"/>
  <c r="E164" i="2"/>
  <c r="I164" i="2" s="1"/>
  <c r="I163" i="2"/>
  <c r="E163" i="2"/>
  <c r="H163" i="2" s="1"/>
  <c r="I162" i="2"/>
  <c r="H162" i="2"/>
  <c r="E162" i="2"/>
  <c r="E161" i="2"/>
  <c r="I161" i="2" s="1"/>
  <c r="H160" i="2"/>
  <c r="E160" i="2"/>
  <c r="I160" i="2" s="1"/>
  <c r="E159" i="2"/>
  <c r="H159" i="2" s="1"/>
  <c r="I158" i="2"/>
  <c r="H158" i="2"/>
  <c r="E157" i="2"/>
  <c r="I157" i="2" s="1"/>
  <c r="I156" i="2"/>
  <c r="E156" i="2"/>
  <c r="H156" i="2" s="1"/>
  <c r="I155" i="2"/>
  <c r="H155" i="2"/>
  <c r="E155" i="2"/>
  <c r="E154" i="2"/>
  <c r="I154" i="2" s="1"/>
  <c r="H153" i="2"/>
  <c r="E153" i="2"/>
  <c r="I153" i="2" s="1"/>
  <c r="E152" i="2"/>
  <c r="H152" i="2" s="1"/>
  <c r="I151" i="2"/>
  <c r="H151" i="2"/>
  <c r="E151" i="2"/>
  <c r="I150" i="2"/>
  <c r="H150" i="2"/>
  <c r="E150" i="2"/>
  <c r="E149" i="2"/>
  <c r="I149" i="2" s="1"/>
  <c r="I148" i="2"/>
  <c r="E148" i="2"/>
  <c r="H148" i="2" s="1"/>
  <c r="I147" i="2"/>
  <c r="H147" i="2"/>
  <c r="E147" i="2"/>
  <c r="E146" i="2"/>
  <c r="I146" i="2" s="1"/>
  <c r="H145" i="2"/>
  <c r="E145" i="2"/>
  <c r="I145" i="2" s="1"/>
  <c r="E144" i="2"/>
  <c r="H144" i="2" s="1"/>
  <c r="I143" i="2"/>
  <c r="H143" i="2"/>
  <c r="E143" i="2"/>
  <c r="I142" i="2"/>
  <c r="H142" i="2"/>
  <c r="E142" i="2"/>
  <c r="E141" i="2"/>
  <c r="I141" i="2" s="1"/>
  <c r="I140" i="2"/>
  <c r="E140" i="2"/>
  <c r="H140" i="2" s="1"/>
  <c r="I139" i="2"/>
  <c r="H139" i="2"/>
  <c r="E139" i="2"/>
  <c r="E138" i="2"/>
  <c r="I138" i="2" s="1"/>
  <c r="H137" i="2"/>
  <c r="E137" i="2"/>
  <c r="I137" i="2" s="1"/>
  <c r="E136" i="2"/>
  <c r="H136" i="2" s="1"/>
  <c r="I135" i="2"/>
  <c r="H135" i="2"/>
  <c r="E135" i="2"/>
  <c r="I134" i="2"/>
  <c r="H134" i="2"/>
  <c r="E134" i="2"/>
  <c r="E133" i="2"/>
  <c r="I133" i="2" s="1"/>
  <c r="I132" i="2"/>
  <c r="E132" i="2"/>
  <c r="H132" i="2" s="1"/>
  <c r="I131" i="2"/>
  <c r="H131" i="2"/>
  <c r="E131" i="2"/>
  <c r="E130" i="2"/>
  <c r="I130" i="2" s="1"/>
  <c r="H129" i="2"/>
  <c r="E129" i="2"/>
  <c r="I129" i="2" s="1"/>
  <c r="E128" i="2"/>
  <c r="H128" i="2" s="1"/>
  <c r="I127" i="2"/>
  <c r="H127" i="2"/>
  <c r="E127" i="2"/>
  <c r="I126" i="2"/>
  <c r="H126" i="2"/>
  <c r="E126" i="2"/>
  <c r="E125" i="2"/>
  <c r="I125" i="2" s="1"/>
  <c r="I124" i="2"/>
  <c r="E124" i="2"/>
  <c r="H124" i="2" s="1"/>
  <c r="I123" i="2"/>
  <c r="H123" i="2"/>
  <c r="E123" i="2"/>
  <c r="E122" i="2"/>
  <c r="I122" i="2" s="1"/>
  <c r="H121" i="2"/>
  <c r="E121" i="2"/>
  <c r="I121" i="2" s="1"/>
  <c r="E120" i="2"/>
  <c r="H120" i="2" s="1"/>
  <c r="I119" i="2"/>
  <c r="H119" i="2"/>
  <c r="E119" i="2"/>
  <c r="I118" i="2"/>
  <c r="H118" i="2"/>
  <c r="E118" i="2"/>
  <c r="E117" i="2"/>
  <c r="I117" i="2" s="1"/>
  <c r="I116" i="2"/>
  <c r="E116" i="2"/>
  <c r="H116" i="2" s="1"/>
  <c r="I115" i="2"/>
  <c r="H115" i="2"/>
  <c r="E115" i="2"/>
  <c r="E114" i="2"/>
  <c r="I114" i="2" s="1"/>
  <c r="H113" i="2"/>
  <c r="E113" i="2"/>
  <c r="I113" i="2" s="1"/>
  <c r="E112" i="2"/>
  <c r="H112" i="2" s="1"/>
  <c r="I111" i="2"/>
  <c r="H111" i="2"/>
  <c r="E111" i="2"/>
  <c r="I110" i="2"/>
  <c r="H110" i="2"/>
  <c r="E110" i="2"/>
  <c r="E109" i="2"/>
  <c r="I109" i="2" s="1"/>
  <c r="I108" i="2"/>
  <c r="E108" i="2"/>
  <c r="H108" i="2" s="1"/>
  <c r="I107" i="2"/>
  <c r="H107" i="2"/>
  <c r="E107" i="2"/>
  <c r="E106" i="2"/>
  <c r="I106" i="2" s="1"/>
  <c r="H105" i="2"/>
  <c r="E105" i="2"/>
  <c r="I105" i="2" s="1"/>
  <c r="E104" i="2"/>
  <c r="H104" i="2" s="1"/>
  <c r="I103" i="2"/>
  <c r="H103" i="2"/>
  <c r="E103" i="2"/>
  <c r="I102" i="2"/>
  <c r="H102" i="2"/>
  <c r="E102" i="2"/>
  <c r="E101" i="2"/>
  <c r="I101" i="2" s="1"/>
  <c r="I100" i="2"/>
  <c r="E100" i="2"/>
  <c r="H100" i="2" s="1"/>
  <c r="I99" i="2"/>
  <c r="H99" i="2"/>
  <c r="E99" i="2"/>
  <c r="E98" i="2"/>
  <c r="I98" i="2" s="1"/>
  <c r="H97" i="2"/>
  <c r="E97" i="2"/>
  <c r="I97" i="2" s="1"/>
  <c r="E96" i="2"/>
  <c r="H96" i="2" s="1"/>
  <c r="I95" i="2"/>
  <c r="H95" i="2"/>
  <c r="E95" i="2"/>
  <c r="I94" i="2"/>
  <c r="H94" i="2"/>
  <c r="E94" i="2"/>
  <c r="E93" i="2"/>
  <c r="I93" i="2" s="1"/>
  <c r="I92" i="2"/>
  <c r="E92" i="2"/>
  <c r="H92" i="2" s="1"/>
  <c r="I91" i="2"/>
  <c r="H91" i="2"/>
  <c r="E91" i="2"/>
  <c r="E90" i="2"/>
  <c r="I90" i="2" s="1"/>
  <c r="H89" i="2"/>
  <c r="E89" i="2"/>
  <c r="I89" i="2" s="1"/>
  <c r="E88" i="2"/>
  <c r="H88" i="2" s="1"/>
  <c r="I87" i="2"/>
  <c r="H87" i="2"/>
  <c r="E87" i="2"/>
  <c r="I86" i="2"/>
  <c r="H86" i="2"/>
  <c r="E86" i="2"/>
  <c r="E85" i="2"/>
  <c r="I85" i="2" s="1"/>
  <c r="I84" i="2"/>
  <c r="E84" i="2"/>
  <c r="H84" i="2" s="1"/>
  <c r="I83" i="2"/>
  <c r="H83" i="2"/>
  <c r="E83" i="2"/>
  <c r="E82" i="2"/>
  <c r="I82" i="2" s="1"/>
  <c r="H81" i="2"/>
  <c r="E81" i="2"/>
  <c r="I81" i="2" s="1"/>
  <c r="E80" i="2"/>
  <c r="H80" i="2" s="1"/>
  <c r="I79" i="2"/>
  <c r="H79" i="2"/>
  <c r="E79" i="2"/>
  <c r="I78" i="2"/>
  <c r="H78" i="2"/>
  <c r="E78" i="2"/>
  <c r="E77" i="2"/>
  <c r="I77" i="2" s="1"/>
  <c r="I76" i="2"/>
  <c r="E76" i="2"/>
  <c r="H76" i="2" s="1"/>
  <c r="E75" i="2"/>
  <c r="I75" i="2" s="1"/>
  <c r="E74" i="2"/>
  <c r="I74" i="2" s="1"/>
  <c r="I73" i="2"/>
  <c r="H73" i="2"/>
  <c r="E73" i="2"/>
  <c r="I72" i="2"/>
  <c r="H72" i="2"/>
  <c r="E72" i="2"/>
  <c r="E71" i="2"/>
  <c r="I71" i="2" s="1"/>
  <c r="E70" i="2"/>
  <c r="I70" i="2" s="1"/>
  <c r="I69" i="2"/>
  <c r="H69" i="2"/>
  <c r="E69" i="2"/>
  <c r="H68" i="2"/>
  <c r="E68" i="2"/>
  <c r="I68" i="2" s="1"/>
  <c r="E67" i="2"/>
  <c r="I67" i="2" s="1"/>
  <c r="I66" i="2"/>
  <c r="E66" i="2"/>
  <c r="H66" i="2" s="1"/>
  <c r="I65" i="2"/>
  <c r="H65" i="2"/>
  <c r="E65" i="2"/>
  <c r="H64" i="2"/>
  <c r="E64" i="2"/>
  <c r="I64" i="2" s="1"/>
  <c r="E63" i="2"/>
  <c r="I63" i="2" s="1"/>
  <c r="I62" i="2"/>
  <c r="E62" i="2"/>
  <c r="H62" i="2" s="1"/>
  <c r="I61" i="2"/>
  <c r="H61" i="2"/>
  <c r="E61" i="2"/>
  <c r="H60" i="2"/>
  <c r="E60" i="2"/>
  <c r="I60" i="2" s="1"/>
  <c r="E59" i="2"/>
  <c r="I59" i="2" s="1"/>
  <c r="I58" i="2"/>
  <c r="E58" i="2"/>
  <c r="H58" i="2" s="1"/>
  <c r="I57" i="2"/>
  <c r="H57" i="2"/>
  <c r="E57" i="2"/>
  <c r="H56" i="2"/>
  <c r="E56" i="2"/>
  <c r="I56" i="2" s="1"/>
  <c r="E55" i="2"/>
  <c r="I55" i="2" s="1"/>
  <c r="I54" i="2"/>
  <c r="E54" i="2"/>
  <c r="H54" i="2" s="1"/>
  <c r="I53" i="2"/>
  <c r="H53" i="2"/>
  <c r="E53" i="2"/>
  <c r="H52" i="2"/>
  <c r="E52" i="2"/>
  <c r="I52" i="2" s="1"/>
  <c r="E51" i="2"/>
  <c r="I51" i="2" s="1"/>
  <c r="I50" i="2"/>
  <c r="E50" i="2"/>
  <c r="H50" i="2" s="1"/>
  <c r="I49" i="2"/>
  <c r="H49" i="2"/>
  <c r="E49" i="2"/>
  <c r="H48" i="2"/>
  <c r="E48" i="2"/>
  <c r="I48" i="2" s="1"/>
  <c r="E47" i="2"/>
  <c r="I47" i="2" s="1"/>
  <c r="I46" i="2"/>
  <c r="E46" i="2"/>
  <c r="H46" i="2" s="1"/>
  <c r="I45" i="2"/>
  <c r="H45" i="2"/>
  <c r="E45" i="2"/>
  <c r="H44" i="2"/>
  <c r="E44" i="2"/>
  <c r="I44" i="2" s="1"/>
  <c r="E43" i="2"/>
  <c r="I43" i="2" s="1"/>
  <c r="I42" i="2"/>
  <c r="E42" i="2"/>
  <c r="H42" i="2" s="1"/>
  <c r="I41" i="2"/>
  <c r="H41" i="2"/>
  <c r="E41" i="2"/>
  <c r="H40" i="2"/>
  <c r="E40" i="2"/>
  <c r="I40" i="2" s="1"/>
  <c r="E39" i="2"/>
  <c r="I39" i="2" s="1"/>
  <c r="I38" i="2"/>
  <c r="E38" i="2"/>
  <c r="H38" i="2" s="1"/>
  <c r="I37" i="2"/>
  <c r="H37" i="2"/>
  <c r="E37" i="2"/>
  <c r="H36" i="2"/>
  <c r="E36" i="2"/>
  <c r="I36" i="2" s="1"/>
  <c r="E35" i="2"/>
  <c r="I35" i="2" s="1"/>
  <c r="I34" i="2"/>
  <c r="E34" i="2"/>
  <c r="H34" i="2" s="1"/>
  <c r="I33" i="2"/>
  <c r="H33" i="2"/>
  <c r="E33" i="2"/>
  <c r="H32" i="2"/>
  <c r="E32" i="2"/>
  <c r="I32" i="2" s="1"/>
  <c r="E31" i="2"/>
  <c r="I31" i="2" s="1"/>
  <c r="I30" i="2"/>
  <c r="E30" i="2"/>
  <c r="H30" i="2" s="1"/>
  <c r="I29" i="2"/>
  <c r="H29" i="2"/>
  <c r="E29" i="2"/>
  <c r="H28" i="2"/>
  <c r="E28" i="2"/>
  <c r="I28" i="2" s="1"/>
  <c r="E27" i="2"/>
  <c r="I27" i="2" s="1"/>
  <c r="I26" i="2"/>
  <c r="E26" i="2"/>
  <c r="H26" i="2" s="1"/>
  <c r="I25" i="2"/>
  <c r="H25" i="2"/>
  <c r="E25" i="2"/>
  <c r="H24" i="2"/>
  <c r="E24" i="2"/>
  <c r="I24" i="2" s="1"/>
  <c r="E23" i="2"/>
  <c r="I23" i="2" s="1"/>
  <c r="I22" i="2"/>
  <c r="E22" i="2"/>
  <c r="H22" i="2" s="1"/>
  <c r="I21" i="2"/>
  <c r="H21" i="2"/>
  <c r="E21" i="2"/>
  <c r="H20" i="2"/>
  <c r="E20" i="2"/>
  <c r="I20" i="2" s="1"/>
  <c r="E19" i="2"/>
  <c r="I19" i="2" s="1"/>
  <c r="I18" i="2"/>
  <c r="E18" i="2"/>
  <c r="H18" i="2" s="1"/>
  <c r="I17" i="2"/>
  <c r="H17" i="2"/>
  <c r="E17" i="2"/>
  <c r="H16" i="2"/>
  <c r="E16" i="2"/>
  <c r="I16" i="2" s="1"/>
  <c r="E15" i="2"/>
  <c r="I15" i="2" s="1"/>
  <c r="I14" i="2"/>
  <c r="E14" i="2"/>
  <c r="H14" i="2" s="1"/>
  <c r="I13" i="2"/>
  <c r="H13" i="2"/>
  <c r="E13" i="2"/>
  <c r="H12" i="2"/>
  <c r="E12" i="2"/>
  <c r="I12" i="2" s="1"/>
  <c r="E11" i="2"/>
  <c r="I11" i="2" s="1"/>
  <c r="I10" i="2"/>
  <c r="E10" i="2"/>
  <c r="H10" i="2" s="1"/>
  <c r="I9" i="2"/>
  <c r="H9" i="2"/>
  <c r="E9" i="2"/>
  <c r="H8" i="2"/>
  <c r="E8" i="2"/>
  <c r="I8" i="2" s="1"/>
  <c r="E7" i="2"/>
  <c r="I7" i="2" s="1"/>
  <c r="I6" i="2"/>
  <c r="E6" i="2"/>
  <c r="H6" i="2" s="1"/>
  <c r="I5" i="2"/>
  <c r="H5" i="2"/>
  <c r="E5" i="2"/>
  <c r="E4" i="2"/>
  <c r="I4" i="2" s="1"/>
  <c r="E3" i="2"/>
  <c r="I3" i="2" s="1"/>
  <c r="H179" i="2" l="1"/>
  <c r="I179" i="2"/>
  <c r="H195" i="2"/>
  <c r="I195" i="2"/>
  <c r="H211" i="2"/>
  <c r="I211" i="2"/>
  <c r="H218" i="2"/>
  <c r="I218" i="2"/>
  <c r="H3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I167" i="2"/>
  <c r="H167" i="2"/>
  <c r="H176" i="2"/>
  <c r="I184" i="2"/>
  <c r="H184" i="2"/>
  <c r="I192" i="2"/>
  <c r="H192" i="2"/>
  <c r="I200" i="2"/>
  <c r="H200" i="2"/>
  <c r="I208" i="2"/>
  <c r="H208" i="2"/>
  <c r="I216" i="2"/>
  <c r="H216" i="2"/>
  <c r="I223" i="2"/>
  <c r="H223" i="2"/>
  <c r="I231" i="2"/>
  <c r="H231" i="2"/>
  <c r="I245" i="2"/>
  <c r="I253" i="2"/>
  <c r="I261" i="2"/>
  <c r="I269" i="2"/>
  <c r="I277" i="2"/>
  <c r="I285" i="2"/>
  <c r="I293" i="2"/>
  <c r="H70" i="2"/>
  <c r="H74" i="2"/>
  <c r="H77" i="2"/>
  <c r="I80" i="2"/>
  <c r="H82" i="2"/>
  <c r="H85" i="2"/>
  <c r="I88" i="2"/>
  <c r="H90" i="2"/>
  <c r="H93" i="2"/>
  <c r="I96" i="2"/>
  <c r="H98" i="2"/>
  <c r="H101" i="2"/>
  <c r="I104" i="2"/>
  <c r="H106" i="2"/>
  <c r="H109" i="2"/>
  <c r="I112" i="2"/>
  <c r="H114" i="2"/>
  <c r="H117" i="2"/>
  <c r="I120" i="2"/>
  <c r="H122" i="2"/>
  <c r="H125" i="2"/>
  <c r="I128" i="2"/>
  <c r="H130" i="2"/>
  <c r="H133" i="2"/>
  <c r="I136" i="2"/>
  <c r="H138" i="2"/>
  <c r="H141" i="2"/>
  <c r="I144" i="2"/>
  <c r="H146" i="2"/>
  <c r="H149" i="2"/>
  <c r="I152" i="2"/>
  <c r="H154" i="2"/>
  <c r="H157" i="2"/>
  <c r="I159" i="2"/>
  <c r="H161" i="2"/>
  <c r="H164" i="2"/>
  <c r="I171" i="2"/>
  <c r="H171" i="2"/>
  <c r="H242" i="2"/>
  <c r="H250" i="2"/>
  <c r="H258" i="2"/>
  <c r="H266" i="2"/>
  <c r="H274" i="2"/>
  <c r="H282" i="2"/>
  <c r="H290" i="2"/>
  <c r="H187" i="2"/>
  <c r="I187" i="2"/>
  <c r="H203" i="2"/>
  <c r="I203" i="2"/>
  <c r="H226" i="2"/>
  <c r="I226" i="2"/>
  <c r="H234" i="2"/>
  <c r="I234" i="2"/>
  <c r="I175" i="2"/>
  <c r="H175" i="2"/>
  <c r="I181" i="2"/>
  <c r="H181" i="2"/>
  <c r="I189" i="2"/>
  <c r="H189" i="2"/>
  <c r="I197" i="2"/>
  <c r="H197" i="2"/>
  <c r="I205" i="2"/>
  <c r="H205" i="2"/>
  <c r="I213" i="2"/>
  <c r="H213" i="2"/>
  <c r="I220" i="2"/>
  <c r="H220" i="2"/>
  <c r="I228" i="2"/>
  <c r="H228" i="2"/>
  <c r="I236" i="2"/>
  <c r="H236" i="2"/>
  <c r="I294" i="2"/>
  <c r="H294" i="2"/>
  <c r="I298" i="2"/>
  <c r="H298" i="2"/>
  <c r="I302" i="2"/>
  <c r="H302" i="2"/>
  <c r="I306" i="2"/>
  <c r="H306" i="2"/>
  <c r="I310" i="2"/>
  <c r="H310" i="2"/>
  <c r="I314" i="2"/>
  <c r="H314" i="2"/>
  <c r="I318" i="2"/>
  <c r="H318" i="2"/>
  <c r="I322" i="2"/>
  <c r="H322" i="2"/>
  <c r="I326" i="2"/>
  <c r="H326" i="2"/>
  <c r="H238" i="2"/>
  <c r="I241" i="2"/>
  <c r="H246" i="2"/>
  <c r="I249" i="2"/>
  <c r="H254" i="2"/>
  <c r="I257" i="2"/>
  <c r="H262" i="2"/>
  <c r="I265" i="2"/>
  <c r="H270" i="2"/>
  <c r="I273" i="2"/>
  <c r="H278" i="2"/>
  <c r="I281" i="2"/>
  <c r="H286" i="2"/>
  <c r="I289" i="2"/>
  <c r="I334" i="2"/>
  <c r="I338" i="2"/>
  <c r="H332" i="2"/>
  <c r="H336" i="2"/>
  <c r="H340" i="2"/>
  <c r="H344" i="2"/>
  <c r="F350" i="3"/>
</calcChain>
</file>

<file path=xl/sharedStrings.xml><?xml version="1.0" encoding="utf-8"?>
<sst xmlns="http://schemas.openxmlformats.org/spreadsheetml/2006/main" count="8092" uniqueCount="549">
  <si>
    <t>BOLIVIA: VIVIENDAS PARTICULARES OCUPADAS CON PERSONAS PRESENTES POR DISPONIBILIDAD Y USO DEL BAÑO O SERVICIO SANITARIO,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</si>
  <si>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</si>
  <si>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</si>
  <si>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</si>
  <si>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</si>
  <si>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</si>
  <si>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</si>
  <si>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</si>
  <si>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Total</t>
  </si>
  <si>
    <t>Total con baño</t>
  </si>
  <si>
    <t>Tiene de uso privado</t>
  </si>
  <si>
    <t>Tiene de uso compartido</t>
  </si>
  <si>
    <t>No tiene baño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</si>
  <si>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</si>
  <si>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</si>
  <si>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</si>
  <si>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</si>
  <si>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</si>
  <si>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</si>
  <si>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</si>
  <si>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</si>
  <si>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</si>
  <si>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</si>
  <si>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</si>
  <si>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</si>
  <si>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</si>
  <si>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</si>
  <si>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</si>
  <si>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</si>
  <si>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</si>
  <si>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</si>
  <si>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</si>
  <si>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</si>
  <si>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</si>
  <si>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</si>
  <si>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</si>
  <si>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</si>
  <si>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</si>
  <si>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</si>
  <si>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</si>
  <si>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</si>
  <si>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</si>
  <si>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</si>
  <si>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</si>
  <si>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</si>
  <si>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</si>
  <si>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</si>
  <si>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</si>
  <si>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</si>
  <si>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</si>
  <si>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</si>
  <si>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</si>
  <si>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</si>
  <si>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</si>
  <si>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</si>
  <si>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</si>
  <si>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</si>
  <si>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</si>
  <si>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</si>
  <si>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</si>
  <si>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</si>
  <si>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</si>
  <si>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</si>
  <si>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</si>
  <si>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</si>
  <si>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</si>
  <si>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</si>
  <si>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</si>
  <si>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</si>
  <si>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</si>
  <si>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</si>
  <si>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</si>
  <si>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</si>
  <si>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</si>
  <si>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</si>
  <si>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</si>
  <si>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</si>
  <si>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</si>
  <si>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</si>
  <si>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</si>
  <si>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</si>
  <si>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</si>
  <si>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</si>
  <si>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</si>
  <si>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</si>
  <si>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</si>
  <si>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</si>
  <si>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</si>
  <si>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</si>
  <si>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</si>
  <si>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</si>
  <si>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</si>
  <si>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</si>
  <si>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</si>
  <si>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</si>
  <si>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</si>
  <si>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</si>
  <si>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</si>
  <si>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</si>
  <si>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</si>
  <si>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</si>
  <si>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</si>
  <si>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</si>
  <si>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</si>
  <si>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</si>
  <si>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</si>
  <si>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</si>
  <si>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</si>
  <si>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</si>
  <si>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</si>
  <si>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</si>
  <si>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</si>
  <si>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</si>
  <si>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</si>
  <si>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</si>
  <si>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</si>
  <si>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</si>
  <si>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</si>
  <si>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</si>
  <si>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</si>
  <si>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</si>
  <si>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</si>
  <si>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</si>
  <si>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</si>
  <si>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</si>
  <si>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</si>
  <si>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</si>
  <si>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</si>
  <si>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</si>
  <si>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</si>
  <si>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</si>
  <si>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</si>
  <si>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</si>
  <si>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</si>
  <si>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</si>
  <si>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</si>
  <si>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</si>
  <si>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</si>
  <si>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</si>
  <si>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</si>
  <si>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</si>
  <si>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</si>
  <si>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</si>
  <si>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</si>
  <si>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</si>
  <si>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</si>
  <si>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</si>
  <si>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</si>
  <si>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</si>
  <si>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</si>
  <si>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</si>
  <si>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</si>
  <si>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</si>
  <si>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</si>
  <si>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</si>
  <si>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</si>
  <si>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</si>
  <si>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</si>
  <si>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</si>
  <si>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</si>
  <si>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</si>
  <si>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</si>
  <si>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</si>
  <si>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</si>
  <si>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</si>
  <si>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</si>
  <si>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</si>
  <si>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</si>
  <si>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</si>
  <si>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</si>
  <si>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</si>
  <si>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</si>
  <si>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</si>
  <si>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</si>
  <si>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</si>
  <si>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</si>
  <si>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</si>
  <si>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</si>
  <si>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</si>
  <si>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</si>
  <si>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</si>
  <si>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</si>
  <si>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</si>
  <si>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</si>
  <si>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</si>
  <si>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</si>
  <si>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</si>
  <si>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</si>
  <si>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</si>
  <si>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</si>
  <si>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</si>
  <si>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</si>
  <si>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</si>
  <si>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</si>
  <si>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</si>
  <si>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</si>
  <si>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</si>
  <si>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</si>
  <si>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</si>
  <si>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</si>
  <si>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</si>
  <si>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</si>
  <si>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</si>
  <si>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</si>
  <si>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</si>
  <si>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</si>
  <si>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</si>
  <si>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</si>
  <si>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</si>
  <si>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</si>
  <si>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</si>
  <si>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</si>
  <si>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</si>
  <si>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</si>
  <si>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</si>
  <si>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</si>
  <si>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</si>
  <si>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</si>
  <si>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</si>
  <si>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</si>
  <si>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</si>
  <si>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</si>
  <si>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</si>
  <si>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</si>
  <si>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</si>
  <si>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</si>
  <si>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</si>
  <si>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</si>
  <si>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</si>
  <si>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</si>
  <si>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</si>
  <si>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</si>
  <si>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</si>
  <si>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</si>
  <si>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</si>
  <si>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</si>
  <si>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</si>
  <si>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</si>
  <si>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</si>
  <si>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</si>
  <si>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</si>
  <si>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</si>
  <si>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</si>
  <si>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</si>
  <si>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</si>
  <si>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</si>
  <si>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</si>
  <si>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</si>
  <si>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</si>
  <si>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</si>
  <si>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</si>
  <si>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</si>
  <si>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</si>
  <si>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</si>
  <si>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</si>
  <si>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</si>
  <si>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</si>
  <si>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</si>
  <si>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</si>
  <si>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</si>
  <si>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</si>
  <si>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</si>
  <si>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</si>
  <si>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</si>
  <si>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</si>
  <si>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</si>
  <si>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</si>
  <si>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</si>
  <si>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</si>
  <si>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</si>
  <si>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</si>
  <si>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</si>
  <si>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</si>
  <si>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</si>
  <si>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</si>
  <si>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</si>
  <si>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</si>
  <si>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</si>
  <si>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</si>
  <si>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</si>
  <si>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</si>
  <si>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</si>
  <si>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</si>
  <si>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</si>
  <si>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</si>
  <si>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</si>
  <si>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</si>
  <si>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</si>
  <si>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</si>
  <si>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</si>
  <si>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</si>
  <si>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</si>
  <si>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</si>
  <si>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</si>
  <si>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</si>
  <si>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</si>
  <si>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</si>
  <si>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</si>
  <si>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</si>
  <si>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</si>
  <si>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</si>
  <si>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</si>
  <si>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</si>
  <si>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</si>
  <si>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</si>
  <si>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</si>
  <si>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</si>
  <si>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</si>
  <si>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</si>
  <si>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</si>
  <si>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</si>
  <si>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</si>
  <si>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</si>
  <si>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</si>
  <si>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</si>
  <si>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</si>
  <si>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</si>
  <si>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</si>
  <si>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</si>
  <si>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</si>
  <si>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</si>
  <si>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</si>
  <si>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</si>
  <si>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</si>
  <si>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</si>
  <si>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</si>
  <si>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</si>
  <si>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</si>
  <si>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</si>
  <si>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</si>
  <si>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</si>
  <si>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</si>
  <si>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</si>
  <si>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</si>
  <si>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</si>
  <si>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</si>
  <si>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</si>
  <si>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</si>
  <si>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</si>
  <si>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</si>
  <si>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</si>
  <si>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</si>
  <si>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</si>
  <si>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</si>
  <si>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</si>
  <si>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</si>
  <si>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</si>
  <si>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</si>
  <si>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</si>
  <si>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</si>
  <si>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</si>
  <si>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</si>
  <si>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</si>
  <si>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</si>
  <si>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</si>
  <si>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</si>
  <si>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</si>
  <si>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</si>
  <si>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</si>
  <si>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</si>
  <si>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</si>
  <si>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</si>
  <si>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</si>
  <si>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</si>
  <si>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</si>
  <si>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</si>
  <si>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</si>
  <si>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</si>
  <si>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</si>
  <si>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</si>
  <si>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</si>
  <si>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</si>
  <si>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</si>
  <si>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</si>
  <si>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</si>
  <si>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</si>
  <si>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</si>
  <si>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</si>
  <si>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</si>
  <si>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</si>
  <si>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</si>
  <si>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</si>
  <si>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</si>
  <si>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</si>
  <si>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</si>
  <si>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</si>
  <si>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</si>
  <si>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</si>
  <si>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</si>
  <si>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</si>
  <si>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</si>
  <si>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</si>
  <si>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</si>
  <si>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</si>
  <si>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</si>
  <si>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</si>
  <si>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</si>
  <si>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</si>
  <si>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</si>
  <si>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</si>
  <si>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</si>
  <si>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</si>
  <si>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</si>
  <si>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</si>
  <si>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</si>
  <si>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</si>
  <si>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</si>
  <si>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</si>
  <si>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</si>
  <si>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</si>
  <si>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</si>
  <si>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</si>
  <si>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</si>
  <si>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</si>
  <si>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</si>
  <si>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</si>
  <si>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</si>
  <si>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</si>
  <si>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</si>
  <si>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</si>
  <si>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</si>
  <si>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</si>
  <si>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</si>
  <si>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</si>
  <si>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</si>
  <si>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</si>
  <si>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</si>
  <si>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</si>
  <si>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</si>
  <si>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</si>
  <si>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</si>
  <si>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</si>
  <si>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</si>
  <si>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</si>
  <si>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</si>
  <si>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</si>
  <si>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</si>
  <si>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</si>
  <si>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</si>
  <si>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</si>
  <si>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</si>
  <si>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</si>
  <si>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</si>
  <si>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</si>
  <si>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</si>
  <si>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</si>
  <si>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</si>
  <si>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</si>
  <si>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ATLAS 2020</t>
  </si>
  <si>
    <t>Censo 2012</t>
  </si>
  <si>
    <t>Censo 2024 (año 2012)</t>
  </si>
  <si>
    <t>Municipio</t>
  </si>
  <si>
    <t>NO</t>
  </si>
  <si>
    <t>Si</t>
  </si>
  <si>
    <t>Porcentaje de hogares que no tienen servicio santitario, baño o letrina</t>
  </si>
  <si>
    <t>Porcentaje de hogares que SI tienen servicio santitario, baño o letrina</t>
  </si>
  <si>
    <t>Disponibilidad de Baño</t>
  </si>
  <si>
    <t>Diferencia %</t>
  </si>
  <si>
    <t>Diferencia</t>
  </si>
  <si>
    <t>Zudañez</t>
  </si>
  <si>
    <t>Villa Alcalá</t>
  </si>
  <si>
    <t>Muyupampa</t>
  </si>
  <si>
    <t>Huacaya</t>
  </si>
  <si>
    <t>Ancoraimes</t>
  </si>
  <si>
    <t>Coro Coro</t>
  </si>
  <si>
    <t>Waldo Ballivian</t>
  </si>
  <si>
    <t>Callapa</t>
  </si>
  <si>
    <t>Pto. Carabuco</t>
  </si>
  <si>
    <t>Guaqui</t>
  </si>
  <si>
    <t>San Andrés de Machaca</t>
  </si>
  <si>
    <t>Jesús de Machaca</t>
  </si>
  <si>
    <t>Sica Sica</t>
  </si>
  <si>
    <t>San Pedro Cuarahuara</t>
  </si>
  <si>
    <t>Independencia</t>
  </si>
  <si>
    <t>Santivañez</t>
  </si>
  <si>
    <t>Toko</t>
  </si>
  <si>
    <t>Sipe Sipe</t>
  </si>
  <si>
    <t>Entre Rios</t>
  </si>
  <si>
    <t>Cuchumuela</t>
  </si>
  <si>
    <t>Soracachi</t>
  </si>
  <si>
    <t>Quillacas</t>
  </si>
  <si>
    <t>Choque Cota</t>
  </si>
  <si>
    <t>Yunguyo de Litoral</t>
  </si>
  <si>
    <t>Salinas de García Mendoza</t>
  </si>
  <si>
    <t>Chipaya</t>
  </si>
  <si>
    <t>Santiago de Andamarca</t>
  </si>
  <si>
    <t>Huari</t>
  </si>
  <si>
    <t>Huayllamarca</t>
  </si>
  <si>
    <t>Chuquihuta</t>
  </si>
  <si>
    <t>S.P. De Buena Vista</t>
  </si>
  <si>
    <t>Villa de Sacaca</t>
  </si>
  <si>
    <t>Colcha K</t>
  </si>
  <si>
    <t>San Pablo de Lipez</t>
  </si>
  <si>
    <t>Caiza D</t>
  </si>
  <si>
    <t>Villamontes</t>
  </si>
  <si>
    <t>Villa San Lorenzo</t>
  </si>
  <si>
    <t>San Ignacio de Velasco</t>
  </si>
  <si>
    <t>San Miguel de Velasco</t>
  </si>
  <si>
    <t>San Juan de Yapacani</t>
  </si>
  <si>
    <t>San Joséde Chiquitos</t>
  </si>
  <si>
    <t>Santa Rosa del Sara</t>
  </si>
  <si>
    <t>Colpa Belgica</t>
  </si>
  <si>
    <t>Charagua</t>
  </si>
  <si>
    <t>Gutiérrez</t>
  </si>
  <si>
    <t>Moro Moro</t>
  </si>
  <si>
    <t>Postrer Valle</t>
  </si>
  <si>
    <t>Pucara</t>
  </si>
  <si>
    <t>Pampa Grande</t>
  </si>
  <si>
    <t>Gral. Saavedra</t>
  </si>
  <si>
    <t>San Antonio de Lomerío</t>
  </si>
  <si>
    <t>Puerto Suarez</t>
  </si>
  <si>
    <t>Carmen Rivero Torrez</t>
  </si>
  <si>
    <t>Ascensión de Guarayos</t>
  </si>
  <si>
    <t>Rurrenabaque</t>
  </si>
  <si>
    <t>Santa Ana de Yacuma</t>
  </si>
  <si>
    <t>Puerto Gonzales Moreno</t>
  </si>
  <si>
    <t>EL Sena</t>
  </si>
  <si>
    <t>Villa Nueva - Loma Alta</t>
  </si>
  <si>
    <t>Promedio</t>
  </si>
  <si>
    <t>Desv. Est.</t>
  </si>
  <si>
    <t>Min</t>
  </si>
  <si>
    <t>Max</t>
  </si>
  <si>
    <t>Obs</t>
  </si>
  <si>
    <t>Id</t>
  </si>
  <si>
    <t>DUM_SANITARIO</t>
  </si>
  <si>
    <t>Count</t>
  </si>
  <si>
    <t>Hogares que no tienen servicio sanitario, 2012</t>
  </si>
  <si>
    <t>Hogares con servicio sanitario, 2012</t>
  </si>
  <si>
    <t>Porcentaje de hogares que no tienen servicio santitario, baño o letrina, 2012</t>
  </si>
  <si>
    <t>Hogares que no tienen servicio sanitario, 2024</t>
  </si>
  <si>
    <t>Hogares con servicio sanitario, 2024</t>
  </si>
  <si>
    <t>Porcentaje de hogares que no tienen servicio santitario, baño o letrina, 2024</t>
  </si>
  <si>
    <t>Potosi</t>
  </si>
  <si>
    <t>sdg11_1_servicio_sanitario_2012</t>
  </si>
  <si>
    <t>sdg11_1_servicio_sanitario_2024</t>
  </si>
  <si>
    <t>sdg11_1_servicio_sanitario_abs_2012</t>
  </si>
  <si>
    <t>sdg11_1_servicio_sanitario_abs_2024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</si>
  <si>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</si>
  <si>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</si>
  <si>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</si>
  <si>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</si>
  <si>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</si>
  <si>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</si>
  <si>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</si>
  <si>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</si>
  <si>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</si>
  <si>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</si>
  <si>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</si>
  <si>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Hogares que no tienen servicio sanitario, baño o letrina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</si>
</sst>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5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</fonts>
  <fills count="18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theme="0"/>
        <bgColor theme="0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left" vertical="center"/>
    </xf>
    <xf numFmtId="3" fontId="4" fillId="4" borderId="8" xfId="0" applyNumberFormat="1" applyFont="1" applyFill="1" applyBorder="1" applyAlignment="1">
      <alignment horizontal="right" vertical="center"/>
    </xf>
    <xf numFmtId="164" fontId="4" fillId="4" borderId="8" xfId="0" applyNumberFormat="1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left" vertical="center"/>
    </xf>
    <xf numFmtId="3" fontId="4" fillId="5" borderId="8" xfId="0" applyNumberFormat="1" applyFont="1" applyFill="1" applyBorder="1" applyAlignment="1">
      <alignment horizontal="right" vertical="center"/>
    </xf>
    <xf numFmtId="164" fontId="4" fillId="5" borderId="8" xfId="0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3" fontId="5" fillId="6" borderId="8" xfId="0" applyNumberFormat="1" applyFont="1" applyFill="1" applyBorder="1" applyAlignment="1">
      <alignment horizontal="right" vertical="center"/>
    </xf>
    <xf numFmtId="164" fontId="5" fillId="6" borderId="8" xfId="0" applyNumberFormat="1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left" vertical="center"/>
    </xf>
    <xf numFmtId="3" fontId="5" fillId="7" borderId="8" xfId="0" applyNumberFormat="1" applyFont="1" applyFill="1" applyBorder="1" applyAlignment="1">
      <alignment horizontal="right" vertical="center"/>
    </xf>
    <xf numFmtId="164" fontId="5" fillId="7" borderId="8" xfId="0" applyNumberFormat="1" applyFont="1" applyFill="1" applyBorder="1" applyAlignment="1">
      <alignment horizontal="right" vertical="center"/>
    </xf>
    <xf numFmtId="0" fontId="4" fillId="4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1" fontId="5" fillId="7" borderId="8" xfId="0" applyNumberFormat="1" applyFont="1" applyFill="1" applyBorder="1" applyAlignment="1">
      <alignment vertical="center"/>
    </xf>
    <xf numFmtId="1" fontId="5" fillId="7" borderId="8" xfId="0" applyNumberFormat="1" applyFont="1" applyFill="1" applyBorder="1" applyAlignment="1">
      <alignment horizontal="left" vertical="center"/>
    </xf>
    <xf numFmtId="0" fontId="5" fillId="0" borderId="9" xfId="0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5" fillId="6" borderId="10" xfId="0" applyFont="1" applyFill="1" applyBorder="1" applyAlignment="1">
      <alignment horizontal="left" vertical="center"/>
    </xf>
    <xf numFmtId="3" fontId="5" fillId="6" borderId="10" xfId="0" applyNumberFormat="1" applyFont="1" applyFill="1" applyBorder="1" applyAlignment="1">
      <alignment horizontal="right" vertical="center"/>
    </xf>
    <xf numFmtId="164" fontId="5" fillId="6" borderId="10" xfId="0" applyNumberFormat="1" applyFont="1" applyFill="1" applyBorder="1" applyAlignment="1">
      <alignment horizontal="right" vertical="center"/>
    </xf>
    <xf numFmtId="0" fontId="2" fillId="0" borderId="0" xfId="0" applyFont="1"/>
    <xf numFmtId="0" fontId="6" fillId="4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/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2" fontId="8" fillId="0" borderId="0" xfId="0" applyNumberFormat="1" applyFont="1" applyAlignment="1">
      <alignment vertical="center" wrapText="1"/>
    </xf>
    <xf numFmtId="0" fontId="8" fillId="0" borderId="0" xfId="0" applyFont="1"/>
    <xf numFmtId="2" fontId="8" fillId="11" borderId="0" xfId="0" applyNumberFormat="1" applyFont="1" applyFill="1" applyAlignment="1">
      <alignment vertical="center" wrapText="1"/>
    </xf>
    <xf numFmtId="0" fontId="8" fillId="11" borderId="0" xfId="0" applyFont="1" applyFill="1" applyAlignment="1">
      <alignment vertical="center"/>
    </xf>
    <xf numFmtId="0" fontId="7" fillId="0" borderId="0" xfId="0" applyFont="1"/>
    <xf numFmtId="164" fontId="7" fillId="0" borderId="0" xfId="0" applyNumberFormat="1" applyFont="1"/>
    <xf numFmtId="2" fontId="7" fillId="0" borderId="0" xfId="0" applyNumberFormat="1" applyFont="1" applyAlignment="1">
      <alignment vertical="center" wrapText="1"/>
    </xf>
    <xf numFmtId="0" fontId="7" fillId="12" borderId="0" xfId="0" applyFont="1" applyFill="1"/>
    <xf numFmtId="164" fontId="7" fillId="12" borderId="0" xfId="0" applyNumberFormat="1" applyFont="1" applyFill="1"/>
    <xf numFmtId="2" fontId="7" fillId="12" borderId="0" xfId="0" applyNumberFormat="1" applyFont="1" applyFill="1" applyAlignment="1">
      <alignment vertical="center" wrapText="1"/>
    </xf>
    <xf numFmtId="165" fontId="7" fillId="0" borderId="0" xfId="0" applyNumberFormat="1" applyFo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7" fillId="0" borderId="6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0" fontId="11" fillId="0" borderId="6" xfId="0" applyFont="1" applyBorder="1"/>
    <xf numFmtId="3" fontId="11" fillId="0" borderId="6" xfId="0" applyNumberFormat="1" applyFont="1" applyBorder="1" applyAlignment="1">
      <alignment horizontal="right"/>
    </xf>
    <xf numFmtId="164" fontId="11" fillId="0" borderId="6" xfId="0" applyNumberFormat="1" applyFont="1" applyBorder="1" applyAlignment="1">
      <alignment horizontal="right"/>
    </xf>
    <xf numFmtId="1" fontId="7" fillId="0" borderId="6" xfId="0" applyNumberFormat="1" applyFont="1" applyBorder="1"/>
    <xf numFmtId="0" fontId="11" fillId="0" borderId="0" xfId="0" applyFont="1"/>
    <xf numFmtId="165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7" fillId="0" borderId="6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12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6" xfId="0" applyFont="1" applyBorder="1" applyAlignment="1">
      <alignment horizontal="right"/>
    </xf>
    <xf numFmtId="0" fontId="13" fillId="0" borderId="6" xfId="0" applyFont="1" applyBorder="1" applyAlignment="1">
      <alignment wrapText="1"/>
    </xf>
    <xf numFmtId="0" fontId="10" fillId="13" borderId="6" xfId="0" applyFont="1" applyFill="1" applyBorder="1" applyAlignment="1">
      <alignment wrapText="1"/>
    </xf>
    <xf numFmtId="0" fontId="14" fillId="14" borderId="6" xfId="0" applyFont="1" applyFill="1" applyBorder="1" applyAlignment="1">
      <alignment horizontal="center" wrapText="1"/>
    </xf>
    <xf numFmtId="0" fontId="14" fillId="15" borderId="6" xfId="0" applyFont="1" applyFill="1" applyBorder="1" applyAlignment="1">
      <alignment horizontal="center" wrapText="1"/>
    </xf>
    <xf numFmtId="0" fontId="14" fillId="16" borderId="6" xfId="0" applyFont="1" applyFill="1" applyBorder="1" applyAlignment="1">
      <alignment horizontal="center" wrapText="1"/>
    </xf>
    <xf numFmtId="0" fontId="14" fillId="17" borderId="6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right" vertical="center" wrapText="1"/>
    </xf>
    <xf numFmtId="0" fontId="11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4" xfId="0" applyFont="1" applyBorder="1"/>
    <xf numFmtId="0" fontId="3" fillId="0" borderId="9" xfId="0" applyFont="1" applyBorder="1"/>
    <xf numFmtId="0" fontId="9" fillId="0" borderId="5" xfId="0" applyFont="1" applyBorder="1" applyAlignment="1">
      <alignment horizontal="center" wrapText="1"/>
    </xf>
    <xf numFmtId="0" fontId="11" fillId="0" borderId="7" xfId="0" applyFont="1" applyBorder="1"/>
    <xf numFmtId="3" fontId="11" fillId="0" borderId="7" xfId="0" applyNumberFormat="1" applyFont="1" applyBorder="1" applyAlignment="1">
      <alignment horizontal="right"/>
    </xf>
    <xf numFmtId="164" fontId="11" fillId="0" borderId="7" xfId="0" applyNumberFormat="1" applyFont="1" applyBorder="1" applyAlignment="1">
      <alignment horizontal="right"/>
    </xf>
    <xf numFmtId="3" fontId="7" fillId="0" borderId="7" xfId="0" applyNumberFormat="1" applyFont="1" applyBorder="1"/>
    <xf numFmtId="164" fontId="7" fillId="0" borderId="7" xfId="0" applyNumberFormat="1" applyFont="1" applyBorder="1"/>
    <xf numFmtId="0" fontId="11" fillId="0" borderId="12" xfId="0" applyFont="1" applyFill="1" applyBorder="1"/>
    <xf numFmtId="0" fontId="11" fillId="0" borderId="7" xfId="0" applyFont="1" applyBorder="1" applyAlignment="1">
      <alignment horizontal="right"/>
    </xf>
    <xf numFmtId="0" fontId="11" fillId="0" borderId="12" xfId="0" applyFont="1" applyFill="1" applyBorder="1" applyAlignment="1">
      <alignment horizontal="right"/>
    </xf>
    <xf numFmtId="3" fontId="0" fillId="0" borderId="12" xfId="0" applyNumberFormat="1" applyBorder="1"/>
    <xf numFmtId="165" fontId="0" fillId="0" borderId="0" xfId="0" applyNumberFormat="1"/>
    <xf numFmtId="164" fontId="0" fillId="0" borderId="12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426"/>
  <sheetViews>
    <sheetView showGridLines="0" workbookViewId="0">
      <pane xSplit="6" ySplit="5" topLeftCell="U15" activePane="bottomRight" state="frozen"/>
      <selection pane="topRight" activeCell="G1" sqref="G1"/>
      <selection pane="bottomLeft" activeCell="A6" sqref="A6"/>
      <selection pane="bottomRight" activeCell="Q15" sqref="Q15"/>
    </sheetView>
  </sheetViews>
  <sheetFormatPr baseColWidth="10" defaultColWidth="14.42578125" defaultRowHeight="15" customHeight="1"/>
  <cols>
    <col min="1" max="1" width="7" customWidth="1"/>
    <col min="2" max="2" width="6.7109375" customWidth="1"/>
    <col min="3" max="3" width="15.5703125" customWidth="1"/>
    <col min="4" max="4" width="17" customWidth="1"/>
    <col min="5" max="5" width="31.5703125" customWidth="1"/>
    <col min="6" max="7" width="30.7109375" customWidth="1"/>
    <col min="8" max="25" width="15.7109375" customWidth="1"/>
  </cols>
  <sheetData>
    <row r="1" spans="2:25" ht="15" customHeight="1">
      <c r="B1" s="1" t="s">
        <v>0</v>
      </c>
      <c r="C1" s="2"/>
      <c r="D1" s="3"/>
      <c r="E1" s="2"/>
      <c r="F1" s="2"/>
      <c r="G1" s="2"/>
      <c r="H1" s="2"/>
      <c r="I1" s="2"/>
      <c r="J1" s="2"/>
      <c r="K1" s="2"/>
      <c r="L1" s="3"/>
      <c r="M1" s="3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</row>
    <row r="2" spans="2:25" ht="15" customHeight="1">
      <c r="B2" s="5" t="s">
        <v>1</v>
      </c>
      <c r="L2" s="6"/>
      <c r="M2" s="6"/>
      <c r="Q2" s="6"/>
      <c r="R2" s="7"/>
      <c r="S2" s="7"/>
      <c r="T2" s="7"/>
      <c r="U2" s="7"/>
      <c r="V2" s="7"/>
      <c r="W2" s="7"/>
      <c r="X2" s="7"/>
      <c r="Y2" s="7"/>
    </row>
    <row r="3" spans="2:25" ht="30" customHeight="1">
      <c r="H3" s="91"/>
      <c r="I3" s="92"/>
      <c r="J3" s="92"/>
      <c r="K3" s="92"/>
      <c r="L3" s="92"/>
      <c r="M3" s="92"/>
      <c r="N3" s="92"/>
      <c r="O3" s="92"/>
      <c r="P3" s="92"/>
      <c r="Q3" s="93"/>
      <c r="R3" s="94"/>
      <c r="S3" s="92"/>
      <c r="T3" s="92"/>
      <c r="U3" s="92"/>
      <c r="V3" s="92"/>
      <c r="W3" s="92"/>
      <c r="X3" s="92"/>
      <c r="Y3" s="93"/>
    </row>
    <row r="4" spans="2:25" ht="30" customHeight="1">
      <c r="B4" s="8"/>
      <c r="C4" s="8"/>
      <c r="D4" s="8"/>
      <c r="E4" s="8"/>
      <c r="F4" s="8"/>
      <c r="G4" s="8"/>
      <c r="H4" s="95">
        <v>2012</v>
      </c>
      <c r="I4" s="92"/>
      <c r="J4" s="92"/>
      <c r="K4" s="92"/>
      <c r="L4" s="93"/>
      <c r="M4" s="95">
        <v>2024</v>
      </c>
      <c r="N4" s="92"/>
      <c r="O4" s="92"/>
      <c r="P4" s="92"/>
      <c r="Q4" s="93"/>
      <c r="R4" s="95">
        <v>2012</v>
      </c>
      <c r="S4" s="92"/>
      <c r="T4" s="92"/>
      <c r="U4" s="93"/>
      <c r="V4" s="95">
        <v>2024</v>
      </c>
      <c r="W4" s="92"/>
      <c r="X4" s="92"/>
      <c r="Y4" s="93"/>
    </row>
    <row r="5" spans="2:25" ht="45" customHeight="1"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10" t="s">
        <v>8</v>
      </c>
      <c r="I5" s="11" t="s">
        <v>9</v>
      </c>
      <c r="J5" s="10" t="s">
        <v>10</v>
      </c>
      <c r="K5" s="10" t="s">
        <v>11</v>
      </c>
      <c r="L5" s="10" t="s">
        <v>12</v>
      </c>
      <c r="M5" s="10" t="s">
        <v>8</v>
      </c>
      <c r="N5" s="11" t="s">
        <v>9</v>
      </c>
      <c r="O5" s="10" t="s">
        <v>10</v>
      </c>
      <c r="P5" s="10" t="s">
        <v>11</v>
      </c>
      <c r="Q5" s="10" t="s">
        <v>12</v>
      </c>
      <c r="R5" s="12" t="s">
        <v>9</v>
      </c>
      <c r="S5" s="12" t="s">
        <v>10</v>
      </c>
      <c r="T5" s="12" t="s">
        <v>11</v>
      </c>
      <c r="U5" s="12" t="s">
        <v>12</v>
      </c>
      <c r="V5" s="12" t="s">
        <v>9</v>
      </c>
      <c r="W5" s="12" t="s">
        <v>10</v>
      </c>
      <c r="X5" s="12" t="s">
        <v>11</v>
      </c>
      <c r="Y5" s="12" t="s">
        <v>12</v>
      </c>
    </row>
    <row r="6" spans="2:25" ht="15" hidden="1" customHeight="1">
      <c r="B6" s="13">
        <v>1</v>
      </c>
      <c r="C6" s="14" t="s">
        <v>13</v>
      </c>
      <c r="D6" s="14"/>
      <c r="E6" s="14"/>
      <c r="F6" s="14"/>
      <c r="G6" s="14" t="s">
        <v>14</v>
      </c>
      <c r="H6" s="15">
        <v>2803982</v>
      </c>
      <c r="I6" s="15">
        <v>1958814</v>
      </c>
      <c r="J6" s="15">
        <v>1076725</v>
      </c>
      <c r="K6" s="15">
        <v>882089</v>
      </c>
      <c r="L6" s="15">
        <v>845168</v>
      </c>
      <c r="M6" s="15">
        <v>3623711</v>
      </c>
      <c r="N6" s="15">
        <v>2889454</v>
      </c>
      <c r="O6" s="15">
        <v>2390728</v>
      </c>
      <c r="P6" s="15">
        <v>498726</v>
      </c>
      <c r="Q6" s="15">
        <v>734257</v>
      </c>
      <c r="R6" s="16">
        <v>69.858294400000005</v>
      </c>
      <c r="S6" s="16">
        <v>38.3998542</v>
      </c>
      <c r="T6" s="16">
        <v>31.458440199999998</v>
      </c>
      <c r="U6" s="16">
        <v>30.141705600000002</v>
      </c>
      <c r="V6" s="16">
        <v>79.737429399999996</v>
      </c>
      <c r="W6" s="16">
        <v>65.974576900000002</v>
      </c>
      <c r="X6" s="16">
        <v>13.762852499999999</v>
      </c>
      <c r="Y6" s="16">
        <v>20.2625706</v>
      </c>
    </row>
    <row r="7" spans="2:25" ht="15" hidden="1" customHeight="1">
      <c r="B7" s="17">
        <v>2</v>
      </c>
      <c r="C7" s="18" t="s">
        <v>13</v>
      </c>
      <c r="D7" s="18"/>
      <c r="E7" s="18"/>
      <c r="F7" s="18"/>
      <c r="G7" s="18" t="s">
        <v>15</v>
      </c>
      <c r="H7" s="19">
        <v>1826480</v>
      </c>
      <c r="I7" s="19">
        <v>1591976</v>
      </c>
      <c r="J7" s="19">
        <v>861520</v>
      </c>
      <c r="K7" s="19">
        <v>730456</v>
      </c>
      <c r="L7" s="19">
        <v>234504</v>
      </c>
      <c r="M7" s="19">
        <v>2386919</v>
      </c>
      <c r="N7" s="19">
        <v>2244232</v>
      </c>
      <c r="O7" s="19">
        <v>1827380</v>
      </c>
      <c r="P7" s="19">
        <v>416852</v>
      </c>
      <c r="Q7" s="19">
        <v>142687</v>
      </c>
      <c r="R7" s="20">
        <v>87.160877799999994</v>
      </c>
      <c r="S7" s="20">
        <v>47.168323800000003</v>
      </c>
      <c r="T7" s="20">
        <v>39.992553999999998</v>
      </c>
      <c r="U7" s="20">
        <v>12.8391222</v>
      </c>
      <c r="V7" s="20">
        <v>94.022126400000005</v>
      </c>
      <c r="W7" s="20">
        <v>76.558106899999999</v>
      </c>
      <c r="X7" s="20">
        <v>17.464019499999999</v>
      </c>
      <c r="Y7" s="20">
        <v>5.9778735999999997</v>
      </c>
    </row>
    <row r="8" spans="2:25" ht="15" hidden="1" customHeight="1">
      <c r="B8" s="17">
        <v>3</v>
      </c>
      <c r="C8" s="18" t="s">
        <v>13</v>
      </c>
      <c r="D8" s="18"/>
      <c r="E8" s="18"/>
      <c r="F8" s="18"/>
      <c r="G8" s="18" t="s">
        <v>16</v>
      </c>
      <c r="H8" s="19">
        <v>977502</v>
      </c>
      <c r="I8" s="19">
        <v>366838</v>
      </c>
      <c r="J8" s="19">
        <v>215205</v>
      </c>
      <c r="K8" s="19">
        <v>151633</v>
      </c>
      <c r="L8" s="19">
        <v>610664</v>
      </c>
      <c r="M8" s="19">
        <v>1236792</v>
      </c>
      <c r="N8" s="19">
        <v>645222</v>
      </c>
      <c r="O8" s="19">
        <v>563348</v>
      </c>
      <c r="P8" s="19">
        <v>81874</v>
      </c>
      <c r="Q8" s="19">
        <v>591570</v>
      </c>
      <c r="R8" s="20">
        <v>37.528107400000003</v>
      </c>
      <c r="S8" s="20">
        <v>22.0158117</v>
      </c>
      <c r="T8" s="20">
        <v>15.5122956</v>
      </c>
      <c r="U8" s="20">
        <v>62.471892599999997</v>
      </c>
      <c r="V8" s="20">
        <v>52.168998500000001</v>
      </c>
      <c r="W8" s="20">
        <v>45.549130300000002</v>
      </c>
      <c r="X8" s="20">
        <v>6.6198682</v>
      </c>
      <c r="Y8" s="20">
        <v>47.831001499999999</v>
      </c>
    </row>
    <row r="9" spans="2:25" ht="15" hidden="1" customHeight="1">
      <c r="B9" s="13">
        <v>4</v>
      </c>
      <c r="C9" s="14" t="s">
        <v>17</v>
      </c>
      <c r="D9" s="14" t="s">
        <v>18</v>
      </c>
      <c r="E9" s="14"/>
      <c r="F9" s="14"/>
      <c r="G9" s="14" t="s">
        <v>18</v>
      </c>
      <c r="H9" s="15">
        <v>150081</v>
      </c>
      <c r="I9" s="15">
        <v>84802</v>
      </c>
      <c r="J9" s="15">
        <v>44575</v>
      </c>
      <c r="K9" s="15">
        <v>40227</v>
      </c>
      <c r="L9" s="15">
        <v>65279</v>
      </c>
      <c r="M9" s="15">
        <v>184969</v>
      </c>
      <c r="N9" s="15">
        <v>132058</v>
      </c>
      <c r="O9" s="15">
        <v>106640</v>
      </c>
      <c r="P9" s="15">
        <v>25418</v>
      </c>
      <c r="Q9" s="15">
        <v>52911</v>
      </c>
      <c r="R9" s="16">
        <v>56.504154399999997</v>
      </c>
      <c r="S9" s="16">
        <v>29.700628300000002</v>
      </c>
      <c r="T9" s="16">
        <v>26.803526099999999</v>
      </c>
      <c r="U9" s="16">
        <v>43.495845600000003</v>
      </c>
      <c r="V9" s="16">
        <v>71.394666099999995</v>
      </c>
      <c r="W9" s="16">
        <v>57.652903999999999</v>
      </c>
      <c r="X9" s="16">
        <v>13.741762100000001</v>
      </c>
      <c r="Y9" s="16">
        <v>28.605333900000002</v>
      </c>
    </row>
    <row r="10" spans="2:25" ht="15" hidden="1" customHeight="1">
      <c r="B10" s="17">
        <v>5</v>
      </c>
      <c r="C10" s="18" t="s">
        <v>17</v>
      </c>
      <c r="D10" s="18" t="s">
        <v>18</v>
      </c>
      <c r="E10" s="18"/>
      <c r="F10" s="18"/>
      <c r="G10" s="18" t="s">
        <v>15</v>
      </c>
      <c r="H10" s="19">
        <v>74401</v>
      </c>
      <c r="I10" s="19">
        <v>64836</v>
      </c>
      <c r="J10" s="19">
        <v>32907</v>
      </c>
      <c r="K10" s="19">
        <v>31929</v>
      </c>
      <c r="L10" s="19">
        <v>9565</v>
      </c>
      <c r="M10" s="19">
        <v>102961</v>
      </c>
      <c r="N10" s="19">
        <v>96451</v>
      </c>
      <c r="O10" s="19">
        <v>75216</v>
      </c>
      <c r="P10" s="19">
        <v>21235</v>
      </c>
      <c r="Q10" s="19">
        <v>6510</v>
      </c>
      <c r="R10" s="20">
        <v>87.143990000000002</v>
      </c>
      <c r="S10" s="20">
        <v>44.229244199999997</v>
      </c>
      <c r="T10" s="20">
        <v>42.914745799999999</v>
      </c>
      <c r="U10" s="20">
        <v>12.856009999999999</v>
      </c>
      <c r="V10" s="20">
        <v>93.677217600000006</v>
      </c>
      <c r="W10" s="20">
        <v>73.052903499999999</v>
      </c>
      <c r="X10" s="20">
        <v>20.624314099999999</v>
      </c>
      <c r="Y10" s="20">
        <v>6.3227824000000004</v>
      </c>
    </row>
    <row r="11" spans="2:25" ht="15" hidden="1" customHeight="1">
      <c r="B11" s="17">
        <v>6</v>
      </c>
      <c r="C11" s="18" t="s">
        <v>17</v>
      </c>
      <c r="D11" s="18" t="s">
        <v>18</v>
      </c>
      <c r="E11" s="18"/>
      <c r="F11" s="18"/>
      <c r="G11" s="18" t="s">
        <v>16</v>
      </c>
      <c r="H11" s="19">
        <v>75680</v>
      </c>
      <c r="I11" s="19">
        <v>19966</v>
      </c>
      <c r="J11" s="19">
        <v>11668</v>
      </c>
      <c r="K11" s="19">
        <v>8298</v>
      </c>
      <c r="L11" s="19">
        <v>55714</v>
      </c>
      <c r="M11" s="19">
        <v>82008</v>
      </c>
      <c r="N11" s="19">
        <v>35607</v>
      </c>
      <c r="O11" s="19">
        <v>31424</v>
      </c>
      <c r="P11" s="19">
        <v>4183</v>
      </c>
      <c r="Q11" s="19">
        <v>46401</v>
      </c>
      <c r="R11" s="20">
        <v>26.382135300000002</v>
      </c>
      <c r="S11" s="20">
        <v>15.417547600000001</v>
      </c>
      <c r="T11" s="20">
        <v>10.964587699999999</v>
      </c>
      <c r="U11" s="20">
        <v>73.617864699999998</v>
      </c>
      <c r="V11" s="20">
        <v>43.418934700000001</v>
      </c>
      <c r="W11" s="20">
        <v>38.318212899999999</v>
      </c>
      <c r="X11" s="20">
        <v>5.1007218999999999</v>
      </c>
      <c r="Y11" s="20">
        <v>56.581065299999999</v>
      </c>
    </row>
    <row r="12" spans="2:25" ht="15" hidden="1" customHeight="1">
      <c r="B12" s="21">
        <v>7</v>
      </c>
      <c r="C12" s="22" t="s">
        <v>19</v>
      </c>
      <c r="D12" s="22" t="s">
        <v>18</v>
      </c>
      <c r="E12" s="22" t="s">
        <v>20</v>
      </c>
      <c r="F12" s="22"/>
      <c r="G12" s="22" t="s">
        <v>20</v>
      </c>
      <c r="H12" s="23">
        <v>77255</v>
      </c>
      <c r="I12" s="23">
        <v>59111</v>
      </c>
      <c r="J12" s="23">
        <v>30918</v>
      </c>
      <c r="K12" s="23">
        <v>28193</v>
      </c>
      <c r="L12" s="23">
        <v>18144</v>
      </c>
      <c r="M12" s="23">
        <v>100241</v>
      </c>
      <c r="N12" s="23">
        <v>86276</v>
      </c>
      <c r="O12" s="23">
        <v>68343</v>
      </c>
      <c r="P12" s="23">
        <v>17933</v>
      </c>
      <c r="Q12" s="23">
        <v>13965</v>
      </c>
      <c r="R12" s="24">
        <v>76.514141499999994</v>
      </c>
      <c r="S12" s="24">
        <v>40.020710600000001</v>
      </c>
      <c r="T12" s="24">
        <v>36.493430799999999</v>
      </c>
      <c r="U12" s="24">
        <v>23.485858499999999</v>
      </c>
      <c r="V12" s="24">
        <v>86.068574699999999</v>
      </c>
      <c r="W12" s="24">
        <v>68.178689399999996</v>
      </c>
      <c r="X12" s="24">
        <v>17.889885400000001</v>
      </c>
      <c r="Y12" s="24">
        <v>13.931425300000001</v>
      </c>
    </row>
    <row r="13" spans="2:25" ht="15" hidden="1" customHeight="1">
      <c r="B13" s="25">
        <v>8</v>
      </c>
      <c r="C13" s="26" t="s">
        <v>19</v>
      </c>
      <c r="D13" s="26" t="s">
        <v>18</v>
      </c>
      <c r="E13" s="26" t="s">
        <v>20</v>
      </c>
      <c r="F13" s="26"/>
      <c r="G13" s="27" t="s">
        <v>15</v>
      </c>
      <c r="H13" s="28">
        <v>63108</v>
      </c>
      <c r="I13" s="28">
        <v>55623</v>
      </c>
      <c r="J13" s="28">
        <v>28592</v>
      </c>
      <c r="K13" s="28">
        <v>27031</v>
      </c>
      <c r="L13" s="28">
        <v>7485</v>
      </c>
      <c r="M13" s="28">
        <v>84913</v>
      </c>
      <c r="N13" s="28">
        <v>79958</v>
      </c>
      <c r="O13" s="28">
        <v>62539</v>
      </c>
      <c r="P13" s="28">
        <v>17419</v>
      </c>
      <c r="Q13" s="28">
        <v>4955</v>
      </c>
      <c r="R13" s="29">
        <v>88.139380099999997</v>
      </c>
      <c r="S13" s="29">
        <v>45.306458800000001</v>
      </c>
      <c r="T13" s="29">
        <v>42.832921300000002</v>
      </c>
      <c r="U13" s="29">
        <v>11.8606199</v>
      </c>
      <c r="V13" s="29">
        <v>94.164615499999996</v>
      </c>
      <c r="W13" s="29">
        <v>73.650677799999997</v>
      </c>
      <c r="X13" s="29">
        <v>20.513937800000001</v>
      </c>
      <c r="Y13" s="29">
        <v>5.8353845</v>
      </c>
    </row>
    <row r="14" spans="2:25" ht="15" hidden="1" customHeight="1">
      <c r="B14" s="25">
        <v>9</v>
      </c>
      <c r="C14" s="26" t="s">
        <v>19</v>
      </c>
      <c r="D14" s="26" t="s">
        <v>18</v>
      </c>
      <c r="E14" s="26" t="s">
        <v>20</v>
      </c>
      <c r="F14" s="26"/>
      <c r="G14" s="27" t="s">
        <v>16</v>
      </c>
      <c r="H14" s="28">
        <v>14147</v>
      </c>
      <c r="I14" s="28">
        <v>3488</v>
      </c>
      <c r="J14" s="28">
        <v>2326</v>
      </c>
      <c r="K14" s="28">
        <v>1162</v>
      </c>
      <c r="L14" s="28">
        <v>10659</v>
      </c>
      <c r="M14" s="28">
        <v>15328</v>
      </c>
      <c r="N14" s="28">
        <v>6318</v>
      </c>
      <c r="O14" s="28">
        <v>5804</v>
      </c>
      <c r="P14" s="28">
        <v>514</v>
      </c>
      <c r="Q14" s="28">
        <v>9010</v>
      </c>
      <c r="R14" s="29">
        <v>24.655404000000001</v>
      </c>
      <c r="S14" s="29">
        <v>16.441648399999998</v>
      </c>
      <c r="T14" s="29">
        <v>8.2137556000000007</v>
      </c>
      <c r="U14" s="29">
        <v>75.344595999999996</v>
      </c>
      <c r="V14" s="29">
        <v>41.218684799999998</v>
      </c>
      <c r="W14" s="29">
        <v>37.865344499999999</v>
      </c>
      <c r="X14" s="29">
        <v>3.3533403000000002</v>
      </c>
      <c r="Y14" s="29">
        <v>58.781315200000002</v>
      </c>
    </row>
    <row r="15" spans="2:25" ht="15" customHeight="1">
      <c r="B15" s="30">
        <v>10</v>
      </c>
      <c r="C15" s="31" t="s">
        <v>21</v>
      </c>
      <c r="D15" s="31" t="s">
        <v>18</v>
      </c>
      <c r="E15" s="31" t="s">
        <v>20</v>
      </c>
      <c r="F15" s="31" t="s">
        <v>22</v>
      </c>
      <c r="G15" s="31" t="s">
        <v>22</v>
      </c>
      <c r="H15" s="32">
        <v>69949</v>
      </c>
      <c r="I15" s="32">
        <v>57270</v>
      </c>
      <c r="J15" s="32">
        <v>29757</v>
      </c>
      <c r="K15" s="32">
        <v>27513</v>
      </c>
      <c r="L15" s="32">
        <v>12679</v>
      </c>
      <c r="M15" s="32">
        <v>92531</v>
      </c>
      <c r="N15" s="32">
        <v>83249</v>
      </c>
      <c r="O15" s="32">
        <v>65636</v>
      </c>
      <c r="P15" s="32">
        <v>17613</v>
      </c>
      <c r="Q15" s="32">
        <v>9282</v>
      </c>
      <c r="R15" s="33">
        <v>81.873936700000002</v>
      </c>
      <c r="S15" s="33">
        <v>42.5409942</v>
      </c>
      <c r="T15" s="33">
        <v>39.332942600000003</v>
      </c>
      <c r="U15" s="33">
        <v>18.126063299999998</v>
      </c>
      <c r="V15" s="33">
        <v>89.968767200000002</v>
      </c>
      <c r="W15" s="33">
        <v>70.9340653</v>
      </c>
      <c r="X15" s="33">
        <v>19.034701900000002</v>
      </c>
      <c r="Y15" s="33">
        <v>10.0312328</v>
      </c>
    </row>
    <row r="16" spans="2:25" ht="15" hidden="1" customHeight="1">
      <c r="B16" s="25">
        <v>11</v>
      </c>
      <c r="C16" s="26" t="s">
        <v>21</v>
      </c>
      <c r="D16" s="26" t="s">
        <v>18</v>
      </c>
      <c r="E16" s="26" t="s">
        <v>20</v>
      </c>
      <c r="F16" s="26" t="s">
        <v>22</v>
      </c>
      <c r="G16" s="27" t="s">
        <v>15</v>
      </c>
      <c r="H16" s="28">
        <v>63108</v>
      </c>
      <c r="I16" s="28">
        <v>55623</v>
      </c>
      <c r="J16" s="28">
        <v>28592</v>
      </c>
      <c r="K16" s="28">
        <v>27031</v>
      </c>
      <c r="L16" s="28">
        <v>7485</v>
      </c>
      <c r="M16" s="28">
        <v>84913</v>
      </c>
      <c r="N16" s="28">
        <v>79958</v>
      </c>
      <c r="O16" s="28">
        <v>62539</v>
      </c>
      <c r="P16" s="28">
        <v>17419</v>
      </c>
      <c r="Q16" s="28">
        <v>4955</v>
      </c>
      <c r="R16" s="29">
        <v>88.139380099999997</v>
      </c>
      <c r="S16" s="29">
        <v>45.306458800000001</v>
      </c>
      <c r="T16" s="29">
        <v>42.832921300000002</v>
      </c>
      <c r="U16" s="29">
        <v>11.8606199</v>
      </c>
      <c r="V16" s="29">
        <v>94.164615499999996</v>
      </c>
      <c r="W16" s="29">
        <v>73.650677799999997</v>
      </c>
      <c r="X16" s="29">
        <v>20.513937800000001</v>
      </c>
      <c r="Y16" s="29">
        <v>5.8353845</v>
      </c>
    </row>
    <row r="17" spans="2:25" ht="15" hidden="1" customHeight="1">
      <c r="B17" s="25">
        <v>12</v>
      </c>
      <c r="C17" s="26" t="s">
        <v>21</v>
      </c>
      <c r="D17" s="26" t="s">
        <v>18</v>
      </c>
      <c r="E17" s="26" t="s">
        <v>20</v>
      </c>
      <c r="F17" s="26" t="s">
        <v>22</v>
      </c>
      <c r="G17" s="27" t="s">
        <v>16</v>
      </c>
      <c r="H17" s="28">
        <v>6841</v>
      </c>
      <c r="I17" s="28">
        <v>1647</v>
      </c>
      <c r="J17" s="28">
        <v>1165</v>
      </c>
      <c r="K17" s="28">
        <v>482</v>
      </c>
      <c r="L17" s="28">
        <v>5194</v>
      </c>
      <c r="M17" s="28">
        <v>7618</v>
      </c>
      <c r="N17" s="28">
        <v>3291</v>
      </c>
      <c r="O17" s="28">
        <v>3097</v>
      </c>
      <c r="P17" s="28">
        <v>194</v>
      </c>
      <c r="Q17" s="28">
        <v>4327</v>
      </c>
      <c r="R17" s="29">
        <v>24.075427600000001</v>
      </c>
      <c r="S17" s="29">
        <v>17.029674</v>
      </c>
      <c r="T17" s="29">
        <v>7.0457535</v>
      </c>
      <c r="U17" s="29">
        <v>75.924572400000002</v>
      </c>
      <c r="V17" s="29">
        <v>43.200315000000003</v>
      </c>
      <c r="W17" s="29">
        <v>40.653714899999997</v>
      </c>
      <c r="X17" s="29">
        <v>2.5466001999999999</v>
      </c>
      <c r="Y17" s="29">
        <v>56.799684999999997</v>
      </c>
    </row>
    <row r="18" spans="2:25" ht="15" customHeight="1">
      <c r="B18" s="30">
        <v>13</v>
      </c>
      <c r="C18" s="31" t="s">
        <v>21</v>
      </c>
      <c r="D18" s="31" t="s">
        <v>18</v>
      </c>
      <c r="E18" s="31" t="s">
        <v>20</v>
      </c>
      <c r="F18" s="31" t="s">
        <v>23</v>
      </c>
      <c r="G18" s="31" t="s">
        <v>23</v>
      </c>
      <c r="H18" s="32">
        <v>2646</v>
      </c>
      <c r="I18" s="32">
        <v>1572</v>
      </c>
      <c r="J18" s="32">
        <v>1018</v>
      </c>
      <c r="K18" s="32">
        <v>554</v>
      </c>
      <c r="L18" s="32">
        <v>1074</v>
      </c>
      <c r="M18" s="32">
        <v>3056</v>
      </c>
      <c r="N18" s="32">
        <v>2240</v>
      </c>
      <c r="O18" s="32">
        <v>2069</v>
      </c>
      <c r="P18" s="32">
        <v>171</v>
      </c>
      <c r="Q18" s="32">
        <v>816</v>
      </c>
      <c r="R18" s="33">
        <v>59.4104308</v>
      </c>
      <c r="S18" s="33">
        <v>38.473166999999997</v>
      </c>
      <c r="T18" s="33">
        <v>20.9372638</v>
      </c>
      <c r="U18" s="33">
        <v>40.5895692</v>
      </c>
      <c r="V18" s="33">
        <v>73.298429299999995</v>
      </c>
      <c r="W18" s="33">
        <v>67.702879600000003</v>
      </c>
      <c r="X18" s="33">
        <v>5.5955497000000003</v>
      </c>
      <c r="Y18" s="33">
        <v>26.701570700000001</v>
      </c>
    </row>
    <row r="19" spans="2:25" ht="15" hidden="1" customHeight="1">
      <c r="B19" s="25">
        <v>14</v>
      </c>
      <c r="C19" s="26" t="s">
        <v>21</v>
      </c>
      <c r="D19" s="26" t="s">
        <v>18</v>
      </c>
      <c r="E19" s="26" t="s">
        <v>20</v>
      </c>
      <c r="F19" s="26" t="s">
        <v>23</v>
      </c>
      <c r="G19" s="27" t="s">
        <v>15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</row>
    <row r="20" spans="2:25" ht="15" hidden="1" customHeight="1">
      <c r="B20" s="25">
        <v>15</v>
      </c>
      <c r="C20" s="26" t="s">
        <v>21</v>
      </c>
      <c r="D20" s="26" t="s">
        <v>18</v>
      </c>
      <c r="E20" s="26" t="s">
        <v>20</v>
      </c>
      <c r="F20" s="26" t="s">
        <v>23</v>
      </c>
      <c r="G20" s="27" t="s">
        <v>16</v>
      </c>
      <c r="H20" s="28">
        <v>2646</v>
      </c>
      <c r="I20" s="28">
        <v>1572</v>
      </c>
      <c r="J20" s="28">
        <v>1018</v>
      </c>
      <c r="K20" s="28">
        <v>554</v>
      </c>
      <c r="L20" s="28">
        <v>1074</v>
      </c>
      <c r="M20" s="28">
        <v>3056</v>
      </c>
      <c r="N20" s="28">
        <v>2240</v>
      </c>
      <c r="O20" s="28">
        <v>2069</v>
      </c>
      <c r="P20" s="28">
        <v>171</v>
      </c>
      <c r="Q20" s="28">
        <v>816</v>
      </c>
      <c r="R20" s="29">
        <v>59.4104308</v>
      </c>
      <c r="S20" s="29">
        <v>38.473166999999997</v>
      </c>
      <c r="T20" s="29">
        <v>20.9372638</v>
      </c>
      <c r="U20" s="29">
        <v>40.5895692</v>
      </c>
      <c r="V20" s="29">
        <v>73.298429299999995</v>
      </c>
      <c r="W20" s="29">
        <v>67.702879600000003</v>
      </c>
      <c r="X20" s="29">
        <v>5.5955497000000003</v>
      </c>
      <c r="Y20" s="29">
        <v>26.701570700000001</v>
      </c>
    </row>
    <row r="21" spans="2:25" ht="15" customHeight="1">
      <c r="B21" s="30">
        <v>16</v>
      </c>
      <c r="C21" s="31" t="s">
        <v>21</v>
      </c>
      <c r="D21" s="31" t="s">
        <v>18</v>
      </c>
      <c r="E21" s="31" t="s">
        <v>20</v>
      </c>
      <c r="F21" s="31" t="s">
        <v>24</v>
      </c>
      <c r="G21" s="31" t="s">
        <v>24</v>
      </c>
      <c r="H21" s="32">
        <v>4660</v>
      </c>
      <c r="I21" s="32">
        <v>269</v>
      </c>
      <c r="J21" s="32">
        <v>143</v>
      </c>
      <c r="K21" s="32">
        <v>126</v>
      </c>
      <c r="L21" s="32">
        <v>4391</v>
      </c>
      <c r="M21" s="32">
        <v>4654</v>
      </c>
      <c r="N21" s="32">
        <v>787</v>
      </c>
      <c r="O21" s="32">
        <v>638</v>
      </c>
      <c r="P21" s="32">
        <v>149</v>
      </c>
      <c r="Q21" s="32">
        <v>3867</v>
      </c>
      <c r="R21" s="33">
        <v>5.7725321999999997</v>
      </c>
      <c r="S21" s="33">
        <v>3.0686694999999999</v>
      </c>
      <c r="T21" s="33">
        <v>2.7038627000000002</v>
      </c>
      <c r="U21" s="33">
        <v>94.227467799999999</v>
      </c>
      <c r="V21" s="33">
        <v>16.9101848</v>
      </c>
      <c r="W21" s="33">
        <v>13.708637700000001</v>
      </c>
      <c r="X21" s="33">
        <v>3.2015471</v>
      </c>
      <c r="Y21" s="33">
        <v>83.089815200000004</v>
      </c>
    </row>
    <row r="22" spans="2:25" ht="15" hidden="1" customHeight="1">
      <c r="B22" s="25">
        <v>17</v>
      </c>
      <c r="C22" s="26" t="s">
        <v>21</v>
      </c>
      <c r="D22" s="26" t="s">
        <v>18</v>
      </c>
      <c r="E22" s="26" t="s">
        <v>20</v>
      </c>
      <c r="F22" s="26" t="s">
        <v>24</v>
      </c>
      <c r="G22" s="27" t="s">
        <v>15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  <c r="S22" s="29"/>
      <c r="T22" s="29"/>
      <c r="U22" s="29"/>
      <c r="V22" s="29"/>
      <c r="W22" s="29"/>
      <c r="X22" s="29"/>
      <c r="Y22" s="29"/>
    </row>
    <row r="23" spans="2:25" ht="15" hidden="1" customHeight="1">
      <c r="B23" s="25">
        <v>18</v>
      </c>
      <c r="C23" s="26" t="s">
        <v>21</v>
      </c>
      <c r="D23" s="26" t="s">
        <v>18</v>
      </c>
      <c r="E23" s="26" t="s">
        <v>20</v>
      </c>
      <c r="F23" s="26" t="s">
        <v>24</v>
      </c>
      <c r="G23" s="27" t="s">
        <v>16</v>
      </c>
      <c r="H23" s="28">
        <v>4660</v>
      </c>
      <c r="I23" s="28">
        <v>269</v>
      </c>
      <c r="J23" s="28">
        <v>143</v>
      </c>
      <c r="K23" s="28">
        <v>126</v>
      </c>
      <c r="L23" s="28">
        <v>4391</v>
      </c>
      <c r="M23" s="28">
        <v>4654</v>
      </c>
      <c r="N23" s="28">
        <v>787</v>
      </c>
      <c r="O23" s="28">
        <v>638</v>
      </c>
      <c r="P23" s="28">
        <v>149</v>
      </c>
      <c r="Q23" s="28">
        <v>3867</v>
      </c>
      <c r="R23" s="29">
        <v>5.7725321999999997</v>
      </c>
      <c r="S23" s="29">
        <v>3.0686694999999999</v>
      </c>
      <c r="T23" s="29">
        <v>2.7038627000000002</v>
      </c>
      <c r="U23" s="29">
        <v>94.227467799999999</v>
      </c>
      <c r="V23" s="29">
        <v>16.9101848</v>
      </c>
      <c r="W23" s="29">
        <v>13.708637700000001</v>
      </c>
      <c r="X23" s="29">
        <v>3.2015471</v>
      </c>
      <c r="Y23" s="29">
        <v>83.089815200000004</v>
      </c>
    </row>
    <row r="24" spans="2:25" ht="15" hidden="1" customHeight="1">
      <c r="B24" s="21">
        <v>19</v>
      </c>
      <c r="C24" s="22" t="s">
        <v>19</v>
      </c>
      <c r="D24" s="22" t="s">
        <v>18</v>
      </c>
      <c r="E24" s="22" t="s">
        <v>25</v>
      </c>
      <c r="F24" s="22"/>
      <c r="G24" s="22" t="s">
        <v>25</v>
      </c>
      <c r="H24" s="23">
        <v>5956</v>
      </c>
      <c r="I24" s="23">
        <v>1228</v>
      </c>
      <c r="J24" s="23">
        <v>696</v>
      </c>
      <c r="K24" s="23">
        <v>532</v>
      </c>
      <c r="L24" s="23">
        <v>4728</v>
      </c>
      <c r="M24" s="23">
        <v>7048</v>
      </c>
      <c r="N24" s="23">
        <v>2667</v>
      </c>
      <c r="O24" s="23">
        <v>2242</v>
      </c>
      <c r="P24" s="23">
        <v>425</v>
      </c>
      <c r="Q24" s="23">
        <v>4381</v>
      </c>
      <c r="R24" s="24">
        <v>20.617864300000001</v>
      </c>
      <c r="S24" s="24">
        <v>11.6856951</v>
      </c>
      <c r="T24" s="24">
        <v>8.9321692000000006</v>
      </c>
      <c r="U24" s="24">
        <v>79.382135700000006</v>
      </c>
      <c r="V24" s="24">
        <v>37.840522100000001</v>
      </c>
      <c r="W24" s="24">
        <v>31.810442699999999</v>
      </c>
      <c r="X24" s="24">
        <v>6.0300795000000003</v>
      </c>
      <c r="Y24" s="24">
        <v>62.159477899999999</v>
      </c>
    </row>
    <row r="25" spans="2:25" ht="15" hidden="1" customHeight="1">
      <c r="B25" s="25">
        <v>20</v>
      </c>
      <c r="C25" s="26" t="s">
        <v>19</v>
      </c>
      <c r="D25" s="26" t="s">
        <v>18</v>
      </c>
      <c r="E25" s="26" t="s">
        <v>25</v>
      </c>
      <c r="F25" s="26"/>
      <c r="G25" s="27" t="s">
        <v>15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  <c r="S25" s="29"/>
      <c r="T25" s="29"/>
      <c r="U25" s="29"/>
      <c r="V25" s="29"/>
      <c r="W25" s="29"/>
      <c r="X25" s="29"/>
      <c r="Y25" s="29"/>
    </row>
    <row r="26" spans="2:25" ht="15" hidden="1" customHeight="1">
      <c r="B26" s="25">
        <v>21</v>
      </c>
      <c r="C26" s="26" t="s">
        <v>19</v>
      </c>
      <c r="D26" s="26" t="s">
        <v>18</v>
      </c>
      <c r="E26" s="26" t="s">
        <v>25</v>
      </c>
      <c r="F26" s="26"/>
      <c r="G26" s="27" t="s">
        <v>16</v>
      </c>
      <c r="H26" s="28">
        <v>5956</v>
      </c>
      <c r="I26" s="28">
        <v>1228</v>
      </c>
      <c r="J26" s="28">
        <v>696</v>
      </c>
      <c r="K26" s="28">
        <v>532</v>
      </c>
      <c r="L26" s="28">
        <v>4728</v>
      </c>
      <c r="M26" s="28">
        <v>7048</v>
      </c>
      <c r="N26" s="28">
        <v>2667</v>
      </c>
      <c r="O26" s="28">
        <v>2242</v>
      </c>
      <c r="P26" s="28">
        <v>425</v>
      </c>
      <c r="Q26" s="28">
        <v>4381</v>
      </c>
      <c r="R26" s="29">
        <v>20.617864300000001</v>
      </c>
      <c r="S26" s="29">
        <v>11.6856951</v>
      </c>
      <c r="T26" s="29">
        <v>8.9321692000000006</v>
      </c>
      <c r="U26" s="29">
        <v>79.382135700000006</v>
      </c>
      <c r="V26" s="29">
        <v>37.840522100000001</v>
      </c>
      <c r="W26" s="29">
        <v>31.810442699999999</v>
      </c>
      <c r="X26" s="29">
        <v>6.0300795000000003</v>
      </c>
      <c r="Y26" s="29">
        <v>62.159477899999999</v>
      </c>
    </row>
    <row r="27" spans="2:25" ht="15" customHeight="1">
      <c r="B27" s="30">
        <v>22</v>
      </c>
      <c r="C27" s="31" t="s">
        <v>21</v>
      </c>
      <c r="D27" s="31" t="s">
        <v>18</v>
      </c>
      <c r="E27" s="31" t="s">
        <v>25</v>
      </c>
      <c r="F27" s="31" t="s">
        <v>25</v>
      </c>
      <c r="G27" s="31" t="s">
        <v>25</v>
      </c>
      <c r="H27" s="32">
        <v>2538</v>
      </c>
      <c r="I27" s="32">
        <v>567</v>
      </c>
      <c r="J27" s="32">
        <v>325</v>
      </c>
      <c r="K27" s="32">
        <v>242</v>
      </c>
      <c r="L27" s="32">
        <v>1971</v>
      </c>
      <c r="M27" s="32">
        <v>2450</v>
      </c>
      <c r="N27" s="32">
        <v>911</v>
      </c>
      <c r="O27" s="32">
        <v>766</v>
      </c>
      <c r="P27" s="32">
        <v>145</v>
      </c>
      <c r="Q27" s="32">
        <v>1539</v>
      </c>
      <c r="R27" s="33">
        <v>22.340425499999998</v>
      </c>
      <c r="S27" s="33">
        <v>12.8053586</v>
      </c>
      <c r="T27" s="33">
        <v>9.5350669999999997</v>
      </c>
      <c r="U27" s="33">
        <v>77.659574500000005</v>
      </c>
      <c r="V27" s="33">
        <v>37.183673499999998</v>
      </c>
      <c r="W27" s="33">
        <v>31.2653061</v>
      </c>
      <c r="X27" s="33">
        <v>5.9183672999999999</v>
      </c>
      <c r="Y27" s="33">
        <v>62.816326500000002</v>
      </c>
    </row>
    <row r="28" spans="2:25" ht="15" hidden="1" customHeight="1">
      <c r="B28" s="25">
        <v>23</v>
      </c>
      <c r="C28" s="26" t="s">
        <v>21</v>
      </c>
      <c r="D28" s="26" t="s">
        <v>18</v>
      </c>
      <c r="E28" s="26" t="s">
        <v>25</v>
      </c>
      <c r="F28" s="26" t="s">
        <v>25</v>
      </c>
      <c r="G28" s="27" t="s">
        <v>15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29"/>
      <c r="T28" s="29"/>
      <c r="U28" s="29"/>
      <c r="V28" s="29"/>
      <c r="W28" s="29"/>
      <c r="X28" s="29"/>
      <c r="Y28" s="29"/>
    </row>
    <row r="29" spans="2:25" ht="15" hidden="1" customHeight="1">
      <c r="B29" s="25">
        <v>24</v>
      </c>
      <c r="C29" s="26" t="s">
        <v>21</v>
      </c>
      <c r="D29" s="26" t="s">
        <v>18</v>
      </c>
      <c r="E29" s="26" t="s">
        <v>25</v>
      </c>
      <c r="F29" s="26" t="s">
        <v>25</v>
      </c>
      <c r="G29" s="27" t="s">
        <v>16</v>
      </c>
      <c r="H29" s="28">
        <v>2538</v>
      </c>
      <c r="I29" s="28">
        <v>567</v>
      </c>
      <c r="J29" s="28">
        <v>325</v>
      </c>
      <c r="K29" s="28">
        <v>242</v>
      </c>
      <c r="L29" s="28">
        <v>1971</v>
      </c>
      <c r="M29" s="28">
        <v>2450</v>
      </c>
      <c r="N29" s="28">
        <v>911</v>
      </c>
      <c r="O29" s="28">
        <v>766</v>
      </c>
      <c r="P29" s="28">
        <v>145</v>
      </c>
      <c r="Q29" s="28">
        <v>1539</v>
      </c>
      <c r="R29" s="29">
        <v>22.340425499999998</v>
      </c>
      <c r="S29" s="29">
        <v>12.8053586</v>
      </c>
      <c r="T29" s="29">
        <v>9.5350669999999997</v>
      </c>
      <c r="U29" s="29">
        <v>77.659574500000005</v>
      </c>
      <c r="V29" s="29">
        <v>37.183673499999998</v>
      </c>
      <c r="W29" s="29">
        <v>31.2653061</v>
      </c>
      <c r="X29" s="29">
        <v>5.9183672999999999</v>
      </c>
      <c r="Y29" s="29">
        <v>62.816326500000002</v>
      </c>
    </row>
    <row r="30" spans="2:25" ht="15" customHeight="1">
      <c r="B30" s="30">
        <v>25</v>
      </c>
      <c r="C30" s="31" t="s">
        <v>21</v>
      </c>
      <c r="D30" s="31" t="s">
        <v>18</v>
      </c>
      <c r="E30" s="31" t="s">
        <v>25</v>
      </c>
      <c r="F30" s="31" t="s">
        <v>26</v>
      </c>
      <c r="G30" s="31" t="s">
        <v>26</v>
      </c>
      <c r="H30" s="32">
        <v>3418</v>
      </c>
      <c r="I30" s="32">
        <v>661</v>
      </c>
      <c r="J30" s="32">
        <v>371</v>
      </c>
      <c r="K30" s="32">
        <v>290</v>
      </c>
      <c r="L30" s="32">
        <v>2757</v>
      </c>
      <c r="M30" s="32">
        <v>4598</v>
      </c>
      <c r="N30" s="32">
        <v>1756</v>
      </c>
      <c r="O30" s="32">
        <v>1476</v>
      </c>
      <c r="P30" s="32">
        <v>280</v>
      </c>
      <c r="Q30" s="32">
        <v>2842</v>
      </c>
      <c r="R30" s="33">
        <v>19.3387946</v>
      </c>
      <c r="S30" s="33">
        <v>10.854300800000001</v>
      </c>
      <c r="T30" s="33">
        <v>8.4844939000000004</v>
      </c>
      <c r="U30" s="33">
        <v>80.6612054</v>
      </c>
      <c r="V30" s="33">
        <v>38.1905176</v>
      </c>
      <c r="W30" s="33">
        <v>32.100913400000003</v>
      </c>
      <c r="X30" s="33">
        <v>6.0896042000000001</v>
      </c>
      <c r="Y30" s="33">
        <v>61.8094824</v>
      </c>
    </row>
    <row r="31" spans="2:25" ht="15" hidden="1" customHeight="1">
      <c r="B31" s="25">
        <v>26</v>
      </c>
      <c r="C31" s="26" t="s">
        <v>21</v>
      </c>
      <c r="D31" s="26" t="s">
        <v>18</v>
      </c>
      <c r="E31" s="26" t="s">
        <v>25</v>
      </c>
      <c r="F31" s="26" t="s">
        <v>26</v>
      </c>
      <c r="G31" s="27" t="s">
        <v>15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  <c r="S31" s="29"/>
      <c r="T31" s="29"/>
      <c r="U31" s="29"/>
      <c r="V31" s="29"/>
      <c r="W31" s="29"/>
      <c r="X31" s="29"/>
      <c r="Y31" s="29"/>
    </row>
    <row r="32" spans="2:25" ht="15" hidden="1" customHeight="1">
      <c r="B32" s="25">
        <v>27</v>
      </c>
      <c r="C32" s="26" t="s">
        <v>21</v>
      </c>
      <c r="D32" s="26" t="s">
        <v>18</v>
      </c>
      <c r="E32" s="26" t="s">
        <v>25</v>
      </c>
      <c r="F32" s="26" t="s">
        <v>26</v>
      </c>
      <c r="G32" s="27" t="s">
        <v>16</v>
      </c>
      <c r="H32" s="28">
        <v>3418</v>
      </c>
      <c r="I32" s="28">
        <v>661</v>
      </c>
      <c r="J32" s="28">
        <v>371</v>
      </c>
      <c r="K32" s="28">
        <v>290</v>
      </c>
      <c r="L32" s="28">
        <v>2757</v>
      </c>
      <c r="M32" s="28">
        <v>4598</v>
      </c>
      <c r="N32" s="28">
        <v>1756</v>
      </c>
      <c r="O32" s="28">
        <v>1476</v>
      </c>
      <c r="P32" s="28">
        <v>280</v>
      </c>
      <c r="Q32" s="28">
        <v>2842</v>
      </c>
      <c r="R32" s="29">
        <v>19.3387946</v>
      </c>
      <c r="S32" s="29">
        <v>10.854300800000001</v>
      </c>
      <c r="T32" s="29">
        <v>8.4844939000000004</v>
      </c>
      <c r="U32" s="29">
        <v>80.6612054</v>
      </c>
      <c r="V32" s="29">
        <v>38.1905176</v>
      </c>
      <c r="W32" s="29">
        <v>32.100913400000003</v>
      </c>
      <c r="X32" s="29">
        <v>6.0896042000000001</v>
      </c>
      <c r="Y32" s="29">
        <v>61.8094824</v>
      </c>
    </row>
    <row r="33" spans="2:25" ht="15" hidden="1" customHeight="1">
      <c r="B33" s="21">
        <v>28</v>
      </c>
      <c r="C33" s="22" t="s">
        <v>19</v>
      </c>
      <c r="D33" s="22" t="s">
        <v>18</v>
      </c>
      <c r="E33" s="22" t="s">
        <v>27</v>
      </c>
      <c r="F33" s="22"/>
      <c r="G33" s="22" t="s">
        <v>27</v>
      </c>
      <c r="H33" s="23">
        <v>9116</v>
      </c>
      <c r="I33" s="23">
        <v>3134</v>
      </c>
      <c r="J33" s="23">
        <v>1749</v>
      </c>
      <c r="K33" s="23">
        <v>1385</v>
      </c>
      <c r="L33" s="23">
        <v>5982</v>
      </c>
      <c r="M33" s="23">
        <v>11636</v>
      </c>
      <c r="N33" s="23">
        <v>5831</v>
      </c>
      <c r="O33" s="23">
        <v>4906</v>
      </c>
      <c r="P33" s="23">
        <v>925</v>
      </c>
      <c r="Q33" s="23">
        <v>5805</v>
      </c>
      <c r="R33" s="24">
        <v>34.379113599999997</v>
      </c>
      <c r="S33" s="24">
        <v>19.1860465</v>
      </c>
      <c r="T33" s="24">
        <v>15.1930671</v>
      </c>
      <c r="U33" s="24">
        <v>65.620886400000003</v>
      </c>
      <c r="V33" s="24">
        <v>50.111722200000003</v>
      </c>
      <c r="W33" s="24">
        <v>42.162255100000003</v>
      </c>
      <c r="X33" s="24">
        <v>7.9494672</v>
      </c>
      <c r="Y33" s="24">
        <v>49.888277799999997</v>
      </c>
    </row>
    <row r="34" spans="2:25" ht="15" hidden="1" customHeight="1">
      <c r="B34" s="25">
        <v>29</v>
      </c>
      <c r="C34" s="26" t="s">
        <v>19</v>
      </c>
      <c r="D34" s="26" t="s">
        <v>18</v>
      </c>
      <c r="E34" s="26" t="s">
        <v>27</v>
      </c>
      <c r="F34" s="26"/>
      <c r="G34" s="27" t="s">
        <v>15</v>
      </c>
      <c r="H34" s="28">
        <v>1385</v>
      </c>
      <c r="I34" s="28">
        <v>987</v>
      </c>
      <c r="J34" s="28">
        <v>463</v>
      </c>
      <c r="K34" s="28">
        <v>524</v>
      </c>
      <c r="L34" s="28">
        <v>398</v>
      </c>
      <c r="M34" s="28">
        <v>2686</v>
      </c>
      <c r="N34" s="28">
        <v>2449</v>
      </c>
      <c r="O34" s="28">
        <v>1888</v>
      </c>
      <c r="P34" s="28">
        <v>561</v>
      </c>
      <c r="Q34" s="28">
        <v>237</v>
      </c>
      <c r="R34" s="29">
        <v>71.263537900000003</v>
      </c>
      <c r="S34" s="29">
        <v>33.429602899999999</v>
      </c>
      <c r="T34" s="29">
        <v>37.833934999999997</v>
      </c>
      <c r="U34" s="29">
        <v>28.736462100000001</v>
      </c>
      <c r="V34" s="29">
        <v>91.176470600000002</v>
      </c>
      <c r="W34" s="29">
        <v>70.290394599999999</v>
      </c>
      <c r="X34" s="29">
        <v>20.886075900000002</v>
      </c>
      <c r="Y34" s="29">
        <v>8.8235294</v>
      </c>
    </row>
    <row r="35" spans="2:25" ht="15" hidden="1" customHeight="1">
      <c r="B35" s="25">
        <v>30</v>
      </c>
      <c r="C35" s="26" t="s">
        <v>19</v>
      </c>
      <c r="D35" s="26" t="s">
        <v>18</v>
      </c>
      <c r="E35" s="26" t="s">
        <v>27</v>
      </c>
      <c r="F35" s="26"/>
      <c r="G35" s="27" t="s">
        <v>16</v>
      </c>
      <c r="H35" s="28">
        <v>7731</v>
      </c>
      <c r="I35" s="28">
        <v>2147</v>
      </c>
      <c r="J35" s="28">
        <v>1286</v>
      </c>
      <c r="K35" s="28">
        <v>861</v>
      </c>
      <c r="L35" s="28">
        <v>5584</v>
      </c>
      <c r="M35" s="28">
        <v>8950</v>
      </c>
      <c r="N35" s="28">
        <v>3382</v>
      </c>
      <c r="O35" s="28">
        <v>3018</v>
      </c>
      <c r="P35" s="28">
        <v>364</v>
      </c>
      <c r="Q35" s="28">
        <v>5568</v>
      </c>
      <c r="R35" s="29">
        <v>27.7713103</v>
      </c>
      <c r="S35" s="29">
        <v>16.634329300000001</v>
      </c>
      <c r="T35" s="29">
        <v>11.136981</v>
      </c>
      <c r="U35" s="29">
        <v>72.228689700000004</v>
      </c>
      <c r="V35" s="29">
        <v>37.787709499999998</v>
      </c>
      <c r="W35" s="29">
        <v>33.720670400000003</v>
      </c>
      <c r="X35" s="29">
        <v>4.0670390999999997</v>
      </c>
      <c r="Y35" s="29">
        <v>62.212290500000002</v>
      </c>
    </row>
    <row r="36" spans="2:25" ht="15" customHeight="1">
      <c r="B36" s="30">
        <v>31</v>
      </c>
      <c r="C36" s="31" t="s">
        <v>21</v>
      </c>
      <c r="D36" s="31" t="s">
        <v>18</v>
      </c>
      <c r="E36" s="31" t="s">
        <v>27</v>
      </c>
      <c r="F36" s="31" t="s">
        <v>27</v>
      </c>
      <c r="G36" s="31" t="s">
        <v>27</v>
      </c>
      <c r="H36" s="32">
        <v>2586</v>
      </c>
      <c r="I36" s="32">
        <v>848</v>
      </c>
      <c r="J36" s="32">
        <v>453</v>
      </c>
      <c r="K36" s="32">
        <v>395</v>
      </c>
      <c r="L36" s="32">
        <v>1738</v>
      </c>
      <c r="M36" s="32">
        <v>3187</v>
      </c>
      <c r="N36" s="32">
        <v>1538</v>
      </c>
      <c r="O36" s="32">
        <v>1229</v>
      </c>
      <c r="P36" s="32">
        <v>309</v>
      </c>
      <c r="Q36" s="32">
        <v>1649</v>
      </c>
      <c r="R36" s="33">
        <v>32.7919567</v>
      </c>
      <c r="S36" s="33">
        <v>17.517401400000001</v>
      </c>
      <c r="T36" s="33">
        <v>15.274555299999999</v>
      </c>
      <c r="U36" s="33">
        <v>67.2080433</v>
      </c>
      <c r="V36" s="33">
        <v>48.258550399999997</v>
      </c>
      <c r="W36" s="33">
        <v>38.562911800000002</v>
      </c>
      <c r="X36" s="33">
        <v>9.6956384999999994</v>
      </c>
      <c r="Y36" s="33">
        <v>51.741449600000003</v>
      </c>
    </row>
    <row r="37" spans="2:25" ht="15" hidden="1" customHeight="1">
      <c r="B37" s="25">
        <v>32</v>
      </c>
      <c r="C37" s="26" t="s">
        <v>21</v>
      </c>
      <c r="D37" s="26" t="s">
        <v>18</v>
      </c>
      <c r="E37" s="26" t="s">
        <v>27</v>
      </c>
      <c r="F37" s="26" t="s">
        <v>27</v>
      </c>
      <c r="G37" s="27" t="s">
        <v>15</v>
      </c>
      <c r="H37" s="28">
        <v>825</v>
      </c>
      <c r="I37" s="28">
        <v>619</v>
      </c>
      <c r="J37" s="28">
        <v>296</v>
      </c>
      <c r="K37" s="28">
        <v>323</v>
      </c>
      <c r="L37" s="28">
        <v>206</v>
      </c>
      <c r="M37" s="28">
        <v>1220</v>
      </c>
      <c r="N37" s="28">
        <v>1109</v>
      </c>
      <c r="O37" s="28">
        <v>829</v>
      </c>
      <c r="P37" s="28">
        <v>280</v>
      </c>
      <c r="Q37" s="28">
        <v>111</v>
      </c>
      <c r="R37" s="29">
        <v>75.030303000000004</v>
      </c>
      <c r="S37" s="29">
        <v>35.878787899999999</v>
      </c>
      <c r="T37" s="29">
        <v>39.151515199999999</v>
      </c>
      <c r="U37" s="29">
        <v>24.969697</v>
      </c>
      <c r="V37" s="29">
        <v>90.901639299999999</v>
      </c>
      <c r="W37" s="29">
        <v>67.950819699999997</v>
      </c>
      <c r="X37" s="29">
        <v>22.9508197</v>
      </c>
      <c r="Y37" s="29">
        <v>9.0983607000000006</v>
      </c>
    </row>
    <row r="38" spans="2:25" ht="15" hidden="1" customHeight="1">
      <c r="B38" s="25">
        <v>33</v>
      </c>
      <c r="C38" s="26" t="s">
        <v>21</v>
      </c>
      <c r="D38" s="26" t="s">
        <v>18</v>
      </c>
      <c r="E38" s="26" t="s">
        <v>27</v>
      </c>
      <c r="F38" s="26" t="s">
        <v>27</v>
      </c>
      <c r="G38" s="27" t="s">
        <v>16</v>
      </c>
      <c r="H38" s="28">
        <v>1761</v>
      </c>
      <c r="I38" s="28">
        <v>229</v>
      </c>
      <c r="J38" s="28">
        <v>157</v>
      </c>
      <c r="K38" s="28">
        <v>72</v>
      </c>
      <c r="L38" s="28">
        <v>1532</v>
      </c>
      <c r="M38" s="28">
        <v>1967</v>
      </c>
      <c r="N38" s="28">
        <v>429</v>
      </c>
      <c r="O38" s="28">
        <v>400</v>
      </c>
      <c r="P38" s="28">
        <v>29</v>
      </c>
      <c r="Q38" s="28">
        <v>1538</v>
      </c>
      <c r="R38" s="29">
        <v>13.003975000000001</v>
      </c>
      <c r="S38" s="29">
        <v>8.9153889999999993</v>
      </c>
      <c r="T38" s="29">
        <v>4.0885860000000003</v>
      </c>
      <c r="U38" s="29">
        <v>86.996025000000003</v>
      </c>
      <c r="V38" s="29">
        <v>21.8098627</v>
      </c>
      <c r="W38" s="29">
        <v>20.335536300000001</v>
      </c>
      <c r="X38" s="29">
        <v>1.4743264</v>
      </c>
      <c r="Y38" s="29">
        <v>78.190137300000004</v>
      </c>
    </row>
    <row r="39" spans="2:25" ht="15" customHeight="1">
      <c r="B39" s="30">
        <v>34</v>
      </c>
      <c r="C39" s="31" t="s">
        <v>21</v>
      </c>
      <c r="D39" s="31" t="s">
        <v>18</v>
      </c>
      <c r="E39" s="31" t="s">
        <v>27</v>
      </c>
      <c r="F39" s="31" t="s">
        <v>28</v>
      </c>
      <c r="G39" s="31" t="s">
        <v>28</v>
      </c>
      <c r="H39" s="32">
        <v>2717</v>
      </c>
      <c r="I39" s="32">
        <v>566</v>
      </c>
      <c r="J39" s="32">
        <v>288</v>
      </c>
      <c r="K39" s="32">
        <v>278</v>
      </c>
      <c r="L39" s="32">
        <v>2151</v>
      </c>
      <c r="M39" s="32">
        <v>3271</v>
      </c>
      <c r="N39" s="32">
        <v>1435</v>
      </c>
      <c r="O39" s="32">
        <v>1229</v>
      </c>
      <c r="P39" s="32">
        <v>206</v>
      </c>
      <c r="Q39" s="32">
        <v>1836</v>
      </c>
      <c r="R39" s="33">
        <v>20.831799799999999</v>
      </c>
      <c r="S39" s="33">
        <v>10.599926399999999</v>
      </c>
      <c r="T39" s="33">
        <v>10.2318734</v>
      </c>
      <c r="U39" s="33">
        <v>79.168200200000001</v>
      </c>
      <c r="V39" s="33">
        <v>43.870376</v>
      </c>
      <c r="W39" s="33">
        <v>37.5726078</v>
      </c>
      <c r="X39" s="33">
        <v>6.2977683000000004</v>
      </c>
      <c r="Y39" s="33">
        <v>56.129624</v>
      </c>
    </row>
    <row r="40" spans="2:25" ht="15" hidden="1" customHeight="1">
      <c r="B40" s="25">
        <v>35</v>
      </c>
      <c r="C40" s="26" t="s">
        <v>21</v>
      </c>
      <c r="D40" s="26" t="s">
        <v>18</v>
      </c>
      <c r="E40" s="26" t="s">
        <v>27</v>
      </c>
      <c r="F40" s="26" t="s">
        <v>28</v>
      </c>
      <c r="G40" s="27" t="s">
        <v>15</v>
      </c>
      <c r="H40" s="28">
        <v>560</v>
      </c>
      <c r="I40" s="28">
        <v>368</v>
      </c>
      <c r="J40" s="28">
        <v>167</v>
      </c>
      <c r="K40" s="28">
        <v>201</v>
      </c>
      <c r="L40" s="28">
        <v>192</v>
      </c>
      <c r="M40" s="28">
        <v>609</v>
      </c>
      <c r="N40" s="28">
        <v>544</v>
      </c>
      <c r="O40" s="28">
        <v>428</v>
      </c>
      <c r="P40" s="28">
        <v>116</v>
      </c>
      <c r="Q40" s="28">
        <v>65</v>
      </c>
      <c r="R40" s="29">
        <v>65.714285700000005</v>
      </c>
      <c r="S40" s="29">
        <v>29.821428600000001</v>
      </c>
      <c r="T40" s="29">
        <v>35.892857100000001</v>
      </c>
      <c r="U40" s="29">
        <v>34.285714300000002</v>
      </c>
      <c r="V40" s="29">
        <v>89.326765199999997</v>
      </c>
      <c r="W40" s="29">
        <v>70.279146100000006</v>
      </c>
      <c r="X40" s="29">
        <v>19.047619000000001</v>
      </c>
      <c r="Y40" s="29">
        <v>10.673234799999999</v>
      </c>
    </row>
    <row r="41" spans="2:25" ht="15" hidden="1" customHeight="1">
      <c r="B41" s="25">
        <v>36</v>
      </c>
      <c r="C41" s="26" t="s">
        <v>21</v>
      </c>
      <c r="D41" s="26" t="s">
        <v>18</v>
      </c>
      <c r="E41" s="26" t="s">
        <v>27</v>
      </c>
      <c r="F41" s="26" t="s">
        <v>28</v>
      </c>
      <c r="G41" s="27" t="s">
        <v>16</v>
      </c>
      <c r="H41" s="28">
        <v>2157</v>
      </c>
      <c r="I41" s="28">
        <v>198</v>
      </c>
      <c r="J41" s="28">
        <v>121</v>
      </c>
      <c r="K41" s="28">
        <v>77</v>
      </c>
      <c r="L41" s="28">
        <v>1959</v>
      </c>
      <c r="M41" s="28">
        <v>2662</v>
      </c>
      <c r="N41" s="28">
        <v>891</v>
      </c>
      <c r="O41" s="28">
        <v>801</v>
      </c>
      <c r="P41" s="28">
        <v>90</v>
      </c>
      <c r="Q41" s="28">
        <v>1771</v>
      </c>
      <c r="R41" s="29">
        <v>9.1794159000000004</v>
      </c>
      <c r="S41" s="29">
        <v>5.6096430000000002</v>
      </c>
      <c r="T41" s="29">
        <v>3.5697728</v>
      </c>
      <c r="U41" s="29">
        <v>90.820584100000005</v>
      </c>
      <c r="V41" s="29">
        <v>33.471074399999999</v>
      </c>
      <c r="W41" s="29">
        <v>30.0901578</v>
      </c>
      <c r="X41" s="29">
        <v>3.3809165999999999</v>
      </c>
      <c r="Y41" s="29">
        <v>66.528925599999994</v>
      </c>
    </row>
    <row r="42" spans="2:25" ht="15" customHeight="1">
      <c r="B42" s="30">
        <v>37</v>
      </c>
      <c r="C42" s="31" t="s">
        <v>21</v>
      </c>
      <c r="D42" s="31" t="s">
        <v>18</v>
      </c>
      <c r="E42" s="31" t="s">
        <v>27</v>
      </c>
      <c r="F42" s="31" t="s">
        <v>29</v>
      </c>
      <c r="G42" s="31" t="s">
        <v>29</v>
      </c>
      <c r="H42" s="32">
        <v>1982</v>
      </c>
      <c r="I42" s="32">
        <v>715</v>
      </c>
      <c r="J42" s="32">
        <v>358</v>
      </c>
      <c r="K42" s="32">
        <v>357</v>
      </c>
      <c r="L42" s="32">
        <v>1267</v>
      </c>
      <c r="M42" s="32">
        <v>2543</v>
      </c>
      <c r="N42" s="32">
        <v>1487</v>
      </c>
      <c r="O42" s="32">
        <v>1250</v>
      </c>
      <c r="P42" s="32">
        <v>237</v>
      </c>
      <c r="Q42" s="32">
        <v>1056</v>
      </c>
      <c r="R42" s="33">
        <v>36.074672</v>
      </c>
      <c r="S42" s="33">
        <v>18.062563099999998</v>
      </c>
      <c r="T42" s="33">
        <v>18.012108999999999</v>
      </c>
      <c r="U42" s="33">
        <v>63.925328</v>
      </c>
      <c r="V42" s="33">
        <v>58.474243000000001</v>
      </c>
      <c r="W42" s="33">
        <v>49.154541899999998</v>
      </c>
      <c r="X42" s="33">
        <v>9.3197010999999996</v>
      </c>
      <c r="Y42" s="33">
        <v>41.525756999999999</v>
      </c>
    </row>
    <row r="43" spans="2:25" ht="15" hidden="1" customHeight="1">
      <c r="B43" s="25">
        <v>38</v>
      </c>
      <c r="C43" s="26" t="s">
        <v>21</v>
      </c>
      <c r="D43" s="26" t="s">
        <v>18</v>
      </c>
      <c r="E43" s="26" t="s">
        <v>27</v>
      </c>
      <c r="F43" s="26" t="s">
        <v>29</v>
      </c>
      <c r="G43" s="27" t="s">
        <v>15</v>
      </c>
      <c r="H43" s="28"/>
      <c r="I43" s="28"/>
      <c r="J43" s="28"/>
      <c r="K43" s="28"/>
      <c r="L43" s="28"/>
      <c r="M43" s="28">
        <v>857</v>
      </c>
      <c r="N43" s="28">
        <v>796</v>
      </c>
      <c r="O43" s="28">
        <v>631</v>
      </c>
      <c r="P43" s="28">
        <v>165</v>
      </c>
      <c r="Q43" s="28">
        <v>61</v>
      </c>
      <c r="R43" s="29"/>
      <c r="S43" s="29"/>
      <c r="T43" s="29"/>
      <c r="U43" s="29"/>
      <c r="V43" s="29">
        <v>92.882147000000003</v>
      </c>
      <c r="W43" s="29">
        <v>73.628938199999993</v>
      </c>
      <c r="X43" s="29">
        <v>19.253208900000001</v>
      </c>
      <c r="Y43" s="29">
        <v>7.1178530000000002</v>
      </c>
    </row>
    <row r="44" spans="2:25" ht="15" hidden="1" customHeight="1">
      <c r="B44" s="25">
        <v>39</v>
      </c>
      <c r="C44" s="26" t="s">
        <v>21</v>
      </c>
      <c r="D44" s="26" t="s">
        <v>18</v>
      </c>
      <c r="E44" s="26" t="s">
        <v>27</v>
      </c>
      <c r="F44" s="26" t="s">
        <v>29</v>
      </c>
      <c r="G44" s="27" t="s">
        <v>16</v>
      </c>
      <c r="H44" s="28">
        <v>1982</v>
      </c>
      <c r="I44" s="28">
        <v>715</v>
      </c>
      <c r="J44" s="28">
        <v>358</v>
      </c>
      <c r="K44" s="28">
        <v>357</v>
      </c>
      <c r="L44" s="28">
        <v>1267</v>
      </c>
      <c r="M44" s="28">
        <v>1686</v>
      </c>
      <c r="N44" s="28">
        <v>691</v>
      </c>
      <c r="O44" s="28">
        <v>619</v>
      </c>
      <c r="P44" s="28">
        <v>72</v>
      </c>
      <c r="Q44" s="28">
        <v>995</v>
      </c>
      <c r="R44" s="29">
        <v>36.074672</v>
      </c>
      <c r="S44" s="29">
        <v>18.062563099999998</v>
      </c>
      <c r="T44" s="29">
        <v>18.012108999999999</v>
      </c>
      <c r="U44" s="29">
        <v>63.925328</v>
      </c>
      <c r="V44" s="29">
        <v>40.984578900000002</v>
      </c>
      <c r="W44" s="29">
        <v>36.714116300000001</v>
      </c>
      <c r="X44" s="29">
        <v>4.2704626000000001</v>
      </c>
      <c r="Y44" s="29">
        <v>59.015421099999998</v>
      </c>
    </row>
    <row r="45" spans="2:25" ht="15" customHeight="1">
      <c r="B45" s="30">
        <v>40</v>
      </c>
      <c r="C45" s="31" t="s">
        <v>21</v>
      </c>
      <c r="D45" s="31" t="s">
        <v>18</v>
      </c>
      <c r="E45" s="31" t="s">
        <v>27</v>
      </c>
      <c r="F45" s="31" t="s">
        <v>30</v>
      </c>
      <c r="G45" s="31" t="s">
        <v>30</v>
      </c>
      <c r="H45" s="32">
        <v>1831</v>
      </c>
      <c r="I45" s="32">
        <v>1005</v>
      </c>
      <c r="J45" s="32">
        <v>650</v>
      </c>
      <c r="K45" s="32">
        <v>355</v>
      </c>
      <c r="L45" s="32">
        <v>826</v>
      </c>
      <c r="M45" s="32">
        <v>2635</v>
      </c>
      <c r="N45" s="32">
        <v>1371</v>
      </c>
      <c r="O45" s="32">
        <v>1198</v>
      </c>
      <c r="P45" s="32">
        <v>173</v>
      </c>
      <c r="Q45" s="32">
        <v>1264</v>
      </c>
      <c r="R45" s="33">
        <v>54.888039300000003</v>
      </c>
      <c r="S45" s="33">
        <v>35.499726899999999</v>
      </c>
      <c r="T45" s="33">
        <v>19.3883124</v>
      </c>
      <c r="U45" s="33">
        <v>45.111960699999997</v>
      </c>
      <c r="V45" s="33">
        <v>52.0303605</v>
      </c>
      <c r="W45" s="33">
        <v>45.464895599999998</v>
      </c>
      <c r="X45" s="33">
        <v>6.5654649000000003</v>
      </c>
      <c r="Y45" s="33">
        <v>47.9696395</v>
      </c>
    </row>
    <row r="46" spans="2:25" ht="15" hidden="1" customHeight="1">
      <c r="B46" s="25">
        <v>41</v>
      </c>
      <c r="C46" s="26" t="s">
        <v>21</v>
      </c>
      <c r="D46" s="26" t="s">
        <v>18</v>
      </c>
      <c r="E46" s="26" t="s">
        <v>27</v>
      </c>
      <c r="F46" s="26" t="s">
        <v>30</v>
      </c>
      <c r="G46" s="27" t="s">
        <v>15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9"/>
      <c r="S46" s="29"/>
      <c r="T46" s="29"/>
      <c r="U46" s="29"/>
      <c r="V46" s="29"/>
      <c r="W46" s="29"/>
      <c r="X46" s="29"/>
      <c r="Y46" s="29"/>
    </row>
    <row r="47" spans="2:25" ht="15" hidden="1" customHeight="1">
      <c r="B47" s="25">
        <v>42</v>
      </c>
      <c r="C47" s="26" t="s">
        <v>21</v>
      </c>
      <c r="D47" s="26" t="s">
        <v>18</v>
      </c>
      <c r="E47" s="26" t="s">
        <v>27</v>
      </c>
      <c r="F47" s="26" t="s">
        <v>30</v>
      </c>
      <c r="G47" s="27" t="s">
        <v>16</v>
      </c>
      <c r="H47" s="28">
        <v>1831</v>
      </c>
      <c r="I47" s="28">
        <v>1005</v>
      </c>
      <c r="J47" s="28">
        <v>650</v>
      </c>
      <c r="K47" s="28">
        <v>355</v>
      </c>
      <c r="L47" s="28">
        <v>826</v>
      </c>
      <c r="M47" s="28">
        <v>2635</v>
      </c>
      <c r="N47" s="28">
        <v>1371</v>
      </c>
      <c r="O47" s="28">
        <v>1198</v>
      </c>
      <c r="P47" s="28">
        <v>173</v>
      </c>
      <c r="Q47" s="28">
        <v>1264</v>
      </c>
      <c r="R47" s="29">
        <v>54.888039300000003</v>
      </c>
      <c r="S47" s="29">
        <v>35.499726899999999</v>
      </c>
      <c r="T47" s="29">
        <v>19.3883124</v>
      </c>
      <c r="U47" s="29">
        <v>45.111960699999997</v>
      </c>
      <c r="V47" s="29">
        <v>52.0303605</v>
      </c>
      <c r="W47" s="29">
        <v>45.464895599999998</v>
      </c>
      <c r="X47" s="29">
        <v>6.5654649000000003</v>
      </c>
      <c r="Y47" s="29">
        <v>47.9696395</v>
      </c>
    </row>
    <row r="48" spans="2:25" ht="15" hidden="1" customHeight="1">
      <c r="B48" s="21">
        <v>43</v>
      </c>
      <c r="C48" s="22" t="s">
        <v>19</v>
      </c>
      <c r="D48" s="22" t="s">
        <v>18</v>
      </c>
      <c r="E48" s="22" t="s">
        <v>31</v>
      </c>
      <c r="F48" s="22"/>
      <c r="G48" s="22" t="s">
        <v>31</v>
      </c>
      <c r="H48" s="23">
        <v>9217</v>
      </c>
      <c r="I48" s="23">
        <v>3376</v>
      </c>
      <c r="J48" s="23">
        <v>1750</v>
      </c>
      <c r="K48" s="23">
        <v>1626</v>
      </c>
      <c r="L48" s="23">
        <v>5841</v>
      </c>
      <c r="M48" s="23">
        <v>10144</v>
      </c>
      <c r="N48" s="23">
        <v>5876</v>
      </c>
      <c r="O48" s="23">
        <v>4913</v>
      </c>
      <c r="P48" s="23">
        <v>963</v>
      </c>
      <c r="Q48" s="23">
        <v>4268</v>
      </c>
      <c r="R48" s="24">
        <v>36.627970099999999</v>
      </c>
      <c r="S48" s="24">
        <v>18.9866551</v>
      </c>
      <c r="T48" s="24">
        <v>17.641314999999999</v>
      </c>
      <c r="U48" s="24">
        <v>63.372029900000001</v>
      </c>
      <c r="V48" s="24">
        <v>57.925867500000003</v>
      </c>
      <c r="W48" s="24">
        <v>48.432571000000003</v>
      </c>
      <c r="X48" s="24">
        <v>9.4932964999999996</v>
      </c>
      <c r="Y48" s="24">
        <v>42.074132499999997</v>
      </c>
    </row>
    <row r="49" spans="2:25" ht="15" hidden="1" customHeight="1">
      <c r="B49" s="25">
        <v>44</v>
      </c>
      <c r="C49" s="26" t="s">
        <v>19</v>
      </c>
      <c r="D49" s="26" t="s">
        <v>18</v>
      </c>
      <c r="E49" s="26" t="s">
        <v>31</v>
      </c>
      <c r="F49" s="26"/>
      <c r="G49" s="27" t="s">
        <v>15</v>
      </c>
      <c r="H49" s="28">
        <v>1590</v>
      </c>
      <c r="I49" s="28">
        <v>1257</v>
      </c>
      <c r="J49" s="28">
        <v>582</v>
      </c>
      <c r="K49" s="28">
        <v>675</v>
      </c>
      <c r="L49" s="28">
        <v>333</v>
      </c>
      <c r="M49" s="28">
        <v>2053</v>
      </c>
      <c r="N49" s="28">
        <v>1882</v>
      </c>
      <c r="O49" s="28">
        <v>1469</v>
      </c>
      <c r="P49" s="28">
        <v>413</v>
      </c>
      <c r="Q49" s="28">
        <v>171</v>
      </c>
      <c r="R49" s="29">
        <v>79.056603800000005</v>
      </c>
      <c r="S49" s="29">
        <v>36.603773599999997</v>
      </c>
      <c r="T49" s="29">
        <v>42.452830200000001</v>
      </c>
      <c r="U49" s="29">
        <v>20.943396199999999</v>
      </c>
      <c r="V49" s="29">
        <v>91.6707258</v>
      </c>
      <c r="W49" s="29">
        <v>71.553823699999995</v>
      </c>
      <c r="X49" s="29">
        <v>20.116902100000001</v>
      </c>
      <c r="Y49" s="29">
        <v>8.3292742000000004</v>
      </c>
    </row>
    <row r="50" spans="2:25" ht="15" hidden="1" customHeight="1">
      <c r="B50" s="25">
        <v>45</v>
      </c>
      <c r="C50" s="26" t="s">
        <v>19</v>
      </c>
      <c r="D50" s="26" t="s">
        <v>18</v>
      </c>
      <c r="E50" s="26" t="s">
        <v>31</v>
      </c>
      <c r="F50" s="26"/>
      <c r="G50" s="27" t="s">
        <v>16</v>
      </c>
      <c r="H50" s="28">
        <v>7627</v>
      </c>
      <c r="I50" s="28">
        <v>2119</v>
      </c>
      <c r="J50" s="28">
        <v>1168</v>
      </c>
      <c r="K50" s="28">
        <v>951</v>
      </c>
      <c r="L50" s="28">
        <v>5508</v>
      </c>
      <c r="M50" s="28">
        <v>8091</v>
      </c>
      <c r="N50" s="28">
        <v>3994</v>
      </c>
      <c r="O50" s="28">
        <v>3444</v>
      </c>
      <c r="P50" s="28">
        <v>550</v>
      </c>
      <c r="Q50" s="28">
        <v>4097</v>
      </c>
      <c r="R50" s="29">
        <v>27.782876600000002</v>
      </c>
      <c r="S50" s="29">
        <v>15.314016000000001</v>
      </c>
      <c r="T50" s="29">
        <v>12.468860599999999</v>
      </c>
      <c r="U50" s="29">
        <v>72.217123400000006</v>
      </c>
      <c r="V50" s="29">
        <v>49.363490300000002</v>
      </c>
      <c r="W50" s="29">
        <v>42.565813900000002</v>
      </c>
      <c r="X50" s="29">
        <v>6.7976764000000003</v>
      </c>
      <c r="Y50" s="29">
        <v>50.636509699999998</v>
      </c>
    </row>
    <row r="51" spans="2:25" ht="15" customHeight="1">
      <c r="B51" s="30">
        <v>46</v>
      </c>
      <c r="C51" s="31" t="s">
        <v>21</v>
      </c>
      <c r="D51" s="31" t="s">
        <v>18</v>
      </c>
      <c r="E51" s="31" t="s">
        <v>31</v>
      </c>
      <c r="F51" s="31" t="s">
        <v>32</v>
      </c>
      <c r="G51" s="31" t="s">
        <v>32</v>
      </c>
      <c r="H51" s="32">
        <v>2810</v>
      </c>
      <c r="I51" s="32">
        <v>1089</v>
      </c>
      <c r="J51" s="32">
        <v>523</v>
      </c>
      <c r="K51" s="32">
        <v>566</v>
      </c>
      <c r="L51" s="32">
        <v>1721</v>
      </c>
      <c r="M51" s="32">
        <v>3186</v>
      </c>
      <c r="N51" s="32">
        <v>1919</v>
      </c>
      <c r="O51" s="32">
        <v>1551</v>
      </c>
      <c r="P51" s="32">
        <v>368</v>
      </c>
      <c r="Q51" s="32">
        <v>1267</v>
      </c>
      <c r="R51" s="33">
        <v>38.754448400000001</v>
      </c>
      <c r="S51" s="33">
        <v>18.612099600000001</v>
      </c>
      <c r="T51" s="33">
        <v>20.142348800000001</v>
      </c>
      <c r="U51" s="33">
        <v>61.245551599999999</v>
      </c>
      <c r="V51" s="33">
        <v>60.232266199999998</v>
      </c>
      <c r="W51" s="33">
        <v>48.681732599999997</v>
      </c>
      <c r="X51" s="33">
        <v>11.5505336</v>
      </c>
      <c r="Y51" s="33">
        <v>39.767733800000002</v>
      </c>
    </row>
    <row r="52" spans="2:25" ht="15" hidden="1" customHeight="1">
      <c r="B52" s="25">
        <v>47</v>
      </c>
      <c r="C52" s="26" t="s">
        <v>21</v>
      </c>
      <c r="D52" s="26" t="s">
        <v>18</v>
      </c>
      <c r="E52" s="26" t="s">
        <v>31</v>
      </c>
      <c r="F52" s="26" t="s">
        <v>32</v>
      </c>
      <c r="G52" s="27" t="s">
        <v>15</v>
      </c>
      <c r="H52" s="28">
        <v>986</v>
      </c>
      <c r="I52" s="28">
        <v>772</v>
      </c>
      <c r="J52" s="28">
        <v>300</v>
      </c>
      <c r="K52" s="28">
        <v>472</v>
      </c>
      <c r="L52" s="28">
        <v>214</v>
      </c>
      <c r="M52" s="28">
        <v>1489</v>
      </c>
      <c r="N52" s="28">
        <v>1373</v>
      </c>
      <c r="O52" s="28">
        <v>1074</v>
      </c>
      <c r="P52" s="28">
        <v>299</v>
      </c>
      <c r="Q52" s="28">
        <v>116</v>
      </c>
      <c r="R52" s="29">
        <v>78.296145999999993</v>
      </c>
      <c r="S52" s="29">
        <v>30.425963500000002</v>
      </c>
      <c r="T52" s="29">
        <v>47.8701826</v>
      </c>
      <c r="U52" s="29">
        <v>21.703854</v>
      </c>
      <c r="V52" s="29">
        <v>92.209536600000007</v>
      </c>
      <c r="W52" s="29">
        <v>72.128945599999994</v>
      </c>
      <c r="X52" s="29">
        <v>20.080590999999998</v>
      </c>
      <c r="Y52" s="29">
        <v>7.7904634000000001</v>
      </c>
    </row>
    <row r="53" spans="2:25" ht="15" hidden="1" customHeight="1">
      <c r="B53" s="25">
        <v>48</v>
      </c>
      <c r="C53" s="26" t="s">
        <v>21</v>
      </c>
      <c r="D53" s="26" t="s">
        <v>18</v>
      </c>
      <c r="E53" s="26" t="s">
        <v>31</v>
      </c>
      <c r="F53" s="26" t="s">
        <v>32</v>
      </c>
      <c r="G53" s="27" t="s">
        <v>16</v>
      </c>
      <c r="H53" s="28">
        <v>1824</v>
      </c>
      <c r="I53" s="28">
        <v>317</v>
      </c>
      <c r="J53" s="28">
        <v>223</v>
      </c>
      <c r="K53" s="28">
        <v>94</v>
      </c>
      <c r="L53" s="28">
        <v>1507</v>
      </c>
      <c r="M53" s="28">
        <v>1697</v>
      </c>
      <c r="N53" s="28">
        <v>546</v>
      </c>
      <c r="O53" s="28">
        <v>477</v>
      </c>
      <c r="P53" s="28">
        <v>69</v>
      </c>
      <c r="Q53" s="28">
        <v>1151</v>
      </c>
      <c r="R53" s="29">
        <v>17.379386</v>
      </c>
      <c r="S53" s="29">
        <v>12.225877199999999</v>
      </c>
      <c r="T53" s="29">
        <v>5.1535088</v>
      </c>
      <c r="U53" s="29">
        <v>82.620614000000003</v>
      </c>
      <c r="V53" s="29">
        <v>32.174425499999998</v>
      </c>
      <c r="W53" s="29">
        <v>28.108426600000001</v>
      </c>
      <c r="X53" s="29">
        <v>4.0659988</v>
      </c>
      <c r="Y53" s="29">
        <v>67.825574500000002</v>
      </c>
    </row>
    <row r="54" spans="2:25" ht="15" customHeight="1">
      <c r="B54" s="30">
        <v>49</v>
      </c>
      <c r="C54" s="31" t="s">
        <v>21</v>
      </c>
      <c r="D54" s="31" t="s">
        <v>18</v>
      </c>
      <c r="E54" s="31" t="s">
        <v>31</v>
      </c>
      <c r="F54" s="31" t="s">
        <v>31</v>
      </c>
      <c r="G54" s="31" t="s">
        <v>31</v>
      </c>
      <c r="H54" s="32">
        <v>2113</v>
      </c>
      <c r="I54" s="32">
        <v>895</v>
      </c>
      <c r="J54" s="32">
        <v>445</v>
      </c>
      <c r="K54" s="32">
        <v>450</v>
      </c>
      <c r="L54" s="32">
        <v>1218</v>
      </c>
      <c r="M54" s="32">
        <v>2243</v>
      </c>
      <c r="N54" s="32">
        <v>1462</v>
      </c>
      <c r="O54" s="32">
        <v>1273</v>
      </c>
      <c r="P54" s="32">
        <v>189</v>
      </c>
      <c r="Q54" s="32">
        <v>781</v>
      </c>
      <c r="R54" s="33">
        <v>42.356838600000003</v>
      </c>
      <c r="S54" s="33">
        <v>21.0601041</v>
      </c>
      <c r="T54" s="33">
        <v>21.296734499999999</v>
      </c>
      <c r="U54" s="33">
        <v>57.643161399999997</v>
      </c>
      <c r="V54" s="33">
        <v>65.180561699999998</v>
      </c>
      <c r="W54" s="33">
        <v>56.754346900000002</v>
      </c>
      <c r="X54" s="33">
        <v>8.4262148999999997</v>
      </c>
      <c r="Y54" s="33">
        <v>34.819438300000002</v>
      </c>
    </row>
    <row r="55" spans="2:25" ht="15" hidden="1" customHeight="1">
      <c r="B55" s="25">
        <v>50</v>
      </c>
      <c r="C55" s="26" t="s">
        <v>21</v>
      </c>
      <c r="D55" s="26" t="s">
        <v>18</v>
      </c>
      <c r="E55" s="26" t="s">
        <v>31</v>
      </c>
      <c r="F55" s="26" t="s">
        <v>31</v>
      </c>
      <c r="G55" s="27" t="s">
        <v>15</v>
      </c>
      <c r="H55" s="28"/>
      <c r="I55" s="28"/>
      <c r="J55" s="28"/>
      <c r="K55" s="28"/>
      <c r="L55" s="28"/>
      <c r="M55" s="28">
        <v>564</v>
      </c>
      <c r="N55" s="28">
        <v>509</v>
      </c>
      <c r="O55" s="28">
        <v>395</v>
      </c>
      <c r="P55" s="28">
        <v>114</v>
      </c>
      <c r="Q55" s="28">
        <v>55</v>
      </c>
      <c r="R55" s="29"/>
      <c r="S55" s="29"/>
      <c r="T55" s="29"/>
      <c r="U55" s="29"/>
      <c r="V55" s="29">
        <v>90.248227</v>
      </c>
      <c r="W55" s="29">
        <v>70.035460999999998</v>
      </c>
      <c r="X55" s="29">
        <v>20.212765999999998</v>
      </c>
      <c r="Y55" s="29">
        <v>9.751773</v>
      </c>
    </row>
    <row r="56" spans="2:25" ht="15" hidden="1" customHeight="1">
      <c r="B56" s="25">
        <v>51</v>
      </c>
      <c r="C56" s="26" t="s">
        <v>21</v>
      </c>
      <c r="D56" s="26" t="s">
        <v>18</v>
      </c>
      <c r="E56" s="26" t="s">
        <v>31</v>
      </c>
      <c r="F56" s="26" t="s">
        <v>31</v>
      </c>
      <c r="G56" s="27" t="s">
        <v>16</v>
      </c>
      <c r="H56" s="28">
        <v>2113</v>
      </c>
      <c r="I56" s="28">
        <v>895</v>
      </c>
      <c r="J56" s="28">
        <v>445</v>
      </c>
      <c r="K56" s="28">
        <v>450</v>
      </c>
      <c r="L56" s="28">
        <v>1218</v>
      </c>
      <c r="M56" s="28">
        <v>1679</v>
      </c>
      <c r="N56" s="28">
        <v>953</v>
      </c>
      <c r="O56" s="28">
        <v>878</v>
      </c>
      <c r="P56" s="28">
        <v>75</v>
      </c>
      <c r="Q56" s="28">
        <v>726</v>
      </c>
      <c r="R56" s="29">
        <v>42.356838600000003</v>
      </c>
      <c r="S56" s="29">
        <v>21.0601041</v>
      </c>
      <c r="T56" s="29">
        <v>21.296734499999999</v>
      </c>
      <c r="U56" s="29">
        <v>57.643161399999997</v>
      </c>
      <c r="V56" s="29">
        <v>56.759976199999997</v>
      </c>
      <c r="W56" s="29">
        <v>52.293031599999999</v>
      </c>
      <c r="X56" s="29">
        <v>4.4669445999999997</v>
      </c>
      <c r="Y56" s="29">
        <v>43.240023800000003</v>
      </c>
    </row>
    <row r="57" spans="2:25" ht="15" customHeight="1">
      <c r="B57" s="30">
        <v>52</v>
      </c>
      <c r="C57" s="31" t="s">
        <v>21</v>
      </c>
      <c r="D57" s="31" t="s">
        <v>18</v>
      </c>
      <c r="E57" s="31" t="s">
        <v>31</v>
      </c>
      <c r="F57" s="31" t="s">
        <v>33</v>
      </c>
      <c r="G57" s="31" t="s">
        <v>33</v>
      </c>
      <c r="H57" s="32">
        <v>2010</v>
      </c>
      <c r="I57" s="32">
        <v>658</v>
      </c>
      <c r="J57" s="32">
        <v>364</v>
      </c>
      <c r="K57" s="32">
        <v>294</v>
      </c>
      <c r="L57" s="32">
        <v>1352</v>
      </c>
      <c r="M57" s="32">
        <v>2087</v>
      </c>
      <c r="N57" s="32">
        <v>968</v>
      </c>
      <c r="O57" s="32">
        <v>856</v>
      </c>
      <c r="P57" s="32">
        <v>112</v>
      </c>
      <c r="Q57" s="32">
        <v>1119</v>
      </c>
      <c r="R57" s="33">
        <v>32.736318400000002</v>
      </c>
      <c r="S57" s="33">
        <v>18.109452699999999</v>
      </c>
      <c r="T57" s="33">
        <v>14.6268657</v>
      </c>
      <c r="U57" s="33">
        <v>67.263681599999998</v>
      </c>
      <c r="V57" s="33">
        <v>46.382367000000002</v>
      </c>
      <c r="W57" s="33">
        <v>41.015812199999999</v>
      </c>
      <c r="X57" s="33">
        <v>5.3665548999999997</v>
      </c>
      <c r="Y57" s="33">
        <v>53.617632999999998</v>
      </c>
    </row>
    <row r="58" spans="2:25" ht="15" hidden="1" customHeight="1">
      <c r="B58" s="25">
        <v>53</v>
      </c>
      <c r="C58" s="26" t="s">
        <v>21</v>
      </c>
      <c r="D58" s="26" t="s">
        <v>18</v>
      </c>
      <c r="E58" s="26" t="s">
        <v>31</v>
      </c>
      <c r="F58" s="26" t="s">
        <v>33</v>
      </c>
      <c r="G58" s="27" t="s">
        <v>15</v>
      </c>
      <c r="H58" s="28">
        <v>604</v>
      </c>
      <c r="I58" s="28">
        <v>485</v>
      </c>
      <c r="J58" s="28">
        <v>282</v>
      </c>
      <c r="K58" s="28">
        <v>203</v>
      </c>
      <c r="L58" s="28">
        <v>119</v>
      </c>
      <c r="M58" s="28"/>
      <c r="N58" s="28"/>
      <c r="O58" s="28"/>
      <c r="P58" s="28"/>
      <c r="Q58" s="28"/>
      <c r="R58" s="29">
        <v>80.2980132</v>
      </c>
      <c r="S58" s="29">
        <v>46.688741700000001</v>
      </c>
      <c r="T58" s="29">
        <v>33.609271499999998</v>
      </c>
      <c r="U58" s="29">
        <v>19.7019868</v>
      </c>
      <c r="V58" s="29"/>
      <c r="W58" s="29"/>
      <c r="X58" s="29"/>
      <c r="Y58" s="29"/>
    </row>
    <row r="59" spans="2:25" ht="15" hidden="1" customHeight="1">
      <c r="B59" s="25">
        <v>54</v>
      </c>
      <c r="C59" s="26" t="s">
        <v>21</v>
      </c>
      <c r="D59" s="26" t="s">
        <v>18</v>
      </c>
      <c r="E59" s="26" t="s">
        <v>31</v>
      </c>
      <c r="F59" s="26" t="s">
        <v>33</v>
      </c>
      <c r="G59" s="27" t="s">
        <v>16</v>
      </c>
      <c r="H59" s="28">
        <v>1406</v>
      </c>
      <c r="I59" s="28">
        <v>173</v>
      </c>
      <c r="J59" s="28">
        <v>82</v>
      </c>
      <c r="K59" s="28">
        <v>91</v>
      </c>
      <c r="L59" s="28">
        <v>1233</v>
      </c>
      <c r="M59" s="28">
        <v>2087</v>
      </c>
      <c r="N59" s="28">
        <v>968</v>
      </c>
      <c r="O59" s="28">
        <v>856</v>
      </c>
      <c r="P59" s="28">
        <v>112</v>
      </c>
      <c r="Q59" s="28">
        <v>1119</v>
      </c>
      <c r="R59" s="29">
        <v>12.304409700000001</v>
      </c>
      <c r="S59" s="29">
        <v>5.8321478999999998</v>
      </c>
      <c r="T59" s="29">
        <v>6.4722616999999998</v>
      </c>
      <c r="U59" s="29">
        <v>87.695590300000006</v>
      </c>
      <c r="V59" s="29">
        <v>46.382367000000002</v>
      </c>
      <c r="W59" s="29">
        <v>41.015812199999999</v>
      </c>
      <c r="X59" s="29">
        <v>5.3665548999999997</v>
      </c>
      <c r="Y59" s="29">
        <v>53.617632999999998</v>
      </c>
    </row>
    <row r="60" spans="2:25" ht="15" customHeight="1">
      <c r="B60" s="30">
        <v>55</v>
      </c>
      <c r="C60" s="31" t="s">
        <v>21</v>
      </c>
      <c r="D60" s="31" t="s">
        <v>18</v>
      </c>
      <c r="E60" s="31" t="s">
        <v>31</v>
      </c>
      <c r="F60" s="31" t="s">
        <v>34</v>
      </c>
      <c r="G60" s="31" t="s">
        <v>34</v>
      </c>
      <c r="H60" s="32">
        <v>1072</v>
      </c>
      <c r="I60" s="32">
        <v>269</v>
      </c>
      <c r="J60" s="32">
        <v>169</v>
      </c>
      <c r="K60" s="32">
        <v>100</v>
      </c>
      <c r="L60" s="32">
        <v>803</v>
      </c>
      <c r="M60" s="32">
        <v>1189</v>
      </c>
      <c r="N60" s="32">
        <v>730</v>
      </c>
      <c r="O60" s="32">
        <v>613</v>
      </c>
      <c r="P60" s="32">
        <v>117</v>
      </c>
      <c r="Q60" s="32">
        <v>459</v>
      </c>
      <c r="R60" s="33">
        <v>25.093283599999999</v>
      </c>
      <c r="S60" s="33">
        <v>15.764925399999999</v>
      </c>
      <c r="T60" s="33">
        <v>9.3283582000000003</v>
      </c>
      <c r="U60" s="33">
        <v>74.906716399999993</v>
      </c>
      <c r="V60" s="33">
        <v>61.396131199999999</v>
      </c>
      <c r="W60" s="33">
        <v>51.555929399999997</v>
      </c>
      <c r="X60" s="33">
        <v>9.8402019000000003</v>
      </c>
      <c r="Y60" s="33">
        <v>38.603868800000001</v>
      </c>
    </row>
    <row r="61" spans="2:25" ht="15" hidden="1" customHeight="1">
      <c r="B61" s="25">
        <v>56</v>
      </c>
      <c r="C61" s="26" t="s">
        <v>21</v>
      </c>
      <c r="D61" s="26" t="s">
        <v>18</v>
      </c>
      <c r="E61" s="26" t="s">
        <v>31</v>
      </c>
      <c r="F61" s="26" t="s">
        <v>34</v>
      </c>
      <c r="G61" s="27" t="s">
        <v>15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9"/>
      <c r="S61" s="29"/>
      <c r="T61" s="29"/>
      <c r="U61" s="29"/>
      <c r="V61" s="29"/>
      <c r="W61" s="29"/>
      <c r="X61" s="29"/>
      <c r="Y61" s="29"/>
    </row>
    <row r="62" spans="2:25" ht="15" hidden="1" customHeight="1">
      <c r="B62" s="25">
        <v>57</v>
      </c>
      <c r="C62" s="26" t="s">
        <v>21</v>
      </c>
      <c r="D62" s="26" t="s">
        <v>18</v>
      </c>
      <c r="E62" s="26" t="s">
        <v>31</v>
      </c>
      <c r="F62" s="26" t="s">
        <v>34</v>
      </c>
      <c r="G62" s="27" t="s">
        <v>16</v>
      </c>
      <c r="H62" s="28">
        <v>1072</v>
      </c>
      <c r="I62" s="28">
        <v>269</v>
      </c>
      <c r="J62" s="28">
        <v>169</v>
      </c>
      <c r="K62" s="28">
        <v>100</v>
      </c>
      <c r="L62" s="28">
        <v>803</v>
      </c>
      <c r="M62" s="28">
        <v>1189</v>
      </c>
      <c r="N62" s="28">
        <v>730</v>
      </c>
      <c r="O62" s="28">
        <v>613</v>
      </c>
      <c r="P62" s="28">
        <v>117</v>
      </c>
      <c r="Q62" s="28">
        <v>459</v>
      </c>
      <c r="R62" s="29">
        <v>25.093283599999999</v>
      </c>
      <c r="S62" s="29">
        <v>15.764925399999999</v>
      </c>
      <c r="T62" s="29">
        <v>9.3283582000000003</v>
      </c>
      <c r="U62" s="29">
        <v>74.906716399999993</v>
      </c>
      <c r="V62" s="29">
        <v>61.396131199999999</v>
      </c>
      <c r="W62" s="29">
        <v>51.555929399999997</v>
      </c>
      <c r="X62" s="29">
        <v>9.8402019000000003</v>
      </c>
      <c r="Y62" s="29">
        <v>38.603868800000001</v>
      </c>
    </row>
    <row r="63" spans="2:25" ht="15" customHeight="1">
      <c r="B63" s="30">
        <v>58</v>
      </c>
      <c r="C63" s="31" t="s">
        <v>21</v>
      </c>
      <c r="D63" s="31" t="s">
        <v>18</v>
      </c>
      <c r="E63" s="31" t="s">
        <v>31</v>
      </c>
      <c r="F63" s="31" t="s">
        <v>35</v>
      </c>
      <c r="G63" s="31" t="s">
        <v>35</v>
      </c>
      <c r="H63" s="32">
        <v>1212</v>
      </c>
      <c r="I63" s="32">
        <v>465</v>
      </c>
      <c r="J63" s="32">
        <v>249</v>
      </c>
      <c r="K63" s="32">
        <v>216</v>
      </c>
      <c r="L63" s="32">
        <v>747</v>
      </c>
      <c r="M63" s="32">
        <v>1439</v>
      </c>
      <c r="N63" s="32">
        <v>797</v>
      </c>
      <c r="O63" s="32">
        <v>620</v>
      </c>
      <c r="P63" s="32">
        <v>177</v>
      </c>
      <c r="Q63" s="32">
        <v>642</v>
      </c>
      <c r="R63" s="33">
        <v>38.366336599999997</v>
      </c>
      <c r="S63" s="33">
        <v>20.5445545</v>
      </c>
      <c r="T63" s="33">
        <v>17.821782200000001</v>
      </c>
      <c r="U63" s="33">
        <v>61.633663400000003</v>
      </c>
      <c r="V63" s="33">
        <v>55.385684500000004</v>
      </c>
      <c r="W63" s="33">
        <v>43.085476</v>
      </c>
      <c r="X63" s="33">
        <v>12.3002085</v>
      </c>
      <c r="Y63" s="33">
        <v>44.614315499999996</v>
      </c>
    </row>
    <row r="64" spans="2:25" ht="15" hidden="1" customHeight="1">
      <c r="B64" s="25">
        <v>59</v>
      </c>
      <c r="C64" s="26" t="s">
        <v>21</v>
      </c>
      <c r="D64" s="26" t="s">
        <v>18</v>
      </c>
      <c r="E64" s="26" t="s">
        <v>31</v>
      </c>
      <c r="F64" s="26" t="s">
        <v>35</v>
      </c>
      <c r="G64" s="27" t="s">
        <v>15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9"/>
      <c r="S64" s="29"/>
      <c r="T64" s="29"/>
      <c r="U64" s="29"/>
      <c r="V64" s="29"/>
      <c r="W64" s="29"/>
      <c r="X64" s="29"/>
      <c r="Y64" s="29"/>
    </row>
    <row r="65" spans="2:25" ht="15" hidden="1" customHeight="1">
      <c r="B65" s="25">
        <v>60</v>
      </c>
      <c r="C65" s="26" t="s">
        <v>21</v>
      </c>
      <c r="D65" s="26" t="s">
        <v>18</v>
      </c>
      <c r="E65" s="26" t="s">
        <v>31</v>
      </c>
      <c r="F65" s="26" t="s">
        <v>35</v>
      </c>
      <c r="G65" s="27" t="s">
        <v>16</v>
      </c>
      <c r="H65" s="28">
        <v>1212</v>
      </c>
      <c r="I65" s="28">
        <v>465</v>
      </c>
      <c r="J65" s="28">
        <v>249</v>
      </c>
      <c r="K65" s="28">
        <v>216</v>
      </c>
      <c r="L65" s="28">
        <v>747</v>
      </c>
      <c r="M65" s="28">
        <v>1439</v>
      </c>
      <c r="N65" s="28">
        <v>797</v>
      </c>
      <c r="O65" s="28">
        <v>620</v>
      </c>
      <c r="P65" s="28">
        <v>177</v>
      </c>
      <c r="Q65" s="28">
        <v>642</v>
      </c>
      <c r="R65" s="29">
        <v>38.366336599999997</v>
      </c>
      <c r="S65" s="29">
        <v>20.5445545</v>
      </c>
      <c r="T65" s="29">
        <v>17.821782200000001</v>
      </c>
      <c r="U65" s="29">
        <v>61.633663400000003</v>
      </c>
      <c r="V65" s="29">
        <v>55.385684500000004</v>
      </c>
      <c r="W65" s="29">
        <v>43.085476</v>
      </c>
      <c r="X65" s="29">
        <v>12.3002085</v>
      </c>
      <c r="Y65" s="29">
        <v>44.614315499999996</v>
      </c>
    </row>
    <row r="66" spans="2:25" ht="15" hidden="1" customHeight="1">
      <c r="B66" s="21">
        <v>61</v>
      </c>
      <c r="C66" s="22" t="s">
        <v>19</v>
      </c>
      <c r="D66" s="22" t="s">
        <v>18</v>
      </c>
      <c r="E66" s="22" t="s">
        <v>36</v>
      </c>
      <c r="F66" s="22"/>
      <c r="G66" s="22" t="s">
        <v>36</v>
      </c>
      <c r="H66" s="23">
        <v>8158</v>
      </c>
      <c r="I66" s="23">
        <v>4035</v>
      </c>
      <c r="J66" s="23">
        <v>2024</v>
      </c>
      <c r="K66" s="23">
        <v>2011</v>
      </c>
      <c r="L66" s="23">
        <v>4123</v>
      </c>
      <c r="M66" s="23">
        <v>10043</v>
      </c>
      <c r="N66" s="23">
        <v>7282</v>
      </c>
      <c r="O66" s="23">
        <v>5941</v>
      </c>
      <c r="P66" s="23">
        <v>1341</v>
      </c>
      <c r="Q66" s="23">
        <v>2761</v>
      </c>
      <c r="R66" s="24">
        <v>49.460652099999997</v>
      </c>
      <c r="S66" s="24">
        <v>24.8100025</v>
      </c>
      <c r="T66" s="24">
        <v>24.650649699999999</v>
      </c>
      <c r="U66" s="24">
        <v>50.539347900000003</v>
      </c>
      <c r="V66" s="24">
        <v>72.508214699999996</v>
      </c>
      <c r="W66" s="24">
        <v>59.155630799999997</v>
      </c>
      <c r="X66" s="24">
        <v>13.352583900000001</v>
      </c>
      <c r="Y66" s="24">
        <v>27.4917853</v>
      </c>
    </row>
    <row r="67" spans="2:25" ht="15" hidden="1" customHeight="1">
      <c r="B67" s="25">
        <v>62</v>
      </c>
      <c r="C67" s="26" t="s">
        <v>19</v>
      </c>
      <c r="D67" s="26" t="s">
        <v>18</v>
      </c>
      <c r="E67" s="26" t="s">
        <v>36</v>
      </c>
      <c r="F67" s="26"/>
      <c r="G67" s="27" t="s">
        <v>15</v>
      </c>
      <c r="H67" s="28">
        <v>2765</v>
      </c>
      <c r="I67" s="28">
        <v>2451</v>
      </c>
      <c r="J67" s="28">
        <v>1115</v>
      </c>
      <c r="K67" s="28">
        <v>1336</v>
      </c>
      <c r="L67" s="28">
        <v>314</v>
      </c>
      <c r="M67" s="28">
        <v>4068</v>
      </c>
      <c r="N67" s="28">
        <v>3940</v>
      </c>
      <c r="O67" s="28">
        <v>2971</v>
      </c>
      <c r="P67" s="28">
        <v>969</v>
      </c>
      <c r="Q67" s="28">
        <v>128</v>
      </c>
      <c r="R67" s="29">
        <v>88.643761299999994</v>
      </c>
      <c r="S67" s="29">
        <v>40.325497300000002</v>
      </c>
      <c r="T67" s="29">
        <v>48.318263999999999</v>
      </c>
      <c r="U67" s="29">
        <v>11.3562387</v>
      </c>
      <c r="V67" s="29">
        <v>96.853490699999995</v>
      </c>
      <c r="W67" s="29">
        <v>73.033431699999994</v>
      </c>
      <c r="X67" s="29">
        <v>23.820059000000001</v>
      </c>
      <c r="Y67" s="29">
        <v>3.1465093</v>
      </c>
    </row>
    <row r="68" spans="2:25" ht="15" hidden="1" customHeight="1">
      <c r="B68" s="25">
        <v>63</v>
      </c>
      <c r="C68" s="26" t="s">
        <v>19</v>
      </c>
      <c r="D68" s="26" t="s">
        <v>18</v>
      </c>
      <c r="E68" s="26" t="s">
        <v>36</v>
      </c>
      <c r="F68" s="26"/>
      <c r="G68" s="27" t="s">
        <v>16</v>
      </c>
      <c r="H68" s="28">
        <v>5393</v>
      </c>
      <c r="I68" s="28">
        <v>1584</v>
      </c>
      <c r="J68" s="28">
        <v>909</v>
      </c>
      <c r="K68" s="28">
        <v>675</v>
      </c>
      <c r="L68" s="28">
        <v>3809</v>
      </c>
      <c r="M68" s="28">
        <v>5975</v>
      </c>
      <c r="N68" s="28">
        <v>3342</v>
      </c>
      <c r="O68" s="28">
        <v>2970</v>
      </c>
      <c r="P68" s="28">
        <v>372</v>
      </c>
      <c r="Q68" s="28">
        <v>2633</v>
      </c>
      <c r="R68" s="29">
        <v>29.371407399999999</v>
      </c>
      <c r="S68" s="29">
        <v>16.855182599999999</v>
      </c>
      <c r="T68" s="29">
        <v>12.5162247</v>
      </c>
      <c r="U68" s="29">
        <v>70.628592600000005</v>
      </c>
      <c r="V68" s="29">
        <v>55.933054400000003</v>
      </c>
      <c r="W68" s="29">
        <v>49.707113</v>
      </c>
      <c r="X68" s="29">
        <v>6.2259414</v>
      </c>
      <c r="Y68" s="29">
        <v>44.066945599999997</v>
      </c>
    </row>
    <row r="69" spans="2:25" ht="15" customHeight="1">
      <c r="B69" s="30">
        <v>64</v>
      </c>
      <c r="C69" s="31" t="s">
        <v>21</v>
      </c>
      <c r="D69" s="31" t="s">
        <v>18</v>
      </c>
      <c r="E69" s="31" t="s">
        <v>36</v>
      </c>
      <c r="F69" s="31" t="s">
        <v>37</v>
      </c>
      <c r="G69" s="31" t="s">
        <v>37</v>
      </c>
      <c r="H69" s="32">
        <v>6079</v>
      </c>
      <c r="I69" s="32">
        <v>3356</v>
      </c>
      <c r="J69" s="32">
        <v>1660</v>
      </c>
      <c r="K69" s="32">
        <v>1696</v>
      </c>
      <c r="L69" s="32">
        <v>2723</v>
      </c>
      <c r="M69" s="32">
        <v>7742</v>
      </c>
      <c r="N69" s="32">
        <v>6055</v>
      </c>
      <c r="O69" s="32">
        <v>4893</v>
      </c>
      <c r="P69" s="32">
        <v>1162</v>
      </c>
      <c r="Q69" s="32">
        <v>1687</v>
      </c>
      <c r="R69" s="33">
        <v>55.206448399999999</v>
      </c>
      <c r="S69" s="33">
        <v>27.3071229</v>
      </c>
      <c r="T69" s="33">
        <v>27.8993255</v>
      </c>
      <c r="U69" s="33">
        <v>44.793551600000001</v>
      </c>
      <c r="V69" s="33">
        <v>78.209764899999996</v>
      </c>
      <c r="W69" s="33">
        <v>63.2007233</v>
      </c>
      <c r="X69" s="33">
        <v>15.0090416</v>
      </c>
      <c r="Y69" s="33">
        <v>21.7902351</v>
      </c>
    </row>
    <row r="70" spans="2:25" ht="15" hidden="1" customHeight="1">
      <c r="B70" s="25">
        <v>65</v>
      </c>
      <c r="C70" s="26" t="s">
        <v>21</v>
      </c>
      <c r="D70" s="26" t="s">
        <v>18</v>
      </c>
      <c r="E70" s="26" t="s">
        <v>36</v>
      </c>
      <c r="F70" s="26" t="s">
        <v>37</v>
      </c>
      <c r="G70" s="27" t="s">
        <v>15</v>
      </c>
      <c r="H70" s="28">
        <v>2765</v>
      </c>
      <c r="I70" s="28">
        <v>2451</v>
      </c>
      <c r="J70" s="28">
        <v>1115</v>
      </c>
      <c r="K70" s="28">
        <v>1336</v>
      </c>
      <c r="L70" s="28">
        <v>314</v>
      </c>
      <c r="M70" s="28">
        <v>4068</v>
      </c>
      <c r="N70" s="28">
        <v>3940</v>
      </c>
      <c r="O70" s="28">
        <v>2971</v>
      </c>
      <c r="P70" s="28">
        <v>969</v>
      </c>
      <c r="Q70" s="28">
        <v>128</v>
      </c>
      <c r="R70" s="29">
        <v>88.643761299999994</v>
      </c>
      <c r="S70" s="29">
        <v>40.325497300000002</v>
      </c>
      <c r="T70" s="29">
        <v>48.318263999999999</v>
      </c>
      <c r="U70" s="29">
        <v>11.3562387</v>
      </c>
      <c r="V70" s="29">
        <v>96.853490699999995</v>
      </c>
      <c r="W70" s="29">
        <v>73.033431699999994</v>
      </c>
      <c r="X70" s="29">
        <v>23.820059000000001</v>
      </c>
      <c r="Y70" s="29">
        <v>3.1465093</v>
      </c>
    </row>
    <row r="71" spans="2:25" ht="15" hidden="1" customHeight="1">
      <c r="B71" s="25">
        <v>66</v>
      </c>
      <c r="C71" s="26" t="s">
        <v>21</v>
      </c>
      <c r="D71" s="26" t="s">
        <v>18</v>
      </c>
      <c r="E71" s="26" t="s">
        <v>36</v>
      </c>
      <c r="F71" s="26" t="s">
        <v>37</v>
      </c>
      <c r="G71" s="27" t="s">
        <v>16</v>
      </c>
      <c r="H71" s="28">
        <v>3314</v>
      </c>
      <c r="I71" s="28">
        <v>905</v>
      </c>
      <c r="J71" s="28">
        <v>545</v>
      </c>
      <c r="K71" s="28">
        <v>360</v>
      </c>
      <c r="L71" s="28">
        <v>2409</v>
      </c>
      <c r="M71" s="28">
        <v>3674</v>
      </c>
      <c r="N71" s="28">
        <v>2115</v>
      </c>
      <c r="O71" s="28">
        <v>1922</v>
      </c>
      <c r="P71" s="28">
        <v>193</v>
      </c>
      <c r="Q71" s="28">
        <v>1559</v>
      </c>
      <c r="R71" s="29">
        <v>27.308388699999998</v>
      </c>
      <c r="S71" s="29">
        <v>16.445383199999998</v>
      </c>
      <c r="T71" s="29">
        <v>10.8630054</v>
      </c>
      <c r="U71" s="29">
        <v>72.691611300000005</v>
      </c>
      <c r="V71" s="29">
        <v>57.566684799999997</v>
      </c>
      <c r="W71" s="29">
        <v>52.313554699999997</v>
      </c>
      <c r="X71" s="29">
        <v>5.2531300999999999</v>
      </c>
      <c r="Y71" s="29">
        <v>42.433315200000003</v>
      </c>
    </row>
    <row r="72" spans="2:25" ht="15" customHeight="1">
      <c r="B72" s="30">
        <v>67</v>
      </c>
      <c r="C72" s="31" t="s">
        <v>21</v>
      </c>
      <c r="D72" s="31" t="s">
        <v>18</v>
      </c>
      <c r="E72" s="31" t="s">
        <v>36</v>
      </c>
      <c r="F72" s="31" t="s">
        <v>38</v>
      </c>
      <c r="G72" s="31" t="s">
        <v>38</v>
      </c>
      <c r="H72" s="32">
        <v>2079</v>
      </c>
      <c r="I72" s="32">
        <v>679</v>
      </c>
      <c r="J72" s="32">
        <v>364</v>
      </c>
      <c r="K72" s="32">
        <v>315</v>
      </c>
      <c r="L72" s="32">
        <v>1400</v>
      </c>
      <c r="M72" s="32">
        <v>2301</v>
      </c>
      <c r="N72" s="32">
        <v>1227</v>
      </c>
      <c r="O72" s="32">
        <v>1048</v>
      </c>
      <c r="P72" s="32">
        <v>179</v>
      </c>
      <c r="Q72" s="32">
        <v>1074</v>
      </c>
      <c r="R72" s="33">
        <v>32.659932699999999</v>
      </c>
      <c r="S72" s="33">
        <v>17.5084175</v>
      </c>
      <c r="T72" s="33">
        <v>15.1515152</v>
      </c>
      <c r="U72" s="33">
        <v>67.340067300000001</v>
      </c>
      <c r="V72" s="33">
        <v>53.324641499999998</v>
      </c>
      <c r="W72" s="33">
        <v>45.545414999999998</v>
      </c>
      <c r="X72" s="33">
        <v>7.7792263999999998</v>
      </c>
      <c r="Y72" s="33">
        <v>46.675358500000002</v>
      </c>
    </row>
    <row r="73" spans="2:25" ht="15" hidden="1" customHeight="1">
      <c r="B73" s="25">
        <v>68</v>
      </c>
      <c r="C73" s="26" t="s">
        <v>21</v>
      </c>
      <c r="D73" s="26" t="s">
        <v>18</v>
      </c>
      <c r="E73" s="26" t="s">
        <v>36</v>
      </c>
      <c r="F73" s="26" t="s">
        <v>38</v>
      </c>
      <c r="G73" s="27" t="s">
        <v>15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9"/>
      <c r="S73" s="29"/>
      <c r="T73" s="29"/>
      <c r="U73" s="29"/>
      <c r="V73" s="29"/>
      <c r="W73" s="29"/>
      <c r="X73" s="29"/>
      <c r="Y73" s="29"/>
    </row>
    <row r="74" spans="2:25" ht="15" hidden="1" customHeight="1">
      <c r="B74" s="25">
        <v>69</v>
      </c>
      <c r="C74" s="26" t="s">
        <v>21</v>
      </c>
      <c r="D74" s="26" t="s">
        <v>18</v>
      </c>
      <c r="E74" s="26" t="s">
        <v>36</v>
      </c>
      <c r="F74" s="26" t="s">
        <v>38</v>
      </c>
      <c r="G74" s="27" t="s">
        <v>16</v>
      </c>
      <c r="H74" s="28">
        <v>2079</v>
      </c>
      <c r="I74" s="28">
        <v>679</v>
      </c>
      <c r="J74" s="28">
        <v>364</v>
      </c>
      <c r="K74" s="28">
        <v>315</v>
      </c>
      <c r="L74" s="28">
        <v>1400</v>
      </c>
      <c r="M74" s="28">
        <v>2301</v>
      </c>
      <c r="N74" s="28">
        <v>1227</v>
      </c>
      <c r="O74" s="28">
        <v>1048</v>
      </c>
      <c r="P74" s="28">
        <v>179</v>
      </c>
      <c r="Q74" s="28">
        <v>1074</v>
      </c>
      <c r="R74" s="29">
        <v>32.659932699999999</v>
      </c>
      <c r="S74" s="29">
        <v>17.5084175</v>
      </c>
      <c r="T74" s="29">
        <v>15.1515152</v>
      </c>
      <c r="U74" s="29">
        <v>67.340067300000001</v>
      </c>
      <c r="V74" s="29">
        <v>53.324641499999998</v>
      </c>
      <c r="W74" s="29">
        <v>45.545414999999998</v>
      </c>
      <c r="X74" s="29">
        <v>7.7792263999999998</v>
      </c>
      <c r="Y74" s="29">
        <v>46.675358500000002</v>
      </c>
    </row>
    <row r="75" spans="2:25" ht="15" hidden="1" customHeight="1">
      <c r="B75" s="21">
        <v>70</v>
      </c>
      <c r="C75" s="22" t="s">
        <v>19</v>
      </c>
      <c r="D75" s="22" t="s">
        <v>18</v>
      </c>
      <c r="E75" s="22" t="s">
        <v>39</v>
      </c>
      <c r="F75" s="22"/>
      <c r="G75" s="22" t="s">
        <v>39</v>
      </c>
      <c r="H75" s="23">
        <v>7336</v>
      </c>
      <c r="I75" s="23">
        <v>2047</v>
      </c>
      <c r="J75" s="23">
        <v>1151</v>
      </c>
      <c r="K75" s="23">
        <v>896</v>
      </c>
      <c r="L75" s="23">
        <v>5289</v>
      </c>
      <c r="M75" s="23">
        <v>7348</v>
      </c>
      <c r="N75" s="23">
        <v>3737</v>
      </c>
      <c r="O75" s="23">
        <v>3288</v>
      </c>
      <c r="P75" s="23">
        <v>449</v>
      </c>
      <c r="Q75" s="23">
        <v>3611</v>
      </c>
      <c r="R75" s="24">
        <v>27.9034896</v>
      </c>
      <c r="S75" s="24">
        <v>15.6897492</v>
      </c>
      <c r="T75" s="24">
        <v>12.2137405</v>
      </c>
      <c r="U75" s="24">
        <v>72.0965104</v>
      </c>
      <c r="V75" s="24">
        <v>50.857376199999997</v>
      </c>
      <c r="W75" s="24">
        <v>44.7468699</v>
      </c>
      <c r="X75" s="24">
        <v>6.1105062999999999</v>
      </c>
      <c r="Y75" s="24">
        <v>49.142623800000003</v>
      </c>
    </row>
    <row r="76" spans="2:25" ht="15" hidden="1" customHeight="1">
      <c r="B76" s="25">
        <v>71</v>
      </c>
      <c r="C76" s="26" t="s">
        <v>19</v>
      </c>
      <c r="D76" s="26" t="s">
        <v>18</v>
      </c>
      <c r="E76" s="26" t="s">
        <v>39</v>
      </c>
      <c r="F76" s="26"/>
      <c r="G76" s="27" t="s">
        <v>15</v>
      </c>
      <c r="H76" s="28">
        <v>781</v>
      </c>
      <c r="I76" s="28">
        <v>472</v>
      </c>
      <c r="J76" s="28">
        <v>202</v>
      </c>
      <c r="K76" s="28">
        <v>270</v>
      </c>
      <c r="L76" s="28">
        <v>309</v>
      </c>
      <c r="M76" s="28">
        <v>913</v>
      </c>
      <c r="N76" s="28">
        <v>679</v>
      </c>
      <c r="O76" s="28">
        <v>593</v>
      </c>
      <c r="P76" s="28">
        <v>86</v>
      </c>
      <c r="Q76" s="28">
        <v>234</v>
      </c>
      <c r="R76" s="29">
        <v>60.435339300000003</v>
      </c>
      <c r="S76" s="29">
        <v>25.8642766</v>
      </c>
      <c r="T76" s="29">
        <v>34.571062699999999</v>
      </c>
      <c r="U76" s="29">
        <v>39.564660699999997</v>
      </c>
      <c r="V76" s="29">
        <v>74.370208099999999</v>
      </c>
      <c r="W76" s="29">
        <v>64.950711900000002</v>
      </c>
      <c r="X76" s="29">
        <v>9.4194961999999993</v>
      </c>
      <c r="Y76" s="29">
        <v>25.629791900000001</v>
      </c>
    </row>
    <row r="77" spans="2:25" ht="15" hidden="1" customHeight="1">
      <c r="B77" s="25">
        <v>72</v>
      </c>
      <c r="C77" s="26" t="s">
        <v>19</v>
      </c>
      <c r="D77" s="26" t="s">
        <v>18</v>
      </c>
      <c r="E77" s="26" t="s">
        <v>39</v>
      </c>
      <c r="F77" s="26"/>
      <c r="G77" s="27" t="s">
        <v>16</v>
      </c>
      <c r="H77" s="28">
        <v>6555</v>
      </c>
      <c r="I77" s="28">
        <v>1575</v>
      </c>
      <c r="J77" s="28">
        <v>949</v>
      </c>
      <c r="K77" s="28">
        <v>626</v>
      </c>
      <c r="L77" s="28">
        <v>4980</v>
      </c>
      <c r="M77" s="28">
        <v>6435</v>
      </c>
      <c r="N77" s="28">
        <v>3058</v>
      </c>
      <c r="O77" s="28">
        <v>2695</v>
      </c>
      <c r="P77" s="28">
        <v>363</v>
      </c>
      <c r="Q77" s="28">
        <v>3377</v>
      </c>
      <c r="R77" s="29">
        <v>24.027460000000001</v>
      </c>
      <c r="S77" s="29">
        <v>14.4774981</v>
      </c>
      <c r="T77" s="29">
        <v>9.5499618999999996</v>
      </c>
      <c r="U77" s="29">
        <v>75.972539999999995</v>
      </c>
      <c r="V77" s="29">
        <v>47.521367499999997</v>
      </c>
      <c r="W77" s="29">
        <v>41.880341899999998</v>
      </c>
      <c r="X77" s="29">
        <v>5.6410255999999999</v>
      </c>
      <c r="Y77" s="29">
        <v>52.478632500000003</v>
      </c>
    </row>
    <row r="78" spans="2:25" ht="15" customHeight="1">
      <c r="B78" s="30">
        <v>73</v>
      </c>
      <c r="C78" s="31" t="s">
        <v>21</v>
      </c>
      <c r="D78" s="31" t="s">
        <v>18</v>
      </c>
      <c r="E78" s="31" t="s">
        <v>39</v>
      </c>
      <c r="F78" s="31" t="s">
        <v>40</v>
      </c>
      <c r="G78" s="31" t="s">
        <v>40</v>
      </c>
      <c r="H78" s="32">
        <v>4386</v>
      </c>
      <c r="I78" s="32">
        <v>1140</v>
      </c>
      <c r="J78" s="32">
        <v>534</v>
      </c>
      <c r="K78" s="32">
        <v>606</v>
      </c>
      <c r="L78" s="32">
        <v>3246</v>
      </c>
      <c r="M78" s="32">
        <v>4279</v>
      </c>
      <c r="N78" s="32">
        <v>2152</v>
      </c>
      <c r="O78" s="32">
        <v>1932</v>
      </c>
      <c r="P78" s="32">
        <v>220</v>
      </c>
      <c r="Q78" s="32">
        <v>2127</v>
      </c>
      <c r="R78" s="33">
        <v>25.991792100000001</v>
      </c>
      <c r="S78" s="33">
        <v>12.175102600000001</v>
      </c>
      <c r="T78" s="33">
        <v>13.816689500000001</v>
      </c>
      <c r="U78" s="33">
        <v>74.008207900000002</v>
      </c>
      <c r="V78" s="33">
        <v>50.292124299999998</v>
      </c>
      <c r="W78" s="33">
        <v>45.150736199999997</v>
      </c>
      <c r="X78" s="33">
        <v>5.1413881999999997</v>
      </c>
      <c r="Y78" s="33">
        <v>49.707875700000002</v>
      </c>
    </row>
    <row r="79" spans="2:25" ht="15" hidden="1" customHeight="1">
      <c r="B79" s="25">
        <v>74</v>
      </c>
      <c r="C79" s="26" t="s">
        <v>21</v>
      </c>
      <c r="D79" s="26" t="s">
        <v>18</v>
      </c>
      <c r="E79" s="26" t="s">
        <v>39</v>
      </c>
      <c r="F79" s="26" t="s">
        <v>40</v>
      </c>
      <c r="G79" s="27" t="s">
        <v>15</v>
      </c>
      <c r="H79" s="28">
        <v>781</v>
      </c>
      <c r="I79" s="28">
        <v>472</v>
      </c>
      <c r="J79" s="28">
        <v>202</v>
      </c>
      <c r="K79" s="28">
        <v>270</v>
      </c>
      <c r="L79" s="28">
        <v>309</v>
      </c>
      <c r="M79" s="28">
        <v>913</v>
      </c>
      <c r="N79" s="28">
        <v>679</v>
      </c>
      <c r="O79" s="28">
        <v>593</v>
      </c>
      <c r="P79" s="28">
        <v>86</v>
      </c>
      <c r="Q79" s="28">
        <v>234</v>
      </c>
      <c r="R79" s="29">
        <v>60.435339300000003</v>
      </c>
      <c r="S79" s="29">
        <v>25.8642766</v>
      </c>
      <c r="T79" s="29">
        <v>34.571062699999999</v>
      </c>
      <c r="U79" s="29">
        <v>39.564660699999997</v>
      </c>
      <c r="V79" s="29">
        <v>74.370208099999999</v>
      </c>
      <c r="W79" s="29">
        <v>64.950711900000002</v>
      </c>
      <c r="X79" s="29">
        <v>9.4194961999999993</v>
      </c>
      <c r="Y79" s="29">
        <v>25.629791900000001</v>
      </c>
    </row>
    <row r="80" spans="2:25" ht="15" hidden="1" customHeight="1">
      <c r="B80" s="25">
        <v>75</v>
      </c>
      <c r="C80" s="26" t="s">
        <v>21</v>
      </c>
      <c r="D80" s="26" t="s">
        <v>18</v>
      </c>
      <c r="E80" s="26" t="s">
        <v>39</v>
      </c>
      <c r="F80" s="26" t="s">
        <v>40</v>
      </c>
      <c r="G80" s="27" t="s">
        <v>16</v>
      </c>
      <c r="H80" s="28">
        <v>3605</v>
      </c>
      <c r="I80" s="28">
        <v>668</v>
      </c>
      <c r="J80" s="28">
        <v>332</v>
      </c>
      <c r="K80" s="28">
        <v>336</v>
      </c>
      <c r="L80" s="28">
        <v>2937</v>
      </c>
      <c r="M80" s="28">
        <v>3366</v>
      </c>
      <c r="N80" s="28">
        <v>1473</v>
      </c>
      <c r="O80" s="28">
        <v>1339</v>
      </c>
      <c r="P80" s="28">
        <v>134</v>
      </c>
      <c r="Q80" s="28">
        <v>1893</v>
      </c>
      <c r="R80" s="29">
        <v>18.529819700000001</v>
      </c>
      <c r="S80" s="29">
        <v>9.2094313000000003</v>
      </c>
      <c r="T80" s="29">
        <v>9.3203882999999994</v>
      </c>
      <c r="U80" s="29">
        <v>81.470180299999996</v>
      </c>
      <c r="V80" s="29">
        <v>43.7611408</v>
      </c>
      <c r="W80" s="29">
        <v>39.780154500000002</v>
      </c>
      <c r="X80" s="29">
        <v>3.9809863000000001</v>
      </c>
      <c r="Y80" s="29">
        <v>56.2388592</v>
      </c>
    </row>
    <row r="81" spans="2:25" ht="15" customHeight="1">
      <c r="B81" s="30">
        <v>76</v>
      </c>
      <c r="C81" s="31" t="s">
        <v>21</v>
      </c>
      <c r="D81" s="31" t="s">
        <v>18</v>
      </c>
      <c r="E81" s="31" t="s">
        <v>39</v>
      </c>
      <c r="F81" s="31" t="s">
        <v>39</v>
      </c>
      <c r="G81" s="31" t="s">
        <v>39</v>
      </c>
      <c r="H81" s="32">
        <v>2950</v>
      </c>
      <c r="I81" s="32">
        <v>907</v>
      </c>
      <c r="J81" s="32">
        <v>617</v>
      </c>
      <c r="K81" s="32">
        <v>290</v>
      </c>
      <c r="L81" s="32">
        <v>2043</v>
      </c>
      <c r="M81" s="32">
        <v>3069</v>
      </c>
      <c r="N81" s="32">
        <v>1585</v>
      </c>
      <c r="O81" s="32">
        <v>1356</v>
      </c>
      <c r="P81" s="32">
        <v>229</v>
      </c>
      <c r="Q81" s="32">
        <v>1484</v>
      </c>
      <c r="R81" s="33">
        <v>30.7457627</v>
      </c>
      <c r="S81" s="33">
        <v>20.9152542</v>
      </c>
      <c r="T81" s="33">
        <v>9.8305085000000005</v>
      </c>
      <c r="U81" s="33">
        <v>69.2542373</v>
      </c>
      <c r="V81" s="33">
        <v>51.645487099999997</v>
      </c>
      <c r="W81" s="33">
        <v>44.183773199999997</v>
      </c>
      <c r="X81" s="33">
        <v>7.4617139000000003</v>
      </c>
      <c r="Y81" s="33">
        <v>48.354512900000003</v>
      </c>
    </row>
    <row r="82" spans="2:25" ht="15" hidden="1" customHeight="1">
      <c r="B82" s="25">
        <v>77</v>
      </c>
      <c r="C82" s="26" t="s">
        <v>21</v>
      </c>
      <c r="D82" s="26" t="s">
        <v>18</v>
      </c>
      <c r="E82" s="26" t="s">
        <v>39</v>
      </c>
      <c r="F82" s="26" t="s">
        <v>39</v>
      </c>
      <c r="G82" s="27" t="s">
        <v>15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9"/>
      <c r="S82" s="29"/>
      <c r="T82" s="29"/>
      <c r="U82" s="29"/>
      <c r="V82" s="29"/>
      <c r="W82" s="29"/>
      <c r="X82" s="29"/>
      <c r="Y82" s="29"/>
    </row>
    <row r="83" spans="2:25" ht="15" hidden="1" customHeight="1">
      <c r="B83" s="25">
        <v>78</v>
      </c>
      <c r="C83" s="26" t="s">
        <v>21</v>
      </c>
      <c r="D83" s="26" t="s">
        <v>18</v>
      </c>
      <c r="E83" s="26" t="s">
        <v>39</v>
      </c>
      <c r="F83" s="26" t="s">
        <v>39</v>
      </c>
      <c r="G83" s="27" t="s">
        <v>16</v>
      </c>
      <c r="H83" s="28">
        <v>2950</v>
      </c>
      <c r="I83" s="28">
        <v>907</v>
      </c>
      <c r="J83" s="28">
        <v>617</v>
      </c>
      <c r="K83" s="28">
        <v>290</v>
      </c>
      <c r="L83" s="28">
        <v>2043</v>
      </c>
      <c r="M83" s="28">
        <v>3069</v>
      </c>
      <c r="N83" s="28">
        <v>1585</v>
      </c>
      <c r="O83" s="28">
        <v>1356</v>
      </c>
      <c r="P83" s="28">
        <v>229</v>
      </c>
      <c r="Q83" s="28">
        <v>1484</v>
      </c>
      <c r="R83" s="29">
        <v>30.7457627</v>
      </c>
      <c r="S83" s="29">
        <v>20.9152542</v>
      </c>
      <c r="T83" s="29">
        <v>9.8305085000000005</v>
      </c>
      <c r="U83" s="29">
        <v>69.2542373</v>
      </c>
      <c r="V83" s="29">
        <v>51.645487099999997</v>
      </c>
      <c r="W83" s="29">
        <v>44.183773199999997</v>
      </c>
      <c r="X83" s="29">
        <v>7.4617139000000003</v>
      </c>
      <c r="Y83" s="29">
        <v>48.354512900000003</v>
      </c>
    </row>
    <row r="84" spans="2:25" ht="15" hidden="1" customHeight="1">
      <c r="B84" s="21">
        <v>79</v>
      </c>
      <c r="C84" s="22" t="s">
        <v>19</v>
      </c>
      <c r="D84" s="22" t="s">
        <v>18</v>
      </c>
      <c r="E84" s="22" t="s">
        <v>41</v>
      </c>
      <c r="F84" s="22"/>
      <c r="G84" s="22" t="s">
        <v>41</v>
      </c>
      <c r="H84" s="23">
        <v>18587</v>
      </c>
      <c r="I84" s="23">
        <v>5062</v>
      </c>
      <c r="J84" s="23">
        <v>2806</v>
      </c>
      <c r="K84" s="23">
        <v>2256</v>
      </c>
      <c r="L84" s="23">
        <v>13525</v>
      </c>
      <c r="M84" s="23">
        <v>21769</v>
      </c>
      <c r="N84" s="23">
        <v>9512</v>
      </c>
      <c r="O84" s="23">
        <v>7974</v>
      </c>
      <c r="P84" s="23">
        <v>1538</v>
      </c>
      <c r="Q84" s="23">
        <v>12257</v>
      </c>
      <c r="R84" s="24">
        <v>27.2340883</v>
      </c>
      <c r="S84" s="24">
        <v>15.0965729</v>
      </c>
      <c r="T84" s="24">
        <v>12.137515499999999</v>
      </c>
      <c r="U84" s="24">
        <v>72.765911700000004</v>
      </c>
      <c r="V84" s="24">
        <v>43.695162799999999</v>
      </c>
      <c r="W84" s="24">
        <v>36.6300703</v>
      </c>
      <c r="X84" s="24">
        <v>7.0650925999999998</v>
      </c>
      <c r="Y84" s="24">
        <v>56.304837200000001</v>
      </c>
    </row>
    <row r="85" spans="2:25" ht="15" hidden="1" customHeight="1">
      <c r="B85" s="25">
        <v>80</v>
      </c>
      <c r="C85" s="26" t="s">
        <v>19</v>
      </c>
      <c r="D85" s="26" t="s">
        <v>18</v>
      </c>
      <c r="E85" s="26" t="s">
        <v>41</v>
      </c>
      <c r="F85" s="26"/>
      <c r="G85" s="27" t="s">
        <v>15</v>
      </c>
      <c r="H85" s="28">
        <v>2069</v>
      </c>
      <c r="I85" s="28">
        <v>1725</v>
      </c>
      <c r="J85" s="28">
        <v>934</v>
      </c>
      <c r="K85" s="28">
        <v>791</v>
      </c>
      <c r="L85" s="28">
        <v>344</v>
      </c>
      <c r="M85" s="28">
        <v>4332</v>
      </c>
      <c r="N85" s="28">
        <v>3874</v>
      </c>
      <c r="O85" s="28">
        <v>3041</v>
      </c>
      <c r="P85" s="28">
        <v>833</v>
      </c>
      <c r="Q85" s="28">
        <v>458</v>
      </c>
      <c r="R85" s="29">
        <v>83.373610400000004</v>
      </c>
      <c r="S85" s="29">
        <v>45.142581</v>
      </c>
      <c r="T85" s="29">
        <v>38.231029499999998</v>
      </c>
      <c r="U85" s="29">
        <v>16.6263896</v>
      </c>
      <c r="V85" s="29">
        <v>89.427516199999999</v>
      </c>
      <c r="W85" s="29">
        <v>70.198522600000004</v>
      </c>
      <c r="X85" s="29">
        <v>19.228993500000001</v>
      </c>
      <c r="Y85" s="29">
        <v>10.572483800000001</v>
      </c>
    </row>
    <row r="86" spans="2:25" ht="15" hidden="1" customHeight="1">
      <c r="B86" s="25">
        <v>81</v>
      </c>
      <c r="C86" s="26" t="s">
        <v>19</v>
      </c>
      <c r="D86" s="26" t="s">
        <v>18</v>
      </c>
      <c r="E86" s="26" t="s">
        <v>41</v>
      </c>
      <c r="F86" s="26"/>
      <c r="G86" s="27" t="s">
        <v>16</v>
      </c>
      <c r="H86" s="28">
        <v>16518</v>
      </c>
      <c r="I86" s="28">
        <v>3337</v>
      </c>
      <c r="J86" s="28">
        <v>1872</v>
      </c>
      <c r="K86" s="28">
        <v>1465</v>
      </c>
      <c r="L86" s="28">
        <v>13181</v>
      </c>
      <c r="M86" s="28">
        <v>17437</v>
      </c>
      <c r="N86" s="28">
        <v>5638</v>
      </c>
      <c r="O86" s="28">
        <v>4933</v>
      </c>
      <c r="P86" s="28">
        <v>705</v>
      </c>
      <c r="Q86" s="28">
        <v>11799</v>
      </c>
      <c r="R86" s="29">
        <v>20.202203699999998</v>
      </c>
      <c r="S86" s="29">
        <v>11.3330912</v>
      </c>
      <c r="T86" s="29">
        <v>8.8691125</v>
      </c>
      <c r="U86" s="29">
        <v>79.797796300000002</v>
      </c>
      <c r="V86" s="29">
        <v>32.333543599999999</v>
      </c>
      <c r="W86" s="29">
        <v>28.2904169</v>
      </c>
      <c r="X86" s="29">
        <v>4.0431267000000002</v>
      </c>
      <c r="Y86" s="29">
        <v>67.666456400000001</v>
      </c>
    </row>
    <row r="87" spans="2:25" ht="15" customHeight="1">
      <c r="B87" s="30">
        <v>82</v>
      </c>
      <c r="C87" s="31" t="s">
        <v>21</v>
      </c>
      <c r="D87" s="31" t="s">
        <v>18</v>
      </c>
      <c r="E87" s="31" t="s">
        <v>41</v>
      </c>
      <c r="F87" s="31" t="s">
        <v>42</v>
      </c>
      <c r="G87" s="31" t="s">
        <v>42</v>
      </c>
      <c r="H87" s="32">
        <v>4325</v>
      </c>
      <c r="I87" s="32">
        <v>2021</v>
      </c>
      <c r="J87" s="32">
        <v>1174</v>
      </c>
      <c r="K87" s="32">
        <v>847</v>
      </c>
      <c r="L87" s="32">
        <v>2304</v>
      </c>
      <c r="M87" s="32">
        <v>5047</v>
      </c>
      <c r="N87" s="32">
        <v>3177</v>
      </c>
      <c r="O87" s="32">
        <v>2691</v>
      </c>
      <c r="P87" s="32">
        <v>486</v>
      </c>
      <c r="Q87" s="32">
        <v>1870</v>
      </c>
      <c r="R87" s="33">
        <v>46.728323699999997</v>
      </c>
      <c r="S87" s="33">
        <v>27.144508699999999</v>
      </c>
      <c r="T87" s="33">
        <v>19.583815000000001</v>
      </c>
      <c r="U87" s="33">
        <v>53.271676300000003</v>
      </c>
      <c r="V87" s="33">
        <v>62.948286099999997</v>
      </c>
      <c r="W87" s="33">
        <v>53.318803199999998</v>
      </c>
      <c r="X87" s="33">
        <v>9.6294828999999993</v>
      </c>
      <c r="Y87" s="33">
        <v>37.051713900000003</v>
      </c>
    </row>
    <row r="88" spans="2:25" ht="15" hidden="1" customHeight="1">
      <c r="B88" s="25">
        <v>83</v>
      </c>
      <c r="C88" s="26" t="s">
        <v>21</v>
      </c>
      <c r="D88" s="26" t="s">
        <v>18</v>
      </c>
      <c r="E88" s="26" t="s">
        <v>41</v>
      </c>
      <c r="F88" s="26" t="s">
        <v>42</v>
      </c>
      <c r="G88" s="27" t="s">
        <v>15</v>
      </c>
      <c r="H88" s="28">
        <v>1492</v>
      </c>
      <c r="I88" s="28">
        <v>1340</v>
      </c>
      <c r="J88" s="28">
        <v>702</v>
      </c>
      <c r="K88" s="28">
        <v>638</v>
      </c>
      <c r="L88" s="28">
        <v>152</v>
      </c>
      <c r="M88" s="28">
        <v>1817</v>
      </c>
      <c r="N88" s="28">
        <v>1771</v>
      </c>
      <c r="O88" s="28">
        <v>1414</v>
      </c>
      <c r="P88" s="28">
        <v>357</v>
      </c>
      <c r="Q88" s="28">
        <v>46</v>
      </c>
      <c r="R88" s="29">
        <v>89.812332400000003</v>
      </c>
      <c r="S88" s="29">
        <v>47.050938299999999</v>
      </c>
      <c r="T88" s="29">
        <v>42.761394099999997</v>
      </c>
      <c r="U88" s="29">
        <v>10.187667599999999</v>
      </c>
      <c r="V88" s="29">
        <v>97.468354399999996</v>
      </c>
      <c r="W88" s="29">
        <v>77.820583400000004</v>
      </c>
      <c r="X88" s="29">
        <v>19.6477711</v>
      </c>
      <c r="Y88" s="29">
        <v>2.5316456000000001</v>
      </c>
    </row>
    <row r="89" spans="2:25" ht="15" hidden="1" customHeight="1">
      <c r="B89" s="25">
        <v>84</v>
      </c>
      <c r="C89" s="26" t="s">
        <v>21</v>
      </c>
      <c r="D89" s="26" t="s">
        <v>18</v>
      </c>
      <c r="E89" s="26" t="s">
        <v>41</v>
      </c>
      <c r="F89" s="26" t="s">
        <v>42</v>
      </c>
      <c r="G89" s="27" t="s">
        <v>16</v>
      </c>
      <c r="H89" s="28">
        <v>2833</v>
      </c>
      <c r="I89" s="28">
        <v>681</v>
      </c>
      <c r="J89" s="28">
        <v>472</v>
      </c>
      <c r="K89" s="28">
        <v>209</v>
      </c>
      <c r="L89" s="28">
        <v>2152</v>
      </c>
      <c r="M89" s="28">
        <v>3230</v>
      </c>
      <c r="N89" s="28">
        <v>1406</v>
      </c>
      <c r="O89" s="28">
        <v>1277</v>
      </c>
      <c r="P89" s="28">
        <v>129</v>
      </c>
      <c r="Q89" s="28">
        <v>1824</v>
      </c>
      <c r="R89" s="29">
        <v>24.038122099999999</v>
      </c>
      <c r="S89" s="29">
        <v>16.660783599999998</v>
      </c>
      <c r="T89" s="29">
        <v>7.3773384999999996</v>
      </c>
      <c r="U89" s="29">
        <v>75.961877900000005</v>
      </c>
      <c r="V89" s="29">
        <v>43.529411799999998</v>
      </c>
      <c r="W89" s="29">
        <v>39.535603700000003</v>
      </c>
      <c r="X89" s="29">
        <v>3.993808</v>
      </c>
      <c r="Y89" s="29">
        <v>56.470588200000002</v>
      </c>
    </row>
    <row r="90" spans="2:25" ht="15" customHeight="1">
      <c r="B90" s="30">
        <v>85</v>
      </c>
      <c r="C90" s="31" t="s">
        <v>21</v>
      </c>
      <c r="D90" s="31" t="s">
        <v>18</v>
      </c>
      <c r="E90" s="31" t="s">
        <v>41</v>
      </c>
      <c r="F90" s="31" t="s">
        <v>43</v>
      </c>
      <c r="G90" s="31" t="s">
        <v>43</v>
      </c>
      <c r="H90" s="32">
        <v>8008</v>
      </c>
      <c r="I90" s="32">
        <v>1832</v>
      </c>
      <c r="J90" s="32">
        <v>1036</v>
      </c>
      <c r="K90" s="32">
        <v>796</v>
      </c>
      <c r="L90" s="32">
        <v>6176</v>
      </c>
      <c r="M90" s="32">
        <v>8651</v>
      </c>
      <c r="N90" s="32">
        <v>3387</v>
      </c>
      <c r="O90" s="32">
        <v>2876</v>
      </c>
      <c r="P90" s="32">
        <v>511</v>
      </c>
      <c r="Q90" s="32">
        <v>5264</v>
      </c>
      <c r="R90" s="33">
        <v>22.8771229</v>
      </c>
      <c r="S90" s="33">
        <v>12.937062900000001</v>
      </c>
      <c r="T90" s="33">
        <v>9.9400598999999996</v>
      </c>
      <c r="U90" s="33">
        <v>77.122877099999997</v>
      </c>
      <c r="V90" s="33">
        <v>39.151543199999999</v>
      </c>
      <c r="W90" s="33">
        <v>33.244711600000002</v>
      </c>
      <c r="X90" s="33">
        <v>5.9068316000000003</v>
      </c>
      <c r="Y90" s="33">
        <v>60.848456800000001</v>
      </c>
    </row>
    <row r="91" spans="2:25" ht="15" hidden="1" customHeight="1">
      <c r="B91" s="25">
        <v>86</v>
      </c>
      <c r="C91" s="26" t="s">
        <v>21</v>
      </c>
      <c r="D91" s="26" t="s">
        <v>18</v>
      </c>
      <c r="E91" s="26" t="s">
        <v>41</v>
      </c>
      <c r="F91" s="26" t="s">
        <v>43</v>
      </c>
      <c r="G91" s="27" t="s">
        <v>15</v>
      </c>
      <c r="H91" s="28"/>
      <c r="I91" s="28"/>
      <c r="J91" s="28"/>
      <c r="K91" s="28"/>
      <c r="L91" s="28"/>
      <c r="M91" s="28">
        <v>990</v>
      </c>
      <c r="N91" s="28">
        <v>768</v>
      </c>
      <c r="O91" s="28">
        <v>609</v>
      </c>
      <c r="P91" s="28">
        <v>159</v>
      </c>
      <c r="Q91" s="28">
        <v>222</v>
      </c>
      <c r="R91" s="29"/>
      <c r="S91" s="29"/>
      <c r="T91" s="29"/>
      <c r="U91" s="29"/>
      <c r="V91" s="29">
        <v>77.575757600000003</v>
      </c>
      <c r="W91" s="29">
        <v>61.515151500000002</v>
      </c>
      <c r="X91" s="29">
        <v>16.060606100000001</v>
      </c>
      <c r="Y91" s="29">
        <v>22.424242400000001</v>
      </c>
    </row>
    <row r="92" spans="2:25" ht="15" hidden="1" customHeight="1">
      <c r="B92" s="25">
        <v>87</v>
      </c>
      <c r="C92" s="26" t="s">
        <v>21</v>
      </c>
      <c r="D92" s="26" t="s">
        <v>18</v>
      </c>
      <c r="E92" s="26" t="s">
        <v>41</v>
      </c>
      <c r="F92" s="26" t="s">
        <v>43</v>
      </c>
      <c r="G92" s="27" t="s">
        <v>16</v>
      </c>
      <c r="H92" s="28">
        <v>8008</v>
      </c>
      <c r="I92" s="28">
        <v>1832</v>
      </c>
      <c r="J92" s="28">
        <v>1036</v>
      </c>
      <c r="K92" s="28">
        <v>796</v>
      </c>
      <c r="L92" s="28">
        <v>6176</v>
      </c>
      <c r="M92" s="28">
        <v>7661</v>
      </c>
      <c r="N92" s="28">
        <v>2619</v>
      </c>
      <c r="O92" s="28">
        <v>2267</v>
      </c>
      <c r="P92" s="28">
        <v>352</v>
      </c>
      <c r="Q92" s="28">
        <v>5042</v>
      </c>
      <c r="R92" s="29">
        <v>22.8771229</v>
      </c>
      <c r="S92" s="29">
        <v>12.937062900000001</v>
      </c>
      <c r="T92" s="29">
        <v>9.9400598999999996</v>
      </c>
      <c r="U92" s="29">
        <v>77.122877099999997</v>
      </c>
      <c r="V92" s="29">
        <v>34.186137600000002</v>
      </c>
      <c r="W92" s="29">
        <v>29.5914371</v>
      </c>
      <c r="X92" s="29">
        <v>4.5947003999999998</v>
      </c>
      <c r="Y92" s="29">
        <v>65.813862400000005</v>
      </c>
    </row>
    <row r="93" spans="2:25" ht="15" customHeight="1">
      <c r="B93" s="30">
        <v>88</v>
      </c>
      <c r="C93" s="31" t="s">
        <v>21</v>
      </c>
      <c r="D93" s="31" t="s">
        <v>18</v>
      </c>
      <c r="E93" s="31" t="s">
        <v>41</v>
      </c>
      <c r="F93" s="31" t="s">
        <v>44</v>
      </c>
      <c r="G93" s="31" t="s">
        <v>44</v>
      </c>
      <c r="H93" s="32">
        <v>2779</v>
      </c>
      <c r="I93" s="32">
        <v>470</v>
      </c>
      <c r="J93" s="32">
        <v>163</v>
      </c>
      <c r="K93" s="32">
        <v>307</v>
      </c>
      <c r="L93" s="32">
        <v>2309</v>
      </c>
      <c r="M93" s="32">
        <v>4071</v>
      </c>
      <c r="N93" s="32">
        <v>1354</v>
      </c>
      <c r="O93" s="32">
        <v>1135</v>
      </c>
      <c r="P93" s="32">
        <v>219</v>
      </c>
      <c r="Q93" s="32">
        <v>2717</v>
      </c>
      <c r="R93" s="33">
        <v>16.912558499999999</v>
      </c>
      <c r="S93" s="33">
        <v>5.8654191999999998</v>
      </c>
      <c r="T93" s="33">
        <v>11.0471393</v>
      </c>
      <c r="U93" s="33">
        <v>83.087441499999997</v>
      </c>
      <c r="V93" s="33">
        <v>33.2596414</v>
      </c>
      <c r="W93" s="33">
        <v>27.880127699999999</v>
      </c>
      <c r="X93" s="33">
        <v>5.3795136000000001</v>
      </c>
      <c r="Y93" s="33">
        <v>66.740358599999993</v>
      </c>
    </row>
    <row r="94" spans="2:25" ht="15" hidden="1" customHeight="1">
      <c r="B94" s="25">
        <v>89</v>
      </c>
      <c r="C94" s="26" t="s">
        <v>21</v>
      </c>
      <c r="D94" s="26" t="s">
        <v>18</v>
      </c>
      <c r="E94" s="26" t="s">
        <v>41</v>
      </c>
      <c r="F94" s="26" t="s">
        <v>44</v>
      </c>
      <c r="G94" s="27" t="s">
        <v>15</v>
      </c>
      <c r="H94" s="28"/>
      <c r="I94" s="28"/>
      <c r="J94" s="28"/>
      <c r="K94" s="28"/>
      <c r="L94" s="28"/>
      <c r="M94" s="28">
        <v>700</v>
      </c>
      <c r="N94" s="28">
        <v>570</v>
      </c>
      <c r="O94" s="28">
        <v>455</v>
      </c>
      <c r="P94" s="28">
        <v>115</v>
      </c>
      <c r="Q94" s="28">
        <v>130</v>
      </c>
      <c r="R94" s="29"/>
      <c r="S94" s="29"/>
      <c r="T94" s="29"/>
      <c r="U94" s="29"/>
      <c r="V94" s="29">
        <v>81.428571399999996</v>
      </c>
      <c r="W94" s="29">
        <v>65</v>
      </c>
      <c r="X94" s="29">
        <v>16.428571399999999</v>
      </c>
      <c r="Y94" s="29">
        <v>18.571428600000001</v>
      </c>
    </row>
    <row r="95" spans="2:25" ht="15" hidden="1" customHeight="1">
      <c r="B95" s="25">
        <v>90</v>
      </c>
      <c r="C95" s="26" t="s">
        <v>21</v>
      </c>
      <c r="D95" s="26" t="s">
        <v>18</v>
      </c>
      <c r="E95" s="26" t="s">
        <v>41</v>
      </c>
      <c r="F95" s="26" t="s">
        <v>44</v>
      </c>
      <c r="G95" s="27" t="s">
        <v>16</v>
      </c>
      <c r="H95" s="28">
        <v>2779</v>
      </c>
      <c r="I95" s="28">
        <v>470</v>
      </c>
      <c r="J95" s="28">
        <v>163</v>
      </c>
      <c r="K95" s="28">
        <v>307</v>
      </c>
      <c r="L95" s="28">
        <v>2309</v>
      </c>
      <c r="M95" s="28">
        <v>3371</v>
      </c>
      <c r="N95" s="28">
        <v>784</v>
      </c>
      <c r="O95" s="28">
        <v>680</v>
      </c>
      <c r="P95" s="28">
        <v>104</v>
      </c>
      <c r="Q95" s="28">
        <v>2587</v>
      </c>
      <c r="R95" s="29">
        <v>16.912558499999999</v>
      </c>
      <c r="S95" s="29">
        <v>5.8654191999999998</v>
      </c>
      <c r="T95" s="29">
        <v>11.0471393</v>
      </c>
      <c r="U95" s="29">
        <v>83.087441499999997</v>
      </c>
      <c r="V95" s="29">
        <v>23.257193699999998</v>
      </c>
      <c r="W95" s="29">
        <v>20.172055799999999</v>
      </c>
      <c r="X95" s="29">
        <v>3.0851378999999999</v>
      </c>
      <c r="Y95" s="29">
        <v>76.742806299999998</v>
      </c>
    </row>
    <row r="96" spans="2:25" ht="15" customHeight="1">
      <c r="B96" s="30">
        <v>91</v>
      </c>
      <c r="C96" s="31" t="s">
        <v>21</v>
      </c>
      <c r="D96" s="31" t="s">
        <v>18</v>
      </c>
      <c r="E96" s="31" t="s">
        <v>41</v>
      </c>
      <c r="F96" s="31" t="s">
        <v>45</v>
      </c>
      <c r="G96" s="31" t="s">
        <v>45</v>
      </c>
      <c r="H96" s="32">
        <v>3475</v>
      </c>
      <c r="I96" s="32">
        <v>739</v>
      </c>
      <c r="J96" s="32">
        <v>433</v>
      </c>
      <c r="K96" s="32">
        <v>306</v>
      </c>
      <c r="L96" s="32">
        <v>2736</v>
      </c>
      <c r="M96" s="32">
        <v>4000</v>
      </c>
      <c r="N96" s="32">
        <v>1594</v>
      </c>
      <c r="O96" s="32">
        <v>1272</v>
      </c>
      <c r="P96" s="32">
        <v>322</v>
      </c>
      <c r="Q96" s="32">
        <v>2406</v>
      </c>
      <c r="R96" s="33">
        <v>21.2661871</v>
      </c>
      <c r="S96" s="33">
        <v>12.460431700000001</v>
      </c>
      <c r="T96" s="33">
        <v>8.8057554000000007</v>
      </c>
      <c r="U96" s="33">
        <v>78.733812900000004</v>
      </c>
      <c r="V96" s="33">
        <v>39.85</v>
      </c>
      <c r="W96" s="33">
        <v>31.8</v>
      </c>
      <c r="X96" s="33">
        <v>8.0500000000000007</v>
      </c>
      <c r="Y96" s="33">
        <v>60.15</v>
      </c>
    </row>
    <row r="97" spans="2:25" ht="15" hidden="1" customHeight="1">
      <c r="B97" s="25">
        <v>92</v>
      </c>
      <c r="C97" s="26" t="s">
        <v>21</v>
      </c>
      <c r="D97" s="26" t="s">
        <v>18</v>
      </c>
      <c r="E97" s="26" t="s">
        <v>41</v>
      </c>
      <c r="F97" s="26" t="s">
        <v>45</v>
      </c>
      <c r="G97" s="27" t="s">
        <v>15</v>
      </c>
      <c r="H97" s="28">
        <v>577</v>
      </c>
      <c r="I97" s="28">
        <v>385</v>
      </c>
      <c r="J97" s="28">
        <v>232</v>
      </c>
      <c r="K97" s="28">
        <v>153</v>
      </c>
      <c r="L97" s="28">
        <v>192</v>
      </c>
      <c r="M97" s="28">
        <v>825</v>
      </c>
      <c r="N97" s="28">
        <v>765</v>
      </c>
      <c r="O97" s="28">
        <v>563</v>
      </c>
      <c r="P97" s="28">
        <v>202</v>
      </c>
      <c r="Q97" s="28">
        <v>60</v>
      </c>
      <c r="R97" s="29">
        <v>66.724436699999998</v>
      </c>
      <c r="S97" s="29">
        <v>40.207972300000002</v>
      </c>
      <c r="T97" s="29">
        <v>26.516464500000001</v>
      </c>
      <c r="U97" s="29">
        <v>33.275563300000002</v>
      </c>
      <c r="V97" s="29">
        <v>92.7272727</v>
      </c>
      <c r="W97" s="29">
        <v>68.242424200000002</v>
      </c>
      <c r="X97" s="29">
        <v>24.484848499999998</v>
      </c>
      <c r="Y97" s="29">
        <v>7.2727272999999997</v>
      </c>
    </row>
    <row r="98" spans="2:25" ht="15" hidden="1" customHeight="1">
      <c r="B98" s="25">
        <v>93</v>
      </c>
      <c r="C98" s="26" t="s">
        <v>21</v>
      </c>
      <c r="D98" s="26" t="s">
        <v>18</v>
      </c>
      <c r="E98" s="26" t="s">
        <v>41</v>
      </c>
      <c r="F98" s="26" t="s">
        <v>45</v>
      </c>
      <c r="G98" s="27" t="s">
        <v>16</v>
      </c>
      <c r="H98" s="28">
        <v>2898</v>
      </c>
      <c r="I98" s="28">
        <v>354</v>
      </c>
      <c r="J98" s="28">
        <v>201</v>
      </c>
      <c r="K98" s="28">
        <v>153</v>
      </c>
      <c r="L98" s="28">
        <v>2544</v>
      </c>
      <c r="M98" s="28">
        <v>3175</v>
      </c>
      <c r="N98" s="28">
        <v>829</v>
      </c>
      <c r="O98" s="28">
        <v>709</v>
      </c>
      <c r="P98" s="28">
        <v>120</v>
      </c>
      <c r="Q98" s="28">
        <v>2346</v>
      </c>
      <c r="R98" s="29">
        <v>12.2153209</v>
      </c>
      <c r="S98" s="29">
        <v>6.9358177999999997</v>
      </c>
      <c r="T98" s="29">
        <v>5.2795031000000003</v>
      </c>
      <c r="U98" s="29">
        <v>87.784679100000005</v>
      </c>
      <c r="V98" s="29">
        <v>26.110236199999999</v>
      </c>
      <c r="W98" s="29">
        <v>22.330708699999999</v>
      </c>
      <c r="X98" s="29">
        <v>3.7795276000000002</v>
      </c>
      <c r="Y98" s="29">
        <v>73.889763799999997</v>
      </c>
    </row>
    <row r="99" spans="2:25" ht="15" hidden="1" customHeight="1">
      <c r="B99" s="21">
        <v>94</v>
      </c>
      <c r="C99" s="22" t="s">
        <v>19</v>
      </c>
      <c r="D99" s="22" t="s">
        <v>18</v>
      </c>
      <c r="E99" s="22" t="s">
        <v>46</v>
      </c>
      <c r="F99" s="22"/>
      <c r="G99" s="22" t="s">
        <v>46</v>
      </c>
      <c r="H99" s="23">
        <v>3196</v>
      </c>
      <c r="I99" s="23">
        <v>1495</v>
      </c>
      <c r="J99" s="23">
        <v>753</v>
      </c>
      <c r="K99" s="23">
        <v>742</v>
      </c>
      <c r="L99" s="23">
        <v>1701</v>
      </c>
      <c r="M99" s="23">
        <v>3187</v>
      </c>
      <c r="N99" s="23">
        <v>2050</v>
      </c>
      <c r="O99" s="23">
        <v>1732</v>
      </c>
      <c r="P99" s="23">
        <v>318</v>
      </c>
      <c r="Q99" s="23">
        <v>1137</v>
      </c>
      <c r="R99" s="24">
        <v>46.777221500000003</v>
      </c>
      <c r="S99" s="24">
        <v>23.560700900000001</v>
      </c>
      <c r="T99" s="24">
        <v>23.2165207</v>
      </c>
      <c r="U99" s="24">
        <v>53.222778499999997</v>
      </c>
      <c r="V99" s="24">
        <v>64.323815499999995</v>
      </c>
      <c r="W99" s="24">
        <v>54.345779700000001</v>
      </c>
      <c r="X99" s="24">
        <v>9.9780358000000007</v>
      </c>
      <c r="Y99" s="24">
        <v>35.676184499999998</v>
      </c>
    </row>
    <row r="100" spans="2:25" ht="15" hidden="1" customHeight="1">
      <c r="B100" s="25">
        <v>95</v>
      </c>
      <c r="C100" s="26" t="s">
        <v>19</v>
      </c>
      <c r="D100" s="26" t="s">
        <v>18</v>
      </c>
      <c r="E100" s="26" t="s">
        <v>46</v>
      </c>
      <c r="F100" s="26"/>
      <c r="G100" s="27" t="s">
        <v>15</v>
      </c>
      <c r="H100" s="28">
        <v>1035</v>
      </c>
      <c r="I100" s="28">
        <v>902</v>
      </c>
      <c r="J100" s="28">
        <v>390</v>
      </c>
      <c r="K100" s="28">
        <v>512</v>
      </c>
      <c r="L100" s="28">
        <v>133</v>
      </c>
      <c r="M100" s="28">
        <v>1189</v>
      </c>
      <c r="N100" s="28">
        <v>1129</v>
      </c>
      <c r="O100" s="28">
        <v>875</v>
      </c>
      <c r="P100" s="28">
        <v>254</v>
      </c>
      <c r="Q100" s="28">
        <v>60</v>
      </c>
      <c r="R100" s="29">
        <v>87.149758500000004</v>
      </c>
      <c r="S100" s="29">
        <v>37.681159399999999</v>
      </c>
      <c r="T100" s="29">
        <v>49.468598999999998</v>
      </c>
      <c r="U100" s="29">
        <v>12.850241499999999</v>
      </c>
      <c r="V100" s="29">
        <v>94.953742599999998</v>
      </c>
      <c r="W100" s="29">
        <v>73.591253199999997</v>
      </c>
      <c r="X100" s="29">
        <v>21.362489499999999</v>
      </c>
      <c r="Y100" s="29">
        <v>5.0462574</v>
      </c>
    </row>
    <row r="101" spans="2:25" ht="15" hidden="1" customHeight="1">
      <c r="B101" s="25">
        <v>96</v>
      </c>
      <c r="C101" s="26" t="s">
        <v>19</v>
      </c>
      <c r="D101" s="26" t="s">
        <v>18</v>
      </c>
      <c r="E101" s="26" t="s">
        <v>46</v>
      </c>
      <c r="F101" s="26"/>
      <c r="G101" s="27" t="s">
        <v>16</v>
      </c>
      <c r="H101" s="28">
        <v>2161</v>
      </c>
      <c r="I101" s="28">
        <v>593</v>
      </c>
      <c r="J101" s="28">
        <v>363</v>
      </c>
      <c r="K101" s="28">
        <v>230</v>
      </c>
      <c r="L101" s="28">
        <v>1568</v>
      </c>
      <c r="M101" s="28">
        <v>1998</v>
      </c>
      <c r="N101" s="28">
        <v>921</v>
      </c>
      <c r="O101" s="28">
        <v>857</v>
      </c>
      <c r="P101" s="28">
        <v>64</v>
      </c>
      <c r="Q101" s="28">
        <v>1077</v>
      </c>
      <c r="R101" s="29">
        <v>27.4409995</v>
      </c>
      <c r="S101" s="29">
        <v>16.7977788</v>
      </c>
      <c r="T101" s="29">
        <v>10.643220700000001</v>
      </c>
      <c r="U101" s="29">
        <v>72.559000499999996</v>
      </c>
      <c r="V101" s="29">
        <v>46.096096099999997</v>
      </c>
      <c r="W101" s="29">
        <v>42.8928929</v>
      </c>
      <c r="X101" s="29">
        <v>3.2032031999999999</v>
      </c>
      <c r="Y101" s="29">
        <v>53.903903900000003</v>
      </c>
    </row>
    <row r="102" spans="2:25" ht="15" customHeight="1">
      <c r="B102" s="30">
        <v>97</v>
      </c>
      <c r="C102" s="31" t="s">
        <v>21</v>
      </c>
      <c r="D102" s="31" t="s">
        <v>18</v>
      </c>
      <c r="E102" s="31" t="s">
        <v>46</v>
      </c>
      <c r="F102" s="31" t="s">
        <v>47</v>
      </c>
      <c r="G102" s="31" t="s">
        <v>47</v>
      </c>
      <c r="H102" s="32">
        <v>3196</v>
      </c>
      <c r="I102" s="32">
        <v>1495</v>
      </c>
      <c r="J102" s="32">
        <v>753</v>
      </c>
      <c r="K102" s="32">
        <v>742</v>
      </c>
      <c r="L102" s="32">
        <v>1701</v>
      </c>
      <c r="M102" s="32">
        <v>3187</v>
      </c>
      <c r="N102" s="32">
        <v>2050</v>
      </c>
      <c r="O102" s="32">
        <v>1732</v>
      </c>
      <c r="P102" s="32">
        <v>318</v>
      </c>
      <c r="Q102" s="32">
        <v>1137</v>
      </c>
      <c r="R102" s="33">
        <v>46.777221500000003</v>
      </c>
      <c r="S102" s="33">
        <v>23.560700900000001</v>
      </c>
      <c r="T102" s="33">
        <v>23.2165207</v>
      </c>
      <c r="U102" s="33">
        <v>53.222778499999997</v>
      </c>
      <c r="V102" s="33">
        <v>64.323815499999995</v>
      </c>
      <c r="W102" s="33">
        <v>54.345779700000001</v>
      </c>
      <c r="X102" s="33">
        <v>9.9780358000000007</v>
      </c>
      <c r="Y102" s="33">
        <v>35.676184499999998</v>
      </c>
    </row>
    <row r="103" spans="2:25" ht="15" hidden="1" customHeight="1">
      <c r="B103" s="25">
        <v>98</v>
      </c>
      <c r="C103" s="26" t="s">
        <v>21</v>
      </c>
      <c r="D103" s="26" t="s">
        <v>18</v>
      </c>
      <c r="E103" s="26" t="s">
        <v>46</v>
      </c>
      <c r="F103" s="26" t="s">
        <v>47</v>
      </c>
      <c r="G103" s="27" t="s">
        <v>15</v>
      </c>
      <c r="H103" s="28">
        <v>1035</v>
      </c>
      <c r="I103" s="28">
        <v>902</v>
      </c>
      <c r="J103" s="28">
        <v>390</v>
      </c>
      <c r="K103" s="28">
        <v>512</v>
      </c>
      <c r="L103" s="28">
        <v>133</v>
      </c>
      <c r="M103" s="28">
        <v>1189</v>
      </c>
      <c r="N103" s="28">
        <v>1129</v>
      </c>
      <c r="O103" s="28">
        <v>875</v>
      </c>
      <c r="P103" s="28">
        <v>254</v>
      </c>
      <c r="Q103" s="28">
        <v>60</v>
      </c>
      <c r="R103" s="29">
        <v>87.149758500000004</v>
      </c>
      <c r="S103" s="29">
        <v>37.681159399999999</v>
      </c>
      <c r="T103" s="29">
        <v>49.468598999999998</v>
      </c>
      <c r="U103" s="29">
        <v>12.850241499999999</v>
      </c>
      <c r="V103" s="29">
        <v>94.953742599999998</v>
      </c>
      <c r="W103" s="29">
        <v>73.591253199999997</v>
      </c>
      <c r="X103" s="29">
        <v>21.362489499999999</v>
      </c>
      <c r="Y103" s="29">
        <v>5.0462574</v>
      </c>
    </row>
    <row r="104" spans="2:25" ht="15" hidden="1" customHeight="1">
      <c r="B104" s="25">
        <v>99</v>
      </c>
      <c r="C104" s="26" t="s">
        <v>21</v>
      </c>
      <c r="D104" s="26" t="s">
        <v>18</v>
      </c>
      <c r="E104" s="26" t="s">
        <v>46</v>
      </c>
      <c r="F104" s="26" t="s">
        <v>47</v>
      </c>
      <c r="G104" s="27" t="s">
        <v>16</v>
      </c>
      <c r="H104" s="28">
        <v>2161</v>
      </c>
      <c r="I104" s="28">
        <v>593</v>
      </c>
      <c r="J104" s="28">
        <v>363</v>
      </c>
      <c r="K104" s="28">
        <v>230</v>
      </c>
      <c r="L104" s="28">
        <v>1568</v>
      </c>
      <c r="M104" s="28">
        <v>1998</v>
      </c>
      <c r="N104" s="28">
        <v>921</v>
      </c>
      <c r="O104" s="28">
        <v>857</v>
      </c>
      <c r="P104" s="28">
        <v>64</v>
      </c>
      <c r="Q104" s="28">
        <v>1077</v>
      </c>
      <c r="R104" s="29">
        <v>27.4409995</v>
      </c>
      <c r="S104" s="29">
        <v>16.7977788</v>
      </c>
      <c r="T104" s="29">
        <v>10.643220700000001</v>
      </c>
      <c r="U104" s="29">
        <v>72.559000499999996</v>
      </c>
      <c r="V104" s="29">
        <v>46.096096099999997</v>
      </c>
      <c r="W104" s="29">
        <v>42.8928929</v>
      </c>
      <c r="X104" s="29">
        <v>3.2032031999999999</v>
      </c>
      <c r="Y104" s="29">
        <v>53.903903900000003</v>
      </c>
    </row>
    <row r="105" spans="2:25" ht="15" hidden="1" customHeight="1">
      <c r="B105" s="21">
        <v>100</v>
      </c>
      <c r="C105" s="22" t="s">
        <v>19</v>
      </c>
      <c r="D105" s="22" t="s">
        <v>18</v>
      </c>
      <c r="E105" s="22" t="s">
        <v>48</v>
      </c>
      <c r="F105" s="22"/>
      <c r="G105" s="22" t="s">
        <v>48</v>
      </c>
      <c r="H105" s="23">
        <v>6374</v>
      </c>
      <c r="I105" s="23">
        <v>2522</v>
      </c>
      <c r="J105" s="23">
        <v>1471</v>
      </c>
      <c r="K105" s="23">
        <v>1051</v>
      </c>
      <c r="L105" s="23">
        <v>3852</v>
      </c>
      <c r="M105" s="23">
        <v>7311</v>
      </c>
      <c r="N105" s="23">
        <v>4130</v>
      </c>
      <c r="O105" s="23">
        <v>3529</v>
      </c>
      <c r="P105" s="23">
        <v>601</v>
      </c>
      <c r="Q105" s="23">
        <v>3181</v>
      </c>
      <c r="R105" s="24">
        <v>39.5669909</v>
      </c>
      <c r="S105" s="24">
        <v>23.0781299</v>
      </c>
      <c r="T105" s="24">
        <v>16.488861</v>
      </c>
      <c r="U105" s="24">
        <v>60.4330091</v>
      </c>
      <c r="V105" s="24">
        <v>56.490220200000003</v>
      </c>
      <c r="W105" s="24">
        <v>48.269730500000001</v>
      </c>
      <c r="X105" s="24">
        <v>8.2204896999999999</v>
      </c>
      <c r="Y105" s="24">
        <v>43.509779799999997</v>
      </c>
    </row>
    <row r="106" spans="2:25" ht="15" hidden="1" customHeight="1">
      <c r="B106" s="25">
        <v>101</v>
      </c>
      <c r="C106" s="26" t="s">
        <v>19</v>
      </c>
      <c r="D106" s="26" t="s">
        <v>18</v>
      </c>
      <c r="E106" s="26" t="s">
        <v>48</v>
      </c>
      <c r="F106" s="26"/>
      <c r="G106" s="27" t="s">
        <v>15</v>
      </c>
      <c r="H106" s="28">
        <v>736</v>
      </c>
      <c r="I106" s="28">
        <v>579</v>
      </c>
      <c r="J106" s="28">
        <v>355</v>
      </c>
      <c r="K106" s="28">
        <v>224</v>
      </c>
      <c r="L106" s="28">
        <v>157</v>
      </c>
      <c r="M106" s="28">
        <v>1645</v>
      </c>
      <c r="N106" s="28">
        <v>1426</v>
      </c>
      <c r="O106" s="28">
        <v>1174</v>
      </c>
      <c r="P106" s="28">
        <v>252</v>
      </c>
      <c r="Q106" s="28">
        <v>219</v>
      </c>
      <c r="R106" s="29">
        <v>78.668478300000004</v>
      </c>
      <c r="S106" s="29">
        <v>48.233695699999998</v>
      </c>
      <c r="T106" s="29">
        <v>30.434782599999998</v>
      </c>
      <c r="U106" s="29">
        <v>21.3315217</v>
      </c>
      <c r="V106" s="29">
        <v>86.686930099999998</v>
      </c>
      <c r="W106" s="29">
        <v>71.367781199999996</v>
      </c>
      <c r="X106" s="29">
        <v>15.3191489</v>
      </c>
      <c r="Y106" s="29">
        <v>13.3130699</v>
      </c>
    </row>
    <row r="107" spans="2:25" ht="15" hidden="1" customHeight="1">
      <c r="B107" s="25">
        <v>102</v>
      </c>
      <c r="C107" s="26" t="s">
        <v>19</v>
      </c>
      <c r="D107" s="26" t="s">
        <v>18</v>
      </c>
      <c r="E107" s="26" t="s">
        <v>48</v>
      </c>
      <c r="F107" s="26"/>
      <c r="G107" s="27" t="s">
        <v>16</v>
      </c>
      <c r="H107" s="28">
        <v>5638</v>
      </c>
      <c r="I107" s="28">
        <v>1943</v>
      </c>
      <c r="J107" s="28">
        <v>1116</v>
      </c>
      <c r="K107" s="28">
        <v>827</v>
      </c>
      <c r="L107" s="28">
        <v>3695</v>
      </c>
      <c r="M107" s="28">
        <v>5666</v>
      </c>
      <c r="N107" s="28">
        <v>2704</v>
      </c>
      <c r="O107" s="28">
        <v>2355</v>
      </c>
      <c r="P107" s="28">
        <v>349</v>
      </c>
      <c r="Q107" s="28">
        <v>2962</v>
      </c>
      <c r="R107" s="29">
        <v>34.462575399999999</v>
      </c>
      <c r="S107" s="29">
        <v>19.794253300000001</v>
      </c>
      <c r="T107" s="29">
        <v>14.668322099999999</v>
      </c>
      <c r="U107" s="29">
        <v>65.537424599999994</v>
      </c>
      <c r="V107" s="29">
        <v>47.723261600000001</v>
      </c>
      <c r="W107" s="29">
        <v>41.563713399999997</v>
      </c>
      <c r="X107" s="29">
        <v>6.1595481999999997</v>
      </c>
      <c r="Y107" s="29">
        <v>52.276738399999999</v>
      </c>
    </row>
    <row r="108" spans="2:25" ht="15" customHeight="1">
      <c r="B108" s="30">
        <v>103</v>
      </c>
      <c r="C108" s="31" t="s">
        <v>21</v>
      </c>
      <c r="D108" s="31" t="s">
        <v>18</v>
      </c>
      <c r="E108" s="31" t="s">
        <v>48</v>
      </c>
      <c r="F108" s="31" t="s">
        <v>49</v>
      </c>
      <c r="G108" s="31" t="s">
        <v>49</v>
      </c>
      <c r="H108" s="32">
        <v>965</v>
      </c>
      <c r="I108" s="32">
        <v>317</v>
      </c>
      <c r="J108" s="32">
        <v>154</v>
      </c>
      <c r="K108" s="32">
        <v>163</v>
      </c>
      <c r="L108" s="32">
        <v>648</v>
      </c>
      <c r="M108" s="32">
        <v>1371</v>
      </c>
      <c r="N108" s="32">
        <v>861</v>
      </c>
      <c r="O108" s="32">
        <v>686</v>
      </c>
      <c r="P108" s="32">
        <v>175</v>
      </c>
      <c r="Q108" s="32">
        <v>510</v>
      </c>
      <c r="R108" s="33">
        <v>32.8497409</v>
      </c>
      <c r="S108" s="33">
        <v>15.9585492</v>
      </c>
      <c r="T108" s="33">
        <v>16.8911917</v>
      </c>
      <c r="U108" s="33">
        <v>67.1502591</v>
      </c>
      <c r="V108" s="33">
        <v>62.800875300000001</v>
      </c>
      <c r="W108" s="33">
        <v>50.036469699999998</v>
      </c>
      <c r="X108" s="33">
        <v>12.764405500000001</v>
      </c>
      <c r="Y108" s="33">
        <v>37.199124699999999</v>
      </c>
    </row>
    <row r="109" spans="2:25" ht="15" hidden="1" customHeight="1">
      <c r="B109" s="25">
        <v>104</v>
      </c>
      <c r="C109" s="26" t="s">
        <v>21</v>
      </c>
      <c r="D109" s="26" t="s">
        <v>18</v>
      </c>
      <c r="E109" s="26" t="s">
        <v>48</v>
      </c>
      <c r="F109" s="26" t="s">
        <v>49</v>
      </c>
      <c r="G109" s="27" t="s">
        <v>15</v>
      </c>
      <c r="H109" s="28"/>
      <c r="I109" s="28"/>
      <c r="J109" s="28"/>
      <c r="K109" s="28"/>
      <c r="L109" s="28"/>
      <c r="M109" s="28">
        <v>567</v>
      </c>
      <c r="N109" s="28">
        <v>510</v>
      </c>
      <c r="O109" s="28">
        <v>393</v>
      </c>
      <c r="P109" s="28">
        <v>117</v>
      </c>
      <c r="Q109" s="28">
        <v>57</v>
      </c>
      <c r="R109" s="29"/>
      <c r="S109" s="29"/>
      <c r="T109" s="29"/>
      <c r="U109" s="29"/>
      <c r="V109" s="29">
        <v>89.947089899999995</v>
      </c>
      <c r="W109" s="29">
        <v>69.312169299999994</v>
      </c>
      <c r="X109" s="29">
        <v>20.634920600000001</v>
      </c>
      <c r="Y109" s="29">
        <v>10.0529101</v>
      </c>
    </row>
    <row r="110" spans="2:25" ht="15" hidden="1" customHeight="1">
      <c r="B110" s="25">
        <v>105</v>
      </c>
      <c r="C110" s="26" t="s">
        <v>21</v>
      </c>
      <c r="D110" s="26" t="s">
        <v>18</v>
      </c>
      <c r="E110" s="26" t="s">
        <v>48</v>
      </c>
      <c r="F110" s="26" t="s">
        <v>49</v>
      </c>
      <c r="G110" s="27" t="s">
        <v>16</v>
      </c>
      <c r="H110" s="28">
        <v>965</v>
      </c>
      <c r="I110" s="28">
        <v>317</v>
      </c>
      <c r="J110" s="28">
        <v>154</v>
      </c>
      <c r="K110" s="28">
        <v>163</v>
      </c>
      <c r="L110" s="28">
        <v>648</v>
      </c>
      <c r="M110" s="28">
        <v>804</v>
      </c>
      <c r="N110" s="28">
        <v>351</v>
      </c>
      <c r="O110" s="28">
        <v>293</v>
      </c>
      <c r="P110" s="28">
        <v>58</v>
      </c>
      <c r="Q110" s="28">
        <v>453</v>
      </c>
      <c r="R110" s="29">
        <v>32.8497409</v>
      </c>
      <c r="S110" s="29">
        <v>15.9585492</v>
      </c>
      <c r="T110" s="29">
        <v>16.8911917</v>
      </c>
      <c r="U110" s="29">
        <v>67.1502591</v>
      </c>
      <c r="V110" s="29">
        <v>43.656716400000001</v>
      </c>
      <c r="W110" s="29">
        <v>36.442786099999999</v>
      </c>
      <c r="X110" s="29">
        <v>7.2139303000000004</v>
      </c>
      <c r="Y110" s="29">
        <v>56.343283599999999</v>
      </c>
    </row>
    <row r="111" spans="2:25" ht="15" customHeight="1">
      <c r="B111" s="30">
        <v>106</v>
      </c>
      <c r="C111" s="31" t="s">
        <v>21</v>
      </c>
      <c r="D111" s="31" t="s">
        <v>18</v>
      </c>
      <c r="E111" s="31" t="s">
        <v>48</v>
      </c>
      <c r="F111" s="31" t="s">
        <v>50</v>
      </c>
      <c r="G111" s="31" t="s">
        <v>50</v>
      </c>
      <c r="H111" s="32">
        <v>4347</v>
      </c>
      <c r="I111" s="32">
        <v>1655</v>
      </c>
      <c r="J111" s="32">
        <v>1008</v>
      </c>
      <c r="K111" s="32">
        <v>647</v>
      </c>
      <c r="L111" s="32">
        <v>2692</v>
      </c>
      <c r="M111" s="32">
        <v>4660</v>
      </c>
      <c r="N111" s="32">
        <v>2306</v>
      </c>
      <c r="O111" s="32">
        <v>2032</v>
      </c>
      <c r="P111" s="32">
        <v>274</v>
      </c>
      <c r="Q111" s="32">
        <v>2354</v>
      </c>
      <c r="R111" s="33">
        <v>38.072233699999998</v>
      </c>
      <c r="S111" s="33">
        <v>23.188405800000002</v>
      </c>
      <c r="T111" s="33">
        <v>14.8838279</v>
      </c>
      <c r="U111" s="33">
        <v>61.927766300000002</v>
      </c>
      <c r="V111" s="33">
        <v>49.484978499999997</v>
      </c>
      <c r="W111" s="33">
        <v>43.605150199999997</v>
      </c>
      <c r="X111" s="33">
        <v>5.8798282999999998</v>
      </c>
      <c r="Y111" s="33">
        <v>50.515021500000003</v>
      </c>
    </row>
    <row r="112" spans="2:25" ht="15" hidden="1" customHeight="1">
      <c r="B112" s="25">
        <v>107</v>
      </c>
      <c r="C112" s="26" t="s">
        <v>21</v>
      </c>
      <c r="D112" s="26" t="s">
        <v>18</v>
      </c>
      <c r="E112" s="26" t="s">
        <v>48</v>
      </c>
      <c r="F112" s="26" t="s">
        <v>50</v>
      </c>
      <c r="G112" s="27" t="s">
        <v>15</v>
      </c>
      <c r="H112" s="28">
        <v>736</v>
      </c>
      <c r="I112" s="28">
        <v>579</v>
      </c>
      <c r="J112" s="28">
        <v>355</v>
      </c>
      <c r="K112" s="28">
        <v>224</v>
      </c>
      <c r="L112" s="28">
        <v>157</v>
      </c>
      <c r="M112" s="28">
        <v>1078</v>
      </c>
      <c r="N112" s="28">
        <v>916</v>
      </c>
      <c r="O112" s="28">
        <v>781</v>
      </c>
      <c r="P112" s="28">
        <v>135</v>
      </c>
      <c r="Q112" s="28">
        <v>162</v>
      </c>
      <c r="R112" s="29">
        <v>78.668478300000004</v>
      </c>
      <c r="S112" s="29">
        <v>48.233695699999998</v>
      </c>
      <c r="T112" s="29">
        <v>30.434782599999998</v>
      </c>
      <c r="U112" s="29">
        <v>21.3315217</v>
      </c>
      <c r="V112" s="29">
        <v>84.972170700000007</v>
      </c>
      <c r="W112" s="29">
        <v>72.448979600000001</v>
      </c>
      <c r="X112" s="29">
        <v>12.5231911</v>
      </c>
      <c r="Y112" s="29">
        <v>15.027829300000001</v>
      </c>
    </row>
    <row r="113" spans="2:25" ht="15" hidden="1" customHeight="1">
      <c r="B113" s="25">
        <v>108</v>
      </c>
      <c r="C113" s="26" t="s">
        <v>21</v>
      </c>
      <c r="D113" s="26" t="s">
        <v>18</v>
      </c>
      <c r="E113" s="26" t="s">
        <v>48</v>
      </c>
      <c r="F113" s="26" t="s">
        <v>50</v>
      </c>
      <c r="G113" s="27" t="s">
        <v>16</v>
      </c>
      <c r="H113" s="28">
        <v>3611</v>
      </c>
      <c r="I113" s="28">
        <v>1076</v>
      </c>
      <c r="J113" s="28">
        <v>653</v>
      </c>
      <c r="K113" s="28">
        <v>423</v>
      </c>
      <c r="L113" s="28">
        <v>2535</v>
      </c>
      <c r="M113" s="28">
        <v>3582</v>
      </c>
      <c r="N113" s="28">
        <v>1390</v>
      </c>
      <c r="O113" s="28">
        <v>1251</v>
      </c>
      <c r="P113" s="28">
        <v>139</v>
      </c>
      <c r="Q113" s="28">
        <v>2192</v>
      </c>
      <c r="R113" s="29">
        <v>29.7978399</v>
      </c>
      <c r="S113" s="29">
        <v>18.083633299999999</v>
      </c>
      <c r="T113" s="29">
        <v>11.714206600000001</v>
      </c>
      <c r="U113" s="29">
        <v>70.2021601</v>
      </c>
      <c r="V113" s="29">
        <v>38.8051368</v>
      </c>
      <c r="W113" s="29">
        <v>34.924623099999998</v>
      </c>
      <c r="X113" s="29">
        <v>3.8805136999999998</v>
      </c>
      <c r="Y113" s="29">
        <v>61.1948632</v>
      </c>
    </row>
    <row r="114" spans="2:25" ht="15" customHeight="1">
      <c r="B114" s="30">
        <v>109</v>
      </c>
      <c r="C114" s="31" t="s">
        <v>21</v>
      </c>
      <c r="D114" s="31" t="s">
        <v>18</v>
      </c>
      <c r="E114" s="31" t="s">
        <v>48</v>
      </c>
      <c r="F114" s="31" t="s">
        <v>51</v>
      </c>
      <c r="G114" s="31" t="s">
        <v>51</v>
      </c>
      <c r="H114" s="32">
        <v>1062</v>
      </c>
      <c r="I114" s="32">
        <v>550</v>
      </c>
      <c r="J114" s="32">
        <v>309</v>
      </c>
      <c r="K114" s="32">
        <v>241</v>
      </c>
      <c r="L114" s="32">
        <v>512</v>
      </c>
      <c r="M114" s="32">
        <v>1280</v>
      </c>
      <c r="N114" s="32">
        <v>963</v>
      </c>
      <c r="O114" s="32">
        <v>811</v>
      </c>
      <c r="P114" s="32">
        <v>152</v>
      </c>
      <c r="Q114" s="32">
        <v>317</v>
      </c>
      <c r="R114" s="33">
        <v>51.789077200000001</v>
      </c>
      <c r="S114" s="33">
        <v>29.096045199999999</v>
      </c>
      <c r="T114" s="33">
        <v>22.693031999999999</v>
      </c>
      <c r="U114" s="33">
        <v>48.210922799999999</v>
      </c>
      <c r="V114" s="33">
        <v>75.234375</v>
      </c>
      <c r="W114" s="33">
        <v>63.359375</v>
      </c>
      <c r="X114" s="33">
        <v>11.875</v>
      </c>
      <c r="Y114" s="33">
        <v>24.765625</v>
      </c>
    </row>
    <row r="115" spans="2:25" ht="15" hidden="1" customHeight="1">
      <c r="B115" s="25">
        <v>110</v>
      </c>
      <c r="C115" s="26" t="s">
        <v>21</v>
      </c>
      <c r="D115" s="26" t="s">
        <v>18</v>
      </c>
      <c r="E115" s="26" t="s">
        <v>48</v>
      </c>
      <c r="F115" s="26" t="s">
        <v>51</v>
      </c>
      <c r="G115" s="27" t="s">
        <v>15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9"/>
      <c r="S115" s="29"/>
      <c r="T115" s="29"/>
      <c r="U115" s="29"/>
      <c r="V115" s="29"/>
      <c r="W115" s="29"/>
      <c r="X115" s="29"/>
      <c r="Y115" s="29"/>
    </row>
    <row r="116" spans="2:25" ht="15" hidden="1" customHeight="1">
      <c r="B116" s="25">
        <v>111</v>
      </c>
      <c r="C116" s="26" t="s">
        <v>21</v>
      </c>
      <c r="D116" s="26" t="s">
        <v>18</v>
      </c>
      <c r="E116" s="26" t="s">
        <v>48</v>
      </c>
      <c r="F116" s="26" t="s">
        <v>51</v>
      </c>
      <c r="G116" s="27" t="s">
        <v>16</v>
      </c>
      <c r="H116" s="28">
        <v>1062</v>
      </c>
      <c r="I116" s="28">
        <v>550</v>
      </c>
      <c r="J116" s="28">
        <v>309</v>
      </c>
      <c r="K116" s="28">
        <v>241</v>
      </c>
      <c r="L116" s="28">
        <v>512</v>
      </c>
      <c r="M116" s="28">
        <v>1280</v>
      </c>
      <c r="N116" s="28">
        <v>963</v>
      </c>
      <c r="O116" s="28">
        <v>811</v>
      </c>
      <c r="P116" s="28">
        <v>152</v>
      </c>
      <c r="Q116" s="28">
        <v>317</v>
      </c>
      <c r="R116" s="29">
        <v>51.789077200000001</v>
      </c>
      <c r="S116" s="29">
        <v>29.096045199999999</v>
      </c>
      <c r="T116" s="29">
        <v>22.693031999999999</v>
      </c>
      <c r="U116" s="29">
        <v>48.210922799999999</v>
      </c>
      <c r="V116" s="29">
        <v>75.234375</v>
      </c>
      <c r="W116" s="29">
        <v>63.359375</v>
      </c>
      <c r="X116" s="29">
        <v>11.875</v>
      </c>
      <c r="Y116" s="29">
        <v>24.765625</v>
      </c>
    </row>
    <row r="117" spans="2:25" ht="15" hidden="1" customHeight="1">
      <c r="B117" s="21">
        <v>112</v>
      </c>
      <c r="C117" s="22" t="s">
        <v>19</v>
      </c>
      <c r="D117" s="22" t="s">
        <v>18</v>
      </c>
      <c r="E117" s="22" t="s">
        <v>52</v>
      </c>
      <c r="F117" s="22"/>
      <c r="G117" s="22" t="s">
        <v>52</v>
      </c>
      <c r="H117" s="23">
        <v>4886</v>
      </c>
      <c r="I117" s="23">
        <v>2792</v>
      </c>
      <c r="J117" s="23">
        <v>1257</v>
      </c>
      <c r="K117" s="23">
        <v>1535</v>
      </c>
      <c r="L117" s="23">
        <v>2094</v>
      </c>
      <c r="M117" s="23">
        <v>6242</v>
      </c>
      <c r="N117" s="23">
        <v>4697</v>
      </c>
      <c r="O117" s="23">
        <v>3772</v>
      </c>
      <c r="P117" s="23">
        <v>925</v>
      </c>
      <c r="Q117" s="23">
        <v>1545</v>
      </c>
      <c r="R117" s="24">
        <v>57.142857100000001</v>
      </c>
      <c r="S117" s="24">
        <v>25.726565699999998</v>
      </c>
      <c r="T117" s="24">
        <v>31.416291399999999</v>
      </c>
      <c r="U117" s="24">
        <v>42.857142899999999</v>
      </c>
      <c r="V117" s="24">
        <v>75.248317799999995</v>
      </c>
      <c r="W117" s="24">
        <v>60.429349600000002</v>
      </c>
      <c r="X117" s="24">
        <v>14.8189683</v>
      </c>
      <c r="Y117" s="24">
        <v>24.751682200000001</v>
      </c>
    </row>
    <row r="118" spans="2:25" ht="15" hidden="1" customHeight="1">
      <c r="B118" s="25">
        <v>113</v>
      </c>
      <c r="C118" s="26" t="s">
        <v>19</v>
      </c>
      <c r="D118" s="26" t="s">
        <v>18</v>
      </c>
      <c r="E118" s="26" t="s">
        <v>52</v>
      </c>
      <c r="F118" s="26"/>
      <c r="G118" s="27" t="s">
        <v>15</v>
      </c>
      <c r="H118" s="28">
        <v>932</v>
      </c>
      <c r="I118" s="28">
        <v>840</v>
      </c>
      <c r="J118" s="28">
        <v>274</v>
      </c>
      <c r="K118" s="28">
        <v>566</v>
      </c>
      <c r="L118" s="28">
        <v>92</v>
      </c>
      <c r="M118" s="28">
        <v>1162</v>
      </c>
      <c r="N118" s="28">
        <v>1114</v>
      </c>
      <c r="O118" s="28">
        <v>666</v>
      </c>
      <c r="P118" s="28">
        <v>448</v>
      </c>
      <c r="Q118" s="28">
        <v>48</v>
      </c>
      <c r="R118" s="29">
        <v>90.128755400000003</v>
      </c>
      <c r="S118" s="29">
        <v>29.3991416</v>
      </c>
      <c r="T118" s="29">
        <v>60.729613700000002</v>
      </c>
      <c r="U118" s="29">
        <v>9.8712446000000007</v>
      </c>
      <c r="V118" s="29">
        <v>95.869191000000001</v>
      </c>
      <c r="W118" s="29">
        <v>57.314974200000002</v>
      </c>
      <c r="X118" s="29">
        <v>38.5542169</v>
      </c>
      <c r="Y118" s="29">
        <v>4.1308090000000002</v>
      </c>
    </row>
    <row r="119" spans="2:25" ht="15" hidden="1" customHeight="1">
      <c r="B119" s="25">
        <v>114</v>
      </c>
      <c r="C119" s="26" t="s">
        <v>19</v>
      </c>
      <c r="D119" s="26" t="s">
        <v>18</v>
      </c>
      <c r="E119" s="26" t="s">
        <v>52</v>
      </c>
      <c r="F119" s="26"/>
      <c r="G119" s="27" t="s">
        <v>16</v>
      </c>
      <c r="H119" s="28">
        <v>3954</v>
      </c>
      <c r="I119" s="28">
        <v>1952</v>
      </c>
      <c r="J119" s="28">
        <v>983</v>
      </c>
      <c r="K119" s="28">
        <v>969</v>
      </c>
      <c r="L119" s="28">
        <v>2002</v>
      </c>
      <c r="M119" s="28">
        <v>5080</v>
      </c>
      <c r="N119" s="28">
        <v>3583</v>
      </c>
      <c r="O119" s="28">
        <v>3106</v>
      </c>
      <c r="P119" s="28">
        <v>477</v>
      </c>
      <c r="Q119" s="28">
        <v>1497</v>
      </c>
      <c r="R119" s="29">
        <v>49.367728900000003</v>
      </c>
      <c r="S119" s="29">
        <v>24.860900399999998</v>
      </c>
      <c r="T119" s="29">
        <v>24.506828500000001</v>
      </c>
      <c r="U119" s="29">
        <v>50.632271099999997</v>
      </c>
      <c r="V119" s="29">
        <v>70.531496099999998</v>
      </c>
      <c r="W119" s="29">
        <v>61.141732300000001</v>
      </c>
      <c r="X119" s="29">
        <v>9.3897638000000008</v>
      </c>
      <c r="Y119" s="29">
        <v>29.468503900000002</v>
      </c>
    </row>
    <row r="120" spans="2:25" ht="15" customHeight="1">
      <c r="B120" s="30">
        <v>115</v>
      </c>
      <c r="C120" s="31" t="s">
        <v>21</v>
      </c>
      <c r="D120" s="31" t="s">
        <v>18</v>
      </c>
      <c r="E120" s="31" t="s">
        <v>52</v>
      </c>
      <c r="F120" s="31" t="s">
        <v>53</v>
      </c>
      <c r="G120" s="31" t="s">
        <v>53</v>
      </c>
      <c r="H120" s="32">
        <v>2532</v>
      </c>
      <c r="I120" s="32">
        <v>1349</v>
      </c>
      <c r="J120" s="32">
        <v>583</v>
      </c>
      <c r="K120" s="32">
        <v>766</v>
      </c>
      <c r="L120" s="32">
        <v>1183</v>
      </c>
      <c r="M120" s="32">
        <v>3136</v>
      </c>
      <c r="N120" s="32">
        <v>2162</v>
      </c>
      <c r="O120" s="32">
        <v>1539</v>
      </c>
      <c r="P120" s="32">
        <v>623</v>
      </c>
      <c r="Q120" s="32">
        <v>974</v>
      </c>
      <c r="R120" s="33">
        <v>53.278041100000003</v>
      </c>
      <c r="S120" s="33">
        <v>23.0252765</v>
      </c>
      <c r="T120" s="33">
        <v>30.252764599999999</v>
      </c>
      <c r="U120" s="33">
        <v>46.721958899999997</v>
      </c>
      <c r="V120" s="33">
        <v>68.941326500000002</v>
      </c>
      <c r="W120" s="33">
        <v>49.0752551</v>
      </c>
      <c r="X120" s="33">
        <v>19.866071399999999</v>
      </c>
      <c r="Y120" s="33">
        <v>31.058673500000001</v>
      </c>
    </row>
    <row r="121" spans="2:25" ht="15" hidden="1" customHeight="1">
      <c r="B121" s="25">
        <v>116</v>
      </c>
      <c r="C121" s="26" t="s">
        <v>21</v>
      </c>
      <c r="D121" s="26" t="s">
        <v>18</v>
      </c>
      <c r="E121" s="26" t="s">
        <v>52</v>
      </c>
      <c r="F121" s="26" t="s">
        <v>53</v>
      </c>
      <c r="G121" s="27" t="s">
        <v>15</v>
      </c>
      <c r="H121" s="28">
        <v>932</v>
      </c>
      <c r="I121" s="28">
        <v>840</v>
      </c>
      <c r="J121" s="28">
        <v>274</v>
      </c>
      <c r="K121" s="28">
        <v>566</v>
      </c>
      <c r="L121" s="28">
        <v>92</v>
      </c>
      <c r="M121" s="28">
        <v>1162</v>
      </c>
      <c r="N121" s="28">
        <v>1114</v>
      </c>
      <c r="O121" s="28">
        <v>666</v>
      </c>
      <c r="P121" s="28">
        <v>448</v>
      </c>
      <c r="Q121" s="28">
        <v>48</v>
      </c>
      <c r="R121" s="29">
        <v>90.128755400000003</v>
      </c>
      <c r="S121" s="29">
        <v>29.3991416</v>
      </c>
      <c r="T121" s="29">
        <v>60.729613700000002</v>
      </c>
      <c r="U121" s="29">
        <v>9.8712446000000007</v>
      </c>
      <c r="V121" s="29">
        <v>95.869191000000001</v>
      </c>
      <c r="W121" s="29">
        <v>57.314974200000002</v>
      </c>
      <c r="X121" s="29">
        <v>38.5542169</v>
      </c>
      <c r="Y121" s="29">
        <v>4.1308090000000002</v>
      </c>
    </row>
    <row r="122" spans="2:25" ht="15" hidden="1" customHeight="1">
      <c r="B122" s="25">
        <v>117</v>
      </c>
      <c r="C122" s="26" t="s">
        <v>21</v>
      </c>
      <c r="D122" s="26" t="s">
        <v>18</v>
      </c>
      <c r="E122" s="26" t="s">
        <v>52</v>
      </c>
      <c r="F122" s="26" t="s">
        <v>53</v>
      </c>
      <c r="G122" s="27" t="s">
        <v>16</v>
      </c>
      <c r="H122" s="28">
        <v>1600</v>
      </c>
      <c r="I122" s="28">
        <v>509</v>
      </c>
      <c r="J122" s="28">
        <v>309</v>
      </c>
      <c r="K122" s="28">
        <v>200</v>
      </c>
      <c r="L122" s="28">
        <v>1091</v>
      </c>
      <c r="M122" s="28">
        <v>1974</v>
      </c>
      <c r="N122" s="28">
        <v>1048</v>
      </c>
      <c r="O122" s="28">
        <v>873</v>
      </c>
      <c r="P122" s="28">
        <v>175</v>
      </c>
      <c r="Q122" s="28">
        <v>926</v>
      </c>
      <c r="R122" s="29">
        <v>31.8125</v>
      </c>
      <c r="S122" s="29">
        <v>19.3125</v>
      </c>
      <c r="T122" s="29">
        <v>12.5</v>
      </c>
      <c r="U122" s="29">
        <v>68.1875</v>
      </c>
      <c r="V122" s="29">
        <v>53.090172199999998</v>
      </c>
      <c r="W122" s="29">
        <v>44.224924000000001</v>
      </c>
      <c r="X122" s="29">
        <v>8.8652481999999999</v>
      </c>
      <c r="Y122" s="29">
        <v>46.909827800000002</v>
      </c>
    </row>
    <row r="123" spans="2:25" ht="15" customHeight="1">
      <c r="B123" s="30">
        <v>118</v>
      </c>
      <c r="C123" s="31" t="s">
        <v>21</v>
      </c>
      <c r="D123" s="31" t="s">
        <v>18</v>
      </c>
      <c r="E123" s="31" t="s">
        <v>52</v>
      </c>
      <c r="F123" s="31" t="s">
        <v>54</v>
      </c>
      <c r="G123" s="31" t="s">
        <v>54</v>
      </c>
      <c r="H123" s="32">
        <v>603</v>
      </c>
      <c r="I123" s="32">
        <v>257</v>
      </c>
      <c r="J123" s="32">
        <v>150</v>
      </c>
      <c r="K123" s="32">
        <v>107</v>
      </c>
      <c r="L123" s="32">
        <v>346</v>
      </c>
      <c r="M123" s="32">
        <v>818</v>
      </c>
      <c r="N123" s="32">
        <v>629</v>
      </c>
      <c r="O123" s="32">
        <v>549</v>
      </c>
      <c r="P123" s="32">
        <v>80</v>
      </c>
      <c r="Q123" s="32">
        <v>189</v>
      </c>
      <c r="R123" s="33">
        <v>42.620232199999997</v>
      </c>
      <c r="S123" s="33">
        <v>24.875621899999999</v>
      </c>
      <c r="T123" s="33">
        <v>17.744610300000002</v>
      </c>
      <c r="U123" s="33">
        <v>57.379767800000003</v>
      </c>
      <c r="V123" s="33">
        <v>76.894865499999995</v>
      </c>
      <c r="W123" s="33">
        <v>67.114914400000004</v>
      </c>
      <c r="X123" s="33">
        <v>9.7799510999999999</v>
      </c>
      <c r="Y123" s="33">
        <v>23.105134499999998</v>
      </c>
    </row>
    <row r="124" spans="2:25" ht="15" hidden="1" customHeight="1">
      <c r="B124" s="25">
        <v>119</v>
      </c>
      <c r="C124" s="26" t="s">
        <v>21</v>
      </c>
      <c r="D124" s="26" t="s">
        <v>18</v>
      </c>
      <c r="E124" s="26" t="s">
        <v>52</v>
      </c>
      <c r="F124" s="26" t="s">
        <v>54</v>
      </c>
      <c r="G124" s="27" t="s">
        <v>15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9"/>
      <c r="S124" s="29"/>
      <c r="T124" s="29"/>
      <c r="U124" s="29"/>
      <c r="V124" s="29"/>
      <c r="W124" s="29"/>
      <c r="X124" s="29"/>
      <c r="Y124" s="29"/>
    </row>
    <row r="125" spans="2:25" ht="15" hidden="1" customHeight="1">
      <c r="B125" s="25">
        <v>120</v>
      </c>
      <c r="C125" s="26" t="s">
        <v>21</v>
      </c>
      <c r="D125" s="26" t="s">
        <v>18</v>
      </c>
      <c r="E125" s="26" t="s">
        <v>52</v>
      </c>
      <c r="F125" s="26" t="s">
        <v>54</v>
      </c>
      <c r="G125" s="27" t="s">
        <v>16</v>
      </c>
      <c r="H125" s="28">
        <v>603</v>
      </c>
      <c r="I125" s="28">
        <v>257</v>
      </c>
      <c r="J125" s="28">
        <v>150</v>
      </c>
      <c r="K125" s="28">
        <v>107</v>
      </c>
      <c r="L125" s="28">
        <v>346</v>
      </c>
      <c r="M125" s="28">
        <v>818</v>
      </c>
      <c r="N125" s="28">
        <v>629</v>
      </c>
      <c r="O125" s="28">
        <v>549</v>
      </c>
      <c r="P125" s="28">
        <v>80</v>
      </c>
      <c r="Q125" s="28">
        <v>189</v>
      </c>
      <c r="R125" s="29">
        <v>42.620232199999997</v>
      </c>
      <c r="S125" s="29">
        <v>24.875621899999999</v>
      </c>
      <c r="T125" s="29">
        <v>17.744610300000002</v>
      </c>
      <c r="U125" s="29">
        <v>57.379767800000003</v>
      </c>
      <c r="V125" s="29">
        <v>76.894865499999995</v>
      </c>
      <c r="W125" s="29">
        <v>67.114914400000004</v>
      </c>
      <c r="X125" s="29">
        <v>9.7799510999999999</v>
      </c>
      <c r="Y125" s="29">
        <v>23.105134499999998</v>
      </c>
    </row>
    <row r="126" spans="2:25" ht="15" customHeight="1">
      <c r="B126" s="30">
        <v>121</v>
      </c>
      <c r="C126" s="31" t="s">
        <v>21</v>
      </c>
      <c r="D126" s="31" t="s">
        <v>18</v>
      </c>
      <c r="E126" s="31" t="s">
        <v>52</v>
      </c>
      <c r="F126" s="31" t="s">
        <v>55</v>
      </c>
      <c r="G126" s="31" t="s">
        <v>55</v>
      </c>
      <c r="H126" s="32">
        <v>1751</v>
      </c>
      <c r="I126" s="32">
        <v>1186</v>
      </c>
      <c r="J126" s="32">
        <v>524</v>
      </c>
      <c r="K126" s="32">
        <v>662</v>
      </c>
      <c r="L126" s="32">
        <v>565</v>
      </c>
      <c r="M126" s="32">
        <v>2288</v>
      </c>
      <c r="N126" s="32">
        <v>1906</v>
      </c>
      <c r="O126" s="32">
        <v>1684</v>
      </c>
      <c r="P126" s="32">
        <v>222</v>
      </c>
      <c r="Q126" s="32">
        <v>382</v>
      </c>
      <c r="R126" s="33">
        <v>67.732724200000007</v>
      </c>
      <c r="S126" s="33">
        <v>29.925756700000001</v>
      </c>
      <c r="T126" s="33">
        <v>37.806967399999998</v>
      </c>
      <c r="U126" s="33">
        <v>32.2672758</v>
      </c>
      <c r="V126" s="33">
        <v>83.304195800000002</v>
      </c>
      <c r="W126" s="33">
        <v>73.601398599999996</v>
      </c>
      <c r="X126" s="33">
        <v>9.7027971999999991</v>
      </c>
      <c r="Y126" s="33">
        <v>16.695804200000001</v>
      </c>
    </row>
    <row r="127" spans="2:25" ht="15" hidden="1" customHeight="1">
      <c r="B127" s="25">
        <v>122</v>
      </c>
      <c r="C127" s="26" t="s">
        <v>21</v>
      </c>
      <c r="D127" s="26" t="s">
        <v>18</v>
      </c>
      <c r="E127" s="26" t="s">
        <v>52</v>
      </c>
      <c r="F127" s="26" t="s">
        <v>55</v>
      </c>
      <c r="G127" s="27" t="s">
        <v>15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9"/>
      <c r="S127" s="29"/>
      <c r="T127" s="29"/>
      <c r="U127" s="29"/>
      <c r="V127" s="29"/>
      <c r="W127" s="29"/>
      <c r="X127" s="29"/>
      <c r="Y127" s="29"/>
    </row>
    <row r="128" spans="2:25" ht="15" hidden="1" customHeight="1">
      <c r="B128" s="25">
        <v>123</v>
      </c>
      <c r="C128" s="26" t="s">
        <v>21</v>
      </c>
      <c r="D128" s="26" t="s">
        <v>18</v>
      </c>
      <c r="E128" s="26" t="s">
        <v>52</v>
      </c>
      <c r="F128" s="26" t="s">
        <v>55</v>
      </c>
      <c r="G128" s="27" t="s">
        <v>16</v>
      </c>
      <c r="H128" s="28">
        <v>1751</v>
      </c>
      <c r="I128" s="28">
        <v>1186</v>
      </c>
      <c r="J128" s="28">
        <v>524</v>
      </c>
      <c r="K128" s="28">
        <v>662</v>
      </c>
      <c r="L128" s="28">
        <v>565</v>
      </c>
      <c r="M128" s="28">
        <v>2288</v>
      </c>
      <c r="N128" s="28">
        <v>1906</v>
      </c>
      <c r="O128" s="28">
        <v>1684</v>
      </c>
      <c r="P128" s="28">
        <v>222</v>
      </c>
      <c r="Q128" s="28">
        <v>382</v>
      </c>
      <c r="R128" s="29">
        <v>67.732724200000007</v>
      </c>
      <c r="S128" s="29">
        <v>29.925756700000001</v>
      </c>
      <c r="T128" s="29">
        <v>37.806967399999998</v>
      </c>
      <c r="U128" s="29">
        <v>32.2672758</v>
      </c>
      <c r="V128" s="29">
        <v>83.304195800000002</v>
      </c>
      <c r="W128" s="29">
        <v>73.601398599999996</v>
      </c>
      <c r="X128" s="29">
        <v>9.7027971999999991</v>
      </c>
      <c r="Y128" s="29">
        <v>16.695804200000001</v>
      </c>
    </row>
    <row r="129" spans="2:25" ht="15" hidden="1" customHeight="1">
      <c r="B129" s="13">
        <v>124</v>
      </c>
      <c r="C129" s="14" t="s">
        <v>17</v>
      </c>
      <c r="D129" s="14" t="s">
        <v>56</v>
      </c>
      <c r="E129" s="14"/>
      <c r="F129" s="14"/>
      <c r="G129" s="14" t="s">
        <v>56</v>
      </c>
      <c r="H129" s="15">
        <v>852573</v>
      </c>
      <c r="I129" s="15">
        <v>556000</v>
      </c>
      <c r="J129" s="15">
        <v>328233</v>
      </c>
      <c r="K129" s="15">
        <v>227767</v>
      </c>
      <c r="L129" s="15">
        <v>296573</v>
      </c>
      <c r="M129" s="15">
        <v>1069838</v>
      </c>
      <c r="N129" s="15">
        <v>822284</v>
      </c>
      <c r="O129" s="15">
        <v>704654</v>
      </c>
      <c r="P129" s="15">
        <v>117630</v>
      </c>
      <c r="Q129" s="15">
        <v>247554</v>
      </c>
      <c r="R129" s="16">
        <v>65.214357000000007</v>
      </c>
      <c r="S129" s="16">
        <v>38.499108</v>
      </c>
      <c r="T129" s="16">
        <v>26.715249</v>
      </c>
      <c r="U129" s="16">
        <v>34.785643</v>
      </c>
      <c r="V129" s="16">
        <v>76.860608799999994</v>
      </c>
      <c r="W129" s="16">
        <v>65.865486200000007</v>
      </c>
      <c r="X129" s="16">
        <v>10.9951226</v>
      </c>
      <c r="Y129" s="16">
        <v>23.139391199999999</v>
      </c>
    </row>
    <row r="130" spans="2:25" ht="15" hidden="1" customHeight="1">
      <c r="B130" s="17">
        <v>125</v>
      </c>
      <c r="C130" s="18" t="s">
        <v>17</v>
      </c>
      <c r="D130" s="34" t="s">
        <v>56</v>
      </c>
      <c r="E130" s="34"/>
      <c r="F130" s="34"/>
      <c r="G130" s="18" t="s">
        <v>15</v>
      </c>
      <c r="H130" s="19">
        <v>543729</v>
      </c>
      <c r="I130" s="19">
        <v>449427</v>
      </c>
      <c r="J130" s="19">
        <v>266776</v>
      </c>
      <c r="K130" s="19">
        <v>182651</v>
      </c>
      <c r="L130" s="19">
        <v>94302</v>
      </c>
      <c r="M130" s="19">
        <v>664447</v>
      </c>
      <c r="N130" s="19">
        <v>612478</v>
      </c>
      <c r="O130" s="19">
        <v>528255</v>
      </c>
      <c r="P130" s="19">
        <v>84223</v>
      </c>
      <c r="Q130" s="19">
        <v>51969</v>
      </c>
      <c r="R130" s="20">
        <v>82.6564336</v>
      </c>
      <c r="S130" s="20">
        <v>49.064147800000001</v>
      </c>
      <c r="T130" s="20">
        <v>33.5922859</v>
      </c>
      <c r="U130" s="20">
        <v>17.3435664</v>
      </c>
      <c r="V130" s="20">
        <v>92.178608699999998</v>
      </c>
      <c r="W130" s="20">
        <v>79.502955099999994</v>
      </c>
      <c r="X130" s="20">
        <v>12.6756536</v>
      </c>
      <c r="Y130" s="20">
        <v>7.8213913000000002</v>
      </c>
    </row>
    <row r="131" spans="2:25" ht="15" hidden="1" customHeight="1">
      <c r="B131" s="17">
        <v>126</v>
      </c>
      <c r="C131" s="18" t="s">
        <v>17</v>
      </c>
      <c r="D131" s="34" t="s">
        <v>56</v>
      </c>
      <c r="E131" s="34"/>
      <c r="F131" s="34"/>
      <c r="G131" s="18" t="s">
        <v>16</v>
      </c>
      <c r="H131" s="19">
        <v>308844</v>
      </c>
      <c r="I131" s="19">
        <v>106573</v>
      </c>
      <c r="J131" s="19">
        <v>61457</v>
      </c>
      <c r="K131" s="19">
        <v>45116</v>
      </c>
      <c r="L131" s="19">
        <v>202271</v>
      </c>
      <c r="M131" s="19">
        <v>405391</v>
      </c>
      <c r="N131" s="19">
        <v>209806</v>
      </c>
      <c r="O131" s="19">
        <v>176399</v>
      </c>
      <c r="P131" s="19">
        <v>33407</v>
      </c>
      <c r="Q131" s="19">
        <v>195585</v>
      </c>
      <c r="R131" s="20">
        <v>34.507065099999998</v>
      </c>
      <c r="S131" s="20">
        <v>19.899042900000001</v>
      </c>
      <c r="T131" s="20">
        <v>14.608022200000001</v>
      </c>
      <c r="U131" s="20">
        <v>65.492934899999995</v>
      </c>
      <c r="V131" s="20">
        <v>51.753985700000001</v>
      </c>
      <c r="W131" s="20">
        <v>43.513299500000002</v>
      </c>
      <c r="X131" s="20">
        <v>8.2406862000000007</v>
      </c>
      <c r="Y131" s="20">
        <v>48.246014299999999</v>
      </c>
    </row>
    <row r="132" spans="2:25" ht="15" hidden="1" customHeight="1">
      <c r="B132" s="21">
        <v>127</v>
      </c>
      <c r="C132" s="22" t="s">
        <v>19</v>
      </c>
      <c r="D132" s="35" t="s">
        <v>56</v>
      </c>
      <c r="E132" s="35" t="s">
        <v>57</v>
      </c>
      <c r="F132" s="35"/>
      <c r="G132" s="22" t="s">
        <v>57</v>
      </c>
      <c r="H132" s="23">
        <v>500086</v>
      </c>
      <c r="I132" s="23">
        <v>418770</v>
      </c>
      <c r="J132" s="23">
        <v>250647</v>
      </c>
      <c r="K132" s="23">
        <v>168123</v>
      </c>
      <c r="L132" s="23">
        <v>81316</v>
      </c>
      <c r="M132" s="23">
        <v>579560</v>
      </c>
      <c r="N132" s="23">
        <v>540388</v>
      </c>
      <c r="O132" s="23">
        <v>466644</v>
      </c>
      <c r="P132" s="23">
        <v>73744</v>
      </c>
      <c r="Q132" s="23">
        <v>39172</v>
      </c>
      <c r="R132" s="24">
        <v>83.739596800000001</v>
      </c>
      <c r="S132" s="24">
        <v>50.120779200000001</v>
      </c>
      <c r="T132" s="24">
        <v>33.6188176</v>
      </c>
      <c r="U132" s="24">
        <v>16.260403199999999</v>
      </c>
      <c r="V132" s="24">
        <v>93.241079400000004</v>
      </c>
      <c r="W132" s="24">
        <v>80.516943900000001</v>
      </c>
      <c r="X132" s="24">
        <v>12.7241356</v>
      </c>
      <c r="Y132" s="24">
        <v>6.7589205999999997</v>
      </c>
    </row>
    <row r="133" spans="2:25" ht="15" hidden="1" customHeight="1">
      <c r="B133" s="25">
        <v>128</v>
      </c>
      <c r="C133" s="26" t="s">
        <v>19</v>
      </c>
      <c r="D133" s="26" t="s">
        <v>56</v>
      </c>
      <c r="E133" s="26" t="s">
        <v>57</v>
      </c>
      <c r="F133" s="26"/>
      <c r="G133" s="27" t="s">
        <v>15</v>
      </c>
      <c r="H133" s="28">
        <v>485960</v>
      </c>
      <c r="I133" s="28">
        <v>414945</v>
      </c>
      <c r="J133" s="28">
        <v>248066</v>
      </c>
      <c r="K133" s="28">
        <v>166879</v>
      </c>
      <c r="L133" s="28">
        <v>71015</v>
      </c>
      <c r="M133" s="28">
        <v>560106</v>
      </c>
      <c r="N133" s="28">
        <v>530212</v>
      </c>
      <c r="O133" s="28">
        <v>458029</v>
      </c>
      <c r="P133" s="28">
        <v>72183</v>
      </c>
      <c r="Q133" s="28">
        <v>29894</v>
      </c>
      <c r="R133" s="29">
        <v>85.386657299999996</v>
      </c>
      <c r="S133" s="29">
        <v>51.046588200000002</v>
      </c>
      <c r="T133" s="29">
        <v>34.340069100000001</v>
      </c>
      <c r="U133" s="29">
        <v>14.6133427</v>
      </c>
      <c r="V133" s="29">
        <v>94.662796</v>
      </c>
      <c r="W133" s="29">
        <v>81.775413900000004</v>
      </c>
      <c r="X133" s="29">
        <v>12.887382000000001</v>
      </c>
      <c r="Y133" s="29">
        <v>5.3372039999999998</v>
      </c>
    </row>
    <row r="134" spans="2:25" ht="15" hidden="1" customHeight="1">
      <c r="B134" s="25">
        <v>129</v>
      </c>
      <c r="C134" s="26" t="s">
        <v>19</v>
      </c>
      <c r="D134" s="26" t="s">
        <v>56</v>
      </c>
      <c r="E134" s="26" t="s">
        <v>57</v>
      </c>
      <c r="F134" s="26"/>
      <c r="G134" s="27" t="s">
        <v>16</v>
      </c>
      <c r="H134" s="28">
        <v>14126</v>
      </c>
      <c r="I134" s="28">
        <v>3825</v>
      </c>
      <c r="J134" s="28">
        <v>2581</v>
      </c>
      <c r="K134" s="28">
        <v>1244</v>
      </c>
      <c r="L134" s="28">
        <v>10301</v>
      </c>
      <c r="M134" s="28">
        <v>19454</v>
      </c>
      <c r="N134" s="28">
        <v>10176</v>
      </c>
      <c r="O134" s="28">
        <v>8615</v>
      </c>
      <c r="P134" s="28">
        <v>1561</v>
      </c>
      <c r="Q134" s="28">
        <v>9278</v>
      </c>
      <c r="R134" s="29">
        <v>27.077729000000001</v>
      </c>
      <c r="S134" s="29">
        <v>18.271272799999998</v>
      </c>
      <c r="T134" s="29">
        <v>8.8064561999999995</v>
      </c>
      <c r="U134" s="29">
        <v>72.922270999999995</v>
      </c>
      <c r="V134" s="29">
        <v>52.308008600000001</v>
      </c>
      <c r="W134" s="29">
        <v>44.283951899999998</v>
      </c>
      <c r="X134" s="29">
        <v>8.0240566999999992</v>
      </c>
      <c r="Y134" s="29">
        <v>47.691991399999999</v>
      </c>
    </row>
    <row r="135" spans="2:25" ht="15" customHeight="1">
      <c r="B135" s="30">
        <v>130</v>
      </c>
      <c r="C135" s="31" t="s">
        <v>21</v>
      </c>
      <c r="D135" s="31" t="s">
        <v>56</v>
      </c>
      <c r="E135" s="31" t="s">
        <v>57</v>
      </c>
      <c r="F135" s="31" t="s">
        <v>58</v>
      </c>
      <c r="G135" s="31" t="s">
        <v>58</v>
      </c>
      <c r="H135" s="32">
        <v>226458</v>
      </c>
      <c r="I135" s="32">
        <v>211358</v>
      </c>
      <c r="J135" s="32">
        <v>143110</v>
      </c>
      <c r="K135" s="32">
        <v>68248</v>
      </c>
      <c r="L135" s="32">
        <v>15100</v>
      </c>
      <c r="M135" s="32">
        <v>250931</v>
      </c>
      <c r="N135" s="32">
        <v>242700</v>
      </c>
      <c r="O135" s="32">
        <v>210379</v>
      </c>
      <c r="P135" s="32">
        <v>32321</v>
      </c>
      <c r="Q135" s="32">
        <v>8231</v>
      </c>
      <c r="R135" s="33">
        <v>93.332096899999996</v>
      </c>
      <c r="S135" s="33">
        <v>63.194941200000002</v>
      </c>
      <c r="T135" s="33">
        <v>30.137155700000001</v>
      </c>
      <c r="U135" s="33">
        <v>6.6679031000000002</v>
      </c>
      <c r="V135" s="33">
        <v>96.719815400000002</v>
      </c>
      <c r="W135" s="33">
        <v>83.839382099999995</v>
      </c>
      <c r="X135" s="33">
        <v>12.8804333</v>
      </c>
      <c r="Y135" s="33">
        <v>3.2801846000000001</v>
      </c>
    </row>
    <row r="136" spans="2:25" ht="15" hidden="1" customHeight="1">
      <c r="B136" s="25">
        <v>131</v>
      </c>
      <c r="C136" s="26" t="s">
        <v>21</v>
      </c>
      <c r="D136" s="26" t="s">
        <v>56</v>
      </c>
      <c r="E136" s="26" t="s">
        <v>57</v>
      </c>
      <c r="F136" s="26" t="s">
        <v>58</v>
      </c>
      <c r="G136" s="27" t="s">
        <v>15</v>
      </c>
      <c r="H136" s="28">
        <v>223734</v>
      </c>
      <c r="I136" s="28">
        <v>210891</v>
      </c>
      <c r="J136" s="28">
        <v>142826</v>
      </c>
      <c r="K136" s="28">
        <v>68065</v>
      </c>
      <c r="L136" s="28">
        <v>12843</v>
      </c>
      <c r="M136" s="28">
        <v>247917</v>
      </c>
      <c r="N136" s="28">
        <v>241235</v>
      </c>
      <c r="O136" s="28">
        <v>209152</v>
      </c>
      <c r="P136" s="28">
        <v>32083</v>
      </c>
      <c r="Q136" s="28">
        <v>6682</v>
      </c>
      <c r="R136" s="29">
        <v>94.259701300000003</v>
      </c>
      <c r="S136" s="29">
        <v>63.837414099999997</v>
      </c>
      <c r="T136" s="29">
        <v>30.4222872</v>
      </c>
      <c r="U136" s="29">
        <v>5.7402987000000003</v>
      </c>
      <c r="V136" s="29">
        <v>97.304743099999996</v>
      </c>
      <c r="W136" s="29">
        <v>84.363718500000004</v>
      </c>
      <c r="X136" s="29">
        <v>12.9410246</v>
      </c>
      <c r="Y136" s="29">
        <v>2.6952569</v>
      </c>
    </row>
    <row r="137" spans="2:25" ht="15" hidden="1" customHeight="1">
      <c r="B137" s="25">
        <v>132</v>
      </c>
      <c r="C137" s="26" t="s">
        <v>21</v>
      </c>
      <c r="D137" s="26" t="s">
        <v>56</v>
      </c>
      <c r="E137" s="26" t="s">
        <v>57</v>
      </c>
      <c r="F137" s="26" t="s">
        <v>58</v>
      </c>
      <c r="G137" s="27" t="s">
        <v>16</v>
      </c>
      <c r="H137" s="28">
        <v>2724</v>
      </c>
      <c r="I137" s="28">
        <v>467</v>
      </c>
      <c r="J137" s="28">
        <v>284</v>
      </c>
      <c r="K137" s="28">
        <v>183</v>
      </c>
      <c r="L137" s="28">
        <v>2257</v>
      </c>
      <c r="M137" s="28">
        <v>3014</v>
      </c>
      <c r="N137" s="28">
        <v>1465</v>
      </c>
      <c r="O137" s="28">
        <v>1227</v>
      </c>
      <c r="P137" s="28">
        <v>238</v>
      </c>
      <c r="Q137" s="28">
        <v>1549</v>
      </c>
      <c r="R137" s="29">
        <v>17.143906000000001</v>
      </c>
      <c r="S137" s="29">
        <v>10.4258443</v>
      </c>
      <c r="T137" s="29">
        <v>6.7180616999999998</v>
      </c>
      <c r="U137" s="29">
        <v>82.856093999999999</v>
      </c>
      <c r="V137" s="29">
        <v>48.606502999999996</v>
      </c>
      <c r="W137" s="29">
        <v>40.710019899999999</v>
      </c>
      <c r="X137" s="29">
        <v>7.8964831000000002</v>
      </c>
      <c r="Y137" s="29">
        <v>51.393497000000004</v>
      </c>
    </row>
    <row r="138" spans="2:25" ht="15" customHeight="1">
      <c r="B138" s="30">
        <v>133</v>
      </c>
      <c r="C138" s="31" t="s">
        <v>21</v>
      </c>
      <c r="D138" s="36" t="s">
        <v>56</v>
      </c>
      <c r="E138" s="36" t="s">
        <v>57</v>
      </c>
      <c r="F138" s="36" t="s">
        <v>59</v>
      </c>
      <c r="G138" s="37" t="s">
        <v>59</v>
      </c>
      <c r="H138" s="32">
        <v>4853</v>
      </c>
      <c r="I138" s="32">
        <v>1035</v>
      </c>
      <c r="J138" s="32">
        <v>594</v>
      </c>
      <c r="K138" s="32">
        <v>441</v>
      </c>
      <c r="L138" s="32">
        <v>3818</v>
      </c>
      <c r="M138" s="32">
        <v>7585</v>
      </c>
      <c r="N138" s="32">
        <v>3404</v>
      </c>
      <c r="O138" s="32">
        <v>2669</v>
      </c>
      <c r="P138" s="32">
        <v>735</v>
      </c>
      <c r="Q138" s="32">
        <v>4181</v>
      </c>
      <c r="R138" s="33">
        <v>21.327014200000001</v>
      </c>
      <c r="S138" s="33">
        <v>12.2398516</v>
      </c>
      <c r="T138" s="33">
        <v>9.0871625999999992</v>
      </c>
      <c r="U138" s="33">
        <v>78.672985800000006</v>
      </c>
      <c r="V138" s="33">
        <v>44.878048800000002</v>
      </c>
      <c r="W138" s="33">
        <v>35.187870799999999</v>
      </c>
      <c r="X138" s="33">
        <v>9.6901779999999995</v>
      </c>
      <c r="Y138" s="33">
        <v>55.121951199999998</v>
      </c>
    </row>
    <row r="139" spans="2:25" ht="15" hidden="1" customHeight="1">
      <c r="B139" s="25">
        <v>134</v>
      </c>
      <c r="C139" s="26" t="s">
        <v>21</v>
      </c>
      <c r="D139" s="26" t="s">
        <v>56</v>
      </c>
      <c r="E139" s="26" t="s">
        <v>57</v>
      </c>
      <c r="F139" s="26" t="s">
        <v>59</v>
      </c>
      <c r="G139" s="27" t="s">
        <v>15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9"/>
      <c r="S139" s="29"/>
      <c r="T139" s="29"/>
      <c r="U139" s="29"/>
      <c r="V139" s="29"/>
      <c r="W139" s="29"/>
      <c r="X139" s="29"/>
      <c r="Y139" s="29"/>
    </row>
    <row r="140" spans="2:25" ht="15" hidden="1" customHeight="1">
      <c r="B140" s="25">
        <v>135</v>
      </c>
      <c r="C140" s="26" t="s">
        <v>21</v>
      </c>
      <c r="D140" s="26" t="s">
        <v>56</v>
      </c>
      <c r="E140" s="26" t="s">
        <v>57</v>
      </c>
      <c r="F140" s="26" t="s">
        <v>59</v>
      </c>
      <c r="G140" s="27" t="s">
        <v>16</v>
      </c>
      <c r="H140" s="28">
        <v>4853</v>
      </c>
      <c r="I140" s="28">
        <v>1035</v>
      </c>
      <c r="J140" s="28">
        <v>594</v>
      </c>
      <c r="K140" s="28">
        <v>441</v>
      </c>
      <c r="L140" s="28">
        <v>3818</v>
      </c>
      <c r="M140" s="28">
        <v>7585</v>
      </c>
      <c r="N140" s="28">
        <v>3404</v>
      </c>
      <c r="O140" s="28">
        <v>2669</v>
      </c>
      <c r="P140" s="28">
        <v>735</v>
      </c>
      <c r="Q140" s="28">
        <v>4181</v>
      </c>
      <c r="R140" s="29">
        <v>21.327014200000001</v>
      </c>
      <c r="S140" s="29">
        <v>12.2398516</v>
      </c>
      <c r="T140" s="29">
        <v>9.0871625999999992</v>
      </c>
      <c r="U140" s="29">
        <v>78.672985800000006</v>
      </c>
      <c r="V140" s="29">
        <v>44.878048800000002</v>
      </c>
      <c r="W140" s="29">
        <v>35.187870799999999</v>
      </c>
      <c r="X140" s="29">
        <v>9.6901779999999995</v>
      </c>
      <c r="Y140" s="29">
        <v>55.121951199999998</v>
      </c>
    </row>
    <row r="141" spans="2:25" ht="15" customHeight="1">
      <c r="B141" s="30">
        <v>136</v>
      </c>
      <c r="C141" s="31" t="s">
        <v>21</v>
      </c>
      <c r="D141" s="36" t="s">
        <v>56</v>
      </c>
      <c r="E141" s="36" t="s">
        <v>57</v>
      </c>
      <c r="F141" s="36" t="s">
        <v>60</v>
      </c>
      <c r="G141" s="37" t="s">
        <v>60</v>
      </c>
      <c r="H141" s="32">
        <v>4772</v>
      </c>
      <c r="I141" s="32">
        <v>2069</v>
      </c>
      <c r="J141" s="32">
        <v>1530</v>
      </c>
      <c r="K141" s="32">
        <v>539</v>
      </c>
      <c r="L141" s="32">
        <v>2703</v>
      </c>
      <c r="M141" s="32">
        <v>6849</v>
      </c>
      <c r="N141" s="32">
        <v>4293</v>
      </c>
      <c r="O141" s="32">
        <v>3899</v>
      </c>
      <c r="P141" s="32">
        <v>394</v>
      </c>
      <c r="Q141" s="32">
        <v>2556</v>
      </c>
      <c r="R141" s="33">
        <v>43.357083000000003</v>
      </c>
      <c r="S141" s="33">
        <v>32.062028499999997</v>
      </c>
      <c r="T141" s="33">
        <v>11.295054500000001</v>
      </c>
      <c r="U141" s="33">
        <v>56.642916999999997</v>
      </c>
      <c r="V141" s="33">
        <v>62.680683299999998</v>
      </c>
      <c r="W141" s="33">
        <v>56.928018700000003</v>
      </c>
      <c r="X141" s="33">
        <v>5.7526646000000001</v>
      </c>
      <c r="Y141" s="33">
        <v>37.319316700000002</v>
      </c>
    </row>
    <row r="142" spans="2:25" ht="15" hidden="1" customHeight="1">
      <c r="B142" s="25">
        <v>137</v>
      </c>
      <c r="C142" s="26" t="s">
        <v>21</v>
      </c>
      <c r="D142" s="26" t="s">
        <v>56</v>
      </c>
      <c r="E142" s="26" t="s">
        <v>57</v>
      </c>
      <c r="F142" s="26" t="s">
        <v>60</v>
      </c>
      <c r="G142" s="27" t="s">
        <v>15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9"/>
      <c r="S142" s="29"/>
      <c r="T142" s="29"/>
      <c r="U142" s="29"/>
      <c r="V142" s="29"/>
      <c r="W142" s="29"/>
      <c r="X142" s="29"/>
      <c r="Y142" s="29"/>
    </row>
    <row r="143" spans="2:25" ht="15" hidden="1" customHeight="1">
      <c r="B143" s="25">
        <v>138</v>
      </c>
      <c r="C143" s="26" t="s">
        <v>21</v>
      </c>
      <c r="D143" s="26" t="s">
        <v>56</v>
      </c>
      <c r="E143" s="26" t="s">
        <v>57</v>
      </c>
      <c r="F143" s="26" t="s">
        <v>60</v>
      </c>
      <c r="G143" s="27" t="s">
        <v>16</v>
      </c>
      <c r="H143" s="28">
        <v>4772</v>
      </c>
      <c r="I143" s="28">
        <v>2069</v>
      </c>
      <c r="J143" s="28">
        <v>1530</v>
      </c>
      <c r="K143" s="28">
        <v>539</v>
      </c>
      <c r="L143" s="28">
        <v>2703</v>
      </c>
      <c r="M143" s="28">
        <v>6849</v>
      </c>
      <c r="N143" s="28">
        <v>4293</v>
      </c>
      <c r="O143" s="28">
        <v>3899</v>
      </c>
      <c r="P143" s="28">
        <v>394</v>
      </c>
      <c r="Q143" s="28">
        <v>2556</v>
      </c>
      <c r="R143" s="29">
        <v>43.357083000000003</v>
      </c>
      <c r="S143" s="29">
        <v>32.062028499999997</v>
      </c>
      <c r="T143" s="29">
        <v>11.295054500000001</v>
      </c>
      <c r="U143" s="29">
        <v>56.642916999999997</v>
      </c>
      <c r="V143" s="29">
        <v>62.680683299999998</v>
      </c>
      <c r="W143" s="29">
        <v>56.928018700000003</v>
      </c>
      <c r="X143" s="29">
        <v>5.7526646000000001</v>
      </c>
      <c r="Y143" s="29">
        <v>37.319316700000002</v>
      </c>
    </row>
    <row r="144" spans="2:25" ht="15" customHeight="1">
      <c r="B144" s="30">
        <v>139</v>
      </c>
      <c r="C144" s="31" t="s">
        <v>21</v>
      </c>
      <c r="D144" s="36" t="s">
        <v>56</v>
      </c>
      <c r="E144" s="36" t="s">
        <v>57</v>
      </c>
      <c r="F144" s="36" t="s">
        <v>61</v>
      </c>
      <c r="G144" s="37" t="s">
        <v>61</v>
      </c>
      <c r="H144" s="32">
        <v>7151</v>
      </c>
      <c r="I144" s="32">
        <v>2375</v>
      </c>
      <c r="J144" s="32">
        <v>1613</v>
      </c>
      <c r="K144" s="32">
        <v>762</v>
      </c>
      <c r="L144" s="32">
        <v>4776</v>
      </c>
      <c r="M144" s="32">
        <v>16297</v>
      </c>
      <c r="N144" s="32">
        <v>10840</v>
      </c>
      <c r="O144" s="32">
        <v>9790</v>
      </c>
      <c r="P144" s="32">
        <v>1050</v>
      </c>
      <c r="Q144" s="32">
        <v>5457</v>
      </c>
      <c r="R144" s="33">
        <v>33.212138199999998</v>
      </c>
      <c r="S144" s="33">
        <v>22.556285800000001</v>
      </c>
      <c r="T144" s="33">
        <v>10.655852299999999</v>
      </c>
      <c r="U144" s="33">
        <v>66.787861800000002</v>
      </c>
      <c r="V144" s="33">
        <v>66.515309599999995</v>
      </c>
      <c r="W144" s="33">
        <v>60.072406000000001</v>
      </c>
      <c r="X144" s="33">
        <v>6.4429036000000002</v>
      </c>
      <c r="Y144" s="33">
        <v>33.484690399999998</v>
      </c>
    </row>
    <row r="145" spans="2:25" ht="15" hidden="1" customHeight="1">
      <c r="B145" s="25">
        <v>140</v>
      </c>
      <c r="C145" s="26" t="s">
        <v>21</v>
      </c>
      <c r="D145" s="26" t="s">
        <v>56</v>
      </c>
      <c r="E145" s="26" t="s">
        <v>57</v>
      </c>
      <c r="F145" s="26" t="s">
        <v>61</v>
      </c>
      <c r="G145" s="27" t="s">
        <v>15</v>
      </c>
      <c r="H145" s="28">
        <v>6010</v>
      </c>
      <c r="I145" s="28">
        <v>2131</v>
      </c>
      <c r="J145" s="28">
        <v>1446</v>
      </c>
      <c r="K145" s="28">
        <v>685</v>
      </c>
      <c r="L145" s="28">
        <v>3879</v>
      </c>
      <c r="M145" s="28">
        <v>14474</v>
      </c>
      <c r="N145" s="28">
        <v>9947</v>
      </c>
      <c r="O145" s="28">
        <v>9016</v>
      </c>
      <c r="P145" s="28">
        <v>931</v>
      </c>
      <c r="Q145" s="28">
        <v>4527</v>
      </c>
      <c r="R145" s="29">
        <v>35.457570699999998</v>
      </c>
      <c r="S145" s="29">
        <v>24.059900200000001</v>
      </c>
      <c r="T145" s="29">
        <v>11.3976705</v>
      </c>
      <c r="U145" s="29">
        <v>64.542429299999995</v>
      </c>
      <c r="V145" s="29">
        <v>68.723227899999998</v>
      </c>
      <c r="W145" s="29">
        <v>62.291004600000001</v>
      </c>
      <c r="X145" s="29">
        <v>6.4322233000000004</v>
      </c>
      <c r="Y145" s="29">
        <v>31.276772099999999</v>
      </c>
    </row>
    <row r="146" spans="2:25" ht="15" hidden="1" customHeight="1">
      <c r="B146" s="25">
        <v>141</v>
      </c>
      <c r="C146" s="26" t="s">
        <v>21</v>
      </c>
      <c r="D146" s="26" t="s">
        <v>56</v>
      </c>
      <c r="E146" s="26" t="s">
        <v>57</v>
      </c>
      <c r="F146" s="26" t="s">
        <v>61</v>
      </c>
      <c r="G146" s="27" t="s">
        <v>16</v>
      </c>
      <c r="H146" s="28">
        <v>1141</v>
      </c>
      <c r="I146" s="28">
        <v>244</v>
      </c>
      <c r="J146" s="28">
        <v>167</v>
      </c>
      <c r="K146" s="28">
        <v>77</v>
      </c>
      <c r="L146" s="28">
        <v>897</v>
      </c>
      <c r="M146" s="28">
        <v>1823</v>
      </c>
      <c r="N146" s="28">
        <v>893</v>
      </c>
      <c r="O146" s="28">
        <v>774</v>
      </c>
      <c r="P146" s="28">
        <v>119</v>
      </c>
      <c r="Q146" s="28">
        <v>930</v>
      </c>
      <c r="R146" s="29">
        <v>21.384750199999999</v>
      </c>
      <c r="S146" s="29">
        <v>14.636284</v>
      </c>
      <c r="T146" s="29">
        <v>6.7484662999999996</v>
      </c>
      <c r="U146" s="29">
        <v>78.615249800000001</v>
      </c>
      <c r="V146" s="29">
        <v>48.985189200000001</v>
      </c>
      <c r="W146" s="29">
        <v>42.457487700000001</v>
      </c>
      <c r="X146" s="29">
        <v>6.5277016000000003</v>
      </c>
      <c r="Y146" s="29">
        <v>51.014810799999999</v>
      </c>
    </row>
    <row r="147" spans="2:25" ht="15" customHeight="1">
      <c r="B147" s="30">
        <v>142</v>
      </c>
      <c r="C147" s="31" t="s">
        <v>21</v>
      </c>
      <c r="D147" s="36" t="s">
        <v>56</v>
      </c>
      <c r="E147" s="36" t="s">
        <v>57</v>
      </c>
      <c r="F147" s="36" t="s">
        <v>62</v>
      </c>
      <c r="G147" s="37" t="s">
        <v>62</v>
      </c>
      <c r="H147" s="32">
        <v>256852</v>
      </c>
      <c r="I147" s="32">
        <v>201933</v>
      </c>
      <c r="J147" s="32">
        <v>103800</v>
      </c>
      <c r="K147" s="32">
        <v>98133</v>
      </c>
      <c r="L147" s="32">
        <v>54919</v>
      </c>
      <c r="M147" s="32">
        <v>297898</v>
      </c>
      <c r="N147" s="32">
        <v>279151</v>
      </c>
      <c r="O147" s="32">
        <v>239907</v>
      </c>
      <c r="P147" s="32">
        <v>39244</v>
      </c>
      <c r="Q147" s="32">
        <v>18747</v>
      </c>
      <c r="R147" s="33">
        <v>78.618426200000002</v>
      </c>
      <c r="S147" s="33">
        <v>40.412377599999999</v>
      </c>
      <c r="T147" s="33">
        <v>38.206048600000003</v>
      </c>
      <c r="U147" s="33">
        <v>21.381573800000002</v>
      </c>
      <c r="V147" s="33">
        <v>93.706906399999994</v>
      </c>
      <c r="W147" s="33">
        <v>80.533269799999999</v>
      </c>
      <c r="X147" s="33">
        <v>13.1736366</v>
      </c>
      <c r="Y147" s="33">
        <v>6.2930935999999997</v>
      </c>
    </row>
    <row r="148" spans="2:25" ht="15" hidden="1" customHeight="1">
      <c r="B148" s="25">
        <v>143</v>
      </c>
      <c r="C148" s="26" t="s">
        <v>21</v>
      </c>
      <c r="D148" s="26" t="s">
        <v>56</v>
      </c>
      <c r="E148" s="26" t="s">
        <v>57</v>
      </c>
      <c r="F148" s="26" t="s">
        <v>62</v>
      </c>
      <c r="G148" s="27" t="s">
        <v>15</v>
      </c>
      <c r="H148" s="28">
        <v>256216</v>
      </c>
      <c r="I148" s="28">
        <v>201923</v>
      </c>
      <c r="J148" s="28">
        <v>103794</v>
      </c>
      <c r="K148" s="28">
        <v>98129</v>
      </c>
      <c r="L148" s="28">
        <v>54293</v>
      </c>
      <c r="M148" s="28">
        <v>297715</v>
      </c>
      <c r="N148" s="28">
        <v>279030</v>
      </c>
      <c r="O148" s="28">
        <v>239861</v>
      </c>
      <c r="P148" s="28">
        <v>39169</v>
      </c>
      <c r="Q148" s="28">
        <v>18685</v>
      </c>
      <c r="R148" s="29">
        <v>78.809676199999998</v>
      </c>
      <c r="S148" s="29">
        <v>40.510350600000002</v>
      </c>
      <c r="T148" s="29">
        <v>38.299325600000003</v>
      </c>
      <c r="U148" s="29">
        <v>21.190323800000002</v>
      </c>
      <c r="V148" s="29">
        <v>93.723863399999999</v>
      </c>
      <c r="W148" s="29">
        <v>80.567321100000001</v>
      </c>
      <c r="X148" s="29">
        <v>13.1565423</v>
      </c>
      <c r="Y148" s="29">
        <v>6.2761366000000001</v>
      </c>
    </row>
    <row r="149" spans="2:25" ht="15" hidden="1" customHeight="1">
      <c r="B149" s="25">
        <v>144</v>
      </c>
      <c r="C149" s="26" t="s">
        <v>21</v>
      </c>
      <c r="D149" s="26" t="s">
        <v>56</v>
      </c>
      <c r="E149" s="26" t="s">
        <v>57</v>
      </c>
      <c r="F149" s="26" t="s">
        <v>62</v>
      </c>
      <c r="G149" s="27" t="s">
        <v>16</v>
      </c>
      <c r="H149" s="28">
        <v>636</v>
      </c>
      <c r="I149" s="28">
        <v>10</v>
      </c>
      <c r="J149" s="28">
        <v>6</v>
      </c>
      <c r="K149" s="28">
        <v>4</v>
      </c>
      <c r="L149" s="28">
        <v>626</v>
      </c>
      <c r="M149" s="28">
        <v>183</v>
      </c>
      <c r="N149" s="28">
        <v>121</v>
      </c>
      <c r="O149" s="28">
        <v>46</v>
      </c>
      <c r="P149" s="28">
        <v>75</v>
      </c>
      <c r="Q149" s="28">
        <v>62</v>
      </c>
      <c r="R149" s="29">
        <v>1.572327</v>
      </c>
      <c r="S149" s="29">
        <v>0.94339620000000002</v>
      </c>
      <c r="T149" s="29">
        <v>0.62893080000000001</v>
      </c>
      <c r="U149" s="29">
        <v>98.427672999999999</v>
      </c>
      <c r="V149" s="29">
        <v>66.120218600000001</v>
      </c>
      <c r="W149" s="29">
        <v>25.136612</v>
      </c>
      <c r="X149" s="29">
        <v>40.983606600000002</v>
      </c>
      <c r="Y149" s="29">
        <v>33.879781399999999</v>
      </c>
    </row>
    <row r="150" spans="2:25" ht="15" hidden="1" customHeight="1">
      <c r="B150" s="21">
        <v>145</v>
      </c>
      <c r="C150" s="22" t="s">
        <v>19</v>
      </c>
      <c r="D150" s="35" t="s">
        <v>56</v>
      </c>
      <c r="E150" s="35" t="s">
        <v>63</v>
      </c>
      <c r="F150" s="35"/>
      <c r="G150" s="22" t="s">
        <v>63</v>
      </c>
      <c r="H150" s="23">
        <v>32043</v>
      </c>
      <c r="I150" s="23">
        <v>14700</v>
      </c>
      <c r="J150" s="23">
        <v>8863</v>
      </c>
      <c r="K150" s="23">
        <v>5837</v>
      </c>
      <c r="L150" s="23">
        <v>17343</v>
      </c>
      <c r="M150" s="23">
        <v>38628</v>
      </c>
      <c r="N150" s="23">
        <v>24894</v>
      </c>
      <c r="O150" s="23">
        <v>21993</v>
      </c>
      <c r="P150" s="23">
        <v>2901</v>
      </c>
      <c r="Q150" s="23">
        <v>13734</v>
      </c>
      <c r="R150" s="24">
        <v>45.8758543</v>
      </c>
      <c r="S150" s="24">
        <v>27.659707300000001</v>
      </c>
      <c r="T150" s="24">
        <v>18.216147100000001</v>
      </c>
      <c r="U150" s="24">
        <v>54.1241457</v>
      </c>
      <c r="V150" s="24">
        <v>64.445480000000003</v>
      </c>
      <c r="W150" s="24">
        <v>56.935383700000003</v>
      </c>
      <c r="X150" s="24">
        <v>7.5100962999999998</v>
      </c>
      <c r="Y150" s="24">
        <v>35.554519999999997</v>
      </c>
    </row>
    <row r="151" spans="2:25" ht="15" hidden="1" customHeight="1">
      <c r="B151" s="25">
        <v>146</v>
      </c>
      <c r="C151" s="26" t="s">
        <v>19</v>
      </c>
      <c r="D151" s="26" t="s">
        <v>56</v>
      </c>
      <c r="E151" s="26" t="s">
        <v>63</v>
      </c>
      <c r="F151" s="26"/>
      <c r="G151" s="27" t="s">
        <v>15</v>
      </c>
      <c r="H151" s="28">
        <v>3307</v>
      </c>
      <c r="I151" s="28">
        <v>2148</v>
      </c>
      <c r="J151" s="28">
        <v>1113</v>
      </c>
      <c r="K151" s="28">
        <v>1035</v>
      </c>
      <c r="L151" s="28">
        <v>1159</v>
      </c>
      <c r="M151" s="28">
        <v>3554</v>
      </c>
      <c r="N151" s="28">
        <v>3112</v>
      </c>
      <c r="O151" s="28">
        <v>2944</v>
      </c>
      <c r="P151" s="28">
        <v>168</v>
      </c>
      <c r="Q151" s="28">
        <v>442</v>
      </c>
      <c r="R151" s="29">
        <v>64.953129700000005</v>
      </c>
      <c r="S151" s="29">
        <v>33.6558815</v>
      </c>
      <c r="T151" s="29">
        <v>31.2972483</v>
      </c>
      <c r="U151" s="29">
        <v>35.046870300000002</v>
      </c>
      <c r="V151" s="29">
        <v>87.563308899999996</v>
      </c>
      <c r="W151" s="29">
        <v>82.836240900000007</v>
      </c>
      <c r="X151" s="29">
        <v>4.7270681000000003</v>
      </c>
      <c r="Y151" s="29">
        <v>12.436691100000001</v>
      </c>
    </row>
    <row r="152" spans="2:25" ht="15" hidden="1" customHeight="1">
      <c r="B152" s="25">
        <v>147</v>
      </c>
      <c r="C152" s="26" t="s">
        <v>19</v>
      </c>
      <c r="D152" s="26" t="s">
        <v>56</v>
      </c>
      <c r="E152" s="26" t="s">
        <v>63</v>
      </c>
      <c r="F152" s="26"/>
      <c r="G152" s="27" t="s">
        <v>16</v>
      </c>
      <c r="H152" s="28">
        <v>28736</v>
      </c>
      <c r="I152" s="28">
        <v>12552</v>
      </c>
      <c r="J152" s="28">
        <v>7750</v>
      </c>
      <c r="K152" s="28">
        <v>4802</v>
      </c>
      <c r="L152" s="28">
        <v>16184</v>
      </c>
      <c r="M152" s="28">
        <v>35074</v>
      </c>
      <c r="N152" s="28">
        <v>21782</v>
      </c>
      <c r="O152" s="28">
        <v>19049</v>
      </c>
      <c r="P152" s="28">
        <v>2733</v>
      </c>
      <c r="Q152" s="28">
        <v>13292</v>
      </c>
      <c r="R152" s="29">
        <v>43.680400900000002</v>
      </c>
      <c r="S152" s="29">
        <v>26.969654800000001</v>
      </c>
      <c r="T152" s="29">
        <v>16.710746100000001</v>
      </c>
      <c r="U152" s="29">
        <v>56.319599099999998</v>
      </c>
      <c r="V152" s="29">
        <v>62.102982300000001</v>
      </c>
      <c r="W152" s="29">
        <v>54.310885599999999</v>
      </c>
      <c r="X152" s="29">
        <v>7.7920967000000001</v>
      </c>
      <c r="Y152" s="29">
        <v>37.897017699999999</v>
      </c>
    </row>
    <row r="153" spans="2:25" ht="15" customHeight="1">
      <c r="B153" s="30">
        <v>148</v>
      </c>
      <c r="C153" s="31" t="s">
        <v>21</v>
      </c>
      <c r="D153" s="36" t="s">
        <v>56</v>
      </c>
      <c r="E153" s="36" t="s">
        <v>63</v>
      </c>
      <c r="F153" s="36" t="s">
        <v>64</v>
      </c>
      <c r="G153" s="37" t="s">
        <v>64</v>
      </c>
      <c r="H153" s="32">
        <v>16228</v>
      </c>
      <c r="I153" s="32">
        <v>8055</v>
      </c>
      <c r="J153" s="32">
        <v>4615</v>
      </c>
      <c r="K153" s="32">
        <v>3440</v>
      </c>
      <c r="L153" s="32">
        <v>8173</v>
      </c>
      <c r="M153" s="32">
        <v>18316</v>
      </c>
      <c r="N153" s="32">
        <v>12759</v>
      </c>
      <c r="O153" s="32">
        <v>11502</v>
      </c>
      <c r="P153" s="32">
        <v>1257</v>
      </c>
      <c r="Q153" s="32">
        <v>5557</v>
      </c>
      <c r="R153" s="33">
        <v>49.636430900000001</v>
      </c>
      <c r="S153" s="33">
        <v>28.4385014</v>
      </c>
      <c r="T153" s="33">
        <v>21.197929500000001</v>
      </c>
      <c r="U153" s="33">
        <v>50.363569099999999</v>
      </c>
      <c r="V153" s="33">
        <v>69.660406199999997</v>
      </c>
      <c r="W153" s="33">
        <v>62.797554099999999</v>
      </c>
      <c r="X153" s="33">
        <v>6.8628521999999998</v>
      </c>
      <c r="Y153" s="33">
        <v>30.339593799999999</v>
      </c>
    </row>
    <row r="154" spans="2:25" ht="15" hidden="1" customHeight="1">
      <c r="B154" s="25">
        <v>149</v>
      </c>
      <c r="C154" s="26" t="s">
        <v>21</v>
      </c>
      <c r="D154" s="26" t="s">
        <v>56</v>
      </c>
      <c r="E154" s="26" t="s">
        <v>63</v>
      </c>
      <c r="F154" s="26" t="s">
        <v>64</v>
      </c>
      <c r="G154" s="27" t="s">
        <v>15</v>
      </c>
      <c r="H154" s="28">
        <v>3307</v>
      </c>
      <c r="I154" s="28">
        <v>2148</v>
      </c>
      <c r="J154" s="28">
        <v>1113</v>
      </c>
      <c r="K154" s="28">
        <v>1035</v>
      </c>
      <c r="L154" s="28">
        <v>1159</v>
      </c>
      <c r="M154" s="28">
        <v>3554</v>
      </c>
      <c r="N154" s="28">
        <v>3112</v>
      </c>
      <c r="O154" s="28">
        <v>2944</v>
      </c>
      <c r="P154" s="28">
        <v>168</v>
      </c>
      <c r="Q154" s="28">
        <v>442</v>
      </c>
      <c r="R154" s="29">
        <v>64.953129700000005</v>
      </c>
      <c r="S154" s="29">
        <v>33.6558815</v>
      </c>
      <c r="T154" s="29">
        <v>31.2972483</v>
      </c>
      <c r="U154" s="29">
        <v>35.046870300000002</v>
      </c>
      <c r="V154" s="29">
        <v>87.563308899999996</v>
      </c>
      <c r="W154" s="29">
        <v>82.836240900000007</v>
      </c>
      <c r="X154" s="29">
        <v>4.7270681000000003</v>
      </c>
      <c r="Y154" s="29">
        <v>12.436691100000001</v>
      </c>
    </row>
    <row r="155" spans="2:25" ht="15" hidden="1" customHeight="1">
      <c r="B155" s="25">
        <v>150</v>
      </c>
      <c r="C155" s="26" t="s">
        <v>21</v>
      </c>
      <c r="D155" s="26" t="s">
        <v>56</v>
      </c>
      <c r="E155" s="26" t="s">
        <v>63</v>
      </c>
      <c r="F155" s="26" t="s">
        <v>64</v>
      </c>
      <c r="G155" s="27" t="s">
        <v>16</v>
      </c>
      <c r="H155" s="28">
        <v>12921</v>
      </c>
      <c r="I155" s="28">
        <v>5907</v>
      </c>
      <c r="J155" s="28">
        <v>3502</v>
      </c>
      <c r="K155" s="28">
        <v>2405</v>
      </c>
      <c r="L155" s="28">
        <v>7014</v>
      </c>
      <c r="M155" s="28">
        <v>14762</v>
      </c>
      <c r="N155" s="28">
        <v>9647</v>
      </c>
      <c r="O155" s="28">
        <v>8558</v>
      </c>
      <c r="P155" s="28">
        <v>1089</v>
      </c>
      <c r="Q155" s="28">
        <v>5115</v>
      </c>
      <c r="R155" s="29">
        <v>45.716275799999998</v>
      </c>
      <c r="S155" s="29">
        <v>27.103165400000002</v>
      </c>
      <c r="T155" s="29">
        <v>18.6131104</v>
      </c>
      <c r="U155" s="29">
        <v>54.283724200000002</v>
      </c>
      <c r="V155" s="29">
        <v>65.350223499999998</v>
      </c>
      <c r="W155" s="29">
        <v>57.973174399999998</v>
      </c>
      <c r="X155" s="29">
        <v>7.3770492000000001</v>
      </c>
      <c r="Y155" s="29">
        <v>34.649776500000002</v>
      </c>
    </row>
    <row r="156" spans="2:25" ht="15" customHeight="1">
      <c r="B156" s="30">
        <v>151</v>
      </c>
      <c r="C156" s="31" t="s">
        <v>21</v>
      </c>
      <c r="D156" s="36" t="s">
        <v>56</v>
      </c>
      <c r="E156" s="36" t="s">
        <v>63</v>
      </c>
      <c r="F156" s="36" t="s">
        <v>65</v>
      </c>
      <c r="G156" s="37" t="s">
        <v>65</v>
      </c>
      <c r="H156" s="32">
        <v>5027</v>
      </c>
      <c r="I156" s="32">
        <v>1696</v>
      </c>
      <c r="J156" s="32">
        <v>1349</v>
      </c>
      <c r="K156" s="32">
        <v>347</v>
      </c>
      <c r="L156" s="32">
        <v>3331</v>
      </c>
      <c r="M156" s="32">
        <v>6737</v>
      </c>
      <c r="N156" s="32">
        <v>3263</v>
      </c>
      <c r="O156" s="32">
        <v>2874</v>
      </c>
      <c r="P156" s="32">
        <v>389</v>
      </c>
      <c r="Q156" s="32">
        <v>3474</v>
      </c>
      <c r="R156" s="33">
        <v>33.7378158</v>
      </c>
      <c r="S156" s="33">
        <v>26.8350905</v>
      </c>
      <c r="T156" s="33">
        <v>6.9027253000000002</v>
      </c>
      <c r="U156" s="33">
        <v>66.262184199999993</v>
      </c>
      <c r="V156" s="33">
        <v>48.434021100000002</v>
      </c>
      <c r="W156" s="33">
        <v>42.6599377</v>
      </c>
      <c r="X156" s="33">
        <v>5.7740834000000003</v>
      </c>
      <c r="Y156" s="33">
        <v>51.565978899999998</v>
      </c>
    </row>
    <row r="157" spans="2:25" ht="15" hidden="1" customHeight="1">
      <c r="B157" s="25">
        <v>152</v>
      </c>
      <c r="C157" s="26" t="s">
        <v>21</v>
      </c>
      <c r="D157" s="26" t="s">
        <v>56</v>
      </c>
      <c r="E157" s="26" t="s">
        <v>63</v>
      </c>
      <c r="F157" s="26" t="s">
        <v>65</v>
      </c>
      <c r="G157" s="27" t="s">
        <v>15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9"/>
      <c r="S157" s="29"/>
      <c r="T157" s="29"/>
      <c r="U157" s="29"/>
      <c r="V157" s="29"/>
      <c r="W157" s="29"/>
      <c r="X157" s="29"/>
      <c r="Y157" s="29"/>
    </row>
    <row r="158" spans="2:25" ht="15" hidden="1" customHeight="1">
      <c r="B158" s="25">
        <v>153</v>
      </c>
      <c r="C158" s="26" t="s">
        <v>21</v>
      </c>
      <c r="D158" s="26" t="s">
        <v>56</v>
      </c>
      <c r="E158" s="26" t="s">
        <v>63</v>
      </c>
      <c r="F158" s="26" t="s">
        <v>65</v>
      </c>
      <c r="G158" s="27" t="s">
        <v>16</v>
      </c>
      <c r="H158" s="28">
        <v>5027</v>
      </c>
      <c r="I158" s="28">
        <v>1696</v>
      </c>
      <c r="J158" s="28">
        <v>1349</v>
      </c>
      <c r="K158" s="28">
        <v>347</v>
      </c>
      <c r="L158" s="28">
        <v>3331</v>
      </c>
      <c r="M158" s="28">
        <v>6737</v>
      </c>
      <c r="N158" s="28">
        <v>3263</v>
      </c>
      <c r="O158" s="28">
        <v>2874</v>
      </c>
      <c r="P158" s="28">
        <v>389</v>
      </c>
      <c r="Q158" s="28">
        <v>3474</v>
      </c>
      <c r="R158" s="29">
        <v>33.7378158</v>
      </c>
      <c r="S158" s="29">
        <v>26.8350905</v>
      </c>
      <c r="T158" s="29">
        <v>6.9027253000000002</v>
      </c>
      <c r="U158" s="29">
        <v>66.262184199999993</v>
      </c>
      <c r="V158" s="29">
        <v>48.434021100000002</v>
      </c>
      <c r="W158" s="29">
        <v>42.6599377</v>
      </c>
      <c r="X158" s="29">
        <v>5.7740834000000003</v>
      </c>
      <c r="Y158" s="29">
        <v>51.565978899999998</v>
      </c>
    </row>
    <row r="159" spans="2:25" ht="15" customHeight="1">
      <c r="B159" s="30">
        <v>154</v>
      </c>
      <c r="C159" s="31" t="s">
        <v>21</v>
      </c>
      <c r="D159" s="36" t="s">
        <v>56</v>
      </c>
      <c r="E159" s="36" t="s">
        <v>63</v>
      </c>
      <c r="F159" s="36" t="s">
        <v>66</v>
      </c>
      <c r="G159" s="37" t="s">
        <v>66</v>
      </c>
      <c r="H159" s="32">
        <v>3297</v>
      </c>
      <c r="I159" s="32">
        <v>1642</v>
      </c>
      <c r="J159" s="32">
        <v>1118</v>
      </c>
      <c r="K159" s="32">
        <v>524</v>
      </c>
      <c r="L159" s="32">
        <v>1655</v>
      </c>
      <c r="M159" s="32">
        <v>3956</v>
      </c>
      <c r="N159" s="32">
        <v>2582</v>
      </c>
      <c r="O159" s="32">
        <v>2218</v>
      </c>
      <c r="P159" s="32">
        <v>364</v>
      </c>
      <c r="Q159" s="32">
        <v>1374</v>
      </c>
      <c r="R159" s="33">
        <v>49.802851099999998</v>
      </c>
      <c r="S159" s="33">
        <v>33.9096148</v>
      </c>
      <c r="T159" s="33">
        <v>15.8932363</v>
      </c>
      <c r="U159" s="33">
        <v>50.197148900000002</v>
      </c>
      <c r="V159" s="33">
        <v>65.267947399999997</v>
      </c>
      <c r="W159" s="33">
        <v>56.066734099999998</v>
      </c>
      <c r="X159" s="33">
        <v>9.2012132999999992</v>
      </c>
      <c r="Y159" s="33">
        <v>34.732052600000003</v>
      </c>
    </row>
    <row r="160" spans="2:25" ht="15" hidden="1" customHeight="1">
      <c r="B160" s="25">
        <v>155</v>
      </c>
      <c r="C160" s="26" t="s">
        <v>21</v>
      </c>
      <c r="D160" s="26" t="s">
        <v>56</v>
      </c>
      <c r="E160" s="26" t="s">
        <v>63</v>
      </c>
      <c r="F160" s="26" t="s">
        <v>66</v>
      </c>
      <c r="G160" s="27" t="s">
        <v>15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9"/>
      <c r="S160" s="29"/>
      <c r="T160" s="29"/>
      <c r="U160" s="29"/>
      <c r="V160" s="29"/>
      <c r="W160" s="29"/>
      <c r="X160" s="29"/>
      <c r="Y160" s="29"/>
    </row>
    <row r="161" spans="2:25" ht="15" hidden="1" customHeight="1">
      <c r="B161" s="25">
        <v>156</v>
      </c>
      <c r="C161" s="26" t="s">
        <v>21</v>
      </c>
      <c r="D161" s="26" t="s">
        <v>56</v>
      </c>
      <c r="E161" s="26" t="s">
        <v>63</v>
      </c>
      <c r="F161" s="26" t="s">
        <v>66</v>
      </c>
      <c r="G161" s="27" t="s">
        <v>16</v>
      </c>
      <c r="H161" s="28">
        <v>3297</v>
      </c>
      <c r="I161" s="28">
        <v>1642</v>
      </c>
      <c r="J161" s="28">
        <v>1118</v>
      </c>
      <c r="K161" s="28">
        <v>524</v>
      </c>
      <c r="L161" s="28">
        <v>1655</v>
      </c>
      <c r="M161" s="28">
        <v>3956</v>
      </c>
      <c r="N161" s="28">
        <v>2582</v>
      </c>
      <c r="O161" s="28">
        <v>2218</v>
      </c>
      <c r="P161" s="28">
        <v>364</v>
      </c>
      <c r="Q161" s="28">
        <v>1374</v>
      </c>
      <c r="R161" s="29">
        <v>49.802851099999998</v>
      </c>
      <c r="S161" s="29">
        <v>33.9096148</v>
      </c>
      <c r="T161" s="29">
        <v>15.8932363</v>
      </c>
      <c r="U161" s="29">
        <v>50.197148900000002</v>
      </c>
      <c r="V161" s="29">
        <v>65.267947399999997</v>
      </c>
      <c r="W161" s="29">
        <v>56.066734099999998</v>
      </c>
      <c r="X161" s="29">
        <v>9.2012132999999992</v>
      </c>
      <c r="Y161" s="29">
        <v>34.732052600000003</v>
      </c>
    </row>
    <row r="162" spans="2:25" ht="15" customHeight="1">
      <c r="B162" s="30">
        <v>157</v>
      </c>
      <c r="C162" s="31" t="s">
        <v>21</v>
      </c>
      <c r="D162" s="36" t="s">
        <v>56</v>
      </c>
      <c r="E162" s="36" t="s">
        <v>63</v>
      </c>
      <c r="F162" s="36" t="s">
        <v>67</v>
      </c>
      <c r="G162" s="37" t="s">
        <v>67</v>
      </c>
      <c r="H162" s="32">
        <v>3797</v>
      </c>
      <c r="I162" s="32">
        <v>1633</v>
      </c>
      <c r="J162" s="32">
        <v>896</v>
      </c>
      <c r="K162" s="32">
        <v>737</v>
      </c>
      <c r="L162" s="32">
        <v>2164</v>
      </c>
      <c r="M162" s="32">
        <v>4479</v>
      </c>
      <c r="N162" s="32">
        <v>2932</v>
      </c>
      <c r="O162" s="32">
        <v>2510</v>
      </c>
      <c r="P162" s="32">
        <v>422</v>
      </c>
      <c r="Q162" s="32">
        <v>1547</v>
      </c>
      <c r="R162" s="33">
        <v>43.007637600000002</v>
      </c>
      <c r="S162" s="33">
        <v>23.597577000000001</v>
      </c>
      <c r="T162" s="33">
        <v>19.410060600000001</v>
      </c>
      <c r="U162" s="33">
        <v>56.992362399999998</v>
      </c>
      <c r="V162" s="33">
        <v>65.461040400000002</v>
      </c>
      <c r="W162" s="33">
        <v>56.039294499999997</v>
      </c>
      <c r="X162" s="33">
        <v>9.4217458999999995</v>
      </c>
      <c r="Y162" s="33">
        <v>34.538959599999998</v>
      </c>
    </row>
    <row r="163" spans="2:25" ht="15" hidden="1" customHeight="1">
      <c r="B163" s="25">
        <v>158</v>
      </c>
      <c r="C163" s="26" t="s">
        <v>21</v>
      </c>
      <c r="D163" s="26" t="s">
        <v>56</v>
      </c>
      <c r="E163" s="26" t="s">
        <v>63</v>
      </c>
      <c r="F163" s="26" t="s">
        <v>67</v>
      </c>
      <c r="G163" s="27" t="s">
        <v>15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9"/>
      <c r="S163" s="29"/>
      <c r="T163" s="29"/>
      <c r="U163" s="29"/>
      <c r="V163" s="29"/>
      <c r="W163" s="29"/>
      <c r="X163" s="29"/>
      <c r="Y163" s="29"/>
    </row>
    <row r="164" spans="2:25" ht="15" hidden="1" customHeight="1">
      <c r="B164" s="25">
        <v>159</v>
      </c>
      <c r="C164" s="26" t="s">
        <v>21</v>
      </c>
      <c r="D164" s="26" t="s">
        <v>56</v>
      </c>
      <c r="E164" s="26" t="s">
        <v>63</v>
      </c>
      <c r="F164" s="26" t="s">
        <v>67</v>
      </c>
      <c r="G164" s="27" t="s">
        <v>16</v>
      </c>
      <c r="H164" s="28">
        <v>3797</v>
      </c>
      <c r="I164" s="28">
        <v>1633</v>
      </c>
      <c r="J164" s="28">
        <v>896</v>
      </c>
      <c r="K164" s="28">
        <v>737</v>
      </c>
      <c r="L164" s="28">
        <v>2164</v>
      </c>
      <c r="M164" s="28">
        <v>4479</v>
      </c>
      <c r="N164" s="28">
        <v>2932</v>
      </c>
      <c r="O164" s="28">
        <v>2510</v>
      </c>
      <c r="P164" s="28">
        <v>422</v>
      </c>
      <c r="Q164" s="28">
        <v>1547</v>
      </c>
      <c r="R164" s="29">
        <v>43.007637600000002</v>
      </c>
      <c r="S164" s="29">
        <v>23.597577000000001</v>
      </c>
      <c r="T164" s="29">
        <v>19.410060600000001</v>
      </c>
      <c r="U164" s="29">
        <v>56.992362399999998</v>
      </c>
      <c r="V164" s="29">
        <v>65.461040400000002</v>
      </c>
      <c r="W164" s="29">
        <v>56.039294499999997</v>
      </c>
      <c r="X164" s="29">
        <v>9.4217458999999995</v>
      </c>
      <c r="Y164" s="29">
        <v>34.538959599999998</v>
      </c>
    </row>
    <row r="165" spans="2:25" ht="15" customHeight="1">
      <c r="B165" s="30">
        <v>160</v>
      </c>
      <c r="C165" s="31" t="s">
        <v>21</v>
      </c>
      <c r="D165" s="36" t="s">
        <v>56</v>
      </c>
      <c r="E165" s="36" t="s">
        <v>63</v>
      </c>
      <c r="F165" s="36" t="s">
        <v>68</v>
      </c>
      <c r="G165" s="37" t="s">
        <v>68</v>
      </c>
      <c r="H165" s="32">
        <v>1662</v>
      </c>
      <c r="I165" s="32">
        <v>966</v>
      </c>
      <c r="J165" s="32">
        <v>540</v>
      </c>
      <c r="K165" s="32">
        <v>426</v>
      </c>
      <c r="L165" s="32">
        <v>696</v>
      </c>
      <c r="M165" s="32">
        <v>2509</v>
      </c>
      <c r="N165" s="32">
        <v>1901</v>
      </c>
      <c r="O165" s="32">
        <v>1638</v>
      </c>
      <c r="P165" s="32">
        <v>263</v>
      </c>
      <c r="Q165" s="32">
        <v>608</v>
      </c>
      <c r="R165" s="33">
        <v>58.122743700000001</v>
      </c>
      <c r="S165" s="33">
        <v>32.490974700000002</v>
      </c>
      <c r="T165" s="33">
        <v>25.631768999999998</v>
      </c>
      <c r="U165" s="33">
        <v>41.877256299999999</v>
      </c>
      <c r="V165" s="33">
        <v>75.767237899999998</v>
      </c>
      <c r="W165" s="33">
        <v>65.284974099999999</v>
      </c>
      <c r="X165" s="33">
        <v>10.4822639</v>
      </c>
      <c r="Y165" s="33">
        <v>24.232762099999999</v>
      </c>
    </row>
    <row r="166" spans="2:25" ht="15" hidden="1" customHeight="1">
      <c r="B166" s="25">
        <v>161</v>
      </c>
      <c r="C166" s="26" t="s">
        <v>21</v>
      </c>
      <c r="D166" s="26" t="s">
        <v>56</v>
      </c>
      <c r="E166" s="26" t="s">
        <v>63</v>
      </c>
      <c r="F166" s="26" t="s">
        <v>68</v>
      </c>
      <c r="G166" s="27" t="s">
        <v>15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9"/>
      <c r="S166" s="29"/>
      <c r="T166" s="29"/>
      <c r="U166" s="29"/>
      <c r="V166" s="29"/>
      <c r="W166" s="29"/>
      <c r="X166" s="29"/>
      <c r="Y166" s="29"/>
    </row>
    <row r="167" spans="2:25" ht="15" hidden="1" customHeight="1">
      <c r="B167" s="25">
        <v>162</v>
      </c>
      <c r="C167" s="26" t="s">
        <v>21</v>
      </c>
      <c r="D167" s="26" t="s">
        <v>56</v>
      </c>
      <c r="E167" s="26" t="s">
        <v>63</v>
      </c>
      <c r="F167" s="26" t="s">
        <v>68</v>
      </c>
      <c r="G167" s="27" t="s">
        <v>16</v>
      </c>
      <c r="H167" s="28">
        <v>1662</v>
      </c>
      <c r="I167" s="28">
        <v>966</v>
      </c>
      <c r="J167" s="28">
        <v>540</v>
      </c>
      <c r="K167" s="28">
        <v>426</v>
      </c>
      <c r="L167" s="28">
        <v>696</v>
      </c>
      <c r="M167" s="28">
        <v>2509</v>
      </c>
      <c r="N167" s="28">
        <v>1901</v>
      </c>
      <c r="O167" s="28">
        <v>1638</v>
      </c>
      <c r="P167" s="28">
        <v>263</v>
      </c>
      <c r="Q167" s="28">
        <v>608</v>
      </c>
      <c r="R167" s="29">
        <v>58.122743700000001</v>
      </c>
      <c r="S167" s="29">
        <v>32.490974700000002</v>
      </c>
      <c r="T167" s="29">
        <v>25.631768999999998</v>
      </c>
      <c r="U167" s="29">
        <v>41.877256299999999</v>
      </c>
      <c r="V167" s="29">
        <v>75.767237899999998</v>
      </c>
      <c r="W167" s="29">
        <v>65.284974099999999</v>
      </c>
      <c r="X167" s="29">
        <v>10.4822639</v>
      </c>
      <c r="Y167" s="29">
        <v>24.232762099999999</v>
      </c>
    </row>
    <row r="168" spans="2:25" ht="15" customHeight="1">
      <c r="B168" s="30">
        <v>163</v>
      </c>
      <c r="C168" s="31" t="s">
        <v>21</v>
      </c>
      <c r="D168" s="36" t="s">
        <v>56</v>
      </c>
      <c r="E168" s="36" t="s">
        <v>63</v>
      </c>
      <c r="F168" s="36" t="s">
        <v>69</v>
      </c>
      <c r="G168" s="37" t="s">
        <v>69</v>
      </c>
      <c r="H168" s="32">
        <v>2032</v>
      </c>
      <c r="I168" s="32">
        <v>708</v>
      </c>
      <c r="J168" s="32">
        <v>345</v>
      </c>
      <c r="K168" s="32">
        <v>363</v>
      </c>
      <c r="L168" s="32">
        <v>1324</v>
      </c>
      <c r="M168" s="32">
        <v>2631</v>
      </c>
      <c r="N168" s="32">
        <v>1457</v>
      </c>
      <c r="O168" s="32">
        <v>1251</v>
      </c>
      <c r="P168" s="32">
        <v>206</v>
      </c>
      <c r="Q168" s="32">
        <v>1174</v>
      </c>
      <c r="R168" s="33">
        <v>34.842519699999997</v>
      </c>
      <c r="S168" s="33">
        <v>16.978346500000001</v>
      </c>
      <c r="T168" s="33">
        <v>17.8641732</v>
      </c>
      <c r="U168" s="33">
        <v>65.157480300000003</v>
      </c>
      <c r="V168" s="33">
        <v>55.378183200000002</v>
      </c>
      <c r="W168" s="33">
        <v>47.5484607</v>
      </c>
      <c r="X168" s="33">
        <v>7.8297224999999999</v>
      </c>
      <c r="Y168" s="33">
        <v>44.621816799999998</v>
      </c>
    </row>
    <row r="169" spans="2:25" ht="15" hidden="1" customHeight="1">
      <c r="B169" s="25">
        <v>164</v>
      </c>
      <c r="C169" s="26" t="s">
        <v>21</v>
      </c>
      <c r="D169" s="26" t="s">
        <v>56</v>
      </c>
      <c r="E169" s="26" t="s">
        <v>63</v>
      </c>
      <c r="F169" s="26" t="s">
        <v>69</v>
      </c>
      <c r="G169" s="27" t="s">
        <v>15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9"/>
      <c r="S169" s="29"/>
      <c r="T169" s="29"/>
      <c r="U169" s="29"/>
      <c r="V169" s="29"/>
      <c r="W169" s="29"/>
      <c r="X169" s="29"/>
      <c r="Y169" s="29"/>
    </row>
    <row r="170" spans="2:25" ht="15" hidden="1" customHeight="1">
      <c r="B170" s="25">
        <v>165</v>
      </c>
      <c r="C170" s="26" t="s">
        <v>21</v>
      </c>
      <c r="D170" s="26" t="s">
        <v>56</v>
      </c>
      <c r="E170" s="26" t="s">
        <v>63</v>
      </c>
      <c r="F170" s="26" t="s">
        <v>69</v>
      </c>
      <c r="G170" s="27" t="s">
        <v>16</v>
      </c>
      <c r="H170" s="28">
        <v>2032</v>
      </c>
      <c r="I170" s="28">
        <v>708</v>
      </c>
      <c r="J170" s="28">
        <v>345</v>
      </c>
      <c r="K170" s="28">
        <v>363</v>
      </c>
      <c r="L170" s="28">
        <v>1324</v>
      </c>
      <c r="M170" s="28">
        <v>2631</v>
      </c>
      <c r="N170" s="28">
        <v>1457</v>
      </c>
      <c r="O170" s="28">
        <v>1251</v>
      </c>
      <c r="P170" s="28">
        <v>206</v>
      </c>
      <c r="Q170" s="28">
        <v>1174</v>
      </c>
      <c r="R170" s="29">
        <v>34.842519699999997</v>
      </c>
      <c r="S170" s="29">
        <v>16.978346500000001</v>
      </c>
      <c r="T170" s="29">
        <v>17.8641732</v>
      </c>
      <c r="U170" s="29">
        <v>65.157480300000003</v>
      </c>
      <c r="V170" s="29">
        <v>55.378183200000002</v>
      </c>
      <c r="W170" s="29">
        <v>47.5484607</v>
      </c>
      <c r="X170" s="29">
        <v>7.8297224999999999</v>
      </c>
      <c r="Y170" s="29">
        <v>44.621816799999998</v>
      </c>
    </row>
    <row r="171" spans="2:25" ht="15" hidden="1" customHeight="1">
      <c r="B171" s="21">
        <v>166</v>
      </c>
      <c r="C171" s="22" t="s">
        <v>19</v>
      </c>
      <c r="D171" s="35" t="s">
        <v>56</v>
      </c>
      <c r="E171" s="35" t="s">
        <v>70</v>
      </c>
      <c r="F171" s="35"/>
      <c r="G171" s="22" t="s">
        <v>70</v>
      </c>
      <c r="H171" s="23">
        <v>18161</v>
      </c>
      <c r="I171" s="23">
        <v>4729</v>
      </c>
      <c r="J171" s="23">
        <v>2100</v>
      </c>
      <c r="K171" s="23">
        <v>2629</v>
      </c>
      <c r="L171" s="23">
        <v>13432</v>
      </c>
      <c r="M171" s="23">
        <v>25502</v>
      </c>
      <c r="N171" s="23">
        <v>10880</v>
      </c>
      <c r="O171" s="23">
        <v>8287</v>
      </c>
      <c r="P171" s="23">
        <v>2593</v>
      </c>
      <c r="Q171" s="23">
        <v>14622</v>
      </c>
      <c r="R171" s="24">
        <v>26.039314999999998</v>
      </c>
      <c r="S171" s="24">
        <v>11.563239899999999</v>
      </c>
      <c r="T171" s="24">
        <v>14.476075099999999</v>
      </c>
      <c r="U171" s="24">
        <v>73.960684999999998</v>
      </c>
      <c r="V171" s="24">
        <v>42.663320499999998</v>
      </c>
      <c r="W171" s="24">
        <v>32.495490500000002</v>
      </c>
      <c r="X171" s="24">
        <v>10.16783</v>
      </c>
      <c r="Y171" s="24">
        <v>57.336679500000002</v>
      </c>
    </row>
    <row r="172" spans="2:25" ht="15" hidden="1" customHeight="1">
      <c r="B172" s="25">
        <v>167</v>
      </c>
      <c r="C172" s="26" t="s">
        <v>19</v>
      </c>
      <c r="D172" s="26" t="s">
        <v>56</v>
      </c>
      <c r="E172" s="26" t="s">
        <v>70</v>
      </c>
      <c r="F172" s="26"/>
      <c r="G172" s="27" t="s">
        <v>15</v>
      </c>
      <c r="H172" s="28">
        <v>362</v>
      </c>
      <c r="I172" s="28">
        <v>76</v>
      </c>
      <c r="J172" s="28">
        <v>37</v>
      </c>
      <c r="K172" s="28">
        <v>39</v>
      </c>
      <c r="L172" s="28">
        <v>286</v>
      </c>
      <c r="M172" s="28">
        <v>1345</v>
      </c>
      <c r="N172" s="28">
        <v>824</v>
      </c>
      <c r="O172" s="28">
        <v>726</v>
      </c>
      <c r="P172" s="28">
        <v>98</v>
      </c>
      <c r="Q172" s="28">
        <v>521</v>
      </c>
      <c r="R172" s="29">
        <v>20.994475099999999</v>
      </c>
      <c r="S172" s="29">
        <v>10.2209945</v>
      </c>
      <c r="T172" s="29">
        <v>10.7734807</v>
      </c>
      <c r="U172" s="29">
        <v>79.005524899999998</v>
      </c>
      <c r="V172" s="29">
        <v>61.263940499999997</v>
      </c>
      <c r="W172" s="29">
        <v>53.977695199999999</v>
      </c>
      <c r="X172" s="29">
        <v>7.2862454000000003</v>
      </c>
      <c r="Y172" s="29">
        <v>38.736059500000003</v>
      </c>
    </row>
    <row r="173" spans="2:25" ht="15" hidden="1" customHeight="1">
      <c r="B173" s="25">
        <v>168</v>
      </c>
      <c r="C173" s="26" t="s">
        <v>19</v>
      </c>
      <c r="D173" s="26" t="s">
        <v>56</v>
      </c>
      <c r="E173" s="26" t="s">
        <v>70</v>
      </c>
      <c r="F173" s="26"/>
      <c r="G173" s="27" t="s">
        <v>16</v>
      </c>
      <c r="H173" s="28">
        <v>17799</v>
      </c>
      <c r="I173" s="28">
        <v>4653</v>
      </c>
      <c r="J173" s="28">
        <v>2063</v>
      </c>
      <c r="K173" s="28">
        <v>2590</v>
      </c>
      <c r="L173" s="28">
        <v>13146</v>
      </c>
      <c r="M173" s="28">
        <v>24157</v>
      </c>
      <c r="N173" s="28">
        <v>10056</v>
      </c>
      <c r="O173" s="28">
        <v>7561</v>
      </c>
      <c r="P173" s="28">
        <v>2495</v>
      </c>
      <c r="Q173" s="28">
        <v>14101</v>
      </c>
      <c r="R173" s="29">
        <v>26.141918100000002</v>
      </c>
      <c r="S173" s="29">
        <v>11.590538799999999</v>
      </c>
      <c r="T173" s="29">
        <v>14.551379300000001</v>
      </c>
      <c r="U173" s="29">
        <v>73.858081900000002</v>
      </c>
      <c r="V173" s="29">
        <v>41.6276856</v>
      </c>
      <c r="W173" s="29">
        <v>31.299416300000001</v>
      </c>
      <c r="X173" s="29">
        <v>10.328269199999999</v>
      </c>
      <c r="Y173" s="29">
        <v>58.3723144</v>
      </c>
    </row>
    <row r="174" spans="2:25" ht="15" customHeight="1">
      <c r="B174" s="30">
        <v>169</v>
      </c>
      <c r="C174" s="31" t="s">
        <v>21</v>
      </c>
      <c r="D174" s="36" t="s">
        <v>56</v>
      </c>
      <c r="E174" s="36" t="s">
        <v>70</v>
      </c>
      <c r="F174" s="36" t="s">
        <v>71</v>
      </c>
      <c r="G174" s="37" t="s">
        <v>71</v>
      </c>
      <c r="H174" s="32">
        <v>3740</v>
      </c>
      <c r="I174" s="32">
        <v>660</v>
      </c>
      <c r="J174" s="32">
        <v>377</v>
      </c>
      <c r="K174" s="32">
        <v>283</v>
      </c>
      <c r="L174" s="32">
        <v>3080</v>
      </c>
      <c r="M174" s="32">
        <v>5244</v>
      </c>
      <c r="N174" s="32">
        <v>2016</v>
      </c>
      <c r="O174" s="32">
        <v>1617</v>
      </c>
      <c r="P174" s="32">
        <v>399</v>
      </c>
      <c r="Q174" s="32">
        <v>3228</v>
      </c>
      <c r="R174" s="33">
        <v>17.6470588</v>
      </c>
      <c r="S174" s="33">
        <v>10.0802139</v>
      </c>
      <c r="T174" s="33">
        <v>7.5668449000000004</v>
      </c>
      <c r="U174" s="33">
        <v>82.352941200000004</v>
      </c>
      <c r="V174" s="33">
        <v>38.4439359</v>
      </c>
      <c r="W174" s="33">
        <v>30.835240299999999</v>
      </c>
      <c r="X174" s="33">
        <v>7.6086957000000002</v>
      </c>
      <c r="Y174" s="33">
        <v>61.5560641</v>
      </c>
    </row>
    <row r="175" spans="2:25" ht="15" hidden="1" customHeight="1">
      <c r="B175" s="25">
        <v>170</v>
      </c>
      <c r="C175" s="26" t="s">
        <v>21</v>
      </c>
      <c r="D175" s="26" t="s">
        <v>56</v>
      </c>
      <c r="E175" s="26" t="s">
        <v>70</v>
      </c>
      <c r="F175" s="26" t="s">
        <v>71</v>
      </c>
      <c r="G175" s="27" t="s">
        <v>15</v>
      </c>
      <c r="H175" s="28"/>
      <c r="I175" s="28"/>
      <c r="J175" s="28"/>
      <c r="K175" s="28"/>
      <c r="L175" s="28"/>
      <c r="M175" s="28">
        <v>857</v>
      </c>
      <c r="N175" s="28">
        <v>619</v>
      </c>
      <c r="O175" s="28">
        <v>553</v>
      </c>
      <c r="P175" s="28">
        <v>66</v>
      </c>
      <c r="Q175" s="28">
        <v>238</v>
      </c>
      <c r="R175" s="29"/>
      <c r="S175" s="29"/>
      <c r="T175" s="29"/>
      <c r="U175" s="29"/>
      <c r="V175" s="29">
        <v>72.228704800000003</v>
      </c>
      <c r="W175" s="29">
        <v>64.527421200000006</v>
      </c>
      <c r="X175" s="29">
        <v>7.7012834999999997</v>
      </c>
      <c r="Y175" s="29">
        <v>27.771295200000001</v>
      </c>
    </row>
    <row r="176" spans="2:25" ht="15" hidden="1" customHeight="1">
      <c r="B176" s="25">
        <v>171</v>
      </c>
      <c r="C176" s="26" t="s">
        <v>21</v>
      </c>
      <c r="D176" s="26" t="s">
        <v>56</v>
      </c>
      <c r="E176" s="26" t="s">
        <v>70</v>
      </c>
      <c r="F176" s="26" t="s">
        <v>71</v>
      </c>
      <c r="G176" s="27" t="s">
        <v>16</v>
      </c>
      <c r="H176" s="28">
        <v>3740</v>
      </c>
      <c r="I176" s="28">
        <v>660</v>
      </c>
      <c r="J176" s="28">
        <v>377</v>
      </c>
      <c r="K176" s="28">
        <v>283</v>
      </c>
      <c r="L176" s="28">
        <v>3080</v>
      </c>
      <c r="M176" s="28">
        <v>4387</v>
      </c>
      <c r="N176" s="28">
        <v>1397</v>
      </c>
      <c r="O176" s="28">
        <v>1064</v>
      </c>
      <c r="P176" s="28">
        <v>333</v>
      </c>
      <c r="Q176" s="28">
        <v>2990</v>
      </c>
      <c r="R176" s="29">
        <v>17.6470588</v>
      </c>
      <c r="S176" s="29">
        <v>10.0802139</v>
      </c>
      <c r="T176" s="29">
        <v>7.5668449000000004</v>
      </c>
      <c r="U176" s="29">
        <v>82.352941200000004</v>
      </c>
      <c r="V176" s="29">
        <v>31.844084800000001</v>
      </c>
      <c r="W176" s="29">
        <v>24.253476200000001</v>
      </c>
      <c r="X176" s="29">
        <v>7.5906086000000004</v>
      </c>
      <c r="Y176" s="29">
        <v>68.155915199999995</v>
      </c>
    </row>
    <row r="177" spans="2:25" ht="15" customHeight="1">
      <c r="B177" s="30">
        <v>172</v>
      </c>
      <c r="C177" s="31" t="s">
        <v>21</v>
      </c>
      <c r="D177" s="36" t="s">
        <v>56</v>
      </c>
      <c r="E177" s="36" t="s">
        <v>70</v>
      </c>
      <c r="F177" s="36" t="s">
        <v>72</v>
      </c>
      <c r="G177" s="37" t="s">
        <v>72</v>
      </c>
      <c r="H177" s="32">
        <v>4269</v>
      </c>
      <c r="I177" s="32">
        <v>1545</v>
      </c>
      <c r="J177" s="32">
        <v>792</v>
      </c>
      <c r="K177" s="32">
        <v>753</v>
      </c>
      <c r="L177" s="32">
        <v>2724</v>
      </c>
      <c r="M177" s="32">
        <v>5233</v>
      </c>
      <c r="N177" s="32">
        <v>2663</v>
      </c>
      <c r="O177" s="32">
        <v>1917</v>
      </c>
      <c r="P177" s="32">
        <v>746</v>
      </c>
      <c r="Q177" s="32">
        <v>2570</v>
      </c>
      <c r="R177" s="33">
        <v>36.191145499999998</v>
      </c>
      <c r="S177" s="33">
        <v>18.5523542</v>
      </c>
      <c r="T177" s="33">
        <v>17.638791300000001</v>
      </c>
      <c r="U177" s="33">
        <v>63.808854500000002</v>
      </c>
      <c r="V177" s="33">
        <v>50.888591599999998</v>
      </c>
      <c r="W177" s="33">
        <v>36.632906599999998</v>
      </c>
      <c r="X177" s="33">
        <v>14.255685100000001</v>
      </c>
      <c r="Y177" s="33">
        <v>49.111408400000002</v>
      </c>
    </row>
    <row r="178" spans="2:25" ht="15" hidden="1" customHeight="1">
      <c r="B178" s="25">
        <v>173</v>
      </c>
      <c r="C178" s="26" t="s">
        <v>21</v>
      </c>
      <c r="D178" s="26" t="s">
        <v>56</v>
      </c>
      <c r="E178" s="26" t="s">
        <v>70</v>
      </c>
      <c r="F178" s="26" t="s">
        <v>72</v>
      </c>
      <c r="G178" s="27" t="s">
        <v>15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9"/>
      <c r="S178" s="29"/>
      <c r="T178" s="29"/>
      <c r="U178" s="29"/>
      <c r="V178" s="29"/>
      <c r="W178" s="29"/>
      <c r="X178" s="29"/>
      <c r="Y178" s="29"/>
    </row>
    <row r="179" spans="2:25" ht="15" hidden="1" customHeight="1">
      <c r="B179" s="25">
        <v>174</v>
      </c>
      <c r="C179" s="26" t="s">
        <v>21</v>
      </c>
      <c r="D179" s="26" t="s">
        <v>56</v>
      </c>
      <c r="E179" s="26" t="s">
        <v>70</v>
      </c>
      <c r="F179" s="26" t="s">
        <v>72</v>
      </c>
      <c r="G179" s="27" t="s">
        <v>16</v>
      </c>
      <c r="H179" s="28">
        <v>4269</v>
      </c>
      <c r="I179" s="28">
        <v>1545</v>
      </c>
      <c r="J179" s="28">
        <v>792</v>
      </c>
      <c r="K179" s="28">
        <v>753</v>
      </c>
      <c r="L179" s="28">
        <v>2724</v>
      </c>
      <c r="M179" s="28">
        <v>5233</v>
      </c>
      <c r="N179" s="28">
        <v>2663</v>
      </c>
      <c r="O179" s="28">
        <v>1917</v>
      </c>
      <c r="P179" s="28">
        <v>746</v>
      </c>
      <c r="Q179" s="28">
        <v>2570</v>
      </c>
      <c r="R179" s="29">
        <v>36.191145499999998</v>
      </c>
      <c r="S179" s="29">
        <v>18.5523542</v>
      </c>
      <c r="T179" s="29">
        <v>17.638791300000001</v>
      </c>
      <c r="U179" s="29">
        <v>63.808854500000002</v>
      </c>
      <c r="V179" s="29">
        <v>50.888591599999998</v>
      </c>
      <c r="W179" s="29">
        <v>36.632906599999998</v>
      </c>
      <c r="X179" s="29">
        <v>14.255685100000001</v>
      </c>
      <c r="Y179" s="29">
        <v>49.111408400000002</v>
      </c>
    </row>
    <row r="180" spans="2:25" ht="15" customHeight="1">
      <c r="B180" s="30">
        <v>175</v>
      </c>
      <c r="C180" s="31" t="s">
        <v>21</v>
      </c>
      <c r="D180" s="36" t="s">
        <v>56</v>
      </c>
      <c r="E180" s="36" t="s">
        <v>70</v>
      </c>
      <c r="F180" s="36" t="s">
        <v>73</v>
      </c>
      <c r="G180" s="37" t="s">
        <v>73</v>
      </c>
      <c r="H180" s="32">
        <v>3533</v>
      </c>
      <c r="I180" s="32">
        <v>1293</v>
      </c>
      <c r="J180" s="32">
        <v>390</v>
      </c>
      <c r="K180" s="32">
        <v>903</v>
      </c>
      <c r="L180" s="32">
        <v>2240</v>
      </c>
      <c r="M180" s="32">
        <v>5108</v>
      </c>
      <c r="N180" s="32">
        <v>2592</v>
      </c>
      <c r="O180" s="32">
        <v>1845</v>
      </c>
      <c r="P180" s="32">
        <v>747</v>
      </c>
      <c r="Q180" s="32">
        <v>2516</v>
      </c>
      <c r="R180" s="33">
        <v>36.597792200000001</v>
      </c>
      <c r="S180" s="33">
        <v>11.0387772</v>
      </c>
      <c r="T180" s="33">
        <v>25.559014999999999</v>
      </c>
      <c r="U180" s="33">
        <v>63.402207799999999</v>
      </c>
      <c r="V180" s="33">
        <v>50.743931099999998</v>
      </c>
      <c r="W180" s="33">
        <v>36.119812099999997</v>
      </c>
      <c r="X180" s="33">
        <v>14.624119</v>
      </c>
      <c r="Y180" s="33">
        <v>49.256068900000002</v>
      </c>
    </row>
    <row r="181" spans="2:25" ht="15" hidden="1" customHeight="1">
      <c r="B181" s="25">
        <v>176</v>
      </c>
      <c r="C181" s="26" t="s">
        <v>21</v>
      </c>
      <c r="D181" s="26" t="s">
        <v>56</v>
      </c>
      <c r="E181" s="26" t="s">
        <v>70</v>
      </c>
      <c r="F181" s="26" t="s">
        <v>73</v>
      </c>
      <c r="G181" s="27" t="s">
        <v>15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9"/>
      <c r="S181" s="29"/>
      <c r="T181" s="29"/>
      <c r="U181" s="29"/>
      <c r="V181" s="29"/>
      <c r="W181" s="29"/>
      <c r="X181" s="29"/>
      <c r="Y181" s="29"/>
    </row>
    <row r="182" spans="2:25" ht="15" hidden="1" customHeight="1">
      <c r="B182" s="25">
        <v>177</v>
      </c>
      <c r="C182" s="26" t="s">
        <v>21</v>
      </c>
      <c r="D182" s="26" t="s">
        <v>56</v>
      </c>
      <c r="E182" s="26" t="s">
        <v>70</v>
      </c>
      <c r="F182" s="26" t="s">
        <v>73</v>
      </c>
      <c r="G182" s="27" t="s">
        <v>16</v>
      </c>
      <c r="H182" s="28">
        <v>3533</v>
      </c>
      <c r="I182" s="28">
        <v>1293</v>
      </c>
      <c r="J182" s="28">
        <v>390</v>
      </c>
      <c r="K182" s="28">
        <v>903</v>
      </c>
      <c r="L182" s="28">
        <v>2240</v>
      </c>
      <c r="M182" s="28">
        <v>5108</v>
      </c>
      <c r="N182" s="28">
        <v>2592</v>
      </c>
      <c r="O182" s="28">
        <v>1845</v>
      </c>
      <c r="P182" s="28">
        <v>747</v>
      </c>
      <c r="Q182" s="28">
        <v>2516</v>
      </c>
      <c r="R182" s="29">
        <v>36.597792200000001</v>
      </c>
      <c r="S182" s="29">
        <v>11.0387772</v>
      </c>
      <c r="T182" s="29">
        <v>25.559014999999999</v>
      </c>
      <c r="U182" s="29">
        <v>63.402207799999999</v>
      </c>
      <c r="V182" s="29">
        <v>50.743931099999998</v>
      </c>
      <c r="W182" s="29">
        <v>36.119812099999997</v>
      </c>
      <c r="X182" s="29">
        <v>14.624119</v>
      </c>
      <c r="Y182" s="29">
        <v>49.256068900000002</v>
      </c>
    </row>
    <row r="183" spans="2:25" ht="15" customHeight="1">
      <c r="B183" s="30">
        <v>178</v>
      </c>
      <c r="C183" s="31" t="s">
        <v>21</v>
      </c>
      <c r="D183" s="36" t="s">
        <v>56</v>
      </c>
      <c r="E183" s="36" t="s">
        <v>70</v>
      </c>
      <c r="F183" s="36" t="s">
        <v>74</v>
      </c>
      <c r="G183" s="37" t="s">
        <v>74</v>
      </c>
      <c r="H183" s="32">
        <v>1311</v>
      </c>
      <c r="I183" s="32">
        <v>330</v>
      </c>
      <c r="J183" s="32">
        <v>205</v>
      </c>
      <c r="K183" s="32">
        <v>125</v>
      </c>
      <c r="L183" s="32">
        <v>981</v>
      </c>
      <c r="M183" s="32">
        <v>1930</v>
      </c>
      <c r="N183" s="32">
        <v>971</v>
      </c>
      <c r="O183" s="32">
        <v>777</v>
      </c>
      <c r="P183" s="32">
        <v>194</v>
      </c>
      <c r="Q183" s="32">
        <v>959</v>
      </c>
      <c r="R183" s="33">
        <v>25.171624699999999</v>
      </c>
      <c r="S183" s="33">
        <v>15.636918400000001</v>
      </c>
      <c r="T183" s="33">
        <v>9.5347062999999999</v>
      </c>
      <c r="U183" s="33">
        <v>74.828375300000005</v>
      </c>
      <c r="V183" s="33">
        <v>50.3108808</v>
      </c>
      <c r="W183" s="33">
        <v>40.259067399999999</v>
      </c>
      <c r="X183" s="33">
        <v>10.0518135</v>
      </c>
      <c r="Y183" s="33">
        <v>49.6891192</v>
      </c>
    </row>
    <row r="184" spans="2:25" ht="15" hidden="1" customHeight="1">
      <c r="B184" s="25">
        <v>179</v>
      </c>
      <c r="C184" s="26" t="s">
        <v>21</v>
      </c>
      <c r="D184" s="26" t="s">
        <v>56</v>
      </c>
      <c r="E184" s="26" t="s">
        <v>70</v>
      </c>
      <c r="F184" s="26" t="s">
        <v>74</v>
      </c>
      <c r="G184" s="27" t="s">
        <v>15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9"/>
      <c r="S184" s="29"/>
      <c r="T184" s="29"/>
      <c r="U184" s="29"/>
      <c r="V184" s="29"/>
      <c r="W184" s="29"/>
      <c r="X184" s="29"/>
      <c r="Y184" s="29"/>
    </row>
    <row r="185" spans="2:25" ht="15" hidden="1" customHeight="1">
      <c r="B185" s="25">
        <v>180</v>
      </c>
      <c r="C185" s="26" t="s">
        <v>21</v>
      </c>
      <c r="D185" s="26" t="s">
        <v>56</v>
      </c>
      <c r="E185" s="26" t="s">
        <v>70</v>
      </c>
      <c r="F185" s="26" t="s">
        <v>74</v>
      </c>
      <c r="G185" s="27" t="s">
        <v>16</v>
      </c>
      <c r="H185" s="28">
        <v>1311</v>
      </c>
      <c r="I185" s="28">
        <v>330</v>
      </c>
      <c r="J185" s="28">
        <v>205</v>
      </c>
      <c r="K185" s="28">
        <v>125</v>
      </c>
      <c r="L185" s="28">
        <v>981</v>
      </c>
      <c r="M185" s="28">
        <v>1930</v>
      </c>
      <c r="N185" s="28">
        <v>971</v>
      </c>
      <c r="O185" s="28">
        <v>777</v>
      </c>
      <c r="P185" s="28">
        <v>194</v>
      </c>
      <c r="Q185" s="28">
        <v>959</v>
      </c>
      <c r="R185" s="29">
        <v>25.171624699999999</v>
      </c>
      <c r="S185" s="29">
        <v>15.636918400000001</v>
      </c>
      <c r="T185" s="29">
        <v>9.5347062999999999</v>
      </c>
      <c r="U185" s="29">
        <v>74.828375300000005</v>
      </c>
      <c r="V185" s="29">
        <v>50.3108808</v>
      </c>
      <c r="W185" s="29">
        <v>40.259067399999999</v>
      </c>
      <c r="X185" s="29">
        <v>10.0518135</v>
      </c>
      <c r="Y185" s="29">
        <v>49.6891192</v>
      </c>
    </row>
    <row r="186" spans="2:25" ht="15" customHeight="1">
      <c r="B186" s="30">
        <v>181</v>
      </c>
      <c r="C186" s="31" t="s">
        <v>21</v>
      </c>
      <c r="D186" s="36" t="s">
        <v>56</v>
      </c>
      <c r="E186" s="36" t="s">
        <v>70</v>
      </c>
      <c r="F186" s="36" t="s">
        <v>75</v>
      </c>
      <c r="G186" s="37" t="s">
        <v>75</v>
      </c>
      <c r="H186" s="32">
        <v>1159</v>
      </c>
      <c r="I186" s="32">
        <v>272</v>
      </c>
      <c r="J186" s="32">
        <v>125</v>
      </c>
      <c r="K186" s="32">
        <v>147</v>
      </c>
      <c r="L186" s="32">
        <v>887</v>
      </c>
      <c r="M186" s="32">
        <v>1742</v>
      </c>
      <c r="N186" s="32">
        <v>865</v>
      </c>
      <c r="O186" s="32">
        <v>624</v>
      </c>
      <c r="P186" s="32">
        <v>241</v>
      </c>
      <c r="Q186" s="32">
        <v>877</v>
      </c>
      <c r="R186" s="33">
        <v>23.468507299999999</v>
      </c>
      <c r="S186" s="33">
        <v>10.7851596</v>
      </c>
      <c r="T186" s="33">
        <v>12.683347700000001</v>
      </c>
      <c r="U186" s="33">
        <v>76.531492700000001</v>
      </c>
      <c r="V186" s="33">
        <v>49.655568299999999</v>
      </c>
      <c r="W186" s="33">
        <v>35.820895499999999</v>
      </c>
      <c r="X186" s="33">
        <v>13.8346728</v>
      </c>
      <c r="Y186" s="33">
        <v>50.344431700000001</v>
      </c>
    </row>
    <row r="187" spans="2:25" ht="15" hidden="1" customHeight="1">
      <c r="B187" s="25">
        <v>182</v>
      </c>
      <c r="C187" s="26" t="s">
        <v>21</v>
      </c>
      <c r="D187" s="26" t="s">
        <v>56</v>
      </c>
      <c r="E187" s="26" t="s">
        <v>70</v>
      </c>
      <c r="F187" s="26" t="s">
        <v>75</v>
      </c>
      <c r="G187" s="27" t="s">
        <v>15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9"/>
      <c r="S187" s="29"/>
      <c r="T187" s="29"/>
      <c r="U187" s="29"/>
      <c r="V187" s="29"/>
      <c r="W187" s="29"/>
      <c r="X187" s="29"/>
      <c r="Y187" s="29"/>
    </row>
    <row r="188" spans="2:25" ht="15" hidden="1" customHeight="1">
      <c r="B188" s="25">
        <v>183</v>
      </c>
      <c r="C188" s="26" t="s">
        <v>21</v>
      </c>
      <c r="D188" s="26" t="s">
        <v>56</v>
      </c>
      <c r="E188" s="26" t="s">
        <v>70</v>
      </c>
      <c r="F188" s="26" t="s">
        <v>75</v>
      </c>
      <c r="G188" s="27" t="s">
        <v>16</v>
      </c>
      <c r="H188" s="28">
        <v>1159</v>
      </c>
      <c r="I188" s="28">
        <v>272</v>
      </c>
      <c r="J188" s="28">
        <v>125</v>
      </c>
      <c r="K188" s="28">
        <v>147</v>
      </c>
      <c r="L188" s="28">
        <v>887</v>
      </c>
      <c r="M188" s="28">
        <v>1742</v>
      </c>
      <c r="N188" s="28">
        <v>865</v>
      </c>
      <c r="O188" s="28">
        <v>624</v>
      </c>
      <c r="P188" s="28">
        <v>241</v>
      </c>
      <c r="Q188" s="28">
        <v>877</v>
      </c>
      <c r="R188" s="29">
        <v>23.468507299999999</v>
      </c>
      <c r="S188" s="29">
        <v>10.7851596</v>
      </c>
      <c r="T188" s="29">
        <v>12.683347700000001</v>
      </c>
      <c r="U188" s="29">
        <v>76.531492700000001</v>
      </c>
      <c r="V188" s="29">
        <v>49.655568299999999</v>
      </c>
      <c r="W188" s="29">
        <v>35.820895499999999</v>
      </c>
      <c r="X188" s="29">
        <v>13.8346728</v>
      </c>
      <c r="Y188" s="29">
        <v>50.344431700000001</v>
      </c>
    </row>
    <row r="189" spans="2:25" ht="15" customHeight="1">
      <c r="B189" s="30">
        <v>184</v>
      </c>
      <c r="C189" s="31" t="s">
        <v>21</v>
      </c>
      <c r="D189" s="36" t="s">
        <v>56</v>
      </c>
      <c r="E189" s="36" t="s">
        <v>70</v>
      </c>
      <c r="F189" s="36" t="s">
        <v>76</v>
      </c>
      <c r="G189" s="37" t="s">
        <v>76</v>
      </c>
      <c r="H189" s="32">
        <v>1070</v>
      </c>
      <c r="I189" s="32">
        <v>176</v>
      </c>
      <c r="J189" s="32">
        <v>87</v>
      </c>
      <c r="K189" s="32">
        <v>89</v>
      </c>
      <c r="L189" s="32">
        <v>894</v>
      </c>
      <c r="M189" s="32">
        <v>1463</v>
      </c>
      <c r="N189" s="32">
        <v>580</v>
      </c>
      <c r="O189" s="32">
        <v>501</v>
      </c>
      <c r="P189" s="32">
        <v>79</v>
      </c>
      <c r="Q189" s="32">
        <v>883</v>
      </c>
      <c r="R189" s="33">
        <v>16.448598100000002</v>
      </c>
      <c r="S189" s="33">
        <v>8.1308410999999996</v>
      </c>
      <c r="T189" s="33">
        <v>8.3177570000000003</v>
      </c>
      <c r="U189" s="33">
        <v>83.551401900000002</v>
      </c>
      <c r="V189" s="33">
        <v>39.644565999999998</v>
      </c>
      <c r="W189" s="33">
        <v>34.244702699999998</v>
      </c>
      <c r="X189" s="33">
        <v>5.3998632999999998</v>
      </c>
      <c r="Y189" s="33">
        <v>60.355434000000002</v>
      </c>
    </row>
    <row r="190" spans="2:25" ht="15" hidden="1" customHeight="1">
      <c r="B190" s="25">
        <v>185</v>
      </c>
      <c r="C190" s="26" t="s">
        <v>21</v>
      </c>
      <c r="D190" s="26" t="s">
        <v>56</v>
      </c>
      <c r="E190" s="26" t="s">
        <v>70</v>
      </c>
      <c r="F190" s="26" t="s">
        <v>76</v>
      </c>
      <c r="G190" s="27" t="s">
        <v>15</v>
      </c>
      <c r="H190" s="28">
        <v>362</v>
      </c>
      <c r="I190" s="28">
        <v>76</v>
      </c>
      <c r="J190" s="28">
        <v>37</v>
      </c>
      <c r="K190" s="28">
        <v>39</v>
      </c>
      <c r="L190" s="28">
        <v>286</v>
      </c>
      <c r="M190" s="28">
        <v>488</v>
      </c>
      <c r="N190" s="28">
        <v>205</v>
      </c>
      <c r="O190" s="28">
        <v>173</v>
      </c>
      <c r="P190" s="28">
        <v>32</v>
      </c>
      <c r="Q190" s="28">
        <v>283</v>
      </c>
      <c r="R190" s="29">
        <v>20.994475099999999</v>
      </c>
      <c r="S190" s="29">
        <v>10.2209945</v>
      </c>
      <c r="T190" s="29">
        <v>10.7734807</v>
      </c>
      <c r="U190" s="29">
        <v>79.005524899999998</v>
      </c>
      <c r="V190" s="29">
        <v>42.008196699999999</v>
      </c>
      <c r="W190" s="29">
        <v>35.450819699999997</v>
      </c>
      <c r="X190" s="29">
        <v>6.5573769999999998</v>
      </c>
      <c r="Y190" s="29">
        <v>57.991803300000001</v>
      </c>
    </row>
    <row r="191" spans="2:25" ht="15" hidden="1" customHeight="1">
      <c r="B191" s="25">
        <v>186</v>
      </c>
      <c r="C191" s="26" t="s">
        <v>21</v>
      </c>
      <c r="D191" s="26" t="s">
        <v>56</v>
      </c>
      <c r="E191" s="26" t="s">
        <v>70</v>
      </c>
      <c r="F191" s="26" t="s">
        <v>76</v>
      </c>
      <c r="G191" s="27" t="s">
        <v>16</v>
      </c>
      <c r="H191" s="28">
        <v>708</v>
      </c>
      <c r="I191" s="28">
        <v>100</v>
      </c>
      <c r="J191" s="28">
        <v>50</v>
      </c>
      <c r="K191" s="28">
        <v>50</v>
      </c>
      <c r="L191" s="28">
        <v>608</v>
      </c>
      <c r="M191" s="28">
        <v>975</v>
      </c>
      <c r="N191" s="28">
        <v>375</v>
      </c>
      <c r="O191" s="28">
        <v>328</v>
      </c>
      <c r="P191" s="28">
        <v>47</v>
      </c>
      <c r="Q191" s="28">
        <v>600</v>
      </c>
      <c r="R191" s="29">
        <v>14.1242938</v>
      </c>
      <c r="S191" s="29">
        <v>7.0621469000000001</v>
      </c>
      <c r="T191" s="29">
        <v>7.0621469000000001</v>
      </c>
      <c r="U191" s="29">
        <v>85.875706199999996</v>
      </c>
      <c r="V191" s="29">
        <v>38.461538500000003</v>
      </c>
      <c r="W191" s="29">
        <v>33.641025599999999</v>
      </c>
      <c r="X191" s="29">
        <v>4.8205128000000004</v>
      </c>
      <c r="Y191" s="29">
        <v>61.538461499999997</v>
      </c>
    </row>
    <row r="192" spans="2:25" ht="15" customHeight="1">
      <c r="B192" s="30">
        <v>187</v>
      </c>
      <c r="C192" s="31" t="s">
        <v>21</v>
      </c>
      <c r="D192" s="36" t="s">
        <v>56</v>
      </c>
      <c r="E192" s="36" t="s">
        <v>70</v>
      </c>
      <c r="F192" s="36" t="s">
        <v>77</v>
      </c>
      <c r="G192" s="37" t="s">
        <v>77</v>
      </c>
      <c r="H192" s="32">
        <v>289</v>
      </c>
      <c r="I192" s="32">
        <v>130</v>
      </c>
      <c r="J192" s="32">
        <v>14</v>
      </c>
      <c r="K192" s="32">
        <v>116</v>
      </c>
      <c r="L192" s="32">
        <v>159</v>
      </c>
      <c r="M192" s="32">
        <v>1213</v>
      </c>
      <c r="N192" s="32">
        <v>547</v>
      </c>
      <c r="O192" s="32">
        <v>498</v>
      </c>
      <c r="P192" s="32">
        <v>49</v>
      </c>
      <c r="Q192" s="32">
        <v>666</v>
      </c>
      <c r="R192" s="33">
        <v>44.982698999999997</v>
      </c>
      <c r="S192" s="33">
        <v>4.8442907000000002</v>
      </c>
      <c r="T192" s="33">
        <v>40.138408300000002</v>
      </c>
      <c r="U192" s="33">
        <v>55.017301000000003</v>
      </c>
      <c r="V192" s="33">
        <v>45.094806300000002</v>
      </c>
      <c r="W192" s="33">
        <v>41.055235000000003</v>
      </c>
      <c r="X192" s="33">
        <v>4.0395713000000004</v>
      </c>
      <c r="Y192" s="33">
        <v>54.905193699999998</v>
      </c>
    </row>
    <row r="193" spans="2:25" ht="15" hidden="1" customHeight="1">
      <c r="B193" s="25">
        <v>188</v>
      </c>
      <c r="C193" s="26" t="s">
        <v>21</v>
      </c>
      <c r="D193" s="26" t="s">
        <v>56</v>
      </c>
      <c r="E193" s="26" t="s">
        <v>70</v>
      </c>
      <c r="F193" s="26" t="s">
        <v>77</v>
      </c>
      <c r="G193" s="27" t="s">
        <v>15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9"/>
      <c r="S193" s="29"/>
      <c r="T193" s="29"/>
      <c r="U193" s="29"/>
      <c r="V193" s="29"/>
      <c r="W193" s="29"/>
      <c r="X193" s="29"/>
      <c r="Y193" s="29"/>
    </row>
    <row r="194" spans="2:25" ht="15" hidden="1" customHeight="1">
      <c r="B194" s="25">
        <v>189</v>
      </c>
      <c r="C194" s="26" t="s">
        <v>21</v>
      </c>
      <c r="D194" s="26" t="s">
        <v>56</v>
      </c>
      <c r="E194" s="26" t="s">
        <v>70</v>
      </c>
      <c r="F194" s="26" t="s">
        <v>77</v>
      </c>
      <c r="G194" s="27" t="s">
        <v>16</v>
      </c>
      <c r="H194" s="28">
        <v>289</v>
      </c>
      <c r="I194" s="28">
        <v>130</v>
      </c>
      <c r="J194" s="28">
        <v>14</v>
      </c>
      <c r="K194" s="28">
        <v>116</v>
      </c>
      <c r="L194" s="28">
        <v>159</v>
      </c>
      <c r="M194" s="28">
        <v>1213</v>
      </c>
      <c r="N194" s="28">
        <v>547</v>
      </c>
      <c r="O194" s="28">
        <v>498</v>
      </c>
      <c r="P194" s="28">
        <v>49</v>
      </c>
      <c r="Q194" s="28">
        <v>666</v>
      </c>
      <c r="R194" s="29">
        <v>44.982698999999997</v>
      </c>
      <c r="S194" s="29">
        <v>4.8442907000000002</v>
      </c>
      <c r="T194" s="29">
        <v>40.138408300000002</v>
      </c>
      <c r="U194" s="29">
        <v>55.017301000000003</v>
      </c>
      <c r="V194" s="29">
        <v>45.094806300000002</v>
      </c>
      <c r="W194" s="29">
        <v>41.055235000000003</v>
      </c>
      <c r="X194" s="29">
        <v>4.0395713000000004</v>
      </c>
      <c r="Y194" s="29">
        <v>54.905193699999998</v>
      </c>
    </row>
    <row r="195" spans="2:25" ht="15" customHeight="1">
      <c r="B195" s="30">
        <v>190</v>
      </c>
      <c r="C195" s="31" t="s">
        <v>21</v>
      </c>
      <c r="D195" s="36" t="s">
        <v>56</v>
      </c>
      <c r="E195" s="36" t="s">
        <v>70</v>
      </c>
      <c r="F195" s="36" t="s">
        <v>78</v>
      </c>
      <c r="G195" s="37" t="s">
        <v>78</v>
      </c>
      <c r="H195" s="32">
        <v>2790</v>
      </c>
      <c r="I195" s="32">
        <v>323</v>
      </c>
      <c r="J195" s="32">
        <v>110</v>
      </c>
      <c r="K195" s="32">
        <v>213</v>
      </c>
      <c r="L195" s="32">
        <v>2467</v>
      </c>
      <c r="M195" s="32">
        <v>3569</v>
      </c>
      <c r="N195" s="32">
        <v>646</v>
      </c>
      <c r="O195" s="32">
        <v>508</v>
      </c>
      <c r="P195" s="32">
        <v>138</v>
      </c>
      <c r="Q195" s="32">
        <v>2923</v>
      </c>
      <c r="R195" s="33">
        <v>11.577060899999999</v>
      </c>
      <c r="S195" s="33">
        <v>3.9426523000000002</v>
      </c>
      <c r="T195" s="33">
        <v>7.6344086000000004</v>
      </c>
      <c r="U195" s="33">
        <v>88.422939099999994</v>
      </c>
      <c r="V195" s="33">
        <v>18.100308200000001</v>
      </c>
      <c r="W195" s="33">
        <v>14.233678899999999</v>
      </c>
      <c r="X195" s="33">
        <v>3.8666293</v>
      </c>
      <c r="Y195" s="33">
        <v>81.899691799999999</v>
      </c>
    </row>
    <row r="196" spans="2:25" ht="15" hidden="1" customHeight="1">
      <c r="B196" s="25">
        <v>191</v>
      </c>
      <c r="C196" s="26" t="s">
        <v>21</v>
      </c>
      <c r="D196" s="26" t="s">
        <v>56</v>
      </c>
      <c r="E196" s="26" t="s">
        <v>70</v>
      </c>
      <c r="F196" s="26" t="s">
        <v>78</v>
      </c>
      <c r="G196" s="27" t="s">
        <v>15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9"/>
      <c r="S196" s="29"/>
      <c r="T196" s="29"/>
      <c r="U196" s="29"/>
      <c r="V196" s="29"/>
      <c r="W196" s="29"/>
      <c r="X196" s="29"/>
      <c r="Y196" s="29"/>
    </row>
    <row r="197" spans="2:25" ht="15" hidden="1" customHeight="1">
      <c r="B197" s="25">
        <v>192</v>
      </c>
      <c r="C197" s="26" t="s">
        <v>21</v>
      </c>
      <c r="D197" s="26" t="s">
        <v>56</v>
      </c>
      <c r="E197" s="26" t="s">
        <v>70</v>
      </c>
      <c r="F197" s="26" t="s">
        <v>78</v>
      </c>
      <c r="G197" s="27" t="s">
        <v>16</v>
      </c>
      <c r="H197" s="28">
        <v>2790</v>
      </c>
      <c r="I197" s="28">
        <v>323</v>
      </c>
      <c r="J197" s="28">
        <v>110</v>
      </c>
      <c r="K197" s="28">
        <v>213</v>
      </c>
      <c r="L197" s="28">
        <v>2467</v>
      </c>
      <c r="M197" s="28">
        <v>3569</v>
      </c>
      <c r="N197" s="28">
        <v>646</v>
      </c>
      <c r="O197" s="28">
        <v>508</v>
      </c>
      <c r="P197" s="28">
        <v>138</v>
      </c>
      <c r="Q197" s="28">
        <v>2923</v>
      </c>
      <c r="R197" s="29">
        <v>11.577060899999999</v>
      </c>
      <c r="S197" s="29">
        <v>3.9426523000000002</v>
      </c>
      <c r="T197" s="29">
        <v>7.6344086000000004</v>
      </c>
      <c r="U197" s="29">
        <v>88.422939099999994</v>
      </c>
      <c r="V197" s="29">
        <v>18.100308200000001</v>
      </c>
      <c r="W197" s="29">
        <v>14.233678899999999</v>
      </c>
      <c r="X197" s="29">
        <v>3.8666293</v>
      </c>
      <c r="Y197" s="29">
        <v>81.899691799999999</v>
      </c>
    </row>
    <row r="198" spans="2:25" ht="15" hidden="1" customHeight="1">
      <c r="B198" s="21">
        <v>193</v>
      </c>
      <c r="C198" s="22" t="s">
        <v>19</v>
      </c>
      <c r="D198" s="35" t="s">
        <v>56</v>
      </c>
      <c r="E198" s="35" t="s">
        <v>79</v>
      </c>
      <c r="F198" s="35"/>
      <c r="G198" s="22" t="s">
        <v>79</v>
      </c>
      <c r="H198" s="23">
        <v>22099</v>
      </c>
      <c r="I198" s="23">
        <v>4618</v>
      </c>
      <c r="J198" s="23">
        <v>2894</v>
      </c>
      <c r="K198" s="23">
        <v>1724</v>
      </c>
      <c r="L198" s="23">
        <v>17481</v>
      </c>
      <c r="M198" s="23">
        <v>28325</v>
      </c>
      <c r="N198" s="23">
        <v>10081</v>
      </c>
      <c r="O198" s="23">
        <v>8973</v>
      </c>
      <c r="P198" s="23">
        <v>1108</v>
      </c>
      <c r="Q198" s="23">
        <v>18244</v>
      </c>
      <c r="R198" s="24">
        <v>20.896873200000002</v>
      </c>
      <c r="S198" s="24">
        <v>13.095615199999999</v>
      </c>
      <c r="T198" s="24">
        <v>7.8012579999999998</v>
      </c>
      <c r="U198" s="24">
        <v>79.103126799999998</v>
      </c>
      <c r="V198" s="24">
        <v>35.590467799999999</v>
      </c>
      <c r="W198" s="24">
        <v>31.678729000000001</v>
      </c>
      <c r="X198" s="24">
        <v>3.9117386999999999</v>
      </c>
      <c r="Y198" s="24">
        <v>64.409532200000001</v>
      </c>
    </row>
    <row r="199" spans="2:25" ht="15" hidden="1" customHeight="1">
      <c r="B199" s="25">
        <v>194</v>
      </c>
      <c r="C199" s="26" t="s">
        <v>19</v>
      </c>
      <c r="D199" s="26" t="s">
        <v>56</v>
      </c>
      <c r="E199" s="26" t="s">
        <v>79</v>
      </c>
      <c r="F199" s="26"/>
      <c r="G199" s="27" t="s">
        <v>15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9"/>
      <c r="S199" s="29"/>
      <c r="T199" s="29"/>
      <c r="U199" s="29"/>
      <c r="V199" s="29"/>
      <c r="W199" s="29"/>
      <c r="X199" s="29"/>
      <c r="Y199" s="29"/>
    </row>
    <row r="200" spans="2:25" ht="15" hidden="1" customHeight="1">
      <c r="B200" s="25">
        <v>195</v>
      </c>
      <c r="C200" s="26" t="s">
        <v>19</v>
      </c>
      <c r="D200" s="26" t="s">
        <v>56</v>
      </c>
      <c r="E200" s="26" t="s">
        <v>79</v>
      </c>
      <c r="F200" s="26"/>
      <c r="G200" s="27" t="s">
        <v>16</v>
      </c>
      <c r="H200" s="28">
        <v>22099</v>
      </c>
      <c r="I200" s="28">
        <v>4618</v>
      </c>
      <c r="J200" s="28">
        <v>2894</v>
      </c>
      <c r="K200" s="28">
        <v>1724</v>
      </c>
      <c r="L200" s="28">
        <v>17481</v>
      </c>
      <c r="M200" s="28">
        <v>28325</v>
      </c>
      <c r="N200" s="28">
        <v>10081</v>
      </c>
      <c r="O200" s="28">
        <v>8973</v>
      </c>
      <c r="P200" s="28">
        <v>1108</v>
      </c>
      <c r="Q200" s="28">
        <v>18244</v>
      </c>
      <c r="R200" s="29">
        <v>20.896873200000002</v>
      </c>
      <c r="S200" s="29">
        <v>13.095615199999999</v>
      </c>
      <c r="T200" s="29">
        <v>7.8012579999999998</v>
      </c>
      <c r="U200" s="29">
        <v>79.103126799999998</v>
      </c>
      <c r="V200" s="29">
        <v>35.590467799999999</v>
      </c>
      <c r="W200" s="29">
        <v>31.678729000000001</v>
      </c>
      <c r="X200" s="29">
        <v>3.9117386999999999</v>
      </c>
      <c r="Y200" s="29">
        <v>64.409532200000001</v>
      </c>
    </row>
    <row r="201" spans="2:25" ht="15" customHeight="1">
      <c r="B201" s="30">
        <v>196</v>
      </c>
      <c r="C201" s="31" t="s">
        <v>21</v>
      </c>
      <c r="D201" s="36" t="s">
        <v>56</v>
      </c>
      <c r="E201" s="36" t="s">
        <v>79</v>
      </c>
      <c r="F201" s="36" t="s">
        <v>80</v>
      </c>
      <c r="G201" s="37" t="s">
        <v>80</v>
      </c>
      <c r="H201" s="32">
        <v>5011</v>
      </c>
      <c r="I201" s="32">
        <v>791</v>
      </c>
      <c r="J201" s="32">
        <v>468</v>
      </c>
      <c r="K201" s="32">
        <v>323</v>
      </c>
      <c r="L201" s="32">
        <v>4220</v>
      </c>
      <c r="M201" s="32">
        <v>6604</v>
      </c>
      <c r="N201" s="32">
        <v>1892</v>
      </c>
      <c r="O201" s="32">
        <v>1559</v>
      </c>
      <c r="P201" s="32">
        <v>333</v>
      </c>
      <c r="Q201" s="32">
        <v>4712</v>
      </c>
      <c r="R201" s="33">
        <v>15.7852724</v>
      </c>
      <c r="S201" s="33">
        <v>9.3394531999999995</v>
      </c>
      <c r="T201" s="33">
        <v>6.4458191999999999</v>
      </c>
      <c r="U201" s="33">
        <v>84.214727600000003</v>
      </c>
      <c r="V201" s="33">
        <v>28.649303499999998</v>
      </c>
      <c r="W201" s="33">
        <v>23.6069049</v>
      </c>
      <c r="X201" s="33">
        <v>5.0423985</v>
      </c>
      <c r="Y201" s="33">
        <v>71.350696499999998</v>
      </c>
    </row>
    <row r="202" spans="2:25" ht="15" hidden="1" customHeight="1">
      <c r="B202" s="25">
        <v>197</v>
      </c>
      <c r="C202" s="26" t="s">
        <v>21</v>
      </c>
      <c r="D202" s="26" t="s">
        <v>56</v>
      </c>
      <c r="E202" s="26" t="s">
        <v>79</v>
      </c>
      <c r="F202" s="26" t="s">
        <v>80</v>
      </c>
      <c r="G202" s="27" t="s">
        <v>15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9"/>
      <c r="S202" s="29"/>
      <c r="T202" s="29"/>
      <c r="U202" s="29"/>
      <c r="V202" s="29"/>
      <c r="W202" s="29"/>
      <c r="X202" s="29"/>
      <c r="Y202" s="29"/>
    </row>
    <row r="203" spans="2:25" ht="15" hidden="1" customHeight="1">
      <c r="B203" s="25">
        <v>198</v>
      </c>
      <c r="C203" s="26" t="s">
        <v>21</v>
      </c>
      <c r="D203" s="26" t="s">
        <v>56</v>
      </c>
      <c r="E203" s="26" t="s">
        <v>79</v>
      </c>
      <c r="F203" s="26" t="s">
        <v>80</v>
      </c>
      <c r="G203" s="27" t="s">
        <v>16</v>
      </c>
      <c r="H203" s="28">
        <v>5011</v>
      </c>
      <c r="I203" s="28">
        <v>791</v>
      </c>
      <c r="J203" s="28">
        <v>468</v>
      </c>
      <c r="K203" s="28">
        <v>323</v>
      </c>
      <c r="L203" s="28">
        <v>4220</v>
      </c>
      <c r="M203" s="28">
        <v>6604</v>
      </c>
      <c r="N203" s="28">
        <v>1892</v>
      </c>
      <c r="O203" s="28">
        <v>1559</v>
      </c>
      <c r="P203" s="28">
        <v>333</v>
      </c>
      <c r="Q203" s="28">
        <v>4712</v>
      </c>
      <c r="R203" s="29">
        <v>15.7852724</v>
      </c>
      <c r="S203" s="29">
        <v>9.3394531999999995</v>
      </c>
      <c r="T203" s="29">
        <v>6.4458191999999999</v>
      </c>
      <c r="U203" s="29">
        <v>84.214727600000003</v>
      </c>
      <c r="V203" s="29">
        <v>28.649303499999998</v>
      </c>
      <c r="W203" s="29">
        <v>23.6069049</v>
      </c>
      <c r="X203" s="29">
        <v>5.0423985</v>
      </c>
      <c r="Y203" s="29">
        <v>71.350696499999998</v>
      </c>
    </row>
    <row r="204" spans="2:25" ht="15" customHeight="1">
      <c r="B204" s="30">
        <v>199</v>
      </c>
      <c r="C204" s="31" t="s">
        <v>21</v>
      </c>
      <c r="D204" s="36" t="s">
        <v>56</v>
      </c>
      <c r="E204" s="36" t="s">
        <v>79</v>
      </c>
      <c r="F204" s="36" t="s">
        <v>81</v>
      </c>
      <c r="G204" s="37" t="s">
        <v>81</v>
      </c>
      <c r="H204" s="32">
        <v>6606</v>
      </c>
      <c r="I204" s="32">
        <v>1811</v>
      </c>
      <c r="J204" s="32">
        <v>1164</v>
      </c>
      <c r="K204" s="32">
        <v>647</v>
      </c>
      <c r="L204" s="32">
        <v>4795</v>
      </c>
      <c r="M204" s="32">
        <v>8013</v>
      </c>
      <c r="N204" s="32">
        <v>3379</v>
      </c>
      <c r="O204" s="32">
        <v>3096</v>
      </c>
      <c r="P204" s="32">
        <v>283</v>
      </c>
      <c r="Q204" s="32">
        <v>4634</v>
      </c>
      <c r="R204" s="33">
        <v>27.4144717</v>
      </c>
      <c r="S204" s="33">
        <v>17.620345100000002</v>
      </c>
      <c r="T204" s="33">
        <v>9.7941266000000002</v>
      </c>
      <c r="U204" s="33">
        <v>72.585528299999993</v>
      </c>
      <c r="V204" s="33">
        <v>42.168975400000001</v>
      </c>
      <c r="W204" s="33">
        <v>38.637214499999999</v>
      </c>
      <c r="X204" s="33">
        <v>3.5317609000000001</v>
      </c>
      <c r="Y204" s="33">
        <v>57.831024599999999</v>
      </c>
    </row>
    <row r="205" spans="2:25" ht="15" hidden="1" customHeight="1">
      <c r="B205" s="25">
        <v>200</v>
      </c>
      <c r="C205" s="26" t="s">
        <v>21</v>
      </c>
      <c r="D205" s="26" t="s">
        <v>56</v>
      </c>
      <c r="E205" s="26" t="s">
        <v>79</v>
      </c>
      <c r="F205" s="26" t="s">
        <v>81</v>
      </c>
      <c r="G205" s="27" t="s">
        <v>15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9"/>
      <c r="S205" s="29"/>
      <c r="T205" s="29"/>
      <c r="U205" s="29"/>
      <c r="V205" s="29"/>
      <c r="W205" s="29"/>
      <c r="X205" s="29"/>
      <c r="Y205" s="29"/>
    </row>
    <row r="206" spans="2:25" ht="15" hidden="1" customHeight="1">
      <c r="B206" s="25">
        <v>201</v>
      </c>
      <c r="C206" s="26" t="s">
        <v>21</v>
      </c>
      <c r="D206" s="26" t="s">
        <v>56</v>
      </c>
      <c r="E206" s="26" t="s">
        <v>79</v>
      </c>
      <c r="F206" s="26" t="s">
        <v>81</v>
      </c>
      <c r="G206" s="27" t="s">
        <v>16</v>
      </c>
      <c r="H206" s="28">
        <v>6606</v>
      </c>
      <c r="I206" s="28">
        <v>1811</v>
      </c>
      <c r="J206" s="28">
        <v>1164</v>
      </c>
      <c r="K206" s="28">
        <v>647</v>
      </c>
      <c r="L206" s="28">
        <v>4795</v>
      </c>
      <c r="M206" s="28">
        <v>8013</v>
      </c>
      <c r="N206" s="28">
        <v>3379</v>
      </c>
      <c r="O206" s="28">
        <v>3096</v>
      </c>
      <c r="P206" s="28">
        <v>283</v>
      </c>
      <c r="Q206" s="28">
        <v>4634</v>
      </c>
      <c r="R206" s="29">
        <v>27.4144717</v>
      </c>
      <c r="S206" s="29">
        <v>17.620345100000002</v>
      </c>
      <c r="T206" s="29">
        <v>9.7941266000000002</v>
      </c>
      <c r="U206" s="29">
        <v>72.585528299999993</v>
      </c>
      <c r="V206" s="29">
        <v>42.168975400000001</v>
      </c>
      <c r="W206" s="29">
        <v>38.637214499999999</v>
      </c>
      <c r="X206" s="29">
        <v>3.5317609000000001</v>
      </c>
      <c r="Y206" s="29">
        <v>57.831024599999999</v>
      </c>
    </row>
    <row r="207" spans="2:25" ht="15" customHeight="1">
      <c r="B207" s="30">
        <v>202</v>
      </c>
      <c r="C207" s="31" t="s">
        <v>21</v>
      </c>
      <c r="D207" s="36" t="s">
        <v>56</v>
      </c>
      <c r="E207" s="36" t="s">
        <v>79</v>
      </c>
      <c r="F207" s="36" t="s">
        <v>82</v>
      </c>
      <c r="G207" s="37" t="s">
        <v>82</v>
      </c>
      <c r="H207" s="32">
        <v>5347</v>
      </c>
      <c r="I207" s="32">
        <v>1201</v>
      </c>
      <c r="J207" s="32">
        <v>901</v>
      </c>
      <c r="K207" s="32">
        <v>300</v>
      </c>
      <c r="L207" s="32">
        <v>4146</v>
      </c>
      <c r="M207" s="32">
        <v>7065</v>
      </c>
      <c r="N207" s="32">
        <v>2733</v>
      </c>
      <c r="O207" s="32">
        <v>2469</v>
      </c>
      <c r="P207" s="32">
        <v>264</v>
      </c>
      <c r="Q207" s="32">
        <v>4332</v>
      </c>
      <c r="R207" s="33">
        <v>22.4611932</v>
      </c>
      <c r="S207" s="33">
        <v>16.850570399999999</v>
      </c>
      <c r="T207" s="33">
        <v>5.6106227999999998</v>
      </c>
      <c r="U207" s="33">
        <v>77.538806800000003</v>
      </c>
      <c r="V207" s="33">
        <v>38.6836518</v>
      </c>
      <c r="W207" s="33">
        <v>34.946921400000001</v>
      </c>
      <c r="X207" s="33">
        <v>3.7367303999999999</v>
      </c>
      <c r="Y207" s="33">
        <v>61.3163482</v>
      </c>
    </row>
    <row r="208" spans="2:25" ht="15" hidden="1" customHeight="1">
      <c r="B208" s="25">
        <v>203</v>
      </c>
      <c r="C208" s="26" t="s">
        <v>21</v>
      </c>
      <c r="D208" s="26" t="s">
        <v>56</v>
      </c>
      <c r="E208" s="26" t="s">
        <v>79</v>
      </c>
      <c r="F208" s="26" t="s">
        <v>82</v>
      </c>
      <c r="G208" s="27" t="s">
        <v>15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9"/>
      <c r="S208" s="29"/>
      <c r="T208" s="29"/>
      <c r="U208" s="29"/>
      <c r="V208" s="29"/>
      <c r="W208" s="29"/>
      <c r="X208" s="29"/>
      <c r="Y208" s="29"/>
    </row>
    <row r="209" spans="2:25" ht="15" hidden="1" customHeight="1">
      <c r="B209" s="25">
        <v>204</v>
      </c>
      <c r="C209" s="26" t="s">
        <v>21</v>
      </c>
      <c r="D209" s="26" t="s">
        <v>56</v>
      </c>
      <c r="E209" s="26" t="s">
        <v>79</v>
      </c>
      <c r="F209" s="26" t="s">
        <v>82</v>
      </c>
      <c r="G209" s="27" t="s">
        <v>16</v>
      </c>
      <c r="H209" s="28">
        <v>5347</v>
      </c>
      <c r="I209" s="28">
        <v>1201</v>
      </c>
      <c r="J209" s="28">
        <v>901</v>
      </c>
      <c r="K209" s="28">
        <v>300</v>
      </c>
      <c r="L209" s="28">
        <v>4146</v>
      </c>
      <c r="M209" s="28">
        <v>7065</v>
      </c>
      <c r="N209" s="28">
        <v>2733</v>
      </c>
      <c r="O209" s="28">
        <v>2469</v>
      </c>
      <c r="P209" s="28">
        <v>264</v>
      </c>
      <c r="Q209" s="28">
        <v>4332</v>
      </c>
      <c r="R209" s="29">
        <v>22.4611932</v>
      </c>
      <c r="S209" s="29">
        <v>16.850570399999999</v>
      </c>
      <c r="T209" s="29">
        <v>5.6106227999999998</v>
      </c>
      <c r="U209" s="29">
        <v>77.538806800000003</v>
      </c>
      <c r="V209" s="29">
        <v>38.6836518</v>
      </c>
      <c r="W209" s="29">
        <v>34.946921400000001</v>
      </c>
      <c r="X209" s="29">
        <v>3.7367303999999999</v>
      </c>
      <c r="Y209" s="29">
        <v>61.3163482</v>
      </c>
    </row>
    <row r="210" spans="2:25" ht="15" customHeight="1">
      <c r="B210" s="30">
        <v>205</v>
      </c>
      <c r="C210" s="31" t="s">
        <v>21</v>
      </c>
      <c r="D210" s="36" t="s">
        <v>56</v>
      </c>
      <c r="E210" s="36" t="s">
        <v>79</v>
      </c>
      <c r="F210" s="36" t="s">
        <v>83</v>
      </c>
      <c r="G210" s="37" t="s">
        <v>83</v>
      </c>
      <c r="H210" s="32">
        <v>2108</v>
      </c>
      <c r="I210" s="32">
        <v>445</v>
      </c>
      <c r="J210" s="32">
        <v>110</v>
      </c>
      <c r="K210" s="32">
        <v>335</v>
      </c>
      <c r="L210" s="32">
        <v>1663</v>
      </c>
      <c r="M210" s="32">
        <v>2527</v>
      </c>
      <c r="N210" s="32">
        <v>737</v>
      </c>
      <c r="O210" s="32">
        <v>617</v>
      </c>
      <c r="P210" s="32">
        <v>120</v>
      </c>
      <c r="Q210" s="32">
        <v>1790</v>
      </c>
      <c r="R210" s="33">
        <v>21.1100569</v>
      </c>
      <c r="S210" s="33">
        <v>5.2182162999999999</v>
      </c>
      <c r="T210" s="33">
        <v>15.8918406</v>
      </c>
      <c r="U210" s="33">
        <v>78.889943099999996</v>
      </c>
      <c r="V210" s="33">
        <v>29.165017800000001</v>
      </c>
      <c r="W210" s="33">
        <v>24.416303899999999</v>
      </c>
      <c r="X210" s="33">
        <v>4.7487139000000003</v>
      </c>
      <c r="Y210" s="33">
        <v>70.834982199999999</v>
      </c>
    </row>
    <row r="211" spans="2:25" ht="15" hidden="1" customHeight="1">
      <c r="B211" s="25">
        <v>206</v>
      </c>
      <c r="C211" s="26" t="s">
        <v>21</v>
      </c>
      <c r="D211" s="26" t="s">
        <v>56</v>
      </c>
      <c r="E211" s="26" t="s">
        <v>79</v>
      </c>
      <c r="F211" s="26" t="s">
        <v>83</v>
      </c>
      <c r="G211" s="27" t="s">
        <v>15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9"/>
      <c r="S211" s="29"/>
      <c r="T211" s="29"/>
      <c r="U211" s="29"/>
      <c r="V211" s="29"/>
      <c r="W211" s="29"/>
      <c r="X211" s="29"/>
      <c r="Y211" s="29"/>
    </row>
    <row r="212" spans="2:25" ht="15" hidden="1" customHeight="1">
      <c r="B212" s="25">
        <v>207</v>
      </c>
      <c r="C212" s="26" t="s">
        <v>21</v>
      </c>
      <c r="D212" s="26" t="s">
        <v>56</v>
      </c>
      <c r="E212" s="26" t="s">
        <v>79</v>
      </c>
      <c r="F212" s="26" t="s">
        <v>83</v>
      </c>
      <c r="G212" s="27" t="s">
        <v>16</v>
      </c>
      <c r="H212" s="28">
        <v>2108</v>
      </c>
      <c r="I212" s="28">
        <v>445</v>
      </c>
      <c r="J212" s="28">
        <v>110</v>
      </c>
      <c r="K212" s="28">
        <v>335</v>
      </c>
      <c r="L212" s="28">
        <v>1663</v>
      </c>
      <c r="M212" s="28">
        <v>2527</v>
      </c>
      <c r="N212" s="28">
        <v>737</v>
      </c>
      <c r="O212" s="28">
        <v>617</v>
      </c>
      <c r="P212" s="28">
        <v>120</v>
      </c>
      <c r="Q212" s="28">
        <v>1790</v>
      </c>
      <c r="R212" s="29">
        <v>21.1100569</v>
      </c>
      <c r="S212" s="29">
        <v>5.2182162999999999</v>
      </c>
      <c r="T212" s="29">
        <v>15.8918406</v>
      </c>
      <c r="U212" s="29">
        <v>78.889943099999996</v>
      </c>
      <c r="V212" s="29">
        <v>29.165017800000001</v>
      </c>
      <c r="W212" s="29">
        <v>24.416303899999999</v>
      </c>
      <c r="X212" s="29">
        <v>4.7487139000000003</v>
      </c>
      <c r="Y212" s="29">
        <v>70.834982199999999</v>
      </c>
    </row>
    <row r="213" spans="2:25" ht="15" customHeight="1">
      <c r="B213" s="30">
        <v>208</v>
      </c>
      <c r="C213" s="31" t="s">
        <v>21</v>
      </c>
      <c r="D213" s="36" t="s">
        <v>56</v>
      </c>
      <c r="E213" s="36" t="s">
        <v>79</v>
      </c>
      <c r="F213" s="36" t="s">
        <v>84</v>
      </c>
      <c r="G213" s="37" t="s">
        <v>84</v>
      </c>
      <c r="H213" s="32">
        <v>3027</v>
      </c>
      <c r="I213" s="32">
        <v>370</v>
      </c>
      <c r="J213" s="32">
        <v>251</v>
      </c>
      <c r="K213" s="32">
        <v>119</v>
      </c>
      <c r="L213" s="32">
        <v>2657</v>
      </c>
      <c r="M213" s="32">
        <v>4116</v>
      </c>
      <c r="N213" s="32">
        <v>1340</v>
      </c>
      <c r="O213" s="32">
        <v>1232</v>
      </c>
      <c r="P213" s="32">
        <v>108</v>
      </c>
      <c r="Q213" s="32">
        <v>2776</v>
      </c>
      <c r="R213" s="33">
        <v>12.2233234</v>
      </c>
      <c r="S213" s="33">
        <v>8.2920382999999998</v>
      </c>
      <c r="T213" s="33">
        <v>3.9312851000000002</v>
      </c>
      <c r="U213" s="33">
        <v>87.776676600000002</v>
      </c>
      <c r="V213" s="33">
        <v>32.555879500000003</v>
      </c>
      <c r="W213" s="33">
        <v>29.9319728</v>
      </c>
      <c r="X213" s="33">
        <v>2.6239067</v>
      </c>
      <c r="Y213" s="33">
        <v>67.444120499999997</v>
      </c>
    </row>
    <row r="214" spans="2:25" ht="15" hidden="1" customHeight="1">
      <c r="B214" s="25">
        <v>209</v>
      </c>
      <c r="C214" s="26" t="s">
        <v>21</v>
      </c>
      <c r="D214" s="26" t="s">
        <v>56</v>
      </c>
      <c r="E214" s="26" t="s">
        <v>79</v>
      </c>
      <c r="F214" s="26" t="s">
        <v>84</v>
      </c>
      <c r="G214" s="27" t="s">
        <v>15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9"/>
      <c r="S214" s="29"/>
      <c r="T214" s="29"/>
      <c r="U214" s="29"/>
      <c r="V214" s="29"/>
      <c r="W214" s="29"/>
      <c r="X214" s="29"/>
      <c r="Y214" s="29"/>
    </row>
    <row r="215" spans="2:25" ht="15" hidden="1" customHeight="1">
      <c r="B215" s="25">
        <v>210</v>
      </c>
      <c r="C215" s="26" t="s">
        <v>21</v>
      </c>
      <c r="D215" s="26" t="s">
        <v>56</v>
      </c>
      <c r="E215" s="26" t="s">
        <v>79</v>
      </c>
      <c r="F215" s="26" t="s">
        <v>84</v>
      </c>
      <c r="G215" s="27" t="s">
        <v>16</v>
      </c>
      <c r="H215" s="28">
        <v>3027</v>
      </c>
      <c r="I215" s="28">
        <v>370</v>
      </c>
      <c r="J215" s="28">
        <v>251</v>
      </c>
      <c r="K215" s="28">
        <v>119</v>
      </c>
      <c r="L215" s="28">
        <v>2657</v>
      </c>
      <c r="M215" s="28">
        <v>4116</v>
      </c>
      <c r="N215" s="28">
        <v>1340</v>
      </c>
      <c r="O215" s="28">
        <v>1232</v>
      </c>
      <c r="P215" s="28">
        <v>108</v>
      </c>
      <c r="Q215" s="28">
        <v>2776</v>
      </c>
      <c r="R215" s="29">
        <v>12.2233234</v>
      </c>
      <c r="S215" s="29">
        <v>8.2920382999999998</v>
      </c>
      <c r="T215" s="29">
        <v>3.9312851000000002</v>
      </c>
      <c r="U215" s="29">
        <v>87.776676600000002</v>
      </c>
      <c r="V215" s="29">
        <v>32.555879500000003</v>
      </c>
      <c r="W215" s="29">
        <v>29.9319728</v>
      </c>
      <c r="X215" s="29">
        <v>2.6239067</v>
      </c>
      <c r="Y215" s="29">
        <v>67.444120499999997</v>
      </c>
    </row>
    <row r="216" spans="2:25" ht="15" hidden="1" customHeight="1">
      <c r="B216" s="21">
        <v>211</v>
      </c>
      <c r="C216" s="22" t="s">
        <v>19</v>
      </c>
      <c r="D216" s="35" t="s">
        <v>56</v>
      </c>
      <c r="E216" s="35" t="s">
        <v>85</v>
      </c>
      <c r="F216" s="35"/>
      <c r="G216" s="22" t="s">
        <v>85</v>
      </c>
      <c r="H216" s="23">
        <v>8623</v>
      </c>
      <c r="I216" s="23">
        <v>2529</v>
      </c>
      <c r="J216" s="23">
        <v>1530</v>
      </c>
      <c r="K216" s="23">
        <v>999</v>
      </c>
      <c r="L216" s="23">
        <v>6094</v>
      </c>
      <c r="M216" s="23">
        <v>12382</v>
      </c>
      <c r="N216" s="23">
        <v>5799</v>
      </c>
      <c r="O216" s="23">
        <v>5079</v>
      </c>
      <c r="P216" s="23">
        <v>720</v>
      </c>
      <c r="Q216" s="23">
        <v>6583</v>
      </c>
      <c r="R216" s="24">
        <v>29.32854</v>
      </c>
      <c r="S216" s="24">
        <v>17.743244799999999</v>
      </c>
      <c r="T216" s="24">
        <v>11.5852951</v>
      </c>
      <c r="U216" s="24">
        <v>70.671459999999996</v>
      </c>
      <c r="V216" s="24">
        <v>46.834114</v>
      </c>
      <c r="W216" s="24">
        <v>41.0192215</v>
      </c>
      <c r="X216" s="24">
        <v>5.8148926000000003</v>
      </c>
      <c r="Y216" s="24">
        <v>53.165886</v>
      </c>
    </row>
    <row r="217" spans="2:25" ht="15" hidden="1" customHeight="1">
      <c r="B217" s="25">
        <v>212</v>
      </c>
      <c r="C217" s="26" t="s">
        <v>19</v>
      </c>
      <c r="D217" s="26" t="s">
        <v>56</v>
      </c>
      <c r="E217" s="26" t="s">
        <v>85</v>
      </c>
      <c r="F217" s="26"/>
      <c r="G217" s="27" t="s">
        <v>15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9"/>
      <c r="S217" s="29"/>
      <c r="T217" s="29"/>
      <c r="U217" s="29"/>
      <c r="V217" s="29"/>
      <c r="W217" s="29"/>
      <c r="X217" s="29"/>
      <c r="Y217" s="29"/>
    </row>
    <row r="218" spans="2:25" ht="15" hidden="1" customHeight="1">
      <c r="B218" s="25">
        <v>213</v>
      </c>
      <c r="C218" s="26" t="s">
        <v>19</v>
      </c>
      <c r="D218" s="26" t="s">
        <v>56</v>
      </c>
      <c r="E218" s="26" t="s">
        <v>85</v>
      </c>
      <c r="F218" s="26"/>
      <c r="G218" s="27" t="s">
        <v>16</v>
      </c>
      <c r="H218" s="28">
        <v>8623</v>
      </c>
      <c r="I218" s="28">
        <v>2529</v>
      </c>
      <c r="J218" s="28">
        <v>1530</v>
      </c>
      <c r="K218" s="28">
        <v>999</v>
      </c>
      <c r="L218" s="28">
        <v>6094</v>
      </c>
      <c r="M218" s="28">
        <v>12382</v>
      </c>
      <c r="N218" s="28">
        <v>5799</v>
      </c>
      <c r="O218" s="28">
        <v>5079</v>
      </c>
      <c r="P218" s="28">
        <v>720</v>
      </c>
      <c r="Q218" s="28">
        <v>6583</v>
      </c>
      <c r="R218" s="29">
        <v>29.32854</v>
      </c>
      <c r="S218" s="29">
        <v>17.743244799999999</v>
      </c>
      <c r="T218" s="29">
        <v>11.5852951</v>
      </c>
      <c r="U218" s="29">
        <v>70.671459999999996</v>
      </c>
      <c r="V218" s="29">
        <v>46.834114</v>
      </c>
      <c r="W218" s="29">
        <v>41.0192215</v>
      </c>
      <c r="X218" s="29">
        <v>5.8148926000000003</v>
      </c>
      <c r="Y218" s="29">
        <v>53.165886</v>
      </c>
    </row>
    <row r="219" spans="2:25" ht="15" customHeight="1">
      <c r="B219" s="30">
        <v>214</v>
      </c>
      <c r="C219" s="31" t="s">
        <v>21</v>
      </c>
      <c r="D219" s="36" t="s">
        <v>56</v>
      </c>
      <c r="E219" s="36" t="s">
        <v>85</v>
      </c>
      <c r="F219" s="36" t="s">
        <v>86</v>
      </c>
      <c r="G219" s="37" t="s">
        <v>86</v>
      </c>
      <c r="H219" s="32">
        <v>3938</v>
      </c>
      <c r="I219" s="32">
        <v>1107</v>
      </c>
      <c r="J219" s="32">
        <v>632</v>
      </c>
      <c r="K219" s="32">
        <v>475</v>
      </c>
      <c r="L219" s="32">
        <v>2831</v>
      </c>
      <c r="M219" s="32">
        <v>6388</v>
      </c>
      <c r="N219" s="32">
        <v>3129</v>
      </c>
      <c r="O219" s="32">
        <v>2790</v>
      </c>
      <c r="P219" s="32">
        <v>339</v>
      </c>
      <c r="Q219" s="32">
        <v>3259</v>
      </c>
      <c r="R219" s="33">
        <v>28.110716100000001</v>
      </c>
      <c r="S219" s="33">
        <v>16.048755700000001</v>
      </c>
      <c r="T219" s="33">
        <v>12.0619604</v>
      </c>
      <c r="U219" s="33">
        <v>71.889283899999995</v>
      </c>
      <c r="V219" s="33">
        <v>48.982467100000001</v>
      </c>
      <c r="W219" s="33">
        <v>43.675641800000001</v>
      </c>
      <c r="X219" s="33">
        <v>5.3068252999999999</v>
      </c>
      <c r="Y219" s="33">
        <v>51.017532899999999</v>
      </c>
    </row>
    <row r="220" spans="2:25" ht="15" hidden="1" customHeight="1">
      <c r="B220" s="25">
        <v>215</v>
      </c>
      <c r="C220" s="26" t="s">
        <v>21</v>
      </c>
      <c r="D220" s="26" t="s">
        <v>56</v>
      </c>
      <c r="E220" s="26" t="s">
        <v>85</v>
      </c>
      <c r="F220" s="26" t="s">
        <v>86</v>
      </c>
      <c r="G220" s="27" t="s">
        <v>15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9"/>
      <c r="S220" s="29"/>
      <c r="T220" s="29"/>
      <c r="U220" s="29"/>
      <c r="V220" s="29"/>
      <c r="W220" s="29"/>
      <c r="X220" s="29"/>
      <c r="Y220" s="29"/>
    </row>
    <row r="221" spans="2:25" ht="15" hidden="1" customHeight="1">
      <c r="B221" s="25">
        <v>216</v>
      </c>
      <c r="C221" s="26" t="s">
        <v>21</v>
      </c>
      <c r="D221" s="26" t="s">
        <v>56</v>
      </c>
      <c r="E221" s="26" t="s">
        <v>85</v>
      </c>
      <c r="F221" s="26" t="s">
        <v>86</v>
      </c>
      <c r="G221" s="27" t="s">
        <v>16</v>
      </c>
      <c r="H221" s="28">
        <v>3938</v>
      </c>
      <c r="I221" s="28">
        <v>1107</v>
      </c>
      <c r="J221" s="28">
        <v>632</v>
      </c>
      <c r="K221" s="28">
        <v>475</v>
      </c>
      <c r="L221" s="28">
        <v>2831</v>
      </c>
      <c r="M221" s="28">
        <v>6388</v>
      </c>
      <c r="N221" s="28">
        <v>3129</v>
      </c>
      <c r="O221" s="28">
        <v>2790</v>
      </c>
      <c r="P221" s="28">
        <v>339</v>
      </c>
      <c r="Q221" s="28">
        <v>3259</v>
      </c>
      <c r="R221" s="29">
        <v>28.110716100000001</v>
      </c>
      <c r="S221" s="29">
        <v>16.048755700000001</v>
      </c>
      <c r="T221" s="29">
        <v>12.0619604</v>
      </c>
      <c r="U221" s="29">
        <v>71.889283899999995</v>
      </c>
      <c r="V221" s="29">
        <v>48.982467100000001</v>
      </c>
      <c r="W221" s="29">
        <v>43.675641800000001</v>
      </c>
      <c r="X221" s="29">
        <v>5.3068252999999999</v>
      </c>
      <c r="Y221" s="29">
        <v>51.017532899999999</v>
      </c>
    </row>
    <row r="222" spans="2:25" ht="15" customHeight="1">
      <c r="B222" s="30">
        <v>217</v>
      </c>
      <c r="C222" s="31" t="s">
        <v>21</v>
      </c>
      <c r="D222" s="36" t="s">
        <v>56</v>
      </c>
      <c r="E222" s="36" t="s">
        <v>85</v>
      </c>
      <c r="F222" s="36" t="s">
        <v>87</v>
      </c>
      <c r="G222" s="37" t="s">
        <v>87</v>
      </c>
      <c r="H222" s="32">
        <v>2747</v>
      </c>
      <c r="I222" s="32">
        <v>954</v>
      </c>
      <c r="J222" s="32">
        <v>725</v>
      </c>
      <c r="K222" s="32">
        <v>229</v>
      </c>
      <c r="L222" s="32">
        <v>1793</v>
      </c>
      <c r="M222" s="32">
        <v>3494</v>
      </c>
      <c r="N222" s="32">
        <v>1618</v>
      </c>
      <c r="O222" s="32">
        <v>1465</v>
      </c>
      <c r="P222" s="32">
        <v>153</v>
      </c>
      <c r="Q222" s="32">
        <v>1876</v>
      </c>
      <c r="R222" s="33">
        <v>34.728794999999998</v>
      </c>
      <c r="S222" s="33">
        <v>26.3924281</v>
      </c>
      <c r="T222" s="33">
        <v>8.3363668999999998</v>
      </c>
      <c r="U222" s="33">
        <v>65.271204999999995</v>
      </c>
      <c r="V222" s="33">
        <v>46.307956500000003</v>
      </c>
      <c r="W222" s="33">
        <v>41.929021200000001</v>
      </c>
      <c r="X222" s="33">
        <v>4.3789353000000002</v>
      </c>
      <c r="Y222" s="33">
        <v>53.692043499999997</v>
      </c>
    </row>
    <row r="223" spans="2:25" ht="15" hidden="1" customHeight="1">
      <c r="B223" s="25">
        <v>218</v>
      </c>
      <c r="C223" s="26" t="s">
        <v>21</v>
      </c>
      <c r="D223" s="26" t="s">
        <v>56</v>
      </c>
      <c r="E223" s="26" t="s">
        <v>85</v>
      </c>
      <c r="F223" s="26" t="s">
        <v>87</v>
      </c>
      <c r="G223" s="27" t="s">
        <v>15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9"/>
      <c r="S223" s="29"/>
      <c r="T223" s="29"/>
      <c r="U223" s="29"/>
      <c r="V223" s="29"/>
      <c r="W223" s="29"/>
      <c r="X223" s="29"/>
      <c r="Y223" s="29"/>
    </row>
    <row r="224" spans="2:25" ht="15" hidden="1" customHeight="1">
      <c r="B224" s="25">
        <v>219</v>
      </c>
      <c r="C224" s="26" t="s">
        <v>21</v>
      </c>
      <c r="D224" s="26" t="s">
        <v>56</v>
      </c>
      <c r="E224" s="26" t="s">
        <v>85</v>
      </c>
      <c r="F224" s="26" t="s">
        <v>87</v>
      </c>
      <c r="G224" s="27" t="s">
        <v>16</v>
      </c>
      <c r="H224" s="28">
        <v>2747</v>
      </c>
      <c r="I224" s="28">
        <v>954</v>
      </c>
      <c r="J224" s="28">
        <v>725</v>
      </c>
      <c r="K224" s="28">
        <v>229</v>
      </c>
      <c r="L224" s="28">
        <v>1793</v>
      </c>
      <c r="M224" s="28">
        <v>3494</v>
      </c>
      <c r="N224" s="28">
        <v>1618</v>
      </c>
      <c r="O224" s="28">
        <v>1465</v>
      </c>
      <c r="P224" s="28">
        <v>153</v>
      </c>
      <c r="Q224" s="28">
        <v>1876</v>
      </c>
      <c r="R224" s="29">
        <v>34.728794999999998</v>
      </c>
      <c r="S224" s="29">
        <v>26.3924281</v>
      </c>
      <c r="T224" s="29">
        <v>8.3363668999999998</v>
      </c>
      <c r="U224" s="29">
        <v>65.271204999999995</v>
      </c>
      <c r="V224" s="29">
        <v>46.307956500000003</v>
      </c>
      <c r="W224" s="29">
        <v>41.929021200000001</v>
      </c>
      <c r="X224" s="29">
        <v>4.3789353000000002</v>
      </c>
      <c r="Y224" s="29">
        <v>53.692043499999997</v>
      </c>
    </row>
    <row r="225" spans="2:25" ht="15" customHeight="1">
      <c r="B225" s="30">
        <v>220</v>
      </c>
      <c r="C225" s="31" t="s">
        <v>21</v>
      </c>
      <c r="D225" s="36" t="s">
        <v>56</v>
      </c>
      <c r="E225" s="36" t="s">
        <v>85</v>
      </c>
      <c r="F225" s="36" t="s">
        <v>88</v>
      </c>
      <c r="G225" s="37" t="s">
        <v>88</v>
      </c>
      <c r="H225" s="32">
        <v>1938</v>
      </c>
      <c r="I225" s="32">
        <v>468</v>
      </c>
      <c r="J225" s="32">
        <v>173</v>
      </c>
      <c r="K225" s="32">
        <v>295</v>
      </c>
      <c r="L225" s="32">
        <v>1470</v>
      </c>
      <c r="M225" s="32">
        <v>2500</v>
      </c>
      <c r="N225" s="32">
        <v>1052</v>
      </c>
      <c r="O225" s="32">
        <v>824</v>
      </c>
      <c r="P225" s="32">
        <v>228</v>
      </c>
      <c r="Q225" s="32">
        <v>1448</v>
      </c>
      <c r="R225" s="33">
        <v>24.1486068</v>
      </c>
      <c r="S225" s="33">
        <v>8.9267286000000006</v>
      </c>
      <c r="T225" s="33">
        <v>15.221878200000001</v>
      </c>
      <c r="U225" s="33">
        <v>75.851393200000004</v>
      </c>
      <c r="V225" s="33">
        <v>42.08</v>
      </c>
      <c r="W225" s="33">
        <v>32.96</v>
      </c>
      <c r="X225" s="33">
        <v>9.1199999999999992</v>
      </c>
      <c r="Y225" s="33">
        <v>57.92</v>
      </c>
    </row>
    <row r="226" spans="2:25" ht="15" hidden="1" customHeight="1">
      <c r="B226" s="25">
        <v>221</v>
      </c>
      <c r="C226" s="26" t="s">
        <v>21</v>
      </c>
      <c r="D226" s="26" t="s">
        <v>56</v>
      </c>
      <c r="E226" s="26" t="s">
        <v>85</v>
      </c>
      <c r="F226" s="26" t="s">
        <v>88</v>
      </c>
      <c r="G226" s="27" t="s">
        <v>15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9"/>
      <c r="S226" s="29"/>
      <c r="T226" s="29"/>
      <c r="U226" s="29"/>
      <c r="V226" s="29"/>
      <c r="W226" s="29"/>
      <c r="X226" s="29"/>
      <c r="Y226" s="29"/>
    </row>
    <row r="227" spans="2:25" ht="15" hidden="1" customHeight="1">
      <c r="B227" s="25">
        <v>222</v>
      </c>
      <c r="C227" s="26" t="s">
        <v>21</v>
      </c>
      <c r="D227" s="26" t="s">
        <v>56</v>
      </c>
      <c r="E227" s="26" t="s">
        <v>85</v>
      </c>
      <c r="F227" s="26" t="s">
        <v>88</v>
      </c>
      <c r="G227" s="27" t="s">
        <v>16</v>
      </c>
      <c r="H227" s="28">
        <v>1938</v>
      </c>
      <c r="I227" s="28">
        <v>468</v>
      </c>
      <c r="J227" s="28">
        <v>173</v>
      </c>
      <c r="K227" s="28">
        <v>295</v>
      </c>
      <c r="L227" s="28">
        <v>1470</v>
      </c>
      <c r="M227" s="28">
        <v>2500</v>
      </c>
      <c r="N227" s="28">
        <v>1052</v>
      </c>
      <c r="O227" s="28">
        <v>824</v>
      </c>
      <c r="P227" s="28">
        <v>228</v>
      </c>
      <c r="Q227" s="28">
        <v>1448</v>
      </c>
      <c r="R227" s="29">
        <v>24.1486068</v>
      </c>
      <c r="S227" s="29">
        <v>8.9267286000000006</v>
      </c>
      <c r="T227" s="29">
        <v>15.221878200000001</v>
      </c>
      <c r="U227" s="29">
        <v>75.851393200000004</v>
      </c>
      <c r="V227" s="29">
        <v>42.08</v>
      </c>
      <c r="W227" s="29">
        <v>32.96</v>
      </c>
      <c r="X227" s="29">
        <v>9.1199999999999992</v>
      </c>
      <c r="Y227" s="29">
        <v>57.92</v>
      </c>
    </row>
    <row r="228" spans="2:25" ht="15" hidden="1" customHeight="1">
      <c r="B228" s="21">
        <v>223</v>
      </c>
      <c r="C228" s="22" t="s">
        <v>19</v>
      </c>
      <c r="D228" s="35" t="s">
        <v>56</v>
      </c>
      <c r="E228" s="35" t="s">
        <v>89</v>
      </c>
      <c r="F228" s="35"/>
      <c r="G228" s="22" t="s">
        <v>89</v>
      </c>
      <c r="H228" s="23">
        <v>29451</v>
      </c>
      <c r="I228" s="23">
        <v>12091</v>
      </c>
      <c r="J228" s="23">
        <v>6297</v>
      </c>
      <c r="K228" s="23">
        <v>5794</v>
      </c>
      <c r="L228" s="23">
        <v>17360</v>
      </c>
      <c r="M228" s="23">
        <v>39439</v>
      </c>
      <c r="N228" s="23">
        <v>26209</v>
      </c>
      <c r="O228" s="23">
        <v>19079</v>
      </c>
      <c r="P228" s="23">
        <v>7130</v>
      </c>
      <c r="Q228" s="23">
        <v>13230</v>
      </c>
      <c r="R228" s="24">
        <v>41.054633099999997</v>
      </c>
      <c r="S228" s="24">
        <v>21.381277399999998</v>
      </c>
      <c r="T228" s="24">
        <v>19.673355699999998</v>
      </c>
      <c r="U228" s="24">
        <v>58.945366900000003</v>
      </c>
      <c r="V228" s="24">
        <v>66.454524699999993</v>
      </c>
      <c r="W228" s="24">
        <v>48.375973000000002</v>
      </c>
      <c r="X228" s="24">
        <v>18.078551699999998</v>
      </c>
      <c r="Y228" s="24">
        <v>33.5454753</v>
      </c>
    </row>
    <row r="229" spans="2:25" ht="15" hidden="1" customHeight="1">
      <c r="B229" s="25">
        <v>224</v>
      </c>
      <c r="C229" s="26" t="s">
        <v>19</v>
      </c>
      <c r="D229" s="26" t="s">
        <v>56</v>
      </c>
      <c r="E229" s="26" t="s">
        <v>89</v>
      </c>
      <c r="F229" s="26"/>
      <c r="G229" s="27" t="s">
        <v>15</v>
      </c>
      <c r="H229" s="28">
        <v>4928</v>
      </c>
      <c r="I229" s="28">
        <v>3706</v>
      </c>
      <c r="J229" s="28">
        <v>1782</v>
      </c>
      <c r="K229" s="28">
        <v>1924</v>
      </c>
      <c r="L229" s="28">
        <v>1222</v>
      </c>
      <c r="M229" s="28">
        <v>8590</v>
      </c>
      <c r="N229" s="28">
        <v>7809</v>
      </c>
      <c r="O229" s="28">
        <v>5527</v>
      </c>
      <c r="P229" s="28">
        <v>2282</v>
      </c>
      <c r="Q229" s="28">
        <v>781</v>
      </c>
      <c r="R229" s="29">
        <v>75.202922099999995</v>
      </c>
      <c r="S229" s="29">
        <v>36.160714300000002</v>
      </c>
      <c r="T229" s="29">
        <v>39.0422078</v>
      </c>
      <c r="U229" s="29">
        <v>24.797077900000001</v>
      </c>
      <c r="V229" s="29">
        <v>90.908032599999999</v>
      </c>
      <c r="W229" s="29">
        <v>64.342258400000006</v>
      </c>
      <c r="X229" s="29">
        <v>26.5657742</v>
      </c>
      <c r="Y229" s="29">
        <v>9.0919673999999997</v>
      </c>
    </row>
    <row r="230" spans="2:25" ht="15" hidden="1" customHeight="1">
      <c r="B230" s="25">
        <v>225</v>
      </c>
      <c r="C230" s="26" t="s">
        <v>19</v>
      </c>
      <c r="D230" s="26" t="s">
        <v>56</v>
      </c>
      <c r="E230" s="26" t="s">
        <v>89</v>
      </c>
      <c r="F230" s="26"/>
      <c r="G230" s="27" t="s">
        <v>16</v>
      </c>
      <c r="H230" s="28">
        <v>24523</v>
      </c>
      <c r="I230" s="28">
        <v>8385</v>
      </c>
      <c r="J230" s="28">
        <v>4515</v>
      </c>
      <c r="K230" s="28">
        <v>3870</v>
      </c>
      <c r="L230" s="28">
        <v>16138</v>
      </c>
      <c r="M230" s="28">
        <v>30849</v>
      </c>
      <c r="N230" s="28">
        <v>18400</v>
      </c>
      <c r="O230" s="28">
        <v>13552</v>
      </c>
      <c r="P230" s="28">
        <v>4848</v>
      </c>
      <c r="Q230" s="28">
        <v>12449</v>
      </c>
      <c r="R230" s="29">
        <v>34.192390799999998</v>
      </c>
      <c r="S230" s="29">
        <v>18.411287399999999</v>
      </c>
      <c r="T230" s="29">
        <v>15.7811035</v>
      </c>
      <c r="U230" s="29">
        <v>65.807609200000002</v>
      </c>
      <c r="V230" s="29">
        <v>59.6453694</v>
      </c>
      <c r="W230" s="29">
        <v>43.930111199999999</v>
      </c>
      <c r="X230" s="29">
        <v>15.715258199999999</v>
      </c>
      <c r="Y230" s="29">
        <v>40.3546306</v>
      </c>
    </row>
    <row r="231" spans="2:25" ht="15" customHeight="1">
      <c r="B231" s="30">
        <v>226</v>
      </c>
      <c r="C231" s="31" t="s">
        <v>21</v>
      </c>
      <c r="D231" s="36" t="s">
        <v>56</v>
      </c>
      <c r="E231" s="36" t="s">
        <v>89</v>
      </c>
      <c r="F231" s="36" t="s">
        <v>90</v>
      </c>
      <c r="G231" s="37" t="s">
        <v>90</v>
      </c>
      <c r="H231" s="32">
        <v>8775</v>
      </c>
      <c r="I231" s="32">
        <v>3209</v>
      </c>
      <c r="J231" s="32">
        <v>1682</v>
      </c>
      <c r="K231" s="32">
        <v>1527</v>
      </c>
      <c r="L231" s="32">
        <v>5566</v>
      </c>
      <c r="M231" s="32">
        <v>11459</v>
      </c>
      <c r="N231" s="32">
        <v>6927</v>
      </c>
      <c r="O231" s="32">
        <v>5264</v>
      </c>
      <c r="P231" s="32">
        <v>1663</v>
      </c>
      <c r="Q231" s="32">
        <v>4532</v>
      </c>
      <c r="R231" s="33">
        <v>36.569800600000001</v>
      </c>
      <c r="S231" s="33">
        <v>19.168091199999999</v>
      </c>
      <c r="T231" s="33">
        <v>17.401709400000001</v>
      </c>
      <c r="U231" s="33">
        <v>63.430199399999999</v>
      </c>
      <c r="V231" s="33">
        <v>60.450301099999997</v>
      </c>
      <c r="W231" s="33">
        <v>45.9376909</v>
      </c>
      <c r="X231" s="33">
        <v>14.512610199999999</v>
      </c>
      <c r="Y231" s="33">
        <v>39.549698900000003</v>
      </c>
    </row>
    <row r="232" spans="2:25" ht="15" hidden="1" customHeight="1">
      <c r="B232" s="25">
        <v>227</v>
      </c>
      <c r="C232" s="26" t="s">
        <v>21</v>
      </c>
      <c r="D232" s="26" t="s">
        <v>56</v>
      </c>
      <c r="E232" s="26" t="s">
        <v>89</v>
      </c>
      <c r="F232" s="26" t="s">
        <v>90</v>
      </c>
      <c r="G232" s="27" t="s">
        <v>15</v>
      </c>
      <c r="H232" s="28">
        <v>1125</v>
      </c>
      <c r="I232" s="28">
        <v>855</v>
      </c>
      <c r="J232" s="28">
        <v>403</v>
      </c>
      <c r="K232" s="28">
        <v>452</v>
      </c>
      <c r="L232" s="28">
        <v>270</v>
      </c>
      <c r="M232" s="28">
        <v>1792</v>
      </c>
      <c r="N232" s="28">
        <v>1540</v>
      </c>
      <c r="O232" s="28">
        <v>1310</v>
      </c>
      <c r="P232" s="28">
        <v>230</v>
      </c>
      <c r="Q232" s="28">
        <v>252</v>
      </c>
      <c r="R232" s="29">
        <v>76</v>
      </c>
      <c r="S232" s="29">
        <v>35.822222199999999</v>
      </c>
      <c r="T232" s="29">
        <v>40.177777800000001</v>
      </c>
      <c r="U232" s="29">
        <v>24</v>
      </c>
      <c r="V232" s="29">
        <v>85.9375</v>
      </c>
      <c r="W232" s="29">
        <v>73.102678600000004</v>
      </c>
      <c r="X232" s="29">
        <v>12.834821399999999</v>
      </c>
      <c r="Y232" s="29">
        <v>14.0625</v>
      </c>
    </row>
    <row r="233" spans="2:25" ht="15" hidden="1" customHeight="1">
      <c r="B233" s="25">
        <v>228</v>
      </c>
      <c r="C233" s="26" t="s">
        <v>21</v>
      </c>
      <c r="D233" s="26" t="s">
        <v>56</v>
      </c>
      <c r="E233" s="26" t="s">
        <v>89</v>
      </c>
      <c r="F233" s="26" t="s">
        <v>90</v>
      </c>
      <c r="G233" s="27" t="s">
        <v>16</v>
      </c>
      <c r="H233" s="28">
        <v>7650</v>
      </c>
      <c r="I233" s="28">
        <v>2354</v>
      </c>
      <c r="J233" s="28">
        <v>1279</v>
      </c>
      <c r="K233" s="28">
        <v>1075</v>
      </c>
      <c r="L233" s="28">
        <v>5296</v>
      </c>
      <c r="M233" s="28">
        <v>9667</v>
      </c>
      <c r="N233" s="28">
        <v>5387</v>
      </c>
      <c r="O233" s="28">
        <v>3954</v>
      </c>
      <c r="P233" s="28">
        <v>1433</v>
      </c>
      <c r="Q233" s="28">
        <v>4280</v>
      </c>
      <c r="R233" s="29">
        <v>30.771241799999999</v>
      </c>
      <c r="S233" s="29">
        <v>16.718954199999999</v>
      </c>
      <c r="T233" s="29">
        <v>14.0522876</v>
      </c>
      <c r="U233" s="29">
        <v>69.228758200000001</v>
      </c>
      <c r="V233" s="29">
        <v>55.725664600000002</v>
      </c>
      <c r="W233" s="29">
        <v>40.902037900000003</v>
      </c>
      <c r="X233" s="29">
        <v>14.8236268</v>
      </c>
      <c r="Y233" s="29">
        <v>44.274335399999998</v>
      </c>
    </row>
    <row r="234" spans="2:25" ht="15" customHeight="1">
      <c r="B234" s="30">
        <v>229</v>
      </c>
      <c r="C234" s="31" t="s">
        <v>21</v>
      </c>
      <c r="D234" s="36" t="s">
        <v>56</v>
      </c>
      <c r="E234" s="36" t="s">
        <v>89</v>
      </c>
      <c r="F234" s="36" t="s">
        <v>91</v>
      </c>
      <c r="G234" s="37" t="s">
        <v>91</v>
      </c>
      <c r="H234" s="32">
        <v>4681</v>
      </c>
      <c r="I234" s="32">
        <v>2013</v>
      </c>
      <c r="J234" s="32">
        <v>1135</v>
      </c>
      <c r="K234" s="32">
        <v>878</v>
      </c>
      <c r="L234" s="32">
        <v>2668</v>
      </c>
      <c r="M234" s="32">
        <v>6269</v>
      </c>
      <c r="N234" s="32">
        <v>4440</v>
      </c>
      <c r="O234" s="32">
        <v>3221</v>
      </c>
      <c r="P234" s="32">
        <v>1219</v>
      </c>
      <c r="Q234" s="32">
        <v>1829</v>
      </c>
      <c r="R234" s="33">
        <v>43.0036317</v>
      </c>
      <c r="S234" s="33">
        <v>24.246955799999999</v>
      </c>
      <c r="T234" s="33">
        <v>18.756675900000001</v>
      </c>
      <c r="U234" s="33">
        <v>56.9963683</v>
      </c>
      <c r="V234" s="33">
        <v>70.824692900000002</v>
      </c>
      <c r="W234" s="33">
        <v>51.379805400000002</v>
      </c>
      <c r="X234" s="33">
        <v>19.4448875</v>
      </c>
      <c r="Y234" s="33">
        <v>29.175307100000001</v>
      </c>
    </row>
    <row r="235" spans="2:25" ht="15" hidden="1" customHeight="1">
      <c r="B235" s="25">
        <v>230</v>
      </c>
      <c r="C235" s="26" t="s">
        <v>21</v>
      </c>
      <c r="D235" s="26" t="s">
        <v>56</v>
      </c>
      <c r="E235" s="26" t="s">
        <v>89</v>
      </c>
      <c r="F235" s="26" t="s">
        <v>91</v>
      </c>
      <c r="G235" s="27" t="s">
        <v>15</v>
      </c>
      <c r="H235" s="28">
        <v>1290</v>
      </c>
      <c r="I235" s="28">
        <v>993</v>
      </c>
      <c r="J235" s="28">
        <v>519</v>
      </c>
      <c r="K235" s="28">
        <v>474</v>
      </c>
      <c r="L235" s="28">
        <v>297</v>
      </c>
      <c r="M235" s="28">
        <v>1505</v>
      </c>
      <c r="N235" s="28">
        <v>1403</v>
      </c>
      <c r="O235" s="28">
        <v>1012</v>
      </c>
      <c r="P235" s="28">
        <v>391</v>
      </c>
      <c r="Q235" s="28">
        <v>102</v>
      </c>
      <c r="R235" s="29">
        <v>76.976744199999999</v>
      </c>
      <c r="S235" s="29">
        <v>40.232558099999999</v>
      </c>
      <c r="T235" s="29">
        <v>36.744185999999999</v>
      </c>
      <c r="U235" s="29">
        <v>23.023255800000001</v>
      </c>
      <c r="V235" s="29">
        <v>93.222591399999999</v>
      </c>
      <c r="W235" s="29">
        <v>67.242524900000006</v>
      </c>
      <c r="X235" s="29">
        <v>25.980066399999998</v>
      </c>
      <c r="Y235" s="29">
        <v>6.7774086000000002</v>
      </c>
    </row>
    <row r="236" spans="2:25" ht="15" hidden="1" customHeight="1">
      <c r="B236" s="25">
        <v>231</v>
      </c>
      <c r="C236" s="26" t="s">
        <v>21</v>
      </c>
      <c r="D236" s="26" t="s">
        <v>56</v>
      </c>
      <c r="E236" s="26" t="s">
        <v>89</v>
      </c>
      <c r="F236" s="26" t="s">
        <v>91</v>
      </c>
      <c r="G236" s="27" t="s">
        <v>16</v>
      </c>
      <c r="H236" s="28">
        <v>3391</v>
      </c>
      <c r="I236" s="28">
        <v>1020</v>
      </c>
      <c r="J236" s="28">
        <v>616</v>
      </c>
      <c r="K236" s="28">
        <v>404</v>
      </c>
      <c r="L236" s="28">
        <v>2371</v>
      </c>
      <c r="M236" s="28">
        <v>4764</v>
      </c>
      <c r="N236" s="28">
        <v>3037</v>
      </c>
      <c r="O236" s="28">
        <v>2209</v>
      </c>
      <c r="P236" s="28">
        <v>828</v>
      </c>
      <c r="Q236" s="28">
        <v>1727</v>
      </c>
      <c r="R236" s="29">
        <v>30.079622499999999</v>
      </c>
      <c r="S236" s="29">
        <v>18.165732800000001</v>
      </c>
      <c r="T236" s="29">
        <v>11.9138897</v>
      </c>
      <c r="U236" s="29">
        <v>69.920377500000001</v>
      </c>
      <c r="V236" s="29">
        <v>63.748950499999999</v>
      </c>
      <c r="W236" s="29">
        <v>46.368597800000003</v>
      </c>
      <c r="X236" s="29">
        <v>17.380352599999998</v>
      </c>
      <c r="Y236" s="29">
        <v>36.251049500000001</v>
      </c>
    </row>
    <row r="237" spans="2:25" ht="15" customHeight="1">
      <c r="B237" s="30">
        <v>232</v>
      </c>
      <c r="C237" s="31" t="s">
        <v>21</v>
      </c>
      <c r="D237" s="36" t="s">
        <v>56</v>
      </c>
      <c r="E237" s="36" t="s">
        <v>89</v>
      </c>
      <c r="F237" s="36" t="s">
        <v>92</v>
      </c>
      <c r="G237" s="37" t="s">
        <v>92</v>
      </c>
      <c r="H237" s="32">
        <v>2980</v>
      </c>
      <c r="I237" s="32">
        <v>1258</v>
      </c>
      <c r="J237" s="32">
        <v>489</v>
      </c>
      <c r="K237" s="32">
        <v>769</v>
      </c>
      <c r="L237" s="32">
        <v>1722</v>
      </c>
      <c r="M237" s="32">
        <v>4152</v>
      </c>
      <c r="N237" s="32">
        <v>2733</v>
      </c>
      <c r="O237" s="32">
        <v>1822</v>
      </c>
      <c r="P237" s="32">
        <v>911</v>
      </c>
      <c r="Q237" s="32">
        <v>1419</v>
      </c>
      <c r="R237" s="33">
        <v>42.214765100000001</v>
      </c>
      <c r="S237" s="33">
        <v>16.409396000000001</v>
      </c>
      <c r="T237" s="33">
        <v>25.8053691</v>
      </c>
      <c r="U237" s="33">
        <v>57.785234899999999</v>
      </c>
      <c r="V237" s="33">
        <v>65.823699399999995</v>
      </c>
      <c r="W237" s="33">
        <v>43.882466299999997</v>
      </c>
      <c r="X237" s="33">
        <v>21.941233100000002</v>
      </c>
      <c r="Y237" s="33">
        <v>34.176300599999998</v>
      </c>
    </row>
    <row r="238" spans="2:25" ht="15" hidden="1" customHeight="1">
      <c r="B238" s="25">
        <v>233</v>
      </c>
      <c r="C238" s="26" t="s">
        <v>21</v>
      </c>
      <c r="D238" s="26" t="s">
        <v>56</v>
      </c>
      <c r="E238" s="26" t="s">
        <v>89</v>
      </c>
      <c r="F238" s="26" t="s">
        <v>92</v>
      </c>
      <c r="G238" s="27" t="s">
        <v>15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9"/>
      <c r="S238" s="29"/>
      <c r="T238" s="29"/>
      <c r="U238" s="29"/>
      <c r="V238" s="29"/>
      <c r="W238" s="29"/>
      <c r="X238" s="29"/>
      <c r="Y238" s="29"/>
    </row>
    <row r="239" spans="2:25" ht="15" hidden="1" customHeight="1">
      <c r="B239" s="25">
        <v>234</v>
      </c>
      <c r="C239" s="26" t="s">
        <v>21</v>
      </c>
      <c r="D239" s="26" t="s">
        <v>56</v>
      </c>
      <c r="E239" s="26" t="s">
        <v>89</v>
      </c>
      <c r="F239" s="26" t="s">
        <v>92</v>
      </c>
      <c r="G239" s="27" t="s">
        <v>16</v>
      </c>
      <c r="H239" s="28">
        <v>2980</v>
      </c>
      <c r="I239" s="28">
        <v>1258</v>
      </c>
      <c r="J239" s="28">
        <v>489</v>
      </c>
      <c r="K239" s="28">
        <v>769</v>
      </c>
      <c r="L239" s="28">
        <v>1722</v>
      </c>
      <c r="M239" s="28">
        <v>4152</v>
      </c>
      <c r="N239" s="28">
        <v>2733</v>
      </c>
      <c r="O239" s="28">
        <v>1822</v>
      </c>
      <c r="P239" s="28">
        <v>911</v>
      </c>
      <c r="Q239" s="28">
        <v>1419</v>
      </c>
      <c r="R239" s="29">
        <v>42.214765100000001</v>
      </c>
      <c r="S239" s="29">
        <v>16.409396000000001</v>
      </c>
      <c r="T239" s="29">
        <v>25.8053691</v>
      </c>
      <c r="U239" s="29">
        <v>57.785234899999999</v>
      </c>
      <c r="V239" s="29">
        <v>65.823699399999995</v>
      </c>
      <c r="W239" s="29">
        <v>43.882466299999997</v>
      </c>
      <c r="X239" s="29">
        <v>21.941233100000002</v>
      </c>
      <c r="Y239" s="29">
        <v>34.176300599999998</v>
      </c>
    </row>
    <row r="240" spans="2:25" ht="15" customHeight="1">
      <c r="B240" s="30">
        <v>235</v>
      </c>
      <c r="C240" s="31" t="s">
        <v>21</v>
      </c>
      <c r="D240" s="36" t="s">
        <v>56</v>
      </c>
      <c r="E240" s="36" t="s">
        <v>89</v>
      </c>
      <c r="F240" s="36" t="s">
        <v>93</v>
      </c>
      <c r="G240" s="37" t="s">
        <v>93</v>
      </c>
      <c r="H240" s="32">
        <v>1027</v>
      </c>
      <c r="I240" s="32">
        <v>369</v>
      </c>
      <c r="J240" s="32">
        <v>193</v>
      </c>
      <c r="K240" s="32">
        <v>176</v>
      </c>
      <c r="L240" s="32">
        <v>658</v>
      </c>
      <c r="M240" s="32">
        <v>1391</v>
      </c>
      <c r="N240" s="32">
        <v>574</v>
      </c>
      <c r="O240" s="32">
        <v>503</v>
      </c>
      <c r="P240" s="32">
        <v>71</v>
      </c>
      <c r="Q240" s="32">
        <v>817</v>
      </c>
      <c r="R240" s="33">
        <v>35.929892899999999</v>
      </c>
      <c r="S240" s="33">
        <v>18.792599800000001</v>
      </c>
      <c r="T240" s="33">
        <v>17.137293100000001</v>
      </c>
      <c r="U240" s="33">
        <v>64.070107100000001</v>
      </c>
      <c r="V240" s="33">
        <v>41.265276800000002</v>
      </c>
      <c r="W240" s="33">
        <v>36.161035200000001</v>
      </c>
      <c r="X240" s="33">
        <v>5.1042415999999999</v>
      </c>
      <c r="Y240" s="33">
        <v>58.734723199999998</v>
      </c>
    </row>
    <row r="241" spans="2:25" ht="15" hidden="1" customHeight="1">
      <c r="B241" s="25">
        <v>236</v>
      </c>
      <c r="C241" s="26" t="s">
        <v>21</v>
      </c>
      <c r="D241" s="26" t="s">
        <v>56</v>
      </c>
      <c r="E241" s="26" t="s">
        <v>89</v>
      </c>
      <c r="F241" s="26" t="s">
        <v>93</v>
      </c>
      <c r="G241" s="27" t="s">
        <v>15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9"/>
      <c r="S241" s="29"/>
      <c r="T241" s="29"/>
      <c r="U241" s="29"/>
      <c r="V241" s="29"/>
      <c r="W241" s="29"/>
      <c r="X241" s="29"/>
      <c r="Y241" s="29"/>
    </row>
    <row r="242" spans="2:25" ht="15" hidden="1" customHeight="1">
      <c r="B242" s="25">
        <v>237</v>
      </c>
      <c r="C242" s="26" t="s">
        <v>21</v>
      </c>
      <c r="D242" s="26" t="s">
        <v>56</v>
      </c>
      <c r="E242" s="26" t="s">
        <v>89</v>
      </c>
      <c r="F242" s="26" t="s">
        <v>93</v>
      </c>
      <c r="G242" s="27" t="s">
        <v>16</v>
      </c>
      <c r="H242" s="28">
        <v>1027</v>
      </c>
      <c r="I242" s="28">
        <v>369</v>
      </c>
      <c r="J242" s="28">
        <v>193</v>
      </c>
      <c r="K242" s="28">
        <v>176</v>
      </c>
      <c r="L242" s="28">
        <v>658</v>
      </c>
      <c r="M242" s="28">
        <v>1391</v>
      </c>
      <c r="N242" s="28">
        <v>574</v>
      </c>
      <c r="O242" s="28">
        <v>503</v>
      </c>
      <c r="P242" s="28">
        <v>71</v>
      </c>
      <c r="Q242" s="28">
        <v>817</v>
      </c>
      <c r="R242" s="29">
        <v>35.929892899999999</v>
      </c>
      <c r="S242" s="29">
        <v>18.792599800000001</v>
      </c>
      <c r="T242" s="29">
        <v>17.137293100000001</v>
      </c>
      <c r="U242" s="29">
        <v>64.070107100000001</v>
      </c>
      <c r="V242" s="29">
        <v>41.265276800000002</v>
      </c>
      <c r="W242" s="29">
        <v>36.161035200000001</v>
      </c>
      <c r="X242" s="29">
        <v>5.1042415999999999</v>
      </c>
      <c r="Y242" s="29">
        <v>58.734723199999998</v>
      </c>
    </row>
    <row r="243" spans="2:25" ht="15" customHeight="1">
      <c r="B243" s="30">
        <v>238</v>
      </c>
      <c r="C243" s="31" t="s">
        <v>21</v>
      </c>
      <c r="D243" s="36" t="s">
        <v>56</v>
      </c>
      <c r="E243" s="36" t="s">
        <v>89</v>
      </c>
      <c r="F243" s="36" t="s">
        <v>94</v>
      </c>
      <c r="G243" s="37" t="s">
        <v>94</v>
      </c>
      <c r="H243" s="32">
        <v>994</v>
      </c>
      <c r="I243" s="32">
        <v>285</v>
      </c>
      <c r="J243" s="32">
        <v>184</v>
      </c>
      <c r="K243" s="32">
        <v>101</v>
      </c>
      <c r="L243" s="32">
        <v>709</v>
      </c>
      <c r="M243" s="32">
        <v>1425</v>
      </c>
      <c r="N243" s="32">
        <v>589</v>
      </c>
      <c r="O243" s="32">
        <v>483</v>
      </c>
      <c r="P243" s="32">
        <v>106</v>
      </c>
      <c r="Q243" s="32">
        <v>836</v>
      </c>
      <c r="R243" s="33">
        <v>28.6720322</v>
      </c>
      <c r="S243" s="33">
        <v>18.511066400000001</v>
      </c>
      <c r="T243" s="33">
        <v>10.1609658</v>
      </c>
      <c r="U243" s="33">
        <v>71.327967799999996</v>
      </c>
      <c r="V243" s="33">
        <v>41.3333333</v>
      </c>
      <c r="W243" s="33">
        <v>33.894736799999997</v>
      </c>
      <c r="X243" s="33">
        <v>7.4385965000000001</v>
      </c>
      <c r="Y243" s="33">
        <v>58.6666667</v>
      </c>
    </row>
    <row r="244" spans="2:25" ht="15" hidden="1" customHeight="1">
      <c r="B244" s="25">
        <v>239</v>
      </c>
      <c r="C244" s="26" t="s">
        <v>21</v>
      </c>
      <c r="D244" s="26" t="s">
        <v>56</v>
      </c>
      <c r="E244" s="26" t="s">
        <v>89</v>
      </c>
      <c r="F244" s="26" t="s">
        <v>94</v>
      </c>
      <c r="G244" s="27" t="s">
        <v>15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9"/>
      <c r="S244" s="29"/>
      <c r="T244" s="29"/>
      <c r="U244" s="29"/>
      <c r="V244" s="29"/>
      <c r="W244" s="29"/>
      <c r="X244" s="29"/>
      <c r="Y244" s="29"/>
    </row>
    <row r="245" spans="2:25" ht="15" hidden="1" customHeight="1">
      <c r="B245" s="25">
        <v>240</v>
      </c>
      <c r="C245" s="26" t="s">
        <v>21</v>
      </c>
      <c r="D245" s="26" t="s">
        <v>56</v>
      </c>
      <c r="E245" s="26" t="s">
        <v>89</v>
      </c>
      <c r="F245" s="26" t="s">
        <v>94</v>
      </c>
      <c r="G245" s="27" t="s">
        <v>16</v>
      </c>
      <c r="H245" s="28">
        <v>994</v>
      </c>
      <c r="I245" s="28">
        <v>285</v>
      </c>
      <c r="J245" s="28">
        <v>184</v>
      </c>
      <c r="K245" s="28">
        <v>101</v>
      </c>
      <c r="L245" s="28">
        <v>709</v>
      </c>
      <c r="M245" s="28">
        <v>1425</v>
      </c>
      <c r="N245" s="28">
        <v>589</v>
      </c>
      <c r="O245" s="28">
        <v>483</v>
      </c>
      <c r="P245" s="28">
        <v>106</v>
      </c>
      <c r="Q245" s="28">
        <v>836</v>
      </c>
      <c r="R245" s="29">
        <v>28.6720322</v>
      </c>
      <c r="S245" s="29">
        <v>18.511066400000001</v>
      </c>
      <c r="T245" s="29">
        <v>10.1609658</v>
      </c>
      <c r="U245" s="29">
        <v>71.327967799999996</v>
      </c>
      <c r="V245" s="29">
        <v>41.3333333</v>
      </c>
      <c r="W245" s="29">
        <v>33.894736799999997</v>
      </c>
      <c r="X245" s="29">
        <v>7.4385965000000001</v>
      </c>
      <c r="Y245" s="29">
        <v>58.6666667</v>
      </c>
    </row>
    <row r="246" spans="2:25" ht="15" customHeight="1">
      <c r="B246" s="30">
        <v>241</v>
      </c>
      <c r="C246" s="31" t="s">
        <v>21</v>
      </c>
      <c r="D246" s="36" t="s">
        <v>56</v>
      </c>
      <c r="E246" s="36" t="s">
        <v>89</v>
      </c>
      <c r="F246" s="36" t="s">
        <v>95</v>
      </c>
      <c r="G246" s="37" t="s">
        <v>95</v>
      </c>
      <c r="H246" s="32">
        <v>3457</v>
      </c>
      <c r="I246" s="32">
        <v>1698</v>
      </c>
      <c r="J246" s="32">
        <v>896</v>
      </c>
      <c r="K246" s="32">
        <v>802</v>
      </c>
      <c r="L246" s="32">
        <v>1759</v>
      </c>
      <c r="M246" s="32">
        <v>3243</v>
      </c>
      <c r="N246" s="32">
        <v>2457</v>
      </c>
      <c r="O246" s="32">
        <v>1728</v>
      </c>
      <c r="P246" s="32">
        <v>729</v>
      </c>
      <c r="Q246" s="32">
        <v>786</v>
      </c>
      <c r="R246" s="33">
        <v>49.117732099999998</v>
      </c>
      <c r="S246" s="33">
        <v>25.918426400000001</v>
      </c>
      <c r="T246" s="33">
        <v>23.199305800000001</v>
      </c>
      <c r="U246" s="33">
        <v>50.882267900000002</v>
      </c>
      <c r="V246" s="33">
        <v>75.763182200000003</v>
      </c>
      <c r="W246" s="33">
        <v>53.283996299999998</v>
      </c>
      <c r="X246" s="33">
        <v>22.479185900000001</v>
      </c>
      <c r="Y246" s="33">
        <v>24.236817800000001</v>
      </c>
    </row>
    <row r="247" spans="2:25" ht="15" hidden="1" customHeight="1">
      <c r="B247" s="25">
        <v>242</v>
      </c>
      <c r="C247" s="26" t="s">
        <v>21</v>
      </c>
      <c r="D247" s="26" t="s">
        <v>56</v>
      </c>
      <c r="E247" s="26" t="s">
        <v>89</v>
      </c>
      <c r="F247" s="26" t="s">
        <v>95</v>
      </c>
      <c r="G247" s="27" t="s">
        <v>15</v>
      </c>
      <c r="H247" s="28">
        <v>740</v>
      </c>
      <c r="I247" s="28">
        <v>548</v>
      </c>
      <c r="J247" s="28">
        <v>246</v>
      </c>
      <c r="K247" s="28">
        <v>302</v>
      </c>
      <c r="L247" s="28">
        <v>192</v>
      </c>
      <c r="M247" s="28">
        <v>893</v>
      </c>
      <c r="N247" s="28">
        <v>777</v>
      </c>
      <c r="O247" s="28">
        <v>576</v>
      </c>
      <c r="P247" s="28">
        <v>201</v>
      </c>
      <c r="Q247" s="28">
        <v>116</v>
      </c>
      <c r="R247" s="29">
        <v>74.054054100000002</v>
      </c>
      <c r="S247" s="29">
        <v>33.243243200000002</v>
      </c>
      <c r="T247" s="29">
        <v>40.810810799999999</v>
      </c>
      <c r="U247" s="29">
        <v>25.945945900000002</v>
      </c>
      <c r="V247" s="29">
        <v>87.010078399999998</v>
      </c>
      <c r="W247" s="29">
        <v>64.501679699999997</v>
      </c>
      <c r="X247" s="29">
        <v>22.508398700000001</v>
      </c>
      <c r="Y247" s="29">
        <v>12.989921600000001</v>
      </c>
    </row>
    <row r="248" spans="2:25" ht="15" hidden="1" customHeight="1">
      <c r="B248" s="25">
        <v>243</v>
      </c>
      <c r="C248" s="26" t="s">
        <v>21</v>
      </c>
      <c r="D248" s="26" t="s">
        <v>56</v>
      </c>
      <c r="E248" s="26" t="s">
        <v>89</v>
      </c>
      <c r="F248" s="26" t="s">
        <v>95</v>
      </c>
      <c r="G248" s="27" t="s">
        <v>16</v>
      </c>
      <c r="H248" s="28">
        <v>2717</v>
      </c>
      <c r="I248" s="28">
        <v>1150</v>
      </c>
      <c r="J248" s="28">
        <v>650</v>
      </c>
      <c r="K248" s="28">
        <v>500</v>
      </c>
      <c r="L248" s="28">
        <v>1567</v>
      </c>
      <c r="M248" s="28">
        <v>2350</v>
      </c>
      <c r="N248" s="28">
        <v>1680</v>
      </c>
      <c r="O248" s="28">
        <v>1152</v>
      </c>
      <c r="P248" s="28">
        <v>528</v>
      </c>
      <c r="Q248" s="28">
        <v>670</v>
      </c>
      <c r="R248" s="29">
        <v>42.326095000000002</v>
      </c>
      <c r="S248" s="29">
        <v>23.923445000000001</v>
      </c>
      <c r="T248" s="29">
        <v>18.402650000000001</v>
      </c>
      <c r="U248" s="29">
        <v>57.673904999999998</v>
      </c>
      <c r="V248" s="29">
        <v>71.489361700000003</v>
      </c>
      <c r="W248" s="29">
        <v>49.0212766</v>
      </c>
      <c r="X248" s="29">
        <v>22.4680851</v>
      </c>
      <c r="Y248" s="29">
        <v>28.5106383</v>
      </c>
    </row>
    <row r="249" spans="2:25" ht="15" customHeight="1">
      <c r="B249" s="30">
        <v>244</v>
      </c>
      <c r="C249" s="31" t="s">
        <v>21</v>
      </c>
      <c r="D249" s="36" t="s">
        <v>56</v>
      </c>
      <c r="E249" s="36" t="s">
        <v>89</v>
      </c>
      <c r="F249" s="36" t="s">
        <v>96</v>
      </c>
      <c r="G249" s="37" t="s">
        <v>96</v>
      </c>
      <c r="H249" s="32">
        <v>4050</v>
      </c>
      <c r="I249" s="32">
        <v>1910</v>
      </c>
      <c r="J249" s="32">
        <v>817</v>
      </c>
      <c r="K249" s="32">
        <v>1093</v>
      </c>
      <c r="L249" s="32">
        <v>2140</v>
      </c>
      <c r="M249" s="32">
        <v>6898</v>
      </c>
      <c r="N249" s="32">
        <v>5666</v>
      </c>
      <c r="O249" s="32">
        <v>3654</v>
      </c>
      <c r="P249" s="32">
        <v>2012</v>
      </c>
      <c r="Q249" s="32">
        <v>1232</v>
      </c>
      <c r="R249" s="33">
        <v>47.160493799999998</v>
      </c>
      <c r="S249" s="33">
        <v>20.172839499999998</v>
      </c>
      <c r="T249" s="33">
        <v>26.987654299999999</v>
      </c>
      <c r="U249" s="33">
        <v>52.839506200000002</v>
      </c>
      <c r="V249" s="33">
        <v>82.139750699999993</v>
      </c>
      <c r="W249" s="33">
        <v>52.971875900000001</v>
      </c>
      <c r="X249" s="33">
        <v>29.167874699999999</v>
      </c>
      <c r="Y249" s="33">
        <v>17.8602493</v>
      </c>
    </row>
    <row r="250" spans="2:25" ht="15" hidden="1" customHeight="1">
      <c r="B250" s="25">
        <v>245</v>
      </c>
      <c r="C250" s="26" t="s">
        <v>21</v>
      </c>
      <c r="D250" s="26" t="s">
        <v>56</v>
      </c>
      <c r="E250" s="26" t="s">
        <v>89</v>
      </c>
      <c r="F250" s="26" t="s">
        <v>96</v>
      </c>
      <c r="G250" s="27" t="s">
        <v>15</v>
      </c>
      <c r="H250" s="28">
        <v>1773</v>
      </c>
      <c r="I250" s="28">
        <v>1310</v>
      </c>
      <c r="J250" s="28">
        <v>614</v>
      </c>
      <c r="K250" s="28">
        <v>696</v>
      </c>
      <c r="L250" s="28">
        <v>463</v>
      </c>
      <c r="M250" s="28">
        <v>3465</v>
      </c>
      <c r="N250" s="28">
        <v>3256</v>
      </c>
      <c r="O250" s="28">
        <v>2001</v>
      </c>
      <c r="P250" s="28">
        <v>1255</v>
      </c>
      <c r="Q250" s="28">
        <v>209</v>
      </c>
      <c r="R250" s="29">
        <v>73.886068800000004</v>
      </c>
      <c r="S250" s="29">
        <v>34.630569700000002</v>
      </c>
      <c r="T250" s="29">
        <v>39.255499200000003</v>
      </c>
      <c r="U250" s="29">
        <v>26.1139312</v>
      </c>
      <c r="V250" s="29">
        <v>93.968254000000002</v>
      </c>
      <c r="W250" s="29">
        <v>57.7489177</v>
      </c>
      <c r="X250" s="29">
        <v>36.219336200000001</v>
      </c>
      <c r="Y250" s="29">
        <v>6.0317460000000001</v>
      </c>
    </row>
    <row r="251" spans="2:25" ht="15" hidden="1" customHeight="1">
      <c r="B251" s="25">
        <v>246</v>
      </c>
      <c r="C251" s="26" t="s">
        <v>21</v>
      </c>
      <c r="D251" s="26" t="s">
        <v>56</v>
      </c>
      <c r="E251" s="26" t="s">
        <v>89</v>
      </c>
      <c r="F251" s="26" t="s">
        <v>96</v>
      </c>
      <c r="G251" s="27" t="s">
        <v>16</v>
      </c>
      <c r="H251" s="28">
        <v>2277</v>
      </c>
      <c r="I251" s="28">
        <v>600</v>
      </c>
      <c r="J251" s="28">
        <v>203</v>
      </c>
      <c r="K251" s="28">
        <v>397</v>
      </c>
      <c r="L251" s="28">
        <v>1677</v>
      </c>
      <c r="M251" s="28">
        <v>3433</v>
      </c>
      <c r="N251" s="28">
        <v>2410</v>
      </c>
      <c r="O251" s="28">
        <v>1653</v>
      </c>
      <c r="P251" s="28">
        <v>757</v>
      </c>
      <c r="Q251" s="28">
        <v>1023</v>
      </c>
      <c r="R251" s="29">
        <v>26.3504611</v>
      </c>
      <c r="S251" s="29">
        <v>8.9152394000000008</v>
      </c>
      <c r="T251" s="29">
        <v>17.435221800000001</v>
      </c>
      <c r="U251" s="29">
        <v>73.649538899999996</v>
      </c>
      <c r="V251" s="29">
        <v>70.200990399999995</v>
      </c>
      <c r="W251" s="29">
        <v>48.150305899999999</v>
      </c>
      <c r="X251" s="29">
        <v>22.050684499999999</v>
      </c>
      <c r="Y251" s="29">
        <v>29.799009600000002</v>
      </c>
    </row>
    <row r="252" spans="2:25" ht="15" customHeight="1">
      <c r="B252" s="30">
        <v>247</v>
      </c>
      <c r="C252" s="31" t="s">
        <v>21</v>
      </c>
      <c r="D252" s="36" t="s">
        <v>56</v>
      </c>
      <c r="E252" s="36" t="s">
        <v>89</v>
      </c>
      <c r="F252" s="36" t="s">
        <v>97</v>
      </c>
      <c r="G252" s="37" t="s">
        <v>97</v>
      </c>
      <c r="H252" s="32">
        <v>3487</v>
      </c>
      <c r="I252" s="32">
        <v>1349</v>
      </c>
      <c r="J252" s="32">
        <v>901</v>
      </c>
      <c r="K252" s="32">
        <v>448</v>
      </c>
      <c r="L252" s="32">
        <v>2138</v>
      </c>
      <c r="M252" s="32">
        <v>4602</v>
      </c>
      <c r="N252" s="32">
        <v>2823</v>
      </c>
      <c r="O252" s="32">
        <v>2404</v>
      </c>
      <c r="P252" s="32">
        <v>419</v>
      </c>
      <c r="Q252" s="32">
        <v>1779</v>
      </c>
      <c r="R252" s="33">
        <v>38.686549999999997</v>
      </c>
      <c r="S252" s="33">
        <v>25.8388299</v>
      </c>
      <c r="T252" s="33">
        <v>12.8477201</v>
      </c>
      <c r="U252" s="33">
        <v>61.313450000000003</v>
      </c>
      <c r="V252" s="33">
        <v>61.342894399999999</v>
      </c>
      <c r="W252" s="33">
        <v>52.238157299999997</v>
      </c>
      <c r="X252" s="33">
        <v>9.1047370999999995</v>
      </c>
      <c r="Y252" s="33">
        <v>38.657105600000001</v>
      </c>
    </row>
    <row r="253" spans="2:25" ht="15" hidden="1" customHeight="1">
      <c r="B253" s="25">
        <v>248</v>
      </c>
      <c r="C253" s="26" t="s">
        <v>21</v>
      </c>
      <c r="D253" s="26" t="s">
        <v>56</v>
      </c>
      <c r="E253" s="26" t="s">
        <v>89</v>
      </c>
      <c r="F253" s="26" t="s">
        <v>97</v>
      </c>
      <c r="G253" s="27" t="s">
        <v>15</v>
      </c>
      <c r="H253" s="28"/>
      <c r="I253" s="28"/>
      <c r="J253" s="28"/>
      <c r="K253" s="28"/>
      <c r="L253" s="28"/>
      <c r="M253" s="28">
        <v>935</v>
      </c>
      <c r="N253" s="28">
        <v>833</v>
      </c>
      <c r="O253" s="28">
        <v>628</v>
      </c>
      <c r="P253" s="28">
        <v>205</v>
      </c>
      <c r="Q253" s="28">
        <v>102</v>
      </c>
      <c r="R253" s="29"/>
      <c r="S253" s="29"/>
      <c r="T253" s="29"/>
      <c r="U253" s="29"/>
      <c r="V253" s="29">
        <v>89.090909100000005</v>
      </c>
      <c r="W253" s="29">
        <v>67.165775400000001</v>
      </c>
      <c r="X253" s="29">
        <v>21.9251337</v>
      </c>
      <c r="Y253" s="29">
        <v>10.909090900000001</v>
      </c>
    </row>
    <row r="254" spans="2:25" ht="15" hidden="1" customHeight="1">
      <c r="B254" s="25">
        <v>249</v>
      </c>
      <c r="C254" s="26" t="s">
        <v>21</v>
      </c>
      <c r="D254" s="26" t="s">
        <v>56</v>
      </c>
      <c r="E254" s="26" t="s">
        <v>89</v>
      </c>
      <c r="F254" s="26" t="s">
        <v>97</v>
      </c>
      <c r="G254" s="27" t="s">
        <v>16</v>
      </c>
      <c r="H254" s="28">
        <v>3487</v>
      </c>
      <c r="I254" s="28">
        <v>1349</v>
      </c>
      <c r="J254" s="28">
        <v>901</v>
      </c>
      <c r="K254" s="28">
        <v>448</v>
      </c>
      <c r="L254" s="28">
        <v>2138</v>
      </c>
      <c r="M254" s="28">
        <v>3667</v>
      </c>
      <c r="N254" s="28">
        <v>1990</v>
      </c>
      <c r="O254" s="28">
        <v>1776</v>
      </c>
      <c r="P254" s="28">
        <v>214</v>
      </c>
      <c r="Q254" s="28">
        <v>1677</v>
      </c>
      <c r="R254" s="29">
        <v>38.686549999999997</v>
      </c>
      <c r="S254" s="29">
        <v>25.8388299</v>
      </c>
      <c r="T254" s="29">
        <v>12.8477201</v>
      </c>
      <c r="U254" s="29">
        <v>61.313450000000003</v>
      </c>
      <c r="V254" s="29">
        <v>54.2677938</v>
      </c>
      <c r="W254" s="29">
        <v>48.431960699999998</v>
      </c>
      <c r="X254" s="29">
        <v>5.8358331000000003</v>
      </c>
      <c r="Y254" s="29">
        <v>45.7322062</v>
      </c>
    </row>
    <row r="255" spans="2:25" ht="15" hidden="1" customHeight="1">
      <c r="B255" s="21">
        <v>250</v>
      </c>
      <c r="C255" s="22" t="s">
        <v>19</v>
      </c>
      <c r="D255" s="35" t="s">
        <v>56</v>
      </c>
      <c r="E255" s="35" t="s">
        <v>98</v>
      </c>
      <c r="F255" s="35"/>
      <c r="G255" s="22" t="s">
        <v>98</v>
      </c>
      <c r="H255" s="23">
        <v>6855</v>
      </c>
      <c r="I255" s="23">
        <v>2511</v>
      </c>
      <c r="J255" s="23">
        <v>1447</v>
      </c>
      <c r="K255" s="23">
        <v>1064</v>
      </c>
      <c r="L255" s="23">
        <v>4344</v>
      </c>
      <c r="M255" s="23">
        <v>9232</v>
      </c>
      <c r="N255" s="23">
        <v>5060</v>
      </c>
      <c r="O255" s="23">
        <v>4025</v>
      </c>
      <c r="P255" s="23">
        <v>1035</v>
      </c>
      <c r="Q255" s="23">
        <v>4172</v>
      </c>
      <c r="R255" s="24">
        <v>36.630196900000001</v>
      </c>
      <c r="S255" s="24">
        <v>21.108679800000001</v>
      </c>
      <c r="T255" s="24">
        <v>15.521517100000001</v>
      </c>
      <c r="U255" s="24">
        <v>63.369803099999999</v>
      </c>
      <c r="V255" s="24">
        <v>54.809358799999998</v>
      </c>
      <c r="W255" s="24">
        <v>43.598353600000003</v>
      </c>
      <c r="X255" s="24">
        <v>11.211005200000001</v>
      </c>
      <c r="Y255" s="24">
        <v>45.190641200000002</v>
      </c>
    </row>
    <row r="256" spans="2:25" ht="15" hidden="1" customHeight="1">
      <c r="B256" s="25">
        <v>251</v>
      </c>
      <c r="C256" s="26" t="s">
        <v>19</v>
      </c>
      <c r="D256" s="26" t="s">
        <v>56</v>
      </c>
      <c r="E256" s="26" t="s">
        <v>98</v>
      </c>
      <c r="F256" s="26"/>
      <c r="G256" s="27" t="s">
        <v>15</v>
      </c>
      <c r="H256" s="28">
        <v>1420</v>
      </c>
      <c r="I256" s="28">
        <v>760</v>
      </c>
      <c r="J256" s="28">
        <v>441</v>
      </c>
      <c r="K256" s="28">
        <v>319</v>
      </c>
      <c r="L256" s="28">
        <v>660</v>
      </c>
      <c r="M256" s="28">
        <v>1835</v>
      </c>
      <c r="N256" s="28">
        <v>1453</v>
      </c>
      <c r="O256" s="28">
        <v>1205</v>
      </c>
      <c r="P256" s="28">
        <v>248</v>
      </c>
      <c r="Q256" s="28">
        <v>382</v>
      </c>
      <c r="R256" s="29">
        <v>53.521126799999998</v>
      </c>
      <c r="S256" s="29">
        <v>31.056338</v>
      </c>
      <c r="T256" s="29">
        <v>22.4647887</v>
      </c>
      <c r="U256" s="29">
        <v>46.478873200000002</v>
      </c>
      <c r="V256" s="29">
        <v>79.182561300000003</v>
      </c>
      <c r="W256" s="29">
        <v>65.667574900000005</v>
      </c>
      <c r="X256" s="29">
        <v>13.5149864</v>
      </c>
      <c r="Y256" s="29">
        <v>20.8174387</v>
      </c>
    </row>
    <row r="257" spans="2:25" ht="15" hidden="1" customHeight="1">
      <c r="B257" s="25">
        <v>252</v>
      </c>
      <c r="C257" s="26" t="s">
        <v>19</v>
      </c>
      <c r="D257" s="26" t="s">
        <v>56</v>
      </c>
      <c r="E257" s="26" t="s">
        <v>98</v>
      </c>
      <c r="F257" s="26"/>
      <c r="G257" s="27" t="s">
        <v>16</v>
      </c>
      <c r="H257" s="28">
        <v>5435</v>
      </c>
      <c r="I257" s="28">
        <v>1751</v>
      </c>
      <c r="J257" s="28">
        <v>1006</v>
      </c>
      <c r="K257" s="28">
        <v>745</v>
      </c>
      <c r="L257" s="28">
        <v>3684</v>
      </c>
      <c r="M257" s="28">
        <v>7397</v>
      </c>
      <c r="N257" s="28">
        <v>3607</v>
      </c>
      <c r="O257" s="28">
        <v>2820</v>
      </c>
      <c r="P257" s="28">
        <v>787</v>
      </c>
      <c r="Q257" s="28">
        <v>3790</v>
      </c>
      <c r="R257" s="29">
        <v>32.217111299999999</v>
      </c>
      <c r="S257" s="29">
        <v>18.509659599999999</v>
      </c>
      <c r="T257" s="29">
        <v>13.7074517</v>
      </c>
      <c r="U257" s="29">
        <v>67.782888700000001</v>
      </c>
      <c r="V257" s="29">
        <v>48.763012000000003</v>
      </c>
      <c r="W257" s="29">
        <v>38.123563599999997</v>
      </c>
      <c r="X257" s="29">
        <v>10.639448399999999</v>
      </c>
      <c r="Y257" s="29">
        <v>51.236987999999997</v>
      </c>
    </row>
    <row r="258" spans="2:25" ht="15" customHeight="1">
      <c r="B258" s="30">
        <v>253</v>
      </c>
      <c r="C258" s="31" t="s">
        <v>21</v>
      </c>
      <c r="D258" s="36" t="s">
        <v>56</v>
      </c>
      <c r="E258" s="36" t="s">
        <v>98</v>
      </c>
      <c r="F258" s="36" t="s">
        <v>99</v>
      </c>
      <c r="G258" s="37" t="s">
        <v>99</v>
      </c>
      <c r="H258" s="32">
        <v>4625</v>
      </c>
      <c r="I258" s="32">
        <v>1716</v>
      </c>
      <c r="J258" s="32">
        <v>970</v>
      </c>
      <c r="K258" s="32">
        <v>746</v>
      </c>
      <c r="L258" s="32">
        <v>2909</v>
      </c>
      <c r="M258" s="32">
        <v>6164</v>
      </c>
      <c r="N258" s="32">
        <v>2964</v>
      </c>
      <c r="O258" s="32">
        <v>2508</v>
      </c>
      <c r="P258" s="32">
        <v>456</v>
      </c>
      <c r="Q258" s="32">
        <v>3200</v>
      </c>
      <c r="R258" s="33">
        <v>37.102702700000002</v>
      </c>
      <c r="S258" s="33">
        <v>20.972973</v>
      </c>
      <c r="T258" s="33">
        <v>16.129729699999999</v>
      </c>
      <c r="U258" s="33">
        <v>62.897297299999998</v>
      </c>
      <c r="V258" s="33">
        <v>48.085658700000003</v>
      </c>
      <c r="W258" s="33">
        <v>40.687865000000002</v>
      </c>
      <c r="X258" s="33">
        <v>7.3977936</v>
      </c>
      <c r="Y258" s="33">
        <v>51.914341299999997</v>
      </c>
    </row>
    <row r="259" spans="2:25" ht="15" hidden="1" customHeight="1">
      <c r="B259" s="25">
        <v>254</v>
      </c>
      <c r="C259" s="26" t="s">
        <v>21</v>
      </c>
      <c r="D259" s="26" t="s">
        <v>56</v>
      </c>
      <c r="E259" s="26" t="s">
        <v>98</v>
      </c>
      <c r="F259" s="26" t="s">
        <v>99</v>
      </c>
      <c r="G259" s="27" t="s">
        <v>15</v>
      </c>
      <c r="H259" s="28">
        <v>1420</v>
      </c>
      <c r="I259" s="28">
        <v>760</v>
      </c>
      <c r="J259" s="28">
        <v>441</v>
      </c>
      <c r="K259" s="28">
        <v>319</v>
      </c>
      <c r="L259" s="28">
        <v>660</v>
      </c>
      <c r="M259" s="28">
        <v>1835</v>
      </c>
      <c r="N259" s="28">
        <v>1453</v>
      </c>
      <c r="O259" s="28">
        <v>1205</v>
      </c>
      <c r="P259" s="28">
        <v>248</v>
      </c>
      <c r="Q259" s="28">
        <v>382</v>
      </c>
      <c r="R259" s="29">
        <v>53.521126799999998</v>
      </c>
      <c r="S259" s="29">
        <v>31.056338</v>
      </c>
      <c r="T259" s="29">
        <v>22.4647887</v>
      </c>
      <c r="U259" s="29">
        <v>46.478873200000002</v>
      </c>
      <c r="V259" s="29">
        <v>79.182561300000003</v>
      </c>
      <c r="W259" s="29">
        <v>65.667574900000005</v>
      </c>
      <c r="X259" s="29">
        <v>13.5149864</v>
      </c>
      <c r="Y259" s="29">
        <v>20.8174387</v>
      </c>
    </row>
    <row r="260" spans="2:25" ht="15" hidden="1" customHeight="1">
      <c r="B260" s="25">
        <v>255</v>
      </c>
      <c r="C260" s="26" t="s">
        <v>21</v>
      </c>
      <c r="D260" s="26" t="s">
        <v>56</v>
      </c>
      <c r="E260" s="26" t="s">
        <v>98</v>
      </c>
      <c r="F260" s="26" t="s">
        <v>99</v>
      </c>
      <c r="G260" s="27" t="s">
        <v>16</v>
      </c>
      <c r="H260" s="28">
        <v>3205</v>
      </c>
      <c r="I260" s="28">
        <v>956</v>
      </c>
      <c r="J260" s="28">
        <v>529</v>
      </c>
      <c r="K260" s="28">
        <v>427</v>
      </c>
      <c r="L260" s="28">
        <v>2249</v>
      </c>
      <c r="M260" s="28">
        <v>4329</v>
      </c>
      <c r="N260" s="28">
        <v>1511</v>
      </c>
      <c r="O260" s="28">
        <v>1303</v>
      </c>
      <c r="P260" s="28">
        <v>208</v>
      </c>
      <c r="Q260" s="28">
        <v>2818</v>
      </c>
      <c r="R260" s="29">
        <v>29.8283931</v>
      </c>
      <c r="S260" s="29">
        <v>16.505460200000002</v>
      </c>
      <c r="T260" s="29">
        <v>13.3229329</v>
      </c>
      <c r="U260" s="29">
        <v>70.1716069</v>
      </c>
      <c r="V260" s="29">
        <v>34.904134900000003</v>
      </c>
      <c r="W260" s="29">
        <v>30.0993301</v>
      </c>
      <c r="X260" s="29">
        <v>4.8048048000000003</v>
      </c>
      <c r="Y260" s="29">
        <v>65.095865099999997</v>
      </c>
    </row>
    <row r="261" spans="2:25" ht="15" customHeight="1">
      <c r="B261" s="30">
        <v>256</v>
      </c>
      <c r="C261" s="31" t="s">
        <v>21</v>
      </c>
      <c r="D261" s="36" t="s">
        <v>56</v>
      </c>
      <c r="E261" s="36" t="s">
        <v>98</v>
      </c>
      <c r="F261" s="36" t="s">
        <v>100</v>
      </c>
      <c r="G261" s="37" t="s">
        <v>100</v>
      </c>
      <c r="H261" s="32">
        <v>2230</v>
      </c>
      <c r="I261" s="32">
        <v>795</v>
      </c>
      <c r="J261" s="32">
        <v>477</v>
      </c>
      <c r="K261" s="32">
        <v>318</v>
      </c>
      <c r="L261" s="32">
        <v>1435</v>
      </c>
      <c r="M261" s="32">
        <v>3068</v>
      </c>
      <c r="N261" s="32">
        <v>2096</v>
      </c>
      <c r="O261" s="32">
        <v>1517</v>
      </c>
      <c r="P261" s="32">
        <v>579</v>
      </c>
      <c r="Q261" s="32">
        <v>972</v>
      </c>
      <c r="R261" s="33">
        <v>35.650224199999997</v>
      </c>
      <c r="S261" s="33">
        <v>21.390134499999998</v>
      </c>
      <c r="T261" s="33">
        <v>14.2600897</v>
      </c>
      <c r="U261" s="33">
        <v>64.349775800000003</v>
      </c>
      <c r="V261" s="33">
        <v>68.318122599999995</v>
      </c>
      <c r="W261" s="33">
        <v>49.445893099999999</v>
      </c>
      <c r="X261" s="33">
        <v>18.8722295</v>
      </c>
      <c r="Y261" s="33">
        <v>31.681877400000001</v>
      </c>
    </row>
    <row r="262" spans="2:25" ht="15" hidden="1" customHeight="1">
      <c r="B262" s="25">
        <v>257</v>
      </c>
      <c r="C262" s="26" t="s">
        <v>21</v>
      </c>
      <c r="D262" s="26" t="s">
        <v>56</v>
      </c>
      <c r="E262" s="26" t="s">
        <v>98</v>
      </c>
      <c r="F262" s="26" t="s">
        <v>100</v>
      </c>
      <c r="G262" s="27" t="s">
        <v>15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9"/>
      <c r="S262" s="29"/>
      <c r="T262" s="29"/>
      <c r="U262" s="29"/>
      <c r="V262" s="29"/>
      <c r="W262" s="29"/>
      <c r="X262" s="29"/>
      <c r="Y262" s="29"/>
    </row>
    <row r="263" spans="2:25" ht="15" hidden="1" customHeight="1">
      <c r="B263" s="25">
        <v>258</v>
      </c>
      <c r="C263" s="26" t="s">
        <v>21</v>
      </c>
      <c r="D263" s="26" t="s">
        <v>56</v>
      </c>
      <c r="E263" s="26" t="s">
        <v>98</v>
      </c>
      <c r="F263" s="26" t="s">
        <v>100</v>
      </c>
      <c r="G263" s="27" t="s">
        <v>16</v>
      </c>
      <c r="H263" s="28">
        <v>2230</v>
      </c>
      <c r="I263" s="28">
        <v>795</v>
      </c>
      <c r="J263" s="28">
        <v>477</v>
      </c>
      <c r="K263" s="28">
        <v>318</v>
      </c>
      <c r="L263" s="28">
        <v>1435</v>
      </c>
      <c r="M263" s="28">
        <v>3068</v>
      </c>
      <c r="N263" s="28">
        <v>2096</v>
      </c>
      <c r="O263" s="28">
        <v>1517</v>
      </c>
      <c r="P263" s="28">
        <v>579</v>
      </c>
      <c r="Q263" s="28">
        <v>972</v>
      </c>
      <c r="R263" s="29">
        <v>35.650224199999997</v>
      </c>
      <c r="S263" s="29">
        <v>21.390134499999998</v>
      </c>
      <c r="T263" s="29">
        <v>14.2600897</v>
      </c>
      <c r="U263" s="29">
        <v>64.349775800000003</v>
      </c>
      <c r="V263" s="29">
        <v>68.318122599999995</v>
      </c>
      <c r="W263" s="29">
        <v>49.445893099999999</v>
      </c>
      <c r="X263" s="29">
        <v>18.8722295</v>
      </c>
      <c r="Y263" s="29">
        <v>31.681877400000001</v>
      </c>
    </row>
    <row r="264" spans="2:25" ht="15" hidden="1" customHeight="1">
      <c r="B264" s="21">
        <v>259</v>
      </c>
      <c r="C264" s="22" t="s">
        <v>19</v>
      </c>
      <c r="D264" s="35" t="s">
        <v>56</v>
      </c>
      <c r="E264" s="35" t="s">
        <v>101</v>
      </c>
      <c r="F264" s="35"/>
      <c r="G264" s="22" t="s">
        <v>101</v>
      </c>
      <c r="H264" s="23">
        <v>44000</v>
      </c>
      <c r="I264" s="23">
        <v>22413</v>
      </c>
      <c r="J264" s="23">
        <v>12300</v>
      </c>
      <c r="K264" s="23">
        <v>10113</v>
      </c>
      <c r="L264" s="23">
        <v>21587</v>
      </c>
      <c r="M264" s="23">
        <v>64052</v>
      </c>
      <c r="N264" s="23">
        <v>46969</v>
      </c>
      <c r="O264" s="23">
        <v>42428</v>
      </c>
      <c r="P264" s="23">
        <v>4541</v>
      </c>
      <c r="Q264" s="23">
        <v>17083</v>
      </c>
      <c r="R264" s="24">
        <v>50.9386364</v>
      </c>
      <c r="S264" s="24">
        <v>27.954545499999998</v>
      </c>
      <c r="T264" s="24">
        <v>22.984090900000002</v>
      </c>
      <c r="U264" s="24">
        <v>49.0613636</v>
      </c>
      <c r="V264" s="24">
        <v>73.329482299999995</v>
      </c>
      <c r="W264" s="24">
        <v>66.239930099999995</v>
      </c>
      <c r="X264" s="24">
        <v>7.0895522</v>
      </c>
      <c r="Y264" s="24">
        <v>26.670517700000001</v>
      </c>
    </row>
    <row r="265" spans="2:25" ht="15" hidden="1" customHeight="1">
      <c r="B265" s="25">
        <v>260</v>
      </c>
      <c r="C265" s="26" t="s">
        <v>19</v>
      </c>
      <c r="D265" s="26" t="s">
        <v>56</v>
      </c>
      <c r="E265" s="26" t="s">
        <v>101</v>
      </c>
      <c r="F265" s="26"/>
      <c r="G265" s="27" t="s">
        <v>15</v>
      </c>
      <c r="H265" s="28">
        <v>21261</v>
      </c>
      <c r="I265" s="28">
        <v>11762</v>
      </c>
      <c r="J265" s="28">
        <v>7073</v>
      </c>
      <c r="K265" s="28">
        <v>4689</v>
      </c>
      <c r="L265" s="28">
        <v>9499</v>
      </c>
      <c r="M265" s="28">
        <v>34456</v>
      </c>
      <c r="N265" s="28">
        <v>29122</v>
      </c>
      <c r="O265" s="28">
        <v>26512</v>
      </c>
      <c r="P265" s="28">
        <v>2610</v>
      </c>
      <c r="Q265" s="28">
        <v>5334</v>
      </c>
      <c r="R265" s="29">
        <v>55.321950999999999</v>
      </c>
      <c r="S265" s="29">
        <v>33.267485100000002</v>
      </c>
      <c r="T265" s="29">
        <v>22.0544659</v>
      </c>
      <c r="U265" s="29">
        <v>44.678049000000001</v>
      </c>
      <c r="V265" s="29">
        <v>84.519386999999995</v>
      </c>
      <c r="W265" s="29">
        <v>76.944508900000002</v>
      </c>
      <c r="X265" s="29">
        <v>7.5748781000000003</v>
      </c>
      <c r="Y265" s="29">
        <v>15.480613</v>
      </c>
    </row>
    <row r="266" spans="2:25" ht="15" hidden="1" customHeight="1">
      <c r="B266" s="25">
        <v>261</v>
      </c>
      <c r="C266" s="26" t="s">
        <v>19</v>
      </c>
      <c r="D266" s="26" t="s">
        <v>56</v>
      </c>
      <c r="E266" s="26" t="s">
        <v>101</v>
      </c>
      <c r="F266" s="26"/>
      <c r="G266" s="27" t="s">
        <v>16</v>
      </c>
      <c r="H266" s="28">
        <v>22739</v>
      </c>
      <c r="I266" s="28">
        <v>10651</v>
      </c>
      <c r="J266" s="28">
        <v>5227</v>
      </c>
      <c r="K266" s="28">
        <v>5424</v>
      </c>
      <c r="L266" s="28">
        <v>12088</v>
      </c>
      <c r="M266" s="28">
        <v>29596</v>
      </c>
      <c r="N266" s="28">
        <v>17847</v>
      </c>
      <c r="O266" s="28">
        <v>15916</v>
      </c>
      <c r="P266" s="28">
        <v>1931</v>
      </c>
      <c r="Q266" s="28">
        <v>11749</v>
      </c>
      <c r="R266" s="29">
        <v>46.840230400000003</v>
      </c>
      <c r="S266" s="29">
        <v>22.9869387</v>
      </c>
      <c r="T266" s="29">
        <v>23.8532917</v>
      </c>
      <c r="U266" s="29">
        <v>53.159769599999997</v>
      </c>
      <c r="V266" s="29">
        <v>60.302067800000003</v>
      </c>
      <c r="W266" s="29">
        <v>53.777537500000001</v>
      </c>
      <c r="X266" s="29">
        <v>6.5245303000000003</v>
      </c>
      <c r="Y266" s="29">
        <v>39.697932199999997</v>
      </c>
    </row>
    <row r="267" spans="2:25" ht="15" customHeight="1">
      <c r="B267" s="30">
        <v>262</v>
      </c>
      <c r="C267" s="31" t="s">
        <v>21</v>
      </c>
      <c r="D267" s="36" t="s">
        <v>56</v>
      </c>
      <c r="E267" s="36" t="s">
        <v>101</v>
      </c>
      <c r="F267" s="36" t="s">
        <v>102</v>
      </c>
      <c r="G267" s="37" t="s">
        <v>102</v>
      </c>
      <c r="H267" s="32">
        <v>26248</v>
      </c>
      <c r="I267" s="32">
        <v>14259</v>
      </c>
      <c r="J267" s="32">
        <v>8456</v>
      </c>
      <c r="K267" s="32">
        <v>5803</v>
      </c>
      <c r="L267" s="32">
        <v>11989</v>
      </c>
      <c r="M267" s="32">
        <v>41941</v>
      </c>
      <c r="N267" s="32">
        <v>33166</v>
      </c>
      <c r="O267" s="32">
        <v>30276</v>
      </c>
      <c r="P267" s="32">
        <v>2890</v>
      </c>
      <c r="Q267" s="32">
        <v>8775</v>
      </c>
      <c r="R267" s="33">
        <v>54.324139000000002</v>
      </c>
      <c r="S267" s="33">
        <v>32.215787900000002</v>
      </c>
      <c r="T267" s="33">
        <v>22.1083511</v>
      </c>
      <c r="U267" s="33">
        <v>45.675860999999998</v>
      </c>
      <c r="V267" s="33">
        <v>79.077752099999998</v>
      </c>
      <c r="W267" s="33">
        <v>72.187119999999993</v>
      </c>
      <c r="X267" s="33">
        <v>6.8906321000000004</v>
      </c>
      <c r="Y267" s="33">
        <v>20.922247899999999</v>
      </c>
    </row>
    <row r="268" spans="2:25" ht="15" hidden="1" customHeight="1">
      <c r="B268" s="25">
        <v>263</v>
      </c>
      <c r="C268" s="26" t="s">
        <v>21</v>
      </c>
      <c r="D268" s="26" t="s">
        <v>56</v>
      </c>
      <c r="E268" s="26" t="s">
        <v>101</v>
      </c>
      <c r="F268" s="26" t="s">
        <v>102</v>
      </c>
      <c r="G268" s="27" t="s">
        <v>15</v>
      </c>
      <c r="H268" s="28">
        <v>19740</v>
      </c>
      <c r="I268" s="28">
        <v>11176</v>
      </c>
      <c r="J268" s="28">
        <v>6722</v>
      </c>
      <c r="K268" s="28">
        <v>4454</v>
      </c>
      <c r="L268" s="28">
        <v>8564</v>
      </c>
      <c r="M268" s="28">
        <v>32953</v>
      </c>
      <c r="N268" s="28">
        <v>27852</v>
      </c>
      <c r="O268" s="28">
        <v>25461</v>
      </c>
      <c r="P268" s="28">
        <v>2391</v>
      </c>
      <c r="Q268" s="28">
        <v>5101</v>
      </c>
      <c r="R268" s="29">
        <v>56.616008100000002</v>
      </c>
      <c r="S268" s="29">
        <v>34.052684900000003</v>
      </c>
      <c r="T268" s="29">
        <v>22.563323199999999</v>
      </c>
      <c r="U268" s="29">
        <v>43.383991899999998</v>
      </c>
      <c r="V268" s="29">
        <v>84.520377499999995</v>
      </c>
      <c r="W268" s="29">
        <v>77.264589000000001</v>
      </c>
      <c r="X268" s="29">
        <v>7.2557885000000004</v>
      </c>
      <c r="Y268" s="29">
        <v>15.4796225</v>
      </c>
    </row>
    <row r="269" spans="2:25" ht="15" hidden="1" customHeight="1">
      <c r="B269" s="25">
        <v>264</v>
      </c>
      <c r="C269" s="26" t="s">
        <v>21</v>
      </c>
      <c r="D269" s="26" t="s">
        <v>56</v>
      </c>
      <c r="E269" s="26" t="s">
        <v>101</v>
      </c>
      <c r="F269" s="26" t="s">
        <v>102</v>
      </c>
      <c r="G269" s="27" t="s">
        <v>16</v>
      </c>
      <c r="H269" s="28">
        <v>6508</v>
      </c>
      <c r="I269" s="28">
        <v>3083</v>
      </c>
      <c r="J269" s="28">
        <v>1734</v>
      </c>
      <c r="K269" s="28">
        <v>1349</v>
      </c>
      <c r="L269" s="28">
        <v>3425</v>
      </c>
      <c r="M269" s="28">
        <v>8988</v>
      </c>
      <c r="N269" s="28">
        <v>5314</v>
      </c>
      <c r="O269" s="28">
        <v>4815</v>
      </c>
      <c r="P269" s="28">
        <v>499</v>
      </c>
      <c r="Q269" s="28">
        <v>3674</v>
      </c>
      <c r="R269" s="29">
        <v>47.372464700000002</v>
      </c>
      <c r="S269" s="29">
        <v>26.6441303</v>
      </c>
      <c r="T269" s="29">
        <v>20.728334400000001</v>
      </c>
      <c r="U269" s="29">
        <v>52.627535299999998</v>
      </c>
      <c r="V269" s="29">
        <v>59.123275499999998</v>
      </c>
      <c r="W269" s="29">
        <v>53.571428599999997</v>
      </c>
      <c r="X269" s="29">
        <v>5.5518469000000001</v>
      </c>
      <c r="Y269" s="29">
        <v>40.876724500000002</v>
      </c>
    </row>
    <row r="270" spans="2:25" ht="15" customHeight="1">
      <c r="B270" s="30">
        <v>265</v>
      </c>
      <c r="C270" s="31" t="s">
        <v>21</v>
      </c>
      <c r="D270" s="36" t="s">
        <v>56</v>
      </c>
      <c r="E270" s="36" t="s">
        <v>101</v>
      </c>
      <c r="F270" s="36" t="s">
        <v>103</v>
      </c>
      <c r="G270" s="37" t="s">
        <v>103</v>
      </c>
      <c r="H270" s="32">
        <v>2731</v>
      </c>
      <c r="I270" s="32">
        <v>922</v>
      </c>
      <c r="J270" s="32">
        <v>636</v>
      </c>
      <c r="K270" s="32">
        <v>286</v>
      </c>
      <c r="L270" s="32">
        <v>1809</v>
      </c>
      <c r="M270" s="32">
        <v>3220</v>
      </c>
      <c r="N270" s="32">
        <v>2172</v>
      </c>
      <c r="O270" s="32">
        <v>1998</v>
      </c>
      <c r="P270" s="32">
        <v>174</v>
      </c>
      <c r="Q270" s="32">
        <v>1048</v>
      </c>
      <c r="R270" s="33">
        <v>33.7605273</v>
      </c>
      <c r="S270" s="33">
        <v>23.288172800000002</v>
      </c>
      <c r="T270" s="33">
        <v>10.4723544</v>
      </c>
      <c r="U270" s="33">
        <v>66.239472699999993</v>
      </c>
      <c r="V270" s="33">
        <v>67.453416099999998</v>
      </c>
      <c r="W270" s="33">
        <v>62.049689399999998</v>
      </c>
      <c r="X270" s="33">
        <v>5.4037267</v>
      </c>
      <c r="Y270" s="33">
        <v>32.546583900000002</v>
      </c>
    </row>
    <row r="271" spans="2:25" ht="15" hidden="1" customHeight="1">
      <c r="B271" s="25">
        <v>266</v>
      </c>
      <c r="C271" s="26" t="s">
        <v>21</v>
      </c>
      <c r="D271" s="26" t="s">
        <v>56</v>
      </c>
      <c r="E271" s="26" t="s">
        <v>101</v>
      </c>
      <c r="F271" s="26" t="s">
        <v>103</v>
      </c>
      <c r="G271" s="27" t="s">
        <v>15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9"/>
      <c r="S271" s="29"/>
      <c r="T271" s="29"/>
      <c r="U271" s="29"/>
      <c r="V271" s="29"/>
      <c r="W271" s="29"/>
      <c r="X271" s="29"/>
      <c r="Y271" s="29"/>
    </row>
    <row r="272" spans="2:25" ht="15" hidden="1" customHeight="1">
      <c r="B272" s="25">
        <v>267</v>
      </c>
      <c r="C272" s="26" t="s">
        <v>21</v>
      </c>
      <c r="D272" s="26" t="s">
        <v>56</v>
      </c>
      <c r="E272" s="26" t="s">
        <v>101</v>
      </c>
      <c r="F272" s="26" t="s">
        <v>103</v>
      </c>
      <c r="G272" s="27" t="s">
        <v>16</v>
      </c>
      <c r="H272" s="28">
        <v>2731</v>
      </c>
      <c r="I272" s="28">
        <v>922</v>
      </c>
      <c r="J272" s="28">
        <v>636</v>
      </c>
      <c r="K272" s="28">
        <v>286</v>
      </c>
      <c r="L272" s="28">
        <v>1809</v>
      </c>
      <c r="M272" s="28">
        <v>3220</v>
      </c>
      <c r="N272" s="28">
        <v>2172</v>
      </c>
      <c r="O272" s="28">
        <v>1998</v>
      </c>
      <c r="P272" s="28">
        <v>174</v>
      </c>
      <c r="Q272" s="28">
        <v>1048</v>
      </c>
      <c r="R272" s="29">
        <v>33.7605273</v>
      </c>
      <c r="S272" s="29">
        <v>23.288172800000002</v>
      </c>
      <c r="T272" s="29">
        <v>10.4723544</v>
      </c>
      <c r="U272" s="29">
        <v>66.239472699999993</v>
      </c>
      <c r="V272" s="29">
        <v>67.453416099999998</v>
      </c>
      <c r="W272" s="29">
        <v>62.049689399999998</v>
      </c>
      <c r="X272" s="29">
        <v>5.4037267</v>
      </c>
      <c r="Y272" s="29">
        <v>32.546583900000002</v>
      </c>
    </row>
    <row r="273" spans="2:25" ht="15" customHeight="1">
      <c r="B273" s="30">
        <v>268</v>
      </c>
      <c r="C273" s="31" t="s">
        <v>21</v>
      </c>
      <c r="D273" s="36" t="s">
        <v>56</v>
      </c>
      <c r="E273" s="36" t="s">
        <v>101</v>
      </c>
      <c r="F273" s="36" t="s">
        <v>104</v>
      </c>
      <c r="G273" s="37" t="s">
        <v>104</v>
      </c>
      <c r="H273" s="32">
        <v>3594</v>
      </c>
      <c r="I273" s="32">
        <v>1485</v>
      </c>
      <c r="J273" s="32">
        <v>816</v>
      </c>
      <c r="K273" s="32">
        <v>669</v>
      </c>
      <c r="L273" s="32">
        <v>2109</v>
      </c>
      <c r="M273" s="32">
        <v>4653</v>
      </c>
      <c r="N273" s="32">
        <v>2554</v>
      </c>
      <c r="O273" s="32">
        <v>2376</v>
      </c>
      <c r="P273" s="32">
        <v>178</v>
      </c>
      <c r="Q273" s="32">
        <v>2099</v>
      </c>
      <c r="R273" s="33">
        <v>41.3188648</v>
      </c>
      <c r="S273" s="33">
        <v>22.704507499999998</v>
      </c>
      <c r="T273" s="33">
        <v>18.614357300000002</v>
      </c>
      <c r="U273" s="33">
        <v>58.6811352</v>
      </c>
      <c r="V273" s="33">
        <v>54.889318699999997</v>
      </c>
      <c r="W273" s="33">
        <v>51.063829800000001</v>
      </c>
      <c r="X273" s="33">
        <v>3.8254888999999999</v>
      </c>
      <c r="Y273" s="33">
        <v>45.110681300000003</v>
      </c>
    </row>
    <row r="274" spans="2:25" ht="15" hidden="1" customHeight="1">
      <c r="B274" s="25">
        <v>269</v>
      </c>
      <c r="C274" s="26" t="s">
        <v>21</v>
      </c>
      <c r="D274" s="26" t="s">
        <v>56</v>
      </c>
      <c r="E274" s="26" t="s">
        <v>101</v>
      </c>
      <c r="F274" s="26" t="s">
        <v>104</v>
      </c>
      <c r="G274" s="27" t="s">
        <v>15</v>
      </c>
      <c r="H274" s="28">
        <v>440</v>
      </c>
      <c r="I274" s="28">
        <v>33</v>
      </c>
      <c r="J274" s="28">
        <v>29</v>
      </c>
      <c r="K274" s="28">
        <v>4</v>
      </c>
      <c r="L274" s="28">
        <v>407</v>
      </c>
      <c r="M274" s="28"/>
      <c r="N274" s="28"/>
      <c r="O274" s="28"/>
      <c r="P274" s="28"/>
      <c r="Q274" s="28"/>
      <c r="R274" s="29">
        <v>7.5</v>
      </c>
      <c r="S274" s="29">
        <v>6.5909091000000002</v>
      </c>
      <c r="T274" s="29">
        <v>0.90909090000000004</v>
      </c>
      <c r="U274" s="29">
        <v>92.5</v>
      </c>
      <c r="V274" s="29"/>
      <c r="W274" s="29"/>
      <c r="X274" s="29"/>
      <c r="Y274" s="29"/>
    </row>
    <row r="275" spans="2:25" ht="15" hidden="1" customHeight="1">
      <c r="B275" s="25">
        <v>270</v>
      </c>
      <c r="C275" s="26" t="s">
        <v>21</v>
      </c>
      <c r="D275" s="26" t="s">
        <v>56</v>
      </c>
      <c r="E275" s="26" t="s">
        <v>101</v>
      </c>
      <c r="F275" s="26" t="s">
        <v>104</v>
      </c>
      <c r="G275" s="27" t="s">
        <v>16</v>
      </c>
      <c r="H275" s="28">
        <v>3154</v>
      </c>
      <c r="I275" s="28">
        <v>1452</v>
      </c>
      <c r="J275" s="28">
        <v>787</v>
      </c>
      <c r="K275" s="28">
        <v>665</v>
      </c>
      <c r="L275" s="28">
        <v>1702</v>
      </c>
      <c r="M275" s="28">
        <v>4653</v>
      </c>
      <c r="N275" s="28">
        <v>2554</v>
      </c>
      <c r="O275" s="28">
        <v>2376</v>
      </c>
      <c r="P275" s="28">
        <v>178</v>
      </c>
      <c r="Q275" s="28">
        <v>2099</v>
      </c>
      <c r="R275" s="29">
        <v>46.036778699999999</v>
      </c>
      <c r="S275" s="29">
        <v>24.9524413</v>
      </c>
      <c r="T275" s="29">
        <v>21.084337300000001</v>
      </c>
      <c r="U275" s="29">
        <v>53.963221300000001</v>
      </c>
      <c r="V275" s="29">
        <v>54.889318699999997</v>
      </c>
      <c r="W275" s="29">
        <v>51.063829800000001</v>
      </c>
      <c r="X275" s="29">
        <v>3.8254888999999999</v>
      </c>
      <c r="Y275" s="29">
        <v>45.110681300000003</v>
      </c>
    </row>
    <row r="276" spans="2:25" ht="15" customHeight="1">
      <c r="B276" s="30">
        <v>271</v>
      </c>
      <c r="C276" s="31" t="s">
        <v>21</v>
      </c>
      <c r="D276" s="36" t="s">
        <v>56</v>
      </c>
      <c r="E276" s="36" t="s">
        <v>101</v>
      </c>
      <c r="F276" s="36" t="s">
        <v>105</v>
      </c>
      <c r="G276" s="37" t="s">
        <v>105</v>
      </c>
      <c r="H276" s="32">
        <v>2250</v>
      </c>
      <c r="I276" s="32">
        <v>832</v>
      </c>
      <c r="J276" s="32">
        <v>431</v>
      </c>
      <c r="K276" s="32">
        <v>401</v>
      </c>
      <c r="L276" s="32">
        <v>1418</v>
      </c>
      <c r="M276" s="32">
        <v>2675</v>
      </c>
      <c r="N276" s="32">
        <v>1962</v>
      </c>
      <c r="O276" s="32">
        <v>1660</v>
      </c>
      <c r="P276" s="32">
        <v>302</v>
      </c>
      <c r="Q276" s="32">
        <v>713</v>
      </c>
      <c r="R276" s="33">
        <v>36.977777799999998</v>
      </c>
      <c r="S276" s="33">
        <v>19.1555556</v>
      </c>
      <c r="T276" s="33">
        <v>17.822222199999999</v>
      </c>
      <c r="U276" s="33">
        <v>63.022222200000002</v>
      </c>
      <c r="V276" s="33">
        <v>73.345794400000003</v>
      </c>
      <c r="W276" s="33">
        <v>62.056074799999998</v>
      </c>
      <c r="X276" s="33">
        <v>11.2897196</v>
      </c>
      <c r="Y276" s="33">
        <v>26.654205600000001</v>
      </c>
    </row>
    <row r="277" spans="2:25" ht="15" hidden="1" customHeight="1">
      <c r="B277" s="25">
        <v>272</v>
      </c>
      <c r="C277" s="26" t="s">
        <v>21</v>
      </c>
      <c r="D277" s="26" t="s">
        <v>56</v>
      </c>
      <c r="E277" s="26" t="s">
        <v>101</v>
      </c>
      <c r="F277" s="26" t="s">
        <v>105</v>
      </c>
      <c r="G277" s="27" t="s">
        <v>15</v>
      </c>
      <c r="H277" s="28">
        <v>1081</v>
      </c>
      <c r="I277" s="28">
        <v>553</v>
      </c>
      <c r="J277" s="28">
        <v>322</v>
      </c>
      <c r="K277" s="28">
        <v>231</v>
      </c>
      <c r="L277" s="28">
        <v>528</v>
      </c>
      <c r="M277" s="28">
        <v>1503</v>
      </c>
      <c r="N277" s="28">
        <v>1270</v>
      </c>
      <c r="O277" s="28">
        <v>1051</v>
      </c>
      <c r="P277" s="28">
        <v>219</v>
      </c>
      <c r="Q277" s="28">
        <v>233</v>
      </c>
      <c r="R277" s="29">
        <v>51.156336699999997</v>
      </c>
      <c r="S277" s="29">
        <v>29.787234000000002</v>
      </c>
      <c r="T277" s="29">
        <v>21.369102699999999</v>
      </c>
      <c r="U277" s="29">
        <v>48.843663300000003</v>
      </c>
      <c r="V277" s="29">
        <v>84.497671299999993</v>
      </c>
      <c r="W277" s="29">
        <v>69.926812999999996</v>
      </c>
      <c r="X277" s="29">
        <v>14.570858299999999</v>
      </c>
      <c r="Y277" s="29">
        <v>15.5023287</v>
      </c>
    </row>
    <row r="278" spans="2:25" ht="15" hidden="1" customHeight="1">
      <c r="B278" s="25">
        <v>273</v>
      </c>
      <c r="C278" s="26" t="s">
        <v>21</v>
      </c>
      <c r="D278" s="26" t="s">
        <v>56</v>
      </c>
      <c r="E278" s="26" t="s">
        <v>101</v>
      </c>
      <c r="F278" s="26" t="s">
        <v>105</v>
      </c>
      <c r="G278" s="27" t="s">
        <v>16</v>
      </c>
      <c r="H278" s="28">
        <v>1169</v>
      </c>
      <c r="I278" s="28">
        <v>279</v>
      </c>
      <c r="J278" s="28">
        <v>109</v>
      </c>
      <c r="K278" s="28">
        <v>170</v>
      </c>
      <c r="L278" s="28">
        <v>890</v>
      </c>
      <c r="M278" s="28">
        <v>1172</v>
      </c>
      <c r="N278" s="28">
        <v>692</v>
      </c>
      <c r="O278" s="28">
        <v>609</v>
      </c>
      <c r="P278" s="28">
        <v>83</v>
      </c>
      <c r="Q278" s="28">
        <v>480</v>
      </c>
      <c r="R278" s="29">
        <v>23.866552599999999</v>
      </c>
      <c r="S278" s="29">
        <v>9.3242086999999998</v>
      </c>
      <c r="T278" s="29">
        <v>14.542343900000001</v>
      </c>
      <c r="U278" s="29">
        <v>76.133447399999994</v>
      </c>
      <c r="V278" s="29">
        <v>59.044368599999999</v>
      </c>
      <c r="W278" s="29">
        <v>51.962457299999997</v>
      </c>
      <c r="X278" s="29">
        <v>7.0819112999999998</v>
      </c>
      <c r="Y278" s="29">
        <v>40.955631400000001</v>
      </c>
    </row>
    <row r="279" spans="2:25" ht="15" customHeight="1">
      <c r="B279" s="30">
        <v>274</v>
      </c>
      <c r="C279" s="31" t="s">
        <v>21</v>
      </c>
      <c r="D279" s="36" t="s">
        <v>56</v>
      </c>
      <c r="E279" s="36" t="s">
        <v>101</v>
      </c>
      <c r="F279" s="36" t="s">
        <v>106</v>
      </c>
      <c r="G279" s="37" t="s">
        <v>106</v>
      </c>
      <c r="H279" s="32">
        <v>2391</v>
      </c>
      <c r="I279" s="32">
        <v>1288</v>
      </c>
      <c r="J279" s="32">
        <v>458</v>
      </c>
      <c r="K279" s="32">
        <v>830</v>
      </c>
      <c r="L279" s="32">
        <v>1103</v>
      </c>
      <c r="M279" s="32">
        <v>3114</v>
      </c>
      <c r="N279" s="32">
        <v>1892</v>
      </c>
      <c r="O279" s="32">
        <v>1502</v>
      </c>
      <c r="P279" s="32">
        <v>390</v>
      </c>
      <c r="Q279" s="32">
        <v>1222</v>
      </c>
      <c r="R279" s="33">
        <v>53.868674200000001</v>
      </c>
      <c r="S279" s="33">
        <v>19.155165199999999</v>
      </c>
      <c r="T279" s="33">
        <v>34.713509000000002</v>
      </c>
      <c r="U279" s="33">
        <v>46.131325799999999</v>
      </c>
      <c r="V279" s="33">
        <v>60.757867699999998</v>
      </c>
      <c r="W279" s="33">
        <v>48.233782900000001</v>
      </c>
      <c r="X279" s="33">
        <v>12.524084800000001</v>
      </c>
      <c r="Y279" s="33">
        <v>39.242132300000002</v>
      </c>
    </row>
    <row r="280" spans="2:25" ht="15" hidden="1" customHeight="1">
      <c r="B280" s="25">
        <v>275</v>
      </c>
      <c r="C280" s="26" t="s">
        <v>21</v>
      </c>
      <c r="D280" s="26" t="s">
        <v>56</v>
      </c>
      <c r="E280" s="26" t="s">
        <v>101</v>
      </c>
      <c r="F280" s="26" t="s">
        <v>106</v>
      </c>
      <c r="G280" s="27" t="s">
        <v>15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9"/>
      <c r="S280" s="29"/>
      <c r="T280" s="29"/>
      <c r="U280" s="29"/>
      <c r="V280" s="29"/>
      <c r="W280" s="29"/>
      <c r="X280" s="29"/>
      <c r="Y280" s="29"/>
    </row>
    <row r="281" spans="2:25" ht="15" hidden="1" customHeight="1">
      <c r="B281" s="25">
        <v>276</v>
      </c>
      <c r="C281" s="26" t="s">
        <v>21</v>
      </c>
      <c r="D281" s="26" t="s">
        <v>56</v>
      </c>
      <c r="E281" s="26" t="s">
        <v>101</v>
      </c>
      <c r="F281" s="26" t="s">
        <v>106</v>
      </c>
      <c r="G281" s="27" t="s">
        <v>16</v>
      </c>
      <c r="H281" s="28">
        <v>2391</v>
      </c>
      <c r="I281" s="28">
        <v>1288</v>
      </c>
      <c r="J281" s="28">
        <v>458</v>
      </c>
      <c r="K281" s="28">
        <v>830</v>
      </c>
      <c r="L281" s="28">
        <v>1103</v>
      </c>
      <c r="M281" s="28">
        <v>3114</v>
      </c>
      <c r="N281" s="28">
        <v>1892</v>
      </c>
      <c r="O281" s="28">
        <v>1502</v>
      </c>
      <c r="P281" s="28">
        <v>390</v>
      </c>
      <c r="Q281" s="28">
        <v>1222</v>
      </c>
      <c r="R281" s="29">
        <v>53.868674200000001</v>
      </c>
      <c r="S281" s="29">
        <v>19.155165199999999</v>
      </c>
      <c r="T281" s="29">
        <v>34.713509000000002</v>
      </c>
      <c r="U281" s="29">
        <v>46.131325799999999</v>
      </c>
      <c r="V281" s="29">
        <v>60.757867699999998</v>
      </c>
      <c r="W281" s="29">
        <v>48.233782900000001</v>
      </c>
      <c r="X281" s="29">
        <v>12.524084800000001</v>
      </c>
      <c r="Y281" s="29">
        <v>39.242132300000002</v>
      </c>
    </row>
    <row r="282" spans="2:25" ht="15" customHeight="1">
      <c r="B282" s="30">
        <v>277</v>
      </c>
      <c r="C282" s="31" t="s">
        <v>21</v>
      </c>
      <c r="D282" s="36" t="s">
        <v>56</v>
      </c>
      <c r="E282" s="36" t="s">
        <v>101</v>
      </c>
      <c r="F282" s="36" t="s">
        <v>107</v>
      </c>
      <c r="G282" s="37" t="s">
        <v>107</v>
      </c>
      <c r="H282" s="32">
        <v>4967</v>
      </c>
      <c r="I282" s="32">
        <v>3088</v>
      </c>
      <c r="J282" s="32">
        <v>1100</v>
      </c>
      <c r="K282" s="32">
        <v>1988</v>
      </c>
      <c r="L282" s="32">
        <v>1879</v>
      </c>
      <c r="M282" s="32">
        <v>5887</v>
      </c>
      <c r="N282" s="32">
        <v>3945</v>
      </c>
      <c r="O282" s="32">
        <v>3508</v>
      </c>
      <c r="P282" s="32">
        <v>437</v>
      </c>
      <c r="Q282" s="32">
        <v>1942</v>
      </c>
      <c r="R282" s="33">
        <v>62.170324100000002</v>
      </c>
      <c r="S282" s="33">
        <v>22.1461647</v>
      </c>
      <c r="T282" s="33">
        <v>40.024159500000003</v>
      </c>
      <c r="U282" s="33">
        <v>37.829675899999998</v>
      </c>
      <c r="V282" s="33">
        <v>67.012060500000004</v>
      </c>
      <c r="W282" s="33">
        <v>59.5889247</v>
      </c>
      <c r="X282" s="33">
        <v>7.4231356999999996</v>
      </c>
      <c r="Y282" s="33">
        <v>32.987939500000003</v>
      </c>
    </row>
    <row r="283" spans="2:25" ht="15" hidden="1" customHeight="1">
      <c r="B283" s="25">
        <v>278</v>
      </c>
      <c r="C283" s="26" t="s">
        <v>21</v>
      </c>
      <c r="D283" s="26" t="s">
        <v>56</v>
      </c>
      <c r="E283" s="26" t="s">
        <v>101</v>
      </c>
      <c r="F283" s="26" t="s">
        <v>107</v>
      </c>
      <c r="G283" s="27" t="s">
        <v>15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9"/>
      <c r="S283" s="29"/>
      <c r="T283" s="29"/>
      <c r="U283" s="29"/>
      <c r="V283" s="29"/>
      <c r="W283" s="29"/>
      <c r="X283" s="29"/>
      <c r="Y283" s="29"/>
    </row>
    <row r="284" spans="2:25" ht="15" hidden="1" customHeight="1">
      <c r="B284" s="25">
        <v>279</v>
      </c>
      <c r="C284" s="26" t="s">
        <v>21</v>
      </c>
      <c r="D284" s="26" t="s">
        <v>56</v>
      </c>
      <c r="E284" s="26" t="s">
        <v>101</v>
      </c>
      <c r="F284" s="26" t="s">
        <v>107</v>
      </c>
      <c r="G284" s="27" t="s">
        <v>16</v>
      </c>
      <c r="H284" s="28">
        <v>4967</v>
      </c>
      <c r="I284" s="28">
        <v>3088</v>
      </c>
      <c r="J284" s="28">
        <v>1100</v>
      </c>
      <c r="K284" s="28">
        <v>1988</v>
      </c>
      <c r="L284" s="28">
        <v>1879</v>
      </c>
      <c r="M284" s="28">
        <v>5887</v>
      </c>
      <c r="N284" s="28">
        <v>3945</v>
      </c>
      <c r="O284" s="28">
        <v>3508</v>
      </c>
      <c r="P284" s="28">
        <v>437</v>
      </c>
      <c r="Q284" s="28">
        <v>1942</v>
      </c>
      <c r="R284" s="29">
        <v>62.170324100000002</v>
      </c>
      <c r="S284" s="29">
        <v>22.1461647</v>
      </c>
      <c r="T284" s="29">
        <v>40.024159500000003</v>
      </c>
      <c r="U284" s="29">
        <v>37.829675899999998</v>
      </c>
      <c r="V284" s="29">
        <v>67.012060500000004</v>
      </c>
      <c r="W284" s="29">
        <v>59.5889247</v>
      </c>
      <c r="X284" s="29">
        <v>7.4231356999999996</v>
      </c>
      <c r="Y284" s="29">
        <v>32.987939500000003</v>
      </c>
    </row>
    <row r="285" spans="2:25" ht="15" customHeight="1">
      <c r="B285" s="30">
        <v>280</v>
      </c>
      <c r="C285" s="31" t="s">
        <v>21</v>
      </c>
      <c r="D285" s="36" t="s">
        <v>56</v>
      </c>
      <c r="E285" s="36" t="s">
        <v>101</v>
      </c>
      <c r="F285" s="36" t="s">
        <v>108</v>
      </c>
      <c r="G285" s="37" t="s">
        <v>108</v>
      </c>
      <c r="H285" s="32">
        <v>1819</v>
      </c>
      <c r="I285" s="32">
        <v>539</v>
      </c>
      <c r="J285" s="32">
        <v>403</v>
      </c>
      <c r="K285" s="32">
        <v>136</v>
      </c>
      <c r="L285" s="32">
        <v>1280</v>
      </c>
      <c r="M285" s="32">
        <v>2562</v>
      </c>
      <c r="N285" s="32">
        <v>1278</v>
      </c>
      <c r="O285" s="32">
        <v>1108</v>
      </c>
      <c r="P285" s="32">
        <v>170</v>
      </c>
      <c r="Q285" s="32">
        <v>1284</v>
      </c>
      <c r="R285" s="33">
        <v>29.6316658</v>
      </c>
      <c r="S285" s="33">
        <v>22.155030199999999</v>
      </c>
      <c r="T285" s="33">
        <v>7.4766355000000004</v>
      </c>
      <c r="U285" s="33">
        <v>70.368334200000007</v>
      </c>
      <c r="V285" s="33">
        <v>49.882904000000003</v>
      </c>
      <c r="W285" s="33">
        <v>43.247462900000002</v>
      </c>
      <c r="X285" s="33">
        <v>6.6354411000000004</v>
      </c>
      <c r="Y285" s="33">
        <v>50.117095999999997</v>
      </c>
    </row>
    <row r="286" spans="2:25" ht="15" hidden="1" customHeight="1">
      <c r="B286" s="25">
        <v>281</v>
      </c>
      <c r="C286" s="26" t="s">
        <v>21</v>
      </c>
      <c r="D286" s="26" t="s">
        <v>56</v>
      </c>
      <c r="E286" s="26" t="s">
        <v>101</v>
      </c>
      <c r="F286" s="26" t="s">
        <v>108</v>
      </c>
      <c r="G286" s="27" t="s">
        <v>15</v>
      </c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9"/>
      <c r="S286" s="29"/>
      <c r="T286" s="29"/>
      <c r="U286" s="29"/>
      <c r="V286" s="29"/>
      <c r="W286" s="29"/>
      <c r="X286" s="29"/>
      <c r="Y286" s="29"/>
    </row>
    <row r="287" spans="2:25" ht="15" hidden="1" customHeight="1">
      <c r="B287" s="25">
        <v>282</v>
      </c>
      <c r="C287" s="26" t="s">
        <v>21</v>
      </c>
      <c r="D287" s="26" t="s">
        <v>56</v>
      </c>
      <c r="E287" s="26" t="s">
        <v>101</v>
      </c>
      <c r="F287" s="26" t="s">
        <v>108</v>
      </c>
      <c r="G287" s="27" t="s">
        <v>16</v>
      </c>
      <c r="H287" s="28">
        <v>1819</v>
      </c>
      <c r="I287" s="28">
        <v>539</v>
      </c>
      <c r="J287" s="28">
        <v>403</v>
      </c>
      <c r="K287" s="28">
        <v>136</v>
      </c>
      <c r="L287" s="28">
        <v>1280</v>
      </c>
      <c r="M287" s="28">
        <v>2562</v>
      </c>
      <c r="N287" s="28">
        <v>1278</v>
      </c>
      <c r="O287" s="28">
        <v>1108</v>
      </c>
      <c r="P287" s="28">
        <v>170</v>
      </c>
      <c r="Q287" s="28">
        <v>1284</v>
      </c>
      <c r="R287" s="29">
        <v>29.6316658</v>
      </c>
      <c r="S287" s="29">
        <v>22.155030199999999</v>
      </c>
      <c r="T287" s="29">
        <v>7.4766355000000004</v>
      </c>
      <c r="U287" s="29">
        <v>70.368334200000007</v>
      </c>
      <c r="V287" s="29">
        <v>49.882904000000003</v>
      </c>
      <c r="W287" s="29">
        <v>43.247462900000002</v>
      </c>
      <c r="X287" s="29">
        <v>6.6354411000000004</v>
      </c>
      <c r="Y287" s="29">
        <v>50.117095999999997</v>
      </c>
    </row>
    <row r="288" spans="2:25" ht="15" hidden="1" customHeight="1">
      <c r="B288" s="21">
        <v>283</v>
      </c>
      <c r="C288" s="22" t="s">
        <v>19</v>
      </c>
      <c r="D288" s="35" t="s">
        <v>56</v>
      </c>
      <c r="E288" s="35" t="s">
        <v>109</v>
      </c>
      <c r="F288" s="35"/>
      <c r="G288" s="22" t="s">
        <v>109</v>
      </c>
      <c r="H288" s="23">
        <v>15147</v>
      </c>
      <c r="I288" s="23">
        <v>3239</v>
      </c>
      <c r="J288" s="23">
        <v>2100</v>
      </c>
      <c r="K288" s="23">
        <v>1139</v>
      </c>
      <c r="L288" s="23">
        <v>11908</v>
      </c>
      <c r="M288" s="23">
        <v>21883</v>
      </c>
      <c r="N288" s="23">
        <v>8213</v>
      </c>
      <c r="O288" s="23">
        <v>6730</v>
      </c>
      <c r="P288" s="23">
        <v>1483</v>
      </c>
      <c r="Q288" s="23">
        <v>13670</v>
      </c>
      <c r="R288" s="24">
        <v>21.383772400000002</v>
      </c>
      <c r="S288" s="24">
        <v>13.864131499999999</v>
      </c>
      <c r="T288" s="24">
        <v>7.5196408999999997</v>
      </c>
      <c r="U288" s="24">
        <v>78.616227600000002</v>
      </c>
      <c r="V288" s="24">
        <v>37.531417099999999</v>
      </c>
      <c r="W288" s="24">
        <v>30.754466900000001</v>
      </c>
      <c r="X288" s="24">
        <v>6.7769500999999996</v>
      </c>
      <c r="Y288" s="24">
        <v>62.468582900000001</v>
      </c>
    </row>
    <row r="289" spans="2:25" ht="15" hidden="1" customHeight="1">
      <c r="B289" s="25">
        <v>284</v>
      </c>
      <c r="C289" s="26" t="s">
        <v>19</v>
      </c>
      <c r="D289" s="26" t="s">
        <v>56</v>
      </c>
      <c r="E289" s="26" t="s">
        <v>109</v>
      </c>
      <c r="F289" s="26"/>
      <c r="G289" s="27" t="s">
        <v>15</v>
      </c>
      <c r="H289" s="28"/>
      <c r="I289" s="28"/>
      <c r="J289" s="28"/>
      <c r="K289" s="28"/>
      <c r="L289" s="28"/>
      <c r="M289" s="28">
        <v>444</v>
      </c>
      <c r="N289" s="28">
        <v>244</v>
      </c>
      <c r="O289" s="28">
        <v>218</v>
      </c>
      <c r="P289" s="28">
        <v>26</v>
      </c>
      <c r="Q289" s="28">
        <v>200</v>
      </c>
      <c r="R289" s="29"/>
      <c r="S289" s="29"/>
      <c r="T289" s="29"/>
      <c r="U289" s="29"/>
      <c r="V289" s="29">
        <v>54.954954999999998</v>
      </c>
      <c r="W289" s="29">
        <v>49.099099099999997</v>
      </c>
      <c r="X289" s="29">
        <v>5.8558558999999999</v>
      </c>
      <c r="Y289" s="29">
        <v>45.045045000000002</v>
      </c>
    </row>
    <row r="290" spans="2:25" ht="15" hidden="1" customHeight="1">
      <c r="B290" s="25">
        <v>285</v>
      </c>
      <c r="C290" s="26" t="s">
        <v>19</v>
      </c>
      <c r="D290" s="26" t="s">
        <v>56</v>
      </c>
      <c r="E290" s="26" t="s">
        <v>109</v>
      </c>
      <c r="F290" s="26"/>
      <c r="G290" s="27" t="s">
        <v>16</v>
      </c>
      <c r="H290" s="28">
        <v>15147</v>
      </c>
      <c r="I290" s="28">
        <v>3239</v>
      </c>
      <c r="J290" s="28">
        <v>2100</v>
      </c>
      <c r="K290" s="28">
        <v>1139</v>
      </c>
      <c r="L290" s="28">
        <v>11908</v>
      </c>
      <c r="M290" s="28">
        <v>21439</v>
      </c>
      <c r="N290" s="28">
        <v>7969</v>
      </c>
      <c r="O290" s="28">
        <v>6512</v>
      </c>
      <c r="P290" s="28">
        <v>1457</v>
      </c>
      <c r="Q290" s="28">
        <v>13470</v>
      </c>
      <c r="R290" s="29">
        <v>21.383772400000002</v>
      </c>
      <c r="S290" s="29">
        <v>13.864131499999999</v>
      </c>
      <c r="T290" s="29">
        <v>7.5196408999999997</v>
      </c>
      <c r="U290" s="29">
        <v>78.616227600000002</v>
      </c>
      <c r="V290" s="29">
        <v>37.170577000000002</v>
      </c>
      <c r="W290" s="29">
        <v>30.374551100000001</v>
      </c>
      <c r="X290" s="29">
        <v>6.7960259000000001</v>
      </c>
      <c r="Y290" s="29">
        <v>62.829422999999998</v>
      </c>
    </row>
    <row r="291" spans="2:25" ht="15" customHeight="1">
      <c r="B291" s="30">
        <v>286</v>
      </c>
      <c r="C291" s="31" t="s">
        <v>21</v>
      </c>
      <c r="D291" s="36" t="s">
        <v>56</v>
      </c>
      <c r="E291" s="36" t="s">
        <v>109</v>
      </c>
      <c r="F291" s="36" t="s">
        <v>110</v>
      </c>
      <c r="G291" s="37" t="s">
        <v>110</v>
      </c>
      <c r="H291" s="32">
        <v>3913</v>
      </c>
      <c r="I291" s="32">
        <v>1412</v>
      </c>
      <c r="J291" s="32">
        <v>1026</v>
      </c>
      <c r="K291" s="32">
        <v>386</v>
      </c>
      <c r="L291" s="32">
        <v>2501</v>
      </c>
      <c r="M291" s="32">
        <v>4434</v>
      </c>
      <c r="N291" s="32">
        <v>2483</v>
      </c>
      <c r="O291" s="32">
        <v>2141</v>
      </c>
      <c r="P291" s="32">
        <v>342</v>
      </c>
      <c r="Q291" s="32">
        <v>1951</v>
      </c>
      <c r="R291" s="33">
        <v>36.084845399999999</v>
      </c>
      <c r="S291" s="33">
        <v>26.2202913</v>
      </c>
      <c r="T291" s="33">
        <v>9.8645540999999994</v>
      </c>
      <c r="U291" s="33">
        <v>63.915154600000001</v>
      </c>
      <c r="V291" s="33">
        <v>55.999097900000002</v>
      </c>
      <c r="W291" s="33">
        <v>48.285972000000001</v>
      </c>
      <c r="X291" s="33">
        <v>7.7131258000000003</v>
      </c>
      <c r="Y291" s="33">
        <v>44.000902099999998</v>
      </c>
    </row>
    <row r="292" spans="2:25" ht="15" hidden="1" customHeight="1">
      <c r="B292" s="25">
        <v>287</v>
      </c>
      <c r="C292" s="26" t="s">
        <v>21</v>
      </c>
      <c r="D292" s="26" t="s">
        <v>56</v>
      </c>
      <c r="E292" s="26" t="s">
        <v>109</v>
      </c>
      <c r="F292" s="26" t="s">
        <v>110</v>
      </c>
      <c r="G292" s="27" t="s">
        <v>15</v>
      </c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9"/>
      <c r="S292" s="29"/>
      <c r="T292" s="29"/>
      <c r="U292" s="29"/>
      <c r="V292" s="29"/>
      <c r="W292" s="29"/>
      <c r="X292" s="29"/>
      <c r="Y292" s="29"/>
    </row>
    <row r="293" spans="2:25" ht="15" hidden="1" customHeight="1">
      <c r="B293" s="25">
        <v>288</v>
      </c>
      <c r="C293" s="26" t="s">
        <v>21</v>
      </c>
      <c r="D293" s="26" t="s">
        <v>56</v>
      </c>
      <c r="E293" s="26" t="s">
        <v>109</v>
      </c>
      <c r="F293" s="26" t="s">
        <v>110</v>
      </c>
      <c r="G293" s="27" t="s">
        <v>16</v>
      </c>
      <c r="H293" s="28">
        <v>3913</v>
      </c>
      <c r="I293" s="28">
        <v>1412</v>
      </c>
      <c r="J293" s="28">
        <v>1026</v>
      </c>
      <c r="K293" s="28">
        <v>386</v>
      </c>
      <c r="L293" s="28">
        <v>2501</v>
      </c>
      <c r="M293" s="28">
        <v>4434</v>
      </c>
      <c r="N293" s="28">
        <v>2483</v>
      </c>
      <c r="O293" s="28">
        <v>2141</v>
      </c>
      <c r="P293" s="28">
        <v>342</v>
      </c>
      <c r="Q293" s="28">
        <v>1951</v>
      </c>
      <c r="R293" s="29">
        <v>36.084845399999999</v>
      </c>
      <c r="S293" s="29">
        <v>26.2202913</v>
      </c>
      <c r="T293" s="29">
        <v>9.8645540999999994</v>
      </c>
      <c r="U293" s="29">
        <v>63.915154600000001</v>
      </c>
      <c r="V293" s="29">
        <v>55.999097900000002</v>
      </c>
      <c r="W293" s="29">
        <v>48.285972000000001</v>
      </c>
      <c r="X293" s="29">
        <v>7.7131258000000003</v>
      </c>
      <c r="Y293" s="29">
        <v>44.000902099999998</v>
      </c>
    </row>
    <row r="294" spans="2:25" ht="15" customHeight="1">
      <c r="B294" s="30">
        <v>289</v>
      </c>
      <c r="C294" s="31" t="s">
        <v>21</v>
      </c>
      <c r="D294" s="36" t="s">
        <v>56</v>
      </c>
      <c r="E294" s="36" t="s">
        <v>109</v>
      </c>
      <c r="F294" s="36" t="s">
        <v>111</v>
      </c>
      <c r="G294" s="37" t="s">
        <v>111</v>
      </c>
      <c r="H294" s="32">
        <v>4624</v>
      </c>
      <c r="I294" s="32">
        <v>627</v>
      </c>
      <c r="J294" s="32">
        <v>420</v>
      </c>
      <c r="K294" s="32">
        <v>207</v>
      </c>
      <c r="L294" s="32">
        <v>3997</v>
      </c>
      <c r="M294" s="32">
        <v>6638</v>
      </c>
      <c r="N294" s="32">
        <v>2505</v>
      </c>
      <c r="O294" s="32">
        <v>2135</v>
      </c>
      <c r="P294" s="32">
        <v>370</v>
      </c>
      <c r="Q294" s="32">
        <v>4133</v>
      </c>
      <c r="R294" s="33">
        <v>13.559688599999999</v>
      </c>
      <c r="S294" s="33">
        <v>9.0830450000000003</v>
      </c>
      <c r="T294" s="33">
        <v>4.4766436000000001</v>
      </c>
      <c r="U294" s="33">
        <v>86.440311399999999</v>
      </c>
      <c r="V294" s="33">
        <v>37.737270299999999</v>
      </c>
      <c r="W294" s="33">
        <v>32.163302199999997</v>
      </c>
      <c r="X294" s="33">
        <v>5.5739681000000001</v>
      </c>
      <c r="Y294" s="33">
        <v>62.262729700000001</v>
      </c>
    </row>
    <row r="295" spans="2:25" ht="15" hidden="1" customHeight="1">
      <c r="B295" s="25">
        <v>290</v>
      </c>
      <c r="C295" s="26" t="s">
        <v>21</v>
      </c>
      <c r="D295" s="26" t="s">
        <v>56</v>
      </c>
      <c r="E295" s="26" t="s">
        <v>109</v>
      </c>
      <c r="F295" s="26" t="s">
        <v>111</v>
      </c>
      <c r="G295" s="27" t="s">
        <v>15</v>
      </c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9"/>
      <c r="S295" s="29"/>
      <c r="T295" s="29"/>
      <c r="U295" s="29"/>
      <c r="V295" s="29"/>
      <c r="W295" s="29"/>
      <c r="X295" s="29"/>
      <c r="Y295" s="29"/>
    </row>
    <row r="296" spans="2:25" ht="15" hidden="1" customHeight="1">
      <c r="B296" s="25">
        <v>291</v>
      </c>
      <c r="C296" s="26" t="s">
        <v>21</v>
      </c>
      <c r="D296" s="26" t="s">
        <v>56</v>
      </c>
      <c r="E296" s="26" t="s">
        <v>109</v>
      </c>
      <c r="F296" s="26" t="s">
        <v>111</v>
      </c>
      <c r="G296" s="27" t="s">
        <v>16</v>
      </c>
      <c r="H296" s="28">
        <v>4624</v>
      </c>
      <c r="I296" s="28">
        <v>627</v>
      </c>
      <c r="J296" s="28">
        <v>420</v>
      </c>
      <c r="K296" s="28">
        <v>207</v>
      </c>
      <c r="L296" s="28">
        <v>3997</v>
      </c>
      <c r="M296" s="28">
        <v>6638</v>
      </c>
      <c r="N296" s="28">
        <v>2505</v>
      </c>
      <c r="O296" s="28">
        <v>2135</v>
      </c>
      <c r="P296" s="28">
        <v>370</v>
      </c>
      <c r="Q296" s="28">
        <v>4133</v>
      </c>
      <c r="R296" s="29">
        <v>13.559688599999999</v>
      </c>
      <c r="S296" s="29">
        <v>9.0830450000000003</v>
      </c>
      <c r="T296" s="29">
        <v>4.4766436000000001</v>
      </c>
      <c r="U296" s="29">
        <v>86.440311399999999</v>
      </c>
      <c r="V296" s="29">
        <v>37.737270299999999</v>
      </c>
      <c r="W296" s="29">
        <v>32.163302199999997</v>
      </c>
      <c r="X296" s="29">
        <v>5.5739681000000001</v>
      </c>
      <c r="Y296" s="29">
        <v>62.262729700000001</v>
      </c>
    </row>
    <row r="297" spans="2:25" ht="15" customHeight="1">
      <c r="B297" s="30">
        <v>292</v>
      </c>
      <c r="C297" s="31" t="s">
        <v>21</v>
      </c>
      <c r="D297" s="36" t="s">
        <v>56</v>
      </c>
      <c r="E297" s="36" t="s">
        <v>109</v>
      </c>
      <c r="F297" s="36" t="s">
        <v>112</v>
      </c>
      <c r="G297" s="37" t="s">
        <v>112</v>
      </c>
      <c r="H297" s="32">
        <v>2306</v>
      </c>
      <c r="I297" s="32">
        <v>302</v>
      </c>
      <c r="J297" s="32">
        <v>178</v>
      </c>
      <c r="K297" s="32">
        <v>124</v>
      </c>
      <c r="L297" s="32">
        <v>2004</v>
      </c>
      <c r="M297" s="32">
        <v>4142</v>
      </c>
      <c r="N297" s="32">
        <v>1160</v>
      </c>
      <c r="O297" s="32">
        <v>942</v>
      </c>
      <c r="P297" s="32">
        <v>218</v>
      </c>
      <c r="Q297" s="32">
        <v>2982</v>
      </c>
      <c r="R297" s="33">
        <v>13.0962706</v>
      </c>
      <c r="S297" s="33">
        <v>7.7189939000000001</v>
      </c>
      <c r="T297" s="33">
        <v>5.3772767000000004</v>
      </c>
      <c r="U297" s="33">
        <v>86.903729400000003</v>
      </c>
      <c r="V297" s="33">
        <v>28.005794300000002</v>
      </c>
      <c r="W297" s="33">
        <v>22.742636399999999</v>
      </c>
      <c r="X297" s="33">
        <v>5.2631579000000004</v>
      </c>
      <c r="Y297" s="33">
        <v>71.994205699999995</v>
      </c>
    </row>
    <row r="298" spans="2:25" ht="15" hidden="1" customHeight="1">
      <c r="B298" s="25">
        <v>293</v>
      </c>
      <c r="C298" s="26" t="s">
        <v>21</v>
      </c>
      <c r="D298" s="26" t="s">
        <v>56</v>
      </c>
      <c r="E298" s="26" t="s">
        <v>109</v>
      </c>
      <c r="F298" s="26" t="s">
        <v>112</v>
      </c>
      <c r="G298" s="27" t="s">
        <v>15</v>
      </c>
      <c r="H298" s="28"/>
      <c r="I298" s="28"/>
      <c r="J298" s="28"/>
      <c r="K298" s="28"/>
      <c r="L298" s="28"/>
      <c r="M298" s="28">
        <v>444</v>
      </c>
      <c r="N298" s="28">
        <v>244</v>
      </c>
      <c r="O298" s="28">
        <v>218</v>
      </c>
      <c r="P298" s="28">
        <v>26</v>
      </c>
      <c r="Q298" s="28">
        <v>200</v>
      </c>
      <c r="R298" s="29"/>
      <c r="S298" s="29"/>
      <c r="T298" s="29"/>
      <c r="U298" s="29"/>
      <c r="V298" s="29">
        <v>54.954954999999998</v>
      </c>
      <c r="W298" s="29">
        <v>49.099099099999997</v>
      </c>
      <c r="X298" s="29">
        <v>5.8558558999999999</v>
      </c>
      <c r="Y298" s="29">
        <v>45.045045000000002</v>
      </c>
    </row>
    <row r="299" spans="2:25" ht="15" hidden="1" customHeight="1">
      <c r="B299" s="25">
        <v>294</v>
      </c>
      <c r="C299" s="26" t="s">
        <v>21</v>
      </c>
      <c r="D299" s="26" t="s">
        <v>56</v>
      </c>
      <c r="E299" s="26" t="s">
        <v>109</v>
      </c>
      <c r="F299" s="26" t="s">
        <v>112</v>
      </c>
      <c r="G299" s="27" t="s">
        <v>16</v>
      </c>
      <c r="H299" s="28">
        <v>2306</v>
      </c>
      <c r="I299" s="28">
        <v>302</v>
      </c>
      <c r="J299" s="28">
        <v>178</v>
      </c>
      <c r="K299" s="28">
        <v>124</v>
      </c>
      <c r="L299" s="28">
        <v>2004</v>
      </c>
      <c r="M299" s="28">
        <v>3698</v>
      </c>
      <c r="N299" s="28">
        <v>916</v>
      </c>
      <c r="O299" s="28">
        <v>724</v>
      </c>
      <c r="P299" s="28">
        <v>192</v>
      </c>
      <c r="Q299" s="28">
        <v>2782</v>
      </c>
      <c r="R299" s="29">
        <v>13.0962706</v>
      </c>
      <c r="S299" s="29">
        <v>7.7189939000000001</v>
      </c>
      <c r="T299" s="29">
        <v>5.3772767000000004</v>
      </c>
      <c r="U299" s="29">
        <v>86.903729400000003</v>
      </c>
      <c r="V299" s="29">
        <v>24.770146</v>
      </c>
      <c r="W299" s="29">
        <v>19.578150399999998</v>
      </c>
      <c r="X299" s="29">
        <v>5.1919956999999997</v>
      </c>
      <c r="Y299" s="29">
        <v>75.229854000000003</v>
      </c>
    </row>
    <row r="300" spans="2:25" ht="15" customHeight="1">
      <c r="B300" s="30">
        <v>295</v>
      </c>
      <c r="C300" s="31" t="s">
        <v>21</v>
      </c>
      <c r="D300" s="36" t="s">
        <v>56</v>
      </c>
      <c r="E300" s="36" t="s">
        <v>109</v>
      </c>
      <c r="F300" s="36" t="s">
        <v>113</v>
      </c>
      <c r="G300" s="37" t="s">
        <v>113</v>
      </c>
      <c r="H300" s="32">
        <v>1234</v>
      </c>
      <c r="I300" s="32">
        <v>344</v>
      </c>
      <c r="J300" s="32">
        <v>177</v>
      </c>
      <c r="K300" s="32">
        <v>167</v>
      </c>
      <c r="L300" s="32">
        <v>890</v>
      </c>
      <c r="M300" s="32">
        <v>1777</v>
      </c>
      <c r="N300" s="32">
        <v>588</v>
      </c>
      <c r="O300" s="32">
        <v>356</v>
      </c>
      <c r="P300" s="32">
        <v>232</v>
      </c>
      <c r="Q300" s="32">
        <v>1189</v>
      </c>
      <c r="R300" s="33">
        <v>27.876823300000002</v>
      </c>
      <c r="S300" s="33">
        <v>14.343598099999999</v>
      </c>
      <c r="T300" s="33">
        <v>13.5332253</v>
      </c>
      <c r="U300" s="33">
        <v>72.123176700000002</v>
      </c>
      <c r="V300" s="33">
        <v>33.089476599999998</v>
      </c>
      <c r="W300" s="33">
        <v>20.0337648</v>
      </c>
      <c r="X300" s="33">
        <v>13.0557119</v>
      </c>
      <c r="Y300" s="33">
        <v>66.910523400000002</v>
      </c>
    </row>
    <row r="301" spans="2:25" ht="15" hidden="1" customHeight="1">
      <c r="B301" s="25">
        <v>296</v>
      </c>
      <c r="C301" s="26" t="s">
        <v>21</v>
      </c>
      <c r="D301" s="26" t="s">
        <v>56</v>
      </c>
      <c r="E301" s="26" t="s">
        <v>109</v>
      </c>
      <c r="F301" s="26" t="s">
        <v>113</v>
      </c>
      <c r="G301" s="27" t="s">
        <v>15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9"/>
      <c r="S301" s="29"/>
      <c r="T301" s="29"/>
      <c r="U301" s="29"/>
      <c r="V301" s="29"/>
      <c r="W301" s="29"/>
      <c r="X301" s="29"/>
      <c r="Y301" s="29"/>
    </row>
    <row r="302" spans="2:25" ht="15" hidden="1" customHeight="1">
      <c r="B302" s="25">
        <v>297</v>
      </c>
      <c r="C302" s="26" t="s">
        <v>21</v>
      </c>
      <c r="D302" s="26" t="s">
        <v>56</v>
      </c>
      <c r="E302" s="26" t="s">
        <v>109</v>
      </c>
      <c r="F302" s="26" t="s">
        <v>113</v>
      </c>
      <c r="G302" s="27" t="s">
        <v>16</v>
      </c>
      <c r="H302" s="28">
        <v>1234</v>
      </c>
      <c r="I302" s="28">
        <v>344</v>
      </c>
      <c r="J302" s="28">
        <v>177</v>
      </c>
      <c r="K302" s="28">
        <v>167</v>
      </c>
      <c r="L302" s="28">
        <v>890</v>
      </c>
      <c r="M302" s="28">
        <v>1777</v>
      </c>
      <c r="N302" s="28">
        <v>588</v>
      </c>
      <c r="O302" s="28">
        <v>356</v>
      </c>
      <c r="P302" s="28">
        <v>232</v>
      </c>
      <c r="Q302" s="28">
        <v>1189</v>
      </c>
      <c r="R302" s="29">
        <v>27.876823300000002</v>
      </c>
      <c r="S302" s="29">
        <v>14.343598099999999</v>
      </c>
      <c r="T302" s="29">
        <v>13.5332253</v>
      </c>
      <c r="U302" s="29">
        <v>72.123176700000002</v>
      </c>
      <c r="V302" s="29">
        <v>33.089476599999998</v>
      </c>
      <c r="W302" s="29">
        <v>20.0337648</v>
      </c>
      <c r="X302" s="29">
        <v>13.0557119</v>
      </c>
      <c r="Y302" s="29">
        <v>66.910523400000002</v>
      </c>
    </row>
    <row r="303" spans="2:25" ht="15" customHeight="1">
      <c r="B303" s="30">
        <v>298</v>
      </c>
      <c r="C303" s="31" t="s">
        <v>21</v>
      </c>
      <c r="D303" s="36" t="s">
        <v>56</v>
      </c>
      <c r="E303" s="36" t="s">
        <v>109</v>
      </c>
      <c r="F303" s="36" t="s">
        <v>114</v>
      </c>
      <c r="G303" s="37" t="s">
        <v>114</v>
      </c>
      <c r="H303" s="32">
        <v>3070</v>
      </c>
      <c r="I303" s="32">
        <v>554</v>
      </c>
      <c r="J303" s="32">
        <v>299</v>
      </c>
      <c r="K303" s="32">
        <v>255</v>
      </c>
      <c r="L303" s="32">
        <v>2516</v>
      </c>
      <c r="M303" s="32">
        <v>4892</v>
      </c>
      <c r="N303" s="32">
        <v>1477</v>
      </c>
      <c r="O303" s="32">
        <v>1156</v>
      </c>
      <c r="P303" s="32">
        <v>321</v>
      </c>
      <c r="Q303" s="32">
        <v>3415</v>
      </c>
      <c r="R303" s="33">
        <v>18.045602599999999</v>
      </c>
      <c r="S303" s="33">
        <v>9.7394137000000001</v>
      </c>
      <c r="T303" s="33">
        <v>8.3061889000000004</v>
      </c>
      <c r="U303" s="33">
        <v>81.954397400000005</v>
      </c>
      <c r="V303" s="33">
        <v>30.192150399999999</v>
      </c>
      <c r="W303" s="33">
        <v>23.630417000000001</v>
      </c>
      <c r="X303" s="33">
        <v>6.5617333999999996</v>
      </c>
      <c r="Y303" s="33">
        <v>69.807849599999997</v>
      </c>
    </row>
    <row r="304" spans="2:25" ht="15" hidden="1" customHeight="1">
      <c r="B304" s="25">
        <v>299</v>
      </c>
      <c r="C304" s="26" t="s">
        <v>21</v>
      </c>
      <c r="D304" s="26" t="s">
        <v>56</v>
      </c>
      <c r="E304" s="26" t="s">
        <v>109</v>
      </c>
      <c r="F304" s="26" t="s">
        <v>114</v>
      </c>
      <c r="G304" s="27" t="s">
        <v>15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9"/>
      <c r="S304" s="29"/>
      <c r="T304" s="29"/>
      <c r="U304" s="29"/>
      <c r="V304" s="29"/>
      <c r="W304" s="29"/>
      <c r="X304" s="29"/>
      <c r="Y304" s="29"/>
    </row>
    <row r="305" spans="2:25" ht="15" hidden="1" customHeight="1">
      <c r="B305" s="25">
        <v>300</v>
      </c>
      <c r="C305" s="26" t="s">
        <v>21</v>
      </c>
      <c r="D305" s="26" t="s">
        <v>56</v>
      </c>
      <c r="E305" s="26" t="s">
        <v>109</v>
      </c>
      <c r="F305" s="26" t="s">
        <v>114</v>
      </c>
      <c r="G305" s="27" t="s">
        <v>16</v>
      </c>
      <c r="H305" s="28">
        <v>3070</v>
      </c>
      <c r="I305" s="28">
        <v>554</v>
      </c>
      <c r="J305" s="28">
        <v>299</v>
      </c>
      <c r="K305" s="28">
        <v>255</v>
      </c>
      <c r="L305" s="28">
        <v>2516</v>
      </c>
      <c r="M305" s="28">
        <v>4892</v>
      </c>
      <c r="N305" s="28">
        <v>1477</v>
      </c>
      <c r="O305" s="28">
        <v>1156</v>
      </c>
      <c r="P305" s="28">
        <v>321</v>
      </c>
      <c r="Q305" s="28">
        <v>3415</v>
      </c>
      <c r="R305" s="29">
        <v>18.045602599999999</v>
      </c>
      <c r="S305" s="29">
        <v>9.7394137000000001</v>
      </c>
      <c r="T305" s="29">
        <v>8.3061889000000004</v>
      </c>
      <c r="U305" s="29">
        <v>81.954397400000005</v>
      </c>
      <c r="V305" s="29">
        <v>30.192150399999999</v>
      </c>
      <c r="W305" s="29">
        <v>23.630417000000001</v>
      </c>
      <c r="X305" s="29">
        <v>6.5617333999999996</v>
      </c>
      <c r="Y305" s="29">
        <v>69.807849599999997</v>
      </c>
    </row>
    <row r="306" spans="2:25" ht="15" hidden="1" customHeight="1">
      <c r="B306" s="21">
        <v>301</v>
      </c>
      <c r="C306" s="22" t="s">
        <v>19</v>
      </c>
      <c r="D306" s="35" t="s">
        <v>56</v>
      </c>
      <c r="E306" s="35" t="s">
        <v>115</v>
      </c>
      <c r="F306" s="35"/>
      <c r="G306" s="22" t="s">
        <v>115</v>
      </c>
      <c r="H306" s="23">
        <v>19846</v>
      </c>
      <c r="I306" s="23">
        <v>4709</v>
      </c>
      <c r="J306" s="23">
        <v>2561</v>
      </c>
      <c r="K306" s="23">
        <v>2148</v>
      </c>
      <c r="L306" s="23">
        <v>15137</v>
      </c>
      <c r="M306" s="23">
        <v>30583</v>
      </c>
      <c r="N306" s="23">
        <v>12582</v>
      </c>
      <c r="O306" s="23">
        <v>9762</v>
      </c>
      <c r="P306" s="23">
        <v>2820</v>
      </c>
      <c r="Q306" s="23">
        <v>18001</v>
      </c>
      <c r="R306" s="24">
        <v>23.727703300000002</v>
      </c>
      <c r="S306" s="24">
        <v>12.9043636</v>
      </c>
      <c r="T306" s="24">
        <v>10.8233397</v>
      </c>
      <c r="U306" s="24">
        <v>76.272296699999998</v>
      </c>
      <c r="V306" s="24">
        <v>41.140502900000001</v>
      </c>
      <c r="W306" s="24">
        <v>31.919693899999999</v>
      </c>
      <c r="X306" s="24">
        <v>9.2208088999999998</v>
      </c>
      <c r="Y306" s="24">
        <v>58.859497099999999</v>
      </c>
    </row>
    <row r="307" spans="2:25" ht="15" hidden="1" customHeight="1">
      <c r="B307" s="25">
        <v>302</v>
      </c>
      <c r="C307" s="26" t="s">
        <v>19</v>
      </c>
      <c r="D307" s="26" t="s">
        <v>56</v>
      </c>
      <c r="E307" s="26" t="s">
        <v>115</v>
      </c>
      <c r="F307" s="26"/>
      <c r="G307" s="27" t="s">
        <v>15</v>
      </c>
      <c r="H307" s="28">
        <v>3248</v>
      </c>
      <c r="I307" s="28">
        <v>1527</v>
      </c>
      <c r="J307" s="28">
        <v>813</v>
      </c>
      <c r="K307" s="28">
        <v>714</v>
      </c>
      <c r="L307" s="28">
        <v>1721</v>
      </c>
      <c r="M307" s="28">
        <v>5831</v>
      </c>
      <c r="N307" s="28">
        <v>4113</v>
      </c>
      <c r="O307" s="28">
        <v>3404</v>
      </c>
      <c r="P307" s="28">
        <v>709</v>
      </c>
      <c r="Q307" s="28">
        <v>1718</v>
      </c>
      <c r="R307" s="29">
        <v>47.0135468</v>
      </c>
      <c r="S307" s="29">
        <v>25.0307882</v>
      </c>
      <c r="T307" s="29">
        <v>21.9827586</v>
      </c>
      <c r="U307" s="29">
        <v>52.9864532</v>
      </c>
      <c r="V307" s="29">
        <v>70.5367861</v>
      </c>
      <c r="W307" s="29">
        <v>58.377636799999998</v>
      </c>
      <c r="X307" s="29">
        <v>12.1591494</v>
      </c>
      <c r="Y307" s="29">
        <v>29.4632139</v>
      </c>
    </row>
    <row r="308" spans="2:25" ht="15" hidden="1" customHeight="1">
      <c r="B308" s="25">
        <v>303</v>
      </c>
      <c r="C308" s="26" t="s">
        <v>19</v>
      </c>
      <c r="D308" s="26" t="s">
        <v>56</v>
      </c>
      <c r="E308" s="26" t="s">
        <v>115</v>
      </c>
      <c r="F308" s="26"/>
      <c r="G308" s="27" t="s">
        <v>16</v>
      </c>
      <c r="H308" s="28">
        <v>16598</v>
      </c>
      <c r="I308" s="28">
        <v>3182</v>
      </c>
      <c r="J308" s="28">
        <v>1748</v>
      </c>
      <c r="K308" s="28">
        <v>1434</v>
      </c>
      <c r="L308" s="28">
        <v>13416</v>
      </c>
      <c r="M308" s="28">
        <v>24752</v>
      </c>
      <c r="N308" s="28">
        <v>8469</v>
      </c>
      <c r="O308" s="28">
        <v>6358</v>
      </c>
      <c r="P308" s="28">
        <v>2111</v>
      </c>
      <c r="Q308" s="28">
        <v>16283</v>
      </c>
      <c r="R308" s="29">
        <v>19.170984499999999</v>
      </c>
      <c r="S308" s="29">
        <v>10.531389300000001</v>
      </c>
      <c r="T308" s="29">
        <v>8.6395950999999993</v>
      </c>
      <c r="U308" s="29">
        <v>80.829015499999997</v>
      </c>
      <c r="V308" s="29">
        <v>34.215416900000001</v>
      </c>
      <c r="W308" s="29">
        <v>25.6868132</v>
      </c>
      <c r="X308" s="29">
        <v>8.5286036999999997</v>
      </c>
      <c r="Y308" s="29">
        <v>65.784583100000006</v>
      </c>
    </row>
    <row r="309" spans="2:25" ht="15" customHeight="1">
      <c r="B309" s="30">
        <v>304</v>
      </c>
      <c r="C309" s="31" t="s">
        <v>21</v>
      </c>
      <c r="D309" s="36" t="s">
        <v>56</v>
      </c>
      <c r="E309" s="36" t="s">
        <v>115</v>
      </c>
      <c r="F309" s="36" t="s">
        <v>115</v>
      </c>
      <c r="G309" s="37" t="s">
        <v>115</v>
      </c>
      <c r="H309" s="32">
        <v>4894</v>
      </c>
      <c r="I309" s="32">
        <v>893</v>
      </c>
      <c r="J309" s="32">
        <v>582</v>
      </c>
      <c r="K309" s="32">
        <v>311</v>
      </c>
      <c r="L309" s="32">
        <v>4001</v>
      </c>
      <c r="M309" s="32">
        <v>7144</v>
      </c>
      <c r="N309" s="32">
        <v>2510</v>
      </c>
      <c r="O309" s="32">
        <v>1924</v>
      </c>
      <c r="P309" s="32">
        <v>586</v>
      </c>
      <c r="Q309" s="32">
        <v>4634</v>
      </c>
      <c r="R309" s="33">
        <v>18.246832900000001</v>
      </c>
      <c r="S309" s="33">
        <v>11.8921128</v>
      </c>
      <c r="T309" s="33">
        <v>6.3547200999999998</v>
      </c>
      <c r="U309" s="33">
        <v>81.753167099999999</v>
      </c>
      <c r="V309" s="33">
        <v>35.134378499999997</v>
      </c>
      <c r="W309" s="33">
        <v>26.9316909</v>
      </c>
      <c r="X309" s="33">
        <v>8.2026876000000009</v>
      </c>
      <c r="Y309" s="33">
        <v>64.865621500000003</v>
      </c>
    </row>
    <row r="310" spans="2:25" ht="15" hidden="1" customHeight="1">
      <c r="B310" s="25">
        <v>305</v>
      </c>
      <c r="C310" s="26" t="s">
        <v>21</v>
      </c>
      <c r="D310" s="26" t="s">
        <v>56</v>
      </c>
      <c r="E310" s="26" t="s">
        <v>115</v>
      </c>
      <c r="F310" s="26" t="s">
        <v>115</v>
      </c>
      <c r="G310" s="27" t="s">
        <v>15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9"/>
      <c r="S310" s="29"/>
      <c r="T310" s="29"/>
      <c r="U310" s="29"/>
      <c r="V310" s="29"/>
      <c r="W310" s="29"/>
      <c r="X310" s="29"/>
      <c r="Y310" s="29"/>
    </row>
    <row r="311" spans="2:25" ht="15" hidden="1" customHeight="1">
      <c r="B311" s="25">
        <v>306</v>
      </c>
      <c r="C311" s="26" t="s">
        <v>21</v>
      </c>
      <c r="D311" s="26" t="s">
        <v>56</v>
      </c>
      <c r="E311" s="26" t="s">
        <v>115</v>
      </c>
      <c r="F311" s="26" t="s">
        <v>115</v>
      </c>
      <c r="G311" s="27" t="s">
        <v>16</v>
      </c>
      <c r="H311" s="28">
        <v>4894</v>
      </c>
      <c r="I311" s="28">
        <v>893</v>
      </c>
      <c r="J311" s="28">
        <v>582</v>
      </c>
      <c r="K311" s="28">
        <v>311</v>
      </c>
      <c r="L311" s="28">
        <v>4001</v>
      </c>
      <c r="M311" s="28">
        <v>7144</v>
      </c>
      <c r="N311" s="28">
        <v>2510</v>
      </c>
      <c r="O311" s="28">
        <v>1924</v>
      </c>
      <c r="P311" s="28">
        <v>586</v>
      </c>
      <c r="Q311" s="28">
        <v>4634</v>
      </c>
      <c r="R311" s="29">
        <v>18.246832900000001</v>
      </c>
      <c r="S311" s="29">
        <v>11.8921128</v>
      </c>
      <c r="T311" s="29">
        <v>6.3547200999999998</v>
      </c>
      <c r="U311" s="29">
        <v>81.753167099999999</v>
      </c>
      <c r="V311" s="29">
        <v>35.134378499999997</v>
      </c>
      <c r="W311" s="29">
        <v>26.9316909</v>
      </c>
      <c r="X311" s="29">
        <v>8.2026876000000009</v>
      </c>
      <c r="Y311" s="29">
        <v>64.865621500000003</v>
      </c>
    </row>
    <row r="312" spans="2:25" ht="15" customHeight="1">
      <c r="B312" s="30">
        <v>307</v>
      </c>
      <c r="C312" s="31" t="s">
        <v>21</v>
      </c>
      <c r="D312" s="36" t="s">
        <v>56</v>
      </c>
      <c r="E312" s="36" t="s">
        <v>115</v>
      </c>
      <c r="F312" s="36" t="s">
        <v>116</v>
      </c>
      <c r="G312" s="37" t="s">
        <v>116</v>
      </c>
      <c r="H312" s="32">
        <v>3387</v>
      </c>
      <c r="I312" s="32">
        <v>1046</v>
      </c>
      <c r="J312" s="32">
        <v>499</v>
      </c>
      <c r="K312" s="32">
        <v>547</v>
      </c>
      <c r="L312" s="32">
        <v>2341</v>
      </c>
      <c r="M312" s="32">
        <v>4434</v>
      </c>
      <c r="N312" s="32">
        <v>2188</v>
      </c>
      <c r="O312" s="32">
        <v>1672</v>
      </c>
      <c r="P312" s="32">
        <v>516</v>
      </c>
      <c r="Q312" s="32">
        <v>2246</v>
      </c>
      <c r="R312" s="33">
        <v>30.882787100000002</v>
      </c>
      <c r="S312" s="33">
        <v>14.7328019</v>
      </c>
      <c r="T312" s="33">
        <v>16.1499852</v>
      </c>
      <c r="U312" s="33">
        <v>69.117212899999998</v>
      </c>
      <c r="V312" s="33">
        <v>49.345962999999998</v>
      </c>
      <c r="W312" s="33">
        <v>37.708615199999997</v>
      </c>
      <c r="X312" s="33">
        <v>11.637347800000001</v>
      </c>
      <c r="Y312" s="33">
        <v>50.654037000000002</v>
      </c>
    </row>
    <row r="313" spans="2:25" ht="15" hidden="1" customHeight="1">
      <c r="B313" s="25">
        <v>308</v>
      </c>
      <c r="C313" s="26" t="s">
        <v>21</v>
      </c>
      <c r="D313" s="26" t="s">
        <v>56</v>
      </c>
      <c r="E313" s="26" t="s">
        <v>115</v>
      </c>
      <c r="F313" s="26" t="s">
        <v>116</v>
      </c>
      <c r="G313" s="27" t="s">
        <v>15</v>
      </c>
      <c r="H313" s="28">
        <v>1158</v>
      </c>
      <c r="I313" s="28">
        <v>625</v>
      </c>
      <c r="J313" s="28">
        <v>372</v>
      </c>
      <c r="K313" s="28">
        <v>253</v>
      </c>
      <c r="L313" s="28">
        <v>533</v>
      </c>
      <c r="M313" s="28">
        <v>1610</v>
      </c>
      <c r="N313" s="28">
        <v>1234</v>
      </c>
      <c r="O313" s="28">
        <v>1090</v>
      </c>
      <c r="P313" s="28">
        <v>144</v>
      </c>
      <c r="Q313" s="28">
        <v>376</v>
      </c>
      <c r="R313" s="29">
        <v>53.972366100000002</v>
      </c>
      <c r="S313" s="29">
        <v>32.124352299999998</v>
      </c>
      <c r="T313" s="29">
        <v>21.8480138</v>
      </c>
      <c r="U313" s="29">
        <v>46.027633899999998</v>
      </c>
      <c r="V313" s="29">
        <v>76.645962699999998</v>
      </c>
      <c r="W313" s="29">
        <v>67.701863399999993</v>
      </c>
      <c r="X313" s="29">
        <v>8.9440994000000007</v>
      </c>
      <c r="Y313" s="29">
        <v>23.354037300000002</v>
      </c>
    </row>
    <row r="314" spans="2:25" ht="15" hidden="1" customHeight="1">
      <c r="B314" s="25">
        <v>309</v>
      </c>
      <c r="C314" s="26" t="s">
        <v>21</v>
      </c>
      <c r="D314" s="26" t="s">
        <v>56</v>
      </c>
      <c r="E314" s="26" t="s">
        <v>115</v>
      </c>
      <c r="F314" s="26" t="s">
        <v>116</v>
      </c>
      <c r="G314" s="27" t="s">
        <v>16</v>
      </c>
      <c r="H314" s="28">
        <v>2229</v>
      </c>
      <c r="I314" s="28">
        <v>421</v>
      </c>
      <c r="J314" s="28">
        <v>127</v>
      </c>
      <c r="K314" s="28">
        <v>294</v>
      </c>
      <c r="L314" s="28">
        <v>1808</v>
      </c>
      <c r="M314" s="28">
        <v>2824</v>
      </c>
      <c r="N314" s="28">
        <v>954</v>
      </c>
      <c r="O314" s="28">
        <v>582</v>
      </c>
      <c r="P314" s="28">
        <v>372</v>
      </c>
      <c r="Q314" s="28">
        <v>1870</v>
      </c>
      <c r="R314" s="29">
        <v>18.887393400000001</v>
      </c>
      <c r="S314" s="29">
        <v>5.6976222999999999</v>
      </c>
      <c r="T314" s="29">
        <v>13.189771199999999</v>
      </c>
      <c r="U314" s="29">
        <v>81.112606600000007</v>
      </c>
      <c r="V314" s="29">
        <v>33.781869700000001</v>
      </c>
      <c r="W314" s="29">
        <v>20.6090652</v>
      </c>
      <c r="X314" s="29">
        <v>13.1728045</v>
      </c>
      <c r="Y314" s="29">
        <v>66.218130299999999</v>
      </c>
    </row>
    <row r="315" spans="2:25" ht="15" customHeight="1">
      <c r="B315" s="30">
        <v>310</v>
      </c>
      <c r="C315" s="31" t="s">
        <v>21</v>
      </c>
      <c r="D315" s="36" t="s">
        <v>56</v>
      </c>
      <c r="E315" s="36" t="s">
        <v>115</v>
      </c>
      <c r="F315" s="36" t="s">
        <v>117</v>
      </c>
      <c r="G315" s="37" t="s">
        <v>117</v>
      </c>
      <c r="H315" s="32">
        <v>3019</v>
      </c>
      <c r="I315" s="32">
        <v>1168</v>
      </c>
      <c r="J315" s="32">
        <v>628</v>
      </c>
      <c r="K315" s="32">
        <v>540</v>
      </c>
      <c r="L315" s="32">
        <v>1851</v>
      </c>
      <c r="M315" s="32">
        <v>5809</v>
      </c>
      <c r="N315" s="32">
        <v>3623</v>
      </c>
      <c r="O315" s="32">
        <v>2683</v>
      </c>
      <c r="P315" s="32">
        <v>940</v>
      </c>
      <c r="Q315" s="32">
        <v>2186</v>
      </c>
      <c r="R315" s="33">
        <v>38.688307399999999</v>
      </c>
      <c r="S315" s="33">
        <v>20.8015899</v>
      </c>
      <c r="T315" s="33">
        <v>17.8867175</v>
      </c>
      <c r="U315" s="33">
        <v>61.311692600000001</v>
      </c>
      <c r="V315" s="33">
        <v>62.368738200000003</v>
      </c>
      <c r="W315" s="33">
        <v>46.186951299999997</v>
      </c>
      <c r="X315" s="33">
        <v>16.181786899999999</v>
      </c>
      <c r="Y315" s="33">
        <v>37.631261799999997</v>
      </c>
    </row>
    <row r="316" spans="2:25" ht="15" hidden="1" customHeight="1">
      <c r="B316" s="25">
        <v>311</v>
      </c>
      <c r="C316" s="26" t="s">
        <v>21</v>
      </c>
      <c r="D316" s="26" t="s">
        <v>56</v>
      </c>
      <c r="E316" s="26" t="s">
        <v>115</v>
      </c>
      <c r="F316" s="26" t="s">
        <v>117</v>
      </c>
      <c r="G316" s="27" t="s">
        <v>15</v>
      </c>
      <c r="H316" s="28"/>
      <c r="I316" s="28"/>
      <c r="J316" s="28"/>
      <c r="K316" s="28"/>
      <c r="L316" s="28"/>
      <c r="M316" s="28">
        <v>706</v>
      </c>
      <c r="N316" s="28">
        <v>452</v>
      </c>
      <c r="O316" s="28">
        <v>269</v>
      </c>
      <c r="P316" s="28">
        <v>183</v>
      </c>
      <c r="Q316" s="28">
        <v>254</v>
      </c>
      <c r="R316" s="29"/>
      <c r="S316" s="29"/>
      <c r="T316" s="29"/>
      <c r="U316" s="29"/>
      <c r="V316" s="29">
        <v>64.0226629</v>
      </c>
      <c r="W316" s="29">
        <v>38.101982999999997</v>
      </c>
      <c r="X316" s="29">
        <v>25.9206799</v>
      </c>
      <c r="Y316" s="29">
        <v>35.9773371</v>
      </c>
    </row>
    <row r="317" spans="2:25" ht="15" hidden="1" customHeight="1">
      <c r="B317" s="25">
        <v>312</v>
      </c>
      <c r="C317" s="26" t="s">
        <v>21</v>
      </c>
      <c r="D317" s="26" t="s">
        <v>56</v>
      </c>
      <c r="E317" s="26" t="s">
        <v>115</v>
      </c>
      <c r="F317" s="26" t="s">
        <v>117</v>
      </c>
      <c r="G317" s="27" t="s">
        <v>16</v>
      </c>
      <c r="H317" s="28">
        <v>3019</v>
      </c>
      <c r="I317" s="28">
        <v>1168</v>
      </c>
      <c r="J317" s="28">
        <v>628</v>
      </c>
      <c r="K317" s="28">
        <v>540</v>
      </c>
      <c r="L317" s="28">
        <v>1851</v>
      </c>
      <c r="M317" s="28">
        <v>5103</v>
      </c>
      <c r="N317" s="28">
        <v>3171</v>
      </c>
      <c r="O317" s="28">
        <v>2414</v>
      </c>
      <c r="P317" s="28">
        <v>757</v>
      </c>
      <c r="Q317" s="28">
        <v>1932</v>
      </c>
      <c r="R317" s="29">
        <v>38.688307399999999</v>
      </c>
      <c r="S317" s="29">
        <v>20.8015899</v>
      </c>
      <c r="T317" s="29">
        <v>17.8867175</v>
      </c>
      <c r="U317" s="29">
        <v>61.311692600000001</v>
      </c>
      <c r="V317" s="29">
        <v>62.139917699999998</v>
      </c>
      <c r="W317" s="29">
        <v>47.305506600000001</v>
      </c>
      <c r="X317" s="29">
        <v>14.834411100000001</v>
      </c>
      <c r="Y317" s="29">
        <v>37.860082300000002</v>
      </c>
    </row>
    <row r="318" spans="2:25" ht="15" customHeight="1">
      <c r="B318" s="30">
        <v>313</v>
      </c>
      <c r="C318" s="31" t="s">
        <v>21</v>
      </c>
      <c r="D318" s="36" t="s">
        <v>56</v>
      </c>
      <c r="E318" s="36" t="s">
        <v>115</v>
      </c>
      <c r="F318" s="36" t="s">
        <v>118</v>
      </c>
      <c r="G318" s="37" t="s">
        <v>118</v>
      </c>
      <c r="H318" s="32">
        <v>5830</v>
      </c>
      <c r="I318" s="32">
        <v>988</v>
      </c>
      <c r="J318" s="32">
        <v>520</v>
      </c>
      <c r="K318" s="32">
        <v>468</v>
      </c>
      <c r="L318" s="32">
        <v>4842</v>
      </c>
      <c r="M318" s="32">
        <v>7870</v>
      </c>
      <c r="N318" s="32">
        <v>2403</v>
      </c>
      <c r="O318" s="32">
        <v>2002</v>
      </c>
      <c r="P318" s="32">
        <v>401</v>
      </c>
      <c r="Q318" s="32">
        <v>5467</v>
      </c>
      <c r="R318" s="33">
        <v>16.9468268</v>
      </c>
      <c r="S318" s="33">
        <v>8.9193824999999993</v>
      </c>
      <c r="T318" s="33">
        <v>8.0274443000000009</v>
      </c>
      <c r="U318" s="33">
        <v>83.053173200000003</v>
      </c>
      <c r="V318" s="33">
        <v>30.533672200000002</v>
      </c>
      <c r="W318" s="33">
        <v>25.438373599999998</v>
      </c>
      <c r="X318" s="33">
        <v>5.0952985999999996</v>
      </c>
      <c r="Y318" s="33">
        <v>69.466327800000002</v>
      </c>
    </row>
    <row r="319" spans="2:25" ht="15" hidden="1" customHeight="1">
      <c r="B319" s="25">
        <v>314</v>
      </c>
      <c r="C319" s="26" t="s">
        <v>21</v>
      </c>
      <c r="D319" s="26" t="s">
        <v>56</v>
      </c>
      <c r="E319" s="26" t="s">
        <v>115</v>
      </c>
      <c r="F319" s="26" t="s">
        <v>118</v>
      </c>
      <c r="G319" s="27" t="s">
        <v>15</v>
      </c>
      <c r="H319" s="28">
        <v>1728</v>
      </c>
      <c r="I319" s="28">
        <v>655</v>
      </c>
      <c r="J319" s="28">
        <v>314</v>
      </c>
      <c r="K319" s="28">
        <v>341</v>
      </c>
      <c r="L319" s="28">
        <v>1073</v>
      </c>
      <c r="M319" s="28">
        <v>2222</v>
      </c>
      <c r="N319" s="28">
        <v>1510</v>
      </c>
      <c r="O319" s="28">
        <v>1282</v>
      </c>
      <c r="P319" s="28">
        <v>228</v>
      </c>
      <c r="Q319" s="28">
        <v>712</v>
      </c>
      <c r="R319" s="29">
        <v>37.905092600000003</v>
      </c>
      <c r="S319" s="29">
        <v>18.171296300000002</v>
      </c>
      <c r="T319" s="29">
        <v>19.733796300000002</v>
      </c>
      <c r="U319" s="29">
        <v>62.094907399999997</v>
      </c>
      <c r="V319" s="29">
        <v>67.956795700000001</v>
      </c>
      <c r="W319" s="29">
        <v>57.695769599999998</v>
      </c>
      <c r="X319" s="29">
        <v>10.2610261</v>
      </c>
      <c r="Y319" s="29">
        <v>32.043204299999999</v>
      </c>
    </row>
    <row r="320" spans="2:25" ht="15" hidden="1" customHeight="1">
      <c r="B320" s="25">
        <v>315</v>
      </c>
      <c r="C320" s="26" t="s">
        <v>21</v>
      </c>
      <c r="D320" s="26" t="s">
        <v>56</v>
      </c>
      <c r="E320" s="26" t="s">
        <v>115</v>
      </c>
      <c r="F320" s="26" t="s">
        <v>118</v>
      </c>
      <c r="G320" s="27" t="s">
        <v>16</v>
      </c>
      <c r="H320" s="28">
        <v>4102</v>
      </c>
      <c r="I320" s="28">
        <v>333</v>
      </c>
      <c r="J320" s="28">
        <v>206</v>
      </c>
      <c r="K320" s="28">
        <v>127</v>
      </c>
      <c r="L320" s="28">
        <v>3769</v>
      </c>
      <c r="M320" s="28">
        <v>5648</v>
      </c>
      <c r="N320" s="28">
        <v>893</v>
      </c>
      <c r="O320" s="28">
        <v>720</v>
      </c>
      <c r="P320" s="28">
        <v>173</v>
      </c>
      <c r="Q320" s="28">
        <v>4755</v>
      </c>
      <c r="R320" s="29">
        <v>8.1179912000000005</v>
      </c>
      <c r="S320" s="29">
        <v>5.0219405000000004</v>
      </c>
      <c r="T320" s="29">
        <v>3.0960507000000002</v>
      </c>
      <c r="U320" s="29">
        <v>91.882008799999994</v>
      </c>
      <c r="V320" s="29">
        <v>15.8109065</v>
      </c>
      <c r="W320" s="29">
        <v>12.7478754</v>
      </c>
      <c r="X320" s="29">
        <v>3.0630312000000002</v>
      </c>
      <c r="Y320" s="29">
        <v>84.189093499999998</v>
      </c>
    </row>
    <row r="321" spans="2:25" ht="15" customHeight="1">
      <c r="B321" s="30">
        <v>316</v>
      </c>
      <c r="C321" s="31" t="s">
        <v>21</v>
      </c>
      <c r="D321" s="36" t="s">
        <v>56</v>
      </c>
      <c r="E321" s="36" t="s">
        <v>115</v>
      </c>
      <c r="F321" s="36" t="s">
        <v>119</v>
      </c>
      <c r="G321" s="37" t="s">
        <v>119</v>
      </c>
      <c r="H321" s="32">
        <v>1695</v>
      </c>
      <c r="I321" s="32">
        <v>241</v>
      </c>
      <c r="J321" s="32">
        <v>142</v>
      </c>
      <c r="K321" s="32">
        <v>99</v>
      </c>
      <c r="L321" s="32">
        <v>1454</v>
      </c>
      <c r="M321" s="32">
        <v>3455</v>
      </c>
      <c r="N321" s="32">
        <v>689</v>
      </c>
      <c r="O321" s="32">
        <v>491</v>
      </c>
      <c r="P321" s="32">
        <v>198</v>
      </c>
      <c r="Q321" s="32">
        <v>2766</v>
      </c>
      <c r="R321" s="33">
        <v>14.2182891</v>
      </c>
      <c r="S321" s="33">
        <v>8.3775811000000004</v>
      </c>
      <c r="T321" s="33">
        <v>5.8407080000000002</v>
      </c>
      <c r="U321" s="33">
        <v>85.781710899999993</v>
      </c>
      <c r="V321" s="33">
        <v>19.942112900000001</v>
      </c>
      <c r="W321" s="33">
        <v>14.211288</v>
      </c>
      <c r="X321" s="33">
        <v>5.7308249</v>
      </c>
      <c r="Y321" s="33">
        <v>80.057887100000002</v>
      </c>
    </row>
    <row r="322" spans="2:25" ht="15" hidden="1" customHeight="1">
      <c r="B322" s="25">
        <v>317</v>
      </c>
      <c r="C322" s="26" t="s">
        <v>21</v>
      </c>
      <c r="D322" s="26" t="s">
        <v>56</v>
      </c>
      <c r="E322" s="26" t="s">
        <v>115</v>
      </c>
      <c r="F322" s="26" t="s">
        <v>119</v>
      </c>
      <c r="G322" s="27" t="s">
        <v>15</v>
      </c>
      <c r="H322" s="28"/>
      <c r="I322" s="28"/>
      <c r="J322" s="28"/>
      <c r="K322" s="28"/>
      <c r="L322" s="28"/>
      <c r="M322" s="28">
        <v>480</v>
      </c>
      <c r="N322" s="28">
        <v>211</v>
      </c>
      <c r="O322" s="28">
        <v>168</v>
      </c>
      <c r="P322" s="28">
        <v>43</v>
      </c>
      <c r="Q322" s="28">
        <v>269</v>
      </c>
      <c r="R322" s="29"/>
      <c r="S322" s="29"/>
      <c r="T322" s="29"/>
      <c r="U322" s="29"/>
      <c r="V322" s="29">
        <v>43.9583333</v>
      </c>
      <c r="W322" s="29">
        <v>35</v>
      </c>
      <c r="X322" s="29">
        <v>8.9583332999999996</v>
      </c>
      <c r="Y322" s="29">
        <v>56.0416667</v>
      </c>
    </row>
    <row r="323" spans="2:25" ht="15" hidden="1" customHeight="1">
      <c r="B323" s="25">
        <v>318</v>
      </c>
      <c r="C323" s="26" t="s">
        <v>21</v>
      </c>
      <c r="D323" s="26" t="s">
        <v>56</v>
      </c>
      <c r="E323" s="26" t="s">
        <v>115</v>
      </c>
      <c r="F323" s="26" t="s">
        <v>119</v>
      </c>
      <c r="G323" s="27" t="s">
        <v>16</v>
      </c>
      <c r="H323" s="28">
        <v>1695</v>
      </c>
      <c r="I323" s="28">
        <v>241</v>
      </c>
      <c r="J323" s="28">
        <v>142</v>
      </c>
      <c r="K323" s="28">
        <v>99</v>
      </c>
      <c r="L323" s="28">
        <v>1454</v>
      </c>
      <c r="M323" s="28">
        <v>2975</v>
      </c>
      <c r="N323" s="28">
        <v>478</v>
      </c>
      <c r="O323" s="28">
        <v>323</v>
      </c>
      <c r="P323" s="28">
        <v>155</v>
      </c>
      <c r="Q323" s="28">
        <v>2497</v>
      </c>
      <c r="R323" s="29">
        <v>14.2182891</v>
      </c>
      <c r="S323" s="29">
        <v>8.3775811000000004</v>
      </c>
      <c r="T323" s="29">
        <v>5.8407080000000002</v>
      </c>
      <c r="U323" s="29">
        <v>85.781710899999993</v>
      </c>
      <c r="V323" s="29">
        <v>16.067226900000001</v>
      </c>
      <c r="W323" s="29">
        <v>10.857142899999999</v>
      </c>
      <c r="X323" s="29">
        <v>5.2100840000000002</v>
      </c>
      <c r="Y323" s="29">
        <v>83.932773100000006</v>
      </c>
    </row>
    <row r="324" spans="2:25" ht="15" customHeight="1">
      <c r="B324" s="30">
        <v>319</v>
      </c>
      <c r="C324" s="31" t="s">
        <v>21</v>
      </c>
      <c r="D324" s="36" t="s">
        <v>56</v>
      </c>
      <c r="E324" s="36" t="s">
        <v>115</v>
      </c>
      <c r="F324" s="36" t="s">
        <v>120</v>
      </c>
      <c r="G324" s="37" t="s">
        <v>120</v>
      </c>
      <c r="H324" s="32">
        <v>1021</v>
      </c>
      <c r="I324" s="32">
        <v>373</v>
      </c>
      <c r="J324" s="32">
        <v>190</v>
      </c>
      <c r="K324" s="32">
        <v>183</v>
      </c>
      <c r="L324" s="32">
        <v>648</v>
      </c>
      <c r="M324" s="32">
        <v>1871</v>
      </c>
      <c r="N324" s="32">
        <v>1169</v>
      </c>
      <c r="O324" s="32">
        <v>990</v>
      </c>
      <c r="P324" s="32">
        <v>179</v>
      </c>
      <c r="Q324" s="32">
        <v>702</v>
      </c>
      <c r="R324" s="33">
        <v>36.532811000000002</v>
      </c>
      <c r="S324" s="33">
        <v>18.609206700000001</v>
      </c>
      <c r="T324" s="33">
        <v>17.923604300000001</v>
      </c>
      <c r="U324" s="33">
        <v>63.467188999999998</v>
      </c>
      <c r="V324" s="33">
        <v>62.479957200000001</v>
      </c>
      <c r="W324" s="33">
        <v>52.912880800000003</v>
      </c>
      <c r="X324" s="33">
        <v>9.5670763999999995</v>
      </c>
      <c r="Y324" s="33">
        <v>37.520042799999999</v>
      </c>
    </row>
    <row r="325" spans="2:25" ht="15" hidden="1" customHeight="1">
      <c r="B325" s="25">
        <v>320</v>
      </c>
      <c r="C325" s="26" t="s">
        <v>21</v>
      </c>
      <c r="D325" s="26" t="s">
        <v>56</v>
      </c>
      <c r="E325" s="26" t="s">
        <v>115</v>
      </c>
      <c r="F325" s="26" t="s">
        <v>120</v>
      </c>
      <c r="G325" s="27" t="s">
        <v>15</v>
      </c>
      <c r="H325" s="28">
        <v>362</v>
      </c>
      <c r="I325" s="28">
        <v>247</v>
      </c>
      <c r="J325" s="28">
        <v>127</v>
      </c>
      <c r="K325" s="28">
        <v>120</v>
      </c>
      <c r="L325" s="28">
        <v>115</v>
      </c>
      <c r="M325" s="28">
        <v>813</v>
      </c>
      <c r="N325" s="28">
        <v>706</v>
      </c>
      <c r="O325" s="28">
        <v>595</v>
      </c>
      <c r="P325" s="28">
        <v>111</v>
      </c>
      <c r="Q325" s="28">
        <v>107</v>
      </c>
      <c r="R325" s="29">
        <v>68.232044200000004</v>
      </c>
      <c r="S325" s="29">
        <v>35.082872899999998</v>
      </c>
      <c r="T325" s="29">
        <v>33.149171299999999</v>
      </c>
      <c r="U325" s="29">
        <v>31.767955799999999</v>
      </c>
      <c r="V325" s="29">
        <v>86.838868399999996</v>
      </c>
      <c r="W325" s="29">
        <v>73.185731899999993</v>
      </c>
      <c r="X325" s="29">
        <v>13.6531365</v>
      </c>
      <c r="Y325" s="29">
        <v>13.161131599999999</v>
      </c>
    </row>
    <row r="326" spans="2:25" ht="15" hidden="1" customHeight="1">
      <c r="B326" s="25">
        <v>321</v>
      </c>
      <c r="C326" s="26" t="s">
        <v>21</v>
      </c>
      <c r="D326" s="26" t="s">
        <v>56</v>
      </c>
      <c r="E326" s="26" t="s">
        <v>115</v>
      </c>
      <c r="F326" s="26" t="s">
        <v>120</v>
      </c>
      <c r="G326" s="27" t="s">
        <v>16</v>
      </c>
      <c r="H326" s="28">
        <v>659</v>
      </c>
      <c r="I326" s="28">
        <v>126</v>
      </c>
      <c r="J326" s="28">
        <v>63</v>
      </c>
      <c r="K326" s="28">
        <v>63</v>
      </c>
      <c r="L326" s="28">
        <v>533</v>
      </c>
      <c r="M326" s="28">
        <v>1058</v>
      </c>
      <c r="N326" s="28">
        <v>463</v>
      </c>
      <c r="O326" s="28">
        <v>395</v>
      </c>
      <c r="P326" s="28">
        <v>68</v>
      </c>
      <c r="Q326" s="28">
        <v>595</v>
      </c>
      <c r="R326" s="29">
        <v>19.1198786</v>
      </c>
      <c r="S326" s="29">
        <v>9.5599392999999999</v>
      </c>
      <c r="T326" s="29">
        <v>9.5599392999999999</v>
      </c>
      <c r="U326" s="29">
        <v>80.880121399999993</v>
      </c>
      <c r="V326" s="29">
        <v>43.761814700000002</v>
      </c>
      <c r="W326" s="29">
        <v>37.334593599999998</v>
      </c>
      <c r="X326" s="29">
        <v>6.4272212</v>
      </c>
      <c r="Y326" s="29">
        <v>56.238185299999998</v>
      </c>
    </row>
    <row r="327" spans="2:25" ht="15" hidden="1" customHeight="1">
      <c r="B327" s="21">
        <v>322</v>
      </c>
      <c r="C327" s="22" t="s">
        <v>19</v>
      </c>
      <c r="D327" s="35" t="s">
        <v>56</v>
      </c>
      <c r="E327" s="35" t="s">
        <v>121</v>
      </c>
      <c r="F327" s="35"/>
      <c r="G327" s="22" t="s">
        <v>121</v>
      </c>
      <c r="H327" s="23">
        <v>37770</v>
      </c>
      <c r="I327" s="23">
        <v>15939</v>
      </c>
      <c r="J327" s="23">
        <v>9687</v>
      </c>
      <c r="K327" s="23">
        <v>6252</v>
      </c>
      <c r="L327" s="23">
        <v>21831</v>
      </c>
      <c r="M327" s="23">
        <v>49680</v>
      </c>
      <c r="N327" s="23">
        <v>29490</v>
      </c>
      <c r="O327" s="23">
        <v>24528</v>
      </c>
      <c r="P327" s="23">
        <v>4962</v>
      </c>
      <c r="Q327" s="23">
        <v>20190</v>
      </c>
      <c r="R327" s="24">
        <v>42.200158899999998</v>
      </c>
      <c r="S327" s="24">
        <v>25.647339200000001</v>
      </c>
      <c r="T327" s="24">
        <v>16.552819700000001</v>
      </c>
      <c r="U327" s="24">
        <v>57.799841100000002</v>
      </c>
      <c r="V327" s="24">
        <v>59.3599034</v>
      </c>
      <c r="W327" s="24">
        <v>49.371980700000002</v>
      </c>
      <c r="X327" s="24">
        <v>9.9879227000000004</v>
      </c>
      <c r="Y327" s="24">
        <v>40.6400966</v>
      </c>
    </row>
    <row r="328" spans="2:25" ht="15" hidden="1" customHeight="1">
      <c r="B328" s="25">
        <v>323</v>
      </c>
      <c r="C328" s="26" t="s">
        <v>19</v>
      </c>
      <c r="D328" s="26" t="s">
        <v>56</v>
      </c>
      <c r="E328" s="26" t="s">
        <v>121</v>
      </c>
      <c r="F328" s="26"/>
      <c r="G328" s="27" t="s">
        <v>15</v>
      </c>
      <c r="H328" s="28">
        <v>3806</v>
      </c>
      <c r="I328" s="28">
        <v>2843</v>
      </c>
      <c r="J328" s="28">
        <v>1470</v>
      </c>
      <c r="K328" s="28">
        <v>1373</v>
      </c>
      <c r="L328" s="28">
        <v>963</v>
      </c>
      <c r="M328" s="28">
        <v>6744</v>
      </c>
      <c r="N328" s="28">
        <v>5708</v>
      </c>
      <c r="O328" s="28">
        <v>4417</v>
      </c>
      <c r="P328" s="28">
        <v>1291</v>
      </c>
      <c r="Q328" s="28">
        <v>1036</v>
      </c>
      <c r="R328" s="29">
        <v>74.6978455</v>
      </c>
      <c r="S328" s="29">
        <v>38.623226500000001</v>
      </c>
      <c r="T328" s="29">
        <v>36.074618999999998</v>
      </c>
      <c r="U328" s="29">
        <v>25.3021545</v>
      </c>
      <c r="V328" s="29">
        <v>84.638196899999997</v>
      </c>
      <c r="W328" s="29">
        <v>65.495255</v>
      </c>
      <c r="X328" s="29">
        <v>19.1429419</v>
      </c>
      <c r="Y328" s="29">
        <v>15.361803099999999</v>
      </c>
    </row>
    <row r="329" spans="2:25" ht="15" hidden="1" customHeight="1">
      <c r="B329" s="25">
        <v>324</v>
      </c>
      <c r="C329" s="26" t="s">
        <v>19</v>
      </c>
      <c r="D329" s="26" t="s">
        <v>56</v>
      </c>
      <c r="E329" s="26" t="s">
        <v>121</v>
      </c>
      <c r="F329" s="26"/>
      <c r="G329" s="27" t="s">
        <v>16</v>
      </c>
      <c r="H329" s="28">
        <v>33964</v>
      </c>
      <c r="I329" s="28">
        <v>13096</v>
      </c>
      <c r="J329" s="28">
        <v>8217</v>
      </c>
      <c r="K329" s="28">
        <v>4879</v>
      </c>
      <c r="L329" s="28">
        <v>20868</v>
      </c>
      <c r="M329" s="28">
        <v>42936</v>
      </c>
      <c r="N329" s="28">
        <v>23782</v>
      </c>
      <c r="O329" s="28">
        <v>20111</v>
      </c>
      <c r="P329" s="28">
        <v>3671</v>
      </c>
      <c r="Q329" s="28">
        <v>19154</v>
      </c>
      <c r="R329" s="29">
        <v>38.5584737</v>
      </c>
      <c r="S329" s="29">
        <v>24.1932635</v>
      </c>
      <c r="T329" s="29">
        <v>14.3652102</v>
      </c>
      <c r="U329" s="29">
        <v>61.4415263</v>
      </c>
      <c r="V329" s="29">
        <v>55.389416799999999</v>
      </c>
      <c r="W329" s="29">
        <v>46.839481999999997</v>
      </c>
      <c r="X329" s="29">
        <v>8.5499348000000008</v>
      </c>
      <c r="Y329" s="29">
        <v>44.610583200000001</v>
      </c>
    </row>
    <row r="330" spans="2:25" ht="15" customHeight="1">
      <c r="B330" s="30">
        <v>325</v>
      </c>
      <c r="C330" s="31" t="s">
        <v>21</v>
      </c>
      <c r="D330" s="36" t="s">
        <v>56</v>
      </c>
      <c r="E330" s="36" t="s">
        <v>121</v>
      </c>
      <c r="F330" s="36" t="s">
        <v>122</v>
      </c>
      <c r="G330" s="37" t="s">
        <v>122</v>
      </c>
      <c r="H330" s="32">
        <v>6079</v>
      </c>
      <c r="I330" s="32">
        <v>2622</v>
      </c>
      <c r="J330" s="32">
        <v>1845</v>
      </c>
      <c r="K330" s="32">
        <v>777</v>
      </c>
      <c r="L330" s="32">
        <v>3457</v>
      </c>
      <c r="M330" s="32">
        <v>7214</v>
      </c>
      <c r="N330" s="32">
        <v>4949</v>
      </c>
      <c r="O330" s="32">
        <v>4070</v>
      </c>
      <c r="P330" s="32">
        <v>879</v>
      </c>
      <c r="Q330" s="32">
        <v>2265</v>
      </c>
      <c r="R330" s="33">
        <v>43.132094100000003</v>
      </c>
      <c r="S330" s="33">
        <v>30.3503866</v>
      </c>
      <c r="T330" s="33">
        <v>12.7817075</v>
      </c>
      <c r="U330" s="33">
        <v>56.867905899999997</v>
      </c>
      <c r="V330" s="33">
        <v>68.602716900000004</v>
      </c>
      <c r="W330" s="33">
        <v>56.418075999999999</v>
      </c>
      <c r="X330" s="33">
        <v>12.184640999999999</v>
      </c>
      <c r="Y330" s="33">
        <v>31.397283099999999</v>
      </c>
    </row>
    <row r="331" spans="2:25" ht="15" hidden="1" customHeight="1">
      <c r="B331" s="25">
        <v>326</v>
      </c>
      <c r="C331" s="26" t="s">
        <v>21</v>
      </c>
      <c r="D331" s="26" t="s">
        <v>56</v>
      </c>
      <c r="E331" s="26" t="s">
        <v>121</v>
      </c>
      <c r="F331" s="26" t="s">
        <v>122</v>
      </c>
      <c r="G331" s="27" t="s">
        <v>15</v>
      </c>
      <c r="H331" s="28">
        <v>760</v>
      </c>
      <c r="I331" s="28">
        <v>659</v>
      </c>
      <c r="J331" s="28">
        <v>426</v>
      </c>
      <c r="K331" s="28">
        <v>233</v>
      </c>
      <c r="L331" s="28">
        <v>101</v>
      </c>
      <c r="M331" s="28">
        <v>1081</v>
      </c>
      <c r="N331" s="28">
        <v>1003</v>
      </c>
      <c r="O331" s="28">
        <v>774</v>
      </c>
      <c r="P331" s="28">
        <v>229</v>
      </c>
      <c r="Q331" s="28">
        <v>78</v>
      </c>
      <c r="R331" s="29">
        <v>86.710526299999998</v>
      </c>
      <c r="S331" s="29">
        <v>56.052631599999998</v>
      </c>
      <c r="T331" s="29">
        <v>30.6578947</v>
      </c>
      <c r="U331" s="29">
        <v>13.2894737</v>
      </c>
      <c r="V331" s="29">
        <v>92.784458799999996</v>
      </c>
      <c r="W331" s="29">
        <v>71.600369999999998</v>
      </c>
      <c r="X331" s="29">
        <v>21.184088800000001</v>
      </c>
      <c r="Y331" s="29">
        <v>7.2155411999999997</v>
      </c>
    </row>
    <row r="332" spans="2:25" ht="15" hidden="1" customHeight="1">
      <c r="B332" s="25">
        <v>327</v>
      </c>
      <c r="C332" s="26" t="s">
        <v>21</v>
      </c>
      <c r="D332" s="26" t="s">
        <v>56</v>
      </c>
      <c r="E332" s="26" t="s">
        <v>121</v>
      </c>
      <c r="F332" s="26" t="s">
        <v>122</v>
      </c>
      <c r="G332" s="27" t="s">
        <v>16</v>
      </c>
      <c r="H332" s="28">
        <v>5319</v>
      </c>
      <c r="I332" s="28">
        <v>1963</v>
      </c>
      <c r="J332" s="28">
        <v>1419</v>
      </c>
      <c r="K332" s="28">
        <v>544</v>
      </c>
      <c r="L332" s="28">
        <v>3356</v>
      </c>
      <c r="M332" s="28">
        <v>6133</v>
      </c>
      <c r="N332" s="28">
        <v>3946</v>
      </c>
      <c r="O332" s="28">
        <v>3296</v>
      </c>
      <c r="P332" s="28">
        <v>650</v>
      </c>
      <c r="Q332" s="28">
        <v>2187</v>
      </c>
      <c r="R332" s="29">
        <v>36.9054334</v>
      </c>
      <c r="S332" s="29">
        <v>26.677947</v>
      </c>
      <c r="T332" s="29">
        <v>10.2274864</v>
      </c>
      <c r="U332" s="29">
        <v>63.0945666</v>
      </c>
      <c r="V332" s="29">
        <v>64.340453299999993</v>
      </c>
      <c r="W332" s="29">
        <v>53.742051199999999</v>
      </c>
      <c r="X332" s="29">
        <v>10.598402099999999</v>
      </c>
      <c r="Y332" s="29">
        <v>35.6595467</v>
      </c>
    </row>
    <row r="333" spans="2:25" ht="15" customHeight="1">
      <c r="B333" s="30">
        <v>328</v>
      </c>
      <c r="C333" s="31" t="s">
        <v>21</v>
      </c>
      <c r="D333" s="36" t="s">
        <v>56</v>
      </c>
      <c r="E333" s="36" t="s">
        <v>121</v>
      </c>
      <c r="F333" s="36" t="s">
        <v>123</v>
      </c>
      <c r="G333" s="37" t="s">
        <v>123</v>
      </c>
      <c r="H333" s="32">
        <v>6499</v>
      </c>
      <c r="I333" s="32">
        <v>2783</v>
      </c>
      <c r="J333" s="32">
        <v>1830</v>
      </c>
      <c r="K333" s="32">
        <v>953</v>
      </c>
      <c r="L333" s="32">
        <v>3716</v>
      </c>
      <c r="M333" s="32">
        <v>9458</v>
      </c>
      <c r="N333" s="32">
        <v>5583</v>
      </c>
      <c r="O333" s="32">
        <v>4340</v>
      </c>
      <c r="P333" s="32">
        <v>1243</v>
      </c>
      <c r="Q333" s="32">
        <v>3875</v>
      </c>
      <c r="R333" s="33">
        <v>42.821972600000002</v>
      </c>
      <c r="S333" s="33">
        <v>28.158178199999998</v>
      </c>
      <c r="T333" s="33">
        <v>14.6637944</v>
      </c>
      <c r="U333" s="33">
        <v>57.178027399999998</v>
      </c>
      <c r="V333" s="33">
        <v>59.0293931</v>
      </c>
      <c r="W333" s="33">
        <v>45.887079700000001</v>
      </c>
      <c r="X333" s="33">
        <v>13.142313400000001</v>
      </c>
      <c r="Y333" s="33">
        <v>40.9706069</v>
      </c>
    </row>
    <row r="334" spans="2:25" ht="15" hidden="1" customHeight="1">
      <c r="B334" s="25">
        <v>329</v>
      </c>
      <c r="C334" s="26" t="s">
        <v>21</v>
      </c>
      <c r="D334" s="26" t="s">
        <v>56</v>
      </c>
      <c r="E334" s="26" t="s">
        <v>121</v>
      </c>
      <c r="F334" s="26" t="s">
        <v>123</v>
      </c>
      <c r="G334" s="27" t="s">
        <v>15</v>
      </c>
      <c r="H334" s="28"/>
      <c r="I334" s="28"/>
      <c r="J334" s="28"/>
      <c r="K334" s="28"/>
      <c r="L334" s="28"/>
      <c r="M334" s="28">
        <v>1372</v>
      </c>
      <c r="N334" s="28">
        <v>1226</v>
      </c>
      <c r="O334" s="28">
        <v>1032</v>
      </c>
      <c r="P334" s="28">
        <v>194</v>
      </c>
      <c r="Q334" s="28">
        <v>146</v>
      </c>
      <c r="R334" s="29"/>
      <c r="S334" s="29"/>
      <c r="T334" s="29"/>
      <c r="U334" s="29"/>
      <c r="V334" s="29">
        <v>89.358600600000003</v>
      </c>
      <c r="W334" s="29">
        <v>75.218658899999994</v>
      </c>
      <c r="X334" s="29">
        <v>14.1399417</v>
      </c>
      <c r="Y334" s="29">
        <v>10.641399399999999</v>
      </c>
    </row>
    <row r="335" spans="2:25" ht="15" hidden="1" customHeight="1">
      <c r="B335" s="25">
        <v>330</v>
      </c>
      <c r="C335" s="26" t="s">
        <v>21</v>
      </c>
      <c r="D335" s="26" t="s">
        <v>56</v>
      </c>
      <c r="E335" s="26" t="s">
        <v>121</v>
      </c>
      <c r="F335" s="26" t="s">
        <v>123</v>
      </c>
      <c r="G335" s="27" t="s">
        <v>16</v>
      </c>
      <c r="H335" s="28">
        <v>6499</v>
      </c>
      <c r="I335" s="28">
        <v>2783</v>
      </c>
      <c r="J335" s="28">
        <v>1830</v>
      </c>
      <c r="K335" s="28">
        <v>953</v>
      </c>
      <c r="L335" s="28">
        <v>3716</v>
      </c>
      <c r="M335" s="28">
        <v>8086</v>
      </c>
      <c r="N335" s="28">
        <v>4357</v>
      </c>
      <c r="O335" s="28">
        <v>3308</v>
      </c>
      <c r="P335" s="28">
        <v>1049</v>
      </c>
      <c r="Q335" s="28">
        <v>3729</v>
      </c>
      <c r="R335" s="29">
        <v>42.821972600000002</v>
      </c>
      <c r="S335" s="29">
        <v>28.158178199999998</v>
      </c>
      <c r="T335" s="29">
        <v>14.6637944</v>
      </c>
      <c r="U335" s="29">
        <v>57.178027399999998</v>
      </c>
      <c r="V335" s="29">
        <v>53.883254999999998</v>
      </c>
      <c r="W335" s="29">
        <v>40.910215200000003</v>
      </c>
      <c r="X335" s="29">
        <v>12.9730398</v>
      </c>
      <c r="Y335" s="29">
        <v>46.116745000000002</v>
      </c>
    </row>
    <row r="336" spans="2:25" ht="15" customHeight="1">
      <c r="B336" s="30">
        <v>331</v>
      </c>
      <c r="C336" s="31" t="s">
        <v>21</v>
      </c>
      <c r="D336" s="36" t="s">
        <v>56</v>
      </c>
      <c r="E336" s="36" t="s">
        <v>121</v>
      </c>
      <c r="F336" s="36" t="s">
        <v>124</v>
      </c>
      <c r="G336" s="37" t="s">
        <v>124</v>
      </c>
      <c r="H336" s="32">
        <v>2308</v>
      </c>
      <c r="I336" s="32">
        <v>1489</v>
      </c>
      <c r="J336" s="32">
        <v>928</v>
      </c>
      <c r="K336" s="32">
        <v>561</v>
      </c>
      <c r="L336" s="32">
        <v>819</v>
      </c>
      <c r="M336" s="32">
        <v>2998</v>
      </c>
      <c r="N336" s="32">
        <v>2349</v>
      </c>
      <c r="O336" s="32">
        <v>1787</v>
      </c>
      <c r="P336" s="32">
        <v>562</v>
      </c>
      <c r="Q336" s="32">
        <v>649</v>
      </c>
      <c r="R336" s="33">
        <v>64.514731400000002</v>
      </c>
      <c r="S336" s="33">
        <v>40.207972300000002</v>
      </c>
      <c r="T336" s="33">
        <v>24.306759100000001</v>
      </c>
      <c r="U336" s="33">
        <v>35.485268599999998</v>
      </c>
      <c r="V336" s="33">
        <v>78.352234800000005</v>
      </c>
      <c r="W336" s="33">
        <v>59.606404300000001</v>
      </c>
      <c r="X336" s="33">
        <v>18.745830600000001</v>
      </c>
      <c r="Y336" s="33">
        <v>21.647765199999998</v>
      </c>
    </row>
    <row r="337" spans="2:25" ht="15" hidden="1" customHeight="1">
      <c r="B337" s="25">
        <v>332</v>
      </c>
      <c r="C337" s="26" t="s">
        <v>21</v>
      </c>
      <c r="D337" s="26" t="s">
        <v>56</v>
      </c>
      <c r="E337" s="26" t="s">
        <v>121</v>
      </c>
      <c r="F337" s="26" t="s">
        <v>124</v>
      </c>
      <c r="G337" s="27" t="s">
        <v>15</v>
      </c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9"/>
      <c r="S337" s="29"/>
      <c r="T337" s="29"/>
      <c r="U337" s="29"/>
      <c r="V337" s="29"/>
      <c r="W337" s="29"/>
      <c r="X337" s="29"/>
      <c r="Y337" s="29"/>
    </row>
    <row r="338" spans="2:25" ht="15" hidden="1" customHeight="1">
      <c r="B338" s="25">
        <v>333</v>
      </c>
      <c r="C338" s="26" t="s">
        <v>21</v>
      </c>
      <c r="D338" s="26" t="s">
        <v>56</v>
      </c>
      <c r="E338" s="26" t="s">
        <v>121</v>
      </c>
      <c r="F338" s="26" t="s">
        <v>124</v>
      </c>
      <c r="G338" s="27" t="s">
        <v>16</v>
      </c>
      <c r="H338" s="28">
        <v>2308</v>
      </c>
      <c r="I338" s="28">
        <v>1489</v>
      </c>
      <c r="J338" s="28">
        <v>928</v>
      </c>
      <c r="K338" s="28">
        <v>561</v>
      </c>
      <c r="L338" s="28">
        <v>819</v>
      </c>
      <c r="M338" s="28">
        <v>2998</v>
      </c>
      <c r="N338" s="28">
        <v>2349</v>
      </c>
      <c r="O338" s="28">
        <v>1787</v>
      </c>
      <c r="P338" s="28">
        <v>562</v>
      </c>
      <c r="Q338" s="28">
        <v>649</v>
      </c>
      <c r="R338" s="29">
        <v>64.514731400000002</v>
      </c>
      <c r="S338" s="29">
        <v>40.207972300000002</v>
      </c>
      <c r="T338" s="29">
        <v>24.306759100000001</v>
      </c>
      <c r="U338" s="29">
        <v>35.485268599999998</v>
      </c>
      <c r="V338" s="29">
        <v>78.352234800000005</v>
      </c>
      <c r="W338" s="29">
        <v>59.606404300000001</v>
      </c>
      <c r="X338" s="29">
        <v>18.745830600000001</v>
      </c>
      <c r="Y338" s="29">
        <v>21.647765199999998</v>
      </c>
    </row>
    <row r="339" spans="2:25" ht="15" customHeight="1">
      <c r="B339" s="30">
        <v>334</v>
      </c>
      <c r="C339" s="31" t="s">
        <v>21</v>
      </c>
      <c r="D339" s="36" t="s">
        <v>56</v>
      </c>
      <c r="E339" s="36" t="s">
        <v>121</v>
      </c>
      <c r="F339" s="36" t="s">
        <v>125</v>
      </c>
      <c r="G339" s="37" t="s">
        <v>125</v>
      </c>
      <c r="H339" s="32">
        <v>9246</v>
      </c>
      <c r="I339" s="32">
        <v>5018</v>
      </c>
      <c r="J339" s="32">
        <v>3132</v>
      </c>
      <c r="K339" s="32">
        <v>1886</v>
      </c>
      <c r="L339" s="32">
        <v>4228</v>
      </c>
      <c r="M339" s="32">
        <v>11630</v>
      </c>
      <c r="N339" s="32">
        <v>7384</v>
      </c>
      <c r="O339" s="32">
        <v>6677</v>
      </c>
      <c r="P339" s="32">
        <v>707</v>
      </c>
      <c r="Q339" s="32">
        <v>4246</v>
      </c>
      <c r="R339" s="33">
        <v>54.272117700000003</v>
      </c>
      <c r="S339" s="33">
        <v>33.874107700000003</v>
      </c>
      <c r="T339" s="33">
        <v>20.398009999999999</v>
      </c>
      <c r="U339" s="33">
        <v>45.727882299999997</v>
      </c>
      <c r="V339" s="33">
        <v>63.490971600000002</v>
      </c>
      <c r="W339" s="33">
        <v>57.411865900000002</v>
      </c>
      <c r="X339" s="33">
        <v>6.0791057999999998</v>
      </c>
      <c r="Y339" s="33">
        <v>36.509028399999998</v>
      </c>
    </row>
    <row r="340" spans="2:25" ht="15" hidden="1" customHeight="1">
      <c r="B340" s="25">
        <v>335</v>
      </c>
      <c r="C340" s="26" t="s">
        <v>21</v>
      </c>
      <c r="D340" s="26" t="s">
        <v>56</v>
      </c>
      <c r="E340" s="26" t="s">
        <v>121</v>
      </c>
      <c r="F340" s="26" t="s">
        <v>125</v>
      </c>
      <c r="G340" s="27" t="s">
        <v>15</v>
      </c>
      <c r="H340" s="28">
        <v>2037</v>
      </c>
      <c r="I340" s="28">
        <v>1419</v>
      </c>
      <c r="J340" s="28">
        <v>847</v>
      </c>
      <c r="K340" s="28">
        <v>572</v>
      </c>
      <c r="L340" s="28">
        <v>618</v>
      </c>
      <c r="M340" s="28">
        <v>2994</v>
      </c>
      <c r="N340" s="28">
        <v>2281</v>
      </c>
      <c r="O340" s="28">
        <v>1886</v>
      </c>
      <c r="P340" s="28">
        <v>395</v>
      </c>
      <c r="Q340" s="28">
        <v>713</v>
      </c>
      <c r="R340" s="29">
        <v>69.661266600000005</v>
      </c>
      <c r="S340" s="29">
        <v>41.580756000000001</v>
      </c>
      <c r="T340" s="29">
        <v>28.0805106</v>
      </c>
      <c r="U340" s="29">
        <v>30.338733399999999</v>
      </c>
      <c r="V340" s="29">
        <v>76.185704700000002</v>
      </c>
      <c r="W340" s="29">
        <v>62.992652</v>
      </c>
      <c r="X340" s="29">
        <v>13.1930528</v>
      </c>
      <c r="Y340" s="29">
        <v>23.814295300000001</v>
      </c>
    </row>
    <row r="341" spans="2:25" ht="15" hidden="1" customHeight="1">
      <c r="B341" s="25">
        <v>336</v>
      </c>
      <c r="C341" s="26" t="s">
        <v>21</v>
      </c>
      <c r="D341" s="26" t="s">
        <v>56</v>
      </c>
      <c r="E341" s="26" t="s">
        <v>121</v>
      </c>
      <c r="F341" s="26" t="s">
        <v>125</v>
      </c>
      <c r="G341" s="27" t="s">
        <v>16</v>
      </c>
      <c r="H341" s="28">
        <v>7209</v>
      </c>
      <c r="I341" s="28">
        <v>3599</v>
      </c>
      <c r="J341" s="28">
        <v>2285</v>
      </c>
      <c r="K341" s="28">
        <v>1314</v>
      </c>
      <c r="L341" s="28">
        <v>3610</v>
      </c>
      <c r="M341" s="28">
        <v>8636</v>
      </c>
      <c r="N341" s="28">
        <v>5103</v>
      </c>
      <c r="O341" s="28">
        <v>4791</v>
      </c>
      <c r="P341" s="28">
        <v>312</v>
      </c>
      <c r="Q341" s="28">
        <v>3533</v>
      </c>
      <c r="R341" s="29">
        <v>49.923706500000002</v>
      </c>
      <c r="S341" s="29">
        <v>31.696490499999999</v>
      </c>
      <c r="T341" s="29">
        <v>18.227215999999999</v>
      </c>
      <c r="U341" s="29">
        <v>50.076293499999998</v>
      </c>
      <c r="V341" s="29">
        <v>59.089856400000002</v>
      </c>
      <c r="W341" s="29">
        <v>55.477072700000001</v>
      </c>
      <c r="X341" s="29">
        <v>3.6127837</v>
      </c>
      <c r="Y341" s="29">
        <v>40.910143599999998</v>
      </c>
    </row>
    <row r="342" spans="2:25" ht="15" customHeight="1">
      <c r="B342" s="30">
        <v>337</v>
      </c>
      <c r="C342" s="31" t="s">
        <v>21</v>
      </c>
      <c r="D342" s="36" t="s">
        <v>56</v>
      </c>
      <c r="E342" s="36" t="s">
        <v>121</v>
      </c>
      <c r="F342" s="36" t="s">
        <v>126</v>
      </c>
      <c r="G342" s="37" t="s">
        <v>126</v>
      </c>
      <c r="H342" s="32">
        <v>13638</v>
      </c>
      <c r="I342" s="32">
        <v>4027</v>
      </c>
      <c r="J342" s="32">
        <v>1952</v>
      </c>
      <c r="K342" s="32">
        <v>2075</v>
      </c>
      <c r="L342" s="32">
        <v>9611</v>
      </c>
      <c r="M342" s="32">
        <v>18380</v>
      </c>
      <c r="N342" s="32">
        <v>9225</v>
      </c>
      <c r="O342" s="32">
        <v>7654</v>
      </c>
      <c r="P342" s="32">
        <v>1571</v>
      </c>
      <c r="Q342" s="32">
        <v>9155</v>
      </c>
      <c r="R342" s="33">
        <v>29.52779</v>
      </c>
      <c r="S342" s="33">
        <v>14.312949100000001</v>
      </c>
      <c r="T342" s="33">
        <v>15.2148409</v>
      </c>
      <c r="U342" s="33">
        <v>70.472210000000004</v>
      </c>
      <c r="V342" s="33">
        <v>50.190424399999998</v>
      </c>
      <c r="W342" s="33">
        <v>41.643090299999997</v>
      </c>
      <c r="X342" s="33">
        <v>8.5473341000000005</v>
      </c>
      <c r="Y342" s="33">
        <v>49.809575600000002</v>
      </c>
    </row>
    <row r="343" spans="2:25" ht="15" hidden="1" customHeight="1">
      <c r="B343" s="25">
        <v>338</v>
      </c>
      <c r="C343" s="26" t="s">
        <v>21</v>
      </c>
      <c r="D343" s="26" t="s">
        <v>56</v>
      </c>
      <c r="E343" s="26" t="s">
        <v>121</v>
      </c>
      <c r="F343" s="26" t="s">
        <v>126</v>
      </c>
      <c r="G343" s="27" t="s">
        <v>15</v>
      </c>
      <c r="H343" s="28">
        <v>1009</v>
      </c>
      <c r="I343" s="28">
        <v>765</v>
      </c>
      <c r="J343" s="28">
        <v>197</v>
      </c>
      <c r="K343" s="28">
        <v>568</v>
      </c>
      <c r="L343" s="28">
        <v>244</v>
      </c>
      <c r="M343" s="28">
        <v>1297</v>
      </c>
      <c r="N343" s="28">
        <v>1198</v>
      </c>
      <c r="O343" s="28">
        <v>725</v>
      </c>
      <c r="P343" s="28">
        <v>473</v>
      </c>
      <c r="Q343" s="28">
        <v>99</v>
      </c>
      <c r="R343" s="29">
        <v>75.817641199999997</v>
      </c>
      <c r="S343" s="29">
        <v>19.524281500000001</v>
      </c>
      <c r="T343" s="29">
        <v>56.293359799999998</v>
      </c>
      <c r="U343" s="29">
        <v>24.182358799999999</v>
      </c>
      <c r="V343" s="29">
        <v>92.3670008</v>
      </c>
      <c r="W343" s="29">
        <v>55.898226700000002</v>
      </c>
      <c r="X343" s="29">
        <v>36.468774099999997</v>
      </c>
      <c r="Y343" s="29">
        <v>7.6329992000000004</v>
      </c>
    </row>
    <row r="344" spans="2:25" ht="15" hidden="1" customHeight="1">
      <c r="B344" s="25">
        <v>339</v>
      </c>
      <c r="C344" s="26" t="s">
        <v>21</v>
      </c>
      <c r="D344" s="26" t="s">
        <v>56</v>
      </c>
      <c r="E344" s="26" t="s">
        <v>121</v>
      </c>
      <c r="F344" s="26" t="s">
        <v>126</v>
      </c>
      <c r="G344" s="27" t="s">
        <v>16</v>
      </c>
      <c r="H344" s="28">
        <v>12629</v>
      </c>
      <c r="I344" s="28">
        <v>3262</v>
      </c>
      <c r="J344" s="28">
        <v>1755</v>
      </c>
      <c r="K344" s="28">
        <v>1507</v>
      </c>
      <c r="L344" s="28">
        <v>9367</v>
      </c>
      <c r="M344" s="28">
        <v>17083</v>
      </c>
      <c r="N344" s="28">
        <v>8027</v>
      </c>
      <c r="O344" s="28">
        <v>6929</v>
      </c>
      <c r="P344" s="28">
        <v>1098</v>
      </c>
      <c r="Q344" s="28">
        <v>9056</v>
      </c>
      <c r="R344" s="29">
        <v>25.829440200000001</v>
      </c>
      <c r="S344" s="29">
        <v>13.896587200000001</v>
      </c>
      <c r="T344" s="29">
        <v>11.932853</v>
      </c>
      <c r="U344" s="29">
        <v>74.170559800000007</v>
      </c>
      <c r="V344" s="29">
        <v>46.988233899999997</v>
      </c>
      <c r="W344" s="29">
        <v>40.560791399999999</v>
      </c>
      <c r="X344" s="29">
        <v>6.4274424999999997</v>
      </c>
      <c r="Y344" s="29">
        <v>53.011766100000003</v>
      </c>
    </row>
    <row r="345" spans="2:25" ht="15" hidden="1" customHeight="1">
      <c r="B345" s="21">
        <v>340</v>
      </c>
      <c r="C345" s="22" t="s">
        <v>19</v>
      </c>
      <c r="D345" s="35" t="s">
        <v>56</v>
      </c>
      <c r="E345" s="35" t="s">
        <v>127</v>
      </c>
      <c r="F345" s="35"/>
      <c r="G345" s="22" t="s">
        <v>127</v>
      </c>
      <c r="H345" s="23">
        <v>27292</v>
      </c>
      <c r="I345" s="23">
        <v>10729</v>
      </c>
      <c r="J345" s="23">
        <v>6320</v>
      </c>
      <c r="K345" s="23">
        <v>4409</v>
      </c>
      <c r="L345" s="23">
        <v>16563</v>
      </c>
      <c r="M345" s="23">
        <v>46763</v>
      </c>
      <c r="N345" s="23">
        <v>27600</v>
      </c>
      <c r="O345" s="23">
        <v>24586</v>
      </c>
      <c r="P345" s="23">
        <v>3014</v>
      </c>
      <c r="Q345" s="23">
        <v>19163</v>
      </c>
      <c r="R345" s="24">
        <v>39.311886299999998</v>
      </c>
      <c r="S345" s="24">
        <v>23.156969100000001</v>
      </c>
      <c r="T345" s="24">
        <v>16.1549172</v>
      </c>
      <c r="U345" s="24">
        <v>60.688113700000002</v>
      </c>
      <c r="V345" s="24">
        <v>59.021020900000003</v>
      </c>
      <c r="W345" s="24">
        <v>52.5757543</v>
      </c>
      <c r="X345" s="24">
        <v>6.4452666000000001</v>
      </c>
      <c r="Y345" s="24">
        <v>40.978979099999997</v>
      </c>
    </row>
    <row r="346" spans="2:25" ht="15" hidden="1" customHeight="1">
      <c r="B346" s="25">
        <v>341</v>
      </c>
      <c r="C346" s="26" t="s">
        <v>19</v>
      </c>
      <c r="D346" s="26" t="s">
        <v>56</v>
      </c>
      <c r="E346" s="26" t="s">
        <v>127</v>
      </c>
      <c r="F346" s="26"/>
      <c r="G346" s="27" t="s">
        <v>15</v>
      </c>
      <c r="H346" s="28">
        <v>700</v>
      </c>
      <c r="I346" s="28">
        <v>501</v>
      </c>
      <c r="J346" s="28">
        <v>325</v>
      </c>
      <c r="K346" s="28">
        <v>176</v>
      </c>
      <c r="L346" s="28">
        <v>199</v>
      </c>
      <c r="M346" s="28">
        <v>12755</v>
      </c>
      <c r="N346" s="28">
        <v>8234</v>
      </c>
      <c r="O346" s="28">
        <v>7653</v>
      </c>
      <c r="P346" s="28">
        <v>581</v>
      </c>
      <c r="Q346" s="28">
        <v>4521</v>
      </c>
      <c r="R346" s="29">
        <v>71.571428600000004</v>
      </c>
      <c r="S346" s="29">
        <v>46.428571400000003</v>
      </c>
      <c r="T346" s="29">
        <v>25.142857100000001</v>
      </c>
      <c r="U346" s="29">
        <v>28.428571399999999</v>
      </c>
      <c r="V346" s="29">
        <v>64.555076400000004</v>
      </c>
      <c r="W346" s="29">
        <v>60</v>
      </c>
      <c r="X346" s="29">
        <v>4.5550763999999999</v>
      </c>
      <c r="Y346" s="29">
        <v>35.444923600000003</v>
      </c>
    </row>
    <row r="347" spans="2:25" ht="15" hidden="1" customHeight="1">
      <c r="B347" s="25">
        <v>342</v>
      </c>
      <c r="C347" s="26" t="s">
        <v>19</v>
      </c>
      <c r="D347" s="26" t="s">
        <v>56</v>
      </c>
      <c r="E347" s="26" t="s">
        <v>127</v>
      </c>
      <c r="F347" s="26"/>
      <c r="G347" s="27" t="s">
        <v>16</v>
      </c>
      <c r="H347" s="28">
        <v>26592</v>
      </c>
      <c r="I347" s="28">
        <v>10228</v>
      </c>
      <c r="J347" s="28">
        <v>5995</v>
      </c>
      <c r="K347" s="28">
        <v>4233</v>
      </c>
      <c r="L347" s="28">
        <v>16364</v>
      </c>
      <c r="M347" s="28">
        <v>34008</v>
      </c>
      <c r="N347" s="28">
        <v>19366</v>
      </c>
      <c r="O347" s="28">
        <v>16933</v>
      </c>
      <c r="P347" s="28">
        <v>2433</v>
      </c>
      <c r="Q347" s="28">
        <v>14642</v>
      </c>
      <c r="R347" s="29">
        <v>38.462695500000002</v>
      </c>
      <c r="S347" s="29">
        <v>22.5443742</v>
      </c>
      <c r="T347" s="29">
        <v>15.918321300000001</v>
      </c>
      <c r="U347" s="29">
        <v>61.537304499999998</v>
      </c>
      <c r="V347" s="29">
        <v>56.945424600000003</v>
      </c>
      <c r="W347" s="29">
        <v>49.791225599999997</v>
      </c>
      <c r="X347" s="29">
        <v>7.1541990000000002</v>
      </c>
      <c r="Y347" s="29">
        <v>43.054575399999997</v>
      </c>
    </row>
    <row r="348" spans="2:25" ht="15" customHeight="1">
      <c r="B348" s="30">
        <v>343</v>
      </c>
      <c r="C348" s="31" t="s">
        <v>21</v>
      </c>
      <c r="D348" s="36" t="s">
        <v>56</v>
      </c>
      <c r="E348" s="36" t="s">
        <v>127</v>
      </c>
      <c r="F348" s="36" t="s">
        <v>128</v>
      </c>
      <c r="G348" s="37" t="s">
        <v>128</v>
      </c>
      <c r="H348" s="32">
        <v>11121</v>
      </c>
      <c r="I348" s="32">
        <v>4499</v>
      </c>
      <c r="J348" s="32">
        <v>2816</v>
      </c>
      <c r="K348" s="32">
        <v>1683</v>
      </c>
      <c r="L348" s="32">
        <v>6622</v>
      </c>
      <c r="M348" s="32">
        <v>21459</v>
      </c>
      <c r="N348" s="32">
        <v>12168</v>
      </c>
      <c r="O348" s="32">
        <v>11058</v>
      </c>
      <c r="P348" s="32">
        <v>1110</v>
      </c>
      <c r="Q348" s="32">
        <v>9291</v>
      </c>
      <c r="R348" s="33">
        <v>40.454995099999998</v>
      </c>
      <c r="S348" s="33">
        <v>25.321463900000001</v>
      </c>
      <c r="T348" s="33">
        <v>15.1335312</v>
      </c>
      <c r="U348" s="33">
        <v>59.545004900000002</v>
      </c>
      <c r="V348" s="33">
        <v>56.703481099999998</v>
      </c>
      <c r="W348" s="33">
        <v>51.5308262</v>
      </c>
      <c r="X348" s="33">
        <v>5.1726548000000001</v>
      </c>
      <c r="Y348" s="33">
        <v>43.296518900000002</v>
      </c>
    </row>
    <row r="349" spans="2:25" ht="15" hidden="1" customHeight="1">
      <c r="B349" s="25">
        <v>344</v>
      </c>
      <c r="C349" s="26" t="s">
        <v>21</v>
      </c>
      <c r="D349" s="26" t="s">
        <v>56</v>
      </c>
      <c r="E349" s="26" t="s">
        <v>127</v>
      </c>
      <c r="F349" s="26" t="s">
        <v>128</v>
      </c>
      <c r="G349" s="27" t="s">
        <v>15</v>
      </c>
      <c r="H349" s="28"/>
      <c r="I349" s="28"/>
      <c r="J349" s="28"/>
      <c r="K349" s="28"/>
      <c r="L349" s="28"/>
      <c r="M349" s="28">
        <v>7346</v>
      </c>
      <c r="N349" s="28">
        <v>3913</v>
      </c>
      <c r="O349" s="28">
        <v>3691</v>
      </c>
      <c r="P349" s="28">
        <v>222</v>
      </c>
      <c r="Q349" s="28">
        <v>3433</v>
      </c>
      <c r="R349" s="29"/>
      <c r="S349" s="29"/>
      <c r="T349" s="29"/>
      <c r="U349" s="29"/>
      <c r="V349" s="29">
        <v>53.267084099999998</v>
      </c>
      <c r="W349" s="29">
        <v>50.245031300000001</v>
      </c>
      <c r="X349" s="29">
        <v>3.0220528</v>
      </c>
      <c r="Y349" s="29">
        <v>46.732915900000002</v>
      </c>
    </row>
    <row r="350" spans="2:25" ht="15" hidden="1" customHeight="1">
      <c r="B350" s="25">
        <v>345</v>
      </c>
      <c r="C350" s="26" t="s">
        <v>21</v>
      </c>
      <c r="D350" s="26" t="s">
        <v>56</v>
      </c>
      <c r="E350" s="26" t="s">
        <v>127</v>
      </c>
      <c r="F350" s="26" t="s">
        <v>128</v>
      </c>
      <c r="G350" s="27" t="s">
        <v>16</v>
      </c>
      <c r="H350" s="28">
        <v>11121</v>
      </c>
      <c r="I350" s="28">
        <v>4499</v>
      </c>
      <c r="J350" s="28">
        <v>2816</v>
      </c>
      <c r="K350" s="28">
        <v>1683</v>
      </c>
      <c r="L350" s="28">
        <v>6622</v>
      </c>
      <c r="M350" s="28">
        <v>14113</v>
      </c>
      <c r="N350" s="28">
        <v>8255</v>
      </c>
      <c r="O350" s="28">
        <v>7367</v>
      </c>
      <c r="P350" s="28">
        <v>888</v>
      </c>
      <c r="Q350" s="28">
        <v>5858</v>
      </c>
      <c r="R350" s="29">
        <v>40.454995099999998</v>
      </c>
      <c r="S350" s="29">
        <v>25.321463900000001</v>
      </c>
      <c r="T350" s="29">
        <v>15.1335312</v>
      </c>
      <c r="U350" s="29">
        <v>59.545004900000002</v>
      </c>
      <c r="V350" s="29">
        <v>58.492170299999998</v>
      </c>
      <c r="W350" s="29">
        <v>52.200099199999997</v>
      </c>
      <c r="X350" s="29">
        <v>6.2920711000000002</v>
      </c>
      <c r="Y350" s="29">
        <v>41.507829700000002</v>
      </c>
    </row>
    <row r="351" spans="2:25" ht="15" customHeight="1">
      <c r="B351" s="30">
        <v>346</v>
      </c>
      <c r="C351" s="31" t="s">
        <v>21</v>
      </c>
      <c r="D351" s="36" t="s">
        <v>56</v>
      </c>
      <c r="E351" s="36" t="s">
        <v>127</v>
      </c>
      <c r="F351" s="36" t="s">
        <v>129</v>
      </c>
      <c r="G351" s="37" t="s">
        <v>129</v>
      </c>
      <c r="H351" s="32">
        <v>7761</v>
      </c>
      <c r="I351" s="32">
        <v>2649</v>
      </c>
      <c r="J351" s="32">
        <v>1548</v>
      </c>
      <c r="K351" s="32">
        <v>1101</v>
      </c>
      <c r="L351" s="32">
        <v>5112</v>
      </c>
      <c r="M351" s="32">
        <v>13613</v>
      </c>
      <c r="N351" s="32">
        <v>8432</v>
      </c>
      <c r="O351" s="32">
        <v>7491</v>
      </c>
      <c r="P351" s="32">
        <v>941</v>
      </c>
      <c r="Q351" s="32">
        <v>5181</v>
      </c>
      <c r="R351" s="33">
        <v>34.132199499999999</v>
      </c>
      <c r="S351" s="33">
        <v>19.945883299999998</v>
      </c>
      <c r="T351" s="33">
        <v>14.1863162</v>
      </c>
      <c r="U351" s="33">
        <v>65.867800500000001</v>
      </c>
      <c r="V351" s="33">
        <v>61.940791900000001</v>
      </c>
      <c r="W351" s="33">
        <v>55.028281800000002</v>
      </c>
      <c r="X351" s="33">
        <v>6.9125101000000004</v>
      </c>
      <c r="Y351" s="33">
        <v>38.059208099999999</v>
      </c>
    </row>
    <row r="352" spans="2:25" ht="15" hidden="1" customHeight="1">
      <c r="B352" s="25">
        <v>347</v>
      </c>
      <c r="C352" s="26" t="s">
        <v>21</v>
      </c>
      <c r="D352" s="26" t="s">
        <v>56</v>
      </c>
      <c r="E352" s="26" t="s">
        <v>127</v>
      </c>
      <c r="F352" s="26" t="s">
        <v>129</v>
      </c>
      <c r="G352" s="27" t="s">
        <v>15</v>
      </c>
      <c r="H352" s="28"/>
      <c r="I352" s="28"/>
      <c r="J352" s="28"/>
      <c r="K352" s="28"/>
      <c r="L352" s="28"/>
      <c r="M352" s="28">
        <v>4394</v>
      </c>
      <c r="N352" s="28">
        <v>3410</v>
      </c>
      <c r="O352" s="28">
        <v>3107</v>
      </c>
      <c r="P352" s="28">
        <v>303</v>
      </c>
      <c r="Q352" s="28">
        <v>984</v>
      </c>
      <c r="R352" s="29"/>
      <c r="S352" s="29"/>
      <c r="T352" s="29"/>
      <c r="U352" s="29"/>
      <c r="V352" s="29">
        <v>77.605826100000002</v>
      </c>
      <c r="W352" s="29">
        <v>70.710059200000003</v>
      </c>
      <c r="X352" s="29">
        <v>6.8957670000000002</v>
      </c>
      <c r="Y352" s="29">
        <v>22.394173899999998</v>
      </c>
    </row>
    <row r="353" spans="2:25" ht="15" hidden="1" customHeight="1">
      <c r="B353" s="25">
        <v>348</v>
      </c>
      <c r="C353" s="26" t="s">
        <v>21</v>
      </c>
      <c r="D353" s="26" t="s">
        <v>56</v>
      </c>
      <c r="E353" s="26" t="s">
        <v>127</v>
      </c>
      <c r="F353" s="26" t="s">
        <v>129</v>
      </c>
      <c r="G353" s="27" t="s">
        <v>16</v>
      </c>
      <c r="H353" s="28">
        <v>7761</v>
      </c>
      <c r="I353" s="28">
        <v>2649</v>
      </c>
      <c r="J353" s="28">
        <v>1548</v>
      </c>
      <c r="K353" s="28">
        <v>1101</v>
      </c>
      <c r="L353" s="28">
        <v>5112</v>
      </c>
      <c r="M353" s="28">
        <v>9219</v>
      </c>
      <c r="N353" s="28">
        <v>5022</v>
      </c>
      <c r="O353" s="28">
        <v>4384</v>
      </c>
      <c r="P353" s="28">
        <v>638</v>
      </c>
      <c r="Q353" s="28">
        <v>4197</v>
      </c>
      <c r="R353" s="29">
        <v>34.132199499999999</v>
      </c>
      <c r="S353" s="29">
        <v>19.945883299999998</v>
      </c>
      <c r="T353" s="29">
        <v>14.1863162</v>
      </c>
      <c r="U353" s="29">
        <v>65.867800500000001</v>
      </c>
      <c r="V353" s="29">
        <v>54.474454899999998</v>
      </c>
      <c r="W353" s="29">
        <v>47.5539646</v>
      </c>
      <c r="X353" s="29">
        <v>6.9204903</v>
      </c>
      <c r="Y353" s="29">
        <v>45.525545100000002</v>
      </c>
    </row>
    <row r="354" spans="2:25" ht="15" customHeight="1">
      <c r="B354" s="30">
        <v>349</v>
      </c>
      <c r="C354" s="31" t="s">
        <v>21</v>
      </c>
      <c r="D354" s="36" t="s">
        <v>56</v>
      </c>
      <c r="E354" s="36" t="s">
        <v>127</v>
      </c>
      <c r="F354" s="36" t="s">
        <v>130</v>
      </c>
      <c r="G354" s="37" t="s">
        <v>130</v>
      </c>
      <c r="H354" s="32">
        <v>6062</v>
      </c>
      <c r="I354" s="32">
        <v>2934</v>
      </c>
      <c r="J354" s="32">
        <v>1589</v>
      </c>
      <c r="K354" s="32">
        <v>1345</v>
      </c>
      <c r="L354" s="32">
        <v>3128</v>
      </c>
      <c r="M354" s="32">
        <v>8503</v>
      </c>
      <c r="N354" s="32">
        <v>5545</v>
      </c>
      <c r="O354" s="32">
        <v>4737</v>
      </c>
      <c r="P354" s="32">
        <v>808</v>
      </c>
      <c r="Q354" s="32">
        <v>2958</v>
      </c>
      <c r="R354" s="33">
        <v>48.399867999999998</v>
      </c>
      <c r="S354" s="33">
        <v>26.212471099999998</v>
      </c>
      <c r="T354" s="33">
        <v>22.1873969</v>
      </c>
      <c r="U354" s="33">
        <v>51.600132000000002</v>
      </c>
      <c r="V354" s="33">
        <v>65.212277999999998</v>
      </c>
      <c r="W354" s="33">
        <v>55.709749500000001</v>
      </c>
      <c r="X354" s="33">
        <v>9.5025285000000004</v>
      </c>
      <c r="Y354" s="33">
        <v>34.787722000000002</v>
      </c>
    </row>
    <row r="355" spans="2:25" ht="15" hidden="1" customHeight="1">
      <c r="B355" s="25">
        <v>350</v>
      </c>
      <c r="C355" s="26" t="s">
        <v>21</v>
      </c>
      <c r="D355" s="26" t="s">
        <v>56</v>
      </c>
      <c r="E355" s="26" t="s">
        <v>127</v>
      </c>
      <c r="F355" s="26" t="s">
        <v>130</v>
      </c>
      <c r="G355" s="27" t="s">
        <v>15</v>
      </c>
      <c r="H355" s="28">
        <v>700</v>
      </c>
      <c r="I355" s="28">
        <v>501</v>
      </c>
      <c r="J355" s="28">
        <v>325</v>
      </c>
      <c r="K355" s="28">
        <v>176</v>
      </c>
      <c r="L355" s="28">
        <v>199</v>
      </c>
      <c r="M355" s="28">
        <v>1015</v>
      </c>
      <c r="N355" s="28">
        <v>911</v>
      </c>
      <c r="O355" s="28">
        <v>855</v>
      </c>
      <c r="P355" s="28">
        <v>56</v>
      </c>
      <c r="Q355" s="28">
        <v>104</v>
      </c>
      <c r="R355" s="29">
        <v>71.571428600000004</v>
      </c>
      <c r="S355" s="29">
        <v>46.428571400000003</v>
      </c>
      <c r="T355" s="29">
        <v>25.142857100000001</v>
      </c>
      <c r="U355" s="29">
        <v>28.428571399999999</v>
      </c>
      <c r="V355" s="29">
        <v>89.753694600000003</v>
      </c>
      <c r="W355" s="29">
        <v>84.2364532</v>
      </c>
      <c r="X355" s="29">
        <v>5.5172413999999996</v>
      </c>
      <c r="Y355" s="29">
        <v>10.246305400000001</v>
      </c>
    </row>
    <row r="356" spans="2:25" ht="15" hidden="1" customHeight="1">
      <c r="B356" s="25">
        <v>351</v>
      </c>
      <c r="C356" s="26" t="s">
        <v>21</v>
      </c>
      <c r="D356" s="26" t="s">
        <v>56</v>
      </c>
      <c r="E356" s="26" t="s">
        <v>127</v>
      </c>
      <c r="F356" s="26" t="s">
        <v>130</v>
      </c>
      <c r="G356" s="27" t="s">
        <v>16</v>
      </c>
      <c r="H356" s="28">
        <v>5362</v>
      </c>
      <c r="I356" s="28">
        <v>2433</v>
      </c>
      <c r="J356" s="28">
        <v>1264</v>
      </c>
      <c r="K356" s="28">
        <v>1169</v>
      </c>
      <c r="L356" s="28">
        <v>2929</v>
      </c>
      <c r="M356" s="28">
        <v>7488</v>
      </c>
      <c r="N356" s="28">
        <v>4634</v>
      </c>
      <c r="O356" s="28">
        <v>3882</v>
      </c>
      <c r="P356" s="28">
        <v>752</v>
      </c>
      <c r="Q356" s="28">
        <v>2854</v>
      </c>
      <c r="R356" s="29">
        <v>45.374860099999999</v>
      </c>
      <c r="S356" s="29">
        <v>23.573293499999998</v>
      </c>
      <c r="T356" s="29">
        <v>21.801566600000001</v>
      </c>
      <c r="U356" s="29">
        <v>54.625139900000001</v>
      </c>
      <c r="V356" s="29">
        <v>61.885683800000002</v>
      </c>
      <c r="W356" s="29">
        <v>51.842948700000001</v>
      </c>
      <c r="X356" s="29">
        <v>10.042735</v>
      </c>
      <c r="Y356" s="29">
        <v>38.114316199999998</v>
      </c>
    </row>
    <row r="357" spans="2:25" ht="15" customHeight="1">
      <c r="B357" s="30">
        <v>352</v>
      </c>
      <c r="C357" s="31" t="s">
        <v>21</v>
      </c>
      <c r="D357" s="36" t="s">
        <v>56</v>
      </c>
      <c r="E357" s="36" t="s">
        <v>127</v>
      </c>
      <c r="F357" s="36" t="s">
        <v>131</v>
      </c>
      <c r="G357" s="37" t="s">
        <v>131</v>
      </c>
      <c r="H357" s="32">
        <v>2348</v>
      </c>
      <c r="I357" s="32">
        <v>647</v>
      </c>
      <c r="J357" s="32">
        <v>367</v>
      </c>
      <c r="K357" s="32">
        <v>280</v>
      </c>
      <c r="L357" s="32">
        <v>1701</v>
      </c>
      <c r="M357" s="32">
        <v>3188</v>
      </c>
      <c r="N357" s="32">
        <v>1455</v>
      </c>
      <c r="O357" s="32">
        <v>1300</v>
      </c>
      <c r="P357" s="32">
        <v>155</v>
      </c>
      <c r="Q357" s="32">
        <v>1733</v>
      </c>
      <c r="R357" s="33">
        <v>27.555366299999999</v>
      </c>
      <c r="S357" s="33">
        <v>15.6303237</v>
      </c>
      <c r="T357" s="33">
        <v>11.925042599999999</v>
      </c>
      <c r="U357" s="33">
        <v>72.444633699999997</v>
      </c>
      <c r="V357" s="33">
        <v>45.6398996</v>
      </c>
      <c r="W357" s="33">
        <v>40.777917199999997</v>
      </c>
      <c r="X357" s="33">
        <v>4.8619823999999996</v>
      </c>
      <c r="Y357" s="33">
        <v>54.3601004</v>
      </c>
    </row>
    <row r="358" spans="2:25" ht="15" hidden="1" customHeight="1">
      <c r="B358" s="25">
        <v>353</v>
      </c>
      <c r="C358" s="26" t="s">
        <v>21</v>
      </c>
      <c r="D358" s="26" t="s">
        <v>56</v>
      </c>
      <c r="E358" s="26" t="s">
        <v>127</v>
      </c>
      <c r="F358" s="26" t="s">
        <v>131</v>
      </c>
      <c r="G358" s="27" t="s">
        <v>15</v>
      </c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9"/>
      <c r="S358" s="29"/>
      <c r="T358" s="29"/>
      <c r="U358" s="29"/>
      <c r="V358" s="29"/>
      <c r="W358" s="29"/>
      <c r="X358" s="29"/>
      <c r="Y358" s="29"/>
    </row>
    <row r="359" spans="2:25" ht="15" hidden="1" customHeight="1">
      <c r="B359" s="25">
        <v>354</v>
      </c>
      <c r="C359" s="26" t="s">
        <v>21</v>
      </c>
      <c r="D359" s="26" t="s">
        <v>56</v>
      </c>
      <c r="E359" s="26" t="s">
        <v>127</v>
      </c>
      <c r="F359" s="26" t="s">
        <v>131</v>
      </c>
      <c r="G359" s="27" t="s">
        <v>16</v>
      </c>
      <c r="H359" s="28">
        <v>2348</v>
      </c>
      <c r="I359" s="28">
        <v>647</v>
      </c>
      <c r="J359" s="28">
        <v>367</v>
      </c>
      <c r="K359" s="28">
        <v>280</v>
      </c>
      <c r="L359" s="28">
        <v>1701</v>
      </c>
      <c r="M359" s="28">
        <v>3188</v>
      </c>
      <c r="N359" s="28">
        <v>1455</v>
      </c>
      <c r="O359" s="28">
        <v>1300</v>
      </c>
      <c r="P359" s="28">
        <v>155</v>
      </c>
      <c r="Q359" s="28">
        <v>1733</v>
      </c>
      <c r="R359" s="29">
        <v>27.555366299999999</v>
      </c>
      <c r="S359" s="29">
        <v>15.6303237</v>
      </c>
      <c r="T359" s="29">
        <v>11.925042599999999</v>
      </c>
      <c r="U359" s="29">
        <v>72.444633699999997</v>
      </c>
      <c r="V359" s="29">
        <v>45.6398996</v>
      </c>
      <c r="W359" s="29">
        <v>40.777917199999997</v>
      </c>
      <c r="X359" s="29">
        <v>4.8619823999999996</v>
      </c>
      <c r="Y359" s="29">
        <v>54.3601004</v>
      </c>
    </row>
    <row r="360" spans="2:25" ht="15" hidden="1" customHeight="1">
      <c r="B360" s="21">
        <v>355</v>
      </c>
      <c r="C360" s="22" t="s">
        <v>19</v>
      </c>
      <c r="D360" s="35" t="s">
        <v>56</v>
      </c>
      <c r="E360" s="35" t="s">
        <v>132</v>
      </c>
      <c r="F360" s="35"/>
      <c r="G360" s="22" t="s">
        <v>132</v>
      </c>
      <c r="H360" s="23">
        <v>31288</v>
      </c>
      <c r="I360" s="23">
        <v>10369</v>
      </c>
      <c r="J360" s="23">
        <v>5743</v>
      </c>
      <c r="K360" s="23">
        <v>4626</v>
      </c>
      <c r="L360" s="23">
        <v>20919</v>
      </c>
      <c r="M360" s="23">
        <v>42289</v>
      </c>
      <c r="N360" s="23">
        <v>21947</v>
      </c>
      <c r="O360" s="23">
        <v>18991</v>
      </c>
      <c r="P360" s="23">
        <v>2956</v>
      </c>
      <c r="Q360" s="23">
        <v>20342</v>
      </c>
      <c r="R360" s="24">
        <v>33.140501200000003</v>
      </c>
      <c r="S360" s="24">
        <v>18.35528</v>
      </c>
      <c r="T360" s="24">
        <v>14.785221200000001</v>
      </c>
      <c r="U360" s="24">
        <v>66.859498799999997</v>
      </c>
      <c r="V360" s="24">
        <v>51.897656599999998</v>
      </c>
      <c r="W360" s="24">
        <v>44.907659199999998</v>
      </c>
      <c r="X360" s="24">
        <v>6.9899974</v>
      </c>
      <c r="Y360" s="24">
        <v>48.102343400000002</v>
      </c>
    </row>
    <row r="361" spans="2:25" ht="15" hidden="1" customHeight="1">
      <c r="B361" s="25">
        <v>356</v>
      </c>
      <c r="C361" s="26" t="s">
        <v>19</v>
      </c>
      <c r="D361" s="26" t="s">
        <v>56</v>
      </c>
      <c r="E361" s="26" t="s">
        <v>132</v>
      </c>
      <c r="F361" s="26"/>
      <c r="G361" s="27" t="s">
        <v>15</v>
      </c>
      <c r="H361" s="28">
        <v>8433</v>
      </c>
      <c r="I361" s="28">
        <v>3712</v>
      </c>
      <c r="J361" s="28">
        <v>1982</v>
      </c>
      <c r="K361" s="28">
        <v>1730</v>
      </c>
      <c r="L361" s="28">
        <v>4721</v>
      </c>
      <c r="M361" s="28">
        <v>12480</v>
      </c>
      <c r="N361" s="28">
        <v>7928</v>
      </c>
      <c r="O361" s="28">
        <v>6961</v>
      </c>
      <c r="P361" s="28">
        <v>967</v>
      </c>
      <c r="Q361" s="28">
        <v>4552</v>
      </c>
      <c r="R361" s="29">
        <v>44.017550100000001</v>
      </c>
      <c r="S361" s="29">
        <v>23.502905299999998</v>
      </c>
      <c r="T361" s="29">
        <v>20.514644799999999</v>
      </c>
      <c r="U361" s="29">
        <v>55.982449899999999</v>
      </c>
      <c r="V361" s="29">
        <v>63.525641</v>
      </c>
      <c r="W361" s="29">
        <v>55.777243599999998</v>
      </c>
      <c r="X361" s="29">
        <v>7.7483974</v>
      </c>
      <c r="Y361" s="29">
        <v>36.474359</v>
      </c>
    </row>
    <row r="362" spans="2:25" ht="15" hidden="1" customHeight="1">
      <c r="B362" s="25">
        <v>357</v>
      </c>
      <c r="C362" s="26" t="s">
        <v>19</v>
      </c>
      <c r="D362" s="26" t="s">
        <v>56</v>
      </c>
      <c r="E362" s="26" t="s">
        <v>132</v>
      </c>
      <c r="F362" s="26"/>
      <c r="G362" s="27" t="s">
        <v>16</v>
      </c>
      <c r="H362" s="28">
        <v>22855</v>
      </c>
      <c r="I362" s="28">
        <v>6657</v>
      </c>
      <c r="J362" s="28">
        <v>3761</v>
      </c>
      <c r="K362" s="28">
        <v>2896</v>
      </c>
      <c r="L362" s="28">
        <v>16198</v>
      </c>
      <c r="M362" s="28">
        <v>29809</v>
      </c>
      <c r="N362" s="28">
        <v>14019</v>
      </c>
      <c r="O362" s="28">
        <v>12030</v>
      </c>
      <c r="P362" s="28">
        <v>1989</v>
      </c>
      <c r="Q362" s="28">
        <v>15790</v>
      </c>
      <c r="R362" s="29">
        <v>29.127105700000001</v>
      </c>
      <c r="S362" s="29">
        <v>16.455917700000001</v>
      </c>
      <c r="T362" s="29">
        <v>12.6711879</v>
      </c>
      <c r="U362" s="29">
        <v>70.872894299999999</v>
      </c>
      <c r="V362" s="29">
        <v>47.029420600000002</v>
      </c>
      <c r="W362" s="29">
        <v>40.356939199999999</v>
      </c>
      <c r="X362" s="29">
        <v>6.6724815</v>
      </c>
      <c r="Y362" s="29">
        <v>52.970579399999998</v>
      </c>
    </row>
    <row r="363" spans="2:25" ht="15" customHeight="1">
      <c r="B363" s="30">
        <v>358</v>
      </c>
      <c r="C363" s="31" t="s">
        <v>21</v>
      </c>
      <c r="D363" s="36" t="s">
        <v>56</v>
      </c>
      <c r="E363" s="36" t="s">
        <v>132</v>
      </c>
      <c r="F363" s="36" t="s">
        <v>133</v>
      </c>
      <c r="G363" s="37" t="s">
        <v>133</v>
      </c>
      <c r="H363" s="32">
        <v>9420</v>
      </c>
      <c r="I363" s="32">
        <v>1977</v>
      </c>
      <c r="J363" s="32">
        <v>1202</v>
      </c>
      <c r="K363" s="32">
        <v>775</v>
      </c>
      <c r="L363" s="32">
        <v>7443</v>
      </c>
      <c r="M363" s="32">
        <v>12627</v>
      </c>
      <c r="N363" s="32">
        <v>5723</v>
      </c>
      <c r="O363" s="32">
        <v>4887</v>
      </c>
      <c r="P363" s="32">
        <v>836</v>
      </c>
      <c r="Q363" s="32">
        <v>6904</v>
      </c>
      <c r="R363" s="33">
        <v>20.987261100000001</v>
      </c>
      <c r="S363" s="33">
        <v>12.760084900000001</v>
      </c>
      <c r="T363" s="33">
        <v>8.2271762000000006</v>
      </c>
      <c r="U363" s="33">
        <v>79.012738900000002</v>
      </c>
      <c r="V363" s="33">
        <v>45.3235131</v>
      </c>
      <c r="W363" s="33">
        <v>38.702779800000002</v>
      </c>
      <c r="X363" s="33">
        <v>6.6207333000000004</v>
      </c>
      <c r="Y363" s="33">
        <v>54.6764869</v>
      </c>
    </row>
    <row r="364" spans="2:25" ht="15" hidden="1" customHeight="1">
      <c r="B364" s="25">
        <v>359</v>
      </c>
      <c r="C364" s="26" t="s">
        <v>21</v>
      </c>
      <c r="D364" s="26" t="s">
        <v>56</v>
      </c>
      <c r="E364" s="26" t="s">
        <v>132</v>
      </c>
      <c r="F364" s="26" t="s">
        <v>133</v>
      </c>
      <c r="G364" s="27" t="s">
        <v>15</v>
      </c>
      <c r="H364" s="28">
        <v>3024</v>
      </c>
      <c r="I364" s="28">
        <v>817</v>
      </c>
      <c r="J364" s="28">
        <v>518</v>
      </c>
      <c r="K364" s="28">
        <v>299</v>
      </c>
      <c r="L364" s="28">
        <v>2207</v>
      </c>
      <c r="M364" s="28">
        <v>3749</v>
      </c>
      <c r="N364" s="28">
        <v>2064</v>
      </c>
      <c r="O364" s="28">
        <v>1854</v>
      </c>
      <c r="P364" s="28">
        <v>210</v>
      </c>
      <c r="Q364" s="28">
        <v>1685</v>
      </c>
      <c r="R364" s="29">
        <v>27.0171958</v>
      </c>
      <c r="S364" s="29">
        <v>17.129629600000001</v>
      </c>
      <c r="T364" s="29">
        <v>9.8875661000000008</v>
      </c>
      <c r="U364" s="29">
        <v>72.982804200000004</v>
      </c>
      <c r="V364" s="29">
        <v>55.054681199999997</v>
      </c>
      <c r="W364" s="29">
        <v>49.453187499999999</v>
      </c>
      <c r="X364" s="29">
        <v>5.6014936999999998</v>
      </c>
      <c r="Y364" s="29">
        <v>44.945318800000003</v>
      </c>
    </row>
    <row r="365" spans="2:25" ht="15" hidden="1" customHeight="1">
      <c r="B365" s="25">
        <v>360</v>
      </c>
      <c r="C365" s="26" t="s">
        <v>21</v>
      </c>
      <c r="D365" s="26" t="s">
        <v>56</v>
      </c>
      <c r="E365" s="26" t="s">
        <v>132</v>
      </c>
      <c r="F365" s="26" t="s">
        <v>133</v>
      </c>
      <c r="G365" s="27" t="s">
        <v>16</v>
      </c>
      <c r="H365" s="28">
        <v>6396</v>
      </c>
      <c r="I365" s="28">
        <v>1160</v>
      </c>
      <c r="J365" s="28">
        <v>684</v>
      </c>
      <c r="K365" s="28">
        <v>476</v>
      </c>
      <c r="L365" s="28">
        <v>5236</v>
      </c>
      <c r="M365" s="28">
        <v>8878</v>
      </c>
      <c r="N365" s="28">
        <v>3659</v>
      </c>
      <c r="O365" s="28">
        <v>3033</v>
      </c>
      <c r="P365" s="28">
        <v>626</v>
      </c>
      <c r="Q365" s="28">
        <v>5219</v>
      </c>
      <c r="R365" s="29">
        <v>18.136335200000001</v>
      </c>
      <c r="S365" s="29">
        <v>10.694183900000001</v>
      </c>
      <c r="T365" s="29">
        <v>7.4421512999999999</v>
      </c>
      <c r="U365" s="29">
        <v>81.863664799999995</v>
      </c>
      <c r="V365" s="29">
        <v>41.214237400000002</v>
      </c>
      <c r="W365" s="29">
        <v>34.163099799999998</v>
      </c>
      <c r="X365" s="29">
        <v>7.0511375999999997</v>
      </c>
      <c r="Y365" s="29">
        <v>58.785762599999998</v>
      </c>
    </row>
    <row r="366" spans="2:25" ht="15" customHeight="1">
      <c r="B366" s="30">
        <v>361</v>
      </c>
      <c r="C366" s="31" t="s">
        <v>21</v>
      </c>
      <c r="D366" s="36" t="s">
        <v>56</v>
      </c>
      <c r="E366" s="36" t="s">
        <v>132</v>
      </c>
      <c r="F366" s="36" t="s">
        <v>134</v>
      </c>
      <c r="G366" s="37" t="s">
        <v>134</v>
      </c>
      <c r="H366" s="32">
        <v>3249</v>
      </c>
      <c r="I366" s="32">
        <v>1161</v>
      </c>
      <c r="J366" s="32">
        <v>529</v>
      </c>
      <c r="K366" s="32">
        <v>632</v>
      </c>
      <c r="L366" s="32">
        <v>2088</v>
      </c>
      <c r="M366" s="32">
        <v>3921</v>
      </c>
      <c r="N366" s="32">
        <v>2111</v>
      </c>
      <c r="O366" s="32">
        <v>1826</v>
      </c>
      <c r="P366" s="32">
        <v>285</v>
      </c>
      <c r="Q366" s="32">
        <v>1810</v>
      </c>
      <c r="R366" s="33">
        <v>35.734071999999998</v>
      </c>
      <c r="S366" s="33">
        <v>16.281932900000001</v>
      </c>
      <c r="T366" s="33">
        <v>19.4521391</v>
      </c>
      <c r="U366" s="33">
        <v>64.265928000000002</v>
      </c>
      <c r="V366" s="33">
        <v>53.838306600000003</v>
      </c>
      <c r="W366" s="33">
        <v>46.569752600000001</v>
      </c>
      <c r="X366" s="33">
        <v>7.2685538999999997</v>
      </c>
      <c r="Y366" s="33">
        <v>46.161693399999997</v>
      </c>
    </row>
    <row r="367" spans="2:25" ht="15" hidden="1" customHeight="1">
      <c r="B367" s="25">
        <v>362</v>
      </c>
      <c r="C367" s="26" t="s">
        <v>21</v>
      </c>
      <c r="D367" s="26" t="s">
        <v>56</v>
      </c>
      <c r="E367" s="26" t="s">
        <v>132</v>
      </c>
      <c r="F367" s="26" t="s">
        <v>134</v>
      </c>
      <c r="G367" s="27" t="s">
        <v>15</v>
      </c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9"/>
      <c r="S367" s="29"/>
      <c r="T367" s="29"/>
      <c r="U367" s="29"/>
      <c r="V367" s="29"/>
      <c r="W367" s="29"/>
      <c r="X367" s="29"/>
      <c r="Y367" s="29"/>
    </row>
    <row r="368" spans="2:25" ht="15" hidden="1" customHeight="1">
      <c r="B368" s="25">
        <v>363</v>
      </c>
      <c r="C368" s="26" t="s">
        <v>21</v>
      </c>
      <c r="D368" s="26" t="s">
        <v>56</v>
      </c>
      <c r="E368" s="26" t="s">
        <v>132</v>
      </c>
      <c r="F368" s="26" t="s">
        <v>134</v>
      </c>
      <c r="G368" s="27" t="s">
        <v>16</v>
      </c>
      <c r="H368" s="28">
        <v>3249</v>
      </c>
      <c r="I368" s="28">
        <v>1161</v>
      </c>
      <c r="J368" s="28">
        <v>529</v>
      </c>
      <c r="K368" s="28">
        <v>632</v>
      </c>
      <c r="L368" s="28">
        <v>2088</v>
      </c>
      <c r="M368" s="28">
        <v>3921</v>
      </c>
      <c r="N368" s="28">
        <v>2111</v>
      </c>
      <c r="O368" s="28">
        <v>1826</v>
      </c>
      <c r="P368" s="28">
        <v>285</v>
      </c>
      <c r="Q368" s="28">
        <v>1810</v>
      </c>
      <c r="R368" s="29">
        <v>35.734071999999998</v>
      </c>
      <c r="S368" s="29">
        <v>16.281932900000001</v>
      </c>
      <c r="T368" s="29">
        <v>19.4521391</v>
      </c>
      <c r="U368" s="29">
        <v>64.265928000000002</v>
      </c>
      <c r="V368" s="29">
        <v>53.838306600000003</v>
      </c>
      <c r="W368" s="29">
        <v>46.569752600000001</v>
      </c>
      <c r="X368" s="29">
        <v>7.2685538999999997</v>
      </c>
      <c r="Y368" s="29">
        <v>46.161693399999997</v>
      </c>
    </row>
    <row r="369" spans="2:25" ht="15" customHeight="1">
      <c r="B369" s="30">
        <v>364</v>
      </c>
      <c r="C369" s="31" t="s">
        <v>21</v>
      </c>
      <c r="D369" s="36" t="s">
        <v>56</v>
      </c>
      <c r="E369" s="36" t="s">
        <v>132</v>
      </c>
      <c r="F369" s="36" t="s">
        <v>135</v>
      </c>
      <c r="G369" s="37" t="s">
        <v>135</v>
      </c>
      <c r="H369" s="32">
        <v>2823</v>
      </c>
      <c r="I369" s="32">
        <v>571</v>
      </c>
      <c r="J369" s="32">
        <v>323</v>
      </c>
      <c r="K369" s="32">
        <v>248</v>
      </c>
      <c r="L369" s="32">
        <v>2252</v>
      </c>
      <c r="M369" s="32">
        <v>4794</v>
      </c>
      <c r="N369" s="32">
        <v>1629</v>
      </c>
      <c r="O369" s="32">
        <v>1448</v>
      </c>
      <c r="P369" s="32">
        <v>181</v>
      </c>
      <c r="Q369" s="32">
        <v>3165</v>
      </c>
      <c r="R369" s="33">
        <v>20.226709199999998</v>
      </c>
      <c r="S369" s="33">
        <v>11.441728700000001</v>
      </c>
      <c r="T369" s="33">
        <v>8.7849804999999996</v>
      </c>
      <c r="U369" s="33">
        <v>79.773290799999998</v>
      </c>
      <c r="V369" s="33">
        <v>33.979975000000003</v>
      </c>
      <c r="W369" s="33">
        <v>30.2044222</v>
      </c>
      <c r="X369" s="33">
        <v>3.7755527999999998</v>
      </c>
      <c r="Y369" s="33">
        <v>66.020025000000004</v>
      </c>
    </row>
    <row r="370" spans="2:25" ht="15" hidden="1" customHeight="1">
      <c r="B370" s="25">
        <v>365</v>
      </c>
      <c r="C370" s="26" t="s">
        <v>21</v>
      </c>
      <c r="D370" s="26" t="s">
        <v>56</v>
      </c>
      <c r="E370" s="26" t="s">
        <v>132</v>
      </c>
      <c r="F370" s="26" t="s">
        <v>135</v>
      </c>
      <c r="G370" s="27" t="s">
        <v>15</v>
      </c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9"/>
      <c r="S370" s="29"/>
      <c r="T370" s="29"/>
      <c r="U370" s="29"/>
      <c r="V370" s="29"/>
      <c r="W370" s="29"/>
      <c r="X370" s="29"/>
      <c r="Y370" s="29"/>
    </row>
    <row r="371" spans="2:25" ht="15" hidden="1" customHeight="1">
      <c r="B371" s="25">
        <v>366</v>
      </c>
      <c r="C371" s="26" t="s">
        <v>21</v>
      </c>
      <c r="D371" s="26" t="s">
        <v>56</v>
      </c>
      <c r="E371" s="26" t="s">
        <v>132</v>
      </c>
      <c r="F371" s="26" t="s">
        <v>135</v>
      </c>
      <c r="G371" s="27" t="s">
        <v>16</v>
      </c>
      <c r="H371" s="28">
        <v>2823</v>
      </c>
      <c r="I371" s="28">
        <v>571</v>
      </c>
      <c r="J371" s="28">
        <v>323</v>
      </c>
      <c r="K371" s="28">
        <v>248</v>
      </c>
      <c r="L371" s="28">
        <v>2252</v>
      </c>
      <c r="M371" s="28">
        <v>4794</v>
      </c>
      <c r="N371" s="28">
        <v>1629</v>
      </c>
      <c r="O371" s="28">
        <v>1448</v>
      </c>
      <c r="P371" s="28">
        <v>181</v>
      </c>
      <c r="Q371" s="28">
        <v>3165</v>
      </c>
      <c r="R371" s="29">
        <v>20.226709199999998</v>
      </c>
      <c r="S371" s="29">
        <v>11.441728700000001</v>
      </c>
      <c r="T371" s="29">
        <v>8.7849804999999996</v>
      </c>
      <c r="U371" s="29">
        <v>79.773290799999998</v>
      </c>
      <c r="V371" s="29">
        <v>33.979975000000003</v>
      </c>
      <c r="W371" s="29">
        <v>30.2044222</v>
      </c>
      <c r="X371" s="29">
        <v>3.7755527999999998</v>
      </c>
      <c r="Y371" s="29">
        <v>66.020025000000004</v>
      </c>
    </row>
    <row r="372" spans="2:25" ht="15" customHeight="1">
      <c r="B372" s="30">
        <v>367</v>
      </c>
      <c r="C372" s="31" t="s">
        <v>21</v>
      </c>
      <c r="D372" s="36" t="s">
        <v>56</v>
      </c>
      <c r="E372" s="36" t="s">
        <v>132</v>
      </c>
      <c r="F372" s="36" t="s">
        <v>136</v>
      </c>
      <c r="G372" s="37" t="s">
        <v>136</v>
      </c>
      <c r="H372" s="32">
        <v>3827</v>
      </c>
      <c r="I372" s="32">
        <v>1034</v>
      </c>
      <c r="J372" s="32">
        <v>621</v>
      </c>
      <c r="K372" s="32">
        <v>413</v>
      </c>
      <c r="L372" s="32">
        <v>2793</v>
      </c>
      <c r="M372" s="32">
        <v>5467</v>
      </c>
      <c r="N372" s="32">
        <v>2769</v>
      </c>
      <c r="O372" s="32">
        <v>2467</v>
      </c>
      <c r="P372" s="32">
        <v>302</v>
      </c>
      <c r="Q372" s="32">
        <v>2698</v>
      </c>
      <c r="R372" s="33">
        <v>27.018552400000001</v>
      </c>
      <c r="S372" s="33">
        <v>16.226809500000002</v>
      </c>
      <c r="T372" s="33">
        <v>10.791742899999999</v>
      </c>
      <c r="U372" s="33">
        <v>72.981447599999996</v>
      </c>
      <c r="V372" s="33">
        <v>50.649350599999998</v>
      </c>
      <c r="W372" s="33">
        <v>45.125297199999999</v>
      </c>
      <c r="X372" s="33">
        <v>5.5240533999999997</v>
      </c>
      <c r="Y372" s="33">
        <v>49.350649400000002</v>
      </c>
    </row>
    <row r="373" spans="2:25" ht="15" hidden="1" customHeight="1">
      <c r="B373" s="25">
        <v>368</v>
      </c>
      <c r="C373" s="26" t="s">
        <v>21</v>
      </c>
      <c r="D373" s="26" t="s">
        <v>56</v>
      </c>
      <c r="E373" s="26" t="s">
        <v>132</v>
      </c>
      <c r="F373" s="26" t="s">
        <v>136</v>
      </c>
      <c r="G373" s="27" t="s">
        <v>15</v>
      </c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9"/>
      <c r="S373" s="29"/>
      <c r="T373" s="29"/>
      <c r="U373" s="29"/>
      <c r="V373" s="29"/>
      <c r="W373" s="29"/>
      <c r="X373" s="29"/>
      <c r="Y373" s="29"/>
    </row>
    <row r="374" spans="2:25" ht="15" hidden="1" customHeight="1">
      <c r="B374" s="25">
        <v>369</v>
      </c>
      <c r="C374" s="26" t="s">
        <v>21</v>
      </c>
      <c r="D374" s="26" t="s">
        <v>56</v>
      </c>
      <c r="E374" s="26" t="s">
        <v>132</v>
      </c>
      <c r="F374" s="26" t="s">
        <v>136</v>
      </c>
      <c r="G374" s="27" t="s">
        <v>16</v>
      </c>
      <c r="H374" s="28">
        <v>3827</v>
      </c>
      <c r="I374" s="28">
        <v>1034</v>
      </c>
      <c r="J374" s="28">
        <v>621</v>
      </c>
      <c r="K374" s="28">
        <v>413</v>
      </c>
      <c r="L374" s="28">
        <v>2793</v>
      </c>
      <c r="M374" s="28">
        <v>5467</v>
      </c>
      <c r="N374" s="28">
        <v>2769</v>
      </c>
      <c r="O374" s="28">
        <v>2467</v>
      </c>
      <c r="P374" s="28">
        <v>302</v>
      </c>
      <c r="Q374" s="28">
        <v>2698</v>
      </c>
      <c r="R374" s="29">
        <v>27.018552400000001</v>
      </c>
      <c r="S374" s="29">
        <v>16.226809500000002</v>
      </c>
      <c r="T374" s="29">
        <v>10.791742899999999</v>
      </c>
      <c r="U374" s="29">
        <v>72.981447599999996</v>
      </c>
      <c r="V374" s="29">
        <v>50.649350599999998</v>
      </c>
      <c r="W374" s="29">
        <v>45.125297199999999</v>
      </c>
      <c r="X374" s="29">
        <v>5.5240533999999997</v>
      </c>
      <c r="Y374" s="29">
        <v>49.350649400000002</v>
      </c>
    </row>
    <row r="375" spans="2:25" ht="15" customHeight="1">
      <c r="B375" s="30">
        <v>370</v>
      </c>
      <c r="C375" s="31" t="s">
        <v>21</v>
      </c>
      <c r="D375" s="36" t="s">
        <v>56</v>
      </c>
      <c r="E375" s="36" t="s">
        <v>132</v>
      </c>
      <c r="F375" s="36" t="s">
        <v>137</v>
      </c>
      <c r="G375" s="37" t="s">
        <v>137</v>
      </c>
      <c r="H375" s="32">
        <v>7497</v>
      </c>
      <c r="I375" s="32">
        <v>4090</v>
      </c>
      <c r="J375" s="32">
        <v>2077</v>
      </c>
      <c r="K375" s="32">
        <v>2013</v>
      </c>
      <c r="L375" s="32">
        <v>3407</v>
      </c>
      <c r="M375" s="32">
        <v>9347</v>
      </c>
      <c r="N375" s="32">
        <v>6364</v>
      </c>
      <c r="O375" s="32">
        <v>5638</v>
      </c>
      <c r="P375" s="32">
        <v>726</v>
      </c>
      <c r="Q375" s="32">
        <v>2983</v>
      </c>
      <c r="R375" s="33">
        <v>54.555155399999997</v>
      </c>
      <c r="S375" s="33">
        <v>27.704415099999999</v>
      </c>
      <c r="T375" s="33">
        <v>26.850740299999998</v>
      </c>
      <c r="U375" s="33">
        <v>45.444844600000003</v>
      </c>
      <c r="V375" s="33">
        <v>68.086016900000004</v>
      </c>
      <c r="W375" s="33">
        <v>60.318818899999997</v>
      </c>
      <c r="X375" s="33">
        <v>7.7671979999999996</v>
      </c>
      <c r="Y375" s="33">
        <v>31.913983099999999</v>
      </c>
    </row>
    <row r="376" spans="2:25" ht="15" hidden="1" customHeight="1">
      <c r="B376" s="25">
        <v>371</v>
      </c>
      <c r="C376" s="26" t="s">
        <v>21</v>
      </c>
      <c r="D376" s="26" t="s">
        <v>56</v>
      </c>
      <c r="E376" s="26" t="s">
        <v>132</v>
      </c>
      <c r="F376" s="26" t="s">
        <v>137</v>
      </c>
      <c r="G376" s="27" t="s">
        <v>15</v>
      </c>
      <c r="H376" s="28">
        <v>3794</v>
      </c>
      <c r="I376" s="28">
        <v>2243</v>
      </c>
      <c r="J376" s="28">
        <v>1077</v>
      </c>
      <c r="K376" s="28">
        <v>1166</v>
      </c>
      <c r="L376" s="28">
        <v>1551</v>
      </c>
      <c r="M376" s="28">
        <v>5100</v>
      </c>
      <c r="N376" s="28">
        <v>3927</v>
      </c>
      <c r="O376" s="28">
        <v>3551</v>
      </c>
      <c r="P376" s="28">
        <v>376</v>
      </c>
      <c r="Q376" s="28">
        <v>1173</v>
      </c>
      <c r="R376" s="29">
        <v>59.119662599999998</v>
      </c>
      <c r="S376" s="29">
        <v>28.3869267</v>
      </c>
      <c r="T376" s="29">
        <v>30.732735900000002</v>
      </c>
      <c r="U376" s="29">
        <v>40.880337400000002</v>
      </c>
      <c r="V376" s="29">
        <v>77</v>
      </c>
      <c r="W376" s="29">
        <v>69.627450999999994</v>
      </c>
      <c r="X376" s="29">
        <v>7.3725490000000002</v>
      </c>
      <c r="Y376" s="29">
        <v>23</v>
      </c>
    </row>
    <row r="377" spans="2:25" ht="15" hidden="1" customHeight="1">
      <c r="B377" s="25">
        <v>372</v>
      </c>
      <c r="C377" s="26" t="s">
        <v>21</v>
      </c>
      <c r="D377" s="26" t="s">
        <v>56</v>
      </c>
      <c r="E377" s="26" t="s">
        <v>132</v>
      </c>
      <c r="F377" s="26" t="s">
        <v>137</v>
      </c>
      <c r="G377" s="27" t="s">
        <v>16</v>
      </c>
      <c r="H377" s="28">
        <v>3703</v>
      </c>
      <c r="I377" s="28">
        <v>1847</v>
      </c>
      <c r="J377" s="28">
        <v>1000</v>
      </c>
      <c r="K377" s="28">
        <v>847</v>
      </c>
      <c r="L377" s="28">
        <v>1856</v>
      </c>
      <c r="M377" s="28">
        <v>4247</v>
      </c>
      <c r="N377" s="28">
        <v>2437</v>
      </c>
      <c r="O377" s="28">
        <v>2087</v>
      </c>
      <c r="P377" s="28">
        <v>350</v>
      </c>
      <c r="Q377" s="28">
        <v>1810</v>
      </c>
      <c r="R377" s="29">
        <v>49.878476900000003</v>
      </c>
      <c r="S377" s="29">
        <v>27.005130999999999</v>
      </c>
      <c r="T377" s="29">
        <v>22.8733459</v>
      </c>
      <c r="U377" s="29">
        <v>50.121523099999997</v>
      </c>
      <c r="V377" s="29">
        <v>57.381681200000003</v>
      </c>
      <c r="W377" s="29">
        <v>49.140569800000002</v>
      </c>
      <c r="X377" s="29">
        <v>8.2411113999999994</v>
      </c>
      <c r="Y377" s="29">
        <v>42.618318799999997</v>
      </c>
    </row>
    <row r="378" spans="2:25" ht="15" customHeight="1">
      <c r="B378" s="30">
        <v>373</v>
      </c>
      <c r="C378" s="31" t="s">
        <v>21</v>
      </c>
      <c r="D378" s="36" t="s">
        <v>56</v>
      </c>
      <c r="E378" s="36" t="s">
        <v>132</v>
      </c>
      <c r="F378" s="36" t="s">
        <v>138</v>
      </c>
      <c r="G378" s="37" t="s">
        <v>138</v>
      </c>
      <c r="H378" s="32">
        <v>3200</v>
      </c>
      <c r="I378" s="32">
        <v>906</v>
      </c>
      <c r="J378" s="32">
        <v>611</v>
      </c>
      <c r="K378" s="32">
        <v>295</v>
      </c>
      <c r="L378" s="32">
        <v>2294</v>
      </c>
      <c r="M378" s="32">
        <v>4480</v>
      </c>
      <c r="N378" s="32">
        <v>2265</v>
      </c>
      <c r="O378" s="32">
        <v>1926</v>
      </c>
      <c r="P378" s="32">
        <v>339</v>
      </c>
      <c r="Q378" s="32">
        <v>2215</v>
      </c>
      <c r="R378" s="33">
        <v>28.3125</v>
      </c>
      <c r="S378" s="33">
        <v>19.09375</v>
      </c>
      <c r="T378" s="33">
        <v>9.21875</v>
      </c>
      <c r="U378" s="33">
        <v>71.6875</v>
      </c>
      <c r="V378" s="33">
        <v>50.558035699999998</v>
      </c>
      <c r="W378" s="33">
        <v>42.991071400000003</v>
      </c>
      <c r="X378" s="33">
        <v>7.5669643000000004</v>
      </c>
      <c r="Y378" s="33">
        <v>49.441964300000002</v>
      </c>
    </row>
    <row r="379" spans="2:25" ht="15" hidden="1" customHeight="1">
      <c r="B379" s="25">
        <v>374</v>
      </c>
      <c r="C379" s="26" t="s">
        <v>21</v>
      </c>
      <c r="D379" s="26" t="s">
        <v>56</v>
      </c>
      <c r="E379" s="26" t="s">
        <v>132</v>
      </c>
      <c r="F379" s="26" t="s">
        <v>138</v>
      </c>
      <c r="G379" s="27" t="s">
        <v>15</v>
      </c>
      <c r="H379" s="28">
        <v>892</v>
      </c>
      <c r="I379" s="28">
        <v>218</v>
      </c>
      <c r="J379" s="28">
        <v>158</v>
      </c>
      <c r="K379" s="28">
        <v>60</v>
      </c>
      <c r="L379" s="28">
        <v>674</v>
      </c>
      <c r="M379" s="28">
        <v>2627</v>
      </c>
      <c r="N379" s="28">
        <v>1197</v>
      </c>
      <c r="O379" s="28">
        <v>1008</v>
      </c>
      <c r="P379" s="28">
        <v>189</v>
      </c>
      <c r="Q379" s="28">
        <v>1430</v>
      </c>
      <c r="R379" s="29">
        <v>24.439461900000001</v>
      </c>
      <c r="S379" s="29">
        <v>17.7130045</v>
      </c>
      <c r="T379" s="29">
        <v>6.7264574000000001</v>
      </c>
      <c r="U379" s="29">
        <v>75.560538100000002</v>
      </c>
      <c r="V379" s="29">
        <v>45.565283600000001</v>
      </c>
      <c r="W379" s="29">
        <v>38.3707651</v>
      </c>
      <c r="X379" s="29">
        <v>7.1945185</v>
      </c>
      <c r="Y379" s="29">
        <v>54.434716399999999</v>
      </c>
    </row>
    <row r="380" spans="2:25" ht="15" hidden="1" customHeight="1">
      <c r="B380" s="25">
        <v>375</v>
      </c>
      <c r="C380" s="26" t="s">
        <v>21</v>
      </c>
      <c r="D380" s="26" t="s">
        <v>56</v>
      </c>
      <c r="E380" s="26" t="s">
        <v>132</v>
      </c>
      <c r="F380" s="26" t="s">
        <v>138</v>
      </c>
      <c r="G380" s="27" t="s">
        <v>16</v>
      </c>
      <c r="H380" s="28">
        <v>2308</v>
      </c>
      <c r="I380" s="28">
        <v>688</v>
      </c>
      <c r="J380" s="28">
        <v>453</v>
      </c>
      <c r="K380" s="28">
        <v>235</v>
      </c>
      <c r="L380" s="28">
        <v>1620</v>
      </c>
      <c r="M380" s="28">
        <v>1853</v>
      </c>
      <c r="N380" s="28">
        <v>1068</v>
      </c>
      <c r="O380" s="28">
        <v>918</v>
      </c>
      <c r="P380" s="28">
        <v>150</v>
      </c>
      <c r="Q380" s="28">
        <v>785</v>
      </c>
      <c r="R380" s="29">
        <v>29.809358799999998</v>
      </c>
      <c r="S380" s="29">
        <v>19.627382999999998</v>
      </c>
      <c r="T380" s="29">
        <v>10.181975700000001</v>
      </c>
      <c r="U380" s="29">
        <v>70.190641200000002</v>
      </c>
      <c r="V380" s="29">
        <v>57.6362655</v>
      </c>
      <c r="W380" s="29">
        <v>49.541284400000002</v>
      </c>
      <c r="X380" s="29">
        <v>8.0949811</v>
      </c>
      <c r="Y380" s="29">
        <v>42.3637345</v>
      </c>
    </row>
    <row r="381" spans="2:25" ht="15" customHeight="1">
      <c r="B381" s="30">
        <v>376</v>
      </c>
      <c r="C381" s="31" t="s">
        <v>21</v>
      </c>
      <c r="D381" s="36" t="s">
        <v>56</v>
      </c>
      <c r="E381" s="36" t="s">
        <v>132</v>
      </c>
      <c r="F381" s="36" t="s">
        <v>139</v>
      </c>
      <c r="G381" s="37" t="s">
        <v>139</v>
      </c>
      <c r="H381" s="32">
        <v>1272</v>
      </c>
      <c r="I381" s="32">
        <v>630</v>
      </c>
      <c r="J381" s="32">
        <v>380</v>
      </c>
      <c r="K381" s="32">
        <v>250</v>
      </c>
      <c r="L381" s="32">
        <v>642</v>
      </c>
      <c r="M381" s="32">
        <v>1653</v>
      </c>
      <c r="N381" s="32">
        <v>1086</v>
      </c>
      <c r="O381" s="32">
        <v>799</v>
      </c>
      <c r="P381" s="32">
        <v>287</v>
      </c>
      <c r="Q381" s="32">
        <v>567</v>
      </c>
      <c r="R381" s="33">
        <v>49.528301900000002</v>
      </c>
      <c r="S381" s="33">
        <v>29.8742138</v>
      </c>
      <c r="T381" s="33">
        <v>19.654088099999999</v>
      </c>
      <c r="U381" s="33">
        <v>50.471698099999998</v>
      </c>
      <c r="V381" s="33">
        <v>65.698729599999993</v>
      </c>
      <c r="W381" s="33">
        <v>48.336358099999998</v>
      </c>
      <c r="X381" s="33">
        <v>17.362371400000001</v>
      </c>
      <c r="Y381" s="33">
        <v>34.3012704</v>
      </c>
    </row>
    <row r="382" spans="2:25" ht="15" hidden="1" customHeight="1">
      <c r="B382" s="25">
        <v>377</v>
      </c>
      <c r="C382" s="26" t="s">
        <v>21</v>
      </c>
      <c r="D382" s="26" t="s">
        <v>56</v>
      </c>
      <c r="E382" s="26" t="s">
        <v>132</v>
      </c>
      <c r="F382" s="26" t="s">
        <v>139</v>
      </c>
      <c r="G382" s="27" t="s">
        <v>15</v>
      </c>
      <c r="H382" s="28">
        <v>723</v>
      </c>
      <c r="I382" s="28">
        <v>434</v>
      </c>
      <c r="J382" s="28">
        <v>229</v>
      </c>
      <c r="K382" s="28">
        <v>205</v>
      </c>
      <c r="L382" s="28">
        <v>289</v>
      </c>
      <c r="M382" s="28">
        <v>1004</v>
      </c>
      <c r="N382" s="28">
        <v>740</v>
      </c>
      <c r="O382" s="28">
        <v>548</v>
      </c>
      <c r="P382" s="28">
        <v>192</v>
      </c>
      <c r="Q382" s="28">
        <v>264</v>
      </c>
      <c r="R382" s="29">
        <v>60.027662499999998</v>
      </c>
      <c r="S382" s="29">
        <v>31.6735823</v>
      </c>
      <c r="T382" s="29">
        <v>28.354080199999999</v>
      </c>
      <c r="U382" s="29">
        <v>39.972337500000002</v>
      </c>
      <c r="V382" s="29">
        <v>73.705179299999998</v>
      </c>
      <c r="W382" s="29">
        <v>54.581673299999999</v>
      </c>
      <c r="X382" s="29">
        <v>19.123505999999999</v>
      </c>
      <c r="Y382" s="29">
        <v>26.294820699999999</v>
      </c>
    </row>
    <row r="383" spans="2:25" ht="15" hidden="1" customHeight="1">
      <c r="B383" s="25">
        <v>378</v>
      </c>
      <c r="C383" s="26" t="s">
        <v>21</v>
      </c>
      <c r="D383" s="26" t="s">
        <v>56</v>
      </c>
      <c r="E383" s="26" t="s">
        <v>132</v>
      </c>
      <c r="F383" s="26" t="s">
        <v>139</v>
      </c>
      <c r="G383" s="27" t="s">
        <v>16</v>
      </c>
      <c r="H383" s="28">
        <v>549</v>
      </c>
      <c r="I383" s="28">
        <v>196</v>
      </c>
      <c r="J383" s="28">
        <v>151</v>
      </c>
      <c r="K383" s="28">
        <v>45</v>
      </c>
      <c r="L383" s="28">
        <v>353</v>
      </c>
      <c r="M383" s="28">
        <v>649</v>
      </c>
      <c r="N383" s="28">
        <v>346</v>
      </c>
      <c r="O383" s="28">
        <v>251</v>
      </c>
      <c r="P383" s="28">
        <v>95</v>
      </c>
      <c r="Q383" s="28">
        <v>303</v>
      </c>
      <c r="R383" s="29">
        <v>35.701275000000003</v>
      </c>
      <c r="S383" s="29">
        <v>27.504553699999999</v>
      </c>
      <c r="T383" s="29">
        <v>8.1967213000000001</v>
      </c>
      <c r="U383" s="29">
        <v>64.298725000000005</v>
      </c>
      <c r="V383" s="29">
        <v>53.312788900000001</v>
      </c>
      <c r="W383" s="29">
        <v>38.674884400000003</v>
      </c>
      <c r="X383" s="29">
        <v>14.637904499999999</v>
      </c>
      <c r="Y383" s="29">
        <v>46.687211099999999</v>
      </c>
    </row>
    <row r="384" spans="2:25" ht="15" hidden="1" customHeight="1">
      <c r="B384" s="21">
        <v>379</v>
      </c>
      <c r="C384" s="22" t="s">
        <v>19</v>
      </c>
      <c r="D384" s="35" t="s">
        <v>56</v>
      </c>
      <c r="E384" s="35" t="s">
        <v>140</v>
      </c>
      <c r="F384" s="35"/>
      <c r="G384" s="22" t="s">
        <v>140</v>
      </c>
      <c r="H384" s="23">
        <v>12376</v>
      </c>
      <c r="I384" s="23">
        <v>5960</v>
      </c>
      <c r="J384" s="23">
        <v>3528</v>
      </c>
      <c r="K384" s="23">
        <v>2432</v>
      </c>
      <c r="L384" s="23">
        <v>6416</v>
      </c>
      <c r="M384" s="23">
        <v>19289</v>
      </c>
      <c r="N384" s="23">
        <v>13177</v>
      </c>
      <c r="O384" s="23">
        <v>10745</v>
      </c>
      <c r="P384" s="23">
        <v>2432</v>
      </c>
      <c r="Q384" s="23">
        <v>6112</v>
      </c>
      <c r="R384" s="24">
        <v>48.157724600000002</v>
      </c>
      <c r="S384" s="24">
        <v>28.506787299999999</v>
      </c>
      <c r="T384" s="24">
        <v>19.650937299999999</v>
      </c>
      <c r="U384" s="24">
        <v>51.842275399999998</v>
      </c>
      <c r="V384" s="24">
        <v>68.313546599999995</v>
      </c>
      <c r="W384" s="24">
        <v>55.705324300000001</v>
      </c>
      <c r="X384" s="24">
        <v>12.6082223</v>
      </c>
      <c r="Y384" s="24">
        <v>31.686453400000001</v>
      </c>
    </row>
    <row r="385" spans="2:25" ht="15" hidden="1" customHeight="1">
      <c r="B385" s="25">
        <v>380</v>
      </c>
      <c r="C385" s="26" t="s">
        <v>19</v>
      </c>
      <c r="D385" s="26" t="s">
        <v>56</v>
      </c>
      <c r="E385" s="26" t="s">
        <v>140</v>
      </c>
      <c r="F385" s="26"/>
      <c r="G385" s="27" t="s">
        <v>15</v>
      </c>
      <c r="H385" s="28">
        <v>844</v>
      </c>
      <c r="I385" s="28">
        <v>757</v>
      </c>
      <c r="J385" s="28">
        <v>472</v>
      </c>
      <c r="K385" s="28">
        <v>285</v>
      </c>
      <c r="L385" s="28">
        <v>87</v>
      </c>
      <c r="M385" s="28">
        <v>2274</v>
      </c>
      <c r="N385" s="28">
        <v>2128</v>
      </c>
      <c r="O385" s="28">
        <v>1686</v>
      </c>
      <c r="P385" s="28">
        <v>442</v>
      </c>
      <c r="Q385" s="28">
        <v>146</v>
      </c>
      <c r="R385" s="29">
        <v>89.691943100000003</v>
      </c>
      <c r="S385" s="29">
        <v>55.924170599999997</v>
      </c>
      <c r="T385" s="29">
        <v>33.7677725</v>
      </c>
      <c r="U385" s="29">
        <v>10.3080569</v>
      </c>
      <c r="V385" s="29">
        <v>93.579595400000002</v>
      </c>
      <c r="W385" s="29">
        <v>74.142480199999994</v>
      </c>
      <c r="X385" s="29">
        <v>19.437115200000001</v>
      </c>
      <c r="Y385" s="29">
        <v>6.4204046000000004</v>
      </c>
    </row>
    <row r="386" spans="2:25" ht="15" hidden="1" customHeight="1">
      <c r="B386" s="25">
        <v>381</v>
      </c>
      <c r="C386" s="26" t="s">
        <v>19</v>
      </c>
      <c r="D386" s="26" t="s">
        <v>56</v>
      </c>
      <c r="E386" s="26" t="s">
        <v>140</v>
      </c>
      <c r="F386" s="26"/>
      <c r="G386" s="27" t="s">
        <v>16</v>
      </c>
      <c r="H386" s="28">
        <v>11532</v>
      </c>
      <c r="I386" s="28">
        <v>5203</v>
      </c>
      <c r="J386" s="28">
        <v>3056</v>
      </c>
      <c r="K386" s="28">
        <v>2147</v>
      </c>
      <c r="L386" s="28">
        <v>6329</v>
      </c>
      <c r="M386" s="28">
        <v>17015</v>
      </c>
      <c r="N386" s="28">
        <v>11049</v>
      </c>
      <c r="O386" s="28">
        <v>9059</v>
      </c>
      <c r="P386" s="28">
        <v>1990</v>
      </c>
      <c r="Q386" s="28">
        <v>5966</v>
      </c>
      <c r="R386" s="29">
        <v>45.117932699999997</v>
      </c>
      <c r="S386" s="29">
        <v>26.500173400000001</v>
      </c>
      <c r="T386" s="29">
        <v>18.617759299999999</v>
      </c>
      <c r="U386" s="29">
        <v>54.882067300000003</v>
      </c>
      <c r="V386" s="29">
        <v>64.936820499999996</v>
      </c>
      <c r="W386" s="29">
        <v>53.241257699999998</v>
      </c>
      <c r="X386" s="29">
        <v>11.6955627</v>
      </c>
      <c r="Y386" s="29">
        <v>35.063179499999997</v>
      </c>
    </row>
    <row r="387" spans="2:25" ht="15" customHeight="1">
      <c r="B387" s="30">
        <v>382</v>
      </c>
      <c r="C387" s="31" t="s">
        <v>21</v>
      </c>
      <c r="D387" s="36" t="s">
        <v>56</v>
      </c>
      <c r="E387" s="36" t="s">
        <v>140</v>
      </c>
      <c r="F387" s="36" t="s">
        <v>141</v>
      </c>
      <c r="G387" s="37" t="s">
        <v>141</v>
      </c>
      <c r="H387" s="32">
        <v>6996</v>
      </c>
      <c r="I387" s="32">
        <v>3354</v>
      </c>
      <c r="J387" s="32">
        <v>2096</v>
      </c>
      <c r="K387" s="32">
        <v>1258</v>
      </c>
      <c r="L387" s="32">
        <v>3642</v>
      </c>
      <c r="M387" s="32">
        <v>10376</v>
      </c>
      <c r="N387" s="32">
        <v>6557</v>
      </c>
      <c r="O387" s="32">
        <v>5448</v>
      </c>
      <c r="P387" s="32">
        <v>1109</v>
      </c>
      <c r="Q387" s="32">
        <v>3819</v>
      </c>
      <c r="R387" s="33">
        <v>47.941681000000003</v>
      </c>
      <c r="S387" s="33">
        <v>29.9599771</v>
      </c>
      <c r="T387" s="33">
        <v>17.981703799999998</v>
      </c>
      <c r="U387" s="33">
        <v>52.058318999999997</v>
      </c>
      <c r="V387" s="33">
        <v>63.193908999999998</v>
      </c>
      <c r="W387" s="33">
        <v>52.505782600000003</v>
      </c>
      <c r="X387" s="33">
        <v>10.6881264</v>
      </c>
      <c r="Y387" s="33">
        <v>36.806091000000002</v>
      </c>
    </row>
    <row r="388" spans="2:25" ht="15" hidden="1" customHeight="1">
      <c r="B388" s="25">
        <v>383</v>
      </c>
      <c r="C388" s="26" t="s">
        <v>21</v>
      </c>
      <c r="D388" s="26" t="s">
        <v>56</v>
      </c>
      <c r="E388" s="26" t="s">
        <v>140</v>
      </c>
      <c r="F388" s="26" t="s">
        <v>141</v>
      </c>
      <c r="G388" s="27" t="s">
        <v>15</v>
      </c>
      <c r="H388" s="28">
        <v>844</v>
      </c>
      <c r="I388" s="28">
        <v>757</v>
      </c>
      <c r="J388" s="28">
        <v>472</v>
      </c>
      <c r="K388" s="28">
        <v>285</v>
      </c>
      <c r="L388" s="28">
        <v>87</v>
      </c>
      <c r="M388" s="28">
        <v>1091</v>
      </c>
      <c r="N388" s="28">
        <v>1010</v>
      </c>
      <c r="O388" s="28">
        <v>859</v>
      </c>
      <c r="P388" s="28">
        <v>151</v>
      </c>
      <c r="Q388" s="28">
        <v>81</v>
      </c>
      <c r="R388" s="29">
        <v>89.691943100000003</v>
      </c>
      <c r="S388" s="29">
        <v>55.924170599999997</v>
      </c>
      <c r="T388" s="29">
        <v>33.7677725</v>
      </c>
      <c r="U388" s="29">
        <v>10.3080569</v>
      </c>
      <c r="V388" s="29">
        <v>92.575618700000007</v>
      </c>
      <c r="W388" s="29">
        <v>78.735105399999995</v>
      </c>
      <c r="X388" s="29">
        <v>13.8405133</v>
      </c>
      <c r="Y388" s="29">
        <v>7.4243813000000003</v>
      </c>
    </row>
    <row r="389" spans="2:25" ht="15" hidden="1" customHeight="1">
      <c r="B389" s="25">
        <v>384</v>
      </c>
      <c r="C389" s="26" t="s">
        <v>21</v>
      </c>
      <c r="D389" s="26" t="s">
        <v>56</v>
      </c>
      <c r="E389" s="26" t="s">
        <v>140</v>
      </c>
      <c r="F389" s="26" t="s">
        <v>141</v>
      </c>
      <c r="G389" s="27" t="s">
        <v>16</v>
      </c>
      <c r="H389" s="28">
        <v>6152</v>
      </c>
      <c r="I389" s="28">
        <v>2597</v>
      </c>
      <c r="J389" s="28">
        <v>1624</v>
      </c>
      <c r="K389" s="28">
        <v>973</v>
      </c>
      <c r="L389" s="28">
        <v>3555</v>
      </c>
      <c r="M389" s="28">
        <v>9285</v>
      </c>
      <c r="N389" s="28">
        <v>5547</v>
      </c>
      <c r="O389" s="28">
        <v>4589</v>
      </c>
      <c r="P389" s="28">
        <v>958</v>
      </c>
      <c r="Q389" s="28">
        <v>3738</v>
      </c>
      <c r="R389" s="29">
        <v>42.213914199999998</v>
      </c>
      <c r="S389" s="29">
        <v>26.397919399999999</v>
      </c>
      <c r="T389" s="29">
        <v>15.8159948</v>
      </c>
      <c r="U389" s="29">
        <v>57.786085800000002</v>
      </c>
      <c r="V389" s="29">
        <v>59.741518599999999</v>
      </c>
      <c r="W389" s="29">
        <v>49.4238018</v>
      </c>
      <c r="X389" s="29">
        <v>10.3177167</v>
      </c>
      <c r="Y389" s="29">
        <v>40.258481400000001</v>
      </c>
    </row>
    <row r="390" spans="2:25" ht="15" customHeight="1">
      <c r="B390" s="30">
        <v>385</v>
      </c>
      <c r="C390" s="31" t="s">
        <v>21</v>
      </c>
      <c r="D390" s="36" t="s">
        <v>56</v>
      </c>
      <c r="E390" s="36" t="s">
        <v>140</v>
      </c>
      <c r="F390" s="36" t="s">
        <v>142</v>
      </c>
      <c r="G390" s="37" t="s">
        <v>142</v>
      </c>
      <c r="H390" s="32">
        <v>5380</v>
      </c>
      <c r="I390" s="32">
        <v>2606</v>
      </c>
      <c r="J390" s="32">
        <v>1432</v>
      </c>
      <c r="K390" s="32">
        <v>1174</v>
      </c>
      <c r="L390" s="32">
        <v>2774</v>
      </c>
      <c r="M390" s="32">
        <v>8913</v>
      </c>
      <c r="N390" s="32">
        <v>6620</v>
      </c>
      <c r="O390" s="32">
        <v>5297</v>
      </c>
      <c r="P390" s="32">
        <v>1323</v>
      </c>
      <c r="Q390" s="32">
        <v>2293</v>
      </c>
      <c r="R390" s="33">
        <v>48.438661699999997</v>
      </c>
      <c r="S390" s="33">
        <v>26.617100400000002</v>
      </c>
      <c r="T390" s="33">
        <v>21.821561299999999</v>
      </c>
      <c r="U390" s="33">
        <v>51.561338300000003</v>
      </c>
      <c r="V390" s="33">
        <v>74.273533</v>
      </c>
      <c r="W390" s="33">
        <v>59.430045999999997</v>
      </c>
      <c r="X390" s="33">
        <v>14.843487</v>
      </c>
      <c r="Y390" s="33">
        <v>25.726467</v>
      </c>
    </row>
    <row r="391" spans="2:25" ht="15" hidden="1" customHeight="1">
      <c r="B391" s="25">
        <v>386</v>
      </c>
      <c r="C391" s="26" t="s">
        <v>21</v>
      </c>
      <c r="D391" s="26" t="s">
        <v>56</v>
      </c>
      <c r="E391" s="26" t="s">
        <v>140</v>
      </c>
      <c r="F391" s="26" t="s">
        <v>142</v>
      </c>
      <c r="G391" s="27" t="s">
        <v>15</v>
      </c>
      <c r="H391" s="28"/>
      <c r="I391" s="28"/>
      <c r="J391" s="28"/>
      <c r="K391" s="28"/>
      <c r="L391" s="28"/>
      <c r="M391" s="28">
        <v>1183</v>
      </c>
      <c r="N391" s="28">
        <v>1118</v>
      </c>
      <c r="O391" s="28">
        <v>827</v>
      </c>
      <c r="P391" s="28">
        <v>291</v>
      </c>
      <c r="Q391" s="28">
        <v>65</v>
      </c>
      <c r="R391" s="29"/>
      <c r="S391" s="29"/>
      <c r="T391" s="29"/>
      <c r="U391" s="29"/>
      <c r="V391" s="29">
        <v>94.505494499999998</v>
      </c>
      <c r="W391" s="29">
        <v>69.907016100000007</v>
      </c>
      <c r="X391" s="29">
        <v>24.598478400000001</v>
      </c>
      <c r="Y391" s="29">
        <v>5.4945054999999998</v>
      </c>
    </row>
    <row r="392" spans="2:25" ht="15" hidden="1" customHeight="1">
      <c r="B392" s="25">
        <v>387</v>
      </c>
      <c r="C392" s="26" t="s">
        <v>21</v>
      </c>
      <c r="D392" s="26" t="s">
        <v>56</v>
      </c>
      <c r="E392" s="26" t="s">
        <v>140</v>
      </c>
      <c r="F392" s="26" t="s">
        <v>142</v>
      </c>
      <c r="G392" s="27" t="s">
        <v>16</v>
      </c>
      <c r="H392" s="28">
        <v>5380</v>
      </c>
      <c r="I392" s="28">
        <v>2606</v>
      </c>
      <c r="J392" s="28">
        <v>1432</v>
      </c>
      <c r="K392" s="28">
        <v>1174</v>
      </c>
      <c r="L392" s="28">
        <v>2774</v>
      </c>
      <c r="M392" s="28">
        <v>7730</v>
      </c>
      <c r="N392" s="28">
        <v>5502</v>
      </c>
      <c r="O392" s="28">
        <v>4470</v>
      </c>
      <c r="P392" s="28">
        <v>1032</v>
      </c>
      <c r="Q392" s="28">
        <v>2228</v>
      </c>
      <c r="R392" s="29">
        <v>48.438661699999997</v>
      </c>
      <c r="S392" s="29">
        <v>26.617100400000002</v>
      </c>
      <c r="T392" s="29">
        <v>21.821561299999999</v>
      </c>
      <c r="U392" s="29">
        <v>51.561338300000003</v>
      </c>
      <c r="V392" s="29">
        <v>71.177231599999999</v>
      </c>
      <c r="W392" s="29">
        <v>57.826649400000001</v>
      </c>
      <c r="X392" s="29">
        <v>13.3505821</v>
      </c>
      <c r="Y392" s="29">
        <v>28.822768400000001</v>
      </c>
    </row>
    <row r="393" spans="2:25" ht="15" hidden="1" customHeight="1">
      <c r="B393" s="21">
        <v>388</v>
      </c>
      <c r="C393" s="22" t="s">
        <v>19</v>
      </c>
      <c r="D393" s="35" t="s">
        <v>56</v>
      </c>
      <c r="E393" s="35" t="s">
        <v>143</v>
      </c>
      <c r="F393" s="35"/>
      <c r="G393" s="22" t="s">
        <v>143</v>
      </c>
      <c r="H393" s="23">
        <v>4275</v>
      </c>
      <c r="I393" s="23">
        <v>3249</v>
      </c>
      <c r="J393" s="23">
        <v>1608</v>
      </c>
      <c r="K393" s="23">
        <v>1641</v>
      </c>
      <c r="L393" s="23">
        <v>1026</v>
      </c>
      <c r="M393" s="23">
        <v>6155</v>
      </c>
      <c r="N393" s="23">
        <v>5206</v>
      </c>
      <c r="O393" s="23">
        <v>4286</v>
      </c>
      <c r="P393" s="23">
        <v>920</v>
      </c>
      <c r="Q393" s="23">
        <v>949</v>
      </c>
      <c r="R393" s="24">
        <v>76</v>
      </c>
      <c r="S393" s="24">
        <v>37.614035100000002</v>
      </c>
      <c r="T393" s="24">
        <v>38.385964899999998</v>
      </c>
      <c r="U393" s="24">
        <v>24</v>
      </c>
      <c r="V393" s="24">
        <v>84.581640899999996</v>
      </c>
      <c r="W393" s="24">
        <v>69.634443500000003</v>
      </c>
      <c r="X393" s="24">
        <v>14.9471974</v>
      </c>
      <c r="Y393" s="24">
        <v>15.4183591</v>
      </c>
    </row>
    <row r="394" spans="2:25" ht="15" hidden="1" customHeight="1">
      <c r="B394" s="25">
        <v>389</v>
      </c>
      <c r="C394" s="26" t="s">
        <v>19</v>
      </c>
      <c r="D394" s="26" t="s">
        <v>56</v>
      </c>
      <c r="E394" s="26" t="s">
        <v>143</v>
      </c>
      <c r="F394" s="26"/>
      <c r="G394" s="27" t="s">
        <v>15</v>
      </c>
      <c r="H394" s="28">
        <v>1827</v>
      </c>
      <c r="I394" s="28">
        <v>1609</v>
      </c>
      <c r="J394" s="28">
        <v>750</v>
      </c>
      <c r="K394" s="28">
        <v>859</v>
      </c>
      <c r="L394" s="28">
        <v>218</v>
      </c>
      <c r="M394" s="28">
        <v>2499</v>
      </c>
      <c r="N394" s="28">
        <v>2300</v>
      </c>
      <c r="O394" s="28">
        <v>1836</v>
      </c>
      <c r="P394" s="28">
        <v>464</v>
      </c>
      <c r="Q394" s="28">
        <v>199</v>
      </c>
      <c r="R394" s="29">
        <v>88.067870799999994</v>
      </c>
      <c r="S394" s="29">
        <v>41.050903099999999</v>
      </c>
      <c r="T394" s="29">
        <v>47.016967700000002</v>
      </c>
      <c r="U394" s="29">
        <v>11.9321292</v>
      </c>
      <c r="V394" s="29">
        <v>92.036814699999994</v>
      </c>
      <c r="W394" s="29">
        <v>73.469387800000007</v>
      </c>
      <c r="X394" s="29">
        <v>18.567426999999999</v>
      </c>
      <c r="Y394" s="29">
        <v>7.9631853000000001</v>
      </c>
    </row>
    <row r="395" spans="2:25" ht="15" hidden="1" customHeight="1">
      <c r="B395" s="25">
        <v>390</v>
      </c>
      <c r="C395" s="26" t="s">
        <v>19</v>
      </c>
      <c r="D395" s="26" t="s">
        <v>56</v>
      </c>
      <c r="E395" s="26" t="s">
        <v>143</v>
      </c>
      <c r="F395" s="26"/>
      <c r="G395" s="27" t="s">
        <v>16</v>
      </c>
      <c r="H395" s="28">
        <v>2448</v>
      </c>
      <c r="I395" s="28">
        <v>1640</v>
      </c>
      <c r="J395" s="28">
        <v>858</v>
      </c>
      <c r="K395" s="28">
        <v>782</v>
      </c>
      <c r="L395" s="28">
        <v>808</v>
      </c>
      <c r="M395" s="28">
        <v>3656</v>
      </c>
      <c r="N395" s="28">
        <v>2906</v>
      </c>
      <c r="O395" s="28">
        <v>2450</v>
      </c>
      <c r="P395" s="28">
        <v>456</v>
      </c>
      <c r="Q395" s="28">
        <v>750</v>
      </c>
      <c r="R395" s="29">
        <v>66.993464099999997</v>
      </c>
      <c r="S395" s="29">
        <v>35.049019600000001</v>
      </c>
      <c r="T395" s="29">
        <v>31.944444399999998</v>
      </c>
      <c r="U395" s="29">
        <v>33.006535900000003</v>
      </c>
      <c r="V395" s="29">
        <v>79.485776799999996</v>
      </c>
      <c r="W395" s="29">
        <v>67.0131291</v>
      </c>
      <c r="X395" s="29">
        <v>12.4726477</v>
      </c>
      <c r="Y395" s="29">
        <v>20.5142232</v>
      </c>
    </row>
    <row r="396" spans="2:25" ht="15" customHeight="1">
      <c r="B396" s="30">
        <v>391</v>
      </c>
      <c r="C396" s="31" t="s">
        <v>21</v>
      </c>
      <c r="D396" s="36" t="s">
        <v>56</v>
      </c>
      <c r="E396" s="36" t="s">
        <v>143</v>
      </c>
      <c r="F396" s="36" t="s">
        <v>144</v>
      </c>
      <c r="G396" s="37" t="s">
        <v>144</v>
      </c>
      <c r="H396" s="32">
        <v>2270</v>
      </c>
      <c r="I396" s="32">
        <v>1694</v>
      </c>
      <c r="J396" s="32">
        <v>739</v>
      </c>
      <c r="K396" s="32">
        <v>955</v>
      </c>
      <c r="L396" s="32">
        <v>576</v>
      </c>
      <c r="M396" s="32">
        <v>3306</v>
      </c>
      <c r="N396" s="32">
        <v>2718</v>
      </c>
      <c r="O396" s="32">
        <v>2295</v>
      </c>
      <c r="P396" s="32">
        <v>423</v>
      </c>
      <c r="Q396" s="32">
        <v>588</v>
      </c>
      <c r="R396" s="33">
        <v>74.625550700000005</v>
      </c>
      <c r="S396" s="33">
        <v>32.555066099999998</v>
      </c>
      <c r="T396" s="33">
        <v>42.0704846</v>
      </c>
      <c r="U396" s="33">
        <v>25.374449299999998</v>
      </c>
      <c r="V396" s="33">
        <v>82.214156099999997</v>
      </c>
      <c r="W396" s="33">
        <v>69.419237699999996</v>
      </c>
      <c r="X396" s="33">
        <v>12.794918300000001</v>
      </c>
      <c r="Y396" s="33">
        <v>17.7858439</v>
      </c>
    </row>
    <row r="397" spans="2:25" ht="15" hidden="1" customHeight="1">
      <c r="B397" s="25">
        <v>392</v>
      </c>
      <c r="C397" s="26" t="s">
        <v>21</v>
      </c>
      <c r="D397" s="26" t="s">
        <v>56</v>
      </c>
      <c r="E397" s="26" t="s">
        <v>143</v>
      </c>
      <c r="F397" s="26" t="s">
        <v>144</v>
      </c>
      <c r="G397" s="27" t="s">
        <v>15</v>
      </c>
      <c r="H397" s="28">
        <v>985</v>
      </c>
      <c r="I397" s="28">
        <v>838</v>
      </c>
      <c r="J397" s="28">
        <v>303</v>
      </c>
      <c r="K397" s="28">
        <v>535</v>
      </c>
      <c r="L397" s="28">
        <v>147</v>
      </c>
      <c r="M397" s="28">
        <v>1343</v>
      </c>
      <c r="N397" s="28">
        <v>1240</v>
      </c>
      <c r="O397" s="28">
        <v>1009</v>
      </c>
      <c r="P397" s="28">
        <v>231</v>
      </c>
      <c r="Q397" s="28">
        <v>103</v>
      </c>
      <c r="R397" s="29">
        <v>85.076142099999998</v>
      </c>
      <c r="S397" s="29">
        <v>30.761421299999999</v>
      </c>
      <c r="T397" s="29">
        <v>54.314720800000003</v>
      </c>
      <c r="U397" s="29">
        <v>14.9238579</v>
      </c>
      <c r="V397" s="29">
        <v>92.330603100000005</v>
      </c>
      <c r="W397" s="29">
        <v>75.130305300000003</v>
      </c>
      <c r="X397" s="29">
        <v>17.200297800000001</v>
      </c>
      <c r="Y397" s="29">
        <v>7.6693968999999997</v>
      </c>
    </row>
    <row r="398" spans="2:25" ht="15" hidden="1" customHeight="1">
      <c r="B398" s="25">
        <v>393</v>
      </c>
      <c r="C398" s="26" t="s">
        <v>21</v>
      </c>
      <c r="D398" s="26" t="s">
        <v>56</v>
      </c>
      <c r="E398" s="26" t="s">
        <v>143</v>
      </c>
      <c r="F398" s="26" t="s">
        <v>144</v>
      </c>
      <c r="G398" s="27" t="s">
        <v>16</v>
      </c>
      <c r="H398" s="28">
        <v>1285</v>
      </c>
      <c r="I398" s="28">
        <v>856</v>
      </c>
      <c r="J398" s="28">
        <v>436</v>
      </c>
      <c r="K398" s="28">
        <v>420</v>
      </c>
      <c r="L398" s="28">
        <v>429</v>
      </c>
      <c r="M398" s="28">
        <v>1963</v>
      </c>
      <c r="N398" s="28">
        <v>1478</v>
      </c>
      <c r="O398" s="28">
        <v>1286</v>
      </c>
      <c r="P398" s="28">
        <v>192</v>
      </c>
      <c r="Q398" s="28">
        <v>485</v>
      </c>
      <c r="R398" s="29">
        <v>66.614785999999995</v>
      </c>
      <c r="S398" s="29">
        <v>33.9299611</v>
      </c>
      <c r="T398" s="29">
        <v>32.684824900000002</v>
      </c>
      <c r="U398" s="29">
        <v>33.385213999999998</v>
      </c>
      <c r="V398" s="29">
        <v>75.292918999999998</v>
      </c>
      <c r="W398" s="29">
        <v>65.511971500000001</v>
      </c>
      <c r="X398" s="29">
        <v>9.7809474999999999</v>
      </c>
      <c r="Y398" s="29">
        <v>24.707080999999999</v>
      </c>
    </row>
    <row r="399" spans="2:25" ht="15" customHeight="1">
      <c r="B399" s="30">
        <v>394</v>
      </c>
      <c r="C399" s="31" t="s">
        <v>21</v>
      </c>
      <c r="D399" s="36" t="s">
        <v>56</v>
      </c>
      <c r="E399" s="36" t="s">
        <v>143</v>
      </c>
      <c r="F399" s="36" t="s">
        <v>145</v>
      </c>
      <c r="G399" s="37" t="s">
        <v>145</v>
      </c>
      <c r="H399" s="32">
        <v>2005</v>
      </c>
      <c r="I399" s="32">
        <v>1555</v>
      </c>
      <c r="J399" s="32">
        <v>869</v>
      </c>
      <c r="K399" s="32">
        <v>686</v>
      </c>
      <c r="L399" s="32">
        <v>450</v>
      </c>
      <c r="M399" s="32">
        <v>2849</v>
      </c>
      <c r="N399" s="32">
        <v>2488</v>
      </c>
      <c r="O399" s="32">
        <v>1991</v>
      </c>
      <c r="P399" s="32">
        <v>497</v>
      </c>
      <c r="Q399" s="32">
        <v>361</v>
      </c>
      <c r="R399" s="33">
        <v>77.556109699999993</v>
      </c>
      <c r="S399" s="33">
        <v>43.341645900000003</v>
      </c>
      <c r="T399" s="33">
        <v>34.214463799999997</v>
      </c>
      <c r="U399" s="33">
        <v>22.4438903</v>
      </c>
      <c r="V399" s="33">
        <v>87.328887300000005</v>
      </c>
      <c r="W399" s="33">
        <v>69.884169900000003</v>
      </c>
      <c r="X399" s="33">
        <v>17.444717399999998</v>
      </c>
      <c r="Y399" s="33">
        <v>12.6711127</v>
      </c>
    </row>
    <row r="400" spans="2:25" ht="15" hidden="1" customHeight="1">
      <c r="B400" s="25">
        <v>395</v>
      </c>
      <c r="C400" s="26" t="s">
        <v>21</v>
      </c>
      <c r="D400" s="26" t="s">
        <v>56</v>
      </c>
      <c r="E400" s="26" t="s">
        <v>143</v>
      </c>
      <c r="F400" s="26" t="s">
        <v>145</v>
      </c>
      <c r="G400" s="27" t="s">
        <v>15</v>
      </c>
      <c r="H400" s="28">
        <v>842</v>
      </c>
      <c r="I400" s="28">
        <v>771</v>
      </c>
      <c r="J400" s="28">
        <v>447</v>
      </c>
      <c r="K400" s="28">
        <v>324</v>
      </c>
      <c r="L400" s="28">
        <v>71</v>
      </c>
      <c r="M400" s="28">
        <v>1156</v>
      </c>
      <c r="N400" s="28">
        <v>1060</v>
      </c>
      <c r="O400" s="28">
        <v>827</v>
      </c>
      <c r="P400" s="28">
        <v>233</v>
      </c>
      <c r="Q400" s="28">
        <v>96</v>
      </c>
      <c r="R400" s="29">
        <v>91.567695999999998</v>
      </c>
      <c r="S400" s="29">
        <v>53.087885999999997</v>
      </c>
      <c r="T400" s="29">
        <v>38.479810000000001</v>
      </c>
      <c r="U400" s="29">
        <v>8.4323040000000002</v>
      </c>
      <c r="V400" s="29">
        <v>91.695501699999994</v>
      </c>
      <c r="W400" s="29">
        <v>71.539792399999996</v>
      </c>
      <c r="X400" s="29">
        <v>20.155709300000002</v>
      </c>
      <c r="Y400" s="29">
        <v>8.3044983000000006</v>
      </c>
    </row>
    <row r="401" spans="2:25" ht="15" hidden="1" customHeight="1">
      <c r="B401" s="25">
        <v>396</v>
      </c>
      <c r="C401" s="26" t="s">
        <v>21</v>
      </c>
      <c r="D401" s="26" t="s">
        <v>56</v>
      </c>
      <c r="E401" s="26" t="s">
        <v>143</v>
      </c>
      <c r="F401" s="26" t="s">
        <v>145</v>
      </c>
      <c r="G401" s="27" t="s">
        <v>16</v>
      </c>
      <c r="H401" s="28">
        <v>1163</v>
      </c>
      <c r="I401" s="28">
        <v>784</v>
      </c>
      <c r="J401" s="28">
        <v>422</v>
      </c>
      <c r="K401" s="28">
        <v>362</v>
      </c>
      <c r="L401" s="28">
        <v>379</v>
      </c>
      <c r="M401" s="28">
        <v>1693</v>
      </c>
      <c r="N401" s="28">
        <v>1428</v>
      </c>
      <c r="O401" s="28">
        <v>1164</v>
      </c>
      <c r="P401" s="28">
        <v>264</v>
      </c>
      <c r="Q401" s="28">
        <v>265</v>
      </c>
      <c r="R401" s="29">
        <v>67.411865899999995</v>
      </c>
      <c r="S401" s="29">
        <v>36.285468600000002</v>
      </c>
      <c r="T401" s="29">
        <v>31.1263972</v>
      </c>
      <c r="U401" s="29">
        <v>32.588134099999998</v>
      </c>
      <c r="V401" s="29">
        <v>84.347312500000001</v>
      </c>
      <c r="W401" s="29">
        <v>68.753691700000005</v>
      </c>
      <c r="X401" s="29">
        <v>15.5936208</v>
      </c>
      <c r="Y401" s="29">
        <v>15.652687500000001</v>
      </c>
    </row>
    <row r="402" spans="2:25" ht="15" hidden="1" customHeight="1">
      <c r="B402" s="21">
        <v>397</v>
      </c>
      <c r="C402" s="22" t="s">
        <v>19</v>
      </c>
      <c r="D402" s="35" t="s">
        <v>56</v>
      </c>
      <c r="E402" s="35" t="s">
        <v>146</v>
      </c>
      <c r="F402" s="35"/>
      <c r="G402" s="22" t="s">
        <v>146</v>
      </c>
      <c r="H402" s="23">
        <v>4532</v>
      </c>
      <c r="I402" s="23">
        <v>724</v>
      </c>
      <c r="J402" s="23">
        <v>464</v>
      </c>
      <c r="K402" s="23">
        <v>260</v>
      </c>
      <c r="L402" s="23">
        <v>3808</v>
      </c>
      <c r="M402" s="23">
        <v>6678</v>
      </c>
      <c r="N402" s="23">
        <v>3193</v>
      </c>
      <c r="O402" s="23">
        <v>2510</v>
      </c>
      <c r="P402" s="23">
        <v>683</v>
      </c>
      <c r="Q402" s="23">
        <v>3485</v>
      </c>
      <c r="R402" s="24">
        <v>15.975286799999999</v>
      </c>
      <c r="S402" s="24">
        <v>10.2383054</v>
      </c>
      <c r="T402" s="24">
        <v>5.7369814999999997</v>
      </c>
      <c r="U402" s="24">
        <v>84.024713199999994</v>
      </c>
      <c r="V402" s="24">
        <v>47.813716700000001</v>
      </c>
      <c r="W402" s="24">
        <v>37.586103600000001</v>
      </c>
      <c r="X402" s="24">
        <v>10.227613099999999</v>
      </c>
      <c r="Y402" s="24">
        <v>52.186283299999999</v>
      </c>
    </row>
    <row r="403" spans="2:25" ht="15" hidden="1" customHeight="1">
      <c r="B403" s="25">
        <v>398</v>
      </c>
      <c r="C403" s="26" t="s">
        <v>19</v>
      </c>
      <c r="D403" s="26" t="s">
        <v>56</v>
      </c>
      <c r="E403" s="26" t="s">
        <v>146</v>
      </c>
      <c r="F403" s="26"/>
      <c r="G403" s="27" t="s">
        <v>15</v>
      </c>
      <c r="H403" s="28">
        <v>634</v>
      </c>
      <c r="I403" s="28">
        <v>35</v>
      </c>
      <c r="J403" s="28">
        <v>22</v>
      </c>
      <c r="K403" s="28">
        <v>13</v>
      </c>
      <c r="L403" s="28">
        <v>599</v>
      </c>
      <c r="M403" s="28">
        <v>759</v>
      </c>
      <c r="N403" s="28">
        <v>473</v>
      </c>
      <c r="O403" s="28">
        <v>293</v>
      </c>
      <c r="P403" s="28">
        <v>180</v>
      </c>
      <c r="Q403" s="28">
        <v>286</v>
      </c>
      <c r="R403" s="29">
        <v>5.5205047</v>
      </c>
      <c r="S403" s="29">
        <v>3.4700315000000002</v>
      </c>
      <c r="T403" s="29">
        <v>2.0504731999999999</v>
      </c>
      <c r="U403" s="29">
        <v>94.479495299999996</v>
      </c>
      <c r="V403" s="29">
        <v>62.318840600000001</v>
      </c>
      <c r="W403" s="29">
        <v>38.603425600000001</v>
      </c>
      <c r="X403" s="29">
        <v>23.715415</v>
      </c>
      <c r="Y403" s="29">
        <v>37.681159399999999</v>
      </c>
    </row>
    <row r="404" spans="2:25" ht="15" hidden="1" customHeight="1">
      <c r="B404" s="25">
        <v>399</v>
      </c>
      <c r="C404" s="26" t="s">
        <v>19</v>
      </c>
      <c r="D404" s="26" t="s">
        <v>56</v>
      </c>
      <c r="E404" s="26" t="s">
        <v>146</v>
      </c>
      <c r="F404" s="26"/>
      <c r="G404" s="27" t="s">
        <v>16</v>
      </c>
      <c r="H404" s="28">
        <v>3898</v>
      </c>
      <c r="I404" s="28">
        <v>689</v>
      </c>
      <c r="J404" s="28">
        <v>442</v>
      </c>
      <c r="K404" s="28">
        <v>247</v>
      </c>
      <c r="L404" s="28">
        <v>3209</v>
      </c>
      <c r="M404" s="28">
        <v>5919</v>
      </c>
      <c r="N404" s="28">
        <v>2720</v>
      </c>
      <c r="O404" s="28">
        <v>2217</v>
      </c>
      <c r="P404" s="28">
        <v>503</v>
      </c>
      <c r="Q404" s="28">
        <v>3199</v>
      </c>
      <c r="R404" s="29">
        <v>17.6757311</v>
      </c>
      <c r="S404" s="29">
        <v>11.3391483</v>
      </c>
      <c r="T404" s="29">
        <v>6.3365828999999998</v>
      </c>
      <c r="U404" s="29">
        <v>82.324268900000007</v>
      </c>
      <c r="V404" s="29">
        <v>45.953708399999996</v>
      </c>
      <c r="W404" s="29">
        <v>37.4556513</v>
      </c>
      <c r="X404" s="29">
        <v>8.4980571000000005</v>
      </c>
      <c r="Y404" s="29">
        <v>54.046291600000004</v>
      </c>
    </row>
    <row r="405" spans="2:25" ht="15" customHeight="1">
      <c r="B405" s="30">
        <v>400</v>
      </c>
      <c r="C405" s="31" t="s">
        <v>21</v>
      </c>
      <c r="D405" s="36" t="s">
        <v>56</v>
      </c>
      <c r="E405" s="36" t="s">
        <v>146</v>
      </c>
      <c r="F405" s="36" t="s">
        <v>147</v>
      </c>
      <c r="G405" s="37" t="s">
        <v>147</v>
      </c>
      <c r="H405" s="32">
        <v>3550</v>
      </c>
      <c r="I405" s="32">
        <v>495</v>
      </c>
      <c r="J405" s="32">
        <v>333</v>
      </c>
      <c r="K405" s="32">
        <v>162</v>
      </c>
      <c r="L405" s="32">
        <v>3055</v>
      </c>
      <c r="M405" s="32">
        <v>5022</v>
      </c>
      <c r="N405" s="32">
        <v>2301</v>
      </c>
      <c r="O405" s="32">
        <v>1872</v>
      </c>
      <c r="P405" s="32">
        <v>429</v>
      </c>
      <c r="Q405" s="32">
        <v>2721</v>
      </c>
      <c r="R405" s="33">
        <v>13.943662</v>
      </c>
      <c r="S405" s="33">
        <v>9.3802816999999994</v>
      </c>
      <c r="T405" s="33">
        <v>4.5633803000000004</v>
      </c>
      <c r="U405" s="33">
        <v>86.056337999999997</v>
      </c>
      <c r="V405" s="33">
        <v>45.818398999999999</v>
      </c>
      <c r="W405" s="33">
        <v>37.2759857</v>
      </c>
      <c r="X405" s="33">
        <v>8.5424133999999992</v>
      </c>
      <c r="Y405" s="33">
        <v>54.181601000000001</v>
      </c>
    </row>
    <row r="406" spans="2:25" ht="15" hidden="1" customHeight="1">
      <c r="B406" s="25">
        <v>401</v>
      </c>
      <c r="C406" s="26" t="s">
        <v>21</v>
      </c>
      <c r="D406" s="26" t="s">
        <v>56</v>
      </c>
      <c r="E406" s="26" t="s">
        <v>146</v>
      </c>
      <c r="F406" s="26" t="s">
        <v>147</v>
      </c>
      <c r="G406" s="27" t="s">
        <v>15</v>
      </c>
      <c r="H406" s="28">
        <v>634</v>
      </c>
      <c r="I406" s="28">
        <v>35</v>
      </c>
      <c r="J406" s="28">
        <v>22</v>
      </c>
      <c r="K406" s="28">
        <v>13</v>
      </c>
      <c r="L406" s="28">
        <v>599</v>
      </c>
      <c r="M406" s="28">
        <v>759</v>
      </c>
      <c r="N406" s="28">
        <v>473</v>
      </c>
      <c r="O406" s="28">
        <v>293</v>
      </c>
      <c r="P406" s="28">
        <v>180</v>
      </c>
      <c r="Q406" s="28">
        <v>286</v>
      </c>
      <c r="R406" s="29">
        <v>5.5205047</v>
      </c>
      <c r="S406" s="29">
        <v>3.4700315000000002</v>
      </c>
      <c r="T406" s="29">
        <v>2.0504731999999999</v>
      </c>
      <c r="U406" s="29">
        <v>94.479495299999996</v>
      </c>
      <c r="V406" s="29">
        <v>62.318840600000001</v>
      </c>
      <c r="W406" s="29">
        <v>38.603425600000001</v>
      </c>
      <c r="X406" s="29">
        <v>23.715415</v>
      </c>
      <c r="Y406" s="29">
        <v>37.681159399999999</v>
      </c>
    </row>
    <row r="407" spans="2:25" ht="15" hidden="1" customHeight="1">
      <c r="B407" s="25">
        <v>402</v>
      </c>
      <c r="C407" s="26" t="s">
        <v>21</v>
      </c>
      <c r="D407" s="26" t="s">
        <v>56</v>
      </c>
      <c r="E407" s="26" t="s">
        <v>146</v>
      </c>
      <c r="F407" s="26" t="s">
        <v>147</v>
      </c>
      <c r="G407" s="27" t="s">
        <v>16</v>
      </c>
      <c r="H407" s="28">
        <v>2916</v>
      </c>
      <c r="I407" s="28">
        <v>460</v>
      </c>
      <c r="J407" s="28">
        <v>311</v>
      </c>
      <c r="K407" s="28">
        <v>149</v>
      </c>
      <c r="L407" s="28">
        <v>2456</v>
      </c>
      <c r="M407" s="28">
        <v>4263</v>
      </c>
      <c r="N407" s="28">
        <v>1828</v>
      </c>
      <c r="O407" s="28">
        <v>1579</v>
      </c>
      <c r="P407" s="28">
        <v>249</v>
      </c>
      <c r="Q407" s="28">
        <v>2435</v>
      </c>
      <c r="R407" s="29">
        <v>15.7750343</v>
      </c>
      <c r="S407" s="29">
        <v>10.665294899999999</v>
      </c>
      <c r="T407" s="29">
        <v>5.1097393999999996</v>
      </c>
      <c r="U407" s="29">
        <v>84.224965699999998</v>
      </c>
      <c r="V407" s="29">
        <v>42.8806005</v>
      </c>
      <c r="W407" s="29">
        <v>37.039643400000003</v>
      </c>
      <c r="X407" s="29">
        <v>5.8409570999999998</v>
      </c>
      <c r="Y407" s="29">
        <v>57.1193995</v>
      </c>
    </row>
    <row r="408" spans="2:25" ht="15" customHeight="1">
      <c r="B408" s="30">
        <v>403</v>
      </c>
      <c r="C408" s="31" t="s">
        <v>21</v>
      </c>
      <c r="D408" s="36" t="s">
        <v>56</v>
      </c>
      <c r="E408" s="36" t="s">
        <v>146</v>
      </c>
      <c r="F408" s="36" t="s">
        <v>148</v>
      </c>
      <c r="G408" s="37" t="s">
        <v>148</v>
      </c>
      <c r="H408" s="32">
        <v>982</v>
      </c>
      <c r="I408" s="32">
        <v>229</v>
      </c>
      <c r="J408" s="32">
        <v>131</v>
      </c>
      <c r="K408" s="32">
        <v>98</v>
      </c>
      <c r="L408" s="32">
        <v>753</v>
      </c>
      <c r="M408" s="32">
        <v>1656</v>
      </c>
      <c r="N408" s="32">
        <v>892</v>
      </c>
      <c r="O408" s="32">
        <v>638</v>
      </c>
      <c r="P408" s="32">
        <v>254</v>
      </c>
      <c r="Q408" s="32">
        <v>764</v>
      </c>
      <c r="R408" s="33">
        <v>23.319755600000001</v>
      </c>
      <c r="S408" s="33">
        <v>13.3401222</v>
      </c>
      <c r="T408" s="33">
        <v>9.9796334000000009</v>
      </c>
      <c r="U408" s="33">
        <v>76.680244400000007</v>
      </c>
      <c r="V408" s="33">
        <v>53.864734300000002</v>
      </c>
      <c r="W408" s="33">
        <v>38.52657</v>
      </c>
      <c r="X408" s="33">
        <v>15.338164300000001</v>
      </c>
      <c r="Y408" s="33">
        <v>46.135265699999998</v>
      </c>
    </row>
    <row r="409" spans="2:25" ht="15" hidden="1" customHeight="1">
      <c r="B409" s="25">
        <v>404</v>
      </c>
      <c r="C409" s="26" t="s">
        <v>21</v>
      </c>
      <c r="D409" s="26" t="s">
        <v>56</v>
      </c>
      <c r="E409" s="26" t="s">
        <v>146</v>
      </c>
      <c r="F409" s="26" t="s">
        <v>148</v>
      </c>
      <c r="G409" s="27" t="s">
        <v>15</v>
      </c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9"/>
      <c r="S409" s="29"/>
      <c r="T409" s="29"/>
      <c r="U409" s="29"/>
      <c r="V409" s="29"/>
      <c r="W409" s="29"/>
      <c r="X409" s="29"/>
      <c r="Y409" s="29"/>
    </row>
    <row r="410" spans="2:25" ht="15" hidden="1" customHeight="1">
      <c r="B410" s="25">
        <v>405</v>
      </c>
      <c r="C410" s="26" t="s">
        <v>21</v>
      </c>
      <c r="D410" s="26" t="s">
        <v>56</v>
      </c>
      <c r="E410" s="26" t="s">
        <v>146</v>
      </c>
      <c r="F410" s="26" t="s">
        <v>148</v>
      </c>
      <c r="G410" s="27" t="s">
        <v>16</v>
      </c>
      <c r="H410" s="28">
        <v>982</v>
      </c>
      <c r="I410" s="28">
        <v>229</v>
      </c>
      <c r="J410" s="28">
        <v>131</v>
      </c>
      <c r="K410" s="28">
        <v>98</v>
      </c>
      <c r="L410" s="28">
        <v>753</v>
      </c>
      <c r="M410" s="28">
        <v>1656</v>
      </c>
      <c r="N410" s="28">
        <v>892</v>
      </c>
      <c r="O410" s="28">
        <v>638</v>
      </c>
      <c r="P410" s="28">
        <v>254</v>
      </c>
      <c r="Q410" s="28">
        <v>764</v>
      </c>
      <c r="R410" s="29">
        <v>23.319755600000001</v>
      </c>
      <c r="S410" s="29">
        <v>13.3401222</v>
      </c>
      <c r="T410" s="29">
        <v>9.9796334000000009</v>
      </c>
      <c r="U410" s="29">
        <v>76.680244400000007</v>
      </c>
      <c r="V410" s="29">
        <v>53.864734300000002</v>
      </c>
      <c r="W410" s="29">
        <v>38.52657</v>
      </c>
      <c r="X410" s="29">
        <v>15.338164300000001</v>
      </c>
      <c r="Y410" s="29">
        <v>46.135265699999998</v>
      </c>
    </row>
    <row r="411" spans="2:25" ht="15" hidden="1" customHeight="1">
      <c r="B411" s="21">
        <v>406</v>
      </c>
      <c r="C411" s="22" t="s">
        <v>19</v>
      </c>
      <c r="D411" s="35" t="s">
        <v>56</v>
      </c>
      <c r="E411" s="35" t="s">
        <v>149</v>
      </c>
      <c r="F411" s="35"/>
      <c r="G411" s="22" t="s">
        <v>149</v>
      </c>
      <c r="H411" s="23">
        <v>8906</v>
      </c>
      <c r="I411" s="23">
        <v>3699</v>
      </c>
      <c r="J411" s="23">
        <v>1981</v>
      </c>
      <c r="K411" s="23">
        <v>1718</v>
      </c>
      <c r="L411" s="23">
        <v>5207</v>
      </c>
      <c r="M411" s="23">
        <v>11922</v>
      </c>
      <c r="N411" s="23">
        <v>6808</v>
      </c>
      <c r="O411" s="23">
        <v>6054</v>
      </c>
      <c r="P411" s="23">
        <v>754</v>
      </c>
      <c r="Q411" s="23">
        <v>5114</v>
      </c>
      <c r="R411" s="24">
        <v>41.533797399999997</v>
      </c>
      <c r="S411" s="24">
        <v>22.243431399999999</v>
      </c>
      <c r="T411" s="24">
        <v>19.290365999999999</v>
      </c>
      <c r="U411" s="24">
        <v>58.466202600000003</v>
      </c>
      <c r="V411" s="24">
        <v>57.104512700000001</v>
      </c>
      <c r="W411" s="24">
        <v>50.780070500000001</v>
      </c>
      <c r="X411" s="24">
        <v>6.3244422</v>
      </c>
      <c r="Y411" s="24">
        <v>42.895487299999999</v>
      </c>
    </row>
    <row r="412" spans="2:25" ht="15" hidden="1" customHeight="1">
      <c r="B412" s="25">
        <v>407</v>
      </c>
      <c r="C412" s="26" t="s">
        <v>19</v>
      </c>
      <c r="D412" s="26" t="s">
        <v>56</v>
      </c>
      <c r="E412" s="26" t="s">
        <v>149</v>
      </c>
      <c r="F412" s="26"/>
      <c r="G412" s="27" t="s">
        <v>15</v>
      </c>
      <c r="H412" s="28">
        <v>2539</v>
      </c>
      <c r="I412" s="28">
        <v>1483</v>
      </c>
      <c r="J412" s="28">
        <v>771</v>
      </c>
      <c r="K412" s="28">
        <v>712</v>
      </c>
      <c r="L412" s="28">
        <v>1056</v>
      </c>
      <c r="M412" s="28">
        <v>2973</v>
      </c>
      <c r="N412" s="28">
        <v>2183</v>
      </c>
      <c r="O412" s="28">
        <v>2005</v>
      </c>
      <c r="P412" s="28">
        <v>178</v>
      </c>
      <c r="Q412" s="28">
        <v>790</v>
      </c>
      <c r="R412" s="29">
        <v>58.408822399999998</v>
      </c>
      <c r="S412" s="29">
        <v>30.366285900000001</v>
      </c>
      <c r="T412" s="29">
        <v>28.042536399999999</v>
      </c>
      <c r="U412" s="29">
        <v>41.591177600000002</v>
      </c>
      <c r="V412" s="29">
        <v>73.427514299999999</v>
      </c>
      <c r="W412" s="29">
        <v>67.440296000000004</v>
      </c>
      <c r="X412" s="29">
        <v>5.9872183000000003</v>
      </c>
      <c r="Y412" s="29">
        <v>26.572485700000001</v>
      </c>
    </row>
    <row r="413" spans="2:25" ht="15" hidden="1" customHeight="1">
      <c r="B413" s="25">
        <v>408</v>
      </c>
      <c r="C413" s="26" t="s">
        <v>19</v>
      </c>
      <c r="D413" s="26" t="s">
        <v>56</v>
      </c>
      <c r="E413" s="26" t="s">
        <v>149</v>
      </c>
      <c r="F413" s="26"/>
      <c r="G413" s="27" t="s">
        <v>16</v>
      </c>
      <c r="H413" s="28">
        <v>6367</v>
      </c>
      <c r="I413" s="28">
        <v>2216</v>
      </c>
      <c r="J413" s="28">
        <v>1210</v>
      </c>
      <c r="K413" s="28">
        <v>1006</v>
      </c>
      <c r="L413" s="28">
        <v>4151</v>
      </c>
      <c r="M413" s="28">
        <v>8949</v>
      </c>
      <c r="N413" s="28">
        <v>4625</v>
      </c>
      <c r="O413" s="28">
        <v>4049</v>
      </c>
      <c r="P413" s="28">
        <v>576</v>
      </c>
      <c r="Q413" s="28">
        <v>4324</v>
      </c>
      <c r="R413" s="29">
        <v>34.804460499999998</v>
      </c>
      <c r="S413" s="29">
        <v>19.004240599999999</v>
      </c>
      <c r="T413" s="29">
        <v>15.8002199</v>
      </c>
      <c r="U413" s="29">
        <v>65.195539499999995</v>
      </c>
      <c r="V413" s="29">
        <v>51.681752199999998</v>
      </c>
      <c r="W413" s="29">
        <v>45.245278800000001</v>
      </c>
      <c r="X413" s="29">
        <v>6.4364733000000003</v>
      </c>
      <c r="Y413" s="29">
        <v>48.318247800000002</v>
      </c>
    </row>
    <row r="414" spans="2:25" ht="15" customHeight="1">
      <c r="B414" s="30">
        <v>409</v>
      </c>
      <c r="C414" s="31" t="s">
        <v>21</v>
      </c>
      <c r="D414" s="36" t="s">
        <v>56</v>
      </c>
      <c r="E414" s="36" t="s">
        <v>149</v>
      </c>
      <c r="F414" s="36" t="s">
        <v>150</v>
      </c>
      <c r="G414" s="37" t="s">
        <v>150</v>
      </c>
      <c r="H414" s="32">
        <v>5144</v>
      </c>
      <c r="I414" s="32">
        <v>3010</v>
      </c>
      <c r="J414" s="32">
        <v>1590</v>
      </c>
      <c r="K414" s="32">
        <v>1420</v>
      </c>
      <c r="L414" s="32">
        <v>2134</v>
      </c>
      <c r="M414" s="32">
        <v>6817</v>
      </c>
      <c r="N414" s="32">
        <v>4566</v>
      </c>
      <c r="O414" s="32">
        <v>4182</v>
      </c>
      <c r="P414" s="32">
        <v>384</v>
      </c>
      <c r="Q414" s="32">
        <v>2251</v>
      </c>
      <c r="R414" s="33">
        <v>58.514774500000001</v>
      </c>
      <c r="S414" s="33">
        <v>30.9097978</v>
      </c>
      <c r="T414" s="33">
        <v>27.604976700000002</v>
      </c>
      <c r="U414" s="33">
        <v>41.485225499999999</v>
      </c>
      <c r="V414" s="33">
        <v>66.979609800000006</v>
      </c>
      <c r="W414" s="33">
        <v>61.346633400000002</v>
      </c>
      <c r="X414" s="33">
        <v>5.6329764000000004</v>
      </c>
      <c r="Y414" s="33">
        <v>33.020390200000001</v>
      </c>
    </row>
    <row r="415" spans="2:25" ht="15" hidden="1" customHeight="1">
      <c r="B415" s="25">
        <v>410</v>
      </c>
      <c r="C415" s="26" t="s">
        <v>21</v>
      </c>
      <c r="D415" s="26" t="s">
        <v>56</v>
      </c>
      <c r="E415" s="26" t="s">
        <v>149</v>
      </c>
      <c r="F415" s="26" t="s">
        <v>150</v>
      </c>
      <c r="G415" s="27" t="s">
        <v>15</v>
      </c>
      <c r="H415" s="28">
        <v>1923</v>
      </c>
      <c r="I415" s="28">
        <v>1397</v>
      </c>
      <c r="J415" s="28">
        <v>729</v>
      </c>
      <c r="K415" s="28">
        <v>668</v>
      </c>
      <c r="L415" s="28">
        <v>526</v>
      </c>
      <c r="M415" s="28">
        <v>2502</v>
      </c>
      <c r="N415" s="28">
        <v>2006</v>
      </c>
      <c r="O415" s="28">
        <v>1855</v>
      </c>
      <c r="P415" s="28">
        <v>151</v>
      </c>
      <c r="Q415" s="28">
        <v>496</v>
      </c>
      <c r="R415" s="29">
        <v>72.646905899999993</v>
      </c>
      <c r="S415" s="29">
        <v>37.909516400000001</v>
      </c>
      <c r="T415" s="29">
        <v>34.737389499999999</v>
      </c>
      <c r="U415" s="29">
        <v>27.3530941</v>
      </c>
      <c r="V415" s="29">
        <v>80.175859299999999</v>
      </c>
      <c r="W415" s="29">
        <v>74.140687499999999</v>
      </c>
      <c r="X415" s="29">
        <v>6.0351718999999999</v>
      </c>
      <c r="Y415" s="29">
        <v>19.824140700000001</v>
      </c>
    </row>
    <row r="416" spans="2:25" ht="15" hidden="1" customHeight="1">
      <c r="B416" s="25">
        <v>411</v>
      </c>
      <c r="C416" s="26" t="s">
        <v>21</v>
      </c>
      <c r="D416" s="26" t="s">
        <v>56</v>
      </c>
      <c r="E416" s="26" t="s">
        <v>149</v>
      </c>
      <c r="F416" s="26" t="s">
        <v>150</v>
      </c>
      <c r="G416" s="27" t="s">
        <v>16</v>
      </c>
      <c r="H416" s="28">
        <v>3221</v>
      </c>
      <c r="I416" s="28">
        <v>1613</v>
      </c>
      <c r="J416" s="28">
        <v>861</v>
      </c>
      <c r="K416" s="28">
        <v>752</v>
      </c>
      <c r="L416" s="28">
        <v>1608</v>
      </c>
      <c r="M416" s="28">
        <v>4315</v>
      </c>
      <c r="N416" s="28">
        <v>2560</v>
      </c>
      <c r="O416" s="28">
        <v>2327</v>
      </c>
      <c r="P416" s="28">
        <v>233</v>
      </c>
      <c r="Q416" s="28">
        <v>1755</v>
      </c>
      <c r="R416" s="29">
        <v>50.077615600000001</v>
      </c>
      <c r="S416" s="29">
        <v>26.730828899999999</v>
      </c>
      <c r="T416" s="29">
        <v>23.346786699999999</v>
      </c>
      <c r="U416" s="29">
        <v>49.922384399999999</v>
      </c>
      <c r="V416" s="29">
        <v>59.327925800000003</v>
      </c>
      <c r="W416" s="29">
        <v>53.928157599999999</v>
      </c>
      <c r="X416" s="29">
        <v>5.3997682999999999</v>
      </c>
      <c r="Y416" s="29">
        <v>40.672074199999997</v>
      </c>
    </row>
    <row r="417" spans="2:25" ht="15" customHeight="1">
      <c r="B417" s="30">
        <v>412</v>
      </c>
      <c r="C417" s="31" t="s">
        <v>21</v>
      </c>
      <c r="D417" s="36" t="s">
        <v>56</v>
      </c>
      <c r="E417" s="36" t="s">
        <v>149</v>
      </c>
      <c r="F417" s="36" t="s">
        <v>151</v>
      </c>
      <c r="G417" s="37" t="s">
        <v>151</v>
      </c>
      <c r="H417" s="32">
        <v>2467</v>
      </c>
      <c r="I417" s="32">
        <v>491</v>
      </c>
      <c r="J417" s="32">
        <v>291</v>
      </c>
      <c r="K417" s="32">
        <v>200</v>
      </c>
      <c r="L417" s="32">
        <v>1976</v>
      </c>
      <c r="M417" s="32">
        <v>3631</v>
      </c>
      <c r="N417" s="32">
        <v>1749</v>
      </c>
      <c r="O417" s="32">
        <v>1451</v>
      </c>
      <c r="P417" s="32">
        <v>298</v>
      </c>
      <c r="Q417" s="32">
        <v>1882</v>
      </c>
      <c r="R417" s="33">
        <v>19.902715799999999</v>
      </c>
      <c r="S417" s="33">
        <v>11.7957033</v>
      </c>
      <c r="T417" s="33">
        <v>8.1070125999999991</v>
      </c>
      <c r="U417" s="33">
        <v>80.097284200000004</v>
      </c>
      <c r="V417" s="33">
        <v>48.168548600000001</v>
      </c>
      <c r="W417" s="33">
        <v>39.961443099999997</v>
      </c>
      <c r="X417" s="33">
        <v>8.2071055000000008</v>
      </c>
      <c r="Y417" s="33">
        <v>51.831451399999999</v>
      </c>
    </row>
    <row r="418" spans="2:25" ht="15" hidden="1" customHeight="1">
      <c r="B418" s="25">
        <v>413</v>
      </c>
      <c r="C418" s="26" t="s">
        <v>21</v>
      </c>
      <c r="D418" s="26" t="s">
        <v>56</v>
      </c>
      <c r="E418" s="26" t="s">
        <v>149</v>
      </c>
      <c r="F418" s="26" t="s">
        <v>151</v>
      </c>
      <c r="G418" s="27" t="s">
        <v>15</v>
      </c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9"/>
      <c r="S418" s="29"/>
      <c r="T418" s="29"/>
      <c r="U418" s="29"/>
      <c r="V418" s="29"/>
      <c r="W418" s="29"/>
      <c r="X418" s="29"/>
      <c r="Y418" s="29"/>
    </row>
    <row r="419" spans="2:25" ht="15" hidden="1" customHeight="1">
      <c r="B419" s="25">
        <v>414</v>
      </c>
      <c r="C419" s="26" t="s">
        <v>21</v>
      </c>
      <c r="D419" s="26" t="s">
        <v>56</v>
      </c>
      <c r="E419" s="26" t="s">
        <v>149</v>
      </c>
      <c r="F419" s="26" t="s">
        <v>151</v>
      </c>
      <c r="G419" s="27" t="s">
        <v>16</v>
      </c>
      <c r="H419" s="28">
        <v>2467</v>
      </c>
      <c r="I419" s="28">
        <v>491</v>
      </c>
      <c r="J419" s="28">
        <v>291</v>
      </c>
      <c r="K419" s="28">
        <v>200</v>
      </c>
      <c r="L419" s="28">
        <v>1976</v>
      </c>
      <c r="M419" s="28">
        <v>3631</v>
      </c>
      <c r="N419" s="28">
        <v>1749</v>
      </c>
      <c r="O419" s="28">
        <v>1451</v>
      </c>
      <c r="P419" s="28">
        <v>298</v>
      </c>
      <c r="Q419" s="28">
        <v>1882</v>
      </c>
      <c r="R419" s="29">
        <v>19.902715799999999</v>
      </c>
      <c r="S419" s="29">
        <v>11.7957033</v>
      </c>
      <c r="T419" s="29">
        <v>8.1070125999999991</v>
      </c>
      <c r="U419" s="29">
        <v>80.097284200000004</v>
      </c>
      <c r="V419" s="29">
        <v>48.168548600000001</v>
      </c>
      <c r="W419" s="29">
        <v>39.961443099999997</v>
      </c>
      <c r="X419" s="29">
        <v>8.2071055000000008</v>
      </c>
      <c r="Y419" s="29">
        <v>51.831451399999999</v>
      </c>
    </row>
    <row r="420" spans="2:25" ht="15" customHeight="1">
      <c r="B420" s="30">
        <v>415</v>
      </c>
      <c r="C420" s="31" t="s">
        <v>21</v>
      </c>
      <c r="D420" s="36" t="s">
        <v>56</v>
      </c>
      <c r="E420" s="36" t="s">
        <v>149</v>
      </c>
      <c r="F420" s="36" t="s">
        <v>152</v>
      </c>
      <c r="G420" s="37" t="s">
        <v>152</v>
      </c>
      <c r="H420" s="32">
        <v>1295</v>
      </c>
      <c r="I420" s="32">
        <v>198</v>
      </c>
      <c r="J420" s="32">
        <v>100</v>
      </c>
      <c r="K420" s="32">
        <v>98</v>
      </c>
      <c r="L420" s="32">
        <v>1097</v>
      </c>
      <c r="M420" s="32">
        <v>1474</v>
      </c>
      <c r="N420" s="32">
        <v>493</v>
      </c>
      <c r="O420" s="32">
        <v>421</v>
      </c>
      <c r="P420" s="32">
        <v>72</v>
      </c>
      <c r="Q420" s="32">
        <v>981</v>
      </c>
      <c r="R420" s="33">
        <v>15.289575299999999</v>
      </c>
      <c r="S420" s="33">
        <v>7.7220076999999998</v>
      </c>
      <c r="T420" s="33">
        <v>7.5675676000000003</v>
      </c>
      <c r="U420" s="33">
        <v>84.710424700000004</v>
      </c>
      <c r="V420" s="33">
        <v>33.446404299999998</v>
      </c>
      <c r="W420" s="33">
        <v>28.561736799999998</v>
      </c>
      <c r="X420" s="33">
        <v>4.8846676000000002</v>
      </c>
      <c r="Y420" s="33">
        <v>66.553595700000002</v>
      </c>
    </row>
    <row r="421" spans="2:25" ht="15" hidden="1" customHeight="1">
      <c r="B421" s="25">
        <v>416</v>
      </c>
      <c r="C421" s="26" t="s">
        <v>21</v>
      </c>
      <c r="D421" s="26" t="s">
        <v>56</v>
      </c>
      <c r="E421" s="26" t="s">
        <v>149</v>
      </c>
      <c r="F421" s="26" t="s">
        <v>152</v>
      </c>
      <c r="G421" s="27" t="s">
        <v>15</v>
      </c>
      <c r="H421" s="28">
        <v>616</v>
      </c>
      <c r="I421" s="28">
        <v>86</v>
      </c>
      <c r="J421" s="28">
        <v>42</v>
      </c>
      <c r="K421" s="28">
        <v>44</v>
      </c>
      <c r="L421" s="28">
        <v>530</v>
      </c>
      <c r="M421" s="28">
        <v>471</v>
      </c>
      <c r="N421" s="28">
        <v>177</v>
      </c>
      <c r="O421" s="28">
        <v>150</v>
      </c>
      <c r="P421" s="28">
        <v>27</v>
      </c>
      <c r="Q421" s="28">
        <v>294</v>
      </c>
      <c r="R421" s="29">
        <v>13.961039</v>
      </c>
      <c r="S421" s="29">
        <v>6.8181817999999996</v>
      </c>
      <c r="T421" s="29">
        <v>7.1428570999999996</v>
      </c>
      <c r="U421" s="29">
        <v>86.038961</v>
      </c>
      <c r="V421" s="29">
        <v>37.579617800000001</v>
      </c>
      <c r="W421" s="29">
        <v>31.847133800000002</v>
      </c>
      <c r="X421" s="29">
        <v>5.7324840999999997</v>
      </c>
      <c r="Y421" s="29">
        <v>62.420382199999999</v>
      </c>
    </row>
    <row r="422" spans="2:25" ht="15" hidden="1" customHeight="1">
      <c r="B422" s="25">
        <v>417</v>
      </c>
      <c r="C422" s="26" t="s">
        <v>21</v>
      </c>
      <c r="D422" s="26" t="s">
        <v>56</v>
      </c>
      <c r="E422" s="26" t="s">
        <v>149</v>
      </c>
      <c r="F422" s="26" t="s">
        <v>152</v>
      </c>
      <c r="G422" s="27" t="s">
        <v>16</v>
      </c>
      <c r="H422" s="28">
        <v>679</v>
      </c>
      <c r="I422" s="28">
        <v>112</v>
      </c>
      <c r="J422" s="28">
        <v>58</v>
      </c>
      <c r="K422" s="28">
        <v>54</v>
      </c>
      <c r="L422" s="28">
        <v>567</v>
      </c>
      <c r="M422" s="28">
        <v>1003</v>
      </c>
      <c r="N422" s="28">
        <v>316</v>
      </c>
      <c r="O422" s="28">
        <v>271</v>
      </c>
      <c r="P422" s="28">
        <v>45</v>
      </c>
      <c r="Q422" s="28">
        <v>687</v>
      </c>
      <c r="R422" s="29">
        <v>16.494845399999999</v>
      </c>
      <c r="S422" s="29">
        <v>8.5419734999999992</v>
      </c>
      <c r="T422" s="29">
        <v>7.9528718999999999</v>
      </c>
      <c r="U422" s="29">
        <v>83.505154599999997</v>
      </c>
      <c r="V422" s="29">
        <v>31.5054835</v>
      </c>
      <c r="W422" s="29">
        <v>27.018943199999999</v>
      </c>
      <c r="X422" s="29">
        <v>4.4865404</v>
      </c>
      <c r="Y422" s="29">
        <v>68.494516500000003</v>
      </c>
    </row>
    <row r="423" spans="2:25" ht="15" hidden="1" customHeight="1">
      <c r="B423" s="21">
        <v>418</v>
      </c>
      <c r="C423" s="22" t="s">
        <v>19</v>
      </c>
      <c r="D423" s="35" t="s">
        <v>56</v>
      </c>
      <c r="E423" s="35" t="s">
        <v>153</v>
      </c>
      <c r="F423" s="35"/>
      <c r="G423" s="22" t="s">
        <v>153</v>
      </c>
      <c r="H423" s="23">
        <v>6026</v>
      </c>
      <c r="I423" s="23">
        <v>1569</v>
      </c>
      <c r="J423" s="23">
        <v>508</v>
      </c>
      <c r="K423" s="23">
        <v>1061</v>
      </c>
      <c r="L423" s="23">
        <v>4457</v>
      </c>
      <c r="M423" s="23">
        <v>7253</v>
      </c>
      <c r="N423" s="23">
        <v>3038</v>
      </c>
      <c r="O423" s="23">
        <v>2461</v>
      </c>
      <c r="P423" s="23">
        <v>577</v>
      </c>
      <c r="Q423" s="23">
        <v>4215</v>
      </c>
      <c r="R423" s="24">
        <v>26.037172300000002</v>
      </c>
      <c r="S423" s="24">
        <v>8.4301361000000004</v>
      </c>
      <c r="T423" s="24">
        <v>17.6070362</v>
      </c>
      <c r="U423" s="24">
        <v>73.962827700000005</v>
      </c>
      <c r="V423" s="24">
        <v>41.886116100000002</v>
      </c>
      <c r="W423" s="24">
        <v>33.930787299999999</v>
      </c>
      <c r="X423" s="24">
        <v>7.9553288000000002</v>
      </c>
      <c r="Y423" s="24">
        <v>58.113883899999998</v>
      </c>
    </row>
    <row r="424" spans="2:25" ht="15" hidden="1" customHeight="1">
      <c r="B424" s="25">
        <v>419</v>
      </c>
      <c r="C424" s="26" t="s">
        <v>19</v>
      </c>
      <c r="D424" s="26" t="s">
        <v>56</v>
      </c>
      <c r="E424" s="26" t="s">
        <v>153</v>
      </c>
      <c r="F424" s="26"/>
      <c r="G424" s="27" t="s">
        <v>15</v>
      </c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9"/>
      <c r="S424" s="29"/>
      <c r="T424" s="29"/>
      <c r="U424" s="29"/>
      <c r="V424" s="29"/>
      <c r="W424" s="29"/>
      <c r="X424" s="29"/>
      <c r="Y424" s="29"/>
    </row>
    <row r="425" spans="2:25" ht="15" hidden="1" customHeight="1">
      <c r="B425" s="25">
        <v>420</v>
      </c>
      <c r="C425" s="26" t="s">
        <v>19</v>
      </c>
      <c r="D425" s="26" t="s">
        <v>56</v>
      </c>
      <c r="E425" s="26" t="s">
        <v>153</v>
      </c>
      <c r="F425" s="26"/>
      <c r="G425" s="27" t="s">
        <v>16</v>
      </c>
      <c r="H425" s="28">
        <v>6026</v>
      </c>
      <c r="I425" s="28">
        <v>1569</v>
      </c>
      <c r="J425" s="28">
        <v>508</v>
      </c>
      <c r="K425" s="28">
        <v>1061</v>
      </c>
      <c r="L425" s="28">
        <v>4457</v>
      </c>
      <c r="M425" s="28">
        <v>7253</v>
      </c>
      <c r="N425" s="28">
        <v>3038</v>
      </c>
      <c r="O425" s="28">
        <v>2461</v>
      </c>
      <c r="P425" s="28">
        <v>577</v>
      </c>
      <c r="Q425" s="28">
        <v>4215</v>
      </c>
      <c r="R425" s="29">
        <v>26.037172300000002</v>
      </c>
      <c r="S425" s="29">
        <v>8.4301361000000004</v>
      </c>
      <c r="T425" s="29">
        <v>17.6070362</v>
      </c>
      <c r="U425" s="29">
        <v>73.962827700000005</v>
      </c>
      <c r="V425" s="29">
        <v>41.886116100000002</v>
      </c>
      <c r="W425" s="29">
        <v>33.930787299999999</v>
      </c>
      <c r="X425" s="29">
        <v>7.9553288000000002</v>
      </c>
      <c r="Y425" s="29">
        <v>58.113883899999998</v>
      </c>
    </row>
    <row r="426" spans="2:25" ht="15" customHeight="1">
      <c r="B426" s="30">
        <v>421</v>
      </c>
      <c r="C426" s="31" t="s">
        <v>21</v>
      </c>
      <c r="D426" s="36" t="s">
        <v>56</v>
      </c>
      <c r="E426" s="36" t="s">
        <v>153</v>
      </c>
      <c r="F426" s="36" t="s">
        <v>154</v>
      </c>
      <c r="G426" s="37" t="s">
        <v>154</v>
      </c>
      <c r="H426" s="32">
        <v>2828</v>
      </c>
      <c r="I426" s="32">
        <v>444</v>
      </c>
      <c r="J426" s="32">
        <v>213</v>
      </c>
      <c r="K426" s="32">
        <v>231</v>
      </c>
      <c r="L426" s="32">
        <v>2384</v>
      </c>
      <c r="M426" s="32">
        <v>3484</v>
      </c>
      <c r="N426" s="32">
        <v>1254</v>
      </c>
      <c r="O426" s="32">
        <v>1007</v>
      </c>
      <c r="P426" s="32">
        <v>247</v>
      </c>
      <c r="Q426" s="32">
        <v>2230</v>
      </c>
      <c r="R426" s="33">
        <v>15.7001414</v>
      </c>
      <c r="S426" s="33">
        <v>7.5318246000000002</v>
      </c>
      <c r="T426" s="33">
        <v>8.1683167999999995</v>
      </c>
      <c r="U426" s="33">
        <v>84.299858599999993</v>
      </c>
      <c r="V426" s="33">
        <v>35.993111399999997</v>
      </c>
      <c r="W426" s="33">
        <v>28.903559099999999</v>
      </c>
      <c r="X426" s="33">
        <v>7.0895522</v>
      </c>
      <c r="Y426" s="33">
        <v>64.006888599999996</v>
      </c>
    </row>
    <row r="427" spans="2:25" ht="15" hidden="1" customHeight="1">
      <c r="B427" s="25">
        <v>422</v>
      </c>
      <c r="C427" s="26" t="s">
        <v>21</v>
      </c>
      <c r="D427" s="26" t="s">
        <v>56</v>
      </c>
      <c r="E427" s="26" t="s">
        <v>153</v>
      </c>
      <c r="F427" s="26" t="s">
        <v>154</v>
      </c>
      <c r="G427" s="27" t="s">
        <v>15</v>
      </c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9"/>
      <c r="S427" s="29"/>
      <c r="T427" s="29"/>
      <c r="U427" s="29"/>
      <c r="V427" s="29"/>
      <c r="W427" s="29"/>
      <c r="X427" s="29"/>
      <c r="Y427" s="29"/>
    </row>
    <row r="428" spans="2:25" ht="15" hidden="1" customHeight="1">
      <c r="B428" s="25">
        <v>423</v>
      </c>
      <c r="C428" s="26" t="s">
        <v>21</v>
      </c>
      <c r="D428" s="26" t="s">
        <v>56</v>
      </c>
      <c r="E428" s="26" t="s">
        <v>153</v>
      </c>
      <c r="F428" s="26" t="s">
        <v>154</v>
      </c>
      <c r="G428" s="27" t="s">
        <v>16</v>
      </c>
      <c r="H428" s="28">
        <v>2828</v>
      </c>
      <c r="I428" s="28">
        <v>444</v>
      </c>
      <c r="J428" s="28">
        <v>213</v>
      </c>
      <c r="K428" s="28">
        <v>231</v>
      </c>
      <c r="L428" s="28">
        <v>2384</v>
      </c>
      <c r="M428" s="28">
        <v>3484</v>
      </c>
      <c r="N428" s="28">
        <v>1254</v>
      </c>
      <c r="O428" s="28">
        <v>1007</v>
      </c>
      <c r="P428" s="28">
        <v>247</v>
      </c>
      <c r="Q428" s="28">
        <v>2230</v>
      </c>
      <c r="R428" s="29">
        <v>15.7001414</v>
      </c>
      <c r="S428" s="29">
        <v>7.5318246000000002</v>
      </c>
      <c r="T428" s="29">
        <v>8.1683167999999995</v>
      </c>
      <c r="U428" s="29">
        <v>84.299858599999993</v>
      </c>
      <c r="V428" s="29">
        <v>35.993111399999997</v>
      </c>
      <c r="W428" s="29">
        <v>28.903559099999999</v>
      </c>
      <c r="X428" s="29">
        <v>7.0895522</v>
      </c>
      <c r="Y428" s="29">
        <v>64.006888599999996</v>
      </c>
    </row>
    <row r="429" spans="2:25" ht="15" customHeight="1">
      <c r="B429" s="30">
        <v>424</v>
      </c>
      <c r="C429" s="31" t="s">
        <v>21</v>
      </c>
      <c r="D429" s="36" t="s">
        <v>56</v>
      </c>
      <c r="E429" s="36" t="s">
        <v>153</v>
      </c>
      <c r="F429" s="36" t="s">
        <v>155</v>
      </c>
      <c r="G429" s="37" t="s">
        <v>155</v>
      </c>
      <c r="H429" s="32">
        <v>2429</v>
      </c>
      <c r="I429" s="32">
        <v>1090</v>
      </c>
      <c r="J429" s="32">
        <v>276</v>
      </c>
      <c r="K429" s="32">
        <v>814</v>
      </c>
      <c r="L429" s="32">
        <v>1339</v>
      </c>
      <c r="M429" s="32">
        <v>2888</v>
      </c>
      <c r="N429" s="32">
        <v>1617</v>
      </c>
      <c r="O429" s="32">
        <v>1341</v>
      </c>
      <c r="P429" s="32">
        <v>276</v>
      </c>
      <c r="Q429" s="32">
        <v>1271</v>
      </c>
      <c r="R429" s="33">
        <v>44.8744339</v>
      </c>
      <c r="S429" s="33">
        <v>11.3627007</v>
      </c>
      <c r="T429" s="33">
        <v>33.511733200000002</v>
      </c>
      <c r="U429" s="33">
        <v>55.1255661</v>
      </c>
      <c r="V429" s="33">
        <v>55.990304700000003</v>
      </c>
      <c r="W429" s="33">
        <v>46.433517999999999</v>
      </c>
      <c r="X429" s="33">
        <v>9.5567867</v>
      </c>
      <c r="Y429" s="33">
        <v>44.009695299999997</v>
      </c>
    </row>
    <row r="430" spans="2:25" ht="15" hidden="1" customHeight="1">
      <c r="B430" s="25">
        <v>425</v>
      </c>
      <c r="C430" s="26" t="s">
        <v>21</v>
      </c>
      <c r="D430" s="26" t="s">
        <v>56</v>
      </c>
      <c r="E430" s="26" t="s">
        <v>153</v>
      </c>
      <c r="F430" s="26" t="s">
        <v>155</v>
      </c>
      <c r="G430" s="27" t="s">
        <v>15</v>
      </c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9"/>
      <c r="S430" s="29"/>
      <c r="T430" s="29"/>
      <c r="U430" s="29"/>
      <c r="V430" s="29"/>
      <c r="W430" s="29"/>
      <c r="X430" s="29"/>
      <c r="Y430" s="29"/>
    </row>
    <row r="431" spans="2:25" ht="15" hidden="1" customHeight="1">
      <c r="B431" s="25">
        <v>426</v>
      </c>
      <c r="C431" s="26" t="s">
        <v>21</v>
      </c>
      <c r="D431" s="26" t="s">
        <v>56</v>
      </c>
      <c r="E431" s="26" t="s">
        <v>153</v>
      </c>
      <c r="F431" s="26" t="s">
        <v>155</v>
      </c>
      <c r="G431" s="27" t="s">
        <v>16</v>
      </c>
      <c r="H431" s="28">
        <v>2429</v>
      </c>
      <c r="I431" s="28">
        <v>1090</v>
      </c>
      <c r="J431" s="28">
        <v>276</v>
      </c>
      <c r="K431" s="28">
        <v>814</v>
      </c>
      <c r="L431" s="28">
        <v>1339</v>
      </c>
      <c r="M431" s="28">
        <v>2888</v>
      </c>
      <c r="N431" s="28">
        <v>1617</v>
      </c>
      <c r="O431" s="28">
        <v>1341</v>
      </c>
      <c r="P431" s="28">
        <v>276</v>
      </c>
      <c r="Q431" s="28">
        <v>1271</v>
      </c>
      <c r="R431" s="29">
        <v>44.8744339</v>
      </c>
      <c r="S431" s="29">
        <v>11.3627007</v>
      </c>
      <c r="T431" s="29">
        <v>33.511733200000002</v>
      </c>
      <c r="U431" s="29">
        <v>55.1255661</v>
      </c>
      <c r="V431" s="29">
        <v>55.990304700000003</v>
      </c>
      <c r="W431" s="29">
        <v>46.433517999999999</v>
      </c>
      <c r="X431" s="29">
        <v>9.5567867</v>
      </c>
      <c r="Y431" s="29">
        <v>44.009695299999997</v>
      </c>
    </row>
    <row r="432" spans="2:25" ht="15" customHeight="1">
      <c r="B432" s="30">
        <v>427</v>
      </c>
      <c r="C432" s="31" t="s">
        <v>21</v>
      </c>
      <c r="D432" s="36" t="s">
        <v>56</v>
      </c>
      <c r="E432" s="36" t="s">
        <v>153</v>
      </c>
      <c r="F432" s="36" t="s">
        <v>156</v>
      </c>
      <c r="G432" s="37" t="s">
        <v>156</v>
      </c>
      <c r="H432" s="32">
        <v>769</v>
      </c>
      <c r="I432" s="32">
        <v>35</v>
      </c>
      <c r="J432" s="32">
        <v>19</v>
      </c>
      <c r="K432" s="32">
        <v>16</v>
      </c>
      <c r="L432" s="32">
        <v>734</v>
      </c>
      <c r="M432" s="32">
        <v>881</v>
      </c>
      <c r="N432" s="32">
        <v>167</v>
      </c>
      <c r="O432" s="32">
        <v>113</v>
      </c>
      <c r="P432" s="32">
        <v>54</v>
      </c>
      <c r="Q432" s="32">
        <v>714</v>
      </c>
      <c r="R432" s="33">
        <v>4.5513653999999999</v>
      </c>
      <c r="S432" s="33">
        <v>2.4707412</v>
      </c>
      <c r="T432" s="33">
        <v>2.0806241999999999</v>
      </c>
      <c r="U432" s="33">
        <v>95.448634600000005</v>
      </c>
      <c r="V432" s="33">
        <v>18.955732099999999</v>
      </c>
      <c r="W432" s="33">
        <v>12.826333699999999</v>
      </c>
      <c r="X432" s="33">
        <v>6.1293984000000004</v>
      </c>
      <c r="Y432" s="33">
        <v>81.044267899999994</v>
      </c>
    </row>
    <row r="433" spans="2:25" ht="15" hidden="1" customHeight="1">
      <c r="B433" s="25">
        <v>428</v>
      </c>
      <c r="C433" s="26" t="s">
        <v>21</v>
      </c>
      <c r="D433" s="26" t="s">
        <v>56</v>
      </c>
      <c r="E433" s="26" t="s">
        <v>153</v>
      </c>
      <c r="F433" s="26" t="s">
        <v>156</v>
      </c>
      <c r="G433" s="27" t="s">
        <v>15</v>
      </c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9"/>
      <c r="S433" s="29"/>
      <c r="T433" s="29"/>
      <c r="U433" s="29"/>
      <c r="V433" s="29"/>
      <c r="W433" s="29"/>
      <c r="X433" s="29"/>
      <c r="Y433" s="29"/>
    </row>
    <row r="434" spans="2:25" ht="15" hidden="1" customHeight="1">
      <c r="B434" s="25">
        <v>429</v>
      </c>
      <c r="C434" s="26" t="s">
        <v>21</v>
      </c>
      <c r="D434" s="26" t="s">
        <v>56</v>
      </c>
      <c r="E434" s="26" t="s">
        <v>153</v>
      </c>
      <c r="F434" s="26" t="s">
        <v>156</v>
      </c>
      <c r="G434" s="27" t="s">
        <v>16</v>
      </c>
      <c r="H434" s="28">
        <v>769</v>
      </c>
      <c r="I434" s="28">
        <v>35</v>
      </c>
      <c r="J434" s="28">
        <v>19</v>
      </c>
      <c r="K434" s="28">
        <v>16</v>
      </c>
      <c r="L434" s="28">
        <v>734</v>
      </c>
      <c r="M434" s="28">
        <v>881</v>
      </c>
      <c r="N434" s="28">
        <v>167</v>
      </c>
      <c r="O434" s="28">
        <v>113</v>
      </c>
      <c r="P434" s="28">
        <v>54</v>
      </c>
      <c r="Q434" s="28">
        <v>714</v>
      </c>
      <c r="R434" s="29">
        <v>4.5513653999999999</v>
      </c>
      <c r="S434" s="29">
        <v>2.4707412</v>
      </c>
      <c r="T434" s="29">
        <v>2.0806241999999999</v>
      </c>
      <c r="U434" s="29">
        <v>95.448634600000005</v>
      </c>
      <c r="V434" s="29">
        <v>18.955732099999999</v>
      </c>
      <c r="W434" s="29">
        <v>12.826333699999999</v>
      </c>
      <c r="X434" s="29">
        <v>6.1293984000000004</v>
      </c>
      <c r="Y434" s="29">
        <v>81.044267899999994</v>
      </c>
    </row>
    <row r="435" spans="2:25" ht="15" hidden="1" customHeight="1">
      <c r="B435" s="21">
        <v>430</v>
      </c>
      <c r="C435" s="22" t="s">
        <v>19</v>
      </c>
      <c r="D435" s="35" t="s">
        <v>56</v>
      </c>
      <c r="E435" s="35" t="s">
        <v>157</v>
      </c>
      <c r="F435" s="35"/>
      <c r="G435" s="22" t="s">
        <v>157</v>
      </c>
      <c r="H435" s="23">
        <v>2566</v>
      </c>
      <c r="I435" s="23">
        <v>1495</v>
      </c>
      <c r="J435" s="23">
        <v>453</v>
      </c>
      <c r="K435" s="23">
        <v>1042</v>
      </c>
      <c r="L435" s="23">
        <v>1071</v>
      </c>
      <c r="M435" s="23">
        <v>4651</v>
      </c>
      <c r="N435" s="23">
        <v>3085</v>
      </c>
      <c r="O435" s="23">
        <v>2196</v>
      </c>
      <c r="P435" s="23">
        <v>889</v>
      </c>
      <c r="Q435" s="23">
        <v>1566</v>
      </c>
      <c r="R435" s="24">
        <v>58.261886199999999</v>
      </c>
      <c r="S435" s="24">
        <v>17.653936099999999</v>
      </c>
      <c r="T435" s="24">
        <v>40.607950099999996</v>
      </c>
      <c r="U435" s="24">
        <v>41.738113800000001</v>
      </c>
      <c r="V435" s="24">
        <v>66.329821499999994</v>
      </c>
      <c r="W435" s="24">
        <v>47.215652499999997</v>
      </c>
      <c r="X435" s="24">
        <v>19.114169</v>
      </c>
      <c r="Y435" s="24">
        <v>33.670178499999999</v>
      </c>
    </row>
    <row r="436" spans="2:25" ht="15" hidden="1" customHeight="1">
      <c r="B436" s="25">
        <v>431</v>
      </c>
      <c r="C436" s="26" t="s">
        <v>19</v>
      </c>
      <c r="D436" s="26" t="s">
        <v>56</v>
      </c>
      <c r="E436" s="26" t="s">
        <v>157</v>
      </c>
      <c r="F436" s="26"/>
      <c r="G436" s="27" t="s">
        <v>15</v>
      </c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9"/>
      <c r="S436" s="29"/>
      <c r="T436" s="29"/>
      <c r="U436" s="29"/>
      <c r="V436" s="29"/>
      <c r="W436" s="29"/>
      <c r="X436" s="29"/>
      <c r="Y436" s="29"/>
    </row>
    <row r="437" spans="2:25" ht="15" hidden="1" customHeight="1">
      <c r="B437" s="25">
        <v>432</v>
      </c>
      <c r="C437" s="26" t="s">
        <v>19</v>
      </c>
      <c r="D437" s="26" t="s">
        <v>56</v>
      </c>
      <c r="E437" s="26" t="s">
        <v>157</v>
      </c>
      <c r="F437" s="26"/>
      <c r="G437" s="27" t="s">
        <v>16</v>
      </c>
      <c r="H437" s="28">
        <v>2566</v>
      </c>
      <c r="I437" s="28">
        <v>1495</v>
      </c>
      <c r="J437" s="28">
        <v>453</v>
      </c>
      <c r="K437" s="28">
        <v>1042</v>
      </c>
      <c r="L437" s="28">
        <v>1071</v>
      </c>
      <c r="M437" s="28">
        <v>4651</v>
      </c>
      <c r="N437" s="28">
        <v>3085</v>
      </c>
      <c r="O437" s="28">
        <v>2196</v>
      </c>
      <c r="P437" s="28">
        <v>889</v>
      </c>
      <c r="Q437" s="28">
        <v>1566</v>
      </c>
      <c r="R437" s="29">
        <v>58.261886199999999</v>
      </c>
      <c r="S437" s="29">
        <v>17.653936099999999</v>
      </c>
      <c r="T437" s="29">
        <v>40.607950099999996</v>
      </c>
      <c r="U437" s="29">
        <v>41.738113800000001</v>
      </c>
      <c r="V437" s="29">
        <v>66.329821499999994</v>
      </c>
      <c r="W437" s="29">
        <v>47.215652499999997</v>
      </c>
      <c r="X437" s="29">
        <v>19.114169</v>
      </c>
      <c r="Y437" s="29">
        <v>33.670178499999999</v>
      </c>
    </row>
    <row r="438" spans="2:25" ht="15" customHeight="1">
      <c r="B438" s="30">
        <v>433</v>
      </c>
      <c r="C438" s="31" t="s">
        <v>21</v>
      </c>
      <c r="D438" s="36" t="s">
        <v>56</v>
      </c>
      <c r="E438" s="36" t="s">
        <v>157</v>
      </c>
      <c r="F438" s="36" t="s">
        <v>158</v>
      </c>
      <c r="G438" s="37" t="s">
        <v>158</v>
      </c>
      <c r="H438" s="32">
        <v>1830</v>
      </c>
      <c r="I438" s="32">
        <v>1080</v>
      </c>
      <c r="J438" s="32">
        <v>333</v>
      </c>
      <c r="K438" s="32">
        <v>747</v>
      </c>
      <c r="L438" s="32">
        <v>750</v>
      </c>
      <c r="M438" s="32">
        <v>2956</v>
      </c>
      <c r="N438" s="32">
        <v>1881</v>
      </c>
      <c r="O438" s="32">
        <v>1480</v>
      </c>
      <c r="P438" s="32">
        <v>401</v>
      </c>
      <c r="Q438" s="32">
        <v>1075</v>
      </c>
      <c r="R438" s="33">
        <v>59.016393399999998</v>
      </c>
      <c r="S438" s="33">
        <v>18.1967213</v>
      </c>
      <c r="T438" s="33">
        <v>40.819672099999998</v>
      </c>
      <c r="U438" s="33">
        <v>40.983606600000002</v>
      </c>
      <c r="V438" s="33">
        <v>63.633288200000003</v>
      </c>
      <c r="W438" s="33">
        <v>50.067658999999999</v>
      </c>
      <c r="X438" s="33">
        <v>13.5656292</v>
      </c>
      <c r="Y438" s="33">
        <v>36.366711799999997</v>
      </c>
    </row>
    <row r="439" spans="2:25" ht="15" hidden="1" customHeight="1">
      <c r="B439" s="25">
        <v>434</v>
      </c>
      <c r="C439" s="26" t="s">
        <v>21</v>
      </c>
      <c r="D439" s="26" t="s">
        <v>56</v>
      </c>
      <c r="E439" s="26" t="s">
        <v>157</v>
      </c>
      <c r="F439" s="26" t="s">
        <v>158</v>
      </c>
      <c r="G439" s="27" t="s">
        <v>15</v>
      </c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9"/>
      <c r="S439" s="29"/>
      <c r="T439" s="29"/>
      <c r="U439" s="29"/>
      <c r="V439" s="29"/>
      <c r="W439" s="29"/>
      <c r="X439" s="29"/>
      <c r="Y439" s="29"/>
    </row>
    <row r="440" spans="2:25" ht="15" hidden="1" customHeight="1">
      <c r="B440" s="25">
        <v>435</v>
      </c>
      <c r="C440" s="26" t="s">
        <v>21</v>
      </c>
      <c r="D440" s="26" t="s">
        <v>56</v>
      </c>
      <c r="E440" s="26" t="s">
        <v>157</v>
      </c>
      <c r="F440" s="26" t="s">
        <v>158</v>
      </c>
      <c r="G440" s="27" t="s">
        <v>16</v>
      </c>
      <c r="H440" s="28">
        <v>1830</v>
      </c>
      <c r="I440" s="28">
        <v>1080</v>
      </c>
      <c r="J440" s="28">
        <v>333</v>
      </c>
      <c r="K440" s="28">
        <v>747</v>
      </c>
      <c r="L440" s="28">
        <v>750</v>
      </c>
      <c r="M440" s="28">
        <v>2956</v>
      </c>
      <c r="N440" s="28">
        <v>1881</v>
      </c>
      <c r="O440" s="28">
        <v>1480</v>
      </c>
      <c r="P440" s="28">
        <v>401</v>
      </c>
      <c r="Q440" s="28">
        <v>1075</v>
      </c>
      <c r="R440" s="29">
        <v>59.016393399999998</v>
      </c>
      <c r="S440" s="29">
        <v>18.1967213</v>
      </c>
      <c r="T440" s="29">
        <v>40.819672099999998</v>
      </c>
      <c r="U440" s="29">
        <v>40.983606600000002</v>
      </c>
      <c r="V440" s="29">
        <v>63.633288200000003</v>
      </c>
      <c r="W440" s="29">
        <v>50.067658999999999</v>
      </c>
      <c r="X440" s="29">
        <v>13.5656292</v>
      </c>
      <c r="Y440" s="29">
        <v>36.366711799999997</v>
      </c>
    </row>
    <row r="441" spans="2:25" ht="15" customHeight="1">
      <c r="B441" s="30">
        <v>436</v>
      </c>
      <c r="C441" s="31" t="s">
        <v>21</v>
      </c>
      <c r="D441" s="36" t="s">
        <v>56</v>
      </c>
      <c r="E441" s="36" t="s">
        <v>157</v>
      </c>
      <c r="F441" s="36" t="s">
        <v>159</v>
      </c>
      <c r="G441" s="37" t="s">
        <v>159</v>
      </c>
      <c r="H441" s="32">
        <v>736</v>
      </c>
      <c r="I441" s="32">
        <v>415</v>
      </c>
      <c r="J441" s="32">
        <v>120</v>
      </c>
      <c r="K441" s="32">
        <v>295</v>
      </c>
      <c r="L441" s="32">
        <v>321</v>
      </c>
      <c r="M441" s="32">
        <v>1695</v>
      </c>
      <c r="N441" s="32">
        <v>1204</v>
      </c>
      <c r="O441" s="32">
        <v>716</v>
      </c>
      <c r="P441" s="32">
        <v>488</v>
      </c>
      <c r="Q441" s="32">
        <v>491</v>
      </c>
      <c r="R441" s="33">
        <v>56.385869599999999</v>
      </c>
      <c r="S441" s="33">
        <v>16.304347799999999</v>
      </c>
      <c r="T441" s="33">
        <v>40.081521700000003</v>
      </c>
      <c r="U441" s="33">
        <v>43.614130400000001</v>
      </c>
      <c r="V441" s="33">
        <v>71.032448400000007</v>
      </c>
      <c r="W441" s="33">
        <v>42.241887900000002</v>
      </c>
      <c r="X441" s="33">
        <v>28.790560500000002</v>
      </c>
      <c r="Y441" s="33">
        <v>28.9675516</v>
      </c>
    </row>
    <row r="442" spans="2:25" ht="15" hidden="1" customHeight="1">
      <c r="B442" s="25">
        <v>437</v>
      </c>
      <c r="C442" s="26" t="s">
        <v>21</v>
      </c>
      <c r="D442" s="26" t="s">
        <v>56</v>
      </c>
      <c r="E442" s="26" t="s">
        <v>157</v>
      </c>
      <c r="F442" s="26" t="s">
        <v>159</v>
      </c>
      <c r="G442" s="27" t="s">
        <v>15</v>
      </c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9"/>
      <c r="S442" s="29"/>
      <c r="T442" s="29"/>
      <c r="U442" s="29"/>
      <c r="V442" s="29"/>
      <c r="W442" s="29"/>
      <c r="X442" s="29"/>
      <c r="Y442" s="29"/>
    </row>
    <row r="443" spans="2:25" ht="15" hidden="1" customHeight="1">
      <c r="B443" s="25">
        <v>438</v>
      </c>
      <c r="C443" s="26" t="s">
        <v>21</v>
      </c>
      <c r="D443" s="26" t="s">
        <v>56</v>
      </c>
      <c r="E443" s="26" t="s">
        <v>157</v>
      </c>
      <c r="F443" s="26" t="s">
        <v>159</v>
      </c>
      <c r="G443" s="27" t="s">
        <v>16</v>
      </c>
      <c r="H443" s="28">
        <v>736</v>
      </c>
      <c r="I443" s="28">
        <v>415</v>
      </c>
      <c r="J443" s="28">
        <v>120</v>
      </c>
      <c r="K443" s="28">
        <v>295</v>
      </c>
      <c r="L443" s="28">
        <v>321</v>
      </c>
      <c r="M443" s="28">
        <v>1695</v>
      </c>
      <c r="N443" s="28">
        <v>1204</v>
      </c>
      <c r="O443" s="28">
        <v>716</v>
      </c>
      <c r="P443" s="28">
        <v>488</v>
      </c>
      <c r="Q443" s="28">
        <v>491</v>
      </c>
      <c r="R443" s="29">
        <v>56.385869599999999</v>
      </c>
      <c r="S443" s="29">
        <v>16.304347799999999</v>
      </c>
      <c r="T443" s="29">
        <v>40.081521700000003</v>
      </c>
      <c r="U443" s="29">
        <v>43.614130400000001</v>
      </c>
      <c r="V443" s="29">
        <v>71.032448400000007</v>
      </c>
      <c r="W443" s="29">
        <v>42.241887900000002</v>
      </c>
      <c r="X443" s="29">
        <v>28.790560500000002</v>
      </c>
      <c r="Y443" s="29">
        <v>28.9675516</v>
      </c>
    </row>
    <row r="444" spans="2:25" ht="15" hidden="1" customHeight="1">
      <c r="B444" s="21">
        <v>439</v>
      </c>
      <c r="C444" s="22" t="s">
        <v>19</v>
      </c>
      <c r="D444" s="35" t="s">
        <v>56</v>
      </c>
      <c r="E444" s="35" t="s">
        <v>160</v>
      </c>
      <c r="F444" s="35"/>
      <c r="G444" s="22" t="s">
        <v>160</v>
      </c>
      <c r="H444" s="23">
        <v>21231</v>
      </c>
      <c r="I444" s="23">
        <v>11958</v>
      </c>
      <c r="J444" s="23">
        <v>7202</v>
      </c>
      <c r="K444" s="23">
        <v>4756</v>
      </c>
      <c r="L444" s="23">
        <v>9273</v>
      </c>
      <c r="M444" s="23">
        <v>25572</v>
      </c>
      <c r="N444" s="23">
        <v>17665</v>
      </c>
      <c r="O444" s="23">
        <v>15297</v>
      </c>
      <c r="P444" s="23">
        <v>2368</v>
      </c>
      <c r="Q444" s="23">
        <v>7907</v>
      </c>
      <c r="R444" s="24">
        <v>56.323300799999998</v>
      </c>
      <c r="S444" s="24">
        <v>33.922094999999999</v>
      </c>
      <c r="T444" s="24">
        <v>22.4012058</v>
      </c>
      <c r="U444" s="24">
        <v>43.676699200000002</v>
      </c>
      <c r="V444" s="24">
        <v>69.079461899999998</v>
      </c>
      <c r="W444" s="24">
        <v>59.8193336</v>
      </c>
      <c r="X444" s="24">
        <v>9.2601282999999999</v>
      </c>
      <c r="Y444" s="24">
        <v>30.920538100000002</v>
      </c>
    </row>
    <row r="445" spans="2:25" ht="15" hidden="1" customHeight="1">
      <c r="B445" s="25">
        <v>440</v>
      </c>
      <c r="C445" s="26" t="s">
        <v>19</v>
      </c>
      <c r="D445" s="26" t="s">
        <v>56</v>
      </c>
      <c r="E445" s="26" t="s">
        <v>160</v>
      </c>
      <c r="F445" s="26"/>
      <c r="G445" s="27" t="s">
        <v>15</v>
      </c>
      <c r="H445" s="28">
        <v>4460</v>
      </c>
      <c r="I445" s="28">
        <v>3563</v>
      </c>
      <c r="J445" s="28">
        <v>1659</v>
      </c>
      <c r="K445" s="28">
        <v>1904</v>
      </c>
      <c r="L445" s="28">
        <v>897</v>
      </c>
      <c r="M445" s="28">
        <v>7802</v>
      </c>
      <c r="N445" s="28">
        <v>6635</v>
      </c>
      <c r="O445" s="28">
        <v>4839</v>
      </c>
      <c r="P445" s="28">
        <v>1796</v>
      </c>
      <c r="Q445" s="28">
        <v>1167</v>
      </c>
      <c r="R445" s="29">
        <v>79.887892399999998</v>
      </c>
      <c r="S445" s="29">
        <v>37.197309400000002</v>
      </c>
      <c r="T445" s="29">
        <v>42.690582999999997</v>
      </c>
      <c r="U445" s="29">
        <v>20.112107600000002</v>
      </c>
      <c r="V445" s="29">
        <v>85.042296800000003</v>
      </c>
      <c r="W445" s="29">
        <v>62.0225583</v>
      </c>
      <c r="X445" s="29">
        <v>23.019738499999999</v>
      </c>
      <c r="Y445" s="29">
        <v>14.957703199999999</v>
      </c>
    </row>
    <row r="446" spans="2:25" ht="15" hidden="1" customHeight="1">
      <c r="B446" s="25">
        <v>441</v>
      </c>
      <c r="C446" s="26" t="s">
        <v>19</v>
      </c>
      <c r="D446" s="26" t="s">
        <v>56</v>
      </c>
      <c r="E446" s="26" t="s">
        <v>160</v>
      </c>
      <c r="F446" s="26"/>
      <c r="G446" s="27" t="s">
        <v>16</v>
      </c>
      <c r="H446" s="28">
        <v>16771</v>
      </c>
      <c r="I446" s="28">
        <v>8395</v>
      </c>
      <c r="J446" s="28">
        <v>5543</v>
      </c>
      <c r="K446" s="28">
        <v>2852</v>
      </c>
      <c r="L446" s="28">
        <v>8376</v>
      </c>
      <c r="M446" s="28">
        <v>17770</v>
      </c>
      <c r="N446" s="28">
        <v>11030</v>
      </c>
      <c r="O446" s="28">
        <v>10458</v>
      </c>
      <c r="P446" s="28">
        <v>572</v>
      </c>
      <c r="Q446" s="28">
        <v>6740</v>
      </c>
      <c r="R446" s="29">
        <v>50.056645400000001</v>
      </c>
      <c r="S446" s="29">
        <v>33.051100099999999</v>
      </c>
      <c r="T446" s="29">
        <v>17.005545300000001</v>
      </c>
      <c r="U446" s="29">
        <v>49.943354599999999</v>
      </c>
      <c r="V446" s="29">
        <v>62.070906000000001</v>
      </c>
      <c r="W446" s="29">
        <v>58.851997699999998</v>
      </c>
      <c r="X446" s="29">
        <v>3.2189082999999998</v>
      </c>
      <c r="Y446" s="29">
        <v>37.929093999999999</v>
      </c>
    </row>
    <row r="447" spans="2:25" ht="15" customHeight="1">
      <c r="B447" s="30">
        <v>442</v>
      </c>
      <c r="C447" s="31" t="s">
        <v>21</v>
      </c>
      <c r="D447" s="36" t="s">
        <v>56</v>
      </c>
      <c r="E447" s="36" t="s">
        <v>160</v>
      </c>
      <c r="F447" s="36" t="s">
        <v>160</v>
      </c>
      <c r="G447" s="37" t="s">
        <v>160</v>
      </c>
      <c r="H447" s="32">
        <v>17021</v>
      </c>
      <c r="I447" s="32">
        <v>10278</v>
      </c>
      <c r="J447" s="32">
        <v>5905</v>
      </c>
      <c r="K447" s="32">
        <v>4373</v>
      </c>
      <c r="L447" s="32">
        <v>6743</v>
      </c>
      <c r="M447" s="32">
        <v>21081</v>
      </c>
      <c r="N447" s="32">
        <v>15199</v>
      </c>
      <c r="O447" s="32">
        <v>12977</v>
      </c>
      <c r="P447" s="32">
        <v>2222</v>
      </c>
      <c r="Q447" s="32">
        <v>5882</v>
      </c>
      <c r="R447" s="33">
        <v>60.384231200000002</v>
      </c>
      <c r="S447" s="33">
        <v>34.692438799999998</v>
      </c>
      <c r="T447" s="33">
        <v>25.691792499999998</v>
      </c>
      <c r="U447" s="33">
        <v>39.615768799999998</v>
      </c>
      <c r="V447" s="33">
        <v>72.098097800000005</v>
      </c>
      <c r="W447" s="33">
        <v>61.557800899999997</v>
      </c>
      <c r="X447" s="33">
        <v>10.5402969</v>
      </c>
      <c r="Y447" s="33">
        <v>27.901902199999999</v>
      </c>
    </row>
    <row r="448" spans="2:25" ht="15" hidden="1" customHeight="1">
      <c r="B448" s="25">
        <v>443</v>
      </c>
      <c r="C448" s="26" t="s">
        <v>21</v>
      </c>
      <c r="D448" s="26" t="s">
        <v>56</v>
      </c>
      <c r="E448" s="26" t="s">
        <v>160</v>
      </c>
      <c r="F448" s="26" t="s">
        <v>160</v>
      </c>
      <c r="G448" s="27" t="s">
        <v>15</v>
      </c>
      <c r="H448" s="28">
        <v>4460</v>
      </c>
      <c r="I448" s="28">
        <v>3563</v>
      </c>
      <c r="J448" s="28">
        <v>1659</v>
      </c>
      <c r="K448" s="28">
        <v>1904</v>
      </c>
      <c r="L448" s="28">
        <v>897</v>
      </c>
      <c r="M448" s="28">
        <v>7802</v>
      </c>
      <c r="N448" s="28">
        <v>6635</v>
      </c>
      <c r="O448" s="28">
        <v>4839</v>
      </c>
      <c r="P448" s="28">
        <v>1796</v>
      </c>
      <c r="Q448" s="28">
        <v>1167</v>
      </c>
      <c r="R448" s="29">
        <v>79.887892399999998</v>
      </c>
      <c r="S448" s="29">
        <v>37.197309400000002</v>
      </c>
      <c r="T448" s="29">
        <v>42.690582999999997</v>
      </c>
      <c r="U448" s="29">
        <v>20.112107600000002</v>
      </c>
      <c r="V448" s="29">
        <v>85.042296800000003</v>
      </c>
      <c r="W448" s="29">
        <v>62.0225583</v>
      </c>
      <c r="X448" s="29">
        <v>23.019738499999999</v>
      </c>
      <c r="Y448" s="29">
        <v>14.957703199999999</v>
      </c>
    </row>
    <row r="449" spans="2:25" ht="15" hidden="1" customHeight="1">
      <c r="B449" s="25">
        <v>444</v>
      </c>
      <c r="C449" s="26" t="s">
        <v>21</v>
      </c>
      <c r="D449" s="26" t="s">
        <v>56</v>
      </c>
      <c r="E449" s="26" t="s">
        <v>160</v>
      </c>
      <c r="F449" s="26" t="s">
        <v>160</v>
      </c>
      <c r="G449" s="27" t="s">
        <v>16</v>
      </c>
      <c r="H449" s="28">
        <v>12561</v>
      </c>
      <c r="I449" s="28">
        <v>6715</v>
      </c>
      <c r="J449" s="28">
        <v>4246</v>
      </c>
      <c r="K449" s="28">
        <v>2469</v>
      </c>
      <c r="L449" s="28">
        <v>5846</v>
      </c>
      <c r="M449" s="28">
        <v>13279</v>
      </c>
      <c r="N449" s="28">
        <v>8564</v>
      </c>
      <c r="O449" s="28">
        <v>8138</v>
      </c>
      <c r="P449" s="28">
        <v>426</v>
      </c>
      <c r="Q449" s="28">
        <v>4715</v>
      </c>
      <c r="R449" s="29">
        <v>53.4591195</v>
      </c>
      <c r="S449" s="29">
        <v>33.803041200000003</v>
      </c>
      <c r="T449" s="29">
        <v>19.656078300000001</v>
      </c>
      <c r="U449" s="29">
        <v>46.5408805</v>
      </c>
      <c r="V449" s="29">
        <v>64.492808199999999</v>
      </c>
      <c r="W449" s="29">
        <v>61.284735300000001</v>
      </c>
      <c r="X449" s="29">
        <v>3.2080728999999999</v>
      </c>
      <c r="Y449" s="29">
        <v>35.507191800000001</v>
      </c>
    </row>
    <row r="450" spans="2:25" ht="15" customHeight="1">
      <c r="B450" s="30">
        <v>445</v>
      </c>
      <c r="C450" s="31" t="s">
        <v>21</v>
      </c>
      <c r="D450" s="36" t="s">
        <v>56</v>
      </c>
      <c r="E450" s="36" t="s">
        <v>160</v>
      </c>
      <c r="F450" s="36" t="s">
        <v>161</v>
      </c>
      <c r="G450" s="37" t="s">
        <v>161</v>
      </c>
      <c r="H450" s="32">
        <v>4210</v>
      </c>
      <c r="I450" s="32">
        <v>1680</v>
      </c>
      <c r="J450" s="32">
        <v>1297</v>
      </c>
      <c r="K450" s="32">
        <v>383</v>
      </c>
      <c r="L450" s="32">
        <v>2530</v>
      </c>
      <c r="M450" s="32">
        <v>4491</v>
      </c>
      <c r="N450" s="32">
        <v>2466</v>
      </c>
      <c r="O450" s="32">
        <v>2320</v>
      </c>
      <c r="P450" s="32">
        <v>146</v>
      </c>
      <c r="Q450" s="32">
        <v>2025</v>
      </c>
      <c r="R450" s="33">
        <v>39.904988099999997</v>
      </c>
      <c r="S450" s="33">
        <v>30.807600999999998</v>
      </c>
      <c r="T450" s="33">
        <v>9.0973872</v>
      </c>
      <c r="U450" s="33">
        <v>60.095011900000003</v>
      </c>
      <c r="V450" s="33">
        <v>54.909819599999999</v>
      </c>
      <c r="W450" s="33">
        <v>51.658873300000003</v>
      </c>
      <c r="X450" s="33">
        <v>3.2509462999999998</v>
      </c>
      <c r="Y450" s="33">
        <v>45.090180400000001</v>
      </c>
    </row>
    <row r="451" spans="2:25" ht="15" hidden="1" customHeight="1">
      <c r="B451" s="25">
        <v>446</v>
      </c>
      <c r="C451" s="26" t="s">
        <v>21</v>
      </c>
      <c r="D451" s="26" t="s">
        <v>56</v>
      </c>
      <c r="E451" s="26" t="s">
        <v>160</v>
      </c>
      <c r="F451" s="26" t="s">
        <v>161</v>
      </c>
      <c r="G451" s="27" t="s">
        <v>15</v>
      </c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9"/>
      <c r="S451" s="29"/>
      <c r="T451" s="29"/>
      <c r="U451" s="29"/>
      <c r="V451" s="29"/>
      <c r="W451" s="29"/>
      <c r="X451" s="29"/>
      <c r="Y451" s="29"/>
    </row>
    <row r="452" spans="2:25" ht="15" hidden="1" customHeight="1">
      <c r="B452" s="25">
        <v>447</v>
      </c>
      <c r="C452" s="26" t="s">
        <v>21</v>
      </c>
      <c r="D452" s="26" t="s">
        <v>56</v>
      </c>
      <c r="E452" s="26" t="s">
        <v>160</v>
      </c>
      <c r="F452" s="26" t="s">
        <v>161</v>
      </c>
      <c r="G452" s="27" t="s">
        <v>16</v>
      </c>
      <c r="H452" s="28">
        <v>4210</v>
      </c>
      <c r="I452" s="28">
        <v>1680</v>
      </c>
      <c r="J452" s="28">
        <v>1297</v>
      </c>
      <c r="K452" s="28">
        <v>383</v>
      </c>
      <c r="L452" s="28">
        <v>2530</v>
      </c>
      <c r="M452" s="28">
        <v>4491</v>
      </c>
      <c r="N452" s="28">
        <v>2466</v>
      </c>
      <c r="O452" s="28">
        <v>2320</v>
      </c>
      <c r="P452" s="28">
        <v>146</v>
      </c>
      <c r="Q452" s="28">
        <v>2025</v>
      </c>
      <c r="R452" s="29">
        <v>39.904988099999997</v>
      </c>
      <c r="S452" s="29">
        <v>30.807600999999998</v>
      </c>
      <c r="T452" s="29">
        <v>9.0973872</v>
      </c>
      <c r="U452" s="29">
        <v>60.095011900000003</v>
      </c>
      <c r="V452" s="29">
        <v>54.909819599999999</v>
      </c>
      <c r="W452" s="29">
        <v>51.658873300000003</v>
      </c>
      <c r="X452" s="29">
        <v>3.2509462999999998</v>
      </c>
      <c r="Y452" s="29">
        <v>45.090180400000001</v>
      </c>
    </row>
    <row r="453" spans="2:25" ht="15" hidden="1" customHeight="1">
      <c r="B453" s="13">
        <v>448</v>
      </c>
      <c r="C453" s="14" t="s">
        <v>17</v>
      </c>
      <c r="D453" s="14" t="s">
        <v>162</v>
      </c>
      <c r="E453" s="14"/>
      <c r="F453" s="14"/>
      <c r="G453" s="14" t="s">
        <v>162</v>
      </c>
      <c r="H453" s="15">
        <v>516608</v>
      </c>
      <c r="I453" s="15">
        <v>362175</v>
      </c>
      <c r="J453" s="15">
        <v>228425</v>
      </c>
      <c r="K453" s="15">
        <v>133750</v>
      </c>
      <c r="L453" s="15">
        <v>154433</v>
      </c>
      <c r="M453" s="15">
        <v>675064</v>
      </c>
      <c r="N453" s="15">
        <v>535570</v>
      </c>
      <c r="O453" s="15">
        <v>463342</v>
      </c>
      <c r="P453" s="15">
        <v>72228</v>
      </c>
      <c r="Q453" s="15">
        <v>139494</v>
      </c>
      <c r="R453" s="16">
        <v>70.106347600000007</v>
      </c>
      <c r="S453" s="16">
        <v>44.216310999999997</v>
      </c>
      <c r="T453" s="16">
        <v>25.890036500000001</v>
      </c>
      <c r="U453" s="16">
        <v>29.893652400000001</v>
      </c>
      <c r="V453" s="16">
        <v>79.336181499999995</v>
      </c>
      <c r="W453" s="16">
        <v>68.636751500000003</v>
      </c>
      <c r="X453" s="16">
        <v>10.69943</v>
      </c>
      <c r="Y453" s="16">
        <v>20.663818500000001</v>
      </c>
    </row>
    <row r="454" spans="2:25" ht="15" hidden="1" customHeight="1">
      <c r="B454" s="17">
        <v>449</v>
      </c>
      <c r="C454" s="18" t="s">
        <v>17</v>
      </c>
      <c r="D454" s="34" t="s">
        <v>162</v>
      </c>
      <c r="E454" s="34"/>
      <c r="F454" s="34"/>
      <c r="G454" s="18" t="s">
        <v>15</v>
      </c>
      <c r="H454" s="19">
        <v>330051</v>
      </c>
      <c r="I454" s="19">
        <v>286619</v>
      </c>
      <c r="J454" s="19">
        <v>176398</v>
      </c>
      <c r="K454" s="19">
        <v>110221</v>
      </c>
      <c r="L454" s="19">
        <v>43432</v>
      </c>
      <c r="M454" s="19">
        <v>442960</v>
      </c>
      <c r="N454" s="19">
        <v>413211</v>
      </c>
      <c r="O454" s="19">
        <v>350126</v>
      </c>
      <c r="P454" s="19">
        <v>63085</v>
      </c>
      <c r="Q454" s="19">
        <v>29749</v>
      </c>
      <c r="R454" s="20">
        <v>86.840821599999998</v>
      </c>
      <c r="S454" s="20">
        <v>53.445679599999998</v>
      </c>
      <c r="T454" s="20">
        <v>33.395142</v>
      </c>
      <c r="U454" s="20">
        <v>13.1591784</v>
      </c>
      <c r="V454" s="20">
        <v>93.284043699999998</v>
      </c>
      <c r="W454" s="20">
        <v>79.042351499999995</v>
      </c>
      <c r="X454" s="20">
        <v>14.2416923</v>
      </c>
      <c r="Y454" s="20">
        <v>6.7159563000000002</v>
      </c>
    </row>
    <row r="455" spans="2:25" ht="15" hidden="1" customHeight="1">
      <c r="B455" s="17">
        <v>450</v>
      </c>
      <c r="C455" s="18" t="s">
        <v>17</v>
      </c>
      <c r="D455" s="34" t="s">
        <v>162</v>
      </c>
      <c r="E455" s="34"/>
      <c r="F455" s="34"/>
      <c r="G455" s="18" t="s">
        <v>16</v>
      </c>
      <c r="H455" s="19">
        <v>186557</v>
      </c>
      <c r="I455" s="19">
        <v>75556</v>
      </c>
      <c r="J455" s="19">
        <v>52027</v>
      </c>
      <c r="K455" s="19">
        <v>23529</v>
      </c>
      <c r="L455" s="19">
        <v>111001</v>
      </c>
      <c r="M455" s="19">
        <v>232104</v>
      </c>
      <c r="N455" s="19">
        <v>122359</v>
      </c>
      <c r="O455" s="19">
        <v>113216</v>
      </c>
      <c r="P455" s="19">
        <v>9143</v>
      </c>
      <c r="Q455" s="19">
        <v>109745</v>
      </c>
      <c r="R455" s="20">
        <v>40.5002225</v>
      </c>
      <c r="S455" s="20">
        <v>27.887991299999999</v>
      </c>
      <c r="T455" s="20">
        <v>12.612231100000001</v>
      </c>
      <c r="U455" s="20">
        <v>59.4997775</v>
      </c>
      <c r="V455" s="20">
        <v>52.717316400000001</v>
      </c>
      <c r="W455" s="20">
        <v>48.7781339</v>
      </c>
      <c r="X455" s="20">
        <v>3.9391824</v>
      </c>
      <c r="Y455" s="20">
        <v>47.282683599999999</v>
      </c>
    </row>
    <row r="456" spans="2:25" ht="15" hidden="1" customHeight="1">
      <c r="B456" s="21">
        <v>451</v>
      </c>
      <c r="C456" s="22" t="s">
        <v>19</v>
      </c>
      <c r="D456" s="35" t="s">
        <v>162</v>
      </c>
      <c r="E456" s="35" t="s">
        <v>163</v>
      </c>
      <c r="F456" s="35"/>
      <c r="G456" s="22" t="s">
        <v>163</v>
      </c>
      <c r="H456" s="23">
        <v>177376</v>
      </c>
      <c r="I456" s="23">
        <v>154254</v>
      </c>
      <c r="J456" s="23">
        <v>96122</v>
      </c>
      <c r="K456" s="23">
        <v>58132</v>
      </c>
      <c r="L456" s="23">
        <v>23122</v>
      </c>
      <c r="M456" s="23">
        <v>212273</v>
      </c>
      <c r="N456" s="23">
        <v>199894</v>
      </c>
      <c r="O456" s="23">
        <v>169593</v>
      </c>
      <c r="P456" s="23">
        <v>30301</v>
      </c>
      <c r="Q456" s="23">
        <v>12379</v>
      </c>
      <c r="R456" s="24">
        <v>86.964414599999998</v>
      </c>
      <c r="S456" s="24">
        <v>54.191096899999998</v>
      </c>
      <c r="T456" s="24">
        <v>32.7733177</v>
      </c>
      <c r="U456" s="24">
        <v>13.0355854</v>
      </c>
      <c r="V456" s="24">
        <v>94.168358699999999</v>
      </c>
      <c r="W456" s="24">
        <v>79.893816000000001</v>
      </c>
      <c r="X456" s="24">
        <v>14.2745427</v>
      </c>
      <c r="Y456" s="24">
        <v>5.8316413000000002</v>
      </c>
    </row>
    <row r="457" spans="2:25" ht="15" hidden="1" customHeight="1">
      <c r="B457" s="25">
        <v>452</v>
      </c>
      <c r="C457" s="26" t="s">
        <v>19</v>
      </c>
      <c r="D457" s="26" t="s">
        <v>162</v>
      </c>
      <c r="E457" s="26" t="s">
        <v>163</v>
      </c>
      <c r="F457" s="26"/>
      <c r="G457" s="27" t="s">
        <v>15</v>
      </c>
      <c r="H457" s="28">
        <v>177376</v>
      </c>
      <c r="I457" s="28">
        <v>154254</v>
      </c>
      <c r="J457" s="28">
        <v>96122</v>
      </c>
      <c r="K457" s="28">
        <v>58132</v>
      </c>
      <c r="L457" s="28">
        <v>23122</v>
      </c>
      <c r="M457" s="28">
        <v>212257</v>
      </c>
      <c r="N457" s="28">
        <v>199891</v>
      </c>
      <c r="O457" s="28">
        <v>169590</v>
      </c>
      <c r="P457" s="28">
        <v>30301</v>
      </c>
      <c r="Q457" s="28">
        <v>12366</v>
      </c>
      <c r="R457" s="29">
        <v>86.964414599999998</v>
      </c>
      <c r="S457" s="29">
        <v>54.191096899999998</v>
      </c>
      <c r="T457" s="29">
        <v>32.7733177</v>
      </c>
      <c r="U457" s="29">
        <v>13.0355854</v>
      </c>
      <c r="V457" s="29">
        <v>94.174043699999999</v>
      </c>
      <c r="W457" s="29">
        <v>79.898425000000003</v>
      </c>
      <c r="X457" s="29">
        <v>14.275618700000001</v>
      </c>
      <c r="Y457" s="29">
        <v>5.8259562999999996</v>
      </c>
    </row>
    <row r="458" spans="2:25" ht="15" hidden="1" customHeight="1">
      <c r="B458" s="25">
        <v>453</v>
      </c>
      <c r="C458" s="26" t="s">
        <v>19</v>
      </c>
      <c r="D458" s="26" t="s">
        <v>162</v>
      </c>
      <c r="E458" s="26" t="s">
        <v>163</v>
      </c>
      <c r="F458" s="26"/>
      <c r="G458" s="27" t="s">
        <v>16</v>
      </c>
      <c r="H458" s="28"/>
      <c r="I458" s="28"/>
      <c r="J458" s="28"/>
      <c r="K458" s="28"/>
      <c r="L458" s="28"/>
      <c r="M458" s="28">
        <v>16</v>
      </c>
      <c r="N458" s="28">
        <v>3</v>
      </c>
      <c r="O458" s="28">
        <v>3</v>
      </c>
      <c r="P458" s="28">
        <v>0</v>
      </c>
      <c r="Q458" s="28">
        <v>13</v>
      </c>
      <c r="R458" s="29"/>
      <c r="S458" s="29"/>
      <c r="T458" s="29"/>
      <c r="U458" s="29"/>
      <c r="V458" s="29">
        <v>18.75</v>
      </c>
      <c r="W458" s="29">
        <v>18.75</v>
      </c>
      <c r="X458" s="29">
        <v>0</v>
      </c>
      <c r="Y458" s="29">
        <v>81.25</v>
      </c>
    </row>
    <row r="459" spans="2:25" ht="15" customHeight="1">
      <c r="B459" s="30">
        <v>454</v>
      </c>
      <c r="C459" s="31" t="s">
        <v>21</v>
      </c>
      <c r="D459" s="36" t="s">
        <v>162</v>
      </c>
      <c r="E459" s="36" t="s">
        <v>163</v>
      </c>
      <c r="F459" s="36" t="s">
        <v>162</v>
      </c>
      <c r="G459" s="37" t="s">
        <v>162</v>
      </c>
      <c r="H459" s="32">
        <v>177376</v>
      </c>
      <c r="I459" s="32">
        <v>154254</v>
      </c>
      <c r="J459" s="32">
        <v>96122</v>
      </c>
      <c r="K459" s="32">
        <v>58132</v>
      </c>
      <c r="L459" s="32">
        <v>23122</v>
      </c>
      <c r="M459" s="32">
        <v>212273</v>
      </c>
      <c r="N459" s="32">
        <v>199894</v>
      </c>
      <c r="O459" s="32">
        <v>169593</v>
      </c>
      <c r="P459" s="32">
        <v>30301</v>
      </c>
      <c r="Q459" s="32">
        <v>12379</v>
      </c>
      <c r="R459" s="33">
        <v>86.964414599999998</v>
      </c>
      <c r="S459" s="33">
        <v>54.191096899999998</v>
      </c>
      <c r="T459" s="33">
        <v>32.7733177</v>
      </c>
      <c r="U459" s="33">
        <v>13.0355854</v>
      </c>
      <c r="V459" s="33">
        <v>94.168358699999999</v>
      </c>
      <c r="W459" s="33">
        <v>79.893816000000001</v>
      </c>
      <c r="X459" s="33">
        <v>14.2745427</v>
      </c>
      <c r="Y459" s="33">
        <v>5.8316413000000002</v>
      </c>
    </row>
    <row r="460" spans="2:25" ht="15" hidden="1" customHeight="1">
      <c r="B460" s="25">
        <v>455</v>
      </c>
      <c r="C460" s="26" t="s">
        <v>21</v>
      </c>
      <c r="D460" s="26" t="s">
        <v>162</v>
      </c>
      <c r="E460" s="26" t="s">
        <v>163</v>
      </c>
      <c r="F460" s="26" t="s">
        <v>162</v>
      </c>
      <c r="G460" s="27" t="s">
        <v>15</v>
      </c>
      <c r="H460" s="28">
        <v>177376</v>
      </c>
      <c r="I460" s="28">
        <v>154254</v>
      </c>
      <c r="J460" s="28">
        <v>96122</v>
      </c>
      <c r="K460" s="28">
        <v>58132</v>
      </c>
      <c r="L460" s="28">
        <v>23122</v>
      </c>
      <c r="M460" s="28">
        <v>212257</v>
      </c>
      <c r="N460" s="28">
        <v>199891</v>
      </c>
      <c r="O460" s="28">
        <v>169590</v>
      </c>
      <c r="P460" s="28">
        <v>30301</v>
      </c>
      <c r="Q460" s="28">
        <v>12366</v>
      </c>
      <c r="R460" s="29">
        <v>86.964414599999998</v>
      </c>
      <c r="S460" s="29">
        <v>54.191096899999998</v>
      </c>
      <c r="T460" s="29">
        <v>32.7733177</v>
      </c>
      <c r="U460" s="29">
        <v>13.0355854</v>
      </c>
      <c r="V460" s="29">
        <v>94.174043699999999</v>
      </c>
      <c r="W460" s="29">
        <v>79.898425000000003</v>
      </c>
      <c r="X460" s="29">
        <v>14.275618700000001</v>
      </c>
      <c r="Y460" s="29">
        <v>5.8259562999999996</v>
      </c>
    </row>
    <row r="461" spans="2:25" ht="15" hidden="1" customHeight="1">
      <c r="B461" s="25">
        <v>456</v>
      </c>
      <c r="C461" s="26" t="s">
        <v>21</v>
      </c>
      <c r="D461" s="26" t="s">
        <v>162</v>
      </c>
      <c r="E461" s="26" t="s">
        <v>163</v>
      </c>
      <c r="F461" s="26" t="s">
        <v>162</v>
      </c>
      <c r="G461" s="27" t="s">
        <v>16</v>
      </c>
      <c r="H461" s="28"/>
      <c r="I461" s="28"/>
      <c r="J461" s="28"/>
      <c r="K461" s="28"/>
      <c r="L461" s="28"/>
      <c r="M461" s="28">
        <v>16</v>
      </c>
      <c r="N461" s="28">
        <v>3</v>
      </c>
      <c r="O461" s="28">
        <v>3</v>
      </c>
      <c r="P461" s="28">
        <v>0</v>
      </c>
      <c r="Q461" s="28">
        <v>13</v>
      </c>
      <c r="R461" s="29"/>
      <c r="S461" s="29"/>
      <c r="T461" s="29"/>
      <c r="U461" s="29"/>
      <c r="V461" s="29">
        <v>18.75</v>
      </c>
      <c r="W461" s="29">
        <v>18.75</v>
      </c>
      <c r="X461" s="29">
        <v>0</v>
      </c>
      <c r="Y461" s="29">
        <v>81.25</v>
      </c>
    </row>
    <row r="462" spans="2:25" ht="15" hidden="1" customHeight="1">
      <c r="B462" s="21">
        <v>457</v>
      </c>
      <c r="C462" s="22" t="s">
        <v>19</v>
      </c>
      <c r="D462" s="35" t="s">
        <v>162</v>
      </c>
      <c r="E462" s="35" t="s">
        <v>164</v>
      </c>
      <c r="F462" s="35"/>
      <c r="G462" s="22" t="s">
        <v>164</v>
      </c>
      <c r="H462" s="23">
        <v>9470</v>
      </c>
      <c r="I462" s="23">
        <v>4306</v>
      </c>
      <c r="J462" s="23">
        <v>2414</v>
      </c>
      <c r="K462" s="23">
        <v>1892</v>
      </c>
      <c r="L462" s="23">
        <v>5164</v>
      </c>
      <c r="M462" s="23">
        <v>10796</v>
      </c>
      <c r="N462" s="23">
        <v>6418</v>
      </c>
      <c r="O462" s="23">
        <v>5692</v>
      </c>
      <c r="P462" s="23">
        <v>726</v>
      </c>
      <c r="Q462" s="23">
        <v>4378</v>
      </c>
      <c r="R462" s="24">
        <v>45.469904999999997</v>
      </c>
      <c r="S462" s="24">
        <v>25.491024299999999</v>
      </c>
      <c r="T462" s="24">
        <v>19.978880700000001</v>
      </c>
      <c r="U462" s="24">
        <v>54.530095000000003</v>
      </c>
      <c r="V462" s="24">
        <v>59.447943700000003</v>
      </c>
      <c r="W462" s="24">
        <v>52.723230800000003</v>
      </c>
      <c r="X462" s="24">
        <v>6.7247129000000001</v>
      </c>
      <c r="Y462" s="24">
        <v>40.552056299999997</v>
      </c>
    </row>
    <row r="463" spans="2:25" ht="15" hidden="1" customHeight="1">
      <c r="B463" s="25">
        <v>458</v>
      </c>
      <c r="C463" s="26" t="s">
        <v>19</v>
      </c>
      <c r="D463" s="26" t="s">
        <v>162</v>
      </c>
      <c r="E463" s="26" t="s">
        <v>164</v>
      </c>
      <c r="F463" s="26"/>
      <c r="G463" s="27" t="s">
        <v>15</v>
      </c>
      <c r="H463" s="28">
        <v>2826</v>
      </c>
      <c r="I463" s="28">
        <v>2511</v>
      </c>
      <c r="J463" s="28">
        <v>1436</v>
      </c>
      <c r="K463" s="28">
        <v>1075</v>
      </c>
      <c r="L463" s="28">
        <v>315</v>
      </c>
      <c r="M463" s="28">
        <v>3351</v>
      </c>
      <c r="N463" s="28">
        <v>3130</v>
      </c>
      <c r="O463" s="28">
        <v>2661</v>
      </c>
      <c r="P463" s="28">
        <v>469</v>
      </c>
      <c r="Q463" s="28">
        <v>221</v>
      </c>
      <c r="R463" s="29">
        <v>88.853503200000006</v>
      </c>
      <c r="S463" s="29">
        <v>50.813871200000001</v>
      </c>
      <c r="T463" s="29">
        <v>38.039631999999997</v>
      </c>
      <c r="U463" s="29">
        <v>11.1464968</v>
      </c>
      <c r="V463" s="29">
        <v>93.404953699999993</v>
      </c>
      <c r="W463" s="29">
        <v>79.409131599999995</v>
      </c>
      <c r="X463" s="29">
        <v>13.9958221</v>
      </c>
      <c r="Y463" s="29">
        <v>6.5950462999999999</v>
      </c>
    </row>
    <row r="464" spans="2:25" ht="15" hidden="1" customHeight="1">
      <c r="B464" s="25">
        <v>459</v>
      </c>
      <c r="C464" s="26" t="s">
        <v>19</v>
      </c>
      <c r="D464" s="26" t="s">
        <v>162</v>
      </c>
      <c r="E464" s="26" t="s">
        <v>164</v>
      </c>
      <c r="F464" s="26"/>
      <c r="G464" s="27" t="s">
        <v>16</v>
      </c>
      <c r="H464" s="28">
        <v>6644</v>
      </c>
      <c r="I464" s="28">
        <v>1795</v>
      </c>
      <c r="J464" s="28">
        <v>978</v>
      </c>
      <c r="K464" s="28">
        <v>817</v>
      </c>
      <c r="L464" s="28">
        <v>4849</v>
      </c>
      <c r="M464" s="28">
        <v>7445</v>
      </c>
      <c r="N464" s="28">
        <v>3288</v>
      </c>
      <c r="O464" s="28">
        <v>3031</v>
      </c>
      <c r="P464" s="28">
        <v>257</v>
      </c>
      <c r="Q464" s="28">
        <v>4157</v>
      </c>
      <c r="R464" s="29">
        <v>27.016857300000002</v>
      </c>
      <c r="S464" s="29">
        <v>14.720048200000001</v>
      </c>
      <c r="T464" s="29">
        <v>12.2968092</v>
      </c>
      <c r="U464" s="29">
        <v>72.983142700000002</v>
      </c>
      <c r="V464" s="29">
        <v>44.163868399999998</v>
      </c>
      <c r="W464" s="29">
        <v>40.7118872</v>
      </c>
      <c r="X464" s="29">
        <v>3.4519812000000001</v>
      </c>
      <c r="Y464" s="29">
        <v>55.836131600000002</v>
      </c>
    </row>
    <row r="465" spans="2:25" ht="15" customHeight="1">
      <c r="B465" s="30">
        <v>460</v>
      </c>
      <c r="C465" s="31" t="s">
        <v>21</v>
      </c>
      <c r="D465" s="36" t="s">
        <v>162</v>
      </c>
      <c r="E465" s="36" t="s">
        <v>164</v>
      </c>
      <c r="F465" s="36" t="s">
        <v>165</v>
      </c>
      <c r="G465" s="37" t="s">
        <v>165</v>
      </c>
      <c r="H465" s="32">
        <v>6499</v>
      </c>
      <c r="I465" s="32">
        <v>2930</v>
      </c>
      <c r="J465" s="32">
        <v>1879</v>
      </c>
      <c r="K465" s="32">
        <v>1051</v>
      </c>
      <c r="L465" s="32">
        <v>3569</v>
      </c>
      <c r="M465" s="32">
        <v>7123</v>
      </c>
      <c r="N465" s="32">
        <v>4115</v>
      </c>
      <c r="O465" s="32">
        <v>3669</v>
      </c>
      <c r="P465" s="32">
        <v>446</v>
      </c>
      <c r="Q465" s="32">
        <v>3008</v>
      </c>
      <c r="R465" s="33">
        <v>45.083859099999998</v>
      </c>
      <c r="S465" s="33">
        <v>28.912140300000001</v>
      </c>
      <c r="T465" s="33">
        <v>16.1717187</v>
      </c>
      <c r="U465" s="33">
        <v>54.916140900000002</v>
      </c>
      <c r="V465" s="33">
        <v>57.7706023</v>
      </c>
      <c r="W465" s="33">
        <v>51.509195599999998</v>
      </c>
      <c r="X465" s="33">
        <v>6.2614067000000002</v>
      </c>
      <c r="Y465" s="33">
        <v>42.2293977</v>
      </c>
    </row>
    <row r="466" spans="2:25" ht="15" hidden="1" customHeight="1">
      <c r="B466" s="25">
        <v>461</v>
      </c>
      <c r="C466" s="26" t="s">
        <v>21</v>
      </c>
      <c r="D466" s="26" t="s">
        <v>162</v>
      </c>
      <c r="E466" s="26" t="s">
        <v>164</v>
      </c>
      <c r="F466" s="26" t="s">
        <v>165</v>
      </c>
      <c r="G466" s="27" t="s">
        <v>15</v>
      </c>
      <c r="H466" s="28">
        <v>2282</v>
      </c>
      <c r="I466" s="28">
        <v>2057</v>
      </c>
      <c r="J466" s="28">
        <v>1277</v>
      </c>
      <c r="K466" s="28">
        <v>780</v>
      </c>
      <c r="L466" s="28">
        <v>225</v>
      </c>
      <c r="M466" s="28">
        <v>2680</v>
      </c>
      <c r="N466" s="28">
        <v>2500</v>
      </c>
      <c r="O466" s="28">
        <v>2105</v>
      </c>
      <c r="P466" s="28">
        <v>395</v>
      </c>
      <c r="Q466" s="28">
        <v>180</v>
      </c>
      <c r="R466" s="29">
        <v>90.140227899999999</v>
      </c>
      <c r="S466" s="29">
        <v>55.959684500000002</v>
      </c>
      <c r="T466" s="29">
        <v>34.180543399999998</v>
      </c>
      <c r="U466" s="29">
        <v>9.8597721000000007</v>
      </c>
      <c r="V466" s="29">
        <v>93.283582100000004</v>
      </c>
      <c r="W466" s="29">
        <v>78.544776100000007</v>
      </c>
      <c r="X466" s="29">
        <v>14.738806</v>
      </c>
      <c r="Y466" s="29">
        <v>6.7164178999999997</v>
      </c>
    </row>
    <row r="467" spans="2:25" ht="15" hidden="1" customHeight="1">
      <c r="B467" s="25">
        <v>462</v>
      </c>
      <c r="C467" s="26" t="s">
        <v>21</v>
      </c>
      <c r="D467" s="26" t="s">
        <v>162</v>
      </c>
      <c r="E467" s="26" t="s">
        <v>164</v>
      </c>
      <c r="F467" s="26" t="s">
        <v>165</v>
      </c>
      <c r="G467" s="27" t="s">
        <v>16</v>
      </c>
      <c r="H467" s="28">
        <v>4217</v>
      </c>
      <c r="I467" s="28">
        <v>873</v>
      </c>
      <c r="J467" s="28">
        <v>602</v>
      </c>
      <c r="K467" s="28">
        <v>271</v>
      </c>
      <c r="L467" s="28">
        <v>3344</v>
      </c>
      <c r="M467" s="28">
        <v>4443</v>
      </c>
      <c r="N467" s="28">
        <v>1615</v>
      </c>
      <c r="O467" s="28">
        <v>1564</v>
      </c>
      <c r="P467" s="28">
        <v>51</v>
      </c>
      <c r="Q467" s="28">
        <v>2828</v>
      </c>
      <c r="R467" s="29">
        <v>20.7019208</v>
      </c>
      <c r="S467" s="29">
        <v>14.2755513</v>
      </c>
      <c r="T467" s="29">
        <v>6.4263694999999998</v>
      </c>
      <c r="U467" s="29">
        <v>79.298079200000004</v>
      </c>
      <c r="V467" s="29">
        <v>36.349313500000001</v>
      </c>
      <c r="W467" s="29">
        <v>35.201440499999997</v>
      </c>
      <c r="X467" s="29">
        <v>1.1478731</v>
      </c>
      <c r="Y467" s="29">
        <v>63.650686499999999</v>
      </c>
    </row>
    <row r="468" spans="2:25" ht="15" customHeight="1">
      <c r="B468" s="30">
        <v>463</v>
      </c>
      <c r="C468" s="31" t="s">
        <v>21</v>
      </c>
      <c r="D468" s="36" t="s">
        <v>162</v>
      </c>
      <c r="E468" s="36" t="s">
        <v>164</v>
      </c>
      <c r="F468" s="36" t="s">
        <v>166</v>
      </c>
      <c r="G468" s="37" t="s">
        <v>166</v>
      </c>
      <c r="H468" s="32">
        <v>1537</v>
      </c>
      <c r="I468" s="32">
        <v>623</v>
      </c>
      <c r="J468" s="32">
        <v>242</v>
      </c>
      <c r="K468" s="32">
        <v>381</v>
      </c>
      <c r="L468" s="32">
        <v>914</v>
      </c>
      <c r="M468" s="32">
        <v>1753</v>
      </c>
      <c r="N468" s="32">
        <v>936</v>
      </c>
      <c r="O468" s="32">
        <v>844</v>
      </c>
      <c r="P468" s="32">
        <v>92</v>
      </c>
      <c r="Q468" s="32">
        <v>817</v>
      </c>
      <c r="R468" s="33">
        <v>40.533506799999998</v>
      </c>
      <c r="S468" s="33">
        <v>15.744957700000001</v>
      </c>
      <c r="T468" s="33">
        <v>24.788549100000001</v>
      </c>
      <c r="U468" s="33">
        <v>59.466493200000002</v>
      </c>
      <c r="V468" s="33">
        <v>53.394181400000001</v>
      </c>
      <c r="W468" s="33">
        <v>48.146035400000002</v>
      </c>
      <c r="X468" s="33">
        <v>5.2481460000000002</v>
      </c>
      <c r="Y468" s="33">
        <v>46.605818599999999</v>
      </c>
    </row>
    <row r="469" spans="2:25" ht="15" hidden="1" customHeight="1">
      <c r="B469" s="25">
        <v>464</v>
      </c>
      <c r="C469" s="26" t="s">
        <v>21</v>
      </c>
      <c r="D469" s="26" t="s">
        <v>162</v>
      </c>
      <c r="E469" s="26" t="s">
        <v>164</v>
      </c>
      <c r="F469" s="26" t="s">
        <v>166</v>
      </c>
      <c r="G469" s="27" t="s">
        <v>15</v>
      </c>
      <c r="H469" s="28">
        <v>544</v>
      </c>
      <c r="I469" s="28">
        <v>454</v>
      </c>
      <c r="J469" s="28">
        <v>159</v>
      </c>
      <c r="K469" s="28">
        <v>295</v>
      </c>
      <c r="L469" s="28">
        <v>90</v>
      </c>
      <c r="M469" s="28">
        <v>671</v>
      </c>
      <c r="N469" s="28">
        <v>630</v>
      </c>
      <c r="O469" s="28">
        <v>556</v>
      </c>
      <c r="P469" s="28">
        <v>74</v>
      </c>
      <c r="Q469" s="28">
        <v>41</v>
      </c>
      <c r="R469" s="29">
        <v>83.455882399999993</v>
      </c>
      <c r="S469" s="29">
        <v>29.2279412</v>
      </c>
      <c r="T469" s="29">
        <v>54.227941199999997</v>
      </c>
      <c r="U469" s="29">
        <v>16.5441176</v>
      </c>
      <c r="V469" s="29">
        <v>93.889716800000002</v>
      </c>
      <c r="W469" s="29">
        <v>82.861400900000007</v>
      </c>
      <c r="X469" s="29">
        <v>11.028315900000001</v>
      </c>
      <c r="Y469" s="29">
        <v>6.1102831999999996</v>
      </c>
    </row>
    <row r="470" spans="2:25" ht="15" hidden="1" customHeight="1">
      <c r="B470" s="25">
        <v>465</v>
      </c>
      <c r="C470" s="26" t="s">
        <v>21</v>
      </c>
      <c r="D470" s="26" t="s">
        <v>162</v>
      </c>
      <c r="E470" s="26" t="s">
        <v>164</v>
      </c>
      <c r="F470" s="26" t="s">
        <v>166</v>
      </c>
      <c r="G470" s="27" t="s">
        <v>16</v>
      </c>
      <c r="H470" s="28">
        <v>993</v>
      </c>
      <c r="I470" s="28">
        <v>169</v>
      </c>
      <c r="J470" s="28">
        <v>83</v>
      </c>
      <c r="K470" s="28">
        <v>86</v>
      </c>
      <c r="L470" s="28">
        <v>824</v>
      </c>
      <c r="M470" s="28">
        <v>1082</v>
      </c>
      <c r="N470" s="28">
        <v>306</v>
      </c>
      <c r="O470" s="28">
        <v>288</v>
      </c>
      <c r="P470" s="28">
        <v>18</v>
      </c>
      <c r="Q470" s="28">
        <v>776</v>
      </c>
      <c r="R470" s="29">
        <v>17.0191339</v>
      </c>
      <c r="S470" s="29">
        <v>8.3585095999999997</v>
      </c>
      <c r="T470" s="29">
        <v>8.6606243999999997</v>
      </c>
      <c r="U470" s="29">
        <v>82.9808661</v>
      </c>
      <c r="V470" s="29">
        <v>28.2809612</v>
      </c>
      <c r="W470" s="29">
        <v>26.617375200000001</v>
      </c>
      <c r="X470" s="29">
        <v>1.663586</v>
      </c>
      <c r="Y470" s="29">
        <v>71.719038800000007</v>
      </c>
    </row>
    <row r="471" spans="2:25" ht="15" customHeight="1">
      <c r="B471" s="30">
        <v>466</v>
      </c>
      <c r="C471" s="31" t="s">
        <v>21</v>
      </c>
      <c r="D471" s="36" t="s">
        <v>162</v>
      </c>
      <c r="E471" s="36" t="s">
        <v>164</v>
      </c>
      <c r="F471" s="36" t="s">
        <v>167</v>
      </c>
      <c r="G471" s="37" t="s">
        <v>167</v>
      </c>
      <c r="H471" s="32">
        <v>1434</v>
      </c>
      <c r="I471" s="32">
        <v>753</v>
      </c>
      <c r="J471" s="32">
        <v>293</v>
      </c>
      <c r="K471" s="32">
        <v>460</v>
      </c>
      <c r="L471" s="32">
        <v>681</v>
      </c>
      <c r="M471" s="32">
        <v>1920</v>
      </c>
      <c r="N471" s="32">
        <v>1367</v>
      </c>
      <c r="O471" s="32">
        <v>1179</v>
      </c>
      <c r="P471" s="32">
        <v>188</v>
      </c>
      <c r="Q471" s="32">
        <v>553</v>
      </c>
      <c r="R471" s="33">
        <v>52.510460299999998</v>
      </c>
      <c r="S471" s="33">
        <v>20.432357</v>
      </c>
      <c r="T471" s="33">
        <v>32.078103200000001</v>
      </c>
      <c r="U471" s="33">
        <v>47.489539700000002</v>
      </c>
      <c r="V471" s="33">
        <v>71.197916699999993</v>
      </c>
      <c r="W471" s="33">
        <v>61.40625</v>
      </c>
      <c r="X471" s="33">
        <v>9.7916667000000004</v>
      </c>
      <c r="Y471" s="33">
        <v>28.8020833</v>
      </c>
    </row>
    <row r="472" spans="2:25" ht="15" hidden="1" customHeight="1">
      <c r="B472" s="25">
        <v>467</v>
      </c>
      <c r="C472" s="26" t="s">
        <v>21</v>
      </c>
      <c r="D472" s="26" t="s">
        <v>162</v>
      </c>
      <c r="E472" s="26" t="s">
        <v>164</v>
      </c>
      <c r="F472" s="26" t="s">
        <v>167</v>
      </c>
      <c r="G472" s="27" t="s">
        <v>15</v>
      </c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9"/>
      <c r="S472" s="29"/>
      <c r="T472" s="29"/>
      <c r="U472" s="29"/>
      <c r="V472" s="29"/>
      <c r="W472" s="29"/>
      <c r="X472" s="29"/>
      <c r="Y472" s="29"/>
    </row>
    <row r="473" spans="2:25" ht="15" hidden="1" customHeight="1">
      <c r="B473" s="25">
        <v>468</v>
      </c>
      <c r="C473" s="26" t="s">
        <v>21</v>
      </c>
      <c r="D473" s="26" t="s">
        <v>162</v>
      </c>
      <c r="E473" s="26" t="s">
        <v>164</v>
      </c>
      <c r="F473" s="26" t="s">
        <v>167</v>
      </c>
      <c r="G473" s="27" t="s">
        <v>16</v>
      </c>
      <c r="H473" s="28">
        <v>1434</v>
      </c>
      <c r="I473" s="28">
        <v>753</v>
      </c>
      <c r="J473" s="28">
        <v>293</v>
      </c>
      <c r="K473" s="28">
        <v>460</v>
      </c>
      <c r="L473" s="28">
        <v>681</v>
      </c>
      <c r="M473" s="28">
        <v>1920</v>
      </c>
      <c r="N473" s="28">
        <v>1367</v>
      </c>
      <c r="O473" s="28">
        <v>1179</v>
      </c>
      <c r="P473" s="28">
        <v>188</v>
      </c>
      <c r="Q473" s="28">
        <v>553</v>
      </c>
      <c r="R473" s="29">
        <v>52.510460299999998</v>
      </c>
      <c r="S473" s="29">
        <v>20.432357</v>
      </c>
      <c r="T473" s="29">
        <v>32.078103200000001</v>
      </c>
      <c r="U473" s="29">
        <v>47.489539700000002</v>
      </c>
      <c r="V473" s="29">
        <v>71.197916699999993</v>
      </c>
      <c r="W473" s="29">
        <v>61.40625</v>
      </c>
      <c r="X473" s="29">
        <v>9.7916667000000004</v>
      </c>
      <c r="Y473" s="29">
        <v>28.8020833</v>
      </c>
    </row>
    <row r="474" spans="2:25" ht="15" hidden="1" customHeight="1">
      <c r="B474" s="21">
        <v>469</v>
      </c>
      <c r="C474" s="22" t="s">
        <v>19</v>
      </c>
      <c r="D474" s="35" t="s">
        <v>162</v>
      </c>
      <c r="E474" s="35" t="s">
        <v>168</v>
      </c>
      <c r="F474" s="35"/>
      <c r="G474" s="22" t="s">
        <v>168</v>
      </c>
      <c r="H474" s="23">
        <v>16203</v>
      </c>
      <c r="I474" s="23">
        <v>3658</v>
      </c>
      <c r="J474" s="23">
        <v>2391</v>
      </c>
      <c r="K474" s="23">
        <v>1267</v>
      </c>
      <c r="L474" s="23">
        <v>12545</v>
      </c>
      <c r="M474" s="23">
        <v>21034</v>
      </c>
      <c r="N474" s="23">
        <v>8134</v>
      </c>
      <c r="O474" s="23">
        <v>7200</v>
      </c>
      <c r="P474" s="23">
        <v>934</v>
      </c>
      <c r="Q474" s="23">
        <v>12900</v>
      </c>
      <c r="R474" s="24">
        <v>22.5760662</v>
      </c>
      <c r="S474" s="24">
        <v>14.756526600000001</v>
      </c>
      <c r="T474" s="24">
        <v>7.8195395999999997</v>
      </c>
      <c r="U474" s="24">
        <v>77.4239338</v>
      </c>
      <c r="V474" s="24">
        <v>38.670723600000002</v>
      </c>
      <c r="W474" s="24">
        <v>34.230293799999998</v>
      </c>
      <c r="X474" s="24">
        <v>4.4404298000000004</v>
      </c>
      <c r="Y474" s="24">
        <v>61.329276399999998</v>
      </c>
    </row>
    <row r="475" spans="2:25" ht="15" hidden="1" customHeight="1">
      <c r="B475" s="25">
        <v>470</v>
      </c>
      <c r="C475" s="26" t="s">
        <v>19</v>
      </c>
      <c r="D475" s="26" t="s">
        <v>162</v>
      </c>
      <c r="E475" s="26" t="s">
        <v>168</v>
      </c>
      <c r="F475" s="26"/>
      <c r="G475" s="27" t="s">
        <v>15</v>
      </c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9"/>
      <c r="S475" s="29"/>
      <c r="T475" s="29"/>
      <c r="U475" s="29"/>
      <c r="V475" s="29"/>
      <c r="W475" s="29"/>
      <c r="X475" s="29"/>
      <c r="Y475" s="29"/>
    </row>
    <row r="476" spans="2:25" ht="15" hidden="1" customHeight="1">
      <c r="B476" s="25">
        <v>471</v>
      </c>
      <c r="C476" s="26" t="s">
        <v>19</v>
      </c>
      <c r="D476" s="26" t="s">
        <v>162</v>
      </c>
      <c r="E476" s="26" t="s">
        <v>168</v>
      </c>
      <c r="F476" s="26"/>
      <c r="G476" s="27" t="s">
        <v>16</v>
      </c>
      <c r="H476" s="28">
        <v>16203</v>
      </c>
      <c r="I476" s="28">
        <v>3658</v>
      </c>
      <c r="J476" s="28">
        <v>2391</v>
      </c>
      <c r="K476" s="28">
        <v>1267</v>
      </c>
      <c r="L476" s="28">
        <v>12545</v>
      </c>
      <c r="M476" s="28">
        <v>21034</v>
      </c>
      <c r="N476" s="28">
        <v>8134</v>
      </c>
      <c r="O476" s="28">
        <v>7200</v>
      </c>
      <c r="P476" s="28">
        <v>934</v>
      </c>
      <c r="Q476" s="28">
        <v>12900</v>
      </c>
      <c r="R476" s="29">
        <v>22.5760662</v>
      </c>
      <c r="S476" s="29">
        <v>14.756526600000001</v>
      </c>
      <c r="T476" s="29">
        <v>7.8195395999999997</v>
      </c>
      <c r="U476" s="29">
        <v>77.4239338</v>
      </c>
      <c r="V476" s="29">
        <v>38.670723600000002</v>
      </c>
      <c r="W476" s="29">
        <v>34.230293799999998</v>
      </c>
      <c r="X476" s="29">
        <v>4.4404298000000004</v>
      </c>
      <c r="Y476" s="29">
        <v>61.329276399999998</v>
      </c>
    </row>
    <row r="477" spans="2:25" ht="15" customHeight="1">
      <c r="B477" s="30">
        <v>472</v>
      </c>
      <c r="C477" s="31" t="s">
        <v>21</v>
      </c>
      <c r="D477" s="36" t="s">
        <v>162</v>
      </c>
      <c r="E477" s="36" t="s">
        <v>168</v>
      </c>
      <c r="F477" s="36" t="s">
        <v>168</v>
      </c>
      <c r="G477" s="37" t="s">
        <v>168</v>
      </c>
      <c r="H477" s="32">
        <v>7347</v>
      </c>
      <c r="I477" s="32">
        <v>1129</v>
      </c>
      <c r="J477" s="32">
        <v>673</v>
      </c>
      <c r="K477" s="32">
        <v>456</v>
      </c>
      <c r="L477" s="32">
        <v>6218</v>
      </c>
      <c r="M477" s="32">
        <v>8442</v>
      </c>
      <c r="N477" s="32">
        <v>2890</v>
      </c>
      <c r="O477" s="32">
        <v>2550</v>
      </c>
      <c r="P477" s="32">
        <v>340</v>
      </c>
      <c r="Q477" s="32">
        <v>5552</v>
      </c>
      <c r="R477" s="33">
        <v>15.366816399999999</v>
      </c>
      <c r="S477" s="33">
        <v>9.1602014</v>
      </c>
      <c r="T477" s="33">
        <v>6.2066148999999999</v>
      </c>
      <c r="U477" s="33">
        <v>84.633183599999995</v>
      </c>
      <c r="V477" s="33">
        <v>34.233593900000002</v>
      </c>
      <c r="W477" s="33">
        <v>30.206112300000001</v>
      </c>
      <c r="X477" s="33">
        <v>4.0274815999999998</v>
      </c>
      <c r="Y477" s="33">
        <v>65.766406099999998</v>
      </c>
    </row>
    <row r="478" spans="2:25" ht="15" hidden="1" customHeight="1">
      <c r="B478" s="25">
        <v>473</v>
      </c>
      <c r="C478" s="26" t="s">
        <v>21</v>
      </c>
      <c r="D478" s="26" t="s">
        <v>162</v>
      </c>
      <c r="E478" s="26" t="s">
        <v>168</v>
      </c>
      <c r="F478" s="26" t="s">
        <v>168</v>
      </c>
      <c r="G478" s="27" t="s">
        <v>15</v>
      </c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9"/>
      <c r="S478" s="29"/>
      <c r="T478" s="29"/>
      <c r="U478" s="29"/>
      <c r="V478" s="29"/>
      <c r="W478" s="29"/>
      <c r="X478" s="29"/>
      <c r="Y478" s="29"/>
    </row>
    <row r="479" spans="2:25" ht="15" hidden="1" customHeight="1">
      <c r="B479" s="25">
        <v>474</v>
      </c>
      <c r="C479" s="26" t="s">
        <v>21</v>
      </c>
      <c r="D479" s="26" t="s">
        <v>162</v>
      </c>
      <c r="E479" s="26" t="s">
        <v>168</v>
      </c>
      <c r="F479" s="26" t="s">
        <v>168</v>
      </c>
      <c r="G479" s="27" t="s">
        <v>16</v>
      </c>
      <c r="H479" s="28">
        <v>7347</v>
      </c>
      <c r="I479" s="28">
        <v>1129</v>
      </c>
      <c r="J479" s="28">
        <v>673</v>
      </c>
      <c r="K479" s="28">
        <v>456</v>
      </c>
      <c r="L479" s="28">
        <v>6218</v>
      </c>
      <c r="M479" s="28">
        <v>8442</v>
      </c>
      <c r="N479" s="28">
        <v>2890</v>
      </c>
      <c r="O479" s="28">
        <v>2550</v>
      </c>
      <c r="P479" s="28">
        <v>340</v>
      </c>
      <c r="Q479" s="28">
        <v>5552</v>
      </c>
      <c r="R479" s="29">
        <v>15.366816399999999</v>
      </c>
      <c r="S479" s="29">
        <v>9.1602014</v>
      </c>
      <c r="T479" s="29">
        <v>6.2066148999999999</v>
      </c>
      <c r="U479" s="29">
        <v>84.633183599999995</v>
      </c>
      <c r="V479" s="29">
        <v>34.233593900000002</v>
      </c>
      <c r="W479" s="29">
        <v>30.206112300000001</v>
      </c>
      <c r="X479" s="29">
        <v>4.0274815999999998</v>
      </c>
      <c r="Y479" s="29">
        <v>65.766406099999998</v>
      </c>
    </row>
    <row r="480" spans="2:25" ht="15" customHeight="1">
      <c r="B480" s="30">
        <v>475</v>
      </c>
      <c r="C480" s="31" t="s">
        <v>21</v>
      </c>
      <c r="D480" s="36" t="s">
        <v>162</v>
      </c>
      <c r="E480" s="36" t="s">
        <v>168</v>
      </c>
      <c r="F480" s="36" t="s">
        <v>169</v>
      </c>
      <c r="G480" s="37" t="s">
        <v>169</v>
      </c>
      <c r="H480" s="32">
        <v>3936</v>
      </c>
      <c r="I480" s="32">
        <v>1181</v>
      </c>
      <c r="J480" s="32">
        <v>819</v>
      </c>
      <c r="K480" s="32">
        <v>362</v>
      </c>
      <c r="L480" s="32">
        <v>2755</v>
      </c>
      <c r="M480" s="32">
        <v>5081</v>
      </c>
      <c r="N480" s="32">
        <v>2204</v>
      </c>
      <c r="O480" s="32">
        <v>1988</v>
      </c>
      <c r="P480" s="32">
        <v>216</v>
      </c>
      <c r="Q480" s="32">
        <v>2877</v>
      </c>
      <c r="R480" s="33">
        <v>30.005081300000001</v>
      </c>
      <c r="S480" s="33">
        <v>20.807926800000001</v>
      </c>
      <c r="T480" s="33">
        <v>9.1971544999999999</v>
      </c>
      <c r="U480" s="33">
        <v>69.994918699999999</v>
      </c>
      <c r="V480" s="33">
        <v>43.377287899999999</v>
      </c>
      <c r="W480" s="33">
        <v>39.126156299999998</v>
      </c>
      <c r="X480" s="33">
        <v>4.2511317000000002</v>
      </c>
      <c r="Y480" s="33">
        <v>56.622712100000001</v>
      </c>
    </row>
    <row r="481" spans="2:25" ht="15" hidden="1" customHeight="1">
      <c r="B481" s="25">
        <v>476</v>
      </c>
      <c r="C481" s="26" t="s">
        <v>21</v>
      </c>
      <c r="D481" s="26" t="s">
        <v>162</v>
      </c>
      <c r="E481" s="26" t="s">
        <v>168</v>
      </c>
      <c r="F481" s="26" t="s">
        <v>169</v>
      </c>
      <c r="G481" s="27" t="s">
        <v>15</v>
      </c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9"/>
      <c r="S481" s="29"/>
      <c r="T481" s="29"/>
      <c r="U481" s="29"/>
      <c r="V481" s="29"/>
      <c r="W481" s="29"/>
      <c r="X481" s="29"/>
      <c r="Y481" s="29"/>
    </row>
    <row r="482" spans="2:25" ht="15" hidden="1" customHeight="1">
      <c r="B482" s="25">
        <v>477</v>
      </c>
      <c r="C482" s="26" t="s">
        <v>21</v>
      </c>
      <c r="D482" s="26" t="s">
        <v>162</v>
      </c>
      <c r="E482" s="26" t="s">
        <v>168</v>
      </c>
      <c r="F482" s="26" t="s">
        <v>169</v>
      </c>
      <c r="G482" s="27" t="s">
        <v>16</v>
      </c>
      <c r="H482" s="28">
        <v>3936</v>
      </c>
      <c r="I482" s="28">
        <v>1181</v>
      </c>
      <c r="J482" s="28">
        <v>819</v>
      </c>
      <c r="K482" s="28">
        <v>362</v>
      </c>
      <c r="L482" s="28">
        <v>2755</v>
      </c>
      <c r="M482" s="28">
        <v>5081</v>
      </c>
      <c r="N482" s="28">
        <v>2204</v>
      </c>
      <c r="O482" s="28">
        <v>1988</v>
      </c>
      <c r="P482" s="28">
        <v>216</v>
      </c>
      <c r="Q482" s="28">
        <v>2877</v>
      </c>
      <c r="R482" s="29">
        <v>30.005081300000001</v>
      </c>
      <c r="S482" s="29">
        <v>20.807926800000001</v>
      </c>
      <c r="T482" s="29">
        <v>9.1971544999999999</v>
      </c>
      <c r="U482" s="29">
        <v>69.994918699999999</v>
      </c>
      <c r="V482" s="29">
        <v>43.377287899999999</v>
      </c>
      <c r="W482" s="29">
        <v>39.126156299999998</v>
      </c>
      <c r="X482" s="29">
        <v>4.2511317000000002</v>
      </c>
      <c r="Y482" s="29">
        <v>56.622712100000001</v>
      </c>
    </row>
    <row r="483" spans="2:25" ht="15" customHeight="1">
      <c r="B483" s="30">
        <v>478</v>
      </c>
      <c r="C483" s="31" t="s">
        <v>21</v>
      </c>
      <c r="D483" s="36" t="s">
        <v>162</v>
      </c>
      <c r="E483" s="36" t="s">
        <v>168</v>
      </c>
      <c r="F483" s="36" t="s">
        <v>170</v>
      </c>
      <c r="G483" s="37" t="s">
        <v>170</v>
      </c>
      <c r="H483" s="32">
        <v>4920</v>
      </c>
      <c r="I483" s="32">
        <v>1348</v>
      </c>
      <c r="J483" s="32">
        <v>899</v>
      </c>
      <c r="K483" s="32">
        <v>449</v>
      </c>
      <c r="L483" s="32">
        <v>3572</v>
      </c>
      <c r="M483" s="32">
        <v>7511</v>
      </c>
      <c r="N483" s="32">
        <v>3040</v>
      </c>
      <c r="O483" s="32">
        <v>2662</v>
      </c>
      <c r="P483" s="32">
        <v>378</v>
      </c>
      <c r="Q483" s="32">
        <v>4471</v>
      </c>
      <c r="R483" s="33">
        <v>27.398374</v>
      </c>
      <c r="S483" s="33">
        <v>18.272357700000001</v>
      </c>
      <c r="T483" s="33">
        <v>9.1260162999999999</v>
      </c>
      <c r="U483" s="33">
        <v>72.601625999999996</v>
      </c>
      <c r="V483" s="33">
        <v>40.473971499999998</v>
      </c>
      <c r="W483" s="33">
        <v>35.441352700000003</v>
      </c>
      <c r="X483" s="33">
        <v>5.0326187999999998</v>
      </c>
      <c r="Y483" s="33">
        <v>59.526028500000002</v>
      </c>
    </row>
    <row r="484" spans="2:25" ht="15" hidden="1" customHeight="1">
      <c r="B484" s="25">
        <v>479</v>
      </c>
      <c r="C484" s="26" t="s">
        <v>21</v>
      </c>
      <c r="D484" s="26" t="s">
        <v>162</v>
      </c>
      <c r="E484" s="26" t="s">
        <v>168</v>
      </c>
      <c r="F484" s="26" t="s">
        <v>170</v>
      </c>
      <c r="G484" s="27" t="s">
        <v>15</v>
      </c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9"/>
      <c r="S484" s="29"/>
      <c r="T484" s="29"/>
      <c r="U484" s="29"/>
      <c r="V484" s="29"/>
      <c r="W484" s="29"/>
      <c r="X484" s="29"/>
      <c r="Y484" s="29"/>
    </row>
    <row r="485" spans="2:25" ht="15" hidden="1" customHeight="1">
      <c r="B485" s="25">
        <v>480</v>
      </c>
      <c r="C485" s="26" t="s">
        <v>21</v>
      </c>
      <c r="D485" s="26" t="s">
        <v>162</v>
      </c>
      <c r="E485" s="26" t="s">
        <v>168</v>
      </c>
      <c r="F485" s="26" t="s">
        <v>170</v>
      </c>
      <c r="G485" s="27" t="s">
        <v>16</v>
      </c>
      <c r="H485" s="28">
        <v>4920</v>
      </c>
      <c r="I485" s="28">
        <v>1348</v>
      </c>
      <c r="J485" s="28">
        <v>899</v>
      </c>
      <c r="K485" s="28">
        <v>449</v>
      </c>
      <c r="L485" s="28">
        <v>3572</v>
      </c>
      <c r="M485" s="28">
        <v>7511</v>
      </c>
      <c r="N485" s="28">
        <v>3040</v>
      </c>
      <c r="O485" s="28">
        <v>2662</v>
      </c>
      <c r="P485" s="28">
        <v>378</v>
      </c>
      <c r="Q485" s="28">
        <v>4471</v>
      </c>
      <c r="R485" s="29">
        <v>27.398374</v>
      </c>
      <c r="S485" s="29">
        <v>18.272357700000001</v>
      </c>
      <c r="T485" s="29">
        <v>9.1260162999999999</v>
      </c>
      <c r="U485" s="29">
        <v>72.601625999999996</v>
      </c>
      <c r="V485" s="29">
        <v>40.473971499999998</v>
      </c>
      <c r="W485" s="29">
        <v>35.441352700000003</v>
      </c>
      <c r="X485" s="29">
        <v>5.0326187999999998</v>
      </c>
      <c r="Y485" s="29">
        <v>59.526028500000002</v>
      </c>
    </row>
    <row r="486" spans="2:25" ht="15" hidden="1" customHeight="1">
      <c r="B486" s="21">
        <v>481</v>
      </c>
      <c r="C486" s="22" t="s">
        <v>19</v>
      </c>
      <c r="D486" s="35" t="s">
        <v>162</v>
      </c>
      <c r="E486" s="35" t="s">
        <v>171</v>
      </c>
      <c r="F486" s="35"/>
      <c r="G486" s="22" t="s">
        <v>171</v>
      </c>
      <c r="H486" s="23">
        <v>12234</v>
      </c>
      <c r="I486" s="23">
        <v>4888</v>
      </c>
      <c r="J486" s="23">
        <v>3492</v>
      </c>
      <c r="K486" s="23">
        <v>1396</v>
      </c>
      <c r="L486" s="23">
        <v>7346</v>
      </c>
      <c r="M486" s="23">
        <v>20096</v>
      </c>
      <c r="N486" s="23">
        <v>10345</v>
      </c>
      <c r="O486" s="23">
        <v>9653</v>
      </c>
      <c r="P486" s="23">
        <v>692</v>
      </c>
      <c r="Q486" s="23">
        <v>9751</v>
      </c>
      <c r="R486" s="24">
        <v>39.954225899999997</v>
      </c>
      <c r="S486" s="24">
        <v>28.543403600000001</v>
      </c>
      <c r="T486" s="24">
        <v>11.4108223</v>
      </c>
      <c r="U486" s="24">
        <v>60.045774100000003</v>
      </c>
      <c r="V486" s="24">
        <v>51.477906099999998</v>
      </c>
      <c r="W486" s="24">
        <v>48.034434699999998</v>
      </c>
      <c r="X486" s="24">
        <v>3.4434713000000001</v>
      </c>
      <c r="Y486" s="24">
        <v>48.522093900000002</v>
      </c>
    </row>
    <row r="487" spans="2:25" ht="15" hidden="1" customHeight="1">
      <c r="B487" s="25">
        <v>482</v>
      </c>
      <c r="C487" s="26" t="s">
        <v>19</v>
      </c>
      <c r="D487" s="26" t="s">
        <v>162</v>
      </c>
      <c r="E487" s="26" t="s">
        <v>171</v>
      </c>
      <c r="F487" s="26"/>
      <c r="G487" s="27" t="s">
        <v>15</v>
      </c>
      <c r="H487" s="28">
        <v>2238</v>
      </c>
      <c r="I487" s="28">
        <v>1506</v>
      </c>
      <c r="J487" s="28">
        <v>1165</v>
      </c>
      <c r="K487" s="28">
        <v>341</v>
      </c>
      <c r="L487" s="28">
        <v>732</v>
      </c>
      <c r="M487" s="28">
        <v>8824</v>
      </c>
      <c r="N487" s="28">
        <v>4843</v>
      </c>
      <c r="O487" s="28">
        <v>4403</v>
      </c>
      <c r="P487" s="28">
        <v>440</v>
      </c>
      <c r="Q487" s="28">
        <v>3981</v>
      </c>
      <c r="R487" s="29">
        <v>67.292225200000004</v>
      </c>
      <c r="S487" s="29">
        <v>52.055406599999998</v>
      </c>
      <c r="T487" s="29">
        <v>15.236818599999999</v>
      </c>
      <c r="U487" s="29">
        <v>32.707774800000003</v>
      </c>
      <c r="V487" s="29">
        <v>54.884406200000001</v>
      </c>
      <c r="W487" s="29">
        <v>49.898005400000002</v>
      </c>
      <c r="X487" s="29">
        <v>4.9864006999999999</v>
      </c>
      <c r="Y487" s="29">
        <v>45.115593799999999</v>
      </c>
    </row>
    <row r="488" spans="2:25" ht="15" hidden="1" customHeight="1">
      <c r="B488" s="25">
        <v>483</v>
      </c>
      <c r="C488" s="26" t="s">
        <v>19</v>
      </c>
      <c r="D488" s="26" t="s">
        <v>162</v>
      </c>
      <c r="E488" s="26" t="s">
        <v>171</v>
      </c>
      <c r="F488" s="26"/>
      <c r="G488" s="27" t="s">
        <v>16</v>
      </c>
      <c r="H488" s="28">
        <v>9996</v>
      </c>
      <c r="I488" s="28">
        <v>3382</v>
      </c>
      <c r="J488" s="28">
        <v>2327</v>
      </c>
      <c r="K488" s="28">
        <v>1055</v>
      </c>
      <c r="L488" s="28">
        <v>6614</v>
      </c>
      <c r="M488" s="28">
        <v>11272</v>
      </c>
      <c r="N488" s="28">
        <v>5502</v>
      </c>
      <c r="O488" s="28">
        <v>5250</v>
      </c>
      <c r="P488" s="28">
        <v>252</v>
      </c>
      <c r="Q488" s="28">
        <v>5770</v>
      </c>
      <c r="R488" s="29">
        <v>33.8335334</v>
      </c>
      <c r="S488" s="29">
        <v>23.279311700000001</v>
      </c>
      <c r="T488" s="29">
        <v>10.554221699999999</v>
      </c>
      <c r="U488" s="29">
        <v>66.166466600000007</v>
      </c>
      <c r="V488" s="29">
        <v>48.811213600000002</v>
      </c>
      <c r="W488" s="29">
        <v>46.575585500000003</v>
      </c>
      <c r="X488" s="29">
        <v>2.2356281</v>
      </c>
      <c r="Y488" s="29">
        <v>51.188786399999998</v>
      </c>
    </row>
    <row r="489" spans="2:25" ht="15" customHeight="1">
      <c r="B489" s="30">
        <v>484</v>
      </c>
      <c r="C489" s="31" t="s">
        <v>21</v>
      </c>
      <c r="D489" s="36" t="s">
        <v>162</v>
      </c>
      <c r="E489" s="36" t="s">
        <v>171</v>
      </c>
      <c r="F489" s="36" t="s">
        <v>172</v>
      </c>
      <c r="G489" s="37" t="s">
        <v>172</v>
      </c>
      <c r="H489" s="32">
        <v>2593</v>
      </c>
      <c r="I489" s="32">
        <v>1192</v>
      </c>
      <c r="J489" s="32">
        <v>970</v>
      </c>
      <c r="K489" s="32">
        <v>222</v>
      </c>
      <c r="L489" s="32">
        <v>1401</v>
      </c>
      <c r="M489" s="32">
        <v>4030</v>
      </c>
      <c r="N489" s="32">
        <v>2484</v>
      </c>
      <c r="O489" s="32">
        <v>2330</v>
      </c>
      <c r="P489" s="32">
        <v>154</v>
      </c>
      <c r="Q489" s="32">
        <v>1546</v>
      </c>
      <c r="R489" s="33">
        <v>45.969918999999997</v>
      </c>
      <c r="S489" s="33">
        <v>37.4084073</v>
      </c>
      <c r="T489" s="33">
        <v>8.5615117999999999</v>
      </c>
      <c r="U489" s="33">
        <v>54.030081000000003</v>
      </c>
      <c r="V489" s="33">
        <v>61.637717100000003</v>
      </c>
      <c r="W489" s="33">
        <v>57.816377199999998</v>
      </c>
      <c r="X489" s="33">
        <v>3.8213400000000002</v>
      </c>
      <c r="Y489" s="33">
        <v>38.362282899999997</v>
      </c>
    </row>
    <row r="490" spans="2:25" ht="15" hidden="1" customHeight="1">
      <c r="B490" s="25">
        <v>485</v>
      </c>
      <c r="C490" s="26" t="s">
        <v>21</v>
      </c>
      <c r="D490" s="26" t="s">
        <v>162</v>
      </c>
      <c r="E490" s="26" t="s">
        <v>171</v>
      </c>
      <c r="F490" s="26" t="s">
        <v>172</v>
      </c>
      <c r="G490" s="27" t="s">
        <v>15</v>
      </c>
      <c r="H490" s="28">
        <v>1084</v>
      </c>
      <c r="I490" s="28">
        <v>900</v>
      </c>
      <c r="J490" s="28">
        <v>728</v>
      </c>
      <c r="K490" s="28">
        <v>172</v>
      </c>
      <c r="L490" s="28">
        <v>184</v>
      </c>
      <c r="M490" s="28">
        <v>1431</v>
      </c>
      <c r="N490" s="28">
        <v>1305</v>
      </c>
      <c r="O490" s="28">
        <v>1213</v>
      </c>
      <c r="P490" s="28">
        <v>92</v>
      </c>
      <c r="Q490" s="28">
        <v>126</v>
      </c>
      <c r="R490" s="29">
        <v>83.025830299999996</v>
      </c>
      <c r="S490" s="29">
        <v>67.158671600000005</v>
      </c>
      <c r="T490" s="29">
        <v>15.867158699999999</v>
      </c>
      <c r="U490" s="29">
        <v>16.974169700000001</v>
      </c>
      <c r="V490" s="29">
        <v>91.194968599999996</v>
      </c>
      <c r="W490" s="29">
        <v>84.765898000000007</v>
      </c>
      <c r="X490" s="29">
        <v>6.4290706000000002</v>
      </c>
      <c r="Y490" s="29">
        <v>8.8050314000000007</v>
      </c>
    </row>
    <row r="491" spans="2:25" ht="15" hidden="1" customHeight="1">
      <c r="B491" s="25">
        <v>486</v>
      </c>
      <c r="C491" s="26" t="s">
        <v>21</v>
      </c>
      <c r="D491" s="26" t="s">
        <v>162</v>
      </c>
      <c r="E491" s="26" t="s">
        <v>171</v>
      </c>
      <c r="F491" s="26" t="s">
        <v>172</v>
      </c>
      <c r="G491" s="27" t="s">
        <v>16</v>
      </c>
      <c r="H491" s="28">
        <v>1509</v>
      </c>
      <c r="I491" s="28">
        <v>292</v>
      </c>
      <c r="J491" s="28">
        <v>242</v>
      </c>
      <c r="K491" s="28">
        <v>50</v>
      </c>
      <c r="L491" s="28">
        <v>1217</v>
      </c>
      <c r="M491" s="28">
        <v>2599</v>
      </c>
      <c r="N491" s="28">
        <v>1179</v>
      </c>
      <c r="O491" s="28">
        <v>1117</v>
      </c>
      <c r="P491" s="28">
        <v>62</v>
      </c>
      <c r="Q491" s="28">
        <v>1420</v>
      </c>
      <c r="R491" s="29">
        <v>19.350563300000001</v>
      </c>
      <c r="S491" s="29">
        <v>16.037110699999999</v>
      </c>
      <c r="T491" s="29">
        <v>3.3134526000000002</v>
      </c>
      <c r="U491" s="29">
        <v>80.649436699999995</v>
      </c>
      <c r="V491" s="29">
        <v>45.3636014</v>
      </c>
      <c r="W491" s="29">
        <v>42.978068499999999</v>
      </c>
      <c r="X491" s="29">
        <v>2.3855328999999998</v>
      </c>
      <c r="Y491" s="29">
        <v>54.6363986</v>
      </c>
    </row>
    <row r="492" spans="2:25" ht="15" customHeight="1">
      <c r="B492" s="30">
        <v>487</v>
      </c>
      <c r="C492" s="31" t="s">
        <v>21</v>
      </c>
      <c r="D492" s="36" t="s">
        <v>162</v>
      </c>
      <c r="E492" s="36" t="s">
        <v>171</v>
      </c>
      <c r="F492" s="36" t="s">
        <v>173</v>
      </c>
      <c r="G492" s="37" t="s">
        <v>173</v>
      </c>
      <c r="H492" s="32">
        <v>2636</v>
      </c>
      <c r="I492" s="32">
        <v>542</v>
      </c>
      <c r="J492" s="32">
        <v>398</v>
      </c>
      <c r="K492" s="32">
        <v>144</v>
      </c>
      <c r="L492" s="32">
        <v>2094</v>
      </c>
      <c r="M492" s="32">
        <v>3362</v>
      </c>
      <c r="N492" s="32">
        <v>1005</v>
      </c>
      <c r="O492" s="32">
        <v>950</v>
      </c>
      <c r="P492" s="32">
        <v>55</v>
      </c>
      <c r="Q492" s="32">
        <v>2357</v>
      </c>
      <c r="R492" s="33">
        <v>20.561456799999998</v>
      </c>
      <c r="S492" s="33">
        <v>15.098634300000001</v>
      </c>
      <c r="T492" s="33">
        <v>5.4628224999999997</v>
      </c>
      <c r="U492" s="33">
        <v>79.438543199999998</v>
      </c>
      <c r="V492" s="33">
        <v>29.8929209</v>
      </c>
      <c r="W492" s="33">
        <v>28.256989900000001</v>
      </c>
      <c r="X492" s="33">
        <v>1.635931</v>
      </c>
      <c r="Y492" s="33">
        <v>70.107079100000007</v>
      </c>
    </row>
    <row r="493" spans="2:25" ht="15" hidden="1" customHeight="1">
      <c r="B493" s="25">
        <v>488</v>
      </c>
      <c r="C493" s="26" t="s">
        <v>21</v>
      </c>
      <c r="D493" s="26" t="s">
        <v>162</v>
      </c>
      <c r="E493" s="26" t="s">
        <v>171</v>
      </c>
      <c r="F493" s="26" t="s">
        <v>173</v>
      </c>
      <c r="G493" s="27" t="s">
        <v>15</v>
      </c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9"/>
      <c r="S493" s="29"/>
      <c r="T493" s="29"/>
      <c r="U493" s="29"/>
      <c r="V493" s="29"/>
      <c r="W493" s="29"/>
      <c r="X493" s="29"/>
      <c r="Y493" s="29"/>
    </row>
    <row r="494" spans="2:25" ht="15" hidden="1" customHeight="1">
      <c r="B494" s="25">
        <v>489</v>
      </c>
      <c r="C494" s="26" t="s">
        <v>21</v>
      </c>
      <c r="D494" s="26" t="s">
        <v>162</v>
      </c>
      <c r="E494" s="26" t="s">
        <v>171</v>
      </c>
      <c r="F494" s="26" t="s">
        <v>173</v>
      </c>
      <c r="G494" s="27" t="s">
        <v>16</v>
      </c>
      <c r="H494" s="28">
        <v>2636</v>
      </c>
      <c r="I494" s="28">
        <v>542</v>
      </c>
      <c r="J494" s="28">
        <v>398</v>
      </c>
      <c r="K494" s="28">
        <v>144</v>
      </c>
      <c r="L494" s="28">
        <v>2094</v>
      </c>
      <c r="M494" s="28">
        <v>3362</v>
      </c>
      <c r="N494" s="28">
        <v>1005</v>
      </c>
      <c r="O494" s="28">
        <v>950</v>
      </c>
      <c r="P494" s="28">
        <v>55</v>
      </c>
      <c r="Q494" s="28">
        <v>2357</v>
      </c>
      <c r="R494" s="29">
        <v>20.561456799999998</v>
      </c>
      <c r="S494" s="29">
        <v>15.098634300000001</v>
      </c>
      <c r="T494" s="29">
        <v>5.4628224999999997</v>
      </c>
      <c r="U494" s="29">
        <v>79.438543199999998</v>
      </c>
      <c r="V494" s="29">
        <v>29.8929209</v>
      </c>
      <c r="W494" s="29">
        <v>28.256989900000001</v>
      </c>
      <c r="X494" s="29">
        <v>1.635931</v>
      </c>
      <c r="Y494" s="29">
        <v>70.107079100000007</v>
      </c>
    </row>
    <row r="495" spans="2:25" ht="15" customHeight="1">
      <c r="B495" s="30">
        <v>490</v>
      </c>
      <c r="C495" s="31" t="s">
        <v>21</v>
      </c>
      <c r="D495" s="36" t="s">
        <v>162</v>
      </c>
      <c r="E495" s="36" t="s">
        <v>171</v>
      </c>
      <c r="F495" s="36" t="s">
        <v>174</v>
      </c>
      <c r="G495" s="37" t="s">
        <v>174</v>
      </c>
      <c r="H495" s="32">
        <v>5532</v>
      </c>
      <c r="I495" s="32">
        <v>2738</v>
      </c>
      <c r="J495" s="32">
        <v>1810</v>
      </c>
      <c r="K495" s="32">
        <v>928</v>
      </c>
      <c r="L495" s="32">
        <v>2794</v>
      </c>
      <c r="M495" s="32">
        <v>10848</v>
      </c>
      <c r="N495" s="32">
        <v>6224</v>
      </c>
      <c r="O495" s="32">
        <v>5777</v>
      </c>
      <c r="P495" s="32">
        <v>447</v>
      </c>
      <c r="Q495" s="32">
        <v>4624</v>
      </c>
      <c r="R495" s="33">
        <v>49.493853899999998</v>
      </c>
      <c r="S495" s="33">
        <v>32.718727399999999</v>
      </c>
      <c r="T495" s="33">
        <v>16.775126499999999</v>
      </c>
      <c r="U495" s="33">
        <v>50.506146100000002</v>
      </c>
      <c r="V495" s="33">
        <v>57.374631299999997</v>
      </c>
      <c r="W495" s="33">
        <v>53.254055999999999</v>
      </c>
      <c r="X495" s="33">
        <v>4.1205752000000002</v>
      </c>
      <c r="Y495" s="33">
        <v>42.625368700000003</v>
      </c>
    </row>
    <row r="496" spans="2:25" ht="15" hidden="1" customHeight="1">
      <c r="B496" s="25">
        <v>491</v>
      </c>
      <c r="C496" s="26" t="s">
        <v>21</v>
      </c>
      <c r="D496" s="26" t="s">
        <v>162</v>
      </c>
      <c r="E496" s="26" t="s">
        <v>171</v>
      </c>
      <c r="F496" s="26" t="s">
        <v>174</v>
      </c>
      <c r="G496" s="27" t="s">
        <v>15</v>
      </c>
      <c r="H496" s="28">
        <v>1154</v>
      </c>
      <c r="I496" s="28">
        <v>606</v>
      </c>
      <c r="J496" s="28">
        <v>437</v>
      </c>
      <c r="K496" s="28">
        <v>169</v>
      </c>
      <c r="L496" s="28">
        <v>548</v>
      </c>
      <c r="M496" s="28">
        <v>7393</v>
      </c>
      <c r="N496" s="28">
        <v>3538</v>
      </c>
      <c r="O496" s="28">
        <v>3190</v>
      </c>
      <c r="P496" s="28">
        <v>348</v>
      </c>
      <c r="Q496" s="28">
        <v>3855</v>
      </c>
      <c r="R496" s="29">
        <v>52.5129983</v>
      </c>
      <c r="S496" s="29">
        <v>37.868284199999998</v>
      </c>
      <c r="T496" s="29">
        <v>14.644714</v>
      </c>
      <c r="U496" s="29">
        <v>47.4870017</v>
      </c>
      <c r="V496" s="29">
        <v>47.8560801</v>
      </c>
      <c r="W496" s="29">
        <v>43.148924700000002</v>
      </c>
      <c r="X496" s="29">
        <v>4.7071554000000004</v>
      </c>
      <c r="Y496" s="29">
        <v>52.1439199</v>
      </c>
    </row>
    <row r="497" spans="2:25" ht="15" hidden="1" customHeight="1">
      <c r="B497" s="25">
        <v>492</v>
      </c>
      <c r="C497" s="26" t="s">
        <v>21</v>
      </c>
      <c r="D497" s="26" t="s">
        <v>162</v>
      </c>
      <c r="E497" s="26" t="s">
        <v>171</v>
      </c>
      <c r="F497" s="26" t="s">
        <v>174</v>
      </c>
      <c r="G497" s="27" t="s">
        <v>16</v>
      </c>
      <c r="H497" s="28">
        <v>4378</v>
      </c>
      <c r="I497" s="28">
        <v>2132</v>
      </c>
      <c r="J497" s="28">
        <v>1373</v>
      </c>
      <c r="K497" s="28">
        <v>759</v>
      </c>
      <c r="L497" s="28">
        <v>2246</v>
      </c>
      <c r="M497" s="28">
        <v>3455</v>
      </c>
      <c r="N497" s="28">
        <v>2686</v>
      </c>
      <c r="O497" s="28">
        <v>2587</v>
      </c>
      <c r="P497" s="28">
        <v>99</v>
      </c>
      <c r="Q497" s="28">
        <v>769</v>
      </c>
      <c r="R497" s="29">
        <v>48.698035599999997</v>
      </c>
      <c r="S497" s="29">
        <v>31.361352199999999</v>
      </c>
      <c r="T497" s="29">
        <v>17.336683399999998</v>
      </c>
      <c r="U497" s="29">
        <v>51.301964400000003</v>
      </c>
      <c r="V497" s="29">
        <v>77.742402299999995</v>
      </c>
      <c r="W497" s="29">
        <v>74.876989899999998</v>
      </c>
      <c r="X497" s="29">
        <v>2.8654123999999999</v>
      </c>
      <c r="Y497" s="29">
        <v>22.257597700000002</v>
      </c>
    </row>
    <row r="498" spans="2:25" ht="15" customHeight="1">
      <c r="B498" s="30">
        <v>493</v>
      </c>
      <c r="C498" s="31" t="s">
        <v>21</v>
      </c>
      <c r="D498" s="36" t="s">
        <v>162</v>
      </c>
      <c r="E498" s="36" t="s">
        <v>171</v>
      </c>
      <c r="F498" s="36" t="s">
        <v>175</v>
      </c>
      <c r="G498" s="37" t="s">
        <v>175</v>
      </c>
      <c r="H498" s="32">
        <v>1473</v>
      </c>
      <c r="I498" s="32">
        <v>416</v>
      </c>
      <c r="J498" s="32">
        <v>314</v>
      </c>
      <c r="K498" s="32">
        <v>102</v>
      </c>
      <c r="L498" s="32">
        <v>1057</v>
      </c>
      <c r="M498" s="32">
        <v>1856</v>
      </c>
      <c r="N498" s="32">
        <v>632</v>
      </c>
      <c r="O498" s="32">
        <v>596</v>
      </c>
      <c r="P498" s="32">
        <v>36</v>
      </c>
      <c r="Q498" s="32">
        <v>1224</v>
      </c>
      <c r="R498" s="33">
        <v>28.241683600000002</v>
      </c>
      <c r="S498" s="33">
        <v>21.3170401</v>
      </c>
      <c r="T498" s="33">
        <v>6.9246435999999996</v>
      </c>
      <c r="U498" s="33">
        <v>71.758316399999998</v>
      </c>
      <c r="V498" s="33">
        <v>34.051724100000001</v>
      </c>
      <c r="W498" s="33">
        <v>32.112068999999998</v>
      </c>
      <c r="X498" s="33">
        <v>1.9396552</v>
      </c>
      <c r="Y498" s="33">
        <v>65.948275899999999</v>
      </c>
    </row>
    <row r="499" spans="2:25" ht="15" hidden="1" customHeight="1">
      <c r="B499" s="25">
        <v>494</v>
      </c>
      <c r="C499" s="26" t="s">
        <v>21</v>
      </c>
      <c r="D499" s="26" t="s">
        <v>162</v>
      </c>
      <c r="E499" s="26" t="s">
        <v>171</v>
      </c>
      <c r="F499" s="26" t="s">
        <v>175</v>
      </c>
      <c r="G499" s="27" t="s">
        <v>15</v>
      </c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9"/>
      <c r="S499" s="29"/>
      <c r="T499" s="29"/>
      <c r="U499" s="29"/>
      <c r="V499" s="29"/>
      <c r="W499" s="29"/>
      <c r="X499" s="29"/>
      <c r="Y499" s="29"/>
    </row>
    <row r="500" spans="2:25" ht="15" hidden="1" customHeight="1">
      <c r="B500" s="25">
        <v>495</v>
      </c>
      <c r="C500" s="26" t="s">
        <v>21</v>
      </c>
      <c r="D500" s="26" t="s">
        <v>162</v>
      </c>
      <c r="E500" s="26" t="s">
        <v>171</v>
      </c>
      <c r="F500" s="26" t="s">
        <v>175</v>
      </c>
      <c r="G500" s="27" t="s">
        <v>16</v>
      </c>
      <c r="H500" s="28">
        <v>1473</v>
      </c>
      <c r="I500" s="28">
        <v>416</v>
      </c>
      <c r="J500" s="28">
        <v>314</v>
      </c>
      <c r="K500" s="28">
        <v>102</v>
      </c>
      <c r="L500" s="28">
        <v>1057</v>
      </c>
      <c r="M500" s="28">
        <v>1856</v>
      </c>
      <c r="N500" s="28">
        <v>632</v>
      </c>
      <c r="O500" s="28">
        <v>596</v>
      </c>
      <c r="P500" s="28">
        <v>36</v>
      </c>
      <c r="Q500" s="28">
        <v>1224</v>
      </c>
      <c r="R500" s="29">
        <v>28.241683600000002</v>
      </c>
      <c r="S500" s="29">
        <v>21.3170401</v>
      </c>
      <c r="T500" s="29">
        <v>6.9246435999999996</v>
      </c>
      <c r="U500" s="29">
        <v>71.758316399999998</v>
      </c>
      <c r="V500" s="29">
        <v>34.051724100000001</v>
      </c>
      <c r="W500" s="29">
        <v>32.112068999999998</v>
      </c>
      <c r="X500" s="29">
        <v>1.9396552</v>
      </c>
      <c r="Y500" s="29">
        <v>65.948275899999999</v>
      </c>
    </row>
    <row r="501" spans="2:25" ht="15" hidden="1" customHeight="1">
      <c r="B501" s="21">
        <v>496</v>
      </c>
      <c r="C501" s="22" t="s">
        <v>19</v>
      </c>
      <c r="D501" s="35" t="s">
        <v>162</v>
      </c>
      <c r="E501" s="35" t="s">
        <v>176</v>
      </c>
      <c r="F501" s="35"/>
      <c r="G501" s="22" t="s">
        <v>176</v>
      </c>
      <c r="H501" s="23">
        <v>6346</v>
      </c>
      <c r="I501" s="23">
        <v>2583</v>
      </c>
      <c r="J501" s="23">
        <v>1959</v>
      </c>
      <c r="K501" s="23">
        <v>624</v>
      </c>
      <c r="L501" s="23">
        <v>3763</v>
      </c>
      <c r="M501" s="23">
        <v>7847</v>
      </c>
      <c r="N501" s="23">
        <v>4686</v>
      </c>
      <c r="O501" s="23">
        <v>4462</v>
      </c>
      <c r="P501" s="23">
        <v>224</v>
      </c>
      <c r="Q501" s="23">
        <v>3161</v>
      </c>
      <c r="R501" s="24">
        <v>40.702804899999997</v>
      </c>
      <c r="S501" s="24">
        <v>30.869839299999999</v>
      </c>
      <c r="T501" s="24">
        <v>9.8329655999999996</v>
      </c>
      <c r="U501" s="24">
        <v>59.297195100000003</v>
      </c>
      <c r="V501" s="24">
        <v>59.717089299999998</v>
      </c>
      <c r="W501" s="24">
        <v>56.862495199999998</v>
      </c>
      <c r="X501" s="24">
        <v>2.8545940999999999</v>
      </c>
      <c r="Y501" s="24">
        <v>40.282910700000002</v>
      </c>
    </row>
    <row r="502" spans="2:25" ht="15" hidden="1" customHeight="1">
      <c r="B502" s="25">
        <v>497</v>
      </c>
      <c r="C502" s="26" t="s">
        <v>19</v>
      </c>
      <c r="D502" s="26" t="s">
        <v>162</v>
      </c>
      <c r="E502" s="26" t="s">
        <v>176</v>
      </c>
      <c r="F502" s="26"/>
      <c r="G502" s="27" t="s">
        <v>15</v>
      </c>
      <c r="H502" s="28">
        <v>1047</v>
      </c>
      <c r="I502" s="28">
        <v>815</v>
      </c>
      <c r="J502" s="28">
        <v>670</v>
      </c>
      <c r="K502" s="28">
        <v>145</v>
      </c>
      <c r="L502" s="28">
        <v>232</v>
      </c>
      <c r="M502" s="28">
        <v>1373</v>
      </c>
      <c r="N502" s="28">
        <v>1290</v>
      </c>
      <c r="O502" s="28">
        <v>1225</v>
      </c>
      <c r="P502" s="28">
        <v>65</v>
      </c>
      <c r="Q502" s="28">
        <v>83</v>
      </c>
      <c r="R502" s="29">
        <v>77.841451800000002</v>
      </c>
      <c r="S502" s="29">
        <v>63.992359100000002</v>
      </c>
      <c r="T502" s="29">
        <v>13.849092600000001</v>
      </c>
      <c r="U502" s="29">
        <v>22.158548199999998</v>
      </c>
      <c r="V502" s="29">
        <v>93.954843400000001</v>
      </c>
      <c r="W502" s="29">
        <v>89.220684599999998</v>
      </c>
      <c r="X502" s="29">
        <v>4.7341588000000003</v>
      </c>
      <c r="Y502" s="29">
        <v>6.0451566000000003</v>
      </c>
    </row>
    <row r="503" spans="2:25" ht="15" hidden="1" customHeight="1">
      <c r="B503" s="25">
        <v>498</v>
      </c>
      <c r="C503" s="26" t="s">
        <v>19</v>
      </c>
      <c r="D503" s="26" t="s">
        <v>162</v>
      </c>
      <c r="E503" s="26" t="s">
        <v>176</v>
      </c>
      <c r="F503" s="26"/>
      <c r="G503" s="27" t="s">
        <v>16</v>
      </c>
      <c r="H503" s="28">
        <v>5299</v>
      </c>
      <c r="I503" s="28">
        <v>1768</v>
      </c>
      <c r="J503" s="28">
        <v>1289</v>
      </c>
      <c r="K503" s="28">
        <v>479</v>
      </c>
      <c r="L503" s="28">
        <v>3531</v>
      </c>
      <c r="M503" s="28">
        <v>6474</v>
      </c>
      <c r="N503" s="28">
        <v>3396</v>
      </c>
      <c r="O503" s="28">
        <v>3237</v>
      </c>
      <c r="P503" s="28">
        <v>159</v>
      </c>
      <c r="Q503" s="28">
        <v>3078</v>
      </c>
      <c r="R503" s="29">
        <v>33.3647858</v>
      </c>
      <c r="S503" s="29">
        <v>24.325344399999999</v>
      </c>
      <c r="T503" s="29">
        <v>9.0394413999999994</v>
      </c>
      <c r="U503" s="29">
        <v>66.635214199999993</v>
      </c>
      <c r="V503" s="29">
        <v>52.455977799999999</v>
      </c>
      <c r="W503" s="29">
        <v>50</v>
      </c>
      <c r="X503" s="29">
        <v>2.4559777999999999</v>
      </c>
      <c r="Y503" s="29">
        <v>47.544022200000001</v>
      </c>
    </row>
    <row r="504" spans="2:25" ht="15" customHeight="1">
      <c r="B504" s="30">
        <v>499</v>
      </c>
      <c r="C504" s="31" t="s">
        <v>21</v>
      </c>
      <c r="D504" s="36" t="s">
        <v>162</v>
      </c>
      <c r="E504" s="36" t="s">
        <v>176</v>
      </c>
      <c r="F504" s="36" t="s">
        <v>176</v>
      </c>
      <c r="G504" s="37" t="s">
        <v>176</v>
      </c>
      <c r="H504" s="32">
        <v>3144</v>
      </c>
      <c r="I504" s="32">
        <v>1748</v>
      </c>
      <c r="J504" s="32">
        <v>1366</v>
      </c>
      <c r="K504" s="32">
        <v>382</v>
      </c>
      <c r="L504" s="32">
        <v>1396</v>
      </c>
      <c r="M504" s="32">
        <v>4241</v>
      </c>
      <c r="N504" s="32">
        <v>3161</v>
      </c>
      <c r="O504" s="32">
        <v>3000</v>
      </c>
      <c r="P504" s="32">
        <v>161</v>
      </c>
      <c r="Q504" s="32">
        <v>1080</v>
      </c>
      <c r="R504" s="33">
        <v>55.597964400000002</v>
      </c>
      <c r="S504" s="33">
        <v>43.447837200000002</v>
      </c>
      <c r="T504" s="33">
        <v>12.1501272</v>
      </c>
      <c r="U504" s="33">
        <v>44.402035599999998</v>
      </c>
      <c r="V504" s="33">
        <v>74.534307900000002</v>
      </c>
      <c r="W504" s="33">
        <v>70.7380335</v>
      </c>
      <c r="X504" s="33">
        <v>3.7962745</v>
      </c>
      <c r="Y504" s="33">
        <v>25.465692099999998</v>
      </c>
    </row>
    <row r="505" spans="2:25" ht="15" hidden="1" customHeight="1">
      <c r="B505" s="25">
        <v>500</v>
      </c>
      <c r="C505" s="26" t="s">
        <v>21</v>
      </c>
      <c r="D505" s="26" t="s">
        <v>162</v>
      </c>
      <c r="E505" s="26" t="s">
        <v>176</v>
      </c>
      <c r="F505" s="26" t="s">
        <v>176</v>
      </c>
      <c r="G505" s="27" t="s">
        <v>15</v>
      </c>
      <c r="H505" s="28">
        <v>1047</v>
      </c>
      <c r="I505" s="28">
        <v>815</v>
      </c>
      <c r="J505" s="28">
        <v>670</v>
      </c>
      <c r="K505" s="28">
        <v>145</v>
      </c>
      <c r="L505" s="28">
        <v>232</v>
      </c>
      <c r="M505" s="28">
        <v>1373</v>
      </c>
      <c r="N505" s="28">
        <v>1290</v>
      </c>
      <c r="O505" s="28">
        <v>1225</v>
      </c>
      <c r="P505" s="28">
        <v>65</v>
      </c>
      <c r="Q505" s="28">
        <v>83</v>
      </c>
      <c r="R505" s="29">
        <v>77.841451800000002</v>
      </c>
      <c r="S505" s="29">
        <v>63.992359100000002</v>
      </c>
      <c r="T505" s="29">
        <v>13.849092600000001</v>
      </c>
      <c r="U505" s="29">
        <v>22.158548199999998</v>
      </c>
      <c r="V505" s="29">
        <v>93.954843400000001</v>
      </c>
      <c r="W505" s="29">
        <v>89.220684599999998</v>
      </c>
      <c r="X505" s="29">
        <v>4.7341588000000003</v>
      </c>
      <c r="Y505" s="29">
        <v>6.0451566000000003</v>
      </c>
    </row>
    <row r="506" spans="2:25" ht="15" hidden="1" customHeight="1">
      <c r="B506" s="25">
        <v>501</v>
      </c>
      <c r="C506" s="26" t="s">
        <v>21</v>
      </c>
      <c r="D506" s="26" t="s">
        <v>162</v>
      </c>
      <c r="E506" s="26" t="s">
        <v>176</v>
      </c>
      <c r="F506" s="26" t="s">
        <v>176</v>
      </c>
      <c r="G506" s="27" t="s">
        <v>16</v>
      </c>
      <c r="H506" s="28">
        <v>2097</v>
      </c>
      <c r="I506" s="28">
        <v>933</v>
      </c>
      <c r="J506" s="28">
        <v>696</v>
      </c>
      <c r="K506" s="28">
        <v>237</v>
      </c>
      <c r="L506" s="28">
        <v>1164</v>
      </c>
      <c r="M506" s="28">
        <v>2868</v>
      </c>
      <c r="N506" s="28">
        <v>1871</v>
      </c>
      <c r="O506" s="28">
        <v>1775</v>
      </c>
      <c r="P506" s="28">
        <v>96</v>
      </c>
      <c r="Q506" s="28">
        <v>997</v>
      </c>
      <c r="R506" s="29">
        <v>44.4921316</v>
      </c>
      <c r="S506" s="29">
        <v>33.190271799999998</v>
      </c>
      <c r="T506" s="29">
        <v>11.301859800000001</v>
      </c>
      <c r="U506" s="29">
        <v>55.5078684</v>
      </c>
      <c r="V506" s="29">
        <v>65.237099000000001</v>
      </c>
      <c r="W506" s="29">
        <v>61.889818699999999</v>
      </c>
      <c r="X506" s="29">
        <v>3.3472803</v>
      </c>
      <c r="Y506" s="29">
        <v>34.762900999999999</v>
      </c>
    </row>
    <row r="507" spans="2:25" ht="15" customHeight="1">
      <c r="B507" s="30">
        <v>502</v>
      </c>
      <c r="C507" s="31" t="s">
        <v>21</v>
      </c>
      <c r="D507" s="36" t="s">
        <v>162</v>
      </c>
      <c r="E507" s="36" t="s">
        <v>176</v>
      </c>
      <c r="F507" s="36" t="s">
        <v>177</v>
      </c>
      <c r="G507" s="37" t="s">
        <v>177</v>
      </c>
      <c r="H507" s="32">
        <v>3202</v>
      </c>
      <c r="I507" s="32">
        <v>835</v>
      </c>
      <c r="J507" s="32">
        <v>593</v>
      </c>
      <c r="K507" s="32">
        <v>242</v>
      </c>
      <c r="L507" s="32">
        <v>2367</v>
      </c>
      <c r="M507" s="32">
        <v>3606</v>
      </c>
      <c r="N507" s="32">
        <v>1525</v>
      </c>
      <c r="O507" s="32">
        <v>1462</v>
      </c>
      <c r="P507" s="32">
        <v>63</v>
      </c>
      <c r="Q507" s="32">
        <v>2081</v>
      </c>
      <c r="R507" s="33">
        <v>26.0774516</v>
      </c>
      <c r="S507" s="33">
        <v>18.519675199999998</v>
      </c>
      <c r="T507" s="33">
        <v>7.5577763999999998</v>
      </c>
      <c r="U507" s="33">
        <v>73.922548399999997</v>
      </c>
      <c r="V507" s="33">
        <v>42.290626699999997</v>
      </c>
      <c r="W507" s="33">
        <v>40.543538499999997</v>
      </c>
      <c r="X507" s="33">
        <v>1.7470882000000001</v>
      </c>
      <c r="Y507" s="33">
        <v>57.709373300000003</v>
      </c>
    </row>
    <row r="508" spans="2:25" ht="15" hidden="1" customHeight="1">
      <c r="B508" s="25">
        <v>503</v>
      </c>
      <c r="C508" s="26" t="s">
        <v>21</v>
      </c>
      <c r="D508" s="26" t="s">
        <v>162</v>
      </c>
      <c r="E508" s="26" t="s">
        <v>176</v>
      </c>
      <c r="F508" s="26" t="s">
        <v>177</v>
      </c>
      <c r="G508" s="27" t="s">
        <v>15</v>
      </c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9"/>
      <c r="S508" s="29"/>
      <c r="T508" s="29"/>
      <c r="U508" s="29"/>
      <c r="V508" s="29"/>
      <c r="W508" s="29"/>
      <c r="X508" s="29"/>
      <c r="Y508" s="29"/>
    </row>
    <row r="509" spans="2:25" ht="15" hidden="1" customHeight="1">
      <c r="B509" s="25">
        <v>504</v>
      </c>
      <c r="C509" s="26" t="s">
        <v>21</v>
      </c>
      <c r="D509" s="26" t="s">
        <v>162</v>
      </c>
      <c r="E509" s="26" t="s">
        <v>176</v>
      </c>
      <c r="F509" s="26" t="s">
        <v>177</v>
      </c>
      <c r="G509" s="27" t="s">
        <v>16</v>
      </c>
      <c r="H509" s="28">
        <v>3202</v>
      </c>
      <c r="I509" s="28">
        <v>835</v>
      </c>
      <c r="J509" s="28">
        <v>593</v>
      </c>
      <c r="K509" s="28">
        <v>242</v>
      </c>
      <c r="L509" s="28">
        <v>2367</v>
      </c>
      <c r="M509" s="28">
        <v>3606</v>
      </c>
      <c r="N509" s="28">
        <v>1525</v>
      </c>
      <c r="O509" s="28">
        <v>1462</v>
      </c>
      <c r="P509" s="28">
        <v>63</v>
      </c>
      <c r="Q509" s="28">
        <v>2081</v>
      </c>
      <c r="R509" s="29">
        <v>26.0774516</v>
      </c>
      <c r="S509" s="29">
        <v>18.519675199999998</v>
      </c>
      <c r="T509" s="29">
        <v>7.5577763999999998</v>
      </c>
      <c r="U509" s="29">
        <v>73.922548399999997</v>
      </c>
      <c r="V509" s="29">
        <v>42.290626699999997</v>
      </c>
      <c r="W509" s="29">
        <v>40.543538499999997</v>
      </c>
      <c r="X509" s="29">
        <v>1.7470882000000001</v>
      </c>
      <c r="Y509" s="29">
        <v>57.709373300000003</v>
      </c>
    </row>
    <row r="510" spans="2:25" ht="15" hidden="1" customHeight="1">
      <c r="B510" s="21">
        <v>505</v>
      </c>
      <c r="C510" s="22" t="s">
        <v>19</v>
      </c>
      <c r="D510" s="35" t="s">
        <v>162</v>
      </c>
      <c r="E510" s="35" t="s">
        <v>178</v>
      </c>
      <c r="F510" s="35"/>
      <c r="G510" s="22" t="s">
        <v>178</v>
      </c>
      <c r="H510" s="23">
        <v>6640</v>
      </c>
      <c r="I510" s="23">
        <v>1834</v>
      </c>
      <c r="J510" s="23">
        <v>1161</v>
      </c>
      <c r="K510" s="23">
        <v>673</v>
      </c>
      <c r="L510" s="23">
        <v>4806</v>
      </c>
      <c r="M510" s="23">
        <v>8126</v>
      </c>
      <c r="N510" s="23">
        <v>3043</v>
      </c>
      <c r="O510" s="23">
        <v>2792</v>
      </c>
      <c r="P510" s="23">
        <v>251</v>
      </c>
      <c r="Q510" s="23">
        <v>5083</v>
      </c>
      <c r="R510" s="24">
        <v>27.620481900000001</v>
      </c>
      <c r="S510" s="24">
        <v>17.484939799999999</v>
      </c>
      <c r="T510" s="24">
        <v>10.1355422</v>
      </c>
      <c r="U510" s="24">
        <v>72.379518099999999</v>
      </c>
      <c r="V510" s="24">
        <v>37.447698699999997</v>
      </c>
      <c r="W510" s="24">
        <v>34.358848100000003</v>
      </c>
      <c r="X510" s="24">
        <v>3.0888505999999998</v>
      </c>
      <c r="Y510" s="24">
        <v>62.552301300000003</v>
      </c>
    </row>
    <row r="511" spans="2:25" ht="15" hidden="1" customHeight="1">
      <c r="B511" s="25">
        <v>506</v>
      </c>
      <c r="C511" s="26" t="s">
        <v>19</v>
      </c>
      <c r="D511" s="26" t="s">
        <v>162</v>
      </c>
      <c r="E511" s="26" t="s">
        <v>178</v>
      </c>
      <c r="F511" s="26"/>
      <c r="G511" s="27" t="s">
        <v>15</v>
      </c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9"/>
      <c r="S511" s="29"/>
      <c r="T511" s="29"/>
      <c r="U511" s="29"/>
      <c r="V511" s="29"/>
      <c r="W511" s="29"/>
      <c r="X511" s="29"/>
      <c r="Y511" s="29"/>
    </row>
    <row r="512" spans="2:25" ht="15" hidden="1" customHeight="1">
      <c r="B512" s="25">
        <v>507</v>
      </c>
      <c r="C512" s="26" t="s">
        <v>19</v>
      </c>
      <c r="D512" s="26" t="s">
        <v>162</v>
      </c>
      <c r="E512" s="26" t="s">
        <v>178</v>
      </c>
      <c r="F512" s="26"/>
      <c r="G512" s="27" t="s">
        <v>16</v>
      </c>
      <c r="H512" s="28">
        <v>6640</v>
      </c>
      <c r="I512" s="28">
        <v>1834</v>
      </c>
      <c r="J512" s="28">
        <v>1161</v>
      </c>
      <c r="K512" s="28">
        <v>673</v>
      </c>
      <c r="L512" s="28">
        <v>4806</v>
      </c>
      <c r="M512" s="28">
        <v>8126</v>
      </c>
      <c r="N512" s="28">
        <v>3043</v>
      </c>
      <c r="O512" s="28">
        <v>2792</v>
      </c>
      <c r="P512" s="28">
        <v>251</v>
      </c>
      <c r="Q512" s="28">
        <v>5083</v>
      </c>
      <c r="R512" s="29">
        <v>27.620481900000001</v>
      </c>
      <c r="S512" s="29">
        <v>17.484939799999999</v>
      </c>
      <c r="T512" s="29">
        <v>10.1355422</v>
      </c>
      <c r="U512" s="29">
        <v>72.379518099999999</v>
      </c>
      <c r="V512" s="29">
        <v>37.447698699999997</v>
      </c>
      <c r="W512" s="29">
        <v>34.358848100000003</v>
      </c>
      <c r="X512" s="29">
        <v>3.0888505999999998</v>
      </c>
      <c r="Y512" s="29">
        <v>62.552301300000003</v>
      </c>
    </row>
    <row r="513" spans="2:25" ht="15" customHeight="1">
      <c r="B513" s="30">
        <v>508</v>
      </c>
      <c r="C513" s="31" t="s">
        <v>21</v>
      </c>
      <c r="D513" s="36" t="s">
        <v>162</v>
      </c>
      <c r="E513" s="36" t="s">
        <v>178</v>
      </c>
      <c r="F513" s="36" t="s">
        <v>178</v>
      </c>
      <c r="G513" s="37" t="s">
        <v>178</v>
      </c>
      <c r="H513" s="32">
        <v>3303</v>
      </c>
      <c r="I513" s="32">
        <v>531</v>
      </c>
      <c r="J513" s="32">
        <v>364</v>
      </c>
      <c r="K513" s="32">
        <v>167</v>
      </c>
      <c r="L513" s="32">
        <v>2772</v>
      </c>
      <c r="M513" s="32">
        <v>3900</v>
      </c>
      <c r="N513" s="32">
        <v>1058</v>
      </c>
      <c r="O513" s="32">
        <v>966</v>
      </c>
      <c r="P513" s="32">
        <v>92</v>
      </c>
      <c r="Q513" s="32">
        <v>2842</v>
      </c>
      <c r="R513" s="33">
        <v>16.076294300000001</v>
      </c>
      <c r="S513" s="33">
        <v>11.0202846</v>
      </c>
      <c r="T513" s="33">
        <v>5.0560096999999997</v>
      </c>
      <c r="U513" s="33">
        <v>83.923705699999999</v>
      </c>
      <c r="V513" s="33">
        <v>27.128205099999999</v>
      </c>
      <c r="W513" s="33">
        <v>24.769230799999999</v>
      </c>
      <c r="X513" s="33">
        <v>2.3589744000000001</v>
      </c>
      <c r="Y513" s="33">
        <v>72.871794899999998</v>
      </c>
    </row>
    <row r="514" spans="2:25" ht="15" hidden="1" customHeight="1">
      <c r="B514" s="25">
        <v>509</v>
      </c>
      <c r="C514" s="26" t="s">
        <v>21</v>
      </c>
      <c r="D514" s="26" t="s">
        <v>162</v>
      </c>
      <c r="E514" s="26" t="s">
        <v>178</v>
      </c>
      <c r="F514" s="26" t="s">
        <v>178</v>
      </c>
      <c r="G514" s="27" t="s">
        <v>15</v>
      </c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9"/>
      <c r="S514" s="29"/>
      <c r="T514" s="29"/>
      <c r="U514" s="29"/>
      <c r="V514" s="29"/>
      <c r="W514" s="29"/>
      <c r="X514" s="29"/>
      <c r="Y514" s="29"/>
    </row>
    <row r="515" spans="2:25" ht="15" hidden="1" customHeight="1">
      <c r="B515" s="25">
        <v>510</v>
      </c>
      <c r="C515" s="26" t="s">
        <v>21</v>
      </c>
      <c r="D515" s="26" t="s">
        <v>162</v>
      </c>
      <c r="E515" s="26" t="s">
        <v>178</v>
      </c>
      <c r="F515" s="26" t="s">
        <v>178</v>
      </c>
      <c r="G515" s="27" t="s">
        <v>16</v>
      </c>
      <c r="H515" s="28">
        <v>3303</v>
      </c>
      <c r="I515" s="28">
        <v>531</v>
      </c>
      <c r="J515" s="28">
        <v>364</v>
      </c>
      <c r="K515" s="28">
        <v>167</v>
      </c>
      <c r="L515" s="28">
        <v>2772</v>
      </c>
      <c r="M515" s="28">
        <v>3900</v>
      </c>
      <c r="N515" s="28">
        <v>1058</v>
      </c>
      <c r="O515" s="28">
        <v>966</v>
      </c>
      <c r="P515" s="28">
        <v>92</v>
      </c>
      <c r="Q515" s="28">
        <v>2842</v>
      </c>
      <c r="R515" s="29">
        <v>16.076294300000001</v>
      </c>
      <c r="S515" s="29">
        <v>11.0202846</v>
      </c>
      <c r="T515" s="29">
        <v>5.0560096999999997</v>
      </c>
      <c r="U515" s="29">
        <v>83.923705699999999</v>
      </c>
      <c r="V515" s="29">
        <v>27.128205099999999</v>
      </c>
      <c r="W515" s="29">
        <v>24.769230799999999</v>
      </c>
      <c r="X515" s="29">
        <v>2.3589744000000001</v>
      </c>
      <c r="Y515" s="29">
        <v>72.871794899999998</v>
      </c>
    </row>
    <row r="516" spans="2:25" ht="15" customHeight="1">
      <c r="B516" s="30">
        <v>511</v>
      </c>
      <c r="C516" s="31" t="s">
        <v>21</v>
      </c>
      <c r="D516" s="36" t="s">
        <v>162</v>
      </c>
      <c r="E516" s="36" t="s">
        <v>178</v>
      </c>
      <c r="F516" s="36" t="s">
        <v>179</v>
      </c>
      <c r="G516" s="37" t="s">
        <v>179</v>
      </c>
      <c r="H516" s="32">
        <v>3337</v>
      </c>
      <c r="I516" s="32">
        <v>1303</v>
      </c>
      <c r="J516" s="32">
        <v>797</v>
      </c>
      <c r="K516" s="32">
        <v>506</v>
      </c>
      <c r="L516" s="32">
        <v>2034</v>
      </c>
      <c r="M516" s="32">
        <v>4226</v>
      </c>
      <c r="N516" s="32">
        <v>1985</v>
      </c>
      <c r="O516" s="32">
        <v>1826</v>
      </c>
      <c r="P516" s="32">
        <v>159</v>
      </c>
      <c r="Q516" s="32">
        <v>2241</v>
      </c>
      <c r="R516" s="33">
        <v>39.047048199999999</v>
      </c>
      <c r="S516" s="33">
        <v>23.8837279</v>
      </c>
      <c r="T516" s="33">
        <v>15.163320300000001</v>
      </c>
      <c r="U516" s="33">
        <v>60.952951800000001</v>
      </c>
      <c r="V516" s="33">
        <v>46.971131100000001</v>
      </c>
      <c r="W516" s="33">
        <v>43.208708000000001</v>
      </c>
      <c r="X516" s="33">
        <v>3.7624230999999999</v>
      </c>
      <c r="Y516" s="33">
        <v>53.028868899999999</v>
      </c>
    </row>
    <row r="517" spans="2:25" ht="15" hidden="1" customHeight="1">
      <c r="B517" s="25">
        <v>512</v>
      </c>
      <c r="C517" s="26" t="s">
        <v>21</v>
      </c>
      <c r="D517" s="26" t="s">
        <v>162</v>
      </c>
      <c r="E517" s="26" t="s">
        <v>178</v>
      </c>
      <c r="F517" s="26" t="s">
        <v>179</v>
      </c>
      <c r="G517" s="27" t="s">
        <v>15</v>
      </c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9"/>
      <c r="S517" s="29"/>
      <c r="T517" s="29"/>
      <c r="U517" s="29"/>
      <c r="V517" s="29"/>
      <c r="W517" s="29"/>
      <c r="X517" s="29"/>
      <c r="Y517" s="29"/>
    </row>
    <row r="518" spans="2:25" ht="15" hidden="1" customHeight="1">
      <c r="B518" s="25">
        <v>513</v>
      </c>
      <c r="C518" s="26" t="s">
        <v>21</v>
      </c>
      <c r="D518" s="26" t="s">
        <v>162</v>
      </c>
      <c r="E518" s="26" t="s">
        <v>178</v>
      </c>
      <c r="F518" s="26" t="s">
        <v>179</v>
      </c>
      <c r="G518" s="27" t="s">
        <v>16</v>
      </c>
      <c r="H518" s="28">
        <v>3337</v>
      </c>
      <c r="I518" s="28">
        <v>1303</v>
      </c>
      <c r="J518" s="28">
        <v>797</v>
      </c>
      <c r="K518" s="28">
        <v>506</v>
      </c>
      <c r="L518" s="28">
        <v>2034</v>
      </c>
      <c r="M518" s="28">
        <v>4226</v>
      </c>
      <c r="N518" s="28">
        <v>1985</v>
      </c>
      <c r="O518" s="28">
        <v>1826</v>
      </c>
      <c r="P518" s="28">
        <v>159</v>
      </c>
      <c r="Q518" s="28">
        <v>2241</v>
      </c>
      <c r="R518" s="29">
        <v>39.047048199999999</v>
      </c>
      <c r="S518" s="29">
        <v>23.8837279</v>
      </c>
      <c r="T518" s="29">
        <v>15.163320300000001</v>
      </c>
      <c r="U518" s="29">
        <v>60.952951800000001</v>
      </c>
      <c r="V518" s="29">
        <v>46.971131100000001</v>
      </c>
      <c r="W518" s="29">
        <v>43.208708000000001</v>
      </c>
      <c r="X518" s="29">
        <v>3.7624230999999999</v>
      </c>
      <c r="Y518" s="29">
        <v>53.028868899999999</v>
      </c>
    </row>
    <row r="519" spans="2:25" ht="15" hidden="1" customHeight="1">
      <c r="B519" s="21">
        <v>514</v>
      </c>
      <c r="C519" s="22" t="s">
        <v>19</v>
      </c>
      <c r="D519" s="35" t="s">
        <v>162</v>
      </c>
      <c r="E519" s="35" t="s">
        <v>180</v>
      </c>
      <c r="F519" s="35"/>
      <c r="G519" s="22" t="s">
        <v>180</v>
      </c>
      <c r="H519" s="23">
        <v>9414</v>
      </c>
      <c r="I519" s="23">
        <v>4788</v>
      </c>
      <c r="J519" s="23">
        <v>3299</v>
      </c>
      <c r="K519" s="23">
        <v>1489</v>
      </c>
      <c r="L519" s="23">
        <v>4626</v>
      </c>
      <c r="M519" s="23">
        <v>11318</v>
      </c>
      <c r="N519" s="23">
        <v>7537</v>
      </c>
      <c r="O519" s="23">
        <v>7046</v>
      </c>
      <c r="P519" s="23">
        <v>491</v>
      </c>
      <c r="Q519" s="23">
        <v>3781</v>
      </c>
      <c r="R519" s="24">
        <v>50.860420699999999</v>
      </c>
      <c r="S519" s="24">
        <v>35.043552200000001</v>
      </c>
      <c r="T519" s="24">
        <v>15.8168685</v>
      </c>
      <c r="U519" s="24">
        <v>49.139579300000001</v>
      </c>
      <c r="V519" s="24">
        <v>66.593037600000002</v>
      </c>
      <c r="W519" s="24">
        <v>62.254815299999997</v>
      </c>
      <c r="X519" s="24">
        <v>4.3382223</v>
      </c>
      <c r="Y519" s="24">
        <v>33.406962399999998</v>
      </c>
    </row>
    <row r="520" spans="2:25" ht="15" hidden="1" customHeight="1">
      <c r="B520" s="25">
        <v>515</v>
      </c>
      <c r="C520" s="26" t="s">
        <v>19</v>
      </c>
      <c r="D520" s="26" t="s">
        <v>162</v>
      </c>
      <c r="E520" s="26" t="s">
        <v>180</v>
      </c>
      <c r="F520" s="26"/>
      <c r="G520" s="27" t="s">
        <v>15</v>
      </c>
      <c r="H520" s="28">
        <v>2560</v>
      </c>
      <c r="I520" s="28">
        <v>2101</v>
      </c>
      <c r="J520" s="28">
        <v>1332</v>
      </c>
      <c r="K520" s="28">
        <v>769</v>
      </c>
      <c r="L520" s="28">
        <v>459</v>
      </c>
      <c r="M520" s="28">
        <v>2765</v>
      </c>
      <c r="N520" s="28">
        <v>2565</v>
      </c>
      <c r="O520" s="28">
        <v>2414</v>
      </c>
      <c r="P520" s="28">
        <v>151</v>
      </c>
      <c r="Q520" s="28">
        <v>200</v>
      </c>
      <c r="R520" s="29">
        <v>82.0703125</v>
      </c>
      <c r="S520" s="29">
        <v>52.03125</v>
      </c>
      <c r="T520" s="29">
        <v>30.0390625</v>
      </c>
      <c r="U520" s="29">
        <v>17.9296875</v>
      </c>
      <c r="V520" s="29">
        <v>92.766726899999995</v>
      </c>
      <c r="W520" s="29">
        <v>87.305605799999995</v>
      </c>
      <c r="X520" s="29">
        <v>5.4611212</v>
      </c>
      <c r="Y520" s="29">
        <v>7.2332730999999999</v>
      </c>
    </row>
    <row r="521" spans="2:25" ht="15" hidden="1" customHeight="1">
      <c r="B521" s="25">
        <v>516</v>
      </c>
      <c r="C521" s="26" t="s">
        <v>19</v>
      </c>
      <c r="D521" s="26" t="s">
        <v>162</v>
      </c>
      <c r="E521" s="26" t="s">
        <v>180</v>
      </c>
      <c r="F521" s="26"/>
      <c r="G521" s="27" t="s">
        <v>16</v>
      </c>
      <c r="H521" s="28">
        <v>6854</v>
      </c>
      <c r="I521" s="28">
        <v>2687</v>
      </c>
      <c r="J521" s="28">
        <v>1967</v>
      </c>
      <c r="K521" s="28">
        <v>720</v>
      </c>
      <c r="L521" s="28">
        <v>4167</v>
      </c>
      <c r="M521" s="28">
        <v>8553</v>
      </c>
      <c r="N521" s="28">
        <v>4972</v>
      </c>
      <c r="O521" s="28">
        <v>4632</v>
      </c>
      <c r="P521" s="28">
        <v>340</v>
      </c>
      <c r="Q521" s="28">
        <v>3581</v>
      </c>
      <c r="R521" s="29">
        <v>39.203384900000003</v>
      </c>
      <c r="S521" s="29">
        <v>28.698570199999999</v>
      </c>
      <c r="T521" s="29">
        <v>10.504814700000001</v>
      </c>
      <c r="U521" s="29">
        <v>60.796615099999997</v>
      </c>
      <c r="V521" s="29">
        <v>58.131649699999997</v>
      </c>
      <c r="W521" s="29">
        <v>54.156436300000003</v>
      </c>
      <c r="X521" s="29">
        <v>3.9752133999999999</v>
      </c>
      <c r="Y521" s="29">
        <v>41.868350300000003</v>
      </c>
    </row>
    <row r="522" spans="2:25" ht="15" customHeight="1">
      <c r="B522" s="30">
        <v>517</v>
      </c>
      <c r="C522" s="31" t="s">
        <v>21</v>
      </c>
      <c r="D522" s="36" t="s">
        <v>162</v>
      </c>
      <c r="E522" s="36" t="s">
        <v>180</v>
      </c>
      <c r="F522" s="36" t="s">
        <v>180</v>
      </c>
      <c r="G522" s="37" t="s">
        <v>180</v>
      </c>
      <c r="H522" s="32">
        <v>5928</v>
      </c>
      <c r="I522" s="32">
        <v>3298</v>
      </c>
      <c r="J522" s="32">
        <v>2224</v>
      </c>
      <c r="K522" s="32">
        <v>1074</v>
      </c>
      <c r="L522" s="32">
        <v>2630</v>
      </c>
      <c r="M522" s="32">
        <v>6991</v>
      </c>
      <c r="N522" s="32">
        <v>4737</v>
      </c>
      <c r="O522" s="32">
        <v>4436</v>
      </c>
      <c r="P522" s="32">
        <v>301</v>
      </c>
      <c r="Q522" s="32">
        <v>2254</v>
      </c>
      <c r="R522" s="33">
        <v>55.634278000000002</v>
      </c>
      <c r="S522" s="33">
        <v>37.516869100000001</v>
      </c>
      <c r="T522" s="33">
        <v>18.117408900000001</v>
      </c>
      <c r="U522" s="33">
        <v>44.365721999999998</v>
      </c>
      <c r="V522" s="33">
        <v>67.758546699999997</v>
      </c>
      <c r="W522" s="33">
        <v>63.453010999999996</v>
      </c>
      <c r="X522" s="33">
        <v>4.3055357000000001</v>
      </c>
      <c r="Y522" s="33">
        <v>32.241453300000003</v>
      </c>
    </row>
    <row r="523" spans="2:25" ht="15" hidden="1" customHeight="1">
      <c r="B523" s="25">
        <v>518</v>
      </c>
      <c r="C523" s="26" t="s">
        <v>21</v>
      </c>
      <c r="D523" s="26" t="s">
        <v>162</v>
      </c>
      <c r="E523" s="26" t="s">
        <v>180</v>
      </c>
      <c r="F523" s="26" t="s">
        <v>180</v>
      </c>
      <c r="G523" s="27" t="s">
        <v>15</v>
      </c>
      <c r="H523" s="28">
        <v>2560</v>
      </c>
      <c r="I523" s="28">
        <v>2101</v>
      </c>
      <c r="J523" s="28">
        <v>1332</v>
      </c>
      <c r="K523" s="28">
        <v>769</v>
      </c>
      <c r="L523" s="28">
        <v>459</v>
      </c>
      <c r="M523" s="28">
        <v>2765</v>
      </c>
      <c r="N523" s="28">
        <v>2565</v>
      </c>
      <c r="O523" s="28">
        <v>2414</v>
      </c>
      <c r="P523" s="28">
        <v>151</v>
      </c>
      <c r="Q523" s="28">
        <v>200</v>
      </c>
      <c r="R523" s="29">
        <v>82.0703125</v>
      </c>
      <c r="S523" s="29">
        <v>52.03125</v>
      </c>
      <c r="T523" s="29">
        <v>30.0390625</v>
      </c>
      <c r="U523" s="29">
        <v>17.9296875</v>
      </c>
      <c r="V523" s="29">
        <v>92.766726899999995</v>
      </c>
      <c r="W523" s="29">
        <v>87.305605799999995</v>
      </c>
      <c r="X523" s="29">
        <v>5.4611212</v>
      </c>
      <c r="Y523" s="29">
        <v>7.2332730999999999</v>
      </c>
    </row>
    <row r="524" spans="2:25" ht="15" hidden="1" customHeight="1">
      <c r="B524" s="25">
        <v>519</v>
      </c>
      <c r="C524" s="26" t="s">
        <v>21</v>
      </c>
      <c r="D524" s="26" t="s">
        <v>162</v>
      </c>
      <c r="E524" s="26" t="s">
        <v>180</v>
      </c>
      <c r="F524" s="26" t="s">
        <v>180</v>
      </c>
      <c r="G524" s="27" t="s">
        <v>16</v>
      </c>
      <c r="H524" s="28">
        <v>3368</v>
      </c>
      <c r="I524" s="28">
        <v>1197</v>
      </c>
      <c r="J524" s="28">
        <v>892</v>
      </c>
      <c r="K524" s="28">
        <v>305</v>
      </c>
      <c r="L524" s="28">
        <v>2171</v>
      </c>
      <c r="M524" s="28">
        <v>4226</v>
      </c>
      <c r="N524" s="28">
        <v>2172</v>
      </c>
      <c r="O524" s="28">
        <v>2022</v>
      </c>
      <c r="P524" s="28">
        <v>150</v>
      </c>
      <c r="Q524" s="28">
        <v>2054</v>
      </c>
      <c r="R524" s="29">
        <v>35.540379999999999</v>
      </c>
      <c r="S524" s="29">
        <v>26.484560599999998</v>
      </c>
      <c r="T524" s="29">
        <v>9.0558195000000001</v>
      </c>
      <c r="U524" s="29">
        <v>64.459620000000001</v>
      </c>
      <c r="V524" s="29">
        <v>51.396119300000002</v>
      </c>
      <c r="W524" s="29">
        <v>47.846663499999998</v>
      </c>
      <c r="X524" s="29">
        <v>3.5494558</v>
      </c>
      <c r="Y524" s="29">
        <v>48.603880699999998</v>
      </c>
    </row>
    <row r="525" spans="2:25" ht="15" customHeight="1">
      <c r="B525" s="30">
        <v>520</v>
      </c>
      <c r="C525" s="31" t="s">
        <v>21</v>
      </c>
      <c r="D525" s="36" t="s">
        <v>162</v>
      </c>
      <c r="E525" s="36" t="s">
        <v>180</v>
      </c>
      <c r="F525" s="36" t="s">
        <v>181</v>
      </c>
      <c r="G525" s="37" t="s">
        <v>181</v>
      </c>
      <c r="H525" s="32">
        <v>2403</v>
      </c>
      <c r="I525" s="32">
        <v>1184</v>
      </c>
      <c r="J525" s="32">
        <v>911</v>
      </c>
      <c r="K525" s="32">
        <v>273</v>
      </c>
      <c r="L525" s="32">
        <v>1219</v>
      </c>
      <c r="M525" s="32">
        <v>3008</v>
      </c>
      <c r="N525" s="32">
        <v>2125</v>
      </c>
      <c r="O525" s="32">
        <v>1991</v>
      </c>
      <c r="P525" s="32">
        <v>134</v>
      </c>
      <c r="Q525" s="32">
        <v>883</v>
      </c>
      <c r="R525" s="33">
        <v>49.271743700000002</v>
      </c>
      <c r="S525" s="33">
        <v>37.910944700000002</v>
      </c>
      <c r="T525" s="33">
        <v>11.360799</v>
      </c>
      <c r="U525" s="33">
        <v>50.728256299999998</v>
      </c>
      <c r="V525" s="33">
        <v>70.6449468</v>
      </c>
      <c r="W525" s="33">
        <v>66.190159600000001</v>
      </c>
      <c r="X525" s="33">
        <v>4.4547872000000002</v>
      </c>
      <c r="Y525" s="33">
        <v>29.3550532</v>
      </c>
    </row>
    <row r="526" spans="2:25" ht="15" hidden="1" customHeight="1">
      <c r="B526" s="25">
        <v>521</v>
      </c>
      <c r="C526" s="26" t="s">
        <v>21</v>
      </c>
      <c r="D526" s="26" t="s">
        <v>162</v>
      </c>
      <c r="E526" s="26" t="s">
        <v>180</v>
      </c>
      <c r="F526" s="26" t="s">
        <v>181</v>
      </c>
      <c r="G526" s="27" t="s">
        <v>15</v>
      </c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9"/>
      <c r="S526" s="29"/>
      <c r="T526" s="29"/>
      <c r="U526" s="29"/>
      <c r="V526" s="29"/>
      <c r="W526" s="29"/>
      <c r="X526" s="29"/>
      <c r="Y526" s="29"/>
    </row>
    <row r="527" spans="2:25" ht="15" hidden="1" customHeight="1">
      <c r="B527" s="25">
        <v>522</v>
      </c>
      <c r="C527" s="26" t="s">
        <v>21</v>
      </c>
      <c r="D527" s="26" t="s">
        <v>162</v>
      </c>
      <c r="E527" s="26" t="s">
        <v>180</v>
      </c>
      <c r="F527" s="26" t="s">
        <v>181</v>
      </c>
      <c r="G527" s="27" t="s">
        <v>16</v>
      </c>
      <c r="H527" s="28">
        <v>2403</v>
      </c>
      <c r="I527" s="28">
        <v>1184</v>
      </c>
      <c r="J527" s="28">
        <v>911</v>
      </c>
      <c r="K527" s="28">
        <v>273</v>
      </c>
      <c r="L527" s="28">
        <v>1219</v>
      </c>
      <c r="M527" s="28">
        <v>3008</v>
      </c>
      <c r="N527" s="28">
        <v>2125</v>
      </c>
      <c r="O527" s="28">
        <v>1991</v>
      </c>
      <c r="P527" s="28">
        <v>134</v>
      </c>
      <c r="Q527" s="28">
        <v>883</v>
      </c>
      <c r="R527" s="29">
        <v>49.271743700000002</v>
      </c>
      <c r="S527" s="29">
        <v>37.910944700000002</v>
      </c>
      <c r="T527" s="29">
        <v>11.360799</v>
      </c>
      <c r="U527" s="29">
        <v>50.728256299999998</v>
      </c>
      <c r="V527" s="29">
        <v>70.6449468</v>
      </c>
      <c r="W527" s="29">
        <v>66.190159600000001</v>
      </c>
      <c r="X527" s="29">
        <v>4.4547872000000002</v>
      </c>
      <c r="Y527" s="29">
        <v>29.3550532</v>
      </c>
    </row>
    <row r="528" spans="2:25" ht="15" customHeight="1">
      <c r="B528" s="30">
        <v>523</v>
      </c>
      <c r="C528" s="31" t="s">
        <v>21</v>
      </c>
      <c r="D528" s="36" t="s">
        <v>162</v>
      </c>
      <c r="E528" s="36" t="s">
        <v>180</v>
      </c>
      <c r="F528" s="36" t="s">
        <v>182</v>
      </c>
      <c r="G528" s="37" t="s">
        <v>182</v>
      </c>
      <c r="H528" s="32">
        <v>1083</v>
      </c>
      <c r="I528" s="32">
        <v>306</v>
      </c>
      <c r="J528" s="32">
        <v>164</v>
      </c>
      <c r="K528" s="32">
        <v>142</v>
      </c>
      <c r="L528" s="32">
        <v>777</v>
      </c>
      <c r="M528" s="32">
        <v>1319</v>
      </c>
      <c r="N528" s="32">
        <v>675</v>
      </c>
      <c r="O528" s="32">
        <v>619</v>
      </c>
      <c r="P528" s="32">
        <v>56</v>
      </c>
      <c r="Q528" s="32">
        <v>644</v>
      </c>
      <c r="R528" s="33">
        <v>28.254847600000002</v>
      </c>
      <c r="S528" s="33">
        <v>15.143121000000001</v>
      </c>
      <c r="T528" s="33">
        <v>13.1117267</v>
      </c>
      <c r="U528" s="33">
        <v>71.745152399999995</v>
      </c>
      <c r="V528" s="33">
        <v>51.175132699999999</v>
      </c>
      <c r="W528" s="33">
        <v>46.929492000000003</v>
      </c>
      <c r="X528" s="33">
        <v>4.2456405999999998</v>
      </c>
      <c r="Y528" s="33">
        <v>48.824867300000001</v>
      </c>
    </row>
    <row r="529" spans="2:25" ht="15" hidden="1" customHeight="1">
      <c r="B529" s="25">
        <v>524</v>
      </c>
      <c r="C529" s="26" t="s">
        <v>21</v>
      </c>
      <c r="D529" s="26" t="s">
        <v>162</v>
      </c>
      <c r="E529" s="26" t="s">
        <v>180</v>
      </c>
      <c r="F529" s="26" t="s">
        <v>182</v>
      </c>
      <c r="G529" s="27" t="s">
        <v>15</v>
      </c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9"/>
      <c r="S529" s="29"/>
      <c r="T529" s="29"/>
      <c r="U529" s="29"/>
      <c r="V529" s="29"/>
      <c r="W529" s="29"/>
      <c r="X529" s="29"/>
      <c r="Y529" s="29"/>
    </row>
    <row r="530" spans="2:25" ht="15" hidden="1" customHeight="1">
      <c r="B530" s="25">
        <v>525</v>
      </c>
      <c r="C530" s="26" t="s">
        <v>21</v>
      </c>
      <c r="D530" s="26" t="s">
        <v>162</v>
      </c>
      <c r="E530" s="26" t="s">
        <v>180</v>
      </c>
      <c r="F530" s="26" t="s">
        <v>182</v>
      </c>
      <c r="G530" s="27" t="s">
        <v>16</v>
      </c>
      <c r="H530" s="28">
        <v>1083</v>
      </c>
      <c r="I530" s="28">
        <v>306</v>
      </c>
      <c r="J530" s="28">
        <v>164</v>
      </c>
      <c r="K530" s="28">
        <v>142</v>
      </c>
      <c r="L530" s="28">
        <v>777</v>
      </c>
      <c r="M530" s="28">
        <v>1319</v>
      </c>
      <c r="N530" s="28">
        <v>675</v>
      </c>
      <c r="O530" s="28">
        <v>619</v>
      </c>
      <c r="P530" s="28">
        <v>56</v>
      </c>
      <c r="Q530" s="28">
        <v>644</v>
      </c>
      <c r="R530" s="29">
        <v>28.254847600000002</v>
      </c>
      <c r="S530" s="29">
        <v>15.143121000000001</v>
      </c>
      <c r="T530" s="29">
        <v>13.1117267</v>
      </c>
      <c r="U530" s="29">
        <v>71.745152399999995</v>
      </c>
      <c r="V530" s="29">
        <v>51.175132699999999</v>
      </c>
      <c r="W530" s="29">
        <v>46.929492000000003</v>
      </c>
      <c r="X530" s="29">
        <v>4.2456405999999998</v>
      </c>
      <c r="Y530" s="29">
        <v>48.824867300000001</v>
      </c>
    </row>
    <row r="531" spans="2:25" ht="15" hidden="1" customHeight="1">
      <c r="B531" s="21">
        <v>526</v>
      </c>
      <c r="C531" s="22" t="s">
        <v>19</v>
      </c>
      <c r="D531" s="35" t="s">
        <v>162</v>
      </c>
      <c r="E531" s="35" t="s">
        <v>183</v>
      </c>
      <c r="F531" s="35"/>
      <c r="G531" s="22" t="s">
        <v>183</v>
      </c>
      <c r="H531" s="23">
        <v>9491</v>
      </c>
      <c r="I531" s="23">
        <v>6653</v>
      </c>
      <c r="J531" s="23">
        <v>5032</v>
      </c>
      <c r="K531" s="23">
        <v>1621</v>
      </c>
      <c r="L531" s="23">
        <v>2838</v>
      </c>
      <c r="M531" s="23">
        <v>11426</v>
      </c>
      <c r="N531" s="23">
        <v>9293</v>
      </c>
      <c r="O531" s="23">
        <v>8852</v>
      </c>
      <c r="P531" s="23">
        <v>441</v>
      </c>
      <c r="Q531" s="23">
        <v>2133</v>
      </c>
      <c r="R531" s="24">
        <v>70.097987599999996</v>
      </c>
      <c r="S531" s="24">
        <v>53.018649199999999</v>
      </c>
      <c r="T531" s="24">
        <v>17.0793383</v>
      </c>
      <c r="U531" s="24">
        <v>29.9020124</v>
      </c>
      <c r="V531" s="24">
        <v>81.332049699999999</v>
      </c>
      <c r="W531" s="24">
        <v>77.472431299999997</v>
      </c>
      <c r="X531" s="24">
        <v>3.8596184</v>
      </c>
      <c r="Y531" s="24">
        <v>18.667950300000001</v>
      </c>
    </row>
    <row r="532" spans="2:25" ht="15" hidden="1" customHeight="1">
      <c r="B532" s="25">
        <v>527</v>
      </c>
      <c r="C532" s="26" t="s">
        <v>19</v>
      </c>
      <c r="D532" s="26" t="s">
        <v>162</v>
      </c>
      <c r="E532" s="26" t="s">
        <v>183</v>
      </c>
      <c r="F532" s="26"/>
      <c r="G532" s="27" t="s">
        <v>15</v>
      </c>
      <c r="H532" s="28">
        <v>3807</v>
      </c>
      <c r="I532" s="28">
        <v>3167</v>
      </c>
      <c r="J532" s="28">
        <v>2315</v>
      </c>
      <c r="K532" s="28">
        <v>852</v>
      </c>
      <c r="L532" s="28">
        <v>640</v>
      </c>
      <c r="M532" s="28">
        <v>3701</v>
      </c>
      <c r="N532" s="28">
        <v>3541</v>
      </c>
      <c r="O532" s="28">
        <v>3349</v>
      </c>
      <c r="P532" s="28">
        <v>192</v>
      </c>
      <c r="Q532" s="28">
        <v>160</v>
      </c>
      <c r="R532" s="29">
        <v>83.188862599999993</v>
      </c>
      <c r="S532" s="29">
        <v>60.809035999999999</v>
      </c>
      <c r="T532" s="29">
        <v>22.379826600000001</v>
      </c>
      <c r="U532" s="29">
        <v>16.8111374</v>
      </c>
      <c r="V532" s="29">
        <v>95.676844099999997</v>
      </c>
      <c r="W532" s="29">
        <v>90.489057000000003</v>
      </c>
      <c r="X532" s="29">
        <v>5.1877871000000004</v>
      </c>
      <c r="Y532" s="29">
        <v>4.3231558999999997</v>
      </c>
    </row>
    <row r="533" spans="2:25" ht="15" hidden="1" customHeight="1">
      <c r="B533" s="25">
        <v>528</v>
      </c>
      <c r="C533" s="26" t="s">
        <v>19</v>
      </c>
      <c r="D533" s="26" t="s">
        <v>162</v>
      </c>
      <c r="E533" s="26" t="s">
        <v>183</v>
      </c>
      <c r="F533" s="26"/>
      <c r="G533" s="27" t="s">
        <v>16</v>
      </c>
      <c r="H533" s="28">
        <v>5684</v>
      </c>
      <c r="I533" s="28">
        <v>3486</v>
      </c>
      <c r="J533" s="28">
        <v>2717</v>
      </c>
      <c r="K533" s="28">
        <v>769</v>
      </c>
      <c r="L533" s="28">
        <v>2198</v>
      </c>
      <c r="M533" s="28">
        <v>7725</v>
      </c>
      <c r="N533" s="28">
        <v>5752</v>
      </c>
      <c r="O533" s="28">
        <v>5503</v>
      </c>
      <c r="P533" s="28">
        <v>249</v>
      </c>
      <c r="Q533" s="28">
        <v>1973</v>
      </c>
      <c r="R533" s="29">
        <v>61.330049299999999</v>
      </c>
      <c r="S533" s="29">
        <v>47.800844499999997</v>
      </c>
      <c r="T533" s="29">
        <v>13.5292048</v>
      </c>
      <c r="U533" s="29">
        <v>38.669950700000001</v>
      </c>
      <c r="V533" s="29">
        <v>74.459546900000007</v>
      </c>
      <c r="W533" s="29">
        <v>71.236245999999994</v>
      </c>
      <c r="X533" s="29">
        <v>3.2233010000000002</v>
      </c>
      <c r="Y533" s="29">
        <v>25.540453100000001</v>
      </c>
    </row>
    <row r="534" spans="2:25" ht="15" customHeight="1">
      <c r="B534" s="30">
        <v>529</v>
      </c>
      <c r="C534" s="31" t="s">
        <v>21</v>
      </c>
      <c r="D534" s="36" t="s">
        <v>162</v>
      </c>
      <c r="E534" s="36" t="s">
        <v>183</v>
      </c>
      <c r="F534" s="36" t="s">
        <v>184</v>
      </c>
      <c r="G534" s="37" t="s">
        <v>184</v>
      </c>
      <c r="H534" s="32">
        <v>5960</v>
      </c>
      <c r="I534" s="32">
        <v>4635</v>
      </c>
      <c r="J534" s="32">
        <v>3588</v>
      </c>
      <c r="K534" s="32">
        <v>1047</v>
      </c>
      <c r="L534" s="32">
        <v>1325</v>
      </c>
      <c r="M534" s="32">
        <v>6338</v>
      </c>
      <c r="N534" s="32">
        <v>5778</v>
      </c>
      <c r="O534" s="32">
        <v>5506</v>
      </c>
      <c r="P534" s="32">
        <v>272</v>
      </c>
      <c r="Q534" s="32">
        <v>560</v>
      </c>
      <c r="R534" s="33">
        <v>77.768456400000005</v>
      </c>
      <c r="S534" s="33">
        <v>60.2013423</v>
      </c>
      <c r="T534" s="33">
        <v>17.567114100000001</v>
      </c>
      <c r="U534" s="33">
        <v>22.231543599999998</v>
      </c>
      <c r="V534" s="33">
        <v>91.164405200000004</v>
      </c>
      <c r="W534" s="33">
        <v>86.872830500000006</v>
      </c>
      <c r="X534" s="33">
        <v>4.2915745999999997</v>
      </c>
      <c r="Y534" s="33">
        <v>8.8355948000000009</v>
      </c>
    </row>
    <row r="535" spans="2:25" ht="15" hidden="1" customHeight="1">
      <c r="B535" s="25">
        <v>530</v>
      </c>
      <c r="C535" s="26" t="s">
        <v>21</v>
      </c>
      <c r="D535" s="26" t="s">
        <v>162</v>
      </c>
      <c r="E535" s="26" t="s">
        <v>183</v>
      </c>
      <c r="F535" s="26" t="s">
        <v>184</v>
      </c>
      <c r="G535" s="27" t="s">
        <v>15</v>
      </c>
      <c r="H535" s="28">
        <v>2937</v>
      </c>
      <c r="I535" s="28">
        <v>2487</v>
      </c>
      <c r="J535" s="28">
        <v>1811</v>
      </c>
      <c r="K535" s="28">
        <v>676</v>
      </c>
      <c r="L535" s="28">
        <v>450</v>
      </c>
      <c r="M535" s="28">
        <v>3096</v>
      </c>
      <c r="N535" s="28">
        <v>2970</v>
      </c>
      <c r="O535" s="28">
        <v>2809</v>
      </c>
      <c r="P535" s="28">
        <v>161</v>
      </c>
      <c r="Q535" s="28">
        <v>126</v>
      </c>
      <c r="R535" s="29">
        <v>84.678243100000003</v>
      </c>
      <c r="S535" s="29">
        <v>61.661559400000002</v>
      </c>
      <c r="T535" s="29">
        <v>23.016683700000002</v>
      </c>
      <c r="U535" s="29">
        <v>15.3217569</v>
      </c>
      <c r="V535" s="29">
        <v>95.930232599999997</v>
      </c>
      <c r="W535" s="29">
        <v>90.729974200000001</v>
      </c>
      <c r="X535" s="29">
        <v>5.2002584000000001</v>
      </c>
      <c r="Y535" s="29">
        <v>4.0697673999999999</v>
      </c>
    </row>
    <row r="536" spans="2:25" ht="15" hidden="1" customHeight="1">
      <c r="B536" s="25">
        <v>531</v>
      </c>
      <c r="C536" s="26" t="s">
        <v>21</v>
      </c>
      <c r="D536" s="26" t="s">
        <v>162</v>
      </c>
      <c r="E536" s="26" t="s">
        <v>183</v>
      </c>
      <c r="F536" s="26" t="s">
        <v>184</v>
      </c>
      <c r="G536" s="27" t="s">
        <v>16</v>
      </c>
      <c r="H536" s="28">
        <v>3023</v>
      </c>
      <c r="I536" s="28">
        <v>2148</v>
      </c>
      <c r="J536" s="28">
        <v>1777</v>
      </c>
      <c r="K536" s="28">
        <v>371</v>
      </c>
      <c r="L536" s="28">
        <v>875</v>
      </c>
      <c r="M536" s="28">
        <v>3242</v>
      </c>
      <c r="N536" s="28">
        <v>2808</v>
      </c>
      <c r="O536" s="28">
        <v>2697</v>
      </c>
      <c r="P536" s="28">
        <v>111</v>
      </c>
      <c r="Q536" s="28">
        <v>434</v>
      </c>
      <c r="R536" s="29">
        <v>71.055243099999998</v>
      </c>
      <c r="S536" s="29">
        <v>58.782666200000001</v>
      </c>
      <c r="T536" s="29">
        <v>12.272576900000001</v>
      </c>
      <c r="U536" s="29">
        <v>28.944756900000002</v>
      </c>
      <c r="V536" s="29">
        <v>86.613201700000005</v>
      </c>
      <c r="W536" s="29">
        <v>83.189389300000002</v>
      </c>
      <c r="X536" s="29">
        <v>3.4238124999999999</v>
      </c>
      <c r="Y536" s="29">
        <v>13.386798300000001</v>
      </c>
    </row>
    <row r="537" spans="2:25" ht="15" customHeight="1">
      <c r="B537" s="30">
        <v>532</v>
      </c>
      <c r="C537" s="31" t="s">
        <v>21</v>
      </c>
      <c r="D537" s="36" t="s">
        <v>162</v>
      </c>
      <c r="E537" s="36" t="s">
        <v>183</v>
      </c>
      <c r="F537" s="36" t="s">
        <v>185</v>
      </c>
      <c r="G537" s="37" t="s">
        <v>185</v>
      </c>
      <c r="H537" s="32">
        <v>2061</v>
      </c>
      <c r="I537" s="32">
        <v>936</v>
      </c>
      <c r="J537" s="32">
        <v>708</v>
      </c>
      <c r="K537" s="32">
        <v>228</v>
      </c>
      <c r="L537" s="32">
        <v>1125</v>
      </c>
      <c r="M537" s="32">
        <v>2572</v>
      </c>
      <c r="N537" s="32">
        <v>1680</v>
      </c>
      <c r="O537" s="32">
        <v>1618</v>
      </c>
      <c r="P537" s="32">
        <v>62</v>
      </c>
      <c r="Q537" s="32">
        <v>892</v>
      </c>
      <c r="R537" s="33">
        <v>45.414847199999997</v>
      </c>
      <c r="S537" s="33">
        <v>34.352256199999999</v>
      </c>
      <c r="T537" s="33">
        <v>11.062590999999999</v>
      </c>
      <c r="U537" s="33">
        <v>54.585152800000003</v>
      </c>
      <c r="V537" s="33">
        <v>65.318817999999993</v>
      </c>
      <c r="W537" s="33">
        <v>62.908242600000001</v>
      </c>
      <c r="X537" s="33">
        <v>2.4105753999999999</v>
      </c>
      <c r="Y537" s="33">
        <v>34.681182</v>
      </c>
    </row>
    <row r="538" spans="2:25" ht="15" hidden="1" customHeight="1">
      <c r="B538" s="25">
        <v>533</v>
      </c>
      <c r="C538" s="26" t="s">
        <v>21</v>
      </c>
      <c r="D538" s="26" t="s">
        <v>162</v>
      </c>
      <c r="E538" s="26" t="s">
        <v>183</v>
      </c>
      <c r="F538" s="26" t="s">
        <v>185</v>
      </c>
      <c r="G538" s="27" t="s">
        <v>15</v>
      </c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9"/>
      <c r="S538" s="29"/>
      <c r="T538" s="29"/>
      <c r="U538" s="29"/>
      <c r="V538" s="29"/>
      <c r="W538" s="29"/>
      <c r="X538" s="29"/>
      <c r="Y538" s="29"/>
    </row>
    <row r="539" spans="2:25" ht="15" hidden="1" customHeight="1">
      <c r="B539" s="25">
        <v>534</v>
      </c>
      <c r="C539" s="26" t="s">
        <v>21</v>
      </c>
      <c r="D539" s="26" t="s">
        <v>162</v>
      </c>
      <c r="E539" s="26" t="s">
        <v>183</v>
      </c>
      <c r="F539" s="26" t="s">
        <v>185</v>
      </c>
      <c r="G539" s="27" t="s">
        <v>16</v>
      </c>
      <c r="H539" s="28">
        <v>2061</v>
      </c>
      <c r="I539" s="28">
        <v>936</v>
      </c>
      <c r="J539" s="28">
        <v>708</v>
      </c>
      <c r="K539" s="28">
        <v>228</v>
      </c>
      <c r="L539" s="28">
        <v>1125</v>
      </c>
      <c r="M539" s="28">
        <v>2572</v>
      </c>
      <c r="N539" s="28">
        <v>1680</v>
      </c>
      <c r="O539" s="28">
        <v>1618</v>
      </c>
      <c r="P539" s="28">
        <v>62</v>
      </c>
      <c r="Q539" s="28">
        <v>892</v>
      </c>
      <c r="R539" s="29">
        <v>45.414847199999997</v>
      </c>
      <c r="S539" s="29">
        <v>34.352256199999999</v>
      </c>
      <c r="T539" s="29">
        <v>11.062590999999999</v>
      </c>
      <c r="U539" s="29">
        <v>54.585152800000003</v>
      </c>
      <c r="V539" s="29">
        <v>65.318817999999993</v>
      </c>
      <c r="W539" s="29">
        <v>62.908242600000001</v>
      </c>
      <c r="X539" s="29">
        <v>2.4105753999999999</v>
      </c>
      <c r="Y539" s="29">
        <v>34.681182</v>
      </c>
    </row>
    <row r="540" spans="2:25" ht="15" customHeight="1">
      <c r="B540" s="30">
        <v>535</v>
      </c>
      <c r="C540" s="31" t="s">
        <v>21</v>
      </c>
      <c r="D540" s="36" t="s">
        <v>162</v>
      </c>
      <c r="E540" s="36" t="s">
        <v>183</v>
      </c>
      <c r="F540" s="36" t="s">
        <v>186</v>
      </c>
      <c r="G540" s="37" t="s">
        <v>186</v>
      </c>
      <c r="H540" s="32">
        <v>1470</v>
      </c>
      <c r="I540" s="32">
        <v>1082</v>
      </c>
      <c r="J540" s="32">
        <v>736</v>
      </c>
      <c r="K540" s="32">
        <v>346</v>
      </c>
      <c r="L540" s="32">
        <v>388</v>
      </c>
      <c r="M540" s="32">
        <v>2516</v>
      </c>
      <c r="N540" s="32">
        <v>1835</v>
      </c>
      <c r="O540" s="32">
        <v>1728</v>
      </c>
      <c r="P540" s="32">
        <v>107</v>
      </c>
      <c r="Q540" s="32">
        <v>681</v>
      </c>
      <c r="R540" s="33">
        <v>73.605442199999999</v>
      </c>
      <c r="S540" s="33">
        <v>50.068027200000003</v>
      </c>
      <c r="T540" s="33">
        <v>23.537414999999999</v>
      </c>
      <c r="U540" s="33">
        <v>26.394557800000001</v>
      </c>
      <c r="V540" s="33">
        <v>72.933227299999999</v>
      </c>
      <c r="W540" s="33">
        <v>68.680445199999994</v>
      </c>
      <c r="X540" s="33">
        <v>4.2527822000000004</v>
      </c>
      <c r="Y540" s="33">
        <v>27.066772700000001</v>
      </c>
    </row>
    <row r="541" spans="2:25" ht="15" hidden="1" customHeight="1">
      <c r="B541" s="25">
        <v>536</v>
      </c>
      <c r="C541" s="26" t="s">
        <v>21</v>
      </c>
      <c r="D541" s="26" t="s">
        <v>162</v>
      </c>
      <c r="E541" s="26" t="s">
        <v>183</v>
      </c>
      <c r="F541" s="26" t="s">
        <v>186</v>
      </c>
      <c r="G541" s="27" t="s">
        <v>15</v>
      </c>
      <c r="H541" s="28">
        <v>870</v>
      </c>
      <c r="I541" s="28">
        <v>680</v>
      </c>
      <c r="J541" s="28">
        <v>504</v>
      </c>
      <c r="K541" s="28">
        <v>176</v>
      </c>
      <c r="L541" s="28">
        <v>190</v>
      </c>
      <c r="M541" s="28">
        <v>605</v>
      </c>
      <c r="N541" s="28">
        <v>571</v>
      </c>
      <c r="O541" s="28">
        <v>540</v>
      </c>
      <c r="P541" s="28">
        <v>31</v>
      </c>
      <c r="Q541" s="28">
        <v>34</v>
      </c>
      <c r="R541" s="29">
        <v>78.160919500000006</v>
      </c>
      <c r="S541" s="29">
        <v>57.931034500000003</v>
      </c>
      <c r="T541" s="29">
        <v>20.229885100000001</v>
      </c>
      <c r="U541" s="29">
        <v>21.839080500000001</v>
      </c>
      <c r="V541" s="29">
        <v>94.380165300000002</v>
      </c>
      <c r="W541" s="29">
        <v>89.256198299999994</v>
      </c>
      <c r="X541" s="29">
        <v>5.1239669000000001</v>
      </c>
      <c r="Y541" s="29">
        <v>5.6198347000000002</v>
      </c>
    </row>
    <row r="542" spans="2:25" ht="15" hidden="1" customHeight="1">
      <c r="B542" s="25">
        <v>537</v>
      </c>
      <c r="C542" s="26" t="s">
        <v>21</v>
      </c>
      <c r="D542" s="26" t="s">
        <v>162</v>
      </c>
      <c r="E542" s="26" t="s">
        <v>183</v>
      </c>
      <c r="F542" s="26" t="s">
        <v>186</v>
      </c>
      <c r="G542" s="27" t="s">
        <v>16</v>
      </c>
      <c r="H542" s="28">
        <v>600</v>
      </c>
      <c r="I542" s="28">
        <v>402</v>
      </c>
      <c r="J542" s="28">
        <v>232</v>
      </c>
      <c r="K542" s="28">
        <v>170</v>
      </c>
      <c r="L542" s="28">
        <v>198</v>
      </c>
      <c r="M542" s="28">
        <v>1911</v>
      </c>
      <c r="N542" s="28">
        <v>1264</v>
      </c>
      <c r="O542" s="28">
        <v>1188</v>
      </c>
      <c r="P542" s="28">
        <v>76</v>
      </c>
      <c r="Q542" s="28">
        <v>647</v>
      </c>
      <c r="R542" s="29">
        <v>67</v>
      </c>
      <c r="S542" s="29">
        <v>38.6666667</v>
      </c>
      <c r="T542" s="29">
        <v>28.3333333</v>
      </c>
      <c r="U542" s="29">
        <v>33</v>
      </c>
      <c r="V542" s="29">
        <v>66.143380399999998</v>
      </c>
      <c r="W542" s="29">
        <v>62.166404999999997</v>
      </c>
      <c r="X542" s="29">
        <v>3.9769754000000002</v>
      </c>
      <c r="Y542" s="29">
        <v>33.856619600000002</v>
      </c>
    </row>
    <row r="543" spans="2:25" ht="15" hidden="1" customHeight="1">
      <c r="B543" s="21">
        <v>538</v>
      </c>
      <c r="C543" s="22" t="s">
        <v>19</v>
      </c>
      <c r="D543" s="35" t="s">
        <v>162</v>
      </c>
      <c r="E543" s="35" t="s">
        <v>187</v>
      </c>
      <c r="F543" s="35"/>
      <c r="G543" s="22" t="s">
        <v>187</v>
      </c>
      <c r="H543" s="23">
        <v>89217</v>
      </c>
      <c r="I543" s="23">
        <v>74764</v>
      </c>
      <c r="J543" s="23">
        <v>44866</v>
      </c>
      <c r="K543" s="23">
        <v>29898</v>
      </c>
      <c r="L543" s="23">
        <v>14453</v>
      </c>
      <c r="M543" s="23">
        <v>121175</v>
      </c>
      <c r="N543" s="23">
        <v>112628</v>
      </c>
      <c r="O543" s="23">
        <v>95419</v>
      </c>
      <c r="P543" s="23">
        <v>17209</v>
      </c>
      <c r="Q543" s="23">
        <v>8547</v>
      </c>
      <c r="R543" s="24">
        <v>83.800172599999996</v>
      </c>
      <c r="S543" s="24">
        <v>50.288622099999998</v>
      </c>
      <c r="T543" s="24">
        <v>33.511550499999998</v>
      </c>
      <c r="U543" s="24">
        <v>16.1998274</v>
      </c>
      <c r="V543" s="24">
        <v>92.946564899999998</v>
      </c>
      <c r="W543" s="24">
        <v>78.744790600000002</v>
      </c>
      <c r="X543" s="24">
        <v>14.2017743</v>
      </c>
      <c r="Y543" s="24">
        <v>7.0534350999999997</v>
      </c>
    </row>
    <row r="544" spans="2:25" ht="15" hidden="1" customHeight="1">
      <c r="B544" s="25">
        <v>539</v>
      </c>
      <c r="C544" s="26" t="s">
        <v>19</v>
      </c>
      <c r="D544" s="26" t="s">
        <v>162</v>
      </c>
      <c r="E544" s="26" t="s">
        <v>187</v>
      </c>
      <c r="F544" s="26"/>
      <c r="G544" s="27" t="s">
        <v>15</v>
      </c>
      <c r="H544" s="28">
        <v>75248</v>
      </c>
      <c r="I544" s="28">
        <v>67117</v>
      </c>
      <c r="J544" s="28">
        <v>39855</v>
      </c>
      <c r="K544" s="28">
        <v>27262</v>
      </c>
      <c r="L544" s="28">
        <v>8131</v>
      </c>
      <c r="M544" s="28">
        <v>108515</v>
      </c>
      <c r="N544" s="28">
        <v>104174</v>
      </c>
      <c r="O544" s="28">
        <v>87848</v>
      </c>
      <c r="P544" s="28">
        <v>16326</v>
      </c>
      <c r="Q544" s="28">
        <v>4341</v>
      </c>
      <c r="R544" s="29">
        <v>89.194397199999997</v>
      </c>
      <c r="S544" s="29">
        <v>52.9648629</v>
      </c>
      <c r="T544" s="29">
        <v>36.229534299999997</v>
      </c>
      <c r="U544" s="29">
        <v>10.805602800000001</v>
      </c>
      <c r="V544" s="29">
        <v>95.999631399999998</v>
      </c>
      <c r="W544" s="29">
        <v>80.954706700000003</v>
      </c>
      <c r="X544" s="29">
        <v>15.044924699999999</v>
      </c>
      <c r="Y544" s="29">
        <v>4.0003685999999998</v>
      </c>
    </row>
    <row r="545" spans="2:25" ht="15" hidden="1" customHeight="1">
      <c r="B545" s="25">
        <v>540</v>
      </c>
      <c r="C545" s="26" t="s">
        <v>19</v>
      </c>
      <c r="D545" s="26" t="s">
        <v>162</v>
      </c>
      <c r="E545" s="26" t="s">
        <v>187</v>
      </c>
      <c r="F545" s="26"/>
      <c r="G545" s="27" t="s">
        <v>16</v>
      </c>
      <c r="H545" s="28">
        <v>13969</v>
      </c>
      <c r="I545" s="28">
        <v>7647</v>
      </c>
      <c r="J545" s="28">
        <v>5011</v>
      </c>
      <c r="K545" s="28">
        <v>2636</v>
      </c>
      <c r="L545" s="28">
        <v>6322</v>
      </c>
      <c r="M545" s="28">
        <v>12660</v>
      </c>
      <c r="N545" s="28">
        <v>8454</v>
      </c>
      <c r="O545" s="28">
        <v>7571</v>
      </c>
      <c r="P545" s="28">
        <v>883</v>
      </c>
      <c r="Q545" s="28">
        <v>4206</v>
      </c>
      <c r="R545" s="29">
        <v>54.742644400000003</v>
      </c>
      <c r="S545" s="29">
        <v>35.872288599999997</v>
      </c>
      <c r="T545" s="29">
        <v>18.870355799999999</v>
      </c>
      <c r="U545" s="29">
        <v>45.257355599999997</v>
      </c>
      <c r="V545" s="29">
        <v>66.777251199999995</v>
      </c>
      <c r="W545" s="29">
        <v>59.802527599999998</v>
      </c>
      <c r="X545" s="29">
        <v>6.9747234999999996</v>
      </c>
      <c r="Y545" s="29">
        <v>33.222748799999998</v>
      </c>
    </row>
    <row r="546" spans="2:25" ht="15" customHeight="1">
      <c r="B546" s="30">
        <v>541</v>
      </c>
      <c r="C546" s="31" t="s">
        <v>21</v>
      </c>
      <c r="D546" s="36" t="s">
        <v>162</v>
      </c>
      <c r="E546" s="36" t="s">
        <v>187</v>
      </c>
      <c r="F546" s="36" t="s">
        <v>187</v>
      </c>
      <c r="G546" s="37" t="s">
        <v>187</v>
      </c>
      <c r="H546" s="32">
        <v>35931</v>
      </c>
      <c r="I546" s="32">
        <v>32046</v>
      </c>
      <c r="J546" s="32">
        <v>19049</v>
      </c>
      <c r="K546" s="32">
        <v>12997</v>
      </c>
      <c r="L546" s="32">
        <v>3885</v>
      </c>
      <c r="M546" s="32">
        <v>49171</v>
      </c>
      <c r="N546" s="32">
        <v>46704</v>
      </c>
      <c r="O546" s="32">
        <v>39246</v>
      </c>
      <c r="P546" s="32">
        <v>7458</v>
      </c>
      <c r="Q546" s="32">
        <v>2467</v>
      </c>
      <c r="R546" s="33">
        <v>89.187609600000002</v>
      </c>
      <c r="S546" s="33">
        <v>53.015501899999997</v>
      </c>
      <c r="T546" s="33">
        <v>36.172107699999998</v>
      </c>
      <c r="U546" s="33">
        <v>10.8123904</v>
      </c>
      <c r="V546" s="33">
        <v>94.982815099999996</v>
      </c>
      <c r="W546" s="33">
        <v>79.815338299999993</v>
      </c>
      <c r="X546" s="33">
        <v>15.167476799999999</v>
      </c>
      <c r="Y546" s="33">
        <v>5.0171849000000002</v>
      </c>
    </row>
    <row r="547" spans="2:25" ht="15" hidden="1" customHeight="1">
      <c r="B547" s="25">
        <v>542</v>
      </c>
      <c r="C547" s="26" t="s">
        <v>21</v>
      </c>
      <c r="D547" s="26" t="s">
        <v>162</v>
      </c>
      <c r="E547" s="26" t="s">
        <v>187</v>
      </c>
      <c r="F547" s="26" t="s">
        <v>187</v>
      </c>
      <c r="G547" s="27" t="s">
        <v>15</v>
      </c>
      <c r="H547" s="28">
        <v>34151</v>
      </c>
      <c r="I547" s="28">
        <v>31309</v>
      </c>
      <c r="J547" s="28">
        <v>18505</v>
      </c>
      <c r="K547" s="28">
        <v>12804</v>
      </c>
      <c r="L547" s="28">
        <v>2842</v>
      </c>
      <c r="M547" s="28">
        <v>46686</v>
      </c>
      <c r="N547" s="28">
        <v>45127</v>
      </c>
      <c r="O547" s="28">
        <v>37832</v>
      </c>
      <c r="P547" s="28">
        <v>7295</v>
      </c>
      <c r="Q547" s="28">
        <v>1559</v>
      </c>
      <c r="R547" s="29">
        <v>91.678135299999994</v>
      </c>
      <c r="S547" s="29">
        <v>54.185821799999999</v>
      </c>
      <c r="T547" s="29">
        <v>37.492313500000002</v>
      </c>
      <c r="U547" s="29">
        <v>8.3218647000000008</v>
      </c>
      <c r="V547" s="29">
        <v>96.660669200000001</v>
      </c>
      <c r="W547" s="29">
        <v>81.034999799999994</v>
      </c>
      <c r="X547" s="29">
        <v>15.6256694</v>
      </c>
      <c r="Y547" s="29">
        <v>3.3393307999999999</v>
      </c>
    </row>
    <row r="548" spans="2:25" ht="15" hidden="1" customHeight="1">
      <c r="B548" s="25">
        <v>543</v>
      </c>
      <c r="C548" s="26" t="s">
        <v>21</v>
      </c>
      <c r="D548" s="26" t="s">
        <v>162</v>
      </c>
      <c r="E548" s="26" t="s">
        <v>187</v>
      </c>
      <c r="F548" s="26" t="s">
        <v>187</v>
      </c>
      <c r="G548" s="27" t="s">
        <v>16</v>
      </c>
      <c r="H548" s="28">
        <v>1780</v>
      </c>
      <c r="I548" s="28">
        <v>737</v>
      </c>
      <c r="J548" s="28">
        <v>544</v>
      </c>
      <c r="K548" s="28">
        <v>193</v>
      </c>
      <c r="L548" s="28">
        <v>1043</v>
      </c>
      <c r="M548" s="28">
        <v>2485</v>
      </c>
      <c r="N548" s="28">
        <v>1577</v>
      </c>
      <c r="O548" s="28">
        <v>1414</v>
      </c>
      <c r="P548" s="28">
        <v>163</v>
      </c>
      <c r="Q548" s="28">
        <v>908</v>
      </c>
      <c r="R548" s="29">
        <v>41.404494399999997</v>
      </c>
      <c r="S548" s="29">
        <v>30.561797800000001</v>
      </c>
      <c r="T548" s="29">
        <v>10.8426966</v>
      </c>
      <c r="U548" s="29">
        <v>58.595505600000003</v>
      </c>
      <c r="V548" s="29">
        <v>63.460764599999997</v>
      </c>
      <c r="W548" s="29">
        <v>56.901408500000002</v>
      </c>
      <c r="X548" s="29">
        <v>6.5593560999999996</v>
      </c>
      <c r="Y548" s="29">
        <v>36.539235400000003</v>
      </c>
    </row>
    <row r="549" spans="2:25" ht="15" customHeight="1">
      <c r="B549" s="30">
        <v>544</v>
      </c>
      <c r="C549" s="31" t="s">
        <v>21</v>
      </c>
      <c r="D549" s="36" t="s">
        <v>162</v>
      </c>
      <c r="E549" s="36" t="s">
        <v>187</v>
      </c>
      <c r="F549" s="36" t="s">
        <v>188</v>
      </c>
      <c r="G549" s="37" t="s">
        <v>188</v>
      </c>
      <c r="H549" s="32">
        <v>11603</v>
      </c>
      <c r="I549" s="32">
        <v>7716</v>
      </c>
      <c r="J549" s="32">
        <v>4864</v>
      </c>
      <c r="K549" s="32">
        <v>2852</v>
      </c>
      <c r="L549" s="32">
        <v>3887</v>
      </c>
      <c r="M549" s="32">
        <v>17824</v>
      </c>
      <c r="N549" s="32">
        <v>14781</v>
      </c>
      <c r="O549" s="32">
        <v>12929</v>
      </c>
      <c r="P549" s="32">
        <v>1852</v>
      </c>
      <c r="Q549" s="32">
        <v>3043</v>
      </c>
      <c r="R549" s="33">
        <v>66.500043099999999</v>
      </c>
      <c r="S549" s="33">
        <v>41.920193099999999</v>
      </c>
      <c r="T549" s="33">
        <v>24.57985</v>
      </c>
      <c r="U549" s="33">
        <v>33.499956900000001</v>
      </c>
      <c r="V549" s="33">
        <v>82.927513500000003</v>
      </c>
      <c r="W549" s="33">
        <v>72.537028699999993</v>
      </c>
      <c r="X549" s="33">
        <v>10.3904847</v>
      </c>
      <c r="Y549" s="33">
        <v>17.0724865</v>
      </c>
    </row>
    <row r="550" spans="2:25" ht="15" hidden="1" customHeight="1">
      <c r="B550" s="25">
        <v>545</v>
      </c>
      <c r="C550" s="26" t="s">
        <v>21</v>
      </c>
      <c r="D550" s="26" t="s">
        <v>162</v>
      </c>
      <c r="E550" s="26" t="s">
        <v>187</v>
      </c>
      <c r="F550" s="26" t="s">
        <v>188</v>
      </c>
      <c r="G550" s="27" t="s">
        <v>15</v>
      </c>
      <c r="H550" s="28">
        <v>3778</v>
      </c>
      <c r="I550" s="28">
        <v>2870</v>
      </c>
      <c r="J550" s="28">
        <v>1793</v>
      </c>
      <c r="K550" s="28">
        <v>1077</v>
      </c>
      <c r="L550" s="28">
        <v>908</v>
      </c>
      <c r="M550" s="28">
        <v>11577</v>
      </c>
      <c r="N550" s="28">
        <v>10484</v>
      </c>
      <c r="O550" s="28">
        <v>9137</v>
      </c>
      <c r="P550" s="28">
        <v>1347</v>
      </c>
      <c r="Q550" s="28">
        <v>1093</v>
      </c>
      <c r="R550" s="29">
        <v>75.966119599999999</v>
      </c>
      <c r="S550" s="29">
        <v>47.458973</v>
      </c>
      <c r="T550" s="29">
        <v>28.507146599999999</v>
      </c>
      <c r="U550" s="29">
        <v>24.033880400000001</v>
      </c>
      <c r="V550" s="29">
        <v>90.558866699999996</v>
      </c>
      <c r="W550" s="29">
        <v>78.923728100000005</v>
      </c>
      <c r="X550" s="29">
        <v>11.635138599999999</v>
      </c>
      <c r="Y550" s="29">
        <v>9.4411333000000006</v>
      </c>
    </row>
    <row r="551" spans="2:25" ht="15" hidden="1" customHeight="1">
      <c r="B551" s="25">
        <v>546</v>
      </c>
      <c r="C551" s="26" t="s">
        <v>21</v>
      </c>
      <c r="D551" s="26" t="s">
        <v>162</v>
      </c>
      <c r="E551" s="26" t="s">
        <v>187</v>
      </c>
      <c r="F551" s="26" t="s">
        <v>188</v>
      </c>
      <c r="G551" s="27" t="s">
        <v>16</v>
      </c>
      <c r="H551" s="28">
        <v>7825</v>
      </c>
      <c r="I551" s="28">
        <v>4846</v>
      </c>
      <c r="J551" s="28">
        <v>3071</v>
      </c>
      <c r="K551" s="28">
        <v>1775</v>
      </c>
      <c r="L551" s="28">
        <v>2979</v>
      </c>
      <c r="M551" s="28">
        <v>6247</v>
      </c>
      <c r="N551" s="28">
        <v>4297</v>
      </c>
      <c r="O551" s="28">
        <v>3792</v>
      </c>
      <c r="P551" s="28">
        <v>505</v>
      </c>
      <c r="Q551" s="28">
        <v>1950</v>
      </c>
      <c r="R551" s="29">
        <v>61.929712500000001</v>
      </c>
      <c r="S551" s="29">
        <v>39.246006399999999</v>
      </c>
      <c r="T551" s="29">
        <v>22.683706099999998</v>
      </c>
      <c r="U551" s="29">
        <v>38.070287499999999</v>
      </c>
      <c r="V551" s="29">
        <v>68.785016799999994</v>
      </c>
      <c r="W551" s="29">
        <v>60.701136499999997</v>
      </c>
      <c r="X551" s="29">
        <v>8.0838803000000006</v>
      </c>
      <c r="Y551" s="29">
        <v>31.214983199999999</v>
      </c>
    </row>
    <row r="552" spans="2:25" ht="15" customHeight="1">
      <c r="B552" s="30">
        <v>547</v>
      </c>
      <c r="C552" s="31" t="s">
        <v>21</v>
      </c>
      <c r="D552" s="36" t="s">
        <v>162</v>
      </c>
      <c r="E552" s="36" t="s">
        <v>187</v>
      </c>
      <c r="F552" s="36" t="s">
        <v>189</v>
      </c>
      <c r="G552" s="37" t="s">
        <v>189</v>
      </c>
      <c r="H552" s="32">
        <v>13857</v>
      </c>
      <c r="I552" s="32">
        <v>11767</v>
      </c>
      <c r="J552" s="32">
        <v>6891</v>
      </c>
      <c r="K552" s="32">
        <v>4876</v>
      </c>
      <c r="L552" s="32">
        <v>2090</v>
      </c>
      <c r="M552" s="32">
        <v>17932</v>
      </c>
      <c r="N552" s="32">
        <v>17001</v>
      </c>
      <c r="O552" s="32">
        <v>14312</v>
      </c>
      <c r="P552" s="32">
        <v>2689</v>
      </c>
      <c r="Q552" s="32">
        <v>931</v>
      </c>
      <c r="R552" s="33">
        <v>84.917370300000002</v>
      </c>
      <c r="S552" s="33">
        <v>49.729378699999998</v>
      </c>
      <c r="T552" s="33">
        <v>35.187991599999997</v>
      </c>
      <c r="U552" s="33">
        <v>15.0826297</v>
      </c>
      <c r="V552" s="33">
        <v>94.808164199999993</v>
      </c>
      <c r="W552" s="33">
        <v>79.812625499999996</v>
      </c>
      <c r="X552" s="33">
        <v>14.995538700000001</v>
      </c>
      <c r="Y552" s="33">
        <v>5.1918357999999998</v>
      </c>
    </row>
    <row r="553" spans="2:25" ht="15" hidden="1" customHeight="1">
      <c r="B553" s="25">
        <v>548</v>
      </c>
      <c r="C553" s="26" t="s">
        <v>21</v>
      </c>
      <c r="D553" s="26" t="s">
        <v>162</v>
      </c>
      <c r="E553" s="26" t="s">
        <v>187</v>
      </c>
      <c r="F553" s="26" t="s">
        <v>189</v>
      </c>
      <c r="G553" s="27" t="s">
        <v>15</v>
      </c>
      <c r="H553" s="28">
        <v>12525</v>
      </c>
      <c r="I553" s="28">
        <v>11255</v>
      </c>
      <c r="J553" s="28">
        <v>6568</v>
      </c>
      <c r="K553" s="28">
        <v>4687</v>
      </c>
      <c r="L553" s="28">
        <v>1270</v>
      </c>
      <c r="M553" s="28">
        <v>16820</v>
      </c>
      <c r="N553" s="28">
        <v>16399</v>
      </c>
      <c r="O553" s="28">
        <v>13765</v>
      </c>
      <c r="P553" s="28">
        <v>2634</v>
      </c>
      <c r="Q553" s="28">
        <v>421</v>
      </c>
      <c r="R553" s="29">
        <v>89.860279399999996</v>
      </c>
      <c r="S553" s="29">
        <v>52.439121800000002</v>
      </c>
      <c r="T553" s="29">
        <v>37.421157700000002</v>
      </c>
      <c r="U553" s="29">
        <v>10.1397206</v>
      </c>
      <c r="V553" s="29">
        <v>97.497027299999999</v>
      </c>
      <c r="W553" s="29">
        <v>81.837098699999999</v>
      </c>
      <c r="X553" s="29">
        <v>15.6599287</v>
      </c>
      <c r="Y553" s="29">
        <v>2.5029726999999999</v>
      </c>
    </row>
    <row r="554" spans="2:25" ht="15" hidden="1" customHeight="1">
      <c r="B554" s="25">
        <v>549</v>
      </c>
      <c r="C554" s="26" t="s">
        <v>21</v>
      </c>
      <c r="D554" s="26" t="s">
        <v>162</v>
      </c>
      <c r="E554" s="26" t="s">
        <v>187</v>
      </c>
      <c r="F554" s="26" t="s">
        <v>189</v>
      </c>
      <c r="G554" s="27" t="s">
        <v>16</v>
      </c>
      <c r="H554" s="28">
        <v>1332</v>
      </c>
      <c r="I554" s="28">
        <v>512</v>
      </c>
      <c r="J554" s="28">
        <v>323</v>
      </c>
      <c r="K554" s="28">
        <v>189</v>
      </c>
      <c r="L554" s="28">
        <v>820</v>
      </c>
      <c r="M554" s="28">
        <v>1112</v>
      </c>
      <c r="N554" s="28">
        <v>602</v>
      </c>
      <c r="O554" s="28">
        <v>547</v>
      </c>
      <c r="P554" s="28">
        <v>55</v>
      </c>
      <c r="Q554" s="28">
        <v>510</v>
      </c>
      <c r="R554" s="29">
        <v>38.438438400000003</v>
      </c>
      <c r="S554" s="29">
        <v>24.249249200000001</v>
      </c>
      <c r="T554" s="29">
        <v>14.1891892</v>
      </c>
      <c r="U554" s="29">
        <v>61.561561599999997</v>
      </c>
      <c r="V554" s="29">
        <v>54.136690600000001</v>
      </c>
      <c r="W554" s="29">
        <v>49.190647499999997</v>
      </c>
      <c r="X554" s="29">
        <v>4.9460432000000001</v>
      </c>
      <c r="Y554" s="29">
        <v>45.863309399999999</v>
      </c>
    </row>
    <row r="555" spans="2:25" ht="15" customHeight="1">
      <c r="B555" s="30">
        <v>550</v>
      </c>
      <c r="C555" s="31" t="s">
        <v>21</v>
      </c>
      <c r="D555" s="36" t="s">
        <v>162</v>
      </c>
      <c r="E555" s="36" t="s">
        <v>187</v>
      </c>
      <c r="F555" s="36" t="s">
        <v>190</v>
      </c>
      <c r="G555" s="37" t="s">
        <v>190</v>
      </c>
      <c r="H555" s="32">
        <v>14312</v>
      </c>
      <c r="I555" s="32">
        <v>10416</v>
      </c>
      <c r="J555" s="32">
        <v>6192</v>
      </c>
      <c r="K555" s="32">
        <v>4224</v>
      </c>
      <c r="L555" s="32">
        <v>3896</v>
      </c>
      <c r="M555" s="32">
        <v>17058</v>
      </c>
      <c r="N555" s="32">
        <v>15417</v>
      </c>
      <c r="O555" s="32">
        <v>12962</v>
      </c>
      <c r="P555" s="32">
        <v>2455</v>
      </c>
      <c r="Q555" s="32">
        <v>1641</v>
      </c>
      <c r="R555" s="33">
        <v>72.778088299999993</v>
      </c>
      <c r="S555" s="33">
        <v>43.264393499999997</v>
      </c>
      <c r="T555" s="33">
        <v>29.5136948</v>
      </c>
      <c r="U555" s="33">
        <v>27.2219117</v>
      </c>
      <c r="V555" s="33">
        <v>90.379880400000005</v>
      </c>
      <c r="W555" s="33">
        <v>75.987806300000003</v>
      </c>
      <c r="X555" s="33">
        <v>14.3920741</v>
      </c>
      <c r="Y555" s="33">
        <v>9.6201196000000007</v>
      </c>
    </row>
    <row r="556" spans="2:25" ht="15" hidden="1" customHeight="1">
      <c r="B556" s="25">
        <v>551</v>
      </c>
      <c r="C556" s="26" t="s">
        <v>21</v>
      </c>
      <c r="D556" s="26" t="s">
        <v>162</v>
      </c>
      <c r="E556" s="26" t="s">
        <v>187</v>
      </c>
      <c r="F556" s="26" t="s">
        <v>190</v>
      </c>
      <c r="G556" s="27" t="s">
        <v>15</v>
      </c>
      <c r="H556" s="28">
        <v>11280</v>
      </c>
      <c r="I556" s="28">
        <v>8864</v>
      </c>
      <c r="J556" s="28">
        <v>5119</v>
      </c>
      <c r="K556" s="28">
        <v>3745</v>
      </c>
      <c r="L556" s="28">
        <v>2416</v>
      </c>
      <c r="M556" s="28">
        <v>14242</v>
      </c>
      <c r="N556" s="28">
        <v>13439</v>
      </c>
      <c r="O556" s="28">
        <v>11144</v>
      </c>
      <c r="P556" s="28">
        <v>2295</v>
      </c>
      <c r="Q556" s="28">
        <v>803</v>
      </c>
      <c r="R556" s="29">
        <v>78.581560300000007</v>
      </c>
      <c r="S556" s="29">
        <v>45.381205700000002</v>
      </c>
      <c r="T556" s="29">
        <v>33.200354599999997</v>
      </c>
      <c r="U556" s="29">
        <v>21.4184397</v>
      </c>
      <c r="V556" s="29">
        <v>94.3617469</v>
      </c>
      <c r="W556" s="29">
        <v>78.247437199999993</v>
      </c>
      <c r="X556" s="29">
        <v>16.114309800000001</v>
      </c>
      <c r="Y556" s="29">
        <v>5.6382531</v>
      </c>
    </row>
    <row r="557" spans="2:25" ht="15" hidden="1" customHeight="1">
      <c r="B557" s="25">
        <v>552</v>
      </c>
      <c r="C557" s="26" t="s">
        <v>21</v>
      </c>
      <c r="D557" s="26" t="s">
        <v>162</v>
      </c>
      <c r="E557" s="26" t="s">
        <v>187</v>
      </c>
      <c r="F557" s="26" t="s">
        <v>190</v>
      </c>
      <c r="G557" s="27" t="s">
        <v>16</v>
      </c>
      <c r="H557" s="28">
        <v>3032</v>
      </c>
      <c r="I557" s="28">
        <v>1552</v>
      </c>
      <c r="J557" s="28">
        <v>1073</v>
      </c>
      <c r="K557" s="28">
        <v>479</v>
      </c>
      <c r="L557" s="28">
        <v>1480</v>
      </c>
      <c r="M557" s="28">
        <v>2816</v>
      </c>
      <c r="N557" s="28">
        <v>1978</v>
      </c>
      <c r="O557" s="28">
        <v>1818</v>
      </c>
      <c r="P557" s="28">
        <v>160</v>
      </c>
      <c r="Q557" s="28">
        <v>838</v>
      </c>
      <c r="R557" s="29">
        <v>51.187335099999999</v>
      </c>
      <c r="S557" s="29">
        <v>35.389182099999999</v>
      </c>
      <c r="T557" s="29">
        <v>15.798152999999999</v>
      </c>
      <c r="U557" s="29">
        <v>48.812664900000001</v>
      </c>
      <c r="V557" s="29">
        <v>70.2414773</v>
      </c>
      <c r="W557" s="29">
        <v>64.559659100000005</v>
      </c>
      <c r="X557" s="29">
        <v>5.6818182000000004</v>
      </c>
      <c r="Y557" s="29">
        <v>29.7585227</v>
      </c>
    </row>
    <row r="558" spans="2:25" ht="15" customHeight="1">
      <c r="B558" s="30">
        <v>553</v>
      </c>
      <c r="C558" s="31" t="s">
        <v>21</v>
      </c>
      <c r="D558" s="36" t="s">
        <v>162</v>
      </c>
      <c r="E558" s="36" t="s">
        <v>187</v>
      </c>
      <c r="F558" s="36" t="s">
        <v>191</v>
      </c>
      <c r="G558" s="37" t="s">
        <v>191</v>
      </c>
      <c r="H558" s="32">
        <v>13514</v>
      </c>
      <c r="I558" s="32">
        <v>12819</v>
      </c>
      <c r="J558" s="32">
        <v>7870</v>
      </c>
      <c r="K558" s="32">
        <v>4949</v>
      </c>
      <c r="L558" s="32">
        <v>695</v>
      </c>
      <c r="M558" s="32">
        <v>19190</v>
      </c>
      <c r="N558" s="32">
        <v>18725</v>
      </c>
      <c r="O558" s="32">
        <v>15970</v>
      </c>
      <c r="P558" s="32">
        <v>2755</v>
      </c>
      <c r="Q558" s="32">
        <v>465</v>
      </c>
      <c r="R558" s="33">
        <v>94.857185099999995</v>
      </c>
      <c r="S558" s="33">
        <v>58.235903499999999</v>
      </c>
      <c r="T558" s="33">
        <v>36.621281600000003</v>
      </c>
      <c r="U558" s="33">
        <v>5.1428149000000003</v>
      </c>
      <c r="V558" s="33">
        <v>97.576862899999995</v>
      </c>
      <c r="W558" s="33">
        <v>83.220427299999997</v>
      </c>
      <c r="X558" s="33">
        <v>14.356435599999999</v>
      </c>
      <c r="Y558" s="33">
        <v>2.4231370999999999</v>
      </c>
    </row>
    <row r="559" spans="2:25" ht="15" hidden="1" customHeight="1">
      <c r="B559" s="25">
        <v>554</v>
      </c>
      <c r="C559" s="26" t="s">
        <v>21</v>
      </c>
      <c r="D559" s="26" t="s">
        <v>162</v>
      </c>
      <c r="E559" s="26" t="s">
        <v>187</v>
      </c>
      <c r="F559" s="26" t="s">
        <v>191</v>
      </c>
      <c r="G559" s="27" t="s">
        <v>15</v>
      </c>
      <c r="H559" s="28">
        <v>13514</v>
      </c>
      <c r="I559" s="28">
        <v>12819</v>
      </c>
      <c r="J559" s="28">
        <v>7870</v>
      </c>
      <c r="K559" s="28">
        <v>4949</v>
      </c>
      <c r="L559" s="28">
        <v>695</v>
      </c>
      <c r="M559" s="28">
        <v>19190</v>
      </c>
      <c r="N559" s="28">
        <v>18725</v>
      </c>
      <c r="O559" s="28">
        <v>15970</v>
      </c>
      <c r="P559" s="28">
        <v>2755</v>
      </c>
      <c r="Q559" s="28">
        <v>465</v>
      </c>
      <c r="R559" s="29">
        <v>94.857185099999995</v>
      </c>
      <c r="S559" s="29">
        <v>58.235903499999999</v>
      </c>
      <c r="T559" s="29">
        <v>36.621281600000003</v>
      </c>
      <c r="U559" s="29">
        <v>5.1428149000000003</v>
      </c>
      <c r="V559" s="29">
        <v>97.576862899999995</v>
      </c>
      <c r="W559" s="29">
        <v>83.220427299999997</v>
      </c>
      <c r="X559" s="29">
        <v>14.356435599999999</v>
      </c>
      <c r="Y559" s="29">
        <v>2.4231370999999999</v>
      </c>
    </row>
    <row r="560" spans="2:25" ht="15" hidden="1" customHeight="1">
      <c r="B560" s="25">
        <v>555</v>
      </c>
      <c r="C560" s="26" t="s">
        <v>21</v>
      </c>
      <c r="D560" s="26" t="s">
        <v>162</v>
      </c>
      <c r="E560" s="26" t="s">
        <v>187</v>
      </c>
      <c r="F560" s="26" t="s">
        <v>191</v>
      </c>
      <c r="G560" s="27" t="s">
        <v>16</v>
      </c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9"/>
      <c r="S560" s="29"/>
      <c r="T560" s="29"/>
      <c r="U560" s="29"/>
      <c r="V560" s="29"/>
      <c r="W560" s="29"/>
      <c r="X560" s="29"/>
      <c r="Y560" s="29"/>
    </row>
    <row r="561" spans="2:25" ht="15" hidden="1" customHeight="1">
      <c r="B561" s="21">
        <v>556</v>
      </c>
      <c r="C561" s="22" t="s">
        <v>19</v>
      </c>
      <c r="D561" s="35" t="s">
        <v>162</v>
      </c>
      <c r="E561" s="35" t="s">
        <v>192</v>
      </c>
      <c r="F561" s="35"/>
      <c r="G561" s="22" t="s">
        <v>192</v>
      </c>
      <c r="H561" s="23">
        <v>80283</v>
      </c>
      <c r="I561" s="23">
        <v>57171</v>
      </c>
      <c r="J561" s="23">
        <v>37970</v>
      </c>
      <c r="K561" s="23">
        <v>19201</v>
      </c>
      <c r="L561" s="23">
        <v>23112</v>
      </c>
      <c r="M561" s="23">
        <v>119757</v>
      </c>
      <c r="N561" s="23">
        <v>94138</v>
      </c>
      <c r="O561" s="23">
        <v>83357</v>
      </c>
      <c r="P561" s="23">
        <v>10781</v>
      </c>
      <c r="Q561" s="23">
        <v>25619</v>
      </c>
      <c r="R561" s="24">
        <v>71.211838099999994</v>
      </c>
      <c r="S561" s="24">
        <v>47.295193300000001</v>
      </c>
      <c r="T561" s="24">
        <v>23.916644900000001</v>
      </c>
      <c r="U561" s="24">
        <v>28.788161899999999</v>
      </c>
      <c r="V561" s="24">
        <v>78.607513499999996</v>
      </c>
      <c r="W561" s="24">
        <v>69.605117000000007</v>
      </c>
      <c r="X561" s="24">
        <v>9.0023964999999997</v>
      </c>
      <c r="Y561" s="24">
        <v>21.3924865</v>
      </c>
    </row>
    <row r="562" spans="2:25" ht="15" hidden="1" customHeight="1">
      <c r="B562" s="25">
        <v>557</v>
      </c>
      <c r="C562" s="26" t="s">
        <v>19</v>
      </c>
      <c r="D562" s="26" t="s">
        <v>162</v>
      </c>
      <c r="E562" s="26" t="s">
        <v>192</v>
      </c>
      <c r="F562" s="26"/>
      <c r="G562" s="27" t="s">
        <v>15</v>
      </c>
      <c r="H562" s="28">
        <v>43500</v>
      </c>
      <c r="I562" s="28">
        <v>37240</v>
      </c>
      <c r="J562" s="28">
        <v>23829</v>
      </c>
      <c r="K562" s="28">
        <v>13411</v>
      </c>
      <c r="L562" s="28">
        <v>6260</v>
      </c>
      <c r="M562" s="28">
        <v>64168</v>
      </c>
      <c r="N562" s="28">
        <v>59349</v>
      </c>
      <c r="O562" s="28">
        <v>51024</v>
      </c>
      <c r="P562" s="28">
        <v>8325</v>
      </c>
      <c r="Q562" s="28">
        <v>4819</v>
      </c>
      <c r="R562" s="29">
        <v>85.609195400000004</v>
      </c>
      <c r="S562" s="29">
        <v>54.779310299999999</v>
      </c>
      <c r="T562" s="29">
        <v>30.829885099999998</v>
      </c>
      <c r="U562" s="29">
        <v>14.390804599999999</v>
      </c>
      <c r="V562" s="29">
        <v>92.490026200000003</v>
      </c>
      <c r="W562" s="29">
        <v>79.516269800000003</v>
      </c>
      <c r="X562" s="29">
        <v>12.973756399999999</v>
      </c>
      <c r="Y562" s="29">
        <v>7.5099738</v>
      </c>
    </row>
    <row r="563" spans="2:25" ht="15" hidden="1" customHeight="1">
      <c r="B563" s="25">
        <v>558</v>
      </c>
      <c r="C563" s="26" t="s">
        <v>19</v>
      </c>
      <c r="D563" s="26" t="s">
        <v>162</v>
      </c>
      <c r="E563" s="26" t="s">
        <v>192</v>
      </c>
      <c r="F563" s="26"/>
      <c r="G563" s="27" t="s">
        <v>16</v>
      </c>
      <c r="H563" s="28">
        <v>36783</v>
      </c>
      <c r="I563" s="28">
        <v>19931</v>
      </c>
      <c r="J563" s="28">
        <v>14141</v>
      </c>
      <c r="K563" s="28">
        <v>5790</v>
      </c>
      <c r="L563" s="28">
        <v>16852</v>
      </c>
      <c r="M563" s="28">
        <v>55589</v>
      </c>
      <c r="N563" s="28">
        <v>34789</v>
      </c>
      <c r="O563" s="28">
        <v>32333</v>
      </c>
      <c r="P563" s="28">
        <v>2456</v>
      </c>
      <c r="Q563" s="28">
        <v>20800</v>
      </c>
      <c r="R563" s="29">
        <v>54.185357400000001</v>
      </c>
      <c r="S563" s="29">
        <v>38.4443901</v>
      </c>
      <c r="T563" s="29">
        <v>15.740967299999999</v>
      </c>
      <c r="U563" s="29">
        <v>45.814642599999999</v>
      </c>
      <c r="V563" s="29">
        <v>62.5825253</v>
      </c>
      <c r="W563" s="29">
        <v>58.164385000000003</v>
      </c>
      <c r="X563" s="29">
        <v>4.4181403000000001</v>
      </c>
      <c r="Y563" s="29">
        <v>37.4174747</v>
      </c>
    </row>
    <row r="564" spans="2:25" ht="15" customHeight="1">
      <c r="B564" s="30">
        <v>559</v>
      </c>
      <c r="C564" s="31" t="s">
        <v>21</v>
      </c>
      <c r="D564" s="36" t="s">
        <v>162</v>
      </c>
      <c r="E564" s="36" t="s">
        <v>192</v>
      </c>
      <c r="F564" s="36" t="s">
        <v>193</v>
      </c>
      <c r="G564" s="37" t="s">
        <v>193</v>
      </c>
      <c r="H564" s="32">
        <v>47536</v>
      </c>
      <c r="I564" s="32">
        <v>37263</v>
      </c>
      <c r="J564" s="32">
        <v>24244</v>
      </c>
      <c r="K564" s="32">
        <v>13019</v>
      </c>
      <c r="L564" s="32">
        <v>10273</v>
      </c>
      <c r="M564" s="32">
        <v>69313</v>
      </c>
      <c r="N564" s="32">
        <v>60680</v>
      </c>
      <c r="O564" s="32">
        <v>53028</v>
      </c>
      <c r="P564" s="32">
        <v>7652</v>
      </c>
      <c r="Q564" s="32">
        <v>8633</v>
      </c>
      <c r="R564" s="33">
        <v>78.389010400000004</v>
      </c>
      <c r="S564" s="33">
        <v>51.001346300000002</v>
      </c>
      <c r="T564" s="33">
        <v>27.387664099999999</v>
      </c>
      <c r="U564" s="33">
        <v>21.6109896</v>
      </c>
      <c r="V564" s="33">
        <v>87.544905</v>
      </c>
      <c r="W564" s="33">
        <v>76.505128900000003</v>
      </c>
      <c r="X564" s="33">
        <v>11.039776099999999</v>
      </c>
      <c r="Y564" s="33">
        <v>12.455095</v>
      </c>
    </row>
    <row r="565" spans="2:25" ht="15" hidden="1" customHeight="1">
      <c r="B565" s="25">
        <v>560</v>
      </c>
      <c r="C565" s="26" t="s">
        <v>21</v>
      </c>
      <c r="D565" s="26" t="s">
        <v>162</v>
      </c>
      <c r="E565" s="26" t="s">
        <v>192</v>
      </c>
      <c r="F565" s="26" t="s">
        <v>193</v>
      </c>
      <c r="G565" s="27" t="s">
        <v>15</v>
      </c>
      <c r="H565" s="28">
        <v>40192</v>
      </c>
      <c r="I565" s="28">
        <v>34440</v>
      </c>
      <c r="J565" s="28">
        <v>22267</v>
      </c>
      <c r="K565" s="28">
        <v>12173</v>
      </c>
      <c r="L565" s="28">
        <v>5752</v>
      </c>
      <c r="M565" s="28">
        <v>59013</v>
      </c>
      <c r="N565" s="28">
        <v>54696</v>
      </c>
      <c r="O565" s="28">
        <v>47484</v>
      </c>
      <c r="P565" s="28">
        <v>7212</v>
      </c>
      <c r="Q565" s="28">
        <v>4317</v>
      </c>
      <c r="R565" s="29">
        <v>85.688694299999995</v>
      </c>
      <c r="S565" s="29">
        <v>55.4015725</v>
      </c>
      <c r="T565" s="29">
        <v>30.287121800000001</v>
      </c>
      <c r="U565" s="29">
        <v>14.3113057</v>
      </c>
      <c r="V565" s="29">
        <v>92.684662700000004</v>
      </c>
      <c r="W565" s="29">
        <v>80.463626700000006</v>
      </c>
      <c r="X565" s="29">
        <v>12.221036</v>
      </c>
      <c r="Y565" s="29">
        <v>7.3153373000000004</v>
      </c>
    </row>
    <row r="566" spans="2:25" ht="15" hidden="1" customHeight="1">
      <c r="B566" s="25">
        <v>561</v>
      </c>
      <c r="C566" s="26" t="s">
        <v>21</v>
      </c>
      <c r="D566" s="26" t="s">
        <v>162</v>
      </c>
      <c r="E566" s="26" t="s">
        <v>192</v>
      </c>
      <c r="F566" s="26" t="s">
        <v>193</v>
      </c>
      <c r="G566" s="27" t="s">
        <v>16</v>
      </c>
      <c r="H566" s="28">
        <v>7344</v>
      </c>
      <c r="I566" s="28">
        <v>2823</v>
      </c>
      <c r="J566" s="28">
        <v>1977</v>
      </c>
      <c r="K566" s="28">
        <v>846</v>
      </c>
      <c r="L566" s="28">
        <v>4521</v>
      </c>
      <c r="M566" s="28">
        <v>10300</v>
      </c>
      <c r="N566" s="28">
        <v>5984</v>
      </c>
      <c r="O566" s="28">
        <v>5544</v>
      </c>
      <c r="P566" s="28">
        <v>440</v>
      </c>
      <c r="Q566" s="28">
        <v>4316</v>
      </c>
      <c r="R566" s="29">
        <v>38.439542500000002</v>
      </c>
      <c r="S566" s="29">
        <v>26.919934600000001</v>
      </c>
      <c r="T566" s="29">
        <v>11.519607799999999</v>
      </c>
      <c r="U566" s="29">
        <v>61.560457499999998</v>
      </c>
      <c r="V566" s="29">
        <v>58.097087399999999</v>
      </c>
      <c r="W566" s="29">
        <v>53.825242699999997</v>
      </c>
      <c r="X566" s="29">
        <v>4.2718446999999999</v>
      </c>
      <c r="Y566" s="29">
        <v>41.902912600000001</v>
      </c>
    </row>
    <row r="567" spans="2:25" ht="15" customHeight="1">
      <c r="B567" s="30">
        <v>562</v>
      </c>
      <c r="C567" s="31" t="s">
        <v>21</v>
      </c>
      <c r="D567" s="36" t="s">
        <v>162</v>
      </c>
      <c r="E567" s="36" t="s">
        <v>192</v>
      </c>
      <c r="F567" s="36" t="s">
        <v>194</v>
      </c>
      <c r="G567" s="37" t="s">
        <v>194</v>
      </c>
      <c r="H567" s="32">
        <v>6022</v>
      </c>
      <c r="I567" s="32">
        <v>3632</v>
      </c>
      <c r="J567" s="32">
        <v>2599</v>
      </c>
      <c r="K567" s="32">
        <v>1033</v>
      </c>
      <c r="L567" s="32">
        <v>2390</v>
      </c>
      <c r="M567" s="32">
        <v>8493</v>
      </c>
      <c r="N567" s="32">
        <v>5852</v>
      </c>
      <c r="O567" s="32">
        <v>5461</v>
      </c>
      <c r="P567" s="32">
        <v>391</v>
      </c>
      <c r="Q567" s="32">
        <v>2641</v>
      </c>
      <c r="R567" s="33">
        <v>60.312188599999999</v>
      </c>
      <c r="S567" s="33">
        <v>43.158419100000003</v>
      </c>
      <c r="T567" s="33">
        <v>17.153769499999999</v>
      </c>
      <c r="U567" s="33">
        <v>39.687811400000001</v>
      </c>
      <c r="V567" s="33">
        <v>68.903803100000005</v>
      </c>
      <c r="W567" s="33">
        <v>64.300011799999993</v>
      </c>
      <c r="X567" s="33">
        <v>4.6037914000000004</v>
      </c>
      <c r="Y567" s="33">
        <v>31.096196899999999</v>
      </c>
    </row>
    <row r="568" spans="2:25" ht="15" hidden="1" customHeight="1">
      <c r="B568" s="25">
        <v>563</v>
      </c>
      <c r="C568" s="26" t="s">
        <v>21</v>
      </c>
      <c r="D568" s="26" t="s">
        <v>162</v>
      </c>
      <c r="E568" s="26" t="s">
        <v>192</v>
      </c>
      <c r="F568" s="26" t="s">
        <v>194</v>
      </c>
      <c r="G568" s="27" t="s">
        <v>15</v>
      </c>
      <c r="H568" s="28">
        <v>1016</v>
      </c>
      <c r="I568" s="28">
        <v>905</v>
      </c>
      <c r="J568" s="28">
        <v>622</v>
      </c>
      <c r="K568" s="28">
        <v>283</v>
      </c>
      <c r="L568" s="28">
        <v>111</v>
      </c>
      <c r="M568" s="28">
        <v>1257</v>
      </c>
      <c r="N568" s="28">
        <v>1169</v>
      </c>
      <c r="O568" s="28">
        <v>1093</v>
      </c>
      <c r="P568" s="28">
        <v>76</v>
      </c>
      <c r="Q568" s="28">
        <v>88</v>
      </c>
      <c r="R568" s="29">
        <v>89.074803099999997</v>
      </c>
      <c r="S568" s="29">
        <v>61.220472399999998</v>
      </c>
      <c r="T568" s="29">
        <v>27.854330699999998</v>
      </c>
      <c r="U568" s="29">
        <v>10.9251969</v>
      </c>
      <c r="V568" s="29">
        <v>92.999204500000005</v>
      </c>
      <c r="W568" s="29">
        <v>86.953062799999998</v>
      </c>
      <c r="X568" s="29">
        <v>6.0461416000000003</v>
      </c>
      <c r="Y568" s="29">
        <v>7.0007954999999997</v>
      </c>
    </row>
    <row r="569" spans="2:25" ht="15" hidden="1" customHeight="1">
      <c r="B569" s="25">
        <v>564</v>
      </c>
      <c r="C569" s="26" t="s">
        <v>21</v>
      </c>
      <c r="D569" s="26" t="s">
        <v>162</v>
      </c>
      <c r="E569" s="26" t="s">
        <v>192</v>
      </c>
      <c r="F569" s="26" t="s">
        <v>194</v>
      </c>
      <c r="G569" s="27" t="s">
        <v>16</v>
      </c>
      <c r="H569" s="28">
        <v>5006</v>
      </c>
      <c r="I569" s="28">
        <v>2727</v>
      </c>
      <c r="J569" s="28">
        <v>1977</v>
      </c>
      <c r="K569" s="28">
        <v>750</v>
      </c>
      <c r="L569" s="28">
        <v>2279</v>
      </c>
      <c r="M569" s="28">
        <v>7236</v>
      </c>
      <c r="N569" s="28">
        <v>4683</v>
      </c>
      <c r="O569" s="28">
        <v>4368</v>
      </c>
      <c r="P569" s="28">
        <v>315</v>
      </c>
      <c r="Q569" s="28">
        <v>2553</v>
      </c>
      <c r="R569" s="29">
        <v>54.474630400000002</v>
      </c>
      <c r="S569" s="29">
        <v>39.4926089</v>
      </c>
      <c r="T569" s="29">
        <v>14.982021599999999</v>
      </c>
      <c r="U569" s="29">
        <v>45.525369599999998</v>
      </c>
      <c r="V569" s="29">
        <v>64.718076300000007</v>
      </c>
      <c r="W569" s="29">
        <v>60.364842500000002</v>
      </c>
      <c r="X569" s="29">
        <v>4.3532337999999999</v>
      </c>
      <c r="Y569" s="29">
        <v>35.2819237</v>
      </c>
    </row>
    <row r="570" spans="2:25" ht="15" customHeight="1">
      <c r="B570" s="30">
        <v>565</v>
      </c>
      <c r="C570" s="31" t="s">
        <v>21</v>
      </c>
      <c r="D570" s="36" t="s">
        <v>162</v>
      </c>
      <c r="E570" s="36" t="s">
        <v>192</v>
      </c>
      <c r="F570" s="36" t="s">
        <v>195</v>
      </c>
      <c r="G570" s="37" t="s">
        <v>195</v>
      </c>
      <c r="H570" s="32">
        <v>26725</v>
      </c>
      <c r="I570" s="32">
        <v>16276</v>
      </c>
      <c r="J570" s="32">
        <v>11127</v>
      </c>
      <c r="K570" s="32">
        <v>5149</v>
      </c>
      <c r="L570" s="32">
        <v>10449</v>
      </c>
      <c r="M570" s="32">
        <v>41951</v>
      </c>
      <c r="N570" s="32">
        <v>27606</v>
      </c>
      <c r="O570" s="32">
        <v>24868</v>
      </c>
      <c r="P570" s="32">
        <v>2738</v>
      </c>
      <c r="Q570" s="32">
        <v>14345</v>
      </c>
      <c r="R570" s="33">
        <v>60.9017774</v>
      </c>
      <c r="S570" s="33">
        <v>41.635173100000003</v>
      </c>
      <c r="T570" s="33">
        <v>19.266604300000001</v>
      </c>
      <c r="U570" s="33">
        <v>39.0982226</v>
      </c>
      <c r="V570" s="33">
        <v>65.805344300000002</v>
      </c>
      <c r="W570" s="33">
        <v>59.2786823</v>
      </c>
      <c r="X570" s="33">
        <v>6.5266621000000002</v>
      </c>
      <c r="Y570" s="33">
        <v>34.194655699999998</v>
      </c>
    </row>
    <row r="571" spans="2:25" ht="15" hidden="1" customHeight="1">
      <c r="B571" s="25">
        <v>566</v>
      </c>
      <c r="C571" s="26" t="s">
        <v>21</v>
      </c>
      <c r="D571" s="26" t="s">
        <v>162</v>
      </c>
      <c r="E571" s="26" t="s">
        <v>192</v>
      </c>
      <c r="F571" s="26" t="s">
        <v>195</v>
      </c>
      <c r="G571" s="27" t="s">
        <v>15</v>
      </c>
      <c r="H571" s="28">
        <v>2292</v>
      </c>
      <c r="I571" s="28">
        <v>1895</v>
      </c>
      <c r="J571" s="28">
        <v>940</v>
      </c>
      <c r="K571" s="28">
        <v>955</v>
      </c>
      <c r="L571" s="28">
        <v>397</v>
      </c>
      <c r="M571" s="28">
        <v>3898</v>
      </c>
      <c r="N571" s="28">
        <v>3484</v>
      </c>
      <c r="O571" s="28">
        <v>2447</v>
      </c>
      <c r="P571" s="28">
        <v>1037</v>
      </c>
      <c r="Q571" s="28">
        <v>414</v>
      </c>
      <c r="R571" s="29">
        <v>82.678883099999993</v>
      </c>
      <c r="S571" s="29">
        <v>41.0122164</v>
      </c>
      <c r="T571" s="29">
        <v>41.6666667</v>
      </c>
      <c r="U571" s="29">
        <v>17.3211169</v>
      </c>
      <c r="V571" s="29">
        <v>89.379168800000002</v>
      </c>
      <c r="W571" s="29">
        <v>62.775782499999998</v>
      </c>
      <c r="X571" s="29">
        <v>26.603386400000002</v>
      </c>
      <c r="Y571" s="29">
        <v>10.6208312</v>
      </c>
    </row>
    <row r="572" spans="2:25" ht="15" hidden="1" customHeight="1">
      <c r="B572" s="25">
        <v>567</v>
      </c>
      <c r="C572" s="26" t="s">
        <v>21</v>
      </c>
      <c r="D572" s="26" t="s">
        <v>162</v>
      </c>
      <c r="E572" s="26" t="s">
        <v>192</v>
      </c>
      <c r="F572" s="26" t="s">
        <v>195</v>
      </c>
      <c r="G572" s="27" t="s">
        <v>16</v>
      </c>
      <c r="H572" s="28">
        <v>24433</v>
      </c>
      <c r="I572" s="28">
        <v>14381</v>
      </c>
      <c r="J572" s="28">
        <v>10187</v>
      </c>
      <c r="K572" s="28">
        <v>4194</v>
      </c>
      <c r="L572" s="28">
        <v>10052</v>
      </c>
      <c r="M572" s="28">
        <v>38053</v>
      </c>
      <c r="N572" s="28">
        <v>24122</v>
      </c>
      <c r="O572" s="28">
        <v>22421</v>
      </c>
      <c r="P572" s="28">
        <v>1701</v>
      </c>
      <c r="Q572" s="28">
        <v>13931</v>
      </c>
      <c r="R572" s="29">
        <v>58.858920300000001</v>
      </c>
      <c r="S572" s="29">
        <v>41.693611099999998</v>
      </c>
      <c r="T572" s="29">
        <v>17.165309199999999</v>
      </c>
      <c r="U572" s="29">
        <v>41.141079699999999</v>
      </c>
      <c r="V572" s="29">
        <v>63.390534299999999</v>
      </c>
      <c r="W572" s="29">
        <v>58.920453100000003</v>
      </c>
      <c r="X572" s="29">
        <v>4.4700812000000001</v>
      </c>
      <c r="Y572" s="29">
        <v>36.609465700000001</v>
      </c>
    </row>
    <row r="573" spans="2:25" ht="15" hidden="1" customHeight="1">
      <c r="B573" s="21">
        <v>568</v>
      </c>
      <c r="C573" s="22" t="s">
        <v>19</v>
      </c>
      <c r="D573" s="35" t="s">
        <v>162</v>
      </c>
      <c r="E573" s="35" t="s">
        <v>196</v>
      </c>
      <c r="F573" s="35"/>
      <c r="G573" s="22" t="s">
        <v>196</v>
      </c>
      <c r="H573" s="23">
        <v>8113</v>
      </c>
      <c r="I573" s="23">
        <v>962</v>
      </c>
      <c r="J573" s="23">
        <v>664</v>
      </c>
      <c r="K573" s="23">
        <v>298</v>
      </c>
      <c r="L573" s="23">
        <v>7151</v>
      </c>
      <c r="M573" s="23">
        <v>9638</v>
      </c>
      <c r="N573" s="23">
        <v>1932</v>
      </c>
      <c r="O573" s="23">
        <v>1716</v>
      </c>
      <c r="P573" s="23">
        <v>216</v>
      </c>
      <c r="Q573" s="23">
        <v>7706</v>
      </c>
      <c r="R573" s="24">
        <v>11.8575126</v>
      </c>
      <c r="S573" s="24">
        <v>8.1843953999999997</v>
      </c>
      <c r="T573" s="24">
        <v>3.6731172000000001</v>
      </c>
      <c r="U573" s="24">
        <v>88.142487399999993</v>
      </c>
      <c r="V573" s="24">
        <v>20.0456526</v>
      </c>
      <c r="W573" s="24">
        <v>17.804523799999998</v>
      </c>
      <c r="X573" s="24">
        <v>2.2411289000000001</v>
      </c>
      <c r="Y573" s="24">
        <v>79.954347400000003</v>
      </c>
    </row>
    <row r="574" spans="2:25" ht="15" hidden="1" customHeight="1">
      <c r="B574" s="25">
        <v>569</v>
      </c>
      <c r="C574" s="26" t="s">
        <v>19</v>
      </c>
      <c r="D574" s="26" t="s">
        <v>162</v>
      </c>
      <c r="E574" s="26" t="s">
        <v>196</v>
      </c>
      <c r="F574" s="26"/>
      <c r="G574" s="27" t="s">
        <v>15</v>
      </c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9"/>
      <c r="S574" s="29"/>
      <c r="T574" s="29"/>
      <c r="U574" s="29"/>
      <c r="V574" s="29"/>
      <c r="W574" s="29"/>
      <c r="X574" s="29"/>
      <c r="Y574" s="29"/>
    </row>
    <row r="575" spans="2:25" ht="15" hidden="1" customHeight="1">
      <c r="B575" s="25">
        <v>570</v>
      </c>
      <c r="C575" s="26" t="s">
        <v>19</v>
      </c>
      <c r="D575" s="26" t="s">
        <v>162</v>
      </c>
      <c r="E575" s="26" t="s">
        <v>196</v>
      </c>
      <c r="F575" s="26"/>
      <c r="G575" s="27" t="s">
        <v>16</v>
      </c>
      <c r="H575" s="28">
        <v>8113</v>
      </c>
      <c r="I575" s="28">
        <v>962</v>
      </c>
      <c r="J575" s="28">
        <v>664</v>
      </c>
      <c r="K575" s="28">
        <v>298</v>
      </c>
      <c r="L575" s="28">
        <v>7151</v>
      </c>
      <c r="M575" s="28">
        <v>9638</v>
      </c>
      <c r="N575" s="28">
        <v>1932</v>
      </c>
      <c r="O575" s="28">
        <v>1716</v>
      </c>
      <c r="P575" s="28">
        <v>216</v>
      </c>
      <c r="Q575" s="28">
        <v>7706</v>
      </c>
      <c r="R575" s="29">
        <v>11.8575126</v>
      </c>
      <c r="S575" s="29">
        <v>8.1843953999999997</v>
      </c>
      <c r="T575" s="29">
        <v>3.6731172000000001</v>
      </c>
      <c r="U575" s="29">
        <v>88.142487399999993</v>
      </c>
      <c r="V575" s="29">
        <v>20.0456526</v>
      </c>
      <c r="W575" s="29">
        <v>17.804523799999998</v>
      </c>
      <c r="X575" s="29">
        <v>2.2411289000000001</v>
      </c>
      <c r="Y575" s="29">
        <v>79.954347400000003</v>
      </c>
    </row>
    <row r="576" spans="2:25" ht="15" customHeight="1">
      <c r="B576" s="30">
        <v>571</v>
      </c>
      <c r="C576" s="31" t="s">
        <v>21</v>
      </c>
      <c r="D576" s="36" t="s">
        <v>162</v>
      </c>
      <c r="E576" s="36" t="s">
        <v>196</v>
      </c>
      <c r="F576" s="36" t="s">
        <v>196</v>
      </c>
      <c r="G576" s="37" t="s">
        <v>196</v>
      </c>
      <c r="H576" s="32">
        <v>8113</v>
      </c>
      <c r="I576" s="32">
        <v>962</v>
      </c>
      <c r="J576" s="32">
        <v>664</v>
      </c>
      <c r="K576" s="32">
        <v>298</v>
      </c>
      <c r="L576" s="32">
        <v>7151</v>
      </c>
      <c r="M576" s="32">
        <v>9638</v>
      </c>
      <c r="N576" s="32">
        <v>1932</v>
      </c>
      <c r="O576" s="32">
        <v>1716</v>
      </c>
      <c r="P576" s="32">
        <v>216</v>
      </c>
      <c r="Q576" s="32">
        <v>7706</v>
      </c>
      <c r="R576" s="33">
        <v>11.8575126</v>
      </c>
      <c r="S576" s="33">
        <v>8.1843953999999997</v>
      </c>
      <c r="T576" s="33">
        <v>3.6731172000000001</v>
      </c>
      <c r="U576" s="33">
        <v>88.142487399999993</v>
      </c>
      <c r="V576" s="33">
        <v>20.0456526</v>
      </c>
      <c r="W576" s="33">
        <v>17.804523799999998</v>
      </c>
      <c r="X576" s="33">
        <v>2.2411289000000001</v>
      </c>
      <c r="Y576" s="33">
        <v>79.954347400000003</v>
      </c>
    </row>
    <row r="577" spans="2:25" ht="15" hidden="1" customHeight="1">
      <c r="B577" s="25">
        <v>572</v>
      </c>
      <c r="C577" s="26" t="s">
        <v>21</v>
      </c>
      <c r="D577" s="26" t="s">
        <v>162</v>
      </c>
      <c r="E577" s="26" t="s">
        <v>196</v>
      </c>
      <c r="F577" s="26" t="s">
        <v>196</v>
      </c>
      <c r="G577" s="27" t="s">
        <v>15</v>
      </c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9"/>
      <c r="S577" s="29"/>
      <c r="T577" s="29"/>
      <c r="U577" s="29"/>
      <c r="V577" s="29"/>
      <c r="W577" s="29"/>
      <c r="X577" s="29"/>
      <c r="Y577" s="29"/>
    </row>
    <row r="578" spans="2:25" ht="15" hidden="1" customHeight="1">
      <c r="B578" s="25">
        <v>573</v>
      </c>
      <c r="C578" s="26" t="s">
        <v>21</v>
      </c>
      <c r="D578" s="26" t="s">
        <v>162</v>
      </c>
      <c r="E578" s="26" t="s">
        <v>196</v>
      </c>
      <c r="F578" s="26" t="s">
        <v>196</v>
      </c>
      <c r="G578" s="27" t="s">
        <v>16</v>
      </c>
      <c r="H578" s="28">
        <v>8113</v>
      </c>
      <c r="I578" s="28">
        <v>962</v>
      </c>
      <c r="J578" s="28">
        <v>664</v>
      </c>
      <c r="K578" s="28">
        <v>298</v>
      </c>
      <c r="L578" s="28">
        <v>7151</v>
      </c>
      <c r="M578" s="28">
        <v>9638</v>
      </c>
      <c r="N578" s="28">
        <v>1932</v>
      </c>
      <c r="O578" s="28">
        <v>1716</v>
      </c>
      <c r="P578" s="28">
        <v>216</v>
      </c>
      <c r="Q578" s="28">
        <v>7706</v>
      </c>
      <c r="R578" s="29">
        <v>11.8575126</v>
      </c>
      <c r="S578" s="29">
        <v>8.1843953999999997</v>
      </c>
      <c r="T578" s="29">
        <v>3.6731172000000001</v>
      </c>
      <c r="U578" s="29">
        <v>88.142487399999993</v>
      </c>
      <c r="V578" s="29">
        <v>20.0456526</v>
      </c>
      <c r="W578" s="29">
        <v>17.804523799999998</v>
      </c>
      <c r="X578" s="29">
        <v>2.2411289000000001</v>
      </c>
      <c r="Y578" s="29">
        <v>79.954347400000003</v>
      </c>
    </row>
    <row r="579" spans="2:25" ht="15" hidden="1" customHeight="1">
      <c r="B579" s="21">
        <v>574</v>
      </c>
      <c r="C579" s="22" t="s">
        <v>19</v>
      </c>
      <c r="D579" s="35" t="s">
        <v>162</v>
      </c>
      <c r="E579" s="35" t="s">
        <v>197</v>
      </c>
      <c r="F579" s="35"/>
      <c r="G579" s="22" t="s">
        <v>197</v>
      </c>
      <c r="H579" s="23">
        <v>47965</v>
      </c>
      <c r="I579" s="23">
        <v>24661</v>
      </c>
      <c r="J579" s="23">
        <v>14090</v>
      </c>
      <c r="K579" s="23">
        <v>10571</v>
      </c>
      <c r="L579" s="23">
        <v>23304</v>
      </c>
      <c r="M579" s="23">
        <v>68141</v>
      </c>
      <c r="N579" s="23">
        <v>42768</v>
      </c>
      <c r="O579" s="23">
        <v>36067</v>
      </c>
      <c r="P579" s="23">
        <v>6701</v>
      </c>
      <c r="Q579" s="23">
        <v>25373</v>
      </c>
      <c r="R579" s="24">
        <v>51.414573099999998</v>
      </c>
      <c r="S579" s="24">
        <v>29.3755864</v>
      </c>
      <c r="T579" s="24">
        <v>22.0389868</v>
      </c>
      <c r="U579" s="24">
        <v>48.585426900000002</v>
      </c>
      <c r="V579" s="24">
        <v>62.763974699999999</v>
      </c>
      <c r="W579" s="24">
        <v>52.929954100000003</v>
      </c>
      <c r="X579" s="24">
        <v>9.8340206000000006</v>
      </c>
      <c r="Y579" s="24">
        <v>37.236025300000001</v>
      </c>
    </row>
    <row r="580" spans="2:25" ht="15" hidden="1" customHeight="1">
      <c r="B580" s="25">
        <v>575</v>
      </c>
      <c r="C580" s="26" t="s">
        <v>19</v>
      </c>
      <c r="D580" s="26" t="s">
        <v>162</v>
      </c>
      <c r="E580" s="26" t="s">
        <v>197</v>
      </c>
      <c r="F580" s="26"/>
      <c r="G580" s="27" t="s">
        <v>15</v>
      </c>
      <c r="H580" s="28">
        <v>10006</v>
      </c>
      <c r="I580" s="28">
        <v>8222</v>
      </c>
      <c r="J580" s="28">
        <v>3339</v>
      </c>
      <c r="K580" s="28">
        <v>4883</v>
      </c>
      <c r="L580" s="28">
        <v>1784</v>
      </c>
      <c r="M580" s="28">
        <v>20306</v>
      </c>
      <c r="N580" s="28">
        <v>18379</v>
      </c>
      <c r="O580" s="28">
        <v>13705</v>
      </c>
      <c r="P580" s="28">
        <v>4674</v>
      </c>
      <c r="Q580" s="28">
        <v>1927</v>
      </c>
      <c r="R580" s="29">
        <v>82.170697599999997</v>
      </c>
      <c r="S580" s="29">
        <v>33.369978000000003</v>
      </c>
      <c r="T580" s="29">
        <v>48.800719600000001</v>
      </c>
      <c r="U580" s="29">
        <v>17.8293024</v>
      </c>
      <c r="V580" s="29">
        <v>90.510193999999998</v>
      </c>
      <c r="W580" s="29">
        <v>67.492366799999999</v>
      </c>
      <c r="X580" s="29">
        <v>23.017827199999999</v>
      </c>
      <c r="Y580" s="29">
        <v>9.4898059999999997</v>
      </c>
    </row>
    <row r="581" spans="2:25" ht="15" hidden="1" customHeight="1">
      <c r="B581" s="25">
        <v>576</v>
      </c>
      <c r="C581" s="26" t="s">
        <v>19</v>
      </c>
      <c r="D581" s="26" t="s">
        <v>162</v>
      </c>
      <c r="E581" s="26" t="s">
        <v>197</v>
      </c>
      <c r="F581" s="26"/>
      <c r="G581" s="27" t="s">
        <v>16</v>
      </c>
      <c r="H581" s="28">
        <v>37959</v>
      </c>
      <c r="I581" s="28">
        <v>16439</v>
      </c>
      <c r="J581" s="28">
        <v>10751</v>
      </c>
      <c r="K581" s="28">
        <v>5688</v>
      </c>
      <c r="L581" s="28">
        <v>21520</v>
      </c>
      <c r="M581" s="28">
        <v>47835</v>
      </c>
      <c r="N581" s="28">
        <v>24389</v>
      </c>
      <c r="O581" s="28">
        <v>22362</v>
      </c>
      <c r="P581" s="28">
        <v>2027</v>
      </c>
      <c r="Q581" s="28">
        <v>23446</v>
      </c>
      <c r="R581" s="29">
        <v>43.307252599999998</v>
      </c>
      <c r="S581" s="29">
        <v>28.322663899999998</v>
      </c>
      <c r="T581" s="29">
        <v>14.9845886</v>
      </c>
      <c r="U581" s="29">
        <v>56.692747400000002</v>
      </c>
      <c r="V581" s="29">
        <v>50.985679900000001</v>
      </c>
      <c r="W581" s="29">
        <v>46.748196900000003</v>
      </c>
      <c r="X581" s="29">
        <v>4.2374830000000001</v>
      </c>
      <c r="Y581" s="29">
        <v>49.014320099999999</v>
      </c>
    </row>
    <row r="582" spans="2:25" ht="15" customHeight="1">
      <c r="B582" s="30">
        <v>577</v>
      </c>
      <c r="C582" s="31" t="s">
        <v>21</v>
      </c>
      <c r="D582" s="36" t="s">
        <v>162</v>
      </c>
      <c r="E582" s="36" t="s">
        <v>197</v>
      </c>
      <c r="F582" s="36" t="s">
        <v>198</v>
      </c>
      <c r="G582" s="37" t="s">
        <v>198</v>
      </c>
      <c r="H582" s="32">
        <v>4729</v>
      </c>
      <c r="I582" s="32">
        <v>1322</v>
      </c>
      <c r="J582" s="32">
        <v>799</v>
      </c>
      <c r="K582" s="32">
        <v>523</v>
      </c>
      <c r="L582" s="32">
        <v>3407</v>
      </c>
      <c r="M582" s="32">
        <v>5351</v>
      </c>
      <c r="N582" s="32">
        <v>1996</v>
      </c>
      <c r="O582" s="32">
        <v>1869</v>
      </c>
      <c r="P582" s="32">
        <v>127</v>
      </c>
      <c r="Q582" s="32">
        <v>3355</v>
      </c>
      <c r="R582" s="33">
        <v>27.955170200000001</v>
      </c>
      <c r="S582" s="33">
        <v>16.895749599999998</v>
      </c>
      <c r="T582" s="33">
        <v>11.059420599999999</v>
      </c>
      <c r="U582" s="33">
        <v>72.044829800000002</v>
      </c>
      <c r="V582" s="33">
        <v>37.301439000000002</v>
      </c>
      <c r="W582" s="33">
        <v>34.928050800000001</v>
      </c>
      <c r="X582" s="33">
        <v>2.3733881999999999</v>
      </c>
      <c r="Y582" s="33">
        <v>62.698560999999998</v>
      </c>
    </row>
    <row r="583" spans="2:25" ht="15" hidden="1" customHeight="1">
      <c r="B583" s="25">
        <v>578</v>
      </c>
      <c r="C583" s="26" t="s">
        <v>21</v>
      </c>
      <c r="D583" s="26" t="s">
        <v>162</v>
      </c>
      <c r="E583" s="26" t="s">
        <v>197</v>
      </c>
      <c r="F583" s="26" t="s">
        <v>198</v>
      </c>
      <c r="G583" s="27" t="s">
        <v>15</v>
      </c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9"/>
      <c r="S583" s="29"/>
      <c r="T583" s="29"/>
      <c r="U583" s="29"/>
      <c r="V583" s="29"/>
      <c r="W583" s="29"/>
      <c r="X583" s="29"/>
      <c r="Y583" s="29"/>
    </row>
    <row r="584" spans="2:25" ht="15" hidden="1" customHeight="1">
      <c r="B584" s="25">
        <v>579</v>
      </c>
      <c r="C584" s="26" t="s">
        <v>21</v>
      </c>
      <c r="D584" s="26" t="s">
        <v>162</v>
      </c>
      <c r="E584" s="26" t="s">
        <v>197</v>
      </c>
      <c r="F584" s="26" t="s">
        <v>198</v>
      </c>
      <c r="G584" s="27" t="s">
        <v>16</v>
      </c>
      <c r="H584" s="28">
        <v>4729</v>
      </c>
      <c r="I584" s="28">
        <v>1322</v>
      </c>
      <c r="J584" s="28">
        <v>799</v>
      </c>
      <c r="K584" s="28">
        <v>523</v>
      </c>
      <c r="L584" s="28">
        <v>3407</v>
      </c>
      <c r="M584" s="28">
        <v>5351</v>
      </c>
      <c r="N584" s="28">
        <v>1996</v>
      </c>
      <c r="O584" s="28">
        <v>1869</v>
      </c>
      <c r="P584" s="28">
        <v>127</v>
      </c>
      <c r="Q584" s="28">
        <v>3355</v>
      </c>
      <c r="R584" s="29">
        <v>27.955170200000001</v>
      </c>
      <c r="S584" s="29">
        <v>16.895749599999998</v>
      </c>
      <c r="T584" s="29">
        <v>11.059420599999999</v>
      </c>
      <c r="U584" s="29">
        <v>72.044829800000002</v>
      </c>
      <c r="V584" s="29">
        <v>37.301439000000002</v>
      </c>
      <c r="W584" s="29">
        <v>34.928050800000001</v>
      </c>
      <c r="X584" s="29">
        <v>2.3733881999999999</v>
      </c>
      <c r="Y584" s="29">
        <v>62.698560999999998</v>
      </c>
    </row>
    <row r="585" spans="2:25" ht="15" customHeight="1">
      <c r="B585" s="30">
        <v>580</v>
      </c>
      <c r="C585" s="31" t="s">
        <v>21</v>
      </c>
      <c r="D585" s="36" t="s">
        <v>162</v>
      </c>
      <c r="E585" s="36" t="s">
        <v>197</v>
      </c>
      <c r="F585" s="36" t="s">
        <v>199</v>
      </c>
      <c r="G585" s="37" t="s">
        <v>199</v>
      </c>
      <c r="H585" s="32">
        <v>3003</v>
      </c>
      <c r="I585" s="32">
        <v>803</v>
      </c>
      <c r="J585" s="32">
        <v>560</v>
      </c>
      <c r="K585" s="32">
        <v>243</v>
      </c>
      <c r="L585" s="32">
        <v>2200</v>
      </c>
      <c r="M585" s="32">
        <v>3705</v>
      </c>
      <c r="N585" s="32">
        <v>1543</v>
      </c>
      <c r="O585" s="32">
        <v>1383</v>
      </c>
      <c r="P585" s="32">
        <v>160</v>
      </c>
      <c r="Q585" s="32">
        <v>2162</v>
      </c>
      <c r="R585" s="33">
        <v>26.739926700000002</v>
      </c>
      <c r="S585" s="33">
        <v>18.6480186</v>
      </c>
      <c r="T585" s="33">
        <v>8.0919080999999995</v>
      </c>
      <c r="U585" s="33">
        <v>73.260073300000002</v>
      </c>
      <c r="V585" s="33">
        <v>41.646423800000001</v>
      </c>
      <c r="W585" s="33">
        <v>37.327935199999999</v>
      </c>
      <c r="X585" s="33">
        <v>4.3184885</v>
      </c>
      <c r="Y585" s="33">
        <v>58.353576199999999</v>
      </c>
    </row>
    <row r="586" spans="2:25" ht="15" hidden="1" customHeight="1">
      <c r="B586" s="25">
        <v>581</v>
      </c>
      <c r="C586" s="26" t="s">
        <v>21</v>
      </c>
      <c r="D586" s="26" t="s">
        <v>162</v>
      </c>
      <c r="E586" s="26" t="s">
        <v>197</v>
      </c>
      <c r="F586" s="26" t="s">
        <v>199</v>
      </c>
      <c r="G586" s="27" t="s">
        <v>15</v>
      </c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9"/>
      <c r="S586" s="29"/>
      <c r="T586" s="29"/>
      <c r="U586" s="29"/>
      <c r="V586" s="29"/>
      <c r="W586" s="29"/>
      <c r="X586" s="29"/>
      <c r="Y586" s="29"/>
    </row>
    <row r="587" spans="2:25" ht="15" hidden="1" customHeight="1">
      <c r="B587" s="25">
        <v>582</v>
      </c>
      <c r="C587" s="26" t="s">
        <v>21</v>
      </c>
      <c r="D587" s="26" t="s">
        <v>162</v>
      </c>
      <c r="E587" s="26" t="s">
        <v>197</v>
      </c>
      <c r="F587" s="26" t="s">
        <v>199</v>
      </c>
      <c r="G587" s="27" t="s">
        <v>16</v>
      </c>
      <c r="H587" s="28">
        <v>3003</v>
      </c>
      <c r="I587" s="28">
        <v>803</v>
      </c>
      <c r="J587" s="28">
        <v>560</v>
      </c>
      <c r="K587" s="28">
        <v>243</v>
      </c>
      <c r="L587" s="28">
        <v>2200</v>
      </c>
      <c r="M587" s="28">
        <v>3705</v>
      </c>
      <c r="N587" s="28">
        <v>1543</v>
      </c>
      <c r="O587" s="28">
        <v>1383</v>
      </c>
      <c r="P587" s="28">
        <v>160</v>
      </c>
      <c r="Q587" s="28">
        <v>2162</v>
      </c>
      <c r="R587" s="29">
        <v>26.739926700000002</v>
      </c>
      <c r="S587" s="29">
        <v>18.6480186</v>
      </c>
      <c r="T587" s="29">
        <v>8.0919080999999995</v>
      </c>
      <c r="U587" s="29">
        <v>73.260073300000002</v>
      </c>
      <c r="V587" s="29">
        <v>41.646423800000001</v>
      </c>
      <c r="W587" s="29">
        <v>37.327935199999999</v>
      </c>
      <c r="X587" s="29">
        <v>4.3184885</v>
      </c>
      <c r="Y587" s="29">
        <v>58.353576199999999</v>
      </c>
    </row>
    <row r="588" spans="2:25" ht="15" customHeight="1">
      <c r="B588" s="30">
        <v>583</v>
      </c>
      <c r="C588" s="31" t="s">
        <v>21</v>
      </c>
      <c r="D588" s="36" t="s">
        <v>162</v>
      </c>
      <c r="E588" s="36" t="s">
        <v>197</v>
      </c>
      <c r="F588" s="36" t="s">
        <v>200</v>
      </c>
      <c r="G588" s="37" t="s">
        <v>200</v>
      </c>
      <c r="H588" s="32">
        <v>3544</v>
      </c>
      <c r="I588" s="32">
        <v>1200</v>
      </c>
      <c r="J588" s="32">
        <v>804</v>
      </c>
      <c r="K588" s="32">
        <v>396</v>
      </c>
      <c r="L588" s="32">
        <v>2344</v>
      </c>
      <c r="M588" s="32">
        <v>4853</v>
      </c>
      <c r="N588" s="32">
        <v>2390</v>
      </c>
      <c r="O588" s="32">
        <v>2247</v>
      </c>
      <c r="P588" s="32">
        <v>143</v>
      </c>
      <c r="Q588" s="32">
        <v>2463</v>
      </c>
      <c r="R588" s="33">
        <v>33.860045100000001</v>
      </c>
      <c r="S588" s="33">
        <v>22.686230200000001</v>
      </c>
      <c r="T588" s="33">
        <v>11.1738149</v>
      </c>
      <c r="U588" s="33">
        <v>66.139954900000006</v>
      </c>
      <c r="V588" s="33">
        <v>49.247887900000002</v>
      </c>
      <c r="W588" s="33">
        <v>46.301257</v>
      </c>
      <c r="X588" s="33">
        <v>2.9466309000000002</v>
      </c>
      <c r="Y588" s="33">
        <v>50.752112099999998</v>
      </c>
    </row>
    <row r="589" spans="2:25" ht="15" hidden="1" customHeight="1">
      <c r="B589" s="25">
        <v>584</v>
      </c>
      <c r="C589" s="26" t="s">
        <v>21</v>
      </c>
      <c r="D589" s="26" t="s">
        <v>162</v>
      </c>
      <c r="E589" s="26" t="s">
        <v>197</v>
      </c>
      <c r="F589" s="26" t="s">
        <v>200</v>
      </c>
      <c r="G589" s="27" t="s">
        <v>15</v>
      </c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9"/>
      <c r="S589" s="29"/>
      <c r="T589" s="29"/>
      <c r="U589" s="29"/>
      <c r="V589" s="29"/>
      <c r="W589" s="29"/>
      <c r="X589" s="29"/>
      <c r="Y589" s="29"/>
    </row>
    <row r="590" spans="2:25" ht="15" hidden="1" customHeight="1">
      <c r="B590" s="25">
        <v>585</v>
      </c>
      <c r="C590" s="26" t="s">
        <v>21</v>
      </c>
      <c r="D590" s="26" t="s">
        <v>162</v>
      </c>
      <c r="E590" s="26" t="s">
        <v>197</v>
      </c>
      <c r="F590" s="26" t="s">
        <v>200</v>
      </c>
      <c r="G590" s="27" t="s">
        <v>16</v>
      </c>
      <c r="H590" s="28">
        <v>3544</v>
      </c>
      <c r="I590" s="28">
        <v>1200</v>
      </c>
      <c r="J590" s="28">
        <v>804</v>
      </c>
      <c r="K590" s="28">
        <v>396</v>
      </c>
      <c r="L590" s="28">
        <v>2344</v>
      </c>
      <c r="M590" s="28">
        <v>4853</v>
      </c>
      <c r="N590" s="28">
        <v>2390</v>
      </c>
      <c r="O590" s="28">
        <v>2247</v>
      </c>
      <c r="P590" s="28">
        <v>143</v>
      </c>
      <c r="Q590" s="28">
        <v>2463</v>
      </c>
      <c r="R590" s="29">
        <v>33.860045100000001</v>
      </c>
      <c r="S590" s="29">
        <v>22.686230200000001</v>
      </c>
      <c r="T590" s="29">
        <v>11.1738149</v>
      </c>
      <c r="U590" s="29">
        <v>66.139954900000006</v>
      </c>
      <c r="V590" s="29">
        <v>49.247887900000002</v>
      </c>
      <c r="W590" s="29">
        <v>46.301257</v>
      </c>
      <c r="X590" s="29">
        <v>2.9466309000000002</v>
      </c>
      <c r="Y590" s="29">
        <v>50.752112099999998</v>
      </c>
    </row>
    <row r="591" spans="2:25" ht="15" customHeight="1">
      <c r="B591" s="30">
        <v>586</v>
      </c>
      <c r="C591" s="31" t="s">
        <v>21</v>
      </c>
      <c r="D591" s="36" t="s">
        <v>162</v>
      </c>
      <c r="E591" s="36" t="s">
        <v>197</v>
      </c>
      <c r="F591" s="36" t="s">
        <v>201</v>
      </c>
      <c r="G591" s="37" t="s">
        <v>201</v>
      </c>
      <c r="H591" s="32">
        <v>7263</v>
      </c>
      <c r="I591" s="32">
        <v>4750</v>
      </c>
      <c r="J591" s="32">
        <v>2655</v>
      </c>
      <c r="K591" s="32">
        <v>2095</v>
      </c>
      <c r="L591" s="32">
        <v>2513</v>
      </c>
      <c r="M591" s="32">
        <v>10557</v>
      </c>
      <c r="N591" s="32">
        <v>7626</v>
      </c>
      <c r="O591" s="32">
        <v>6282</v>
      </c>
      <c r="P591" s="32">
        <v>1344</v>
      </c>
      <c r="Q591" s="32">
        <v>2931</v>
      </c>
      <c r="R591" s="33">
        <v>65.399972500000004</v>
      </c>
      <c r="S591" s="33">
        <v>36.555142500000002</v>
      </c>
      <c r="T591" s="33">
        <v>28.844830000000002</v>
      </c>
      <c r="U591" s="33">
        <v>34.600027500000003</v>
      </c>
      <c r="V591" s="33">
        <v>72.236430799999994</v>
      </c>
      <c r="W591" s="33">
        <v>59.505541299999997</v>
      </c>
      <c r="X591" s="33">
        <v>12.7308895</v>
      </c>
      <c r="Y591" s="33">
        <v>27.763569199999999</v>
      </c>
    </row>
    <row r="592" spans="2:25" ht="15" hidden="1" customHeight="1">
      <c r="B592" s="25">
        <v>587</v>
      </c>
      <c r="C592" s="26" t="s">
        <v>21</v>
      </c>
      <c r="D592" s="26" t="s">
        <v>162</v>
      </c>
      <c r="E592" s="26" t="s">
        <v>197</v>
      </c>
      <c r="F592" s="26" t="s">
        <v>201</v>
      </c>
      <c r="G592" s="27" t="s">
        <v>15</v>
      </c>
      <c r="H592" s="28">
        <v>1817</v>
      </c>
      <c r="I592" s="28">
        <v>1518</v>
      </c>
      <c r="J592" s="28">
        <v>556</v>
      </c>
      <c r="K592" s="28">
        <v>962</v>
      </c>
      <c r="L592" s="28">
        <v>299</v>
      </c>
      <c r="M592" s="28">
        <v>3403</v>
      </c>
      <c r="N592" s="28">
        <v>3053</v>
      </c>
      <c r="O592" s="28">
        <v>2177</v>
      </c>
      <c r="P592" s="28">
        <v>876</v>
      </c>
      <c r="Q592" s="28">
        <v>350</v>
      </c>
      <c r="R592" s="29">
        <v>83.544303799999994</v>
      </c>
      <c r="S592" s="29">
        <v>30.599889900000001</v>
      </c>
      <c r="T592" s="29">
        <v>52.944413900000001</v>
      </c>
      <c r="U592" s="29">
        <v>16.455696199999998</v>
      </c>
      <c r="V592" s="29">
        <v>89.714957400000003</v>
      </c>
      <c r="W592" s="29">
        <v>63.972965000000002</v>
      </c>
      <c r="X592" s="29">
        <v>25.741992400000001</v>
      </c>
      <c r="Y592" s="29">
        <v>10.285042600000001</v>
      </c>
    </row>
    <row r="593" spans="2:25" ht="15" hidden="1" customHeight="1">
      <c r="B593" s="25">
        <v>588</v>
      </c>
      <c r="C593" s="26" t="s">
        <v>21</v>
      </c>
      <c r="D593" s="26" t="s">
        <v>162</v>
      </c>
      <c r="E593" s="26" t="s">
        <v>197</v>
      </c>
      <c r="F593" s="26" t="s">
        <v>201</v>
      </c>
      <c r="G593" s="27" t="s">
        <v>16</v>
      </c>
      <c r="H593" s="28">
        <v>5446</v>
      </c>
      <c r="I593" s="28">
        <v>3232</v>
      </c>
      <c r="J593" s="28">
        <v>2099</v>
      </c>
      <c r="K593" s="28">
        <v>1133</v>
      </c>
      <c r="L593" s="28">
        <v>2214</v>
      </c>
      <c r="M593" s="28">
        <v>7154</v>
      </c>
      <c r="N593" s="28">
        <v>4573</v>
      </c>
      <c r="O593" s="28">
        <v>4105</v>
      </c>
      <c r="P593" s="28">
        <v>468</v>
      </c>
      <c r="Q593" s="28">
        <v>2581</v>
      </c>
      <c r="R593" s="29">
        <v>59.3463092</v>
      </c>
      <c r="S593" s="29">
        <v>38.542049200000001</v>
      </c>
      <c r="T593" s="29">
        <v>20.804259999999999</v>
      </c>
      <c r="U593" s="29">
        <v>40.6536908</v>
      </c>
      <c r="V593" s="29">
        <v>63.9222812</v>
      </c>
      <c r="W593" s="29">
        <v>57.380486400000002</v>
      </c>
      <c r="X593" s="29">
        <v>6.5417947999999999</v>
      </c>
      <c r="Y593" s="29">
        <v>36.0777188</v>
      </c>
    </row>
    <row r="594" spans="2:25" ht="15" customHeight="1">
      <c r="B594" s="30">
        <v>589</v>
      </c>
      <c r="C594" s="31" t="s">
        <v>21</v>
      </c>
      <c r="D594" s="36" t="s">
        <v>162</v>
      </c>
      <c r="E594" s="36" t="s">
        <v>197</v>
      </c>
      <c r="F594" s="36" t="s">
        <v>202</v>
      </c>
      <c r="G594" s="37" t="s">
        <v>202</v>
      </c>
      <c r="H594" s="32">
        <v>16951</v>
      </c>
      <c r="I594" s="32">
        <v>9981</v>
      </c>
      <c r="J594" s="32">
        <v>6070</v>
      </c>
      <c r="K594" s="32">
        <v>3911</v>
      </c>
      <c r="L594" s="32">
        <v>6970</v>
      </c>
      <c r="M594" s="32">
        <v>25497</v>
      </c>
      <c r="N594" s="32">
        <v>17268</v>
      </c>
      <c r="O594" s="32">
        <v>14144</v>
      </c>
      <c r="P594" s="32">
        <v>3124</v>
      </c>
      <c r="Q594" s="32">
        <v>8229</v>
      </c>
      <c r="R594" s="33">
        <v>58.881481899999997</v>
      </c>
      <c r="S594" s="33">
        <v>35.809096799999999</v>
      </c>
      <c r="T594" s="33">
        <v>23.072385100000002</v>
      </c>
      <c r="U594" s="33">
        <v>41.118518100000003</v>
      </c>
      <c r="V594" s="33">
        <v>67.725614800000002</v>
      </c>
      <c r="W594" s="33">
        <v>55.473192900000001</v>
      </c>
      <c r="X594" s="33">
        <v>12.2524219</v>
      </c>
      <c r="Y594" s="33">
        <v>32.274385199999998</v>
      </c>
    </row>
    <row r="595" spans="2:25" ht="15" hidden="1" customHeight="1">
      <c r="B595" s="25">
        <v>590</v>
      </c>
      <c r="C595" s="26" t="s">
        <v>21</v>
      </c>
      <c r="D595" s="26" t="s">
        <v>162</v>
      </c>
      <c r="E595" s="26" t="s">
        <v>197</v>
      </c>
      <c r="F595" s="26" t="s">
        <v>202</v>
      </c>
      <c r="G595" s="27" t="s">
        <v>15</v>
      </c>
      <c r="H595" s="28">
        <v>3793</v>
      </c>
      <c r="I595" s="28">
        <v>3199</v>
      </c>
      <c r="J595" s="28">
        <v>1363</v>
      </c>
      <c r="K595" s="28">
        <v>1836</v>
      </c>
      <c r="L595" s="28">
        <v>594</v>
      </c>
      <c r="M595" s="28">
        <v>7607</v>
      </c>
      <c r="N595" s="28">
        <v>6896</v>
      </c>
      <c r="O595" s="28">
        <v>4665</v>
      </c>
      <c r="P595" s="28">
        <v>2231</v>
      </c>
      <c r="Q595" s="28">
        <v>711</v>
      </c>
      <c r="R595" s="29">
        <v>84.339572899999993</v>
      </c>
      <c r="S595" s="29">
        <v>35.934616400000003</v>
      </c>
      <c r="T595" s="29">
        <v>48.404956499999997</v>
      </c>
      <c r="U595" s="29">
        <v>15.6604271</v>
      </c>
      <c r="V595" s="29">
        <v>90.653345599999994</v>
      </c>
      <c r="W595" s="29">
        <v>61.325095300000001</v>
      </c>
      <c r="X595" s="29">
        <v>29.328250300000001</v>
      </c>
      <c r="Y595" s="29">
        <v>9.3466544000000003</v>
      </c>
    </row>
    <row r="596" spans="2:25" ht="15" hidden="1" customHeight="1">
      <c r="B596" s="25">
        <v>591</v>
      </c>
      <c r="C596" s="26" t="s">
        <v>21</v>
      </c>
      <c r="D596" s="26" t="s">
        <v>162</v>
      </c>
      <c r="E596" s="26" t="s">
        <v>197</v>
      </c>
      <c r="F596" s="26" t="s">
        <v>202</v>
      </c>
      <c r="G596" s="27" t="s">
        <v>16</v>
      </c>
      <c r="H596" s="28">
        <v>13158</v>
      </c>
      <c r="I596" s="28">
        <v>6782</v>
      </c>
      <c r="J596" s="28">
        <v>4707</v>
      </c>
      <c r="K596" s="28">
        <v>2075</v>
      </c>
      <c r="L596" s="28">
        <v>6376</v>
      </c>
      <c r="M596" s="28">
        <v>17890</v>
      </c>
      <c r="N596" s="28">
        <v>10372</v>
      </c>
      <c r="O596" s="28">
        <v>9479</v>
      </c>
      <c r="P596" s="28">
        <v>893</v>
      </c>
      <c r="Q596" s="28">
        <v>7518</v>
      </c>
      <c r="R596" s="29">
        <v>51.542787699999998</v>
      </c>
      <c r="S596" s="29">
        <v>35.772913799999998</v>
      </c>
      <c r="T596" s="29">
        <v>15.769873799999999</v>
      </c>
      <c r="U596" s="29">
        <v>48.457212300000002</v>
      </c>
      <c r="V596" s="29">
        <v>57.976523200000003</v>
      </c>
      <c r="W596" s="29">
        <v>52.984907800000002</v>
      </c>
      <c r="X596" s="29">
        <v>4.9916153999999997</v>
      </c>
      <c r="Y596" s="29">
        <v>42.023476799999997</v>
      </c>
    </row>
    <row r="597" spans="2:25" ht="15" customHeight="1">
      <c r="B597" s="30">
        <v>592</v>
      </c>
      <c r="C597" s="31" t="s">
        <v>21</v>
      </c>
      <c r="D597" s="36" t="s">
        <v>162</v>
      </c>
      <c r="E597" s="36" t="s">
        <v>197</v>
      </c>
      <c r="F597" s="36" t="s">
        <v>203</v>
      </c>
      <c r="G597" s="37" t="s">
        <v>203</v>
      </c>
      <c r="H597" s="32">
        <v>12475</v>
      </c>
      <c r="I597" s="32">
        <v>6605</v>
      </c>
      <c r="J597" s="32">
        <v>3202</v>
      </c>
      <c r="K597" s="32">
        <v>3403</v>
      </c>
      <c r="L597" s="32">
        <v>5870</v>
      </c>
      <c r="M597" s="32">
        <v>18178</v>
      </c>
      <c r="N597" s="32">
        <v>11945</v>
      </c>
      <c r="O597" s="32">
        <v>10142</v>
      </c>
      <c r="P597" s="32">
        <v>1803</v>
      </c>
      <c r="Q597" s="32">
        <v>6233</v>
      </c>
      <c r="R597" s="33">
        <v>52.945891799999998</v>
      </c>
      <c r="S597" s="33">
        <v>25.667334700000001</v>
      </c>
      <c r="T597" s="33">
        <v>27.2785571</v>
      </c>
      <c r="U597" s="33">
        <v>47.054108200000002</v>
      </c>
      <c r="V597" s="33">
        <v>65.711299400000001</v>
      </c>
      <c r="W597" s="33">
        <v>55.792716499999997</v>
      </c>
      <c r="X597" s="33">
        <v>9.9185829000000005</v>
      </c>
      <c r="Y597" s="33">
        <v>34.288700599999999</v>
      </c>
    </row>
    <row r="598" spans="2:25" ht="15" hidden="1" customHeight="1">
      <c r="B598" s="25">
        <v>593</v>
      </c>
      <c r="C598" s="26" t="s">
        <v>21</v>
      </c>
      <c r="D598" s="26" t="s">
        <v>162</v>
      </c>
      <c r="E598" s="26" t="s">
        <v>197</v>
      </c>
      <c r="F598" s="26" t="s">
        <v>203</v>
      </c>
      <c r="G598" s="27" t="s">
        <v>15</v>
      </c>
      <c r="H598" s="28">
        <v>4396</v>
      </c>
      <c r="I598" s="28">
        <v>3505</v>
      </c>
      <c r="J598" s="28">
        <v>1420</v>
      </c>
      <c r="K598" s="28">
        <v>2085</v>
      </c>
      <c r="L598" s="28">
        <v>891</v>
      </c>
      <c r="M598" s="28">
        <v>9296</v>
      </c>
      <c r="N598" s="28">
        <v>8430</v>
      </c>
      <c r="O598" s="28">
        <v>6863</v>
      </c>
      <c r="P598" s="28">
        <v>1567</v>
      </c>
      <c r="Q598" s="28">
        <v>866</v>
      </c>
      <c r="R598" s="29">
        <v>79.731574199999997</v>
      </c>
      <c r="S598" s="29">
        <v>32.302092799999997</v>
      </c>
      <c r="T598" s="29">
        <v>47.429481299999999</v>
      </c>
      <c r="U598" s="29">
        <v>20.268425799999999</v>
      </c>
      <c r="V598" s="29">
        <v>90.684165199999995</v>
      </c>
      <c r="W598" s="29">
        <v>73.827452699999995</v>
      </c>
      <c r="X598" s="29">
        <v>16.856712600000002</v>
      </c>
      <c r="Y598" s="29">
        <v>9.3158347999999993</v>
      </c>
    </row>
    <row r="599" spans="2:25" ht="15" hidden="1" customHeight="1">
      <c r="B599" s="25">
        <v>594</v>
      </c>
      <c r="C599" s="26" t="s">
        <v>21</v>
      </c>
      <c r="D599" s="26" t="s">
        <v>162</v>
      </c>
      <c r="E599" s="26" t="s">
        <v>197</v>
      </c>
      <c r="F599" s="26" t="s">
        <v>203</v>
      </c>
      <c r="G599" s="27" t="s">
        <v>16</v>
      </c>
      <c r="H599" s="28">
        <v>8079</v>
      </c>
      <c r="I599" s="28">
        <v>3100</v>
      </c>
      <c r="J599" s="28">
        <v>1782</v>
      </c>
      <c r="K599" s="28">
        <v>1318</v>
      </c>
      <c r="L599" s="28">
        <v>4979</v>
      </c>
      <c r="M599" s="28">
        <v>8882</v>
      </c>
      <c r="N599" s="28">
        <v>3515</v>
      </c>
      <c r="O599" s="28">
        <v>3279</v>
      </c>
      <c r="P599" s="28">
        <v>236</v>
      </c>
      <c r="Q599" s="28">
        <v>5367</v>
      </c>
      <c r="R599" s="29">
        <v>38.3710855</v>
      </c>
      <c r="S599" s="29">
        <v>22.0571853</v>
      </c>
      <c r="T599" s="29">
        <v>16.313900199999999</v>
      </c>
      <c r="U599" s="29">
        <v>61.6289145</v>
      </c>
      <c r="V599" s="29">
        <v>39.574420199999999</v>
      </c>
      <c r="W599" s="29">
        <v>36.917361</v>
      </c>
      <c r="X599" s="29">
        <v>2.6570592</v>
      </c>
      <c r="Y599" s="29">
        <v>60.425579800000001</v>
      </c>
    </row>
    <row r="600" spans="2:25" ht="15" hidden="1" customHeight="1">
      <c r="B600" s="21">
        <v>595</v>
      </c>
      <c r="C600" s="22" t="s">
        <v>19</v>
      </c>
      <c r="D600" s="35" t="s">
        <v>162</v>
      </c>
      <c r="E600" s="35" t="s">
        <v>204</v>
      </c>
      <c r="F600" s="35"/>
      <c r="G600" s="22" t="s">
        <v>204</v>
      </c>
      <c r="H600" s="23">
        <v>10573</v>
      </c>
      <c r="I600" s="23">
        <v>1907</v>
      </c>
      <c r="J600" s="23">
        <v>1233</v>
      </c>
      <c r="K600" s="23">
        <v>674</v>
      </c>
      <c r="L600" s="23">
        <v>8666</v>
      </c>
      <c r="M600" s="23">
        <v>12668</v>
      </c>
      <c r="N600" s="23">
        <v>4366</v>
      </c>
      <c r="O600" s="23">
        <v>3947</v>
      </c>
      <c r="P600" s="23">
        <v>419</v>
      </c>
      <c r="Q600" s="23">
        <v>8302</v>
      </c>
      <c r="R600" s="24">
        <v>18.036508099999999</v>
      </c>
      <c r="S600" s="24">
        <v>11.66178</v>
      </c>
      <c r="T600" s="24">
        <v>6.3747280999999996</v>
      </c>
      <c r="U600" s="24">
        <v>81.963491899999994</v>
      </c>
      <c r="V600" s="24">
        <v>34.464793200000003</v>
      </c>
      <c r="W600" s="24">
        <v>31.157246600000001</v>
      </c>
      <c r="X600" s="24">
        <v>3.3075465999999998</v>
      </c>
      <c r="Y600" s="24">
        <v>65.535206799999997</v>
      </c>
    </row>
    <row r="601" spans="2:25" ht="15" hidden="1" customHeight="1">
      <c r="B601" s="25">
        <v>596</v>
      </c>
      <c r="C601" s="26" t="s">
        <v>19</v>
      </c>
      <c r="D601" s="26" t="s">
        <v>162</v>
      </c>
      <c r="E601" s="26" t="s">
        <v>204</v>
      </c>
      <c r="F601" s="26"/>
      <c r="G601" s="27" t="s">
        <v>15</v>
      </c>
      <c r="H601" s="28">
        <v>1008</v>
      </c>
      <c r="I601" s="28">
        <v>830</v>
      </c>
      <c r="J601" s="28">
        <v>481</v>
      </c>
      <c r="K601" s="28">
        <v>349</v>
      </c>
      <c r="L601" s="28">
        <v>178</v>
      </c>
      <c r="M601" s="28">
        <v>1965</v>
      </c>
      <c r="N601" s="28">
        <v>1620</v>
      </c>
      <c r="O601" s="28">
        <v>1375</v>
      </c>
      <c r="P601" s="28">
        <v>245</v>
      </c>
      <c r="Q601" s="28">
        <v>345</v>
      </c>
      <c r="R601" s="29">
        <v>82.341269800000006</v>
      </c>
      <c r="S601" s="29">
        <v>47.718254000000002</v>
      </c>
      <c r="T601" s="29">
        <v>34.623015899999999</v>
      </c>
      <c r="U601" s="29">
        <v>17.658730200000001</v>
      </c>
      <c r="V601" s="29">
        <v>82.442748100000003</v>
      </c>
      <c r="W601" s="29">
        <v>69.974554699999999</v>
      </c>
      <c r="X601" s="29">
        <v>12.468193400000001</v>
      </c>
      <c r="Y601" s="29">
        <v>17.557251900000001</v>
      </c>
    </row>
    <row r="602" spans="2:25" ht="15" hidden="1" customHeight="1">
      <c r="B602" s="25">
        <v>597</v>
      </c>
      <c r="C602" s="26" t="s">
        <v>19</v>
      </c>
      <c r="D602" s="26" t="s">
        <v>162</v>
      </c>
      <c r="E602" s="26" t="s">
        <v>204</v>
      </c>
      <c r="F602" s="26"/>
      <c r="G602" s="27" t="s">
        <v>16</v>
      </c>
      <c r="H602" s="28">
        <v>9565</v>
      </c>
      <c r="I602" s="28">
        <v>1077</v>
      </c>
      <c r="J602" s="28">
        <v>752</v>
      </c>
      <c r="K602" s="28">
        <v>325</v>
      </c>
      <c r="L602" s="28">
        <v>8488</v>
      </c>
      <c r="M602" s="28">
        <v>10703</v>
      </c>
      <c r="N602" s="28">
        <v>2746</v>
      </c>
      <c r="O602" s="28">
        <v>2572</v>
      </c>
      <c r="P602" s="28">
        <v>174</v>
      </c>
      <c r="Q602" s="28">
        <v>7957</v>
      </c>
      <c r="R602" s="29">
        <v>11.259801400000001</v>
      </c>
      <c r="S602" s="29">
        <v>7.8619969000000003</v>
      </c>
      <c r="T602" s="29">
        <v>3.3978044999999999</v>
      </c>
      <c r="U602" s="29">
        <v>88.740198599999999</v>
      </c>
      <c r="V602" s="29">
        <v>25.656358000000001</v>
      </c>
      <c r="W602" s="29">
        <v>24.0306456</v>
      </c>
      <c r="X602" s="29">
        <v>1.6257124000000001</v>
      </c>
      <c r="Y602" s="29">
        <v>74.343642000000003</v>
      </c>
    </row>
    <row r="603" spans="2:25" ht="15" customHeight="1">
      <c r="B603" s="30">
        <v>598</v>
      </c>
      <c r="C603" s="31" t="s">
        <v>21</v>
      </c>
      <c r="D603" s="36" t="s">
        <v>162</v>
      </c>
      <c r="E603" s="36" t="s">
        <v>204</v>
      </c>
      <c r="F603" s="36" t="s">
        <v>204</v>
      </c>
      <c r="G603" s="37" t="s">
        <v>204</v>
      </c>
      <c r="H603" s="32">
        <v>5920</v>
      </c>
      <c r="I603" s="32">
        <v>1352</v>
      </c>
      <c r="J603" s="32">
        <v>829</v>
      </c>
      <c r="K603" s="32">
        <v>523</v>
      </c>
      <c r="L603" s="32">
        <v>4568</v>
      </c>
      <c r="M603" s="32">
        <v>6879</v>
      </c>
      <c r="N603" s="32">
        <v>3285</v>
      </c>
      <c r="O603" s="32">
        <v>2925</v>
      </c>
      <c r="P603" s="32">
        <v>360</v>
      </c>
      <c r="Q603" s="32">
        <v>3594</v>
      </c>
      <c r="R603" s="33">
        <v>22.837837799999999</v>
      </c>
      <c r="S603" s="33">
        <v>14.003378400000001</v>
      </c>
      <c r="T603" s="33">
        <v>8.8344594999999995</v>
      </c>
      <c r="U603" s="33">
        <v>77.162162199999997</v>
      </c>
      <c r="V603" s="33">
        <v>47.754033999999997</v>
      </c>
      <c r="W603" s="33">
        <v>42.520715199999998</v>
      </c>
      <c r="X603" s="33">
        <v>5.2333188000000002</v>
      </c>
      <c r="Y603" s="33">
        <v>52.245966000000003</v>
      </c>
    </row>
    <row r="604" spans="2:25" ht="15" hidden="1" customHeight="1">
      <c r="B604" s="25">
        <v>599</v>
      </c>
      <c r="C604" s="26" t="s">
        <v>21</v>
      </c>
      <c r="D604" s="26" t="s">
        <v>162</v>
      </c>
      <c r="E604" s="26" t="s">
        <v>204</v>
      </c>
      <c r="F604" s="26" t="s">
        <v>204</v>
      </c>
      <c r="G604" s="27" t="s">
        <v>15</v>
      </c>
      <c r="H604" s="28">
        <v>1008</v>
      </c>
      <c r="I604" s="28">
        <v>830</v>
      </c>
      <c r="J604" s="28">
        <v>481</v>
      </c>
      <c r="K604" s="28">
        <v>349</v>
      </c>
      <c r="L604" s="28">
        <v>178</v>
      </c>
      <c r="M604" s="28">
        <v>1965</v>
      </c>
      <c r="N604" s="28">
        <v>1620</v>
      </c>
      <c r="O604" s="28">
        <v>1375</v>
      </c>
      <c r="P604" s="28">
        <v>245</v>
      </c>
      <c r="Q604" s="28">
        <v>345</v>
      </c>
      <c r="R604" s="29">
        <v>82.341269800000006</v>
      </c>
      <c r="S604" s="29">
        <v>47.718254000000002</v>
      </c>
      <c r="T604" s="29">
        <v>34.623015899999999</v>
      </c>
      <c r="U604" s="29">
        <v>17.658730200000001</v>
      </c>
      <c r="V604" s="29">
        <v>82.442748100000003</v>
      </c>
      <c r="W604" s="29">
        <v>69.974554699999999</v>
      </c>
      <c r="X604" s="29">
        <v>12.468193400000001</v>
      </c>
      <c r="Y604" s="29">
        <v>17.557251900000001</v>
      </c>
    </row>
    <row r="605" spans="2:25" ht="15" hidden="1" customHeight="1">
      <c r="B605" s="25">
        <v>600</v>
      </c>
      <c r="C605" s="26" t="s">
        <v>21</v>
      </c>
      <c r="D605" s="26" t="s">
        <v>162</v>
      </c>
      <c r="E605" s="26" t="s">
        <v>204</v>
      </c>
      <c r="F605" s="26" t="s">
        <v>204</v>
      </c>
      <c r="G605" s="27" t="s">
        <v>16</v>
      </c>
      <c r="H605" s="28">
        <v>4912</v>
      </c>
      <c r="I605" s="28">
        <v>522</v>
      </c>
      <c r="J605" s="28">
        <v>348</v>
      </c>
      <c r="K605" s="28">
        <v>174</v>
      </c>
      <c r="L605" s="28">
        <v>4390</v>
      </c>
      <c r="M605" s="28">
        <v>4914</v>
      </c>
      <c r="N605" s="28">
        <v>1665</v>
      </c>
      <c r="O605" s="28">
        <v>1550</v>
      </c>
      <c r="P605" s="28">
        <v>115</v>
      </c>
      <c r="Q605" s="28">
        <v>3249</v>
      </c>
      <c r="R605" s="29">
        <v>10.6270358</v>
      </c>
      <c r="S605" s="29">
        <v>7.0846906000000001</v>
      </c>
      <c r="T605" s="29">
        <v>3.5423453</v>
      </c>
      <c r="U605" s="29">
        <v>89.372964199999998</v>
      </c>
      <c r="V605" s="29">
        <v>33.8827839</v>
      </c>
      <c r="W605" s="29">
        <v>31.542531499999999</v>
      </c>
      <c r="X605" s="29">
        <v>2.3402523</v>
      </c>
      <c r="Y605" s="29">
        <v>66.117216099999993</v>
      </c>
    </row>
    <row r="606" spans="2:25" ht="15" customHeight="1">
      <c r="B606" s="30">
        <v>601</v>
      </c>
      <c r="C606" s="31" t="s">
        <v>21</v>
      </c>
      <c r="D606" s="36" t="s">
        <v>162</v>
      </c>
      <c r="E606" s="36" t="s">
        <v>204</v>
      </c>
      <c r="F606" s="36" t="s">
        <v>205</v>
      </c>
      <c r="G606" s="37" t="s">
        <v>205</v>
      </c>
      <c r="H606" s="32">
        <v>1540</v>
      </c>
      <c r="I606" s="32">
        <v>322</v>
      </c>
      <c r="J606" s="32">
        <v>240</v>
      </c>
      <c r="K606" s="32">
        <v>82</v>
      </c>
      <c r="L606" s="32">
        <v>1218</v>
      </c>
      <c r="M606" s="32">
        <v>1867</v>
      </c>
      <c r="N606" s="32">
        <v>483</v>
      </c>
      <c r="O606" s="32">
        <v>456</v>
      </c>
      <c r="P606" s="32">
        <v>27</v>
      </c>
      <c r="Q606" s="32">
        <v>1384</v>
      </c>
      <c r="R606" s="33">
        <v>20.909090899999999</v>
      </c>
      <c r="S606" s="33">
        <v>15.5844156</v>
      </c>
      <c r="T606" s="33">
        <v>5.3246753</v>
      </c>
      <c r="U606" s="33">
        <v>79.090909100000005</v>
      </c>
      <c r="V606" s="33">
        <v>25.870380300000001</v>
      </c>
      <c r="W606" s="33">
        <v>24.424209999999999</v>
      </c>
      <c r="X606" s="33">
        <v>1.4461702999999999</v>
      </c>
      <c r="Y606" s="33">
        <v>74.129619700000006</v>
      </c>
    </row>
    <row r="607" spans="2:25" ht="15" hidden="1" customHeight="1">
      <c r="B607" s="25">
        <v>602</v>
      </c>
      <c r="C607" s="26" t="s">
        <v>21</v>
      </c>
      <c r="D607" s="26" t="s">
        <v>162</v>
      </c>
      <c r="E607" s="26" t="s">
        <v>204</v>
      </c>
      <c r="F607" s="26" t="s">
        <v>205</v>
      </c>
      <c r="G607" s="27" t="s">
        <v>15</v>
      </c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9"/>
      <c r="S607" s="29"/>
      <c r="T607" s="29"/>
      <c r="U607" s="29"/>
      <c r="V607" s="29"/>
      <c r="W607" s="29"/>
      <c r="X607" s="29"/>
      <c r="Y607" s="29"/>
    </row>
    <row r="608" spans="2:25" ht="15" hidden="1" customHeight="1">
      <c r="B608" s="25">
        <v>603</v>
      </c>
      <c r="C608" s="26" t="s">
        <v>21</v>
      </c>
      <c r="D608" s="26" t="s">
        <v>162</v>
      </c>
      <c r="E608" s="26" t="s">
        <v>204</v>
      </c>
      <c r="F608" s="26" t="s">
        <v>205</v>
      </c>
      <c r="G608" s="27" t="s">
        <v>16</v>
      </c>
      <c r="H608" s="28">
        <v>1540</v>
      </c>
      <c r="I608" s="28">
        <v>322</v>
      </c>
      <c r="J608" s="28">
        <v>240</v>
      </c>
      <c r="K608" s="28">
        <v>82</v>
      </c>
      <c r="L608" s="28">
        <v>1218</v>
      </c>
      <c r="M608" s="28">
        <v>1867</v>
      </c>
      <c r="N608" s="28">
        <v>483</v>
      </c>
      <c r="O608" s="28">
        <v>456</v>
      </c>
      <c r="P608" s="28">
        <v>27</v>
      </c>
      <c r="Q608" s="28">
        <v>1384</v>
      </c>
      <c r="R608" s="29">
        <v>20.909090899999999</v>
      </c>
      <c r="S608" s="29">
        <v>15.5844156</v>
      </c>
      <c r="T608" s="29">
        <v>5.3246753</v>
      </c>
      <c r="U608" s="29">
        <v>79.090909100000005</v>
      </c>
      <c r="V608" s="29">
        <v>25.870380300000001</v>
      </c>
      <c r="W608" s="29">
        <v>24.424209999999999</v>
      </c>
      <c r="X608" s="29">
        <v>1.4461702999999999</v>
      </c>
      <c r="Y608" s="29">
        <v>74.129619700000006</v>
      </c>
    </row>
    <row r="609" spans="2:25" ht="15" customHeight="1">
      <c r="B609" s="30">
        <v>604</v>
      </c>
      <c r="C609" s="31" t="s">
        <v>21</v>
      </c>
      <c r="D609" s="36" t="s">
        <v>162</v>
      </c>
      <c r="E609" s="36" t="s">
        <v>204</v>
      </c>
      <c r="F609" s="36" t="s">
        <v>206</v>
      </c>
      <c r="G609" s="37" t="s">
        <v>206</v>
      </c>
      <c r="H609" s="32">
        <v>1122</v>
      </c>
      <c r="I609" s="32">
        <v>130</v>
      </c>
      <c r="J609" s="32">
        <v>84</v>
      </c>
      <c r="K609" s="32">
        <v>46</v>
      </c>
      <c r="L609" s="32">
        <v>992</v>
      </c>
      <c r="M609" s="32">
        <v>1278</v>
      </c>
      <c r="N609" s="32">
        <v>252</v>
      </c>
      <c r="O609" s="32">
        <v>244</v>
      </c>
      <c r="P609" s="32">
        <v>8</v>
      </c>
      <c r="Q609" s="32">
        <v>1026</v>
      </c>
      <c r="R609" s="33">
        <v>11.5864528</v>
      </c>
      <c r="S609" s="33">
        <v>7.486631</v>
      </c>
      <c r="T609" s="33">
        <v>4.0998216999999997</v>
      </c>
      <c r="U609" s="33">
        <v>88.413547199999996</v>
      </c>
      <c r="V609" s="33">
        <v>19.718309900000001</v>
      </c>
      <c r="W609" s="33">
        <v>19.0923318</v>
      </c>
      <c r="X609" s="33">
        <v>0.62597809999999998</v>
      </c>
      <c r="Y609" s="33">
        <v>80.281690100000006</v>
      </c>
    </row>
    <row r="610" spans="2:25" ht="15" hidden="1" customHeight="1">
      <c r="B610" s="25">
        <v>605</v>
      </c>
      <c r="C610" s="26" t="s">
        <v>21</v>
      </c>
      <c r="D610" s="26" t="s">
        <v>162</v>
      </c>
      <c r="E610" s="26" t="s">
        <v>204</v>
      </c>
      <c r="F610" s="26" t="s">
        <v>206</v>
      </c>
      <c r="G610" s="27" t="s">
        <v>15</v>
      </c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9"/>
      <c r="S610" s="29"/>
      <c r="T610" s="29"/>
      <c r="U610" s="29"/>
      <c r="V610" s="29"/>
      <c r="W610" s="29"/>
      <c r="X610" s="29"/>
      <c r="Y610" s="29"/>
    </row>
    <row r="611" spans="2:25" ht="15" hidden="1" customHeight="1">
      <c r="B611" s="25">
        <v>606</v>
      </c>
      <c r="C611" s="26" t="s">
        <v>21</v>
      </c>
      <c r="D611" s="26" t="s">
        <v>162</v>
      </c>
      <c r="E611" s="26" t="s">
        <v>204</v>
      </c>
      <c r="F611" s="26" t="s">
        <v>206</v>
      </c>
      <c r="G611" s="27" t="s">
        <v>16</v>
      </c>
      <c r="H611" s="28">
        <v>1122</v>
      </c>
      <c r="I611" s="28">
        <v>130</v>
      </c>
      <c r="J611" s="28">
        <v>84</v>
      </c>
      <c r="K611" s="28">
        <v>46</v>
      </c>
      <c r="L611" s="28">
        <v>992</v>
      </c>
      <c r="M611" s="28">
        <v>1278</v>
      </c>
      <c r="N611" s="28">
        <v>252</v>
      </c>
      <c r="O611" s="28">
        <v>244</v>
      </c>
      <c r="P611" s="28">
        <v>8</v>
      </c>
      <c r="Q611" s="28">
        <v>1026</v>
      </c>
      <c r="R611" s="29">
        <v>11.5864528</v>
      </c>
      <c r="S611" s="29">
        <v>7.486631</v>
      </c>
      <c r="T611" s="29">
        <v>4.0998216999999997</v>
      </c>
      <c r="U611" s="29">
        <v>88.413547199999996</v>
      </c>
      <c r="V611" s="29">
        <v>19.718309900000001</v>
      </c>
      <c r="W611" s="29">
        <v>19.0923318</v>
      </c>
      <c r="X611" s="29">
        <v>0.62597809999999998</v>
      </c>
      <c r="Y611" s="29">
        <v>80.281690100000006</v>
      </c>
    </row>
    <row r="612" spans="2:25" ht="15" customHeight="1">
      <c r="B612" s="30">
        <v>607</v>
      </c>
      <c r="C612" s="31" t="s">
        <v>21</v>
      </c>
      <c r="D612" s="36" t="s">
        <v>162</v>
      </c>
      <c r="E612" s="36" t="s">
        <v>204</v>
      </c>
      <c r="F612" s="36" t="s">
        <v>207</v>
      </c>
      <c r="G612" s="37" t="s">
        <v>207</v>
      </c>
      <c r="H612" s="32">
        <v>1991</v>
      </c>
      <c r="I612" s="32">
        <v>103</v>
      </c>
      <c r="J612" s="32">
        <v>80</v>
      </c>
      <c r="K612" s="32">
        <v>23</v>
      </c>
      <c r="L612" s="32">
        <v>1888</v>
      </c>
      <c r="M612" s="32">
        <v>2644</v>
      </c>
      <c r="N612" s="32">
        <v>346</v>
      </c>
      <c r="O612" s="32">
        <v>322</v>
      </c>
      <c r="P612" s="32">
        <v>24</v>
      </c>
      <c r="Q612" s="32">
        <v>2298</v>
      </c>
      <c r="R612" s="33">
        <v>5.1732798000000004</v>
      </c>
      <c r="S612" s="33">
        <v>4.0180813999999998</v>
      </c>
      <c r="T612" s="33">
        <v>1.1551984</v>
      </c>
      <c r="U612" s="33">
        <v>94.826720199999997</v>
      </c>
      <c r="V612" s="33">
        <v>13.086233</v>
      </c>
      <c r="W612" s="33">
        <v>12.1785174</v>
      </c>
      <c r="X612" s="33">
        <v>0.90771559999999996</v>
      </c>
      <c r="Y612" s="33">
        <v>86.913767000000007</v>
      </c>
    </row>
    <row r="613" spans="2:25" ht="15" hidden="1" customHeight="1">
      <c r="B613" s="25">
        <v>608</v>
      </c>
      <c r="C613" s="26" t="s">
        <v>21</v>
      </c>
      <c r="D613" s="26" t="s">
        <v>162</v>
      </c>
      <c r="E613" s="26" t="s">
        <v>204</v>
      </c>
      <c r="F613" s="26" t="s">
        <v>207</v>
      </c>
      <c r="G613" s="27" t="s">
        <v>15</v>
      </c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9"/>
      <c r="S613" s="29"/>
      <c r="T613" s="29"/>
      <c r="U613" s="29"/>
      <c r="V613" s="29"/>
      <c r="W613" s="29"/>
      <c r="X613" s="29"/>
      <c r="Y613" s="29"/>
    </row>
    <row r="614" spans="2:25" ht="15" hidden="1" customHeight="1">
      <c r="B614" s="25">
        <v>609</v>
      </c>
      <c r="C614" s="26" t="s">
        <v>21</v>
      </c>
      <c r="D614" s="26" t="s">
        <v>162</v>
      </c>
      <c r="E614" s="26" t="s">
        <v>204</v>
      </c>
      <c r="F614" s="26" t="s">
        <v>207</v>
      </c>
      <c r="G614" s="27" t="s">
        <v>16</v>
      </c>
      <c r="H614" s="28">
        <v>1991</v>
      </c>
      <c r="I614" s="28">
        <v>103</v>
      </c>
      <c r="J614" s="28">
        <v>80</v>
      </c>
      <c r="K614" s="28">
        <v>23</v>
      </c>
      <c r="L614" s="28">
        <v>1888</v>
      </c>
      <c r="M614" s="28">
        <v>2644</v>
      </c>
      <c r="N614" s="28">
        <v>346</v>
      </c>
      <c r="O614" s="28">
        <v>322</v>
      </c>
      <c r="P614" s="28">
        <v>24</v>
      </c>
      <c r="Q614" s="28">
        <v>2298</v>
      </c>
      <c r="R614" s="29">
        <v>5.1732798000000004</v>
      </c>
      <c r="S614" s="29">
        <v>4.0180813999999998</v>
      </c>
      <c r="T614" s="29">
        <v>1.1551984</v>
      </c>
      <c r="U614" s="29">
        <v>94.826720199999997</v>
      </c>
      <c r="V614" s="29">
        <v>13.086233</v>
      </c>
      <c r="W614" s="29">
        <v>12.1785174</v>
      </c>
      <c r="X614" s="29">
        <v>0.90771559999999996</v>
      </c>
      <c r="Y614" s="29">
        <v>86.913767000000007</v>
      </c>
    </row>
    <row r="615" spans="2:25" ht="15" hidden="1" customHeight="1">
      <c r="B615" s="21">
        <v>610</v>
      </c>
      <c r="C615" s="22" t="s">
        <v>19</v>
      </c>
      <c r="D615" s="35" t="s">
        <v>162</v>
      </c>
      <c r="E615" s="35" t="s">
        <v>208</v>
      </c>
      <c r="F615" s="35"/>
      <c r="G615" s="22" t="s">
        <v>208</v>
      </c>
      <c r="H615" s="23">
        <v>16810</v>
      </c>
      <c r="I615" s="23">
        <v>11061</v>
      </c>
      <c r="J615" s="23">
        <v>8101</v>
      </c>
      <c r="K615" s="23">
        <v>2960</v>
      </c>
      <c r="L615" s="23">
        <v>5749</v>
      </c>
      <c r="M615" s="23">
        <v>20449</v>
      </c>
      <c r="N615" s="23">
        <v>17258</v>
      </c>
      <c r="O615" s="23">
        <v>16110</v>
      </c>
      <c r="P615" s="23">
        <v>1148</v>
      </c>
      <c r="Q615" s="23">
        <v>3191</v>
      </c>
      <c r="R615" s="24">
        <v>65.800118999999995</v>
      </c>
      <c r="S615" s="24">
        <v>48.191552600000001</v>
      </c>
      <c r="T615" s="24">
        <v>17.6085663</v>
      </c>
      <c r="U615" s="24">
        <v>34.199880999999998</v>
      </c>
      <c r="V615" s="24">
        <v>84.395325</v>
      </c>
      <c r="W615" s="24">
        <v>78.781358499999996</v>
      </c>
      <c r="X615" s="24">
        <v>5.6139665000000001</v>
      </c>
      <c r="Y615" s="24">
        <v>15.604675</v>
      </c>
    </row>
    <row r="616" spans="2:25" ht="15" hidden="1" customHeight="1">
      <c r="B616" s="25">
        <v>611</v>
      </c>
      <c r="C616" s="26" t="s">
        <v>19</v>
      </c>
      <c r="D616" s="26" t="s">
        <v>162</v>
      </c>
      <c r="E616" s="26" t="s">
        <v>208</v>
      </c>
      <c r="F616" s="26"/>
      <c r="G616" s="27" t="s">
        <v>15</v>
      </c>
      <c r="H616" s="28">
        <v>8094</v>
      </c>
      <c r="I616" s="28">
        <v>6744</v>
      </c>
      <c r="J616" s="28">
        <v>4882</v>
      </c>
      <c r="K616" s="28">
        <v>1862</v>
      </c>
      <c r="L616" s="28">
        <v>1350</v>
      </c>
      <c r="M616" s="28">
        <v>12028</v>
      </c>
      <c r="N616" s="28">
        <v>10943</v>
      </c>
      <c r="O616" s="28">
        <v>10083</v>
      </c>
      <c r="P616" s="28">
        <v>860</v>
      </c>
      <c r="Q616" s="28">
        <v>1085</v>
      </c>
      <c r="R616" s="29">
        <v>83.320978499999995</v>
      </c>
      <c r="S616" s="29">
        <v>60.3162837</v>
      </c>
      <c r="T616" s="29">
        <v>23.004694799999999</v>
      </c>
      <c r="U616" s="29">
        <v>16.679021500000001</v>
      </c>
      <c r="V616" s="29">
        <v>90.979381399999994</v>
      </c>
      <c r="W616" s="29">
        <v>83.829398100000006</v>
      </c>
      <c r="X616" s="29">
        <v>7.1499834</v>
      </c>
      <c r="Y616" s="29">
        <v>9.0206186000000006</v>
      </c>
    </row>
    <row r="617" spans="2:25" ht="15" hidden="1" customHeight="1">
      <c r="B617" s="25">
        <v>612</v>
      </c>
      <c r="C617" s="26" t="s">
        <v>19</v>
      </c>
      <c r="D617" s="26" t="s">
        <v>162</v>
      </c>
      <c r="E617" s="26" t="s">
        <v>208</v>
      </c>
      <c r="F617" s="26"/>
      <c r="G617" s="27" t="s">
        <v>16</v>
      </c>
      <c r="H617" s="28">
        <v>8716</v>
      </c>
      <c r="I617" s="28">
        <v>4317</v>
      </c>
      <c r="J617" s="28">
        <v>3219</v>
      </c>
      <c r="K617" s="28">
        <v>1098</v>
      </c>
      <c r="L617" s="28">
        <v>4399</v>
      </c>
      <c r="M617" s="28">
        <v>8421</v>
      </c>
      <c r="N617" s="28">
        <v>6315</v>
      </c>
      <c r="O617" s="28">
        <v>6027</v>
      </c>
      <c r="P617" s="28">
        <v>288</v>
      </c>
      <c r="Q617" s="28">
        <v>2106</v>
      </c>
      <c r="R617" s="29">
        <v>49.529600700000003</v>
      </c>
      <c r="S617" s="29">
        <v>36.9320789</v>
      </c>
      <c r="T617" s="29">
        <v>12.597521800000001</v>
      </c>
      <c r="U617" s="29">
        <v>50.470399299999997</v>
      </c>
      <c r="V617" s="29">
        <v>74.991093699999993</v>
      </c>
      <c r="W617" s="29">
        <v>71.571072299999997</v>
      </c>
      <c r="X617" s="29">
        <v>3.4200214</v>
      </c>
      <c r="Y617" s="29">
        <v>25.0089063</v>
      </c>
    </row>
    <row r="618" spans="2:25" ht="15" customHeight="1">
      <c r="B618" s="30">
        <v>613</v>
      </c>
      <c r="C618" s="31" t="s">
        <v>21</v>
      </c>
      <c r="D618" s="36" t="s">
        <v>162</v>
      </c>
      <c r="E618" s="36" t="s">
        <v>208</v>
      </c>
      <c r="F618" s="36" t="s">
        <v>208</v>
      </c>
      <c r="G618" s="37" t="s">
        <v>208</v>
      </c>
      <c r="H618" s="32">
        <v>8784</v>
      </c>
      <c r="I618" s="32">
        <v>6801</v>
      </c>
      <c r="J618" s="32">
        <v>4907</v>
      </c>
      <c r="K618" s="32">
        <v>1894</v>
      </c>
      <c r="L618" s="32">
        <v>1983</v>
      </c>
      <c r="M618" s="32">
        <v>11318</v>
      </c>
      <c r="N618" s="32">
        <v>10338</v>
      </c>
      <c r="O618" s="32">
        <v>9555</v>
      </c>
      <c r="P618" s="32">
        <v>783</v>
      </c>
      <c r="Q618" s="32">
        <v>980</v>
      </c>
      <c r="R618" s="33">
        <v>77.424863400000007</v>
      </c>
      <c r="S618" s="33">
        <v>55.862932600000001</v>
      </c>
      <c r="T618" s="33">
        <v>21.561930799999999</v>
      </c>
      <c r="U618" s="33">
        <v>22.5751366</v>
      </c>
      <c r="V618" s="33">
        <v>91.341226399999996</v>
      </c>
      <c r="W618" s="33">
        <v>84.423042899999999</v>
      </c>
      <c r="X618" s="33">
        <v>6.9181834000000002</v>
      </c>
      <c r="Y618" s="33">
        <v>8.6587736</v>
      </c>
    </row>
    <row r="619" spans="2:25" ht="15" hidden="1" customHeight="1">
      <c r="B619" s="25">
        <v>614</v>
      </c>
      <c r="C619" s="26" t="s">
        <v>21</v>
      </c>
      <c r="D619" s="26" t="s">
        <v>162</v>
      </c>
      <c r="E619" s="26" t="s">
        <v>208</v>
      </c>
      <c r="F619" s="26" t="s">
        <v>208</v>
      </c>
      <c r="G619" s="27" t="s">
        <v>15</v>
      </c>
      <c r="H619" s="28">
        <v>5692</v>
      </c>
      <c r="I619" s="28">
        <v>4903</v>
      </c>
      <c r="J619" s="28">
        <v>3515</v>
      </c>
      <c r="K619" s="28">
        <v>1388</v>
      </c>
      <c r="L619" s="28">
        <v>789</v>
      </c>
      <c r="M619" s="28">
        <v>8316</v>
      </c>
      <c r="N619" s="28">
        <v>7901</v>
      </c>
      <c r="O619" s="28">
        <v>7213</v>
      </c>
      <c r="P619" s="28">
        <v>688</v>
      </c>
      <c r="Q619" s="28">
        <v>415</v>
      </c>
      <c r="R619" s="29">
        <v>86.138439899999995</v>
      </c>
      <c r="S619" s="29">
        <v>61.753337999999999</v>
      </c>
      <c r="T619" s="29">
        <v>24.385101899999999</v>
      </c>
      <c r="U619" s="29">
        <v>13.8615601</v>
      </c>
      <c r="V619" s="29">
        <v>95.009619999999998</v>
      </c>
      <c r="W619" s="29">
        <v>86.736411700000005</v>
      </c>
      <c r="X619" s="29">
        <v>8.2732083000000003</v>
      </c>
      <c r="Y619" s="29">
        <v>4.99038</v>
      </c>
    </row>
    <row r="620" spans="2:25" ht="15" hidden="1" customHeight="1">
      <c r="B620" s="25">
        <v>615</v>
      </c>
      <c r="C620" s="26" t="s">
        <v>21</v>
      </c>
      <c r="D620" s="26" t="s">
        <v>162</v>
      </c>
      <c r="E620" s="26" t="s">
        <v>208</v>
      </c>
      <c r="F620" s="26" t="s">
        <v>208</v>
      </c>
      <c r="G620" s="27" t="s">
        <v>16</v>
      </c>
      <c r="H620" s="28">
        <v>3092</v>
      </c>
      <c r="I620" s="28">
        <v>1898</v>
      </c>
      <c r="J620" s="28">
        <v>1392</v>
      </c>
      <c r="K620" s="28">
        <v>506</v>
      </c>
      <c r="L620" s="28">
        <v>1194</v>
      </c>
      <c r="M620" s="28">
        <v>3002</v>
      </c>
      <c r="N620" s="28">
        <v>2437</v>
      </c>
      <c r="O620" s="28">
        <v>2342</v>
      </c>
      <c r="P620" s="28">
        <v>95</v>
      </c>
      <c r="Q620" s="28">
        <v>565</v>
      </c>
      <c r="R620" s="29">
        <v>61.384217300000003</v>
      </c>
      <c r="S620" s="29">
        <v>45.019404899999998</v>
      </c>
      <c r="T620" s="29">
        <v>16.364812400000002</v>
      </c>
      <c r="U620" s="29">
        <v>38.615782699999997</v>
      </c>
      <c r="V620" s="29">
        <v>81.179213899999993</v>
      </c>
      <c r="W620" s="29">
        <v>78.014656900000006</v>
      </c>
      <c r="X620" s="29">
        <v>3.1645569999999998</v>
      </c>
      <c r="Y620" s="29">
        <v>18.820786099999999</v>
      </c>
    </row>
    <row r="621" spans="2:25" ht="15" customHeight="1">
      <c r="B621" s="30">
        <v>616</v>
      </c>
      <c r="C621" s="31" t="s">
        <v>21</v>
      </c>
      <c r="D621" s="36" t="s">
        <v>162</v>
      </c>
      <c r="E621" s="36" t="s">
        <v>208</v>
      </c>
      <c r="F621" s="36" t="s">
        <v>209</v>
      </c>
      <c r="G621" s="37" t="s">
        <v>209</v>
      </c>
      <c r="H621" s="32">
        <v>3042</v>
      </c>
      <c r="I621" s="32">
        <v>1144</v>
      </c>
      <c r="J621" s="32">
        <v>815</v>
      </c>
      <c r="K621" s="32">
        <v>329</v>
      </c>
      <c r="L621" s="32">
        <v>1898</v>
      </c>
      <c r="M621" s="32">
        <v>3262</v>
      </c>
      <c r="N621" s="32">
        <v>2273</v>
      </c>
      <c r="O621" s="32">
        <v>2166</v>
      </c>
      <c r="P621" s="32">
        <v>107</v>
      </c>
      <c r="Q621" s="32">
        <v>989</v>
      </c>
      <c r="R621" s="33">
        <v>37.606837599999999</v>
      </c>
      <c r="S621" s="33">
        <v>26.791584499999999</v>
      </c>
      <c r="T621" s="33">
        <v>10.8152531</v>
      </c>
      <c r="U621" s="33">
        <v>62.393162400000001</v>
      </c>
      <c r="V621" s="33">
        <v>69.681177199999993</v>
      </c>
      <c r="W621" s="33">
        <v>66.400981000000002</v>
      </c>
      <c r="X621" s="33">
        <v>3.2801961999999998</v>
      </c>
      <c r="Y621" s="33">
        <v>30.3188228</v>
      </c>
    </row>
    <row r="622" spans="2:25" ht="15" hidden="1" customHeight="1">
      <c r="B622" s="25">
        <v>617</v>
      </c>
      <c r="C622" s="26" t="s">
        <v>21</v>
      </c>
      <c r="D622" s="26" t="s">
        <v>162</v>
      </c>
      <c r="E622" s="26" t="s">
        <v>208</v>
      </c>
      <c r="F622" s="26" t="s">
        <v>209</v>
      </c>
      <c r="G622" s="27" t="s">
        <v>15</v>
      </c>
      <c r="H622" s="28"/>
      <c r="I622" s="28"/>
      <c r="J622" s="28"/>
      <c r="K622" s="28"/>
      <c r="L622" s="28"/>
      <c r="M622" s="28">
        <v>1138</v>
      </c>
      <c r="N622" s="28">
        <v>694</v>
      </c>
      <c r="O622" s="28">
        <v>661</v>
      </c>
      <c r="P622" s="28">
        <v>33</v>
      </c>
      <c r="Q622" s="28">
        <v>444</v>
      </c>
      <c r="R622" s="29"/>
      <c r="S622" s="29"/>
      <c r="T622" s="29"/>
      <c r="U622" s="29"/>
      <c r="V622" s="29">
        <v>60.984182799999999</v>
      </c>
      <c r="W622" s="29">
        <v>58.0843585</v>
      </c>
      <c r="X622" s="29">
        <v>2.8998243000000001</v>
      </c>
      <c r="Y622" s="29">
        <v>39.015817200000001</v>
      </c>
    </row>
    <row r="623" spans="2:25" ht="15" hidden="1" customHeight="1">
      <c r="B623" s="25">
        <v>618</v>
      </c>
      <c r="C623" s="26" t="s">
        <v>21</v>
      </c>
      <c r="D623" s="26" t="s">
        <v>162</v>
      </c>
      <c r="E623" s="26" t="s">
        <v>208</v>
      </c>
      <c r="F623" s="26" t="s">
        <v>209</v>
      </c>
      <c r="G623" s="27" t="s">
        <v>16</v>
      </c>
      <c r="H623" s="28">
        <v>3042</v>
      </c>
      <c r="I623" s="28">
        <v>1144</v>
      </c>
      <c r="J623" s="28">
        <v>815</v>
      </c>
      <c r="K623" s="28">
        <v>329</v>
      </c>
      <c r="L623" s="28">
        <v>1898</v>
      </c>
      <c r="M623" s="28">
        <v>2124</v>
      </c>
      <c r="N623" s="28">
        <v>1579</v>
      </c>
      <c r="O623" s="28">
        <v>1505</v>
      </c>
      <c r="P623" s="28">
        <v>74</v>
      </c>
      <c r="Q623" s="28">
        <v>545</v>
      </c>
      <c r="R623" s="29">
        <v>37.606837599999999</v>
      </c>
      <c r="S623" s="29">
        <v>26.791584499999999</v>
      </c>
      <c r="T623" s="29">
        <v>10.8152531</v>
      </c>
      <c r="U623" s="29">
        <v>62.393162400000001</v>
      </c>
      <c r="V623" s="29">
        <v>74.340866300000002</v>
      </c>
      <c r="W623" s="29">
        <v>70.856873800000002</v>
      </c>
      <c r="X623" s="29">
        <v>3.4839924999999998</v>
      </c>
      <c r="Y623" s="29">
        <v>25.659133700000002</v>
      </c>
    </row>
    <row r="624" spans="2:25" ht="15" customHeight="1">
      <c r="B624" s="30">
        <v>619</v>
      </c>
      <c r="C624" s="31" t="s">
        <v>21</v>
      </c>
      <c r="D624" s="36" t="s">
        <v>162</v>
      </c>
      <c r="E624" s="36" t="s">
        <v>208</v>
      </c>
      <c r="F624" s="36" t="s">
        <v>210</v>
      </c>
      <c r="G624" s="37" t="s">
        <v>210</v>
      </c>
      <c r="H624" s="32">
        <v>3924</v>
      </c>
      <c r="I624" s="32">
        <v>2791</v>
      </c>
      <c r="J624" s="32">
        <v>2151</v>
      </c>
      <c r="K624" s="32">
        <v>640</v>
      </c>
      <c r="L624" s="32">
        <v>1133</v>
      </c>
      <c r="M624" s="32">
        <v>4327</v>
      </c>
      <c r="N624" s="32">
        <v>3746</v>
      </c>
      <c r="O624" s="32">
        <v>3561</v>
      </c>
      <c r="P624" s="32">
        <v>185</v>
      </c>
      <c r="Q624" s="32">
        <v>581</v>
      </c>
      <c r="R624" s="33">
        <v>71.126401599999994</v>
      </c>
      <c r="S624" s="33">
        <v>54.816513800000003</v>
      </c>
      <c r="T624" s="33">
        <v>16.3098879</v>
      </c>
      <c r="U624" s="33">
        <v>28.873598399999999</v>
      </c>
      <c r="V624" s="33">
        <v>86.5726832</v>
      </c>
      <c r="W624" s="33">
        <v>82.297203600000003</v>
      </c>
      <c r="X624" s="33">
        <v>4.2754795000000003</v>
      </c>
      <c r="Y624" s="33">
        <v>13.4273168</v>
      </c>
    </row>
    <row r="625" spans="2:25" ht="15" hidden="1" customHeight="1">
      <c r="B625" s="25">
        <v>620</v>
      </c>
      <c r="C625" s="26" t="s">
        <v>21</v>
      </c>
      <c r="D625" s="26" t="s">
        <v>162</v>
      </c>
      <c r="E625" s="26" t="s">
        <v>208</v>
      </c>
      <c r="F625" s="26" t="s">
        <v>210</v>
      </c>
      <c r="G625" s="27" t="s">
        <v>15</v>
      </c>
      <c r="H625" s="28">
        <v>2402</v>
      </c>
      <c r="I625" s="28">
        <v>1841</v>
      </c>
      <c r="J625" s="28">
        <v>1367</v>
      </c>
      <c r="K625" s="28">
        <v>474</v>
      </c>
      <c r="L625" s="28">
        <v>561</v>
      </c>
      <c r="M625" s="28">
        <v>2574</v>
      </c>
      <c r="N625" s="28">
        <v>2348</v>
      </c>
      <c r="O625" s="28">
        <v>2209</v>
      </c>
      <c r="P625" s="28">
        <v>139</v>
      </c>
      <c r="Q625" s="28">
        <v>226</v>
      </c>
      <c r="R625" s="29">
        <v>76.644462899999994</v>
      </c>
      <c r="S625" s="29">
        <v>56.910907600000002</v>
      </c>
      <c r="T625" s="29">
        <v>19.7335554</v>
      </c>
      <c r="U625" s="29">
        <v>23.355537099999999</v>
      </c>
      <c r="V625" s="29">
        <v>91.219891200000006</v>
      </c>
      <c r="W625" s="29">
        <v>85.819735800000004</v>
      </c>
      <c r="X625" s="29">
        <v>5.4001554</v>
      </c>
      <c r="Y625" s="29">
        <v>8.7801088000000007</v>
      </c>
    </row>
    <row r="626" spans="2:25" ht="15" hidden="1" customHeight="1">
      <c r="B626" s="25">
        <v>621</v>
      </c>
      <c r="C626" s="26" t="s">
        <v>21</v>
      </c>
      <c r="D626" s="26" t="s">
        <v>162</v>
      </c>
      <c r="E626" s="26" t="s">
        <v>208</v>
      </c>
      <c r="F626" s="26" t="s">
        <v>210</v>
      </c>
      <c r="G626" s="27" t="s">
        <v>16</v>
      </c>
      <c r="H626" s="28">
        <v>1522</v>
      </c>
      <c r="I626" s="28">
        <v>950</v>
      </c>
      <c r="J626" s="28">
        <v>784</v>
      </c>
      <c r="K626" s="28">
        <v>166</v>
      </c>
      <c r="L626" s="28">
        <v>572</v>
      </c>
      <c r="M626" s="28">
        <v>1753</v>
      </c>
      <c r="N626" s="28">
        <v>1398</v>
      </c>
      <c r="O626" s="28">
        <v>1352</v>
      </c>
      <c r="P626" s="28">
        <v>46</v>
      </c>
      <c r="Q626" s="28">
        <v>355</v>
      </c>
      <c r="R626" s="29">
        <v>62.4178712</v>
      </c>
      <c r="S626" s="29">
        <v>51.511169500000001</v>
      </c>
      <c r="T626" s="29">
        <v>10.906701699999999</v>
      </c>
      <c r="U626" s="29">
        <v>37.5821288</v>
      </c>
      <c r="V626" s="29">
        <v>79.749001699999994</v>
      </c>
      <c r="W626" s="29">
        <v>77.124928699999998</v>
      </c>
      <c r="X626" s="29">
        <v>2.6240730000000001</v>
      </c>
      <c r="Y626" s="29">
        <v>20.250998299999999</v>
      </c>
    </row>
    <row r="627" spans="2:25" ht="15" customHeight="1">
      <c r="B627" s="30">
        <v>622</v>
      </c>
      <c r="C627" s="31" t="s">
        <v>21</v>
      </c>
      <c r="D627" s="36" t="s">
        <v>162</v>
      </c>
      <c r="E627" s="36" t="s">
        <v>208</v>
      </c>
      <c r="F627" s="36" t="s">
        <v>211</v>
      </c>
      <c r="G627" s="37" t="s">
        <v>211</v>
      </c>
      <c r="H627" s="32">
        <v>359</v>
      </c>
      <c r="I627" s="32">
        <v>85</v>
      </c>
      <c r="J627" s="32">
        <v>67</v>
      </c>
      <c r="K627" s="32">
        <v>18</v>
      </c>
      <c r="L627" s="32">
        <v>274</v>
      </c>
      <c r="M627" s="32">
        <v>485</v>
      </c>
      <c r="N627" s="32">
        <v>303</v>
      </c>
      <c r="O627" s="32">
        <v>274</v>
      </c>
      <c r="P627" s="32">
        <v>29</v>
      </c>
      <c r="Q627" s="32">
        <v>182</v>
      </c>
      <c r="R627" s="33">
        <v>23.676880199999999</v>
      </c>
      <c r="S627" s="33">
        <v>18.662952600000001</v>
      </c>
      <c r="T627" s="33">
        <v>5.0139275999999997</v>
      </c>
      <c r="U627" s="33">
        <v>76.323119800000001</v>
      </c>
      <c r="V627" s="33">
        <v>62.474226799999997</v>
      </c>
      <c r="W627" s="33">
        <v>56.494845400000003</v>
      </c>
      <c r="X627" s="33">
        <v>5.9793814000000003</v>
      </c>
      <c r="Y627" s="33">
        <v>37.525773200000003</v>
      </c>
    </row>
    <row r="628" spans="2:25" ht="15" hidden="1" customHeight="1">
      <c r="B628" s="25">
        <v>623</v>
      </c>
      <c r="C628" s="26" t="s">
        <v>21</v>
      </c>
      <c r="D628" s="26" t="s">
        <v>162</v>
      </c>
      <c r="E628" s="26" t="s">
        <v>208</v>
      </c>
      <c r="F628" s="26" t="s">
        <v>211</v>
      </c>
      <c r="G628" s="27" t="s">
        <v>15</v>
      </c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9"/>
      <c r="S628" s="29"/>
      <c r="T628" s="29"/>
      <c r="U628" s="29"/>
      <c r="V628" s="29"/>
      <c r="W628" s="29"/>
      <c r="X628" s="29"/>
      <c r="Y628" s="29"/>
    </row>
    <row r="629" spans="2:25" ht="15" hidden="1" customHeight="1">
      <c r="B629" s="25">
        <v>624</v>
      </c>
      <c r="C629" s="26" t="s">
        <v>21</v>
      </c>
      <c r="D629" s="26" t="s">
        <v>162</v>
      </c>
      <c r="E629" s="26" t="s">
        <v>208</v>
      </c>
      <c r="F629" s="26" t="s">
        <v>211</v>
      </c>
      <c r="G629" s="27" t="s">
        <v>16</v>
      </c>
      <c r="H629" s="28">
        <v>359</v>
      </c>
      <c r="I629" s="28">
        <v>85</v>
      </c>
      <c r="J629" s="28">
        <v>67</v>
      </c>
      <c r="K629" s="28">
        <v>18</v>
      </c>
      <c r="L629" s="28">
        <v>274</v>
      </c>
      <c r="M629" s="28">
        <v>485</v>
      </c>
      <c r="N629" s="28">
        <v>303</v>
      </c>
      <c r="O629" s="28">
        <v>274</v>
      </c>
      <c r="P629" s="28">
        <v>29</v>
      </c>
      <c r="Q629" s="28">
        <v>182</v>
      </c>
      <c r="R629" s="29">
        <v>23.676880199999999</v>
      </c>
      <c r="S629" s="29">
        <v>18.662952600000001</v>
      </c>
      <c r="T629" s="29">
        <v>5.0139275999999997</v>
      </c>
      <c r="U629" s="29">
        <v>76.323119800000001</v>
      </c>
      <c r="V629" s="29">
        <v>62.474226799999997</v>
      </c>
      <c r="W629" s="29">
        <v>56.494845400000003</v>
      </c>
      <c r="X629" s="29">
        <v>5.9793814000000003</v>
      </c>
      <c r="Y629" s="29">
        <v>37.525773200000003</v>
      </c>
    </row>
    <row r="630" spans="2:25" ht="15" customHeight="1">
      <c r="B630" s="30">
        <v>625</v>
      </c>
      <c r="C630" s="31" t="s">
        <v>21</v>
      </c>
      <c r="D630" s="36" t="s">
        <v>162</v>
      </c>
      <c r="E630" s="36" t="s">
        <v>208</v>
      </c>
      <c r="F630" s="36" t="s">
        <v>212</v>
      </c>
      <c r="G630" s="37" t="s">
        <v>212</v>
      </c>
      <c r="H630" s="32">
        <v>701</v>
      </c>
      <c r="I630" s="32">
        <v>240</v>
      </c>
      <c r="J630" s="32">
        <v>161</v>
      </c>
      <c r="K630" s="32">
        <v>79</v>
      </c>
      <c r="L630" s="32">
        <v>461</v>
      </c>
      <c r="M630" s="32">
        <v>1057</v>
      </c>
      <c r="N630" s="32">
        <v>598</v>
      </c>
      <c r="O630" s="32">
        <v>554</v>
      </c>
      <c r="P630" s="32">
        <v>44</v>
      </c>
      <c r="Q630" s="32">
        <v>459</v>
      </c>
      <c r="R630" s="33">
        <v>34.236804599999999</v>
      </c>
      <c r="S630" s="33">
        <v>22.967189699999999</v>
      </c>
      <c r="T630" s="33">
        <v>11.269614799999999</v>
      </c>
      <c r="U630" s="33">
        <v>65.763195400000001</v>
      </c>
      <c r="V630" s="33">
        <v>56.575212899999997</v>
      </c>
      <c r="W630" s="33">
        <v>52.412488199999999</v>
      </c>
      <c r="X630" s="33">
        <v>4.1627247000000001</v>
      </c>
      <c r="Y630" s="33">
        <v>43.424787100000003</v>
      </c>
    </row>
    <row r="631" spans="2:25" ht="15" hidden="1" customHeight="1">
      <c r="B631" s="25">
        <v>626</v>
      </c>
      <c r="C631" s="26" t="s">
        <v>21</v>
      </c>
      <c r="D631" s="26" t="s">
        <v>162</v>
      </c>
      <c r="E631" s="26" t="s">
        <v>208</v>
      </c>
      <c r="F631" s="26" t="s">
        <v>212</v>
      </c>
      <c r="G631" s="27" t="s">
        <v>15</v>
      </c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9"/>
      <c r="S631" s="29"/>
      <c r="T631" s="29"/>
      <c r="U631" s="29"/>
      <c r="V631" s="29"/>
      <c r="W631" s="29"/>
      <c r="X631" s="29"/>
      <c r="Y631" s="29"/>
    </row>
    <row r="632" spans="2:25" ht="15" hidden="1" customHeight="1">
      <c r="B632" s="25">
        <v>627</v>
      </c>
      <c r="C632" s="26" t="s">
        <v>21</v>
      </c>
      <c r="D632" s="26" t="s">
        <v>162</v>
      </c>
      <c r="E632" s="26" t="s">
        <v>208</v>
      </c>
      <c r="F632" s="26" t="s">
        <v>212</v>
      </c>
      <c r="G632" s="27" t="s">
        <v>16</v>
      </c>
      <c r="H632" s="28">
        <v>701</v>
      </c>
      <c r="I632" s="28">
        <v>240</v>
      </c>
      <c r="J632" s="28">
        <v>161</v>
      </c>
      <c r="K632" s="28">
        <v>79</v>
      </c>
      <c r="L632" s="28">
        <v>461</v>
      </c>
      <c r="M632" s="28">
        <v>1057</v>
      </c>
      <c r="N632" s="28">
        <v>598</v>
      </c>
      <c r="O632" s="28">
        <v>554</v>
      </c>
      <c r="P632" s="28">
        <v>44</v>
      </c>
      <c r="Q632" s="28">
        <v>459</v>
      </c>
      <c r="R632" s="29">
        <v>34.236804599999999</v>
      </c>
      <c r="S632" s="29">
        <v>22.967189699999999</v>
      </c>
      <c r="T632" s="29">
        <v>11.269614799999999</v>
      </c>
      <c r="U632" s="29">
        <v>65.763195400000001</v>
      </c>
      <c r="V632" s="29">
        <v>56.575212899999997</v>
      </c>
      <c r="W632" s="29">
        <v>52.412488199999999</v>
      </c>
      <c r="X632" s="29">
        <v>4.1627247000000001</v>
      </c>
      <c r="Y632" s="29">
        <v>43.424787100000003</v>
      </c>
    </row>
    <row r="633" spans="2:25" ht="15" hidden="1" customHeight="1">
      <c r="B633" s="21">
        <v>628</v>
      </c>
      <c r="C633" s="22" t="s">
        <v>19</v>
      </c>
      <c r="D633" s="35" t="s">
        <v>162</v>
      </c>
      <c r="E633" s="35" t="s">
        <v>213</v>
      </c>
      <c r="F633" s="35"/>
      <c r="G633" s="22" t="s">
        <v>213</v>
      </c>
      <c r="H633" s="23">
        <v>2366</v>
      </c>
      <c r="I633" s="23">
        <v>140</v>
      </c>
      <c r="J633" s="23">
        <v>94</v>
      </c>
      <c r="K633" s="23">
        <v>46</v>
      </c>
      <c r="L633" s="23">
        <v>2226</v>
      </c>
      <c r="M633" s="23">
        <v>3211</v>
      </c>
      <c r="N633" s="23">
        <v>466</v>
      </c>
      <c r="O633" s="23">
        <v>422</v>
      </c>
      <c r="P633" s="23">
        <v>44</v>
      </c>
      <c r="Q633" s="23">
        <v>2745</v>
      </c>
      <c r="R633" s="24">
        <v>5.9171598000000003</v>
      </c>
      <c r="S633" s="24">
        <v>3.9729500999999998</v>
      </c>
      <c r="T633" s="24">
        <v>1.9442096</v>
      </c>
      <c r="U633" s="24">
        <v>94.082840200000007</v>
      </c>
      <c r="V633" s="24">
        <v>14.512612900000001</v>
      </c>
      <c r="W633" s="24">
        <v>13.142323299999999</v>
      </c>
      <c r="X633" s="24">
        <v>1.3702896</v>
      </c>
      <c r="Y633" s="24">
        <v>85.487387100000007</v>
      </c>
    </row>
    <row r="634" spans="2:25" ht="15" hidden="1" customHeight="1">
      <c r="B634" s="25">
        <v>629</v>
      </c>
      <c r="C634" s="26" t="s">
        <v>19</v>
      </c>
      <c r="D634" s="26" t="s">
        <v>162</v>
      </c>
      <c r="E634" s="26" t="s">
        <v>213</v>
      </c>
      <c r="F634" s="26"/>
      <c r="G634" s="27" t="s">
        <v>15</v>
      </c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9"/>
      <c r="S634" s="29"/>
      <c r="T634" s="29"/>
      <c r="U634" s="29"/>
      <c r="V634" s="29"/>
      <c r="W634" s="29"/>
      <c r="X634" s="29"/>
      <c r="Y634" s="29"/>
    </row>
    <row r="635" spans="2:25" ht="15" hidden="1" customHeight="1">
      <c r="B635" s="25">
        <v>630</v>
      </c>
      <c r="C635" s="26" t="s">
        <v>19</v>
      </c>
      <c r="D635" s="26" t="s">
        <v>162</v>
      </c>
      <c r="E635" s="26" t="s">
        <v>213</v>
      </c>
      <c r="F635" s="26"/>
      <c r="G635" s="27" t="s">
        <v>16</v>
      </c>
      <c r="H635" s="28">
        <v>2366</v>
      </c>
      <c r="I635" s="28">
        <v>140</v>
      </c>
      <c r="J635" s="28">
        <v>94</v>
      </c>
      <c r="K635" s="28">
        <v>46</v>
      </c>
      <c r="L635" s="28">
        <v>2226</v>
      </c>
      <c r="M635" s="28">
        <v>3211</v>
      </c>
      <c r="N635" s="28">
        <v>466</v>
      </c>
      <c r="O635" s="28">
        <v>422</v>
      </c>
      <c r="P635" s="28">
        <v>44</v>
      </c>
      <c r="Q635" s="28">
        <v>2745</v>
      </c>
      <c r="R635" s="29">
        <v>5.9171598000000003</v>
      </c>
      <c r="S635" s="29">
        <v>3.9729500999999998</v>
      </c>
      <c r="T635" s="29">
        <v>1.9442096</v>
      </c>
      <c r="U635" s="29">
        <v>94.082840200000007</v>
      </c>
      <c r="V635" s="29">
        <v>14.512612900000001</v>
      </c>
      <c r="W635" s="29">
        <v>13.142323299999999</v>
      </c>
      <c r="X635" s="29">
        <v>1.3702896</v>
      </c>
      <c r="Y635" s="29">
        <v>85.487387100000007</v>
      </c>
    </row>
    <row r="636" spans="2:25" ht="15" customHeight="1">
      <c r="B636" s="30">
        <v>631</v>
      </c>
      <c r="C636" s="31" t="s">
        <v>21</v>
      </c>
      <c r="D636" s="36" t="s">
        <v>162</v>
      </c>
      <c r="E636" s="36" t="s">
        <v>213</v>
      </c>
      <c r="F636" s="36" t="s">
        <v>213</v>
      </c>
      <c r="G636" s="37" t="s">
        <v>213</v>
      </c>
      <c r="H636" s="32">
        <v>2366</v>
      </c>
      <c r="I636" s="32">
        <v>140</v>
      </c>
      <c r="J636" s="32">
        <v>94</v>
      </c>
      <c r="K636" s="32">
        <v>46</v>
      </c>
      <c r="L636" s="32">
        <v>2226</v>
      </c>
      <c r="M636" s="32">
        <v>3211</v>
      </c>
      <c r="N636" s="32">
        <v>466</v>
      </c>
      <c r="O636" s="32">
        <v>422</v>
      </c>
      <c r="P636" s="32">
        <v>44</v>
      </c>
      <c r="Q636" s="32">
        <v>2745</v>
      </c>
      <c r="R636" s="33">
        <v>5.9171598000000003</v>
      </c>
      <c r="S636" s="33">
        <v>3.9729500999999998</v>
      </c>
      <c r="T636" s="33">
        <v>1.9442096</v>
      </c>
      <c r="U636" s="33">
        <v>94.082840200000007</v>
      </c>
      <c r="V636" s="33">
        <v>14.512612900000001</v>
      </c>
      <c r="W636" s="33">
        <v>13.142323299999999</v>
      </c>
      <c r="X636" s="33">
        <v>1.3702896</v>
      </c>
      <c r="Y636" s="33">
        <v>85.487387100000007</v>
      </c>
    </row>
    <row r="637" spans="2:25" ht="15" hidden="1" customHeight="1">
      <c r="B637" s="25">
        <v>632</v>
      </c>
      <c r="C637" s="26" t="s">
        <v>21</v>
      </c>
      <c r="D637" s="26" t="s">
        <v>162</v>
      </c>
      <c r="E637" s="26" t="s">
        <v>213</v>
      </c>
      <c r="F637" s="26" t="s">
        <v>213</v>
      </c>
      <c r="G637" s="27" t="s">
        <v>15</v>
      </c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9"/>
      <c r="S637" s="29"/>
      <c r="T637" s="29"/>
      <c r="U637" s="29"/>
      <c r="V637" s="29"/>
      <c r="W637" s="29"/>
      <c r="X637" s="29"/>
      <c r="Y637" s="29"/>
    </row>
    <row r="638" spans="2:25" ht="15" hidden="1" customHeight="1">
      <c r="B638" s="25">
        <v>633</v>
      </c>
      <c r="C638" s="26" t="s">
        <v>21</v>
      </c>
      <c r="D638" s="26" t="s">
        <v>162</v>
      </c>
      <c r="E638" s="26" t="s">
        <v>213</v>
      </c>
      <c r="F638" s="26" t="s">
        <v>213</v>
      </c>
      <c r="G638" s="27" t="s">
        <v>16</v>
      </c>
      <c r="H638" s="28">
        <v>2366</v>
      </c>
      <c r="I638" s="28">
        <v>140</v>
      </c>
      <c r="J638" s="28">
        <v>94</v>
      </c>
      <c r="K638" s="28">
        <v>46</v>
      </c>
      <c r="L638" s="28">
        <v>2226</v>
      </c>
      <c r="M638" s="28">
        <v>3211</v>
      </c>
      <c r="N638" s="28">
        <v>466</v>
      </c>
      <c r="O638" s="28">
        <v>422</v>
      </c>
      <c r="P638" s="28">
        <v>44</v>
      </c>
      <c r="Q638" s="28">
        <v>2745</v>
      </c>
      <c r="R638" s="29">
        <v>5.9171598000000003</v>
      </c>
      <c r="S638" s="29">
        <v>3.9729500999999998</v>
      </c>
      <c r="T638" s="29">
        <v>1.9442096</v>
      </c>
      <c r="U638" s="29">
        <v>94.082840200000007</v>
      </c>
      <c r="V638" s="29">
        <v>14.512612900000001</v>
      </c>
      <c r="W638" s="29">
        <v>13.142323299999999</v>
      </c>
      <c r="X638" s="29">
        <v>1.3702896</v>
      </c>
      <c r="Y638" s="29">
        <v>85.487387100000007</v>
      </c>
    </row>
    <row r="639" spans="2:25" ht="15" hidden="1" customHeight="1">
      <c r="B639" s="21">
        <v>634</v>
      </c>
      <c r="C639" s="22" t="s">
        <v>19</v>
      </c>
      <c r="D639" s="35" t="s">
        <v>162</v>
      </c>
      <c r="E639" s="35" t="s">
        <v>214</v>
      </c>
      <c r="F639" s="35"/>
      <c r="G639" s="22" t="s">
        <v>214</v>
      </c>
      <c r="H639" s="23">
        <v>14107</v>
      </c>
      <c r="I639" s="23">
        <v>8545</v>
      </c>
      <c r="J639" s="23">
        <v>5537</v>
      </c>
      <c r="K639" s="23">
        <v>3008</v>
      </c>
      <c r="L639" s="23">
        <v>5562</v>
      </c>
      <c r="M639" s="23">
        <v>17109</v>
      </c>
      <c r="N639" s="23">
        <v>12664</v>
      </c>
      <c r="O639" s="23">
        <v>11014</v>
      </c>
      <c r="P639" s="23">
        <v>1650</v>
      </c>
      <c r="Q639" s="23">
        <v>4445</v>
      </c>
      <c r="R639" s="24">
        <v>60.5727653</v>
      </c>
      <c r="S639" s="24">
        <v>39.250017700000001</v>
      </c>
      <c r="T639" s="24">
        <v>21.3227476</v>
      </c>
      <c r="U639" s="24">
        <v>39.4272347</v>
      </c>
      <c r="V639" s="24">
        <v>74.019521900000001</v>
      </c>
      <c r="W639" s="24">
        <v>64.3754749</v>
      </c>
      <c r="X639" s="24">
        <v>9.6440470000000005</v>
      </c>
      <c r="Y639" s="24">
        <v>25.980478099999999</v>
      </c>
    </row>
    <row r="640" spans="2:25" ht="15" hidden="1" customHeight="1">
      <c r="B640" s="25">
        <v>635</v>
      </c>
      <c r="C640" s="26" t="s">
        <v>19</v>
      </c>
      <c r="D640" s="26" t="s">
        <v>162</v>
      </c>
      <c r="E640" s="26" t="s">
        <v>214</v>
      </c>
      <c r="F640" s="26"/>
      <c r="G640" s="27" t="s">
        <v>15</v>
      </c>
      <c r="H640" s="28">
        <v>2341</v>
      </c>
      <c r="I640" s="28">
        <v>2112</v>
      </c>
      <c r="J640" s="28">
        <v>972</v>
      </c>
      <c r="K640" s="28">
        <v>1140</v>
      </c>
      <c r="L640" s="28">
        <v>229</v>
      </c>
      <c r="M640" s="28">
        <v>3707</v>
      </c>
      <c r="N640" s="28">
        <v>3486</v>
      </c>
      <c r="O640" s="28">
        <v>2449</v>
      </c>
      <c r="P640" s="28">
        <v>1037</v>
      </c>
      <c r="Q640" s="28">
        <v>221</v>
      </c>
      <c r="R640" s="29">
        <v>90.217855599999993</v>
      </c>
      <c r="S640" s="29">
        <v>41.520717599999998</v>
      </c>
      <c r="T640" s="29">
        <v>48.697138000000002</v>
      </c>
      <c r="U640" s="29">
        <v>9.7821444</v>
      </c>
      <c r="V640" s="29">
        <v>94.038305899999997</v>
      </c>
      <c r="W640" s="29">
        <v>66.064202899999998</v>
      </c>
      <c r="X640" s="29">
        <v>27.974102999999999</v>
      </c>
      <c r="Y640" s="29">
        <v>5.9616940999999999</v>
      </c>
    </row>
    <row r="641" spans="2:25" ht="15" hidden="1" customHeight="1">
      <c r="B641" s="25">
        <v>636</v>
      </c>
      <c r="C641" s="26" t="s">
        <v>19</v>
      </c>
      <c r="D641" s="26" t="s">
        <v>162</v>
      </c>
      <c r="E641" s="26" t="s">
        <v>214</v>
      </c>
      <c r="F641" s="26"/>
      <c r="G641" s="27" t="s">
        <v>16</v>
      </c>
      <c r="H641" s="28">
        <v>11766</v>
      </c>
      <c r="I641" s="28">
        <v>6433</v>
      </c>
      <c r="J641" s="28">
        <v>4565</v>
      </c>
      <c r="K641" s="28">
        <v>1868</v>
      </c>
      <c r="L641" s="28">
        <v>5333</v>
      </c>
      <c r="M641" s="28">
        <v>13402</v>
      </c>
      <c r="N641" s="28">
        <v>9178</v>
      </c>
      <c r="O641" s="28">
        <v>8565</v>
      </c>
      <c r="P641" s="28">
        <v>613</v>
      </c>
      <c r="Q641" s="28">
        <v>4224</v>
      </c>
      <c r="R641" s="29">
        <v>54.674485799999999</v>
      </c>
      <c r="S641" s="29">
        <v>38.798232200000001</v>
      </c>
      <c r="T641" s="29">
        <v>15.8762536</v>
      </c>
      <c r="U641" s="29">
        <v>45.325514200000001</v>
      </c>
      <c r="V641" s="29">
        <v>68.482316100000006</v>
      </c>
      <c r="W641" s="29">
        <v>63.908371899999999</v>
      </c>
      <c r="X641" s="29">
        <v>4.5739441999999997</v>
      </c>
      <c r="Y641" s="29">
        <v>31.517683900000002</v>
      </c>
    </row>
    <row r="642" spans="2:25" ht="15" customHeight="1">
      <c r="B642" s="30">
        <v>637</v>
      </c>
      <c r="C642" s="31" t="s">
        <v>21</v>
      </c>
      <c r="D642" s="36" t="s">
        <v>162</v>
      </c>
      <c r="E642" s="36" t="s">
        <v>214</v>
      </c>
      <c r="F642" s="36" t="s">
        <v>214</v>
      </c>
      <c r="G642" s="37" t="s">
        <v>214</v>
      </c>
      <c r="H642" s="32">
        <v>6496</v>
      </c>
      <c r="I642" s="32">
        <v>2981</v>
      </c>
      <c r="J642" s="32">
        <v>1821</v>
      </c>
      <c r="K642" s="32">
        <v>1160</v>
      </c>
      <c r="L642" s="32">
        <v>3515</v>
      </c>
      <c r="M642" s="32">
        <v>6678</v>
      </c>
      <c r="N642" s="32">
        <v>4351</v>
      </c>
      <c r="O642" s="32">
        <v>4178</v>
      </c>
      <c r="P642" s="32">
        <v>173</v>
      </c>
      <c r="Q642" s="32">
        <v>2327</v>
      </c>
      <c r="R642" s="33">
        <v>45.889778300000003</v>
      </c>
      <c r="S642" s="33">
        <v>28.032635500000001</v>
      </c>
      <c r="T642" s="33">
        <v>17.857142899999999</v>
      </c>
      <c r="U642" s="33">
        <v>54.110221699999997</v>
      </c>
      <c r="V642" s="33">
        <v>65.154237800000004</v>
      </c>
      <c r="W642" s="33">
        <v>62.563641799999999</v>
      </c>
      <c r="X642" s="33">
        <v>2.5905960000000001</v>
      </c>
      <c r="Y642" s="33">
        <v>34.845762200000003</v>
      </c>
    </row>
    <row r="643" spans="2:25" ht="15" hidden="1" customHeight="1">
      <c r="B643" s="25">
        <v>638</v>
      </c>
      <c r="C643" s="26" t="s">
        <v>21</v>
      </c>
      <c r="D643" s="26" t="s">
        <v>162</v>
      </c>
      <c r="E643" s="26" t="s">
        <v>214</v>
      </c>
      <c r="F643" s="26" t="s">
        <v>214</v>
      </c>
      <c r="G643" s="27" t="s">
        <v>15</v>
      </c>
      <c r="H643" s="28">
        <v>690</v>
      </c>
      <c r="I643" s="28">
        <v>594</v>
      </c>
      <c r="J643" s="28">
        <v>303</v>
      </c>
      <c r="K643" s="28">
        <v>291</v>
      </c>
      <c r="L643" s="28">
        <v>96</v>
      </c>
      <c r="M643" s="28">
        <v>804</v>
      </c>
      <c r="N643" s="28">
        <v>762</v>
      </c>
      <c r="O643" s="28">
        <v>698</v>
      </c>
      <c r="P643" s="28">
        <v>64</v>
      </c>
      <c r="Q643" s="28">
        <v>42</v>
      </c>
      <c r="R643" s="29">
        <v>86.086956499999999</v>
      </c>
      <c r="S643" s="29">
        <v>43.913043500000001</v>
      </c>
      <c r="T643" s="29">
        <v>42.173912999999999</v>
      </c>
      <c r="U643" s="29">
        <v>13.913043500000001</v>
      </c>
      <c r="V643" s="29">
        <v>94.776119399999999</v>
      </c>
      <c r="W643" s="29">
        <v>86.815920399999996</v>
      </c>
      <c r="X643" s="29">
        <v>7.9601990000000002</v>
      </c>
      <c r="Y643" s="29">
        <v>5.2238806000000002</v>
      </c>
    </row>
    <row r="644" spans="2:25" ht="15" hidden="1" customHeight="1">
      <c r="B644" s="25">
        <v>639</v>
      </c>
      <c r="C644" s="26" t="s">
        <v>21</v>
      </c>
      <c r="D644" s="26" t="s">
        <v>162</v>
      </c>
      <c r="E644" s="26" t="s">
        <v>214</v>
      </c>
      <c r="F644" s="26" t="s">
        <v>214</v>
      </c>
      <c r="G644" s="27" t="s">
        <v>16</v>
      </c>
      <c r="H644" s="28">
        <v>5806</v>
      </c>
      <c r="I644" s="28">
        <v>2387</v>
      </c>
      <c r="J644" s="28">
        <v>1518</v>
      </c>
      <c r="K644" s="28">
        <v>869</v>
      </c>
      <c r="L644" s="28">
        <v>3419</v>
      </c>
      <c r="M644" s="28">
        <v>5874</v>
      </c>
      <c r="N644" s="28">
        <v>3589</v>
      </c>
      <c r="O644" s="28">
        <v>3480</v>
      </c>
      <c r="P644" s="28">
        <v>109</v>
      </c>
      <c r="Q644" s="28">
        <v>2285</v>
      </c>
      <c r="R644" s="29">
        <v>41.112642100000002</v>
      </c>
      <c r="S644" s="29">
        <v>26.145366899999999</v>
      </c>
      <c r="T644" s="29">
        <v>14.9672752</v>
      </c>
      <c r="U644" s="29">
        <v>58.887357899999998</v>
      </c>
      <c r="V644" s="29">
        <v>61.099761700000002</v>
      </c>
      <c r="W644" s="29">
        <v>59.244126700000002</v>
      </c>
      <c r="X644" s="29">
        <v>1.8556349999999999</v>
      </c>
      <c r="Y644" s="29">
        <v>38.900238299999998</v>
      </c>
    </row>
    <row r="645" spans="2:25" ht="15" customHeight="1">
      <c r="B645" s="30">
        <v>640</v>
      </c>
      <c r="C645" s="31" t="s">
        <v>21</v>
      </c>
      <c r="D645" s="36" t="s">
        <v>162</v>
      </c>
      <c r="E645" s="36" t="s">
        <v>214</v>
      </c>
      <c r="F645" s="36" t="s">
        <v>215</v>
      </c>
      <c r="G645" s="37" t="s">
        <v>215</v>
      </c>
      <c r="H645" s="32">
        <v>7611</v>
      </c>
      <c r="I645" s="32">
        <v>5564</v>
      </c>
      <c r="J645" s="32">
        <v>3716</v>
      </c>
      <c r="K645" s="32">
        <v>1848</v>
      </c>
      <c r="L645" s="32">
        <v>2047</v>
      </c>
      <c r="M645" s="32">
        <v>10431</v>
      </c>
      <c r="N645" s="32">
        <v>8313</v>
      </c>
      <c r="O645" s="32">
        <v>6836</v>
      </c>
      <c r="P645" s="32">
        <v>1477</v>
      </c>
      <c r="Q645" s="32">
        <v>2118</v>
      </c>
      <c r="R645" s="33">
        <v>73.1047169</v>
      </c>
      <c r="S645" s="33">
        <v>48.824070399999997</v>
      </c>
      <c r="T645" s="33">
        <v>24.280646399999998</v>
      </c>
      <c r="U645" s="33">
        <v>26.8952831</v>
      </c>
      <c r="V645" s="33">
        <v>79.695139499999996</v>
      </c>
      <c r="W645" s="33">
        <v>65.535423300000005</v>
      </c>
      <c r="X645" s="33">
        <v>14.1597162</v>
      </c>
      <c r="Y645" s="33">
        <v>20.3048605</v>
      </c>
    </row>
    <row r="646" spans="2:25" ht="15" hidden="1" customHeight="1">
      <c r="B646" s="25">
        <v>641</v>
      </c>
      <c r="C646" s="26" t="s">
        <v>21</v>
      </c>
      <c r="D646" s="26" t="s">
        <v>162</v>
      </c>
      <c r="E646" s="26" t="s">
        <v>214</v>
      </c>
      <c r="F646" s="26" t="s">
        <v>215</v>
      </c>
      <c r="G646" s="27" t="s">
        <v>15</v>
      </c>
      <c r="H646" s="28">
        <v>1651</v>
      </c>
      <c r="I646" s="28">
        <v>1518</v>
      </c>
      <c r="J646" s="28">
        <v>669</v>
      </c>
      <c r="K646" s="28">
        <v>849</v>
      </c>
      <c r="L646" s="28">
        <v>133</v>
      </c>
      <c r="M646" s="28">
        <v>2903</v>
      </c>
      <c r="N646" s="28">
        <v>2724</v>
      </c>
      <c r="O646" s="28">
        <v>1751</v>
      </c>
      <c r="P646" s="28">
        <v>973</v>
      </c>
      <c r="Q646" s="28">
        <v>179</v>
      </c>
      <c r="R646" s="29">
        <v>91.944276200000004</v>
      </c>
      <c r="S646" s="29">
        <v>40.520896399999998</v>
      </c>
      <c r="T646" s="29">
        <v>51.423379799999999</v>
      </c>
      <c r="U646" s="29">
        <v>8.0557238000000009</v>
      </c>
      <c r="V646" s="29">
        <v>93.833964899999998</v>
      </c>
      <c r="W646" s="29">
        <v>60.316913499999998</v>
      </c>
      <c r="X646" s="29">
        <v>33.517051299999999</v>
      </c>
      <c r="Y646" s="29">
        <v>6.1660351000000002</v>
      </c>
    </row>
    <row r="647" spans="2:25" ht="15" hidden="1" customHeight="1">
      <c r="B647" s="25">
        <v>642</v>
      </c>
      <c r="C647" s="26" t="s">
        <v>21</v>
      </c>
      <c r="D647" s="26" t="s">
        <v>162</v>
      </c>
      <c r="E647" s="26" t="s">
        <v>214</v>
      </c>
      <c r="F647" s="26" t="s">
        <v>215</v>
      </c>
      <c r="G647" s="27" t="s">
        <v>16</v>
      </c>
      <c r="H647" s="28">
        <v>5960</v>
      </c>
      <c r="I647" s="28">
        <v>4046</v>
      </c>
      <c r="J647" s="28">
        <v>3047</v>
      </c>
      <c r="K647" s="28">
        <v>999</v>
      </c>
      <c r="L647" s="28">
        <v>1914</v>
      </c>
      <c r="M647" s="28">
        <v>7528</v>
      </c>
      <c r="N647" s="28">
        <v>5589</v>
      </c>
      <c r="O647" s="28">
        <v>5085</v>
      </c>
      <c r="P647" s="28">
        <v>504</v>
      </c>
      <c r="Q647" s="28">
        <v>1939</v>
      </c>
      <c r="R647" s="29">
        <v>67.885906000000006</v>
      </c>
      <c r="S647" s="29">
        <v>51.124161100000002</v>
      </c>
      <c r="T647" s="29">
        <v>16.761745000000001</v>
      </c>
      <c r="U647" s="29">
        <v>32.114094000000001</v>
      </c>
      <c r="V647" s="29">
        <v>74.242826800000003</v>
      </c>
      <c r="W647" s="29">
        <v>67.547821499999998</v>
      </c>
      <c r="X647" s="29">
        <v>6.6950053</v>
      </c>
      <c r="Y647" s="29">
        <v>25.7571732</v>
      </c>
    </row>
    <row r="648" spans="2:25" ht="15" hidden="1" customHeight="1">
      <c r="B648" s="13">
        <v>643</v>
      </c>
      <c r="C648" s="14" t="s">
        <v>17</v>
      </c>
      <c r="D648" s="14" t="s">
        <v>216</v>
      </c>
      <c r="E648" s="14"/>
      <c r="F648" s="14"/>
      <c r="G648" s="14" t="s">
        <v>216</v>
      </c>
      <c r="H648" s="15">
        <v>152061</v>
      </c>
      <c r="I648" s="15">
        <v>71631</v>
      </c>
      <c r="J648" s="15">
        <v>39153</v>
      </c>
      <c r="K648" s="15">
        <v>32478</v>
      </c>
      <c r="L648" s="15">
        <v>80430</v>
      </c>
      <c r="M648" s="15">
        <v>190973</v>
      </c>
      <c r="N648" s="15">
        <v>121657</v>
      </c>
      <c r="O648" s="15">
        <v>101766</v>
      </c>
      <c r="P648" s="15">
        <v>19891</v>
      </c>
      <c r="Q648" s="15">
        <v>69316</v>
      </c>
      <c r="R648" s="16">
        <v>47.1067532</v>
      </c>
      <c r="S648" s="16">
        <v>25.748219500000001</v>
      </c>
      <c r="T648" s="16">
        <v>21.358533699999999</v>
      </c>
      <c r="U648" s="16">
        <v>52.8932468</v>
      </c>
      <c r="V648" s="16">
        <v>63.703769600000001</v>
      </c>
      <c r="W648" s="16">
        <v>53.288161199999998</v>
      </c>
      <c r="X648" s="16">
        <v>10.415608499999999</v>
      </c>
      <c r="Y648" s="16">
        <v>36.296230399999999</v>
      </c>
    </row>
    <row r="649" spans="2:25" ht="15" hidden="1" customHeight="1">
      <c r="B649" s="17">
        <v>644</v>
      </c>
      <c r="C649" s="18" t="s">
        <v>17</v>
      </c>
      <c r="D649" s="34" t="s">
        <v>216</v>
      </c>
      <c r="E649" s="34"/>
      <c r="F649" s="34"/>
      <c r="G649" s="18" t="s">
        <v>15</v>
      </c>
      <c r="H649" s="19">
        <v>91617</v>
      </c>
      <c r="I649" s="19">
        <v>63962</v>
      </c>
      <c r="J649" s="19">
        <v>35014</v>
      </c>
      <c r="K649" s="19">
        <v>28948</v>
      </c>
      <c r="L649" s="19">
        <v>27655</v>
      </c>
      <c r="M649" s="19">
        <v>114820</v>
      </c>
      <c r="N649" s="19">
        <v>98862</v>
      </c>
      <c r="O649" s="19">
        <v>83311</v>
      </c>
      <c r="P649" s="19">
        <v>15551</v>
      </c>
      <c r="Q649" s="19">
        <v>15958</v>
      </c>
      <c r="R649" s="20">
        <v>69.814554099999995</v>
      </c>
      <c r="S649" s="20">
        <v>38.217798000000002</v>
      </c>
      <c r="T649" s="20">
        <v>31.5967561</v>
      </c>
      <c r="U649" s="20">
        <v>30.185445900000001</v>
      </c>
      <c r="V649" s="20">
        <v>86.101724399999995</v>
      </c>
      <c r="W649" s="20">
        <v>72.557916700000007</v>
      </c>
      <c r="X649" s="20">
        <v>13.5438077</v>
      </c>
      <c r="Y649" s="20">
        <v>13.8982756</v>
      </c>
    </row>
    <row r="650" spans="2:25" ht="15" hidden="1" customHeight="1">
      <c r="B650" s="17">
        <v>645</v>
      </c>
      <c r="C650" s="18" t="s">
        <v>17</v>
      </c>
      <c r="D650" s="34" t="s">
        <v>216</v>
      </c>
      <c r="E650" s="34"/>
      <c r="F650" s="34"/>
      <c r="G650" s="18" t="s">
        <v>16</v>
      </c>
      <c r="H650" s="19">
        <v>60444</v>
      </c>
      <c r="I650" s="19">
        <v>7669</v>
      </c>
      <c r="J650" s="19">
        <v>4139</v>
      </c>
      <c r="K650" s="19">
        <v>3530</v>
      </c>
      <c r="L650" s="19">
        <v>52775</v>
      </c>
      <c r="M650" s="19">
        <v>76153</v>
      </c>
      <c r="N650" s="19">
        <v>22795</v>
      </c>
      <c r="O650" s="19">
        <v>18455</v>
      </c>
      <c r="P650" s="19">
        <v>4340</v>
      </c>
      <c r="Q650" s="19">
        <v>53358</v>
      </c>
      <c r="R650" s="20">
        <v>12.6877771</v>
      </c>
      <c r="S650" s="20">
        <v>6.8476606000000002</v>
      </c>
      <c r="T650" s="20">
        <v>5.8401164999999997</v>
      </c>
      <c r="U650" s="20">
        <v>87.312222899999995</v>
      </c>
      <c r="V650" s="20">
        <v>29.933160900000001</v>
      </c>
      <c r="W650" s="20">
        <v>24.234107699999999</v>
      </c>
      <c r="X650" s="20">
        <v>5.6990531999999998</v>
      </c>
      <c r="Y650" s="20">
        <v>70.066839099999996</v>
      </c>
    </row>
    <row r="651" spans="2:25" ht="15" hidden="1" customHeight="1">
      <c r="B651" s="21">
        <v>646</v>
      </c>
      <c r="C651" s="22" t="s">
        <v>19</v>
      </c>
      <c r="D651" s="35" t="s">
        <v>216</v>
      </c>
      <c r="E651" s="35" t="s">
        <v>163</v>
      </c>
      <c r="F651" s="35"/>
      <c r="G651" s="22" t="s">
        <v>163</v>
      </c>
      <c r="H651" s="23">
        <v>90135</v>
      </c>
      <c r="I651" s="23">
        <v>58031</v>
      </c>
      <c r="J651" s="23">
        <v>31903</v>
      </c>
      <c r="K651" s="23">
        <v>26128</v>
      </c>
      <c r="L651" s="23">
        <v>32104</v>
      </c>
      <c r="M651" s="23">
        <v>113403</v>
      </c>
      <c r="N651" s="23">
        <v>89386</v>
      </c>
      <c r="O651" s="23">
        <v>75759</v>
      </c>
      <c r="P651" s="23">
        <v>13627</v>
      </c>
      <c r="Q651" s="23">
        <v>24017</v>
      </c>
      <c r="R651" s="24">
        <v>64.382315399999996</v>
      </c>
      <c r="S651" s="24">
        <v>35.394685699999997</v>
      </c>
      <c r="T651" s="24">
        <v>28.987629699999999</v>
      </c>
      <c r="U651" s="24">
        <v>35.617684599999997</v>
      </c>
      <c r="V651" s="24">
        <v>78.821547899999999</v>
      </c>
      <c r="W651" s="24">
        <v>66.805110999999997</v>
      </c>
      <c r="X651" s="24">
        <v>12.016437</v>
      </c>
      <c r="Y651" s="24">
        <v>21.178452100000001</v>
      </c>
    </row>
    <row r="652" spans="2:25" ht="15" hidden="1" customHeight="1">
      <c r="B652" s="25">
        <v>647</v>
      </c>
      <c r="C652" s="26" t="s">
        <v>19</v>
      </c>
      <c r="D652" s="26" t="s">
        <v>216</v>
      </c>
      <c r="E652" s="26" t="s">
        <v>163</v>
      </c>
      <c r="F652" s="26"/>
      <c r="G652" s="27" t="s">
        <v>15</v>
      </c>
      <c r="H652" s="28">
        <v>78297</v>
      </c>
      <c r="I652" s="28">
        <v>56686</v>
      </c>
      <c r="J652" s="28">
        <v>31202</v>
      </c>
      <c r="K652" s="28">
        <v>25484</v>
      </c>
      <c r="L652" s="28">
        <v>21611</v>
      </c>
      <c r="M652" s="28">
        <v>98424</v>
      </c>
      <c r="N652" s="28">
        <v>85226</v>
      </c>
      <c r="O652" s="28">
        <v>72276</v>
      </c>
      <c r="P652" s="28">
        <v>12950</v>
      </c>
      <c r="Q652" s="28">
        <v>13198</v>
      </c>
      <c r="R652" s="29">
        <v>72.398687100000004</v>
      </c>
      <c r="S652" s="29">
        <v>39.8508244</v>
      </c>
      <c r="T652" s="29">
        <v>32.547862600000002</v>
      </c>
      <c r="U652" s="29">
        <v>27.6013129</v>
      </c>
      <c r="V652" s="29">
        <v>86.590668899999997</v>
      </c>
      <c r="W652" s="29">
        <v>73.4333089</v>
      </c>
      <c r="X652" s="29">
        <v>13.157360000000001</v>
      </c>
      <c r="Y652" s="29">
        <v>13.409331099999999</v>
      </c>
    </row>
    <row r="653" spans="2:25" ht="15" hidden="1" customHeight="1">
      <c r="B653" s="25">
        <v>648</v>
      </c>
      <c r="C653" s="26" t="s">
        <v>19</v>
      </c>
      <c r="D653" s="26" t="s">
        <v>216</v>
      </c>
      <c r="E653" s="26" t="s">
        <v>163</v>
      </c>
      <c r="F653" s="26"/>
      <c r="G653" s="27" t="s">
        <v>16</v>
      </c>
      <c r="H653" s="28">
        <v>11838</v>
      </c>
      <c r="I653" s="28">
        <v>1345</v>
      </c>
      <c r="J653" s="28">
        <v>701</v>
      </c>
      <c r="K653" s="28">
        <v>644</v>
      </c>
      <c r="L653" s="28">
        <v>10493</v>
      </c>
      <c r="M653" s="28">
        <v>14979</v>
      </c>
      <c r="N653" s="28">
        <v>4160</v>
      </c>
      <c r="O653" s="28">
        <v>3483</v>
      </c>
      <c r="P653" s="28">
        <v>677</v>
      </c>
      <c r="Q653" s="28">
        <v>10819</v>
      </c>
      <c r="R653" s="29">
        <v>11.3617165</v>
      </c>
      <c r="S653" s="29">
        <v>5.9216084000000002</v>
      </c>
      <c r="T653" s="29">
        <v>5.4401080999999998</v>
      </c>
      <c r="U653" s="29">
        <v>88.6382835</v>
      </c>
      <c r="V653" s="29">
        <v>27.772214399999999</v>
      </c>
      <c r="W653" s="29">
        <v>23.252553599999999</v>
      </c>
      <c r="X653" s="29">
        <v>4.5196608999999999</v>
      </c>
      <c r="Y653" s="29">
        <v>72.227785600000004</v>
      </c>
    </row>
    <row r="654" spans="2:25" ht="15" customHeight="1">
      <c r="B654" s="30">
        <v>649</v>
      </c>
      <c r="C654" s="31" t="s">
        <v>21</v>
      </c>
      <c r="D654" s="36" t="s">
        <v>216</v>
      </c>
      <c r="E654" s="36" t="s">
        <v>163</v>
      </c>
      <c r="F654" s="36" t="s">
        <v>216</v>
      </c>
      <c r="G654" s="37" t="s">
        <v>216</v>
      </c>
      <c r="H654" s="32">
        <v>76724</v>
      </c>
      <c r="I654" s="32">
        <v>55884</v>
      </c>
      <c r="J654" s="32">
        <v>30805</v>
      </c>
      <c r="K654" s="32">
        <v>25079</v>
      </c>
      <c r="L654" s="32">
        <v>20840</v>
      </c>
      <c r="M654" s="32">
        <v>96123</v>
      </c>
      <c r="N654" s="32">
        <v>83699</v>
      </c>
      <c r="O654" s="32">
        <v>70992</v>
      </c>
      <c r="P654" s="32">
        <v>12707</v>
      </c>
      <c r="Q654" s="32">
        <v>12424</v>
      </c>
      <c r="R654" s="33">
        <v>72.837704000000002</v>
      </c>
      <c r="S654" s="33">
        <v>40.1504093</v>
      </c>
      <c r="T654" s="33">
        <v>32.687294700000002</v>
      </c>
      <c r="U654" s="33">
        <v>27.162296000000001</v>
      </c>
      <c r="V654" s="33">
        <v>87.074893599999996</v>
      </c>
      <c r="W654" s="33">
        <v>73.855372799999998</v>
      </c>
      <c r="X654" s="33">
        <v>13.2195208</v>
      </c>
      <c r="Y654" s="33">
        <v>12.925106400000001</v>
      </c>
    </row>
    <row r="655" spans="2:25" ht="15" hidden="1" customHeight="1">
      <c r="B655" s="25">
        <v>650</v>
      </c>
      <c r="C655" s="26" t="s">
        <v>21</v>
      </c>
      <c r="D655" s="26" t="s">
        <v>216</v>
      </c>
      <c r="E655" s="26" t="s">
        <v>163</v>
      </c>
      <c r="F655" s="26" t="s">
        <v>216</v>
      </c>
      <c r="G655" s="27" t="s">
        <v>15</v>
      </c>
      <c r="H655" s="28">
        <v>76724</v>
      </c>
      <c r="I655" s="28">
        <v>55884</v>
      </c>
      <c r="J655" s="28">
        <v>30805</v>
      </c>
      <c r="K655" s="28">
        <v>25079</v>
      </c>
      <c r="L655" s="28">
        <v>20840</v>
      </c>
      <c r="M655" s="28">
        <v>96084</v>
      </c>
      <c r="N655" s="28">
        <v>83692</v>
      </c>
      <c r="O655" s="28">
        <v>70985</v>
      </c>
      <c r="P655" s="28">
        <v>12707</v>
      </c>
      <c r="Q655" s="28">
        <v>12392</v>
      </c>
      <c r="R655" s="29">
        <v>72.837704000000002</v>
      </c>
      <c r="S655" s="29">
        <v>40.1504093</v>
      </c>
      <c r="T655" s="29">
        <v>32.687294700000002</v>
      </c>
      <c r="U655" s="29">
        <v>27.162296000000001</v>
      </c>
      <c r="V655" s="29">
        <v>87.102951599999997</v>
      </c>
      <c r="W655" s="29">
        <v>73.878065000000007</v>
      </c>
      <c r="X655" s="29">
        <v>13.2248866</v>
      </c>
      <c r="Y655" s="29">
        <v>12.897048399999999</v>
      </c>
    </row>
    <row r="656" spans="2:25" ht="15" hidden="1" customHeight="1">
      <c r="B656" s="25">
        <v>651</v>
      </c>
      <c r="C656" s="26" t="s">
        <v>21</v>
      </c>
      <c r="D656" s="26" t="s">
        <v>216</v>
      </c>
      <c r="E656" s="26" t="s">
        <v>163</v>
      </c>
      <c r="F656" s="26" t="s">
        <v>216</v>
      </c>
      <c r="G656" s="27" t="s">
        <v>16</v>
      </c>
      <c r="H656" s="28"/>
      <c r="I656" s="28"/>
      <c r="J656" s="28"/>
      <c r="K656" s="28"/>
      <c r="L656" s="28"/>
      <c r="M656" s="28">
        <v>39</v>
      </c>
      <c r="N656" s="28">
        <v>7</v>
      </c>
      <c r="O656" s="28">
        <v>7</v>
      </c>
      <c r="P656" s="28">
        <v>0</v>
      </c>
      <c r="Q656" s="28">
        <v>32</v>
      </c>
      <c r="R656" s="29"/>
      <c r="S656" s="29"/>
      <c r="T656" s="29"/>
      <c r="U656" s="29"/>
      <c r="V656" s="29">
        <v>17.948717899999998</v>
      </c>
      <c r="W656" s="29">
        <v>17.948717899999998</v>
      </c>
      <c r="X656" s="29">
        <v>0</v>
      </c>
      <c r="Y656" s="29">
        <v>82.051282099999995</v>
      </c>
    </row>
    <row r="657" spans="2:25" ht="15" customHeight="1">
      <c r="B657" s="30">
        <v>652</v>
      </c>
      <c r="C657" s="31" t="s">
        <v>21</v>
      </c>
      <c r="D657" s="36" t="s">
        <v>216</v>
      </c>
      <c r="E657" s="36" t="s">
        <v>163</v>
      </c>
      <c r="F657" s="36" t="s">
        <v>217</v>
      </c>
      <c r="G657" s="37" t="s">
        <v>217</v>
      </c>
      <c r="H657" s="32">
        <v>6690</v>
      </c>
      <c r="I657" s="32">
        <v>1741</v>
      </c>
      <c r="J657" s="32">
        <v>907</v>
      </c>
      <c r="K657" s="32">
        <v>834</v>
      </c>
      <c r="L657" s="32">
        <v>4949</v>
      </c>
      <c r="M657" s="32">
        <v>7972</v>
      </c>
      <c r="N657" s="32">
        <v>3668</v>
      </c>
      <c r="O657" s="32">
        <v>3017</v>
      </c>
      <c r="P657" s="32">
        <v>651</v>
      </c>
      <c r="Q657" s="32">
        <v>4304</v>
      </c>
      <c r="R657" s="33">
        <v>26.0239163</v>
      </c>
      <c r="S657" s="33">
        <v>13.557548600000001</v>
      </c>
      <c r="T657" s="33">
        <v>12.466367699999999</v>
      </c>
      <c r="U657" s="33">
        <v>73.976083700000004</v>
      </c>
      <c r="V657" s="33">
        <v>46.011038599999999</v>
      </c>
      <c r="W657" s="33">
        <v>37.844957399999998</v>
      </c>
      <c r="X657" s="33">
        <v>8.1660813000000001</v>
      </c>
      <c r="Y657" s="33">
        <v>53.988961400000001</v>
      </c>
    </row>
    <row r="658" spans="2:25" ht="15" hidden="1" customHeight="1">
      <c r="B658" s="25">
        <v>653</v>
      </c>
      <c r="C658" s="26" t="s">
        <v>21</v>
      </c>
      <c r="D658" s="26" t="s">
        <v>216</v>
      </c>
      <c r="E658" s="26" t="s">
        <v>163</v>
      </c>
      <c r="F658" s="26" t="s">
        <v>217</v>
      </c>
      <c r="G658" s="27" t="s">
        <v>15</v>
      </c>
      <c r="H658" s="28">
        <v>1573</v>
      </c>
      <c r="I658" s="28">
        <v>802</v>
      </c>
      <c r="J658" s="28">
        <v>397</v>
      </c>
      <c r="K658" s="28">
        <v>405</v>
      </c>
      <c r="L658" s="28">
        <v>771</v>
      </c>
      <c r="M658" s="28">
        <v>2340</v>
      </c>
      <c r="N658" s="28">
        <v>1534</v>
      </c>
      <c r="O658" s="28">
        <v>1291</v>
      </c>
      <c r="P658" s="28">
        <v>243</v>
      </c>
      <c r="Q658" s="28">
        <v>806</v>
      </c>
      <c r="R658" s="29">
        <v>50.985378300000001</v>
      </c>
      <c r="S658" s="29">
        <v>25.238398</v>
      </c>
      <c r="T658" s="29">
        <v>25.746980300000001</v>
      </c>
      <c r="U658" s="29">
        <v>49.014621699999999</v>
      </c>
      <c r="V658" s="29">
        <v>65.555555600000005</v>
      </c>
      <c r="W658" s="29">
        <v>55.170940199999997</v>
      </c>
      <c r="X658" s="29">
        <v>10.384615399999999</v>
      </c>
      <c r="Y658" s="29">
        <v>34.444444400000002</v>
      </c>
    </row>
    <row r="659" spans="2:25" ht="15" hidden="1" customHeight="1">
      <c r="B659" s="25">
        <v>654</v>
      </c>
      <c r="C659" s="26" t="s">
        <v>21</v>
      </c>
      <c r="D659" s="26" t="s">
        <v>216</v>
      </c>
      <c r="E659" s="26" t="s">
        <v>163</v>
      </c>
      <c r="F659" s="26" t="s">
        <v>217</v>
      </c>
      <c r="G659" s="27" t="s">
        <v>16</v>
      </c>
      <c r="H659" s="28">
        <v>5117</v>
      </c>
      <c r="I659" s="28">
        <v>939</v>
      </c>
      <c r="J659" s="28">
        <v>510</v>
      </c>
      <c r="K659" s="28">
        <v>429</v>
      </c>
      <c r="L659" s="28">
        <v>4178</v>
      </c>
      <c r="M659" s="28">
        <v>5632</v>
      </c>
      <c r="N659" s="28">
        <v>2134</v>
      </c>
      <c r="O659" s="28">
        <v>1726</v>
      </c>
      <c r="P659" s="28">
        <v>408</v>
      </c>
      <c r="Q659" s="28">
        <v>3498</v>
      </c>
      <c r="R659" s="29">
        <v>18.350596100000001</v>
      </c>
      <c r="S659" s="29">
        <v>9.9667773999999998</v>
      </c>
      <c r="T659" s="29">
        <v>8.3838185999999997</v>
      </c>
      <c r="U659" s="29">
        <v>81.649403899999996</v>
      </c>
      <c r="V659" s="29">
        <v>37.890625</v>
      </c>
      <c r="W659" s="29">
        <v>30.646306800000001</v>
      </c>
      <c r="X659" s="29">
        <v>7.2443182000000004</v>
      </c>
      <c r="Y659" s="29">
        <v>62.109375</v>
      </c>
    </row>
    <row r="660" spans="2:25" ht="15" customHeight="1">
      <c r="B660" s="30">
        <v>655</v>
      </c>
      <c r="C660" s="31" t="s">
        <v>21</v>
      </c>
      <c r="D660" s="36" t="s">
        <v>216</v>
      </c>
      <c r="E660" s="36" t="s">
        <v>163</v>
      </c>
      <c r="F660" s="36" t="s">
        <v>218</v>
      </c>
      <c r="G660" s="37" t="s">
        <v>218</v>
      </c>
      <c r="H660" s="32">
        <v>3261</v>
      </c>
      <c r="I660" s="32">
        <v>76</v>
      </c>
      <c r="J660" s="32">
        <v>35</v>
      </c>
      <c r="K660" s="32">
        <v>41</v>
      </c>
      <c r="L660" s="32">
        <v>3185</v>
      </c>
      <c r="M660" s="32">
        <v>3844</v>
      </c>
      <c r="N660" s="32">
        <v>376</v>
      </c>
      <c r="O660" s="32">
        <v>342</v>
      </c>
      <c r="P660" s="32">
        <v>34</v>
      </c>
      <c r="Q660" s="32">
        <v>3468</v>
      </c>
      <c r="R660" s="33">
        <v>2.3305734</v>
      </c>
      <c r="S660" s="33">
        <v>1.0732904000000001</v>
      </c>
      <c r="T660" s="33">
        <v>1.2572829999999999</v>
      </c>
      <c r="U660" s="33">
        <v>97.669426599999994</v>
      </c>
      <c r="V660" s="33">
        <v>9.7814776000000005</v>
      </c>
      <c r="W660" s="33">
        <v>8.8969822999999995</v>
      </c>
      <c r="X660" s="33">
        <v>0.88449529999999998</v>
      </c>
      <c r="Y660" s="33">
        <v>90.218522399999998</v>
      </c>
    </row>
    <row r="661" spans="2:25" ht="15" hidden="1" customHeight="1">
      <c r="B661" s="25">
        <v>656</v>
      </c>
      <c r="C661" s="26" t="s">
        <v>21</v>
      </c>
      <c r="D661" s="26" t="s">
        <v>216</v>
      </c>
      <c r="E661" s="26" t="s">
        <v>163</v>
      </c>
      <c r="F661" s="26" t="s">
        <v>218</v>
      </c>
      <c r="G661" s="27" t="s">
        <v>15</v>
      </c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9"/>
      <c r="S661" s="29"/>
      <c r="T661" s="29"/>
      <c r="U661" s="29"/>
      <c r="V661" s="29"/>
      <c r="W661" s="29"/>
      <c r="X661" s="29"/>
      <c r="Y661" s="29"/>
    </row>
    <row r="662" spans="2:25" ht="15" hidden="1" customHeight="1">
      <c r="B662" s="25">
        <v>657</v>
      </c>
      <c r="C662" s="26" t="s">
        <v>21</v>
      </c>
      <c r="D662" s="26" t="s">
        <v>216</v>
      </c>
      <c r="E662" s="26" t="s">
        <v>163</v>
      </c>
      <c r="F662" s="26" t="s">
        <v>218</v>
      </c>
      <c r="G662" s="27" t="s">
        <v>16</v>
      </c>
      <c r="H662" s="28">
        <v>3261</v>
      </c>
      <c r="I662" s="28">
        <v>76</v>
      </c>
      <c r="J662" s="28">
        <v>35</v>
      </c>
      <c r="K662" s="28">
        <v>41</v>
      </c>
      <c r="L662" s="28">
        <v>3185</v>
      </c>
      <c r="M662" s="28">
        <v>3844</v>
      </c>
      <c r="N662" s="28">
        <v>376</v>
      </c>
      <c r="O662" s="28">
        <v>342</v>
      </c>
      <c r="P662" s="28">
        <v>34</v>
      </c>
      <c r="Q662" s="28">
        <v>3468</v>
      </c>
      <c r="R662" s="29">
        <v>2.3305734</v>
      </c>
      <c r="S662" s="29">
        <v>1.0732904000000001</v>
      </c>
      <c r="T662" s="29">
        <v>1.2572829999999999</v>
      </c>
      <c r="U662" s="29">
        <v>97.669426599999994</v>
      </c>
      <c r="V662" s="29">
        <v>9.7814776000000005</v>
      </c>
      <c r="W662" s="29">
        <v>8.8969822999999995</v>
      </c>
      <c r="X662" s="29">
        <v>0.88449529999999998</v>
      </c>
      <c r="Y662" s="29">
        <v>90.218522399999998</v>
      </c>
    </row>
    <row r="663" spans="2:25" ht="15" customHeight="1">
      <c r="B663" s="30">
        <v>658</v>
      </c>
      <c r="C663" s="31" t="s">
        <v>21</v>
      </c>
      <c r="D663" s="36" t="s">
        <v>216</v>
      </c>
      <c r="E663" s="36" t="s">
        <v>163</v>
      </c>
      <c r="F663" s="36" t="s">
        <v>219</v>
      </c>
      <c r="G663" s="37" t="s">
        <v>219</v>
      </c>
      <c r="H663" s="32">
        <v>3460</v>
      </c>
      <c r="I663" s="32">
        <v>330</v>
      </c>
      <c r="J663" s="32">
        <v>156</v>
      </c>
      <c r="K663" s="32">
        <v>174</v>
      </c>
      <c r="L663" s="32">
        <v>3130</v>
      </c>
      <c r="M663" s="32">
        <v>5464</v>
      </c>
      <c r="N663" s="32">
        <v>1643</v>
      </c>
      <c r="O663" s="32">
        <v>1408</v>
      </c>
      <c r="P663" s="32">
        <v>235</v>
      </c>
      <c r="Q663" s="32">
        <v>3821</v>
      </c>
      <c r="R663" s="33">
        <v>9.5375723000000008</v>
      </c>
      <c r="S663" s="33">
        <v>4.5086705</v>
      </c>
      <c r="T663" s="33">
        <v>5.0289016999999996</v>
      </c>
      <c r="U663" s="33">
        <v>90.462427700000006</v>
      </c>
      <c r="V663" s="33">
        <v>30.0695461</v>
      </c>
      <c r="W663" s="33">
        <v>25.768667600000001</v>
      </c>
      <c r="X663" s="33">
        <v>4.3008784999999996</v>
      </c>
      <c r="Y663" s="33">
        <v>69.930453900000003</v>
      </c>
    </row>
    <row r="664" spans="2:25" ht="15" hidden="1" customHeight="1">
      <c r="B664" s="25">
        <v>659</v>
      </c>
      <c r="C664" s="26" t="s">
        <v>21</v>
      </c>
      <c r="D664" s="26" t="s">
        <v>216</v>
      </c>
      <c r="E664" s="26" t="s">
        <v>163</v>
      </c>
      <c r="F664" s="26" t="s">
        <v>219</v>
      </c>
      <c r="G664" s="27" t="s">
        <v>15</v>
      </c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9"/>
      <c r="S664" s="29"/>
      <c r="T664" s="29"/>
      <c r="U664" s="29"/>
      <c r="V664" s="29"/>
      <c r="W664" s="29"/>
      <c r="X664" s="29"/>
      <c r="Y664" s="29"/>
    </row>
    <row r="665" spans="2:25" ht="15" hidden="1" customHeight="1">
      <c r="B665" s="25">
        <v>660</v>
      </c>
      <c r="C665" s="26" t="s">
        <v>21</v>
      </c>
      <c r="D665" s="26" t="s">
        <v>216</v>
      </c>
      <c r="E665" s="26" t="s">
        <v>163</v>
      </c>
      <c r="F665" s="26" t="s">
        <v>219</v>
      </c>
      <c r="G665" s="27" t="s">
        <v>16</v>
      </c>
      <c r="H665" s="28">
        <v>3460</v>
      </c>
      <c r="I665" s="28">
        <v>330</v>
      </c>
      <c r="J665" s="28">
        <v>156</v>
      </c>
      <c r="K665" s="28">
        <v>174</v>
      </c>
      <c r="L665" s="28">
        <v>3130</v>
      </c>
      <c r="M665" s="28">
        <v>5464</v>
      </c>
      <c r="N665" s="28">
        <v>1643</v>
      </c>
      <c r="O665" s="28">
        <v>1408</v>
      </c>
      <c r="P665" s="28">
        <v>235</v>
      </c>
      <c r="Q665" s="28">
        <v>3821</v>
      </c>
      <c r="R665" s="29">
        <v>9.5375723000000008</v>
      </c>
      <c r="S665" s="29">
        <v>4.5086705</v>
      </c>
      <c r="T665" s="29">
        <v>5.0289016999999996</v>
      </c>
      <c r="U665" s="29">
        <v>90.462427700000006</v>
      </c>
      <c r="V665" s="29">
        <v>30.0695461</v>
      </c>
      <c r="W665" s="29">
        <v>25.768667600000001</v>
      </c>
      <c r="X665" s="29">
        <v>4.3008784999999996</v>
      </c>
      <c r="Y665" s="29">
        <v>69.930453900000003</v>
      </c>
    </row>
    <row r="666" spans="2:25" ht="15" hidden="1" customHeight="1">
      <c r="B666" s="21">
        <v>661</v>
      </c>
      <c r="C666" s="22" t="s">
        <v>19</v>
      </c>
      <c r="D666" s="35" t="s">
        <v>216</v>
      </c>
      <c r="E666" s="35" t="s">
        <v>220</v>
      </c>
      <c r="F666" s="35"/>
      <c r="G666" s="22" t="s">
        <v>220</v>
      </c>
      <c r="H666" s="23">
        <v>11428</v>
      </c>
      <c r="I666" s="23">
        <v>3079</v>
      </c>
      <c r="J666" s="23">
        <v>1675</v>
      </c>
      <c r="K666" s="23">
        <v>1404</v>
      </c>
      <c r="L666" s="23">
        <v>8349</v>
      </c>
      <c r="M666" s="23">
        <v>15869</v>
      </c>
      <c r="N666" s="23">
        <v>6466</v>
      </c>
      <c r="O666" s="23">
        <v>5662</v>
      </c>
      <c r="P666" s="23">
        <v>804</v>
      </c>
      <c r="Q666" s="23">
        <v>9403</v>
      </c>
      <c r="R666" s="24">
        <v>26.9425971</v>
      </c>
      <c r="S666" s="24">
        <v>14.6569828</v>
      </c>
      <c r="T666" s="24">
        <v>12.285614300000001</v>
      </c>
      <c r="U666" s="24">
        <v>73.0574029</v>
      </c>
      <c r="V666" s="24">
        <v>40.746108800000002</v>
      </c>
      <c r="W666" s="24">
        <v>35.679626900000002</v>
      </c>
      <c r="X666" s="24">
        <v>5.0664818</v>
      </c>
      <c r="Y666" s="24">
        <v>59.253891199999998</v>
      </c>
    </row>
    <row r="667" spans="2:25" ht="15" hidden="1" customHeight="1">
      <c r="B667" s="25">
        <v>662</v>
      </c>
      <c r="C667" s="26" t="s">
        <v>19</v>
      </c>
      <c r="D667" s="26" t="s">
        <v>216</v>
      </c>
      <c r="E667" s="26" t="s">
        <v>220</v>
      </c>
      <c r="F667" s="26"/>
      <c r="G667" s="27" t="s">
        <v>15</v>
      </c>
      <c r="H667" s="28">
        <v>3554</v>
      </c>
      <c r="I667" s="28">
        <v>1777</v>
      </c>
      <c r="J667" s="28">
        <v>910</v>
      </c>
      <c r="K667" s="28">
        <v>867</v>
      </c>
      <c r="L667" s="28">
        <v>1777</v>
      </c>
      <c r="M667" s="28">
        <v>4792</v>
      </c>
      <c r="N667" s="28">
        <v>3892</v>
      </c>
      <c r="O667" s="28">
        <v>3423</v>
      </c>
      <c r="P667" s="28">
        <v>469</v>
      </c>
      <c r="Q667" s="28">
        <v>900</v>
      </c>
      <c r="R667" s="29">
        <v>50</v>
      </c>
      <c r="S667" s="29">
        <v>25.6049522</v>
      </c>
      <c r="T667" s="29">
        <v>24.3950478</v>
      </c>
      <c r="U667" s="29">
        <v>50</v>
      </c>
      <c r="V667" s="29">
        <v>81.218697800000001</v>
      </c>
      <c r="W667" s="29">
        <v>71.431552600000003</v>
      </c>
      <c r="X667" s="29">
        <v>9.7871451999999994</v>
      </c>
      <c r="Y667" s="29">
        <v>18.781302199999999</v>
      </c>
    </row>
    <row r="668" spans="2:25" ht="15" hidden="1" customHeight="1">
      <c r="B668" s="25">
        <v>663</v>
      </c>
      <c r="C668" s="26" t="s">
        <v>19</v>
      </c>
      <c r="D668" s="26" t="s">
        <v>216</v>
      </c>
      <c r="E668" s="26" t="s">
        <v>220</v>
      </c>
      <c r="F668" s="26"/>
      <c r="G668" s="27" t="s">
        <v>16</v>
      </c>
      <c r="H668" s="28">
        <v>7874</v>
      </c>
      <c r="I668" s="28">
        <v>1302</v>
      </c>
      <c r="J668" s="28">
        <v>765</v>
      </c>
      <c r="K668" s="28">
        <v>537</v>
      </c>
      <c r="L668" s="28">
        <v>6572</v>
      </c>
      <c r="M668" s="28">
        <v>11077</v>
      </c>
      <c r="N668" s="28">
        <v>2574</v>
      </c>
      <c r="O668" s="28">
        <v>2239</v>
      </c>
      <c r="P668" s="28">
        <v>335</v>
      </c>
      <c r="Q668" s="28">
        <v>8503</v>
      </c>
      <c r="R668" s="29">
        <v>16.535433099999999</v>
      </c>
      <c r="S668" s="29">
        <v>9.7155193999999998</v>
      </c>
      <c r="T668" s="29">
        <v>6.8199135999999996</v>
      </c>
      <c r="U668" s="29">
        <v>83.464566899999994</v>
      </c>
      <c r="V668" s="29">
        <v>23.237338600000001</v>
      </c>
      <c r="W668" s="29">
        <v>20.213054100000001</v>
      </c>
      <c r="X668" s="29">
        <v>3.0242846000000001</v>
      </c>
      <c r="Y668" s="29">
        <v>76.762661399999999</v>
      </c>
    </row>
    <row r="669" spans="2:25" ht="15" customHeight="1">
      <c r="B669" s="30">
        <v>664</v>
      </c>
      <c r="C669" s="31" t="s">
        <v>21</v>
      </c>
      <c r="D669" s="36" t="s">
        <v>216</v>
      </c>
      <c r="E669" s="36" t="s">
        <v>220</v>
      </c>
      <c r="F669" s="36" t="s">
        <v>221</v>
      </c>
      <c r="G669" s="37" t="s">
        <v>221</v>
      </c>
      <c r="H669" s="32">
        <v>9873</v>
      </c>
      <c r="I669" s="32">
        <v>2727</v>
      </c>
      <c r="J669" s="32">
        <v>1465</v>
      </c>
      <c r="K669" s="32">
        <v>1262</v>
      </c>
      <c r="L669" s="32">
        <v>7146</v>
      </c>
      <c r="M669" s="32">
        <v>13543</v>
      </c>
      <c r="N669" s="32">
        <v>5659</v>
      </c>
      <c r="O669" s="32">
        <v>5015</v>
      </c>
      <c r="P669" s="32">
        <v>644</v>
      </c>
      <c r="Q669" s="32">
        <v>7884</v>
      </c>
      <c r="R669" s="33">
        <v>27.620784</v>
      </c>
      <c r="S669" s="33">
        <v>14.8384483</v>
      </c>
      <c r="T669" s="33">
        <v>12.782335700000001</v>
      </c>
      <c r="U669" s="33">
        <v>72.379216</v>
      </c>
      <c r="V669" s="33">
        <v>41.785424200000001</v>
      </c>
      <c r="W669" s="33">
        <v>37.030200100000002</v>
      </c>
      <c r="X669" s="33">
        <v>4.7552241000000004</v>
      </c>
      <c r="Y669" s="33">
        <v>58.214575799999999</v>
      </c>
    </row>
    <row r="670" spans="2:25" ht="15" hidden="1" customHeight="1">
      <c r="B670" s="25">
        <v>665</v>
      </c>
      <c r="C670" s="26" t="s">
        <v>21</v>
      </c>
      <c r="D670" s="26" t="s">
        <v>216</v>
      </c>
      <c r="E670" s="26" t="s">
        <v>220</v>
      </c>
      <c r="F670" s="26" t="s">
        <v>221</v>
      </c>
      <c r="G670" s="27" t="s">
        <v>15</v>
      </c>
      <c r="H670" s="28">
        <v>3554</v>
      </c>
      <c r="I670" s="28">
        <v>1777</v>
      </c>
      <c r="J670" s="28">
        <v>910</v>
      </c>
      <c r="K670" s="28">
        <v>867</v>
      </c>
      <c r="L670" s="28">
        <v>1777</v>
      </c>
      <c r="M670" s="28">
        <v>4792</v>
      </c>
      <c r="N670" s="28">
        <v>3892</v>
      </c>
      <c r="O670" s="28">
        <v>3423</v>
      </c>
      <c r="P670" s="28">
        <v>469</v>
      </c>
      <c r="Q670" s="28">
        <v>900</v>
      </c>
      <c r="R670" s="29">
        <v>50</v>
      </c>
      <c r="S670" s="29">
        <v>25.6049522</v>
      </c>
      <c r="T670" s="29">
        <v>24.3950478</v>
      </c>
      <c r="U670" s="29">
        <v>50</v>
      </c>
      <c r="V670" s="29">
        <v>81.218697800000001</v>
      </c>
      <c r="W670" s="29">
        <v>71.431552600000003</v>
      </c>
      <c r="X670" s="29">
        <v>9.7871451999999994</v>
      </c>
      <c r="Y670" s="29">
        <v>18.781302199999999</v>
      </c>
    </row>
    <row r="671" spans="2:25" ht="15" hidden="1" customHeight="1">
      <c r="B671" s="25">
        <v>666</v>
      </c>
      <c r="C671" s="26" t="s">
        <v>21</v>
      </c>
      <c r="D671" s="26" t="s">
        <v>216</v>
      </c>
      <c r="E671" s="26" t="s">
        <v>220</v>
      </c>
      <c r="F671" s="26" t="s">
        <v>221</v>
      </c>
      <c r="G671" s="27" t="s">
        <v>16</v>
      </c>
      <c r="H671" s="28">
        <v>6319</v>
      </c>
      <c r="I671" s="28">
        <v>950</v>
      </c>
      <c r="J671" s="28">
        <v>555</v>
      </c>
      <c r="K671" s="28">
        <v>395</v>
      </c>
      <c r="L671" s="28">
        <v>5369</v>
      </c>
      <c r="M671" s="28">
        <v>8751</v>
      </c>
      <c r="N671" s="28">
        <v>1767</v>
      </c>
      <c r="O671" s="28">
        <v>1592</v>
      </c>
      <c r="P671" s="28">
        <v>175</v>
      </c>
      <c r="Q671" s="28">
        <v>6984</v>
      </c>
      <c r="R671" s="29">
        <v>15.0340244</v>
      </c>
      <c r="S671" s="29">
        <v>8.7830352999999999</v>
      </c>
      <c r="T671" s="29">
        <v>6.2509891</v>
      </c>
      <c r="U671" s="29">
        <v>84.965975599999993</v>
      </c>
      <c r="V671" s="29">
        <v>20.1919781</v>
      </c>
      <c r="W671" s="29">
        <v>18.192206599999999</v>
      </c>
      <c r="X671" s="29">
        <v>1.9997715</v>
      </c>
      <c r="Y671" s="29">
        <v>79.8080219</v>
      </c>
    </row>
    <row r="672" spans="2:25" ht="15" customHeight="1">
      <c r="B672" s="30">
        <v>667</v>
      </c>
      <c r="C672" s="31" t="s">
        <v>21</v>
      </c>
      <c r="D672" s="36" t="s">
        <v>216</v>
      </c>
      <c r="E672" s="36" t="s">
        <v>220</v>
      </c>
      <c r="F672" s="36" t="s">
        <v>222</v>
      </c>
      <c r="G672" s="37" t="s">
        <v>222</v>
      </c>
      <c r="H672" s="32">
        <v>1555</v>
      </c>
      <c r="I672" s="32">
        <v>352</v>
      </c>
      <c r="J672" s="32">
        <v>210</v>
      </c>
      <c r="K672" s="32">
        <v>142</v>
      </c>
      <c r="L672" s="32">
        <v>1203</v>
      </c>
      <c r="M672" s="32">
        <v>2326</v>
      </c>
      <c r="N672" s="32">
        <v>807</v>
      </c>
      <c r="O672" s="32">
        <v>647</v>
      </c>
      <c r="P672" s="32">
        <v>160</v>
      </c>
      <c r="Q672" s="32">
        <v>1519</v>
      </c>
      <c r="R672" s="33">
        <v>22.636655900000001</v>
      </c>
      <c r="S672" s="33">
        <v>13.504823200000001</v>
      </c>
      <c r="T672" s="33">
        <v>9.1318327999999998</v>
      </c>
      <c r="U672" s="33">
        <v>77.363344100000006</v>
      </c>
      <c r="V672" s="33">
        <v>34.6947549</v>
      </c>
      <c r="W672" s="33">
        <v>27.8159931</v>
      </c>
      <c r="X672" s="33">
        <v>6.8787618000000004</v>
      </c>
      <c r="Y672" s="33">
        <v>65.305245099999993</v>
      </c>
    </row>
    <row r="673" spans="2:25" ht="15" hidden="1" customHeight="1">
      <c r="B673" s="25">
        <v>668</v>
      </c>
      <c r="C673" s="26" t="s">
        <v>21</v>
      </c>
      <c r="D673" s="26" t="s">
        <v>216</v>
      </c>
      <c r="E673" s="26" t="s">
        <v>220</v>
      </c>
      <c r="F673" s="26" t="s">
        <v>222</v>
      </c>
      <c r="G673" s="27" t="s">
        <v>15</v>
      </c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9"/>
      <c r="S673" s="29"/>
      <c r="T673" s="29"/>
      <c r="U673" s="29"/>
      <c r="V673" s="29"/>
      <c r="W673" s="29"/>
      <c r="X673" s="29"/>
      <c r="Y673" s="29"/>
    </row>
    <row r="674" spans="2:25" ht="15" hidden="1" customHeight="1">
      <c r="B674" s="25">
        <v>669</v>
      </c>
      <c r="C674" s="26" t="s">
        <v>21</v>
      </c>
      <c r="D674" s="26" t="s">
        <v>216</v>
      </c>
      <c r="E674" s="26" t="s">
        <v>220</v>
      </c>
      <c r="F674" s="26" t="s">
        <v>222</v>
      </c>
      <c r="G674" s="27" t="s">
        <v>16</v>
      </c>
      <c r="H674" s="28">
        <v>1555</v>
      </c>
      <c r="I674" s="28">
        <v>352</v>
      </c>
      <c r="J674" s="28">
        <v>210</v>
      </c>
      <c r="K674" s="28">
        <v>142</v>
      </c>
      <c r="L674" s="28">
        <v>1203</v>
      </c>
      <c r="M674" s="28">
        <v>2326</v>
      </c>
      <c r="N674" s="28">
        <v>807</v>
      </c>
      <c r="O674" s="28">
        <v>647</v>
      </c>
      <c r="P674" s="28">
        <v>160</v>
      </c>
      <c r="Q674" s="28">
        <v>1519</v>
      </c>
      <c r="R674" s="29">
        <v>22.636655900000001</v>
      </c>
      <c r="S674" s="29">
        <v>13.504823200000001</v>
      </c>
      <c r="T674" s="29">
        <v>9.1318327999999998</v>
      </c>
      <c r="U674" s="29">
        <v>77.363344100000006</v>
      </c>
      <c r="V674" s="29">
        <v>34.6947549</v>
      </c>
      <c r="W674" s="29">
        <v>27.8159931</v>
      </c>
      <c r="X674" s="29">
        <v>6.8787618000000004</v>
      </c>
      <c r="Y674" s="29">
        <v>65.305245099999993</v>
      </c>
    </row>
    <row r="675" spans="2:25" ht="15" hidden="1" customHeight="1">
      <c r="B675" s="21">
        <v>670</v>
      </c>
      <c r="C675" s="22" t="s">
        <v>19</v>
      </c>
      <c r="D675" s="35" t="s">
        <v>216</v>
      </c>
      <c r="E675" s="35" t="s">
        <v>223</v>
      </c>
      <c r="F675" s="35"/>
      <c r="G675" s="22" t="s">
        <v>223</v>
      </c>
      <c r="H675" s="23">
        <v>3688</v>
      </c>
      <c r="I675" s="23">
        <v>239</v>
      </c>
      <c r="J675" s="23">
        <v>104</v>
      </c>
      <c r="K675" s="23">
        <v>135</v>
      </c>
      <c r="L675" s="23">
        <v>3449</v>
      </c>
      <c r="M675" s="23">
        <v>5338</v>
      </c>
      <c r="N675" s="23">
        <v>998</v>
      </c>
      <c r="O675" s="23">
        <v>754</v>
      </c>
      <c r="P675" s="23">
        <v>244</v>
      </c>
      <c r="Q675" s="23">
        <v>4340</v>
      </c>
      <c r="R675" s="24">
        <v>6.4804772000000002</v>
      </c>
      <c r="S675" s="24">
        <v>2.8199565999999998</v>
      </c>
      <c r="T675" s="24">
        <v>3.6605205999999999</v>
      </c>
      <c r="U675" s="24">
        <v>93.519522800000004</v>
      </c>
      <c r="V675" s="24">
        <v>18.6961409</v>
      </c>
      <c r="W675" s="24">
        <v>14.125140500000001</v>
      </c>
      <c r="X675" s="24">
        <v>4.5710004</v>
      </c>
      <c r="Y675" s="24">
        <v>81.303859099999997</v>
      </c>
    </row>
    <row r="676" spans="2:25" ht="15" hidden="1" customHeight="1">
      <c r="B676" s="25">
        <v>671</v>
      </c>
      <c r="C676" s="26" t="s">
        <v>19</v>
      </c>
      <c r="D676" s="26" t="s">
        <v>216</v>
      </c>
      <c r="E676" s="26" t="s">
        <v>223</v>
      </c>
      <c r="F676" s="26"/>
      <c r="G676" s="27" t="s">
        <v>15</v>
      </c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9"/>
      <c r="S676" s="29"/>
      <c r="T676" s="29"/>
      <c r="U676" s="29"/>
      <c r="V676" s="29"/>
      <c r="W676" s="29"/>
      <c r="X676" s="29"/>
      <c r="Y676" s="29"/>
    </row>
    <row r="677" spans="2:25" ht="15" hidden="1" customHeight="1">
      <c r="B677" s="25">
        <v>672</v>
      </c>
      <c r="C677" s="26" t="s">
        <v>19</v>
      </c>
      <c r="D677" s="26" t="s">
        <v>216</v>
      </c>
      <c r="E677" s="26" t="s">
        <v>223</v>
      </c>
      <c r="F677" s="26"/>
      <c r="G677" s="27" t="s">
        <v>16</v>
      </c>
      <c r="H677" s="28">
        <v>3688</v>
      </c>
      <c r="I677" s="28">
        <v>239</v>
      </c>
      <c r="J677" s="28">
        <v>104</v>
      </c>
      <c r="K677" s="28">
        <v>135</v>
      </c>
      <c r="L677" s="28">
        <v>3449</v>
      </c>
      <c r="M677" s="28">
        <v>5338</v>
      </c>
      <c r="N677" s="28">
        <v>998</v>
      </c>
      <c r="O677" s="28">
        <v>754</v>
      </c>
      <c r="P677" s="28">
        <v>244</v>
      </c>
      <c r="Q677" s="28">
        <v>4340</v>
      </c>
      <c r="R677" s="29">
        <v>6.4804772000000002</v>
      </c>
      <c r="S677" s="29">
        <v>2.8199565999999998</v>
      </c>
      <c r="T677" s="29">
        <v>3.6605205999999999</v>
      </c>
      <c r="U677" s="29">
        <v>93.519522800000004</v>
      </c>
      <c r="V677" s="29">
        <v>18.6961409</v>
      </c>
      <c r="W677" s="29">
        <v>14.125140500000001</v>
      </c>
      <c r="X677" s="29">
        <v>4.5710004</v>
      </c>
      <c r="Y677" s="29">
        <v>81.303859099999997</v>
      </c>
    </row>
    <row r="678" spans="2:25" ht="15" customHeight="1">
      <c r="B678" s="30">
        <v>673</v>
      </c>
      <c r="C678" s="31" t="s">
        <v>21</v>
      </c>
      <c r="D678" s="36" t="s">
        <v>216</v>
      </c>
      <c r="E678" s="36" t="s">
        <v>223</v>
      </c>
      <c r="F678" s="36" t="s">
        <v>224</v>
      </c>
      <c r="G678" s="37" t="s">
        <v>224</v>
      </c>
      <c r="H678" s="32">
        <v>3172</v>
      </c>
      <c r="I678" s="32">
        <v>146</v>
      </c>
      <c r="J678" s="32">
        <v>76</v>
      </c>
      <c r="K678" s="32">
        <v>70</v>
      </c>
      <c r="L678" s="32">
        <v>3026</v>
      </c>
      <c r="M678" s="32">
        <v>4667</v>
      </c>
      <c r="N678" s="32">
        <v>742</v>
      </c>
      <c r="O678" s="32">
        <v>533</v>
      </c>
      <c r="P678" s="32">
        <v>209</v>
      </c>
      <c r="Q678" s="32">
        <v>3925</v>
      </c>
      <c r="R678" s="33">
        <v>4.6027743000000001</v>
      </c>
      <c r="S678" s="33">
        <v>2.3959646999999999</v>
      </c>
      <c r="T678" s="33">
        <v>2.2068096000000001</v>
      </c>
      <c r="U678" s="33">
        <v>95.397225700000007</v>
      </c>
      <c r="V678" s="33">
        <v>15.898864400000001</v>
      </c>
      <c r="W678" s="33">
        <v>11.420612800000001</v>
      </c>
      <c r="X678" s="33">
        <v>4.4782516000000001</v>
      </c>
      <c r="Y678" s="33">
        <v>84.101135600000006</v>
      </c>
    </row>
    <row r="679" spans="2:25" ht="15" hidden="1" customHeight="1">
      <c r="B679" s="25">
        <v>674</v>
      </c>
      <c r="C679" s="26" t="s">
        <v>21</v>
      </c>
      <c r="D679" s="26" t="s">
        <v>216</v>
      </c>
      <c r="E679" s="26" t="s">
        <v>223</v>
      </c>
      <c r="F679" s="26" t="s">
        <v>224</v>
      </c>
      <c r="G679" s="27" t="s">
        <v>15</v>
      </c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9"/>
      <c r="S679" s="29"/>
      <c r="T679" s="29"/>
      <c r="U679" s="29"/>
      <c r="V679" s="29"/>
      <c r="W679" s="29"/>
      <c r="X679" s="29"/>
      <c r="Y679" s="29"/>
    </row>
    <row r="680" spans="2:25" ht="15" hidden="1" customHeight="1">
      <c r="B680" s="25">
        <v>675</v>
      </c>
      <c r="C680" s="26" t="s">
        <v>21</v>
      </c>
      <c r="D680" s="26" t="s">
        <v>216</v>
      </c>
      <c r="E680" s="26" t="s">
        <v>223</v>
      </c>
      <c r="F680" s="26" t="s">
        <v>224</v>
      </c>
      <c r="G680" s="27" t="s">
        <v>16</v>
      </c>
      <c r="H680" s="28">
        <v>3172</v>
      </c>
      <c r="I680" s="28">
        <v>146</v>
      </c>
      <c r="J680" s="28">
        <v>76</v>
      </c>
      <c r="K680" s="28">
        <v>70</v>
      </c>
      <c r="L680" s="28">
        <v>3026</v>
      </c>
      <c r="M680" s="28">
        <v>4667</v>
      </c>
      <c r="N680" s="28">
        <v>742</v>
      </c>
      <c r="O680" s="28">
        <v>533</v>
      </c>
      <c r="P680" s="28">
        <v>209</v>
      </c>
      <c r="Q680" s="28">
        <v>3925</v>
      </c>
      <c r="R680" s="29">
        <v>4.6027743000000001</v>
      </c>
      <c r="S680" s="29">
        <v>2.3959646999999999</v>
      </c>
      <c r="T680" s="29">
        <v>2.2068096000000001</v>
      </c>
      <c r="U680" s="29">
        <v>95.397225700000007</v>
      </c>
      <c r="V680" s="29">
        <v>15.898864400000001</v>
      </c>
      <c r="W680" s="29">
        <v>11.420612800000001</v>
      </c>
      <c r="X680" s="29">
        <v>4.4782516000000001</v>
      </c>
      <c r="Y680" s="29">
        <v>84.101135600000006</v>
      </c>
    </row>
    <row r="681" spans="2:25" ht="15" customHeight="1">
      <c r="B681" s="30">
        <v>676</v>
      </c>
      <c r="C681" s="31" t="s">
        <v>21</v>
      </c>
      <c r="D681" s="36" t="s">
        <v>216</v>
      </c>
      <c r="E681" s="36" t="s">
        <v>223</v>
      </c>
      <c r="F681" s="36" t="s">
        <v>225</v>
      </c>
      <c r="G681" s="37" t="s">
        <v>225</v>
      </c>
      <c r="H681" s="32">
        <v>516</v>
      </c>
      <c r="I681" s="32">
        <v>93</v>
      </c>
      <c r="J681" s="32">
        <v>28</v>
      </c>
      <c r="K681" s="32">
        <v>65</v>
      </c>
      <c r="L681" s="32">
        <v>423</v>
      </c>
      <c r="M681" s="32">
        <v>671</v>
      </c>
      <c r="N681" s="32">
        <v>256</v>
      </c>
      <c r="O681" s="32">
        <v>221</v>
      </c>
      <c r="P681" s="32">
        <v>35</v>
      </c>
      <c r="Q681" s="32">
        <v>415</v>
      </c>
      <c r="R681" s="33">
        <v>18.023255800000001</v>
      </c>
      <c r="S681" s="33">
        <v>5.4263566000000001</v>
      </c>
      <c r="T681" s="33">
        <v>12.596899199999999</v>
      </c>
      <c r="U681" s="33">
        <v>81.976744199999999</v>
      </c>
      <c r="V681" s="33">
        <v>38.152011899999998</v>
      </c>
      <c r="W681" s="33">
        <v>32.935916499999998</v>
      </c>
      <c r="X681" s="33">
        <v>5.2160954000000004</v>
      </c>
      <c r="Y681" s="33">
        <v>61.847988100000002</v>
      </c>
    </row>
    <row r="682" spans="2:25" ht="15" hidden="1" customHeight="1">
      <c r="B682" s="25">
        <v>677</v>
      </c>
      <c r="C682" s="26" t="s">
        <v>21</v>
      </c>
      <c r="D682" s="26" t="s">
        <v>216</v>
      </c>
      <c r="E682" s="26" t="s">
        <v>223</v>
      </c>
      <c r="F682" s="26" t="s">
        <v>225</v>
      </c>
      <c r="G682" s="27" t="s">
        <v>15</v>
      </c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9"/>
      <c r="S682" s="29"/>
      <c r="T682" s="29"/>
      <c r="U682" s="29"/>
      <c r="V682" s="29"/>
      <c r="W682" s="29"/>
      <c r="X682" s="29"/>
      <c r="Y682" s="29"/>
    </row>
    <row r="683" spans="2:25" ht="15" hidden="1" customHeight="1">
      <c r="B683" s="25">
        <v>678</v>
      </c>
      <c r="C683" s="26" t="s">
        <v>21</v>
      </c>
      <c r="D683" s="26" t="s">
        <v>216</v>
      </c>
      <c r="E683" s="26" t="s">
        <v>223</v>
      </c>
      <c r="F683" s="26" t="s">
        <v>225</v>
      </c>
      <c r="G683" s="27" t="s">
        <v>16</v>
      </c>
      <c r="H683" s="28">
        <v>516</v>
      </c>
      <c r="I683" s="28">
        <v>93</v>
      </c>
      <c r="J683" s="28">
        <v>28</v>
      </c>
      <c r="K683" s="28">
        <v>65</v>
      </c>
      <c r="L683" s="28">
        <v>423</v>
      </c>
      <c r="M683" s="28">
        <v>671</v>
      </c>
      <c r="N683" s="28">
        <v>256</v>
      </c>
      <c r="O683" s="28">
        <v>221</v>
      </c>
      <c r="P683" s="28">
        <v>35</v>
      </c>
      <c r="Q683" s="28">
        <v>415</v>
      </c>
      <c r="R683" s="29">
        <v>18.023255800000001</v>
      </c>
      <c r="S683" s="29">
        <v>5.4263566000000001</v>
      </c>
      <c r="T683" s="29">
        <v>12.596899199999999</v>
      </c>
      <c r="U683" s="29">
        <v>81.976744199999999</v>
      </c>
      <c r="V683" s="29">
        <v>38.152011899999998</v>
      </c>
      <c r="W683" s="29">
        <v>32.935916499999998</v>
      </c>
      <c r="X683" s="29">
        <v>5.2160954000000004</v>
      </c>
      <c r="Y683" s="29">
        <v>61.847988100000002</v>
      </c>
    </row>
    <row r="684" spans="2:25" ht="15" hidden="1" customHeight="1">
      <c r="B684" s="21">
        <v>679</v>
      </c>
      <c r="C684" s="22" t="s">
        <v>19</v>
      </c>
      <c r="D684" s="35" t="s">
        <v>216</v>
      </c>
      <c r="E684" s="35" t="s">
        <v>226</v>
      </c>
      <c r="F684" s="35"/>
      <c r="G684" s="22" t="s">
        <v>226</v>
      </c>
      <c r="H684" s="23">
        <v>2911</v>
      </c>
      <c r="I684" s="23">
        <v>968</v>
      </c>
      <c r="J684" s="23">
        <v>458</v>
      </c>
      <c r="K684" s="23">
        <v>510</v>
      </c>
      <c r="L684" s="23">
        <v>1943</v>
      </c>
      <c r="M684" s="23">
        <v>3747</v>
      </c>
      <c r="N684" s="23">
        <v>1722</v>
      </c>
      <c r="O684" s="23">
        <v>1386</v>
      </c>
      <c r="P684" s="23">
        <v>336</v>
      </c>
      <c r="Q684" s="23">
        <v>2025</v>
      </c>
      <c r="R684" s="24">
        <v>33.253177600000001</v>
      </c>
      <c r="S684" s="24">
        <v>15.733424899999999</v>
      </c>
      <c r="T684" s="24">
        <v>17.519752700000002</v>
      </c>
      <c r="U684" s="24">
        <v>66.746822399999999</v>
      </c>
      <c r="V684" s="24">
        <v>45.956765400000002</v>
      </c>
      <c r="W684" s="24">
        <v>36.989591699999998</v>
      </c>
      <c r="X684" s="24">
        <v>8.9671737</v>
      </c>
      <c r="Y684" s="24">
        <v>54.043234599999998</v>
      </c>
    </row>
    <row r="685" spans="2:25" ht="15" hidden="1" customHeight="1">
      <c r="B685" s="25">
        <v>680</v>
      </c>
      <c r="C685" s="26" t="s">
        <v>19</v>
      </c>
      <c r="D685" s="26" t="s">
        <v>216</v>
      </c>
      <c r="E685" s="26" t="s">
        <v>226</v>
      </c>
      <c r="F685" s="26"/>
      <c r="G685" s="27" t="s">
        <v>15</v>
      </c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9"/>
      <c r="S685" s="29"/>
      <c r="T685" s="29"/>
      <c r="U685" s="29"/>
      <c r="V685" s="29"/>
      <c r="W685" s="29"/>
      <c r="X685" s="29"/>
      <c r="Y685" s="29"/>
    </row>
    <row r="686" spans="2:25" ht="15" hidden="1" customHeight="1">
      <c r="B686" s="25">
        <v>681</v>
      </c>
      <c r="C686" s="26" t="s">
        <v>19</v>
      </c>
      <c r="D686" s="26" t="s">
        <v>216</v>
      </c>
      <c r="E686" s="26" t="s">
        <v>226</v>
      </c>
      <c r="F686" s="26"/>
      <c r="G686" s="27" t="s">
        <v>16</v>
      </c>
      <c r="H686" s="28">
        <v>2911</v>
      </c>
      <c r="I686" s="28">
        <v>968</v>
      </c>
      <c r="J686" s="28">
        <v>458</v>
      </c>
      <c r="K686" s="28">
        <v>510</v>
      </c>
      <c r="L686" s="28">
        <v>1943</v>
      </c>
      <c r="M686" s="28">
        <v>3747</v>
      </c>
      <c r="N686" s="28">
        <v>1722</v>
      </c>
      <c r="O686" s="28">
        <v>1386</v>
      </c>
      <c r="P686" s="28">
        <v>336</v>
      </c>
      <c r="Q686" s="28">
        <v>2025</v>
      </c>
      <c r="R686" s="29">
        <v>33.253177600000001</v>
      </c>
      <c r="S686" s="29">
        <v>15.733424899999999</v>
      </c>
      <c r="T686" s="29">
        <v>17.519752700000002</v>
      </c>
      <c r="U686" s="29">
        <v>66.746822399999999</v>
      </c>
      <c r="V686" s="29">
        <v>45.956765400000002</v>
      </c>
      <c r="W686" s="29">
        <v>36.989591699999998</v>
      </c>
      <c r="X686" s="29">
        <v>8.9671737</v>
      </c>
      <c r="Y686" s="29">
        <v>54.043234599999998</v>
      </c>
    </row>
    <row r="687" spans="2:25" ht="15" customHeight="1">
      <c r="B687" s="30">
        <v>682</v>
      </c>
      <c r="C687" s="31" t="s">
        <v>21</v>
      </c>
      <c r="D687" s="36" t="s">
        <v>216</v>
      </c>
      <c r="E687" s="36" t="s">
        <v>226</v>
      </c>
      <c r="F687" s="36" t="s">
        <v>227</v>
      </c>
      <c r="G687" s="37" t="s">
        <v>227</v>
      </c>
      <c r="H687" s="32">
        <v>1355</v>
      </c>
      <c r="I687" s="32">
        <v>493</v>
      </c>
      <c r="J687" s="32">
        <v>233</v>
      </c>
      <c r="K687" s="32">
        <v>260</v>
      </c>
      <c r="L687" s="32">
        <v>862</v>
      </c>
      <c r="M687" s="32">
        <v>1987</v>
      </c>
      <c r="N687" s="32">
        <v>987</v>
      </c>
      <c r="O687" s="32">
        <v>787</v>
      </c>
      <c r="P687" s="32">
        <v>200</v>
      </c>
      <c r="Q687" s="32">
        <v>1000</v>
      </c>
      <c r="R687" s="33">
        <v>36.383763799999997</v>
      </c>
      <c r="S687" s="33">
        <v>17.195571999999999</v>
      </c>
      <c r="T687" s="33">
        <v>19.1881919</v>
      </c>
      <c r="U687" s="33">
        <v>63.616236200000003</v>
      </c>
      <c r="V687" s="33">
        <v>49.672873699999997</v>
      </c>
      <c r="W687" s="33">
        <v>39.607448400000003</v>
      </c>
      <c r="X687" s="33">
        <v>10.065425299999999</v>
      </c>
      <c r="Y687" s="33">
        <v>50.327126300000003</v>
      </c>
    </row>
    <row r="688" spans="2:25" ht="15" hidden="1" customHeight="1">
      <c r="B688" s="25">
        <v>683</v>
      </c>
      <c r="C688" s="26" t="s">
        <v>21</v>
      </c>
      <c r="D688" s="26" t="s">
        <v>216</v>
      </c>
      <c r="E688" s="26" t="s">
        <v>226</v>
      </c>
      <c r="F688" s="26" t="s">
        <v>227</v>
      </c>
      <c r="G688" s="27" t="s">
        <v>15</v>
      </c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9"/>
      <c r="S688" s="29"/>
      <c r="T688" s="29"/>
      <c r="U688" s="29"/>
      <c r="V688" s="29"/>
      <c r="W688" s="29"/>
      <c r="X688" s="29"/>
      <c r="Y688" s="29"/>
    </row>
    <row r="689" spans="2:25" ht="15" hidden="1" customHeight="1">
      <c r="B689" s="25">
        <v>684</v>
      </c>
      <c r="C689" s="26" t="s">
        <v>21</v>
      </c>
      <c r="D689" s="26" t="s">
        <v>216</v>
      </c>
      <c r="E689" s="26" t="s">
        <v>226</v>
      </c>
      <c r="F689" s="26" t="s">
        <v>227</v>
      </c>
      <c r="G689" s="27" t="s">
        <v>16</v>
      </c>
      <c r="H689" s="28">
        <v>1355</v>
      </c>
      <c r="I689" s="28">
        <v>493</v>
      </c>
      <c r="J689" s="28">
        <v>233</v>
      </c>
      <c r="K689" s="28">
        <v>260</v>
      </c>
      <c r="L689" s="28">
        <v>862</v>
      </c>
      <c r="M689" s="28">
        <v>1987</v>
      </c>
      <c r="N689" s="28">
        <v>987</v>
      </c>
      <c r="O689" s="28">
        <v>787</v>
      </c>
      <c r="P689" s="28">
        <v>200</v>
      </c>
      <c r="Q689" s="28">
        <v>1000</v>
      </c>
      <c r="R689" s="29">
        <v>36.383763799999997</v>
      </c>
      <c r="S689" s="29">
        <v>17.195571999999999</v>
      </c>
      <c r="T689" s="29">
        <v>19.1881919</v>
      </c>
      <c r="U689" s="29">
        <v>63.616236200000003</v>
      </c>
      <c r="V689" s="29">
        <v>49.672873699999997</v>
      </c>
      <c r="W689" s="29">
        <v>39.607448400000003</v>
      </c>
      <c r="X689" s="29">
        <v>10.065425299999999</v>
      </c>
      <c r="Y689" s="29">
        <v>50.327126300000003</v>
      </c>
    </row>
    <row r="690" spans="2:25" ht="15" customHeight="1">
      <c r="B690" s="30">
        <v>685</v>
      </c>
      <c r="C690" s="31" t="s">
        <v>21</v>
      </c>
      <c r="D690" s="36" t="s">
        <v>216</v>
      </c>
      <c r="E690" s="36" t="s">
        <v>226</v>
      </c>
      <c r="F690" s="36" t="s">
        <v>228</v>
      </c>
      <c r="G690" s="37" t="s">
        <v>228</v>
      </c>
      <c r="H690" s="32">
        <v>1556</v>
      </c>
      <c r="I690" s="32">
        <v>475</v>
      </c>
      <c r="J690" s="32">
        <v>225</v>
      </c>
      <c r="K690" s="32">
        <v>250</v>
      </c>
      <c r="L690" s="32">
        <v>1081</v>
      </c>
      <c r="M690" s="32">
        <v>1760</v>
      </c>
      <c r="N690" s="32">
        <v>735</v>
      </c>
      <c r="O690" s="32">
        <v>599</v>
      </c>
      <c r="P690" s="32">
        <v>136</v>
      </c>
      <c r="Q690" s="32">
        <v>1025</v>
      </c>
      <c r="R690" s="33">
        <v>30.5269923</v>
      </c>
      <c r="S690" s="33">
        <v>14.4601542</v>
      </c>
      <c r="T690" s="33">
        <v>16.066838000000001</v>
      </c>
      <c r="U690" s="33">
        <v>69.473007699999997</v>
      </c>
      <c r="V690" s="33">
        <v>41.761363600000003</v>
      </c>
      <c r="W690" s="33">
        <v>34.034090900000002</v>
      </c>
      <c r="X690" s="33">
        <v>7.7272727000000003</v>
      </c>
      <c r="Y690" s="33">
        <v>58.238636399999997</v>
      </c>
    </row>
    <row r="691" spans="2:25" ht="15" hidden="1" customHeight="1">
      <c r="B691" s="25">
        <v>686</v>
      </c>
      <c r="C691" s="26" t="s">
        <v>21</v>
      </c>
      <c r="D691" s="26" t="s">
        <v>216</v>
      </c>
      <c r="E691" s="26" t="s">
        <v>226</v>
      </c>
      <c r="F691" s="26" t="s">
        <v>228</v>
      </c>
      <c r="G691" s="27" t="s">
        <v>15</v>
      </c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9"/>
      <c r="S691" s="29"/>
      <c r="T691" s="29"/>
      <c r="U691" s="29"/>
      <c r="V691" s="29"/>
      <c r="W691" s="29"/>
      <c r="X691" s="29"/>
      <c r="Y691" s="29"/>
    </row>
    <row r="692" spans="2:25" ht="15" hidden="1" customHeight="1">
      <c r="B692" s="25">
        <v>687</v>
      </c>
      <c r="C692" s="26" t="s">
        <v>21</v>
      </c>
      <c r="D692" s="26" t="s">
        <v>216</v>
      </c>
      <c r="E692" s="26" t="s">
        <v>226</v>
      </c>
      <c r="F692" s="26" t="s">
        <v>228</v>
      </c>
      <c r="G692" s="27" t="s">
        <v>16</v>
      </c>
      <c r="H692" s="28">
        <v>1556</v>
      </c>
      <c r="I692" s="28">
        <v>475</v>
      </c>
      <c r="J692" s="28">
        <v>225</v>
      </c>
      <c r="K692" s="28">
        <v>250</v>
      </c>
      <c r="L692" s="28">
        <v>1081</v>
      </c>
      <c r="M692" s="28">
        <v>1760</v>
      </c>
      <c r="N692" s="28">
        <v>735</v>
      </c>
      <c r="O692" s="28">
        <v>599</v>
      </c>
      <c r="P692" s="28">
        <v>136</v>
      </c>
      <c r="Q692" s="28">
        <v>1025</v>
      </c>
      <c r="R692" s="29">
        <v>30.5269923</v>
      </c>
      <c r="S692" s="29">
        <v>14.4601542</v>
      </c>
      <c r="T692" s="29">
        <v>16.066838000000001</v>
      </c>
      <c r="U692" s="29">
        <v>69.473007699999997</v>
      </c>
      <c r="V692" s="29">
        <v>41.761363600000003</v>
      </c>
      <c r="W692" s="29">
        <v>34.034090900000002</v>
      </c>
      <c r="X692" s="29">
        <v>7.7272727000000003</v>
      </c>
      <c r="Y692" s="29">
        <v>58.238636399999997</v>
      </c>
    </row>
    <row r="693" spans="2:25" ht="15" hidden="1" customHeight="1">
      <c r="B693" s="21">
        <v>688</v>
      </c>
      <c r="C693" s="22" t="s">
        <v>19</v>
      </c>
      <c r="D693" s="35" t="s">
        <v>216</v>
      </c>
      <c r="E693" s="35" t="s">
        <v>229</v>
      </c>
      <c r="F693" s="35"/>
      <c r="G693" s="22" t="s">
        <v>229</v>
      </c>
      <c r="H693" s="23">
        <v>2903</v>
      </c>
      <c r="I693" s="23">
        <v>430</v>
      </c>
      <c r="J693" s="23">
        <v>232</v>
      </c>
      <c r="K693" s="23">
        <v>198</v>
      </c>
      <c r="L693" s="23">
        <v>2473</v>
      </c>
      <c r="M693" s="23">
        <v>3645</v>
      </c>
      <c r="N693" s="23">
        <v>2398</v>
      </c>
      <c r="O693" s="23">
        <v>1554</v>
      </c>
      <c r="P693" s="23">
        <v>844</v>
      </c>
      <c r="Q693" s="23">
        <v>1247</v>
      </c>
      <c r="R693" s="24">
        <v>14.8122632</v>
      </c>
      <c r="S693" s="24">
        <v>7.9917327</v>
      </c>
      <c r="T693" s="24">
        <v>6.8205305000000003</v>
      </c>
      <c r="U693" s="24">
        <v>85.187736799999996</v>
      </c>
      <c r="V693" s="24">
        <v>65.788751700000006</v>
      </c>
      <c r="W693" s="24">
        <v>42.633744900000003</v>
      </c>
      <c r="X693" s="24">
        <v>23.1550069</v>
      </c>
      <c r="Y693" s="24">
        <v>34.211248300000001</v>
      </c>
    </row>
    <row r="694" spans="2:25" ht="15" hidden="1" customHeight="1">
      <c r="B694" s="25">
        <v>689</v>
      </c>
      <c r="C694" s="26" t="s">
        <v>19</v>
      </c>
      <c r="D694" s="26" t="s">
        <v>216</v>
      </c>
      <c r="E694" s="26" t="s">
        <v>229</v>
      </c>
      <c r="F694" s="26"/>
      <c r="G694" s="27" t="s">
        <v>15</v>
      </c>
      <c r="H694" s="28"/>
      <c r="I694" s="28"/>
      <c r="J694" s="28"/>
      <c r="K694" s="28"/>
      <c r="L694" s="28"/>
      <c r="M694" s="28">
        <v>1752</v>
      </c>
      <c r="N694" s="28">
        <v>1385</v>
      </c>
      <c r="O694" s="28">
        <v>841</v>
      </c>
      <c r="P694" s="28">
        <v>544</v>
      </c>
      <c r="Q694" s="28">
        <v>367</v>
      </c>
      <c r="R694" s="29"/>
      <c r="S694" s="29"/>
      <c r="T694" s="29"/>
      <c r="U694" s="29"/>
      <c r="V694" s="29">
        <v>79.0525114</v>
      </c>
      <c r="W694" s="29">
        <v>48.0022831</v>
      </c>
      <c r="X694" s="29">
        <v>31.050228300000001</v>
      </c>
      <c r="Y694" s="29">
        <v>20.9474886</v>
      </c>
    </row>
    <row r="695" spans="2:25" ht="15" hidden="1" customHeight="1">
      <c r="B695" s="25">
        <v>690</v>
      </c>
      <c r="C695" s="26" t="s">
        <v>19</v>
      </c>
      <c r="D695" s="26" t="s">
        <v>216</v>
      </c>
      <c r="E695" s="26" t="s">
        <v>229</v>
      </c>
      <c r="F695" s="26"/>
      <c r="G695" s="27" t="s">
        <v>16</v>
      </c>
      <c r="H695" s="28">
        <v>2903</v>
      </c>
      <c r="I695" s="28">
        <v>430</v>
      </c>
      <c r="J695" s="28">
        <v>232</v>
      </c>
      <c r="K695" s="28">
        <v>198</v>
      </c>
      <c r="L695" s="28">
        <v>2473</v>
      </c>
      <c r="M695" s="28">
        <v>1893</v>
      </c>
      <c r="N695" s="28">
        <v>1013</v>
      </c>
      <c r="O695" s="28">
        <v>713</v>
      </c>
      <c r="P695" s="28">
        <v>300</v>
      </c>
      <c r="Q695" s="28">
        <v>880</v>
      </c>
      <c r="R695" s="29">
        <v>14.8122632</v>
      </c>
      <c r="S695" s="29">
        <v>7.9917327</v>
      </c>
      <c r="T695" s="29">
        <v>6.8205305000000003</v>
      </c>
      <c r="U695" s="29">
        <v>85.187736799999996</v>
      </c>
      <c r="V695" s="29">
        <v>53.5129424</v>
      </c>
      <c r="W695" s="29">
        <v>37.665081899999997</v>
      </c>
      <c r="X695" s="29">
        <v>15.847860499999999</v>
      </c>
      <c r="Y695" s="29">
        <v>46.4870576</v>
      </c>
    </row>
    <row r="696" spans="2:25" ht="15" customHeight="1">
      <c r="B696" s="30">
        <v>691</v>
      </c>
      <c r="C696" s="31" t="s">
        <v>21</v>
      </c>
      <c r="D696" s="36" t="s">
        <v>216</v>
      </c>
      <c r="E696" s="36" t="s">
        <v>229</v>
      </c>
      <c r="F696" s="36" t="s">
        <v>230</v>
      </c>
      <c r="G696" s="37" t="s">
        <v>230</v>
      </c>
      <c r="H696" s="32">
        <v>349</v>
      </c>
      <c r="I696" s="32">
        <v>248</v>
      </c>
      <c r="J696" s="32">
        <v>145</v>
      </c>
      <c r="K696" s="32">
        <v>103</v>
      </c>
      <c r="L696" s="32">
        <v>101</v>
      </c>
      <c r="M696" s="32">
        <v>1192</v>
      </c>
      <c r="N696" s="32">
        <v>968</v>
      </c>
      <c r="O696" s="32">
        <v>631</v>
      </c>
      <c r="P696" s="32">
        <v>337</v>
      </c>
      <c r="Q696" s="32">
        <v>224</v>
      </c>
      <c r="R696" s="33">
        <v>71.0601719</v>
      </c>
      <c r="S696" s="33">
        <v>41.547277899999997</v>
      </c>
      <c r="T696" s="33">
        <v>29.512893999999999</v>
      </c>
      <c r="U696" s="33">
        <v>28.9398281</v>
      </c>
      <c r="V696" s="33">
        <v>81.208053699999994</v>
      </c>
      <c r="W696" s="33">
        <v>52.936241600000002</v>
      </c>
      <c r="X696" s="33">
        <v>28.271812099999998</v>
      </c>
      <c r="Y696" s="33">
        <v>18.791946299999999</v>
      </c>
    </row>
    <row r="697" spans="2:25" ht="15" hidden="1" customHeight="1">
      <c r="B697" s="25">
        <v>692</v>
      </c>
      <c r="C697" s="26" t="s">
        <v>21</v>
      </c>
      <c r="D697" s="26" t="s">
        <v>216</v>
      </c>
      <c r="E697" s="26" t="s">
        <v>229</v>
      </c>
      <c r="F697" s="26" t="s">
        <v>230</v>
      </c>
      <c r="G697" s="27" t="s">
        <v>15</v>
      </c>
      <c r="H697" s="28"/>
      <c r="I697" s="28"/>
      <c r="J697" s="28"/>
      <c r="K697" s="28"/>
      <c r="L697" s="28"/>
      <c r="M697" s="28">
        <v>1140</v>
      </c>
      <c r="N697" s="28">
        <v>954</v>
      </c>
      <c r="O697" s="28">
        <v>617</v>
      </c>
      <c r="P697" s="28">
        <v>337</v>
      </c>
      <c r="Q697" s="28">
        <v>186</v>
      </c>
      <c r="R697" s="29"/>
      <c r="S697" s="29"/>
      <c r="T697" s="29"/>
      <c r="U697" s="29"/>
      <c r="V697" s="29">
        <v>83.684210500000006</v>
      </c>
      <c r="W697" s="29">
        <v>54.122807000000002</v>
      </c>
      <c r="X697" s="29">
        <v>29.561403500000001</v>
      </c>
      <c r="Y697" s="29">
        <v>16.315789500000001</v>
      </c>
    </row>
    <row r="698" spans="2:25" ht="15" hidden="1" customHeight="1">
      <c r="B698" s="25">
        <v>693</v>
      </c>
      <c r="C698" s="26" t="s">
        <v>21</v>
      </c>
      <c r="D698" s="26" t="s">
        <v>216</v>
      </c>
      <c r="E698" s="26" t="s">
        <v>229</v>
      </c>
      <c r="F698" s="26" t="s">
        <v>230</v>
      </c>
      <c r="G698" s="27" t="s">
        <v>16</v>
      </c>
      <c r="H698" s="28">
        <v>349</v>
      </c>
      <c r="I698" s="28">
        <v>248</v>
      </c>
      <c r="J698" s="28">
        <v>145</v>
      </c>
      <c r="K698" s="28">
        <v>103</v>
      </c>
      <c r="L698" s="28">
        <v>101</v>
      </c>
      <c r="M698" s="28">
        <v>52</v>
      </c>
      <c r="N698" s="28">
        <v>14</v>
      </c>
      <c r="O698" s="28">
        <v>14</v>
      </c>
      <c r="P698" s="28">
        <v>0</v>
      </c>
      <c r="Q698" s="28">
        <v>38</v>
      </c>
      <c r="R698" s="29">
        <v>71.0601719</v>
      </c>
      <c r="S698" s="29">
        <v>41.547277899999997</v>
      </c>
      <c r="T698" s="29">
        <v>29.512893999999999</v>
      </c>
      <c r="U698" s="29">
        <v>28.9398281</v>
      </c>
      <c r="V698" s="29">
        <v>26.923076900000002</v>
      </c>
      <c r="W698" s="29">
        <v>26.923076900000002</v>
      </c>
      <c r="X698" s="29">
        <v>0</v>
      </c>
      <c r="Y698" s="29">
        <v>73.076923100000002</v>
      </c>
    </row>
    <row r="699" spans="2:25" ht="15" customHeight="1">
      <c r="B699" s="30">
        <v>694</v>
      </c>
      <c r="C699" s="31" t="s">
        <v>21</v>
      </c>
      <c r="D699" s="36" t="s">
        <v>216</v>
      </c>
      <c r="E699" s="36" t="s">
        <v>229</v>
      </c>
      <c r="F699" s="36" t="s">
        <v>231</v>
      </c>
      <c r="G699" s="37" t="s">
        <v>231</v>
      </c>
      <c r="H699" s="32">
        <v>1082</v>
      </c>
      <c r="I699" s="32">
        <v>57</v>
      </c>
      <c r="J699" s="32">
        <v>17</v>
      </c>
      <c r="K699" s="32">
        <v>40</v>
      </c>
      <c r="L699" s="32">
        <v>1025</v>
      </c>
      <c r="M699" s="32">
        <v>1055</v>
      </c>
      <c r="N699" s="32">
        <v>537</v>
      </c>
      <c r="O699" s="32">
        <v>289</v>
      </c>
      <c r="P699" s="32">
        <v>248</v>
      </c>
      <c r="Q699" s="32">
        <v>518</v>
      </c>
      <c r="R699" s="33">
        <v>5.2680221999999999</v>
      </c>
      <c r="S699" s="33">
        <v>1.5711645000000001</v>
      </c>
      <c r="T699" s="33">
        <v>3.6968576999999998</v>
      </c>
      <c r="U699" s="33">
        <v>94.731977799999996</v>
      </c>
      <c r="V699" s="33">
        <v>50.900473900000001</v>
      </c>
      <c r="W699" s="33">
        <v>27.393364900000002</v>
      </c>
      <c r="X699" s="33">
        <v>23.507109</v>
      </c>
      <c r="Y699" s="33">
        <v>49.099526099999999</v>
      </c>
    </row>
    <row r="700" spans="2:25" ht="15" hidden="1" customHeight="1">
      <c r="B700" s="25">
        <v>695</v>
      </c>
      <c r="C700" s="26" t="s">
        <v>21</v>
      </c>
      <c r="D700" s="26" t="s">
        <v>216</v>
      </c>
      <c r="E700" s="26" t="s">
        <v>229</v>
      </c>
      <c r="F700" s="26" t="s">
        <v>231</v>
      </c>
      <c r="G700" s="27" t="s">
        <v>15</v>
      </c>
      <c r="H700" s="28"/>
      <c r="I700" s="28"/>
      <c r="J700" s="28"/>
      <c r="K700" s="28"/>
      <c r="L700" s="28"/>
      <c r="M700" s="28">
        <v>612</v>
      </c>
      <c r="N700" s="28">
        <v>431</v>
      </c>
      <c r="O700" s="28">
        <v>224</v>
      </c>
      <c r="P700" s="28">
        <v>207</v>
      </c>
      <c r="Q700" s="28">
        <v>181</v>
      </c>
      <c r="R700" s="29"/>
      <c r="S700" s="29"/>
      <c r="T700" s="29"/>
      <c r="U700" s="29"/>
      <c r="V700" s="29">
        <v>70.424836600000006</v>
      </c>
      <c r="W700" s="29">
        <v>36.601307200000001</v>
      </c>
      <c r="X700" s="29">
        <v>33.823529399999998</v>
      </c>
      <c r="Y700" s="29">
        <v>29.575163400000001</v>
      </c>
    </row>
    <row r="701" spans="2:25" ht="15" hidden="1" customHeight="1">
      <c r="B701" s="25">
        <v>696</v>
      </c>
      <c r="C701" s="26" t="s">
        <v>21</v>
      </c>
      <c r="D701" s="26" t="s">
        <v>216</v>
      </c>
      <c r="E701" s="26" t="s">
        <v>229</v>
      </c>
      <c r="F701" s="26" t="s">
        <v>231</v>
      </c>
      <c r="G701" s="27" t="s">
        <v>16</v>
      </c>
      <c r="H701" s="28">
        <v>1082</v>
      </c>
      <c r="I701" s="28">
        <v>57</v>
      </c>
      <c r="J701" s="28">
        <v>17</v>
      </c>
      <c r="K701" s="28">
        <v>40</v>
      </c>
      <c r="L701" s="28">
        <v>1025</v>
      </c>
      <c r="M701" s="28">
        <v>443</v>
      </c>
      <c r="N701" s="28">
        <v>106</v>
      </c>
      <c r="O701" s="28">
        <v>65</v>
      </c>
      <c r="P701" s="28">
        <v>41</v>
      </c>
      <c r="Q701" s="28">
        <v>337</v>
      </c>
      <c r="R701" s="29">
        <v>5.2680221999999999</v>
      </c>
      <c r="S701" s="29">
        <v>1.5711645000000001</v>
      </c>
      <c r="T701" s="29">
        <v>3.6968576999999998</v>
      </c>
      <c r="U701" s="29">
        <v>94.731977799999996</v>
      </c>
      <c r="V701" s="29">
        <v>23.9277652</v>
      </c>
      <c r="W701" s="29">
        <v>14.672686199999999</v>
      </c>
      <c r="X701" s="29">
        <v>9.2550790000000003</v>
      </c>
      <c r="Y701" s="29">
        <v>76.072234800000004</v>
      </c>
    </row>
    <row r="702" spans="2:25" ht="15" customHeight="1">
      <c r="B702" s="30">
        <v>697</v>
      </c>
      <c r="C702" s="31" t="s">
        <v>21</v>
      </c>
      <c r="D702" s="36" t="s">
        <v>216</v>
      </c>
      <c r="E702" s="36" t="s">
        <v>229</v>
      </c>
      <c r="F702" s="36" t="s">
        <v>232</v>
      </c>
      <c r="G702" s="37" t="s">
        <v>232</v>
      </c>
      <c r="H702" s="32">
        <v>584</v>
      </c>
      <c r="I702" s="32">
        <v>35</v>
      </c>
      <c r="J702" s="32">
        <v>12</v>
      </c>
      <c r="K702" s="32">
        <v>23</v>
      </c>
      <c r="L702" s="32">
        <v>549</v>
      </c>
      <c r="M702" s="32">
        <v>352</v>
      </c>
      <c r="N702" s="32">
        <v>208</v>
      </c>
      <c r="O702" s="32">
        <v>138</v>
      </c>
      <c r="P702" s="32">
        <v>70</v>
      </c>
      <c r="Q702" s="32">
        <v>144</v>
      </c>
      <c r="R702" s="33">
        <v>5.9931507000000002</v>
      </c>
      <c r="S702" s="33">
        <v>2.0547944999999999</v>
      </c>
      <c r="T702" s="33">
        <v>3.9383561999999999</v>
      </c>
      <c r="U702" s="33">
        <v>94.006849299999999</v>
      </c>
      <c r="V702" s="33">
        <v>59.090909099999998</v>
      </c>
      <c r="W702" s="33">
        <v>39.204545500000002</v>
      </c>
      <c r="X702" s="33">
        <v>19.886363599999999</v>
      </c>
      <c r="Y702" s="33">
        <v>40.909090900000002</v>
      </c>
    </row>
    <row r="703" spans="2:25" ht="15" hidden="1" customHeight="1">
      <c r="B703" s="25">
        <v>698</v>
      </c>
      <c r="C703" s="26" t="s">
        <v>21</v>
      </c>
      <c r="D703" s="26" t="s">
        <v>216</v>
      </c>
      <c r="E703" s="26" t="s">
        <v>229</v>
      </c>
      <c r="F703" s="26" t="s">
        <v>232</v>
      </c>
      <c r="G703" s="27" t="s">
        <v>15</v>
      </c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9"/>
      <c r="S703" s="29"/>
      <c r="T703" s="29"/>
      <c r="U703" s="29"/>
      <c r="V703" s="29"/>
      <c r="W703" s="29"/>
      <c r="X703" s="29"/>
      <c r="Y703" s="29"/>
    </row>
    <row r="704" spans="2:25" ht="15" hidden="1" customHeight="1">
      <c r="B704" s="25">
        <v>699</v>
      </c>
      <c r="C704" s="26" t="s">
        <v>21</v>
      </c>
      <c r="D704" s="26" t="s">
        <v>216</v>
      </c>
      <c r="E704" s="26" t="s">
        <v>229</v>
      </c>
      <c r="F704" s="26" t="s">
        <v>232</v>
      </c>
      <c r="G704" s="27" t="s">
        <v>16</v>
      </c>
      <c r="H704" s="28">
        <v>584</v>
      </c>
      <c r="I704" s="28">
        <v>35</v>
      </c>
      <c r="J704" s="28">
        <v>12</v>
      </c>
      <c r="K704" s="28">
        <v>23</v>
      </c>
      <c r="L704" s="28">
        <v>549</v>
      </c>
      <c r="M704" s="28">
        <v>352</v>
      </c>
      <c r="N704" s="28">
        <v>208</v>
      </c>
      <c r="O704" s="28">
        <v>138</v>
      </c>
      <c r="P704" s="28">
        <v>70</v>
      </c>
      <c r="Q704" s="28">
        <v>144</v>
      </c>
      <c r="R704" s="29">
        <v>5.9931507000000002</v>
      </c>
      <c r="S704" s="29">
        <v>2.0547944999999999</v>
      </c>
      <c r="T704" s="29">
        <v>3.9383561999999999</v>
      </c>
      <c r="U704" s="29">
        <v>94.006849299999999</v>
      </c>
      <c r="V704" s="29">
        <v>59.090909099999998</v>
      </c>
      <c r="W704" s="29">
        <v>39.204545500000002</v>
      </c>
      <c r="X704" s="29">
        <v>19.886363599999999</v>
      </c>
      <c r="Y704" s="29">
        <v>40.909090900000002</v>
      </c>
    </row>
    <row r="705" spans="2:25" ht="15" customHeight="1">
      <c r="B705" s="30">
        <v>700</v>
      </c>
      <c r="C705" s="31" t="s">
        <v>21</v>
      </c>
      <c r="D705" s="36" t="s">
        <v>216</v>
      </c>
      <c r="E705" s="36" t="s">
        <v>229</v>
      </c>
      <c r="F705" s="36" t="s">
        <v>233</v>
      </c>
      <c r="G705" s="37" t="s">
        <v>233</v>
      </c>
      <c r="H705" s="32">
        <v>169</v>
      </c>
      <c r="I705" s="32">
        <v>2</v>
      </c>
      <c r="J705" s="32">
        <v>1</v>
      </c>
      <c r="K705" s="32">
        <v>1</v>
      </c>
      <c r="L705" s="32">
        <v>167</v>
      </c>
      <c r="M705" s="32">
        <v>173</v>
      </c>
      <c r="N705" s="32">
        <v>159</v>
      </c>
      <c r="O705" s="32">
        <v>123</v>
      </c>
      <c r="P705" s="32">
        <v>36</v>
      </c>
      <c r="Q705" s="32">
        <v>14</v>
      </c>
      <c r="R705" s="33">
        <v>1.183432</v>
      </c>
      <c r="S705" s="33">
        <v>0.59171600000000002</v>
      </c>
      <c r="T705" s="33">
        <v>0.59171600000000002</v>
      </c>
      <c r="U705" s="33">
        <v>98.816568000000004</v>
      </c>
      <c r="V705" s="33">
        <v>91.907514500000005</v>
      </c>
      <c r="W705" s="33">
        <v>71.098265900000001</v>
      </c>
      <c r="X705" s="33">
        <v>20.8092486</v>
      </c>
      <c r="Y705" s="33">
        <v>8.0924855000000004</v>
      </c>
    </row>
    <row r="706" spans="2:25" ht="15" hidden="1" customHeight="1">
      <c r="B706" s="25">
        <v>701</v>
      </c>
      <c r="C706" s="26" t="s">
        <v>21</v>
      </c>
      <c r="D706" s="26" t="s">
        <v>216</v>
      </c>
      <c r="E706" s="26" t="s">
        <v>229</v>
      </c>
      <c r="F706" s="26" t="s">
        <v>233</v>
      </c>
      <c r="G706" s="27" t="s">
        <v>15</v>
      </c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9"/>
      <c r="S706" s="29"/>
      <c r="T706" s="29"/>
      <c r="U706" s="29"/>
      <c r="V706" s="29"/>
      <c r="W706" s="29"/>
      <c r="X706" s="29"/>
      <c r="Y706" s="29"/>
    </row>
    <row r="707" spans="2:25" ht="15" hidden="1" customHeight="1">
      <c r="B707" s="25">
        <v>702</v>
      </c>
      <c r="C707" s="26" t="s">
        <v>21</v>
      </c>
      <c r="D707" s="26" t="s">
        <v>216</v>
      </c>
      <c r="E707" s="26" t="s">
        <v>229</v>
      </c>
      <c r="F707" s="26" t="s">
        <v>233</v>
      </c>
      <c r="G707" s="27" t="s">
        <v>16</v>
      </c>
      <c r="H707" s="28">
        <v>169</v>
      </c>
      <c r="I707" s="28">
        <v>2</v>
      </c>
      <c r="J707" s="28">
        <v>1</v>
      </c>
      <c r="K707" s="28">
        <v>1</v>
      </c>
      <c r="L707" s="28">
        <v>167</v>
      </c>
      <c r="M707" s="28">
        <v>173</v>
      </c>
      <c r="N707" s="28">
        <v>159</v>
      </c>
      <c r="O707" s="28">
        <v>123</v>
      </c>
      <c r="P707" s="28">
        <v>36</v>
      </c>
      <c r="Q707" s="28">
        <v>14</v>
      </c>
      <c r="R707" s="29">
        <v>1.183432</v>
      </c>
      <c r="S707" s="29">
        <v>0.59171600000000002</v>
      </c>
      <c r="T707" s="29">
        <v>0.59171600000000002</v>
      </c>
      <c r="U707" s="29">
        <v>98.816568000000004</v>
      </c>
      <c r="V707" s="29">
        <v>91.907514500000005</v>
      </c>
      <c r="W707" s="29">
        <v>71.098265900000001</v>
      </c>
      <c r="X707" s="29">
        <v>20.8092486</v>
      </c>
      <c r="Y707" s="29">
        <v>8.0924855000000004</v>
      </c>
    </row>
    <row r="708" spans="2:25" ht="15" customHeight="1">
      <c r="B708" s="30">
        <v>703</v>
      </c>
      <c r="C708" s="31" t="s">
        <v>21</v>
      </c>
      <c r="D708" s="36" t="s">
        <v>216</v>
      </c>
      <c r="E708" s="36" t="s">
        <v>229</v>
      </c>
      <c r="F708" s="36" t="s">
        <v>234</v>
      </c>
      <c r="G708" s="37" t="s">
        <v>234</v>
      </c>
      <c r="H708" s="32">
        <v>719</v>
      </c>
      <c r="I708" s="32">
        <v>88</v>
      </c>
      <c r="J708" s="32">
        <v>57</v>
      </c>
      <c r="K708" s="32">
        <v>31</v>
      </c>
      <c r="L708" s="32">
        <v>631</v>
      </c>
      <c r="M708" s="32">
        <v>873</v>
      </c>
      <c r="N708" s="32">
        <v>526</v>
      </c>
      <c r="O708" s="32">
        <v>373</v>
      </c>
      <c r="P708" s="32">
        <v>153</v>
      </c>
      <c r="Q708" s="32">
        <v>347</v>
      </c>
      <c r="R708" s="33">
        <v>12.2392211</v>
      </c>
      <c r="S708" s="33">
        <v>7.9276773</v>
      </c>
      <c r="T708" s="33">
        <v>4.3115437999999999</v>
      </c>
      <c r="U708" s="33">
        <v>87.760778900000005</v>
      </c>
      <c r="V708" s="33">
        <v>60.252004599999999</v>
      </c>
      <c r="W708" s="33">
        <v>42.726231400000003</v>
      </c>
      <c r="X708" s="33">
        <v>17.5257732</v>
      </c>
      <c r="Y708" s="33">
        <v>39.747995400000001</v>
      </c>
    </row>
    <row r="709" spans="2:25" ht="15" hidden="1" customHeight="1">
      <c r="B709" s="25">
        <v>704</v>
      </c>
      <c r="C709" s="26" t="s">
        <v>21</v>
      </c>
      <c r="D709" s="26" t="s">
        <v>216</v>
      </c>
      <c r="E709" s="26" t="s">
        <v>229</v>
      </c>
      <c r="F709" s="26" t="s">
        <v>234</v>
      </c>
      <c r="G709" s="27" t="s">
        <v>15</v>
      </c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9"/>
      <c r="S709" s="29"/>
      <c r="T709" s="29"/>
      <c r="U709" s="29"/>
      <c r="V709" s="29"/>
      <c r="W709" s="29"/>
      <c r="X709" s="29"/>
      <c r="Y709" s="29"/>
    </row>
    <row r="710" spans="2:25" ht="15" hidden="1" customHeight="1">
      <c r="B710" s="25">
        <v>705</v>
      </c>
      <c r="C710" s="26" t="s">
        <v>21</v>
      </c>
      <c r="D710" s="26" t="s">
        <v>216</v>
      </c>
      <c r="E710" s="26" t="s">
        <v>229</v>
      </c>
      <c r="F710" s="26" t="s">
        <v>234</v>
      </c>
      <c r="G710" s="27" t="s">
        <v>16</v>
      </c>
      <c r="H710" s="28">
        <v>719</v>
      </c>
      <c r="I710" s="28">
        <v>88</v>
      </c>
      <c r="J710" s="28">
        <v>57</v>
      </c>
      <c r="K710" s="28">
        <v>31</v>
      </c>
      <c r="L710" s="28">
        <v>631</v>
      </c>
      <c r="M710" s="28">
        <v>873</v>
      </c>
      <c r="N710" s="28">
        <v>526</v>
      </c>
      <c r="O710" s="28">
        <v>373</v>
      </c>
      <c r="P710" s="28">
        <v>153</v>
      </c>
      <c r="Q710" s="28">
        <v>347</v>
      </c>
      <c r="R710" s="29">
        <v>12.2392211</v>
      </c>
      <c r="S710" s="29">
        <v>7.9276773</v>
      </c>
      <c r="T710" s="29">
        <v>4.3115437999999999</v>
      </c>
      <c r="U710" s="29">
        <v>87.760778900000005</v>
      </c>
      <c r="V710" s="29">
        <v>60.252004599999999</v>
      </c>
      <c r="W710" s="29">
        <v>42.726231400000003</v>
      </c>
      <c r="X710" s="29">
        <v>17.5257732</v>
      </c>
      <c r="Y710" s="29">
        <v>39.747995400000001</v>
      </c>
    </row>
    <row r="711" spans="2:25" ht="15" hidden="1" customHeight="1">
      <c r="B711" s="21">
        <v>706</v>
      </c>
      <c r="C711" s="22" t="s">
        <v>19</v>
      </c>
      <c r="D711" s="35" t="s">
        <v>216</v>
      </c>
      <c r="E711" s="35" t="s">
        <v>235</v>
      </c>
      <c r="F711" s="35"/>
      <c r="G711" s="22" t="s">
        <v>235</v>
      </c>
      <c r="H711" s="23">
        <v>6182</v>
      </c>
      <c r="I711" s="23">
        <v>1488</v>
      </c>
      <c r="J711" s="23">
        <v>966</v>
      </c>
      <c r="K711" s="23">
        <v>522</v>
      </c>
      <c r="L711" s="23">
        <v>4694</v>
      </c>
      <c r="M711" s="23">
        <v>6881</v>
      </c>
      <c r="N711" s="23">
        <v>3120</v>
      </c>
      <c r="O711" s="23">
        <v>2461</v>
      </c>
      <c r="P711" s="23">
        <v>659</v>
      </c>
      <c r="Q711" s="23">
        <v>3761</v>
      </c>
      <c r="R711" s="24">
        <v>24.069880300000001</v>
      </c>
      <c r="S711" s="24">
        <v>15.626011</v>
      </c>
      <c r="T711" s="24">
        <v>8.4438692999999994</v>
      </c>
      <c r="U711" s="24">
        <v>75.930119700000006</v>
      </c>
      <c r="V711" s="24">
        <v>45.342246799999998</v>
      </c>
      <c r="W711" s="24">
        <v>35.765150400000003</v>
      </c>
      <c r="X711" s="24">
        <v>9.5770964000000003</v>
      </c>
      <c r="Y711" s="24">
        <v>54.657753200000002</v>
      </c>
    </row>
    <row r="712" spans="2:25" ht="15" hidden="1" customHeight="1">
      <c r="B712" s="25">
        <v>707</v>
      </c>
      <c r="C712" s="26" t="s">
        <v>19</v>
      </c>
      <c r="D712" s="26" t="s">
        <v>216</v>
      </c>
      <c r="E712" s="26" t="s">
        <v>235</v>
      </c>
      <c r="F712" s="26"/>
      <c r="G712" s="27" t="s">
        <v>15</v>
      </c>
      <c r="H712" s="28">
        <v>1030</v>
      </c>
      <c r="I712" s="28">
        <v>629</v>
      </c>
      <c r="J712" s="28">
        <v>411</v>
      </c>
      <c r="K712" s="28">
        <v>218</v>
      </c>
      <c r="L712" s="28">
        <v>401</v>
      </c>
      <c r="M712" s="28">
        <v>1487</v>
      </c>
      <c r="N712" s="28">
        <v>1309</v>
      </c>
      <c r="O712" s="28">
        <v>931</v>
      </c>
      <c r="P712" s="28">
        <v>378</v>
      </c>
      <c r="Q712" s="28">
        <v>178</v>
      </c>
      <c r="R712" s="29">
        <v>61.067961199999999</v>
      </c>
      <c r="S712" s="29">
        <v>39.902912600000001</v>
      </c>
      <c r="T712" s="29">
        <v>21.165048500000001</v>
      </c>
      <c r="U712" s="29">
        <v>38.932038800000001</v>
      </c>
      <c r="V712" s="29">
        <v>88.029589799999997</v>
      </c>
      <c r="W712" s="29">
        <v>62.609280400000003</v>
      </c>
      <c r="X712" s="29">
        <v>25.4203093</v>
      </c>
      <c r="Y712" s="29">
        <v>11.9704102</v>
      </c>
    </row>
    <row r="713" spans="2:25" ht="15" hidden="1" customHeight="1">
      <c r="B713" s="25">
        <v>708</v>
      </c>
      <c r="C713" s="26" t="s">
        <v>19</v>
      </c>
      <c r="D713" s="26" t="s">
        <v>216</v>
      </c>
      <c r="E713" s="26" t="s">
        <v>235</v>
      </c>
      <c r="F713" s="26"/>
      <c r="G713" s="27" t="s">
        <v>16</v>
      </c>
      <c r="H713" s="28">
        <v>5152</v>
      </c>
      <c r="I713" s="28">
        <v>859</v>
      </c>
      <c r="J713" s="28">
        <v>555</v>
      </c>
      <c r="K713" s="28">
        <v>304</v>
      </c>
      <c r="L713" s="28">
        <v>4293</v>
      </c>
      <c r="M713" s="28">
        <v>5394</v>
      </c>
      <c r="N713" s="28">
        <v>1811</v>
      </c>
      <c r="O713" s="28">
        <v>1530</v>
      </c>
      <c r="P713" s="28">
        <v>281</v>
      </c>
      <c r="Q713" s="28">
        <v>3583</v>
      </c>
      <c r="R713" s="29">
        <v>16.673136599999999</v>
      </c>
      <c r="S713" s="29">
        <v>10.772515500000001</v>
      </c>
      <c r="T713" s="29">
        <v>5.9006211000000004</v>
      </c>
      <c r="U713" s="29">
        <v>83.326863399999993</v>
      </c>
      <c r="V713" s="29">
        <v>33.5743419</v>
      </c>
      <c r="W713" s="29">
        <v>28.364849799999998</v>
      </c>
      <c r="X713" s="29">
        <v>5.209492</v>
      </c>
      <c r="Y713" s="29">
        <v>66.425658100000007</v>
      </c>
    </row>
    <row r="714" spans="2:25" ht="15" customHeight="1">
      <c r="B714" s="30">
        <v>709</v>
      </c>
      <c r="C714" s="31" t="s">
        <v>21</v>
      </c>
      <c r="D714" s="36" t="s">
        <v>216</v>
      </c>
      <c r="E714" s="36" t="s">
        <v>235</v>
      </c>
      <c r="F714" s="36" t="s">
        <v>235</v>
      </c>
      <c r="G714" s="37" t="s">
        <v>235</v>
      </c>
      <c r="H714" s="32">
        <v>2839</v>
      </c>
      <c r="I714" s="32">
        <v>778</v>
      </c>
      <c r="J714" s="32">
        <v>505</v>
      </c>
      <c r="K714" s="32">
        <v>273</v>
      </c>
      <c r="L714" s="32">
        <v>2061</v>
      </c>
      <c r="M714" s="32">
        <v>3662</v>
      </c>
      <c r="N714" s="32">
        <v>1880</v>
      </c>
      <c r="O714" s="32">
        <v>1428</v>
      </c>
      <c r="P714" s="32">
        <v>452</v>
      </c>
      <c r="Q714" s="32">
        <v>1782</v>
      </c>
      <c r="R714" s="33">
        <v>27.4040155</v>
      </c>
      <c r="S714" s="33">
        <v>17.7879535</v>
      </c>
      <c r="T714" s="33">
        <v>9.6160619999999994</v>
      </c>
      <c r="U714" s="33">
        <v>72.5959845</v>
      </c>
      <c r="V714" s="33">
        <v>51.338066599999998</v>
      </c>
      <c r="W714" s="33">
        <v>38.9950847</v>
      </c>
      <c r="X714" s="33">
        <v>12.342981999999999</v>
      </c>
      <c r="Y714" s="33">
        <v>48.661933400000002</v>
      </c>
    </row>
    <row r="715" spans="2:25" ht="15" hidden="1" customHeight="1">
      <c r="B715" s="25">
        <v>710</v>
      </c>
      <c r="C715" s="26" t="s">
        <v>21</v>
      </c>
      <c r="D715" s="26" t="s">
        <v>216</v>
      </c>
      <c r="E715" s="26" t="s">
        <v>235</v>
      </c>
      <c r="F715" s="26" t="s">
        <v>235</v>
      </c>
      <c r="G715" s="27" t="s">
        <v>15</v>
      </c>
      <c r="H715" s="28">
        <v>1030</v>
      </c>
      <c r="I715" s="28">
        <v>629</v>
      </c>
      <c r="J715" s="28">
        <v>411</v>
      </c>
      <c r="K715" s="28">
        <v>218</v>
      </c>
      <c r="L715" s="28">
        <v>401</v>
      </c>
      <c r="M715" s="28">
        <v>1487</v>
      </c>
      <c r="N715" s="28">
        <v>1309</v>
      </c>
      <c r="O715" s="28">
        <v>931</v>
      </c>
      <c r="P715" s="28">
        <v>378</v>
      </c>
      <c r="Q715" s="28">
        <v>178</v>
      </c>
      <c r="R715" s="29">
        <v>61.067961199999999</v>
      </c>
      <c r="S715" s="29">
        <v>39.902912600000001</v>
      </c>
      <c r="T715" s="29">
        <v>21.165048500000001</v>
      </c>
      <c r="U715" s="29">
        <v>38.932038800000001</v>
      </c>
      <c r="V715" s="29">
        <v>88.029589799999997</v>
      </c>
      <c r="W715" s="29">
        <v>62.609280400000003</v>
      </c>
      <c r="X715" s="29">
        <v>25.4203093</v>
      </c>
      <c r="Y715" s="29">
        <v>11.9704102</v>
      </c>
    </row>
    <row r="716" spans="2:25" ht="15" hidden="1" customHeight="1">
      <c r="B716" s="25">
        <v>711</v>
      </c>
      <c r="C716" s="26" t="s">
        <v>21</v>
      </c>
      <c r="D716" s="26" t="s">
        <v>216</v>
      </c>
      <c r="E716" s="26" t="s">
        <v>235</v>
      </c>
      <c r="F716" s="26" t="s">
        <v>235</v>
      </c>
      <c r="G716" s="27" t="s">
        <v>16</v>
      </c>
      <c r="H716" s="28">
        <v>1809</v>
      </c>
      <c r="I716" s="28">
        <v>149</v>
      </c>
      <c r="J716" s="28">
        <v>94</v>
      </c>
      <c r="K716" s="28">
        <v>55</v>
      </c>
      <c r="L716" s="28">
        <v>1660</v>
      </c>
      <c r="M716" s="28">
        <v>2175</v>
      </c>
      <c r="N716" s="28">
        <v>571</v>
      </c>
      <c r="O716" s="28">
        <v>497</v>
      </c>
      <c r="P716" s="28">
        <v>74</v>
      </c>
      <c r="Q716" s="28">
        <v>1604</v>
      </c>
      <c r="R716" s="29">
        <v>8.2365948000000007</v>
      </c>
      <c r="S716" s="29">
        <v>5.1962409999999997</v>
      </c>
      <c r="T716" s="29">
        <v>3.0403538000000001</v>
      </c>
      <c r="U716" s="29">
        <v>91.763405199999994</v>
      </c>
      <c r="V716" s="29">
        <v>26.252873600000001</v>
      </c>
      <c r="W716" s="29">
        <v>22.850574699999999</v>
      </c>
      <c r="X716" s="29">
        <v>3.4022988999999999</v>
      </c>
      <c r="Y716" s="29">
        <v>73.747126399999999</v>
      </c>
    </row>
    <row r="717" spans="2:25" ht="15" customHeight="1">
      <c r="B717" s="30">
        <v>712</v>
      </c>
      <c r="C717" s="31" t="s">
        <v>21</v>
      </c>
      <c r="D717" s="36" t="s">
        <v>216</v>
      </c>
      <c r="E717" s="36" t="s">
        <v>235</v>
      </c>
      <c r="F717" s="36" t="s">
        <v>236</v>
      </c>
      <c r="G717" s="37" t="s">
        <v>236</v>
      </c>
      <c r="H717" s="32">
        <v>2185</v>
      </c>
      <c r="I717" s="32">
        <v>347</v>
      </c>
      <c r="J717" s="32">
        <v>223</v>
      </c>
      <c r="K717" s="32">
        <v>124</v>
      </c>
      <c r="L717" s="32">
        <v>1838</v>
      </c>
      <c r="M717" s="32">
        <v>1769</v>
      </c>
      <c r="N717" s="32">
        <v>590</v>
      </c>
      <c r="O717" s="32">
        <v>487</v>
      </c>
      <c r="P717" s="32">
        <v>103</v>
      </c>
      <c r="Q717" s="32">
        <v>1179</v>
      </c>
      <c r="R717" s="33">
        <v>15.881006899999999</v>
      </c>
      <c r="S717" s="33">
        <v>10.2059497</v>
      </c>
      <c r="T717" s="33">
        <v>5.6750572000000004</v>
      </c>
      <c r="U717" s="33">
        <v>84.118993099999997</v>
      </c>
      <c r="V717" s="33">
        <v>33.352176399999998</v>
      </c>
      <c r="W717" s="33">
        <v>27.529677800000002</v>
      </c>
      <c r="X717" s="33">
        <v>5.8224986000000003</v>
      </c>
      <c r="Y717" s="33">
        <v>66.647823599999995</v>
      </c>
    </row>
    <row r="718" spans="2:25" ht="15" hidden="1" customHeight="1">
      <c r="B718" s="25">
        <v>713</v>
      </c>
      <c r="C718" s="26" t="s">
        <v>21</v>
      </c>
      <c r="D718" s="26" t="s">
        <v>216</v>
      </c>
      <c r="E718" s="26" t="s">
        <v>235</v>
      </c>
      <c r="F718" s="26" t="s">
        <v>236</v>
      </c>
      <c r="G718" s="27" t="s">
        <v>15</v>
      </c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9"/>
      <c r="S718" s="29"/>
      <c r="T718" s="29"/>
      <c r="U718" s="29"/>
      <c r="V718" s="29"/>
      <c r="W718" s="29"/>
      <c r="X718" s="29"/>
      <c r="Y718" s="29"/>
    </row>
    <row r="719" spans="2:25" ht="15" hidden="1" customHeight="1">
      <c r="B719" s="25">
        <v>714</v>
      </c>
      <c r="C719" s="26" t="s">
        <v>21</v>
      </c>
      <c r="D719" s="26" t="s">
        <v>216</v>
      </c>
      <c r="E719" s="26" t="s">
        <v>235</v>
      </c>
      <c r="F719" s="26" t="s">
        <v>236</v>
      </c>
      <c r="G719" s="27" t="s">
        <v>16</v>
      </c>
      <c r="H719" s="28">
        <v>2185</v>
      </c>
      <c r="I719" s="28">
        <v>347</v>
      </c>
      <c r="J719" s="28">
        <v>223</v>
      </c>
      <c r="K719" s="28">
        <v>124</v>
      </c>
      <c r="L719" s="28">
        <v>1838</v>
      </c>
      <c r="M719" s="28">
        <v>1769</v>
      </c>
      <c r="N719" s="28">
        <v>590</v>
      </c>
      <c r="O719" s="28">
        <v>487</v>
      </c>
      <c r="P719" s="28">
        <v>103</v>
      </c>
      <c r="Q719" s="28">
        <v>1179</v>
      </c>
      <c r="R719" s="29">
        <v>15.881006899999999</v>
      </c>
      <c r="S719" s="29">
        <v>10.2059497</v>
      </c>
      <c r="T719" s="29">
        <v>5.6750572000000004</v>
      </c>
      <c r="U719" s="29">
        <v>84.118993099999997</v>
      </c>
      <c r="V719" s="29">
        <v>33.352176399999998</v>
      </c>
      <c r="W719" s="29">
        <v>27.529677800000002</v>
      </c>
      <c r="X719" s="29">
        <v>5.8224986000000003</v>
      </c>
      <c r="Y719" s="29">
        <v>66.647823599999995</v>
      </c>
    </row>
    <row r="720" spans="2:25" ht="15" customHeight="1">
      <c r="B720" s="30">
        <v>715</v>
      </c>
      <c r="C720" s="31" t="s">
        <v>21</v>
      </c>
      <c r="D720" s="36" t="s">
        <v>216</v>
      </c>
      <c r="E720" s="36" t="s">
        <v>235</v>
      </c>
      <c r="F720" s="36" t="s">
        <v>237</v>
      </c>
      <c r="G720" s="37" t="s">
        <v>237</v>
      </c>
      <c r="H720" s="32">
        <v>1158</v>
      </c>
      <c r="I720" s="32">
        <v>363</v>
      </c>
      <c r="J720" s="32">
        <v>238</v>
      </c>
      <c r="K720" s="32">
        <v>125</v>
      </c>
      <c r="L720" s="32">
        <v>795</v>
      </c>
      <c r="M720" s="32">
        <v>1450</v>
      </c>
      <c r="N720" s="32">
        <v>650</v>
      </c>
      <c r="O720" s="32">
        <v>546</v>
      </c>
      <c r="P720" s="32">
        <v>104</v>
      </c>
      <c r="Q720" s="32">
        <v>800</v>
      </c>
      <c r="R720" s="33">
        <v>31.347150299999999</v>
      </c>
      <c r="S720" s="33">
        <v>20.552676999999999</v>
      </c>
      <c r="T720" s="33">
        <v>10.794473200000001</v>
      </c>
      <c r="U720" s="33">
        <v>68.652849700000004</v>
      </c>
      <c r="V720" s="33">
        <v>44.827586199999999</v>
      </c>
      <c r="W720" s="33">
        <v>37.655172399999998</v>
      </c>
      <c r="X720" s="33">
        <v>7.1724138000000002</v>
      </c>
      <c r="Y720" s="33">
        <v>55.172413800000001</v>
      </c>
    </row>
    <row r="721" spans="2:25" ht="15" hidden="1" customHeight="1">
      <c r="B721" s="25">
        <v>716</v>
      </c>
      <c r="C721" s="26" t="s">
        <v>21</v>
      </c>
      <c r="D721" s="26" t="s">
        <v>216</v>
      </c>
      <c r="E721" s="26" t="s">
        <v>235</v>
      </c>
      <c r="F721" s="26" t="s">
        <v>237</v>
      </c>
      <c r="G721" s="27" t="s">
        <v>15</v>
      </c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9"/>
      <c r="S721" s="29"/>
      <c r="T721" s="29"/>
      <c r="U721" s="29"/>
      <c r="V721" s="29"/>
      <c r="W721" s="29"/>
      <c r="X721" s="29"/>
      <c r="Y721" s="29"/>
    </row>
    <row r="722" spans="2:25" ht="15" hidden="1" customHeight="1">
      <c r="B722" s="25">
        <v>717</v>
      </c>
      <c r="C722" s="26" t="s">
        <v>21</v>
      </c>
      <c r="D722" s="26" t="s">
        <v>216</v>
      </c>
      <c r="E722" s="26" t="s">
        <v>235</v>
      </c>
      <c r="F722" s="26" t="s">
        <v>237</v>
      </c>
      <c r="G722" s="27" t="s">
        <v>16</v>
      </c>
      <c r="H722" s="28">
        <v>1158</v>
      </c>
      <c r="I722" s="28">
        <v>363</v>
      </c>
      <c r="J722" s="28">
        <v>238</v>
      </c>
      <c r="K722" s="28">
        <v>125</v>
      </c>
      <c r="L722" s="28">
        <v>795</v>
      </c>
      <c r="M722" s="28">
        <v>1450</v>
      </c>
      <c r="N722" s="28">
        <v>650</v>
      </c>
      <c r="O722" s="28">
        <v>546</v>
      </c>
      <c r="P722" s="28">
        <v>104</v>
      </c>
      <c r="Q722" s="28">
        <v>800</v>
      </c>
      <c r="R722" s="29">
        <v>31.347150299999999</v>
      </c>
      <c r="S722" s="29">
        <v>20.552676999999999</v>
      </c>
      <c r="T722" s="29">
        <v>10.794473200000001</v>
      </c>
      <c r="U722" s="29">
        <v>68.652849700000004</v>
      </c>
      <c r="V722" s="29">
        <v>44.827586199999999</v>
      </c>
      <c r="W722" s="29">
        <v>37.655172399999998</v>
      </c>
      <c r="X722" s="29">
        <v>7.1724138000000002</v>
      </c>
      <c r="Y722" s="29">
        <v>55.172413800000001</v>
      </c>
    </row>
    <row r="723" spans="2:25" ht="15" hidden="1" customHeight="1">
      <c r="B723" s="21">
        <v>718</v>
      </c>
      <c r="C723" s="22" t="s">
        <v>19</v>
      </c>
      <c r="D723" s="35" t="s">
        <v>216</v>
      </c>
      <c r="E723" s="35" t="s">
        <v>238</v>
      </c>
      <c r="F723" s="35"/>
      <c r="G723" s="22" t="s">
        <v>238</v>
      </c>
      <c r="H723" s="23">
        <v>8747</v>
      </c>
      <c r="I723" s="23">
        <v>3980</v>
      </c>
      <c r="J723" s="23">
        <v>2052</v>
      </c>
      <c r="K723" s="23">
        <v>1928</v>
      </c>
      <c r="L723" s="23">
        <v>4767</v>
      </c>
      <c r="M723" s="23">
        <v>8599</v>
      </c>
      <c r="N723" s="23">
        <v>6074</v>
      </c>
      <c r="O723" s="23">
        <v>5144</v>
      </c>
      <c r="P723" s="23">
        <v>930</v>
      </c>
      <c r="Q723" s="23">
        <v>2525</v>
      </c>
      <c r="R723" s="24">
        <v>45.501314700000002</v>
      </c>
      <c r="S723" s="24">
        <v>23.459471799999999</v>
      </c>
      <c r="T723" s="24">
        <v>22.041842899999999</v>
      </c>
      <c r="U723" s="24">
        <v>54.498685299999998</v>
      </c>
      <c r="V723" s="24">
        <v>70.636120500000004</v>
      </c>
      <c r="W723" s="24">
        <v>59.820909399999998</v>
      </c>
      <c r="X723" s="24">
        <v>10.815211100000001</v>
      </c>
      <c r="Y723" s="24">
        <v>29.363879499999999</v>
      </c>
    </row>
    <row r="724" spans="2:25" ht="15" hidden="1" customHeight="1">
      <c r="B724" s="25">
        <v>719</v>
      </c>
      <c r="C724" s="26" t="s">
        <v>19</v>
      </c>
      <c r="D724" s="26" t="s">
        <v>216</v>
      </c>
      <c r="E724" s="26" t="s">
        <v>238</v>
      </c>
      <c r="F724" s="26"/>
      <c r="G724" s="27" t="s">
        <v>15</v>
      </c>
      <c r="H724" s="28">
        <v>6417</v>
      </c>
      <c r="I724" s="28">
        <v>3774</v>
      </c>
      <c r="J724" s="28">
        <v>1934</v>
      </c>
      <c r="K724" s="28">
        <v>1840</v>
      </c>
      <c r="L724" s="28">
        <v>2643</v>
      </c>
      <c r="M724" s="28">
        <v>5884</v>
      </c>
      <c r="N724" s="28">
        <v>5179</v>
      </c>
      <c r="O724" s="28">
        <v>4375</v>
      </c>
      <c r="P724" s="28">
        <v>804</v>
      </c>
      <c r="Q724" s="28">
        <v>705</v>
      </c>
      <c r="R724" s="29">
        <v>58.8125292</v>
      </c>
      <c r="S724" s="29">
        <v>30.138694099999999</v>
      </c>
      <c r="T724" s="29">
        <v>28.673835100000002</v>
      </c>
      <c r="U724" s="29">
        <v>41.1874708</v>
      </c>
      <c r="V724" s="29">
        <v>88.018354900000006</v>
      </c>
      <c r="W724" s="29">
        <v>74.354180799999995</v>
      </c>
      <c r="X724" s="29">
        <v>13.664173999999999</v>
      </c>
      <c r="Y724" s="29">
        <v>11.9816451</v>
      </c>
    </row>
    <row r="725" spans="2:25" ht="15" hidden="1" customHeight="1">
      <c r="B725" s="25">
        <v>720</v>
      </c>
      <c r="C725" s="26" t="s">
        <v>19</v>
      </c>
      <c r="D725" s="26" t="s">
        <v>216</v>
      </c>
      <c r="E725" s="26" t="s">
        <v>238</v>
      </c>
      <c r="F725" s="26"/>
      <c r="G725" s="27" t="s">
        <v>16</v>
      </c>
      <c r="H725" s="28">
        <v>2330</v>
      </c>
      <c r="I725" s="28">
        <v>206</v>
      </c>
      <c r="J725" s="28">
        <v>118</v>
      </c>
      <c r="K725" s="28">
        <v>88</v>
      </c>
      <c r="L725" s="28">
        <v>2124</v>
      </c>
      <c r="M725" s="28">
        <v>2715</v>
      </c>
      <c r="N725" s="28">
        <v>895</v>
      </c>
      <c r="O725" s="28">
        <v>769</v>
      </c>
      <c r="P725" s="28">
        <v>126</v>
      </c>
      <c r="Q725" s="28">
        <v>1820</v>
      </c>
      <c r="R725" s="29">
        <v>8.8412016999999992</v>
      </c>
      <c r="S725" s="29">
        <v>5.0643776999999996</v>
      </c>
      <c r="T725" s="29">
        <v>3.776824</v>
      </c>
      <c r="U725" s="29">
        <v>91.158798300000001</v>
      </c>
      <c r="V725" s="29">
        <v>32.965009199999997</v>
      </c>
      <c r="W725" s="29">
        <v>28.324125200000001</v>
      </c>
      <c r="X725" s="29">
        <v>4.6408839999999998</v>
      </c>
      <c r="Y725" s="29">
        <v>67.034990800000003</v>
      </c>
    </row>
    <row r="726" spans="2:25" ht="15" customHeight="1">
      <c r="B726" s="30">
        <v>721</v>
      </c>
      <c r="C726" s="31" t="s">
        <v>21</v>
      </c>
      <c r="D726" s="36" t="s">
        <v>216</v>
      </c>
      <c r="E726" s="36" t="s">
        <v>238</v>
      </c>
      <c r="F726" s="36" t="s">
        <v>239</v>
      </c>
      <c r="G726" s="37" t="s">
        <v>239</v>
      </c>
      <c r="H726" s="32">
        <v>7189</v>
      </c>
      <c r="I726" s="32">
        <v>3359</v>
      </c>
      <c r="J726" s="32">
        <v>1754</v>
      </c>
      <c r="K726" s="32">
        <v>1605</v>
      </c>
      <c r="L726" s="32">
        <v>3830</v>
      </c>
      <c r="M726" s="32">
        <v>6423</v>
      </c>
      <c r="N726" s="32">
        <v>4721</v>
      </c>
      <c r="O726" s="32">
        <v>4022</v>
      </c>
      <c r="P726" s="32">
        <v>699</v>
      </c>
      <c r="Q726" s="32">
        <v>1702</v>
      </c>
      <c r="R726" s="33">
        <v>46.724161899999999</v>
      </c>
      <c r="S726" s="33">
        <v>24.3983864</v>
      </c>
      <c r="T726" s="33">
        <v>22.325775499999999</v>
      </c>
      <c r="U726" s="33">
        <v>53.275838100000001</v>
      </c>
      <c r="V726" s="33">
        <v>73.501479099999997</v>
      </c>
      <c r="W726" s="33">
        <v>62.618713999999997</v>
      </c>
      <c r="X726" s="33">
        <v>10.8827651</v>
      </c>
      <c r="Y726" s="33">
        <v>26.498520899999999</v>
      </c>
    </row>
    <row r="727" spans="2:25" ht="15" hidden="1" customHeight="1">
      <c r="B727" s="25">
        <v>722</v>
      </c>
      <c r="C727" s="26" t="s">
        <v>21</v>
      </c>
      <c r="D727" s="26" t="s">
        <v>216</v>
      </c>
      <c r="E727" s="26" t="s">
        <v>238</v>
      </c>
      <c r="F727" s="26" t="s">
        <v>239</v>
      </c>
      <c r="G727" s="27" t="s">
        <v>15</v>
      </c>
      <c r="H727" s="28">
        <v>5635</v>
      </c>
      <c r="I727" s="28">
        <v>3320</v>
      </c>
      <c r="J727" s="28">
        <v>1740</v>
      </c>
      <c r="K727" s="28">
        <v>1580</v>
      </c>
      <c r="L727" s="28">
        <v>2315</v>
      </c>
      <c r="M727" s="28">
        <v>4810</v>
      </c>
      <c r="N727" s="28">
        <v>4264</v>
      </c>
      <c r="O727" s="28">
        <v>3611</v>
      </c>
      <c r="P727" s="28">
        <v>653</v>
      </c>
      <c r="Q727" s="28">
        <v>546</v>
      </c>
      <c r="R727" s="29">
        <v>58.917479999999998</v>
      </c>
      <c r="S727" s="29">
        <v>30.878438299999999</v>
      </c>
      <c r="T727" s="29">
        <v>28.039041699999999</v>
      </c>
      <c r="U727" s="29">
        <v>41.082520000000002</v>
      </c>
      <c r="V727" s="29">
        <v>88.648648600000001</v>
      </c>
      <c r="W727" s="29">
        <v>75.072765099999998</v>
      </c>
      <c r="X727" s="29">
        <v>13.575883599999999</v>
      </c>
      <c r="Y727" s="29">
        <v>11.3513514</v>
      </c>
    </row>
    <row r="728" spans="2:25" ht="15" hidden="1" customHeight="1">
      <c r="B728" s="25">
        <v>723</v>
      </c>
      <c r="C728" s="26" t="s">
        <v>21</v>
      </c>
      <c r="D728" s="26" t="s">
        <v>216</v>
      </c>
      <c r="E728" s="26" t="s">
        <v>238</v>
      </c>
      <c r="F728" s="26" t="s">
        <v>239</v>
      </c>
      <c r="G728" s="27" t="s">
        <v>16</v>
      </c>
      <c r="H728" s="28">
        <v>1554</v>
      </c>
      <c r="I728" s="28">
        <v>39</v>
      </c>
      <c r="J728" s="28">
        <v>14</v>
      </c>
      <c r="K728" s="28">
        <v>25</v>
      </c>
      <c r="L728" s="28">
        <v>1515</v>
      </c>
      <c r="M728" s="28">
        <v>1613</v>
      </c>
      <c r="N728" s="28">
        <v>457</v>
      </c>
      <c r="O728" s="28">
        <v>411</v>
      </c>
      <c r="P728" s="28">
        <v>46</v>
      </c>
      <c r="Q728" s="28">
        <v>1156</v>
      </c>
      <c r="R728" s="29">
        <v>2.5096525000000001</v>
      </c>
      <c r="S728" s="29">
        <v>0.9009009</v>
      </c>
      <c r="T728" s="29">
        <v>1.6087515999999999</v>
      </c>
      <c r="U728" s="29">
        <v>97.490347499999999</v>
      </c>
      <c r="V728" s="29">
        <v>28.332300100000001</v>
      </c>
      <c r="W728" s="29">
        <v>25.4804712</v>
      </c>
      <c r="X728" s="29">
        <v>2.8518289000000001</v>
      </c>
      <c r="Y728" s="29">
        <v>71.667699900000002</v>
      </c>
    </row>
    <row r="729" spans="2:25" ht="15" customHeight="1">
      <c r="B729" s="30">
        <v>724</v>
      </c>
      <c r="C729" s="31" t="s">
        <v>21</v>
      </c>
      <c r="D729" s="36" t="s">
        <v>216</v>
      </c>
      <c r="E729" s="36" t="s">
        <v>238</v>
      </c>
      <c r="F729" s="36" t="s">
        <v>240</v>
      </c>
      <c r="G729" s="37" t="s">
        <v>240</v>
      </c>
      <c r="H729" s="32">
        <v>1558</v>
      </c>
      <c r="I729" s="32">
        <v>621</v>
      </c>
      <c r="J729" s="32">
        <v>298</v>
      </c>
      <c r="K729" s="32">
        <v>323</v>
      </c>
      <c r="L729" s="32">
        <v>937</v>
      </c>
      <c r="M729" s="32">
        <v>2176</v>
      </c>
      <c r="N729" s="32">
        <v>1353</v>
      </c>
      <c r="O729" s="32">
        <v>1122</v>
      </c>
      <c r="P729" s="32">
        <v>231</v>
      </c>
      <c r="Q729" s="32">
        <v>823</v>
      </c>
      <c r="R729" s="33">
        <v>39.858793300000002</v>
      </c>
      <c r="S729" s="33">
        <v>19.127085999999998</v>
      </c>
      <c r="T729" s="33">
        <v>20.7317073</v>
      </c>
      <c r="U729" s="33">
        <v>60.141206699999998</v>
      </c>
      <c r="V729" s="33">
        <v>62.178308800000003</v>
      </c>
      <c r="W729" s="33">
        <v>51.5625</v>
      </c>
      <c r="X729" s="33">
        <v>10.6158088</v>
      </c>
      <c r="Y729" s="33">
        <v>37.821691199999997</v>
      </c>
    </row>
    <row r="730" spans="2:25" ht="15" hidden="1" customHeight="1">
      <c r="B730" s="25">
        <v>725</v>
      </c>
      <c r="C730" s="26" t="s">
        <v>21</v>
      </c>
      <c r="D730" s="26" t="s">
        <v>216</v>
      </c>
      <c r="E730" s="26" t="s">
        <v>238</v>
      </c>
      <c r="F730" s="26" t="s">
        <v>240</v>
      </c>
      <c r="G730" s="27" t="s">
        <v>15</v>
      </c>
      <c r="H730" s="28">
        <v>782</v>
      </c>
      <c r="I730" s="28">
        <v>454</v>
      </c>
      <c r="J730" s="28">
        <v>194</v>
      </c>
      <c r="K730" s="28">
        <v>260</v>
      </c>
      <c r="L730" s="28">
        <v>328</v>
      </c>
      <c r="M730" s="28">
        <v>1074</v>
      </c>
      <c r="N730" s="28">
        <v>915</v>
      </c>
      <c r="O730" s="28">
        <v>764</v>
      </c>
      <c r="P730" s="28">
        <v>151</v>
      </c>
      <c r="Q730" s="28">
        <v>159</v>
      </c>
      <c r="R730" s="29">
        <v>58.056266000000001</v>
      </c>
      <c r="S730" s="29">
        <v>24.808184099999998</v>
      </c>
      <c r="T730" s="29">
        <v>33.248081800000001</v>
      </c>
      <c r="U730" s="29">
        <v>41.943733999999999</v>
      </c>
      <c r="V730" s="29">
        <v>85.195530700000006</v>
      </c>
      <c r="W730" s="29">
        <v>71.135940399999996</v>
      </c>
      <c r="X730" s="29">
        <v>14.0595903</v>
      </c>
      <c r="Y730" s="29">
        <v>14.804469299999999</v>
      </c>
    </row>
    <row r="731" spans="2:25" ht="15" hidden="1" customHeight="1">
      <c r="B731" s="25">
        <v>726</v>
      </c>
      <c r="C731" s="26" t="s">
        <v>21</v>
      </c>
      <c r="D731" s="26" t="s">
        <v>216</v>
      </c>
      <c r="E731" s="26" t="s">
        <v>238</v>
      </c>
      <c r="F731" s="26" t="s">
        <v>240</v>
      </c>
      <c r="G731" s="27" t="s">
        <v>16</v>
      </c>
      <c r="H731" s="28">
        <v>776</v>
      </c>
      <c r="I731" s="28">
        <v>167</v>
      </c>
      <c r="J731" s="28">
        <v>104</v>
      </c>
      <c r="K731" s="28">
        <v>63</v>
      </c>
      <c r="L731" s="28">
        <v>609</v>
      </c>
      <c r="M731" s="28">
        <v>1102</v>
      </c>
      <c r="N731" s="28">
        <v>438</v>
      </c>
      <c r="O731" s="28">
        <v>358</v>
      </c>
      <c r="P731" s="28">
        <v>80</v>
      </c>
      <c r="Q731" s="28">
        <v>664</v>
      </c>
      <c r="R731" s="29">
        <v>21.520618599999999</v>
      </c>
      <c r="S731" s="29">
        <v>13.4020619</v>
      </c>
      <c r="T731" s="29">
        <v>8.1185566999999992</v>
      </c>
      <c r="U731" s="29">
        <v>78.479381399999994</v>
      </c>
      <c r="V731" s="29">
        <v>39.7459165</v>
      </c>
      <c r="W731" s="29">
        <v>32.486388400000003</v>
      </c>
      <c r="X731" s="29">
        <v>7.2595280999999998</v>
      </c>
      <c r="Y731" s="29">
        <v>60.2540835</v>
      </c>
    </row>
    <row r="732" spans="2:25" ht="15" hidden="1" customHeight="1">
      <c r="B732" s="21">
        <v>727</v>
      </c>
      <c r="C732" s="22" t="s">
        <v>19</v>
      </c>
      <c r="D732" s="35" t="s">
        <v>216</v>
      </c>
      <c r="E732" s="35" t="s">
        <v>241</v>
      </c>
      <c r="F732" s="35"/>
      <c r="G732" s="22" t="s">
        <v>241</v>
      </c>
      <c r="H732" s="23">
        <v>4967</v>
      </c>
      <c r="I732" s="23">
        <v>784</v>
      </c>
      <c r="J732" s="23">
        <v>450</v>
      </c>
      <c r="K732" s="23">
        <v>334</v>
      </c>
      <c r="L732" s="23">
        <v>4183</v>
      </c>
      <c r="M732" s="23">
        <v>7244</v>
      </c>
      <c r="N732" s="23">
        <v>2872</v>
      </c>
      <c r="O732" s="23">
        <v>2319</v>
      </c>
      <c r="P732" s="23">
        <v>553</v>
      </c>
      <c r="Q732" s="23">
        <v>4372</v>
      </c>
      <c r="R732" s="24">
        <v>15.784175599999999</v>
      </c>
      <c r="S732" s="24">
        <v>9.0597946</v>
      </c>
      <c r="T732" s="24">
        <v>6.7243808999999999</v>
      </c>
      <c r="U732" s="24">
        <v>84.215824400000002</v>
      </c>
      <c r="V732" s="24">
        <v>39.646604099999998</v>
      </c>
      <c r="W732" s="24">
        <v>32.012700199999998</v>
      </c>
      <c r="X732" s="24">
        <v>7.6339039</v>
      </c>
      <c r="Y732" s="24">
        <v>60.353395900000002</v>
      </c>
    </row>
    <row r="733" spans="2:25" ht="15" hidden="1" customHeight="1">
      <c r="B733" s="25">
        <v>728</v>
      </c>
      <c r="C733" s="26" t="s">
        <v>19</v>
      </c>
      <c r="D733" s="26" t="s">
        <v>216</v>
      </c>
      <c r="E733" s="26" t="s">
        <v>241</v>
      </c>
      <c r="F733" s="26"/>
      <c r="G733" s="27" t="s">
        <v>15</v>
      </c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9"/>
      <c r="S733" s="29"/>
      <c r="T733" s="29"/>
      <c r="U733" s="29"/>
      <c r="V733" s="29"/>
      <c r="W733" s="29"/>
      <c r="X733" s="29"/>
      <c r="Y733" s="29"/>
    </row>
    <row r="734" spans="2:25" ht="15" hidden="1" customHeight="1">
      <c r="B734" s="25">
        <v>729</v>
      </c>
      <c r="C734" s="26" t="s">
        <v>19</v>
      </c>
      <c r="D734" s="26" t="s">
        <v>216</v>
      </c>
      <c r="E734" s="26" t="s">
        <v>241</v>
      </c>
      <c r="F734" s="26"/>
      <c r="G734" s="27" t="s">
        <v>16</v>
      </c>
      <c r="H734" s="28">
        <v>4967</v>
      </c>
      <c r="I734" s="28">
        <v>784</v>
      </c>
      <c r="J734" s="28">
        <v>450</v>
      </c>
      <c r="K734" s="28">
        <v>334</v>
      </c>
      <c r="L734" s="28">
        <v>4183</v>
      </c>
      <c r="M734" s="28">
        <v>7244</v>
      </c>
      <c r="N734" s="28">
        <v>2872</v>
      </c>
      <c r="O734" s="28">
        <v>2319</v>
      </c>
      <c r="P734" s="28">
        <v>553</v>
      </c>
      <c r="Q734" s="28">
        <v>4372</v>
      </c>
      <c r="R734" s="29">
        <v>15.784175599999999</v>
      </c>
      <c r="S734" s="29">
        <v>9.0597946</v>
      </c>
      <c r="T734" s="29">
        <v>6.7243808999999999</v>
      </c>
      <c r="U734" s="29">
        <v>84.215824400000002</v>
      </c>
      <c r="V734" s="29">
        <v>39.646604099999998</v>
      </c>
      <c r="W734" s="29">
        <v>32.012700199999998</v>
      </c>
      <c r="X734" s="29">
        <v>7.6339039</v>
      </c>
      <c r="Y734" s="29">
        <v>60.353395900000002</v>
      </c>
    </row>
    <row r="735" spans="2:25" ht="15" customHeight="1">
      <c r="B735" s="30">
        <v>730</v>
      </c>
      <c r="C735" s="31" t="s">
        <v>21</v>
      </c>
      <c r="D735" s="36" t="s">
        <v>216</v>
      </c>
      <c r="E735" s="36" t="s">
        <v>241</v>
      </c>
      <c r="F735" s="36" t="s">
        <v>242</v>
      </c>
      <c r="G735" s="37" t="s">
        <v>242</v>
      </c>
      <c r="H735" s="32">
        <v>3927</v>
      </c>
      <c r="I735" s="32">
        <v>599</v>
      </c>
      <c r="J735" s="32">
        <v>351</v>
      </c>
      <c r="K735" s="32">
        <v>248</v>
      </c>
      <c r="L735" s="32">
        <v>3328</v>
      </c>
      <c r="M735" s="32">
        <v>5969</v>
      </c>
      <c r="N735" s="32">
        <v>2375</v>
      </c>
      <c r="O735" s="32">
        <v>1888</v>
      </c>
      <c r="P735" s="32">
        <v>487</v>
      </c>
      <c r="Q735" s="32">
        <v>3594</v>
      </c>
      <c r="R735" s="33">
        <v>15.2533741</v>
      </c>
      <c r="S735" s="33">
        <v>8.9381207000000007</v>
      </c>
      <c r="T735" s="33">
        <v>6.3152533999999996</v>
      </c>
      <c r="U735" s="33">
        <v>84.746625899999998</v>
      </c>
      <c r="V735" s="33">
        <v>39.788909400000001</v>
      </c>
      <c r="W735" s="33">
        <v>31.630088799999999</v>
      </c>
      <c r="X735" s="33">
        <v>8.1588206000000003</v>
      </c>
      <c r="Y735" s="33">
        <v>60.211090599999999</v>
      </c>
    </row>
    <row r="736" spans="2:25" ht="15" hidden="1" customHeight="1">
      <c r="B736" s="25">
        <v>731</v>
      </c>
      <c r="C736" s="26" t="s">
        <v>21</v>
      </c>
      <c r="D736" s="26" t="s">
        <v>216</v>
      </c>
      <c r="E736" s="26" t="s">
        <v>241</v>
      </c>
      <c r="F736" s="26" t="s">
        <v>242</v>
      </c>
      <c r="G736" s="27" t="s">
        <v>15</v>
      </c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9"/>
      <c r="S736" s="29"/>
      <c r="T736" s="29"/>
      <c r="U736" s="29"/>
      <c r="V736" s="29"/>
      <c r="W736" s="29"/>
      <c r="X736" s="29"/>
      <c r="Y736" s="29"/>
    </row>
    <row r="737" spans="2:25" ht="15" hidden="1" customHeight="1">
      <c r="B737" s="25">
        <v>732</v>
      </c>
      <c r="C737" s="26" t="s">
        <v>21</v>
      </c>
      <c r="D737" s="26" t="s">
        <v>216</v>
      </c>
      <c r="E737" s="26" t="s">
        <v>241</v>
      </c>
      <c r="F737" s="26" t="s">
        <v>242</v>
      </c>
      <c r="G737" s="27" t="s">
        <v>16</v>
      </c>
      <c r="H737" s="28">
        <v>3927</v>
      </c>
      <c r="I737" s="28">
        <v>599</v>
      </c>
      <c r="J737" s="28">
        <v>351</v>
      </c>
      <c r="K737" s="28">
        <v>248</v>
      </c>
      <c r="L737" s="28">
        <v>3328</v>
      </c>
      <c r="M737" s="28">
        <v>5969</v>
      </c>
      <c r="N737" s="28">
        <v>2375</v>
      </c>
      <c r="O737" s="28">
        <v>1888</v>
      </c>
      <c r="P737" s="28">
        <v>487</v>
      </c>
      <c r="Q737" s="28">
        <v>3594</v>
      </c>
      <c r="R737" s="29">
        <v>15.2533741</v>
      </c>
      <c r="S737" s="29">
        <v>8.9381207000000007</v>
      </c>
      <c r="T737" s="29">
        <v>6.3152533999999996</v>
      </c>
      <c r="U737" s="29">
        <v>84.746625899999998</v>
      </c>
      <c r="V737" s="29">
        <v>39.788909400000001</v>
      </c>
      <c r="W737" s="29">
        <v>31.630088799999999</v>
      </c>
      <c r="X737" s="29">
        <v>8.1588206000000003</v>
      </c>
      <c r="Y737" s="29">
        <v>60.211090599999999</v>
      </c>
    </row>
    <row r="738" spans="2:25" ht="15" customHeight="1">
      <c r="B738" s="30">
        <v>733</v>
      </c>
      <c r="C738" s="31" t="s">
        <v>21</v>
      </c>
      <c r="D738" s="36" t="s">
        <v>216</v>
      </c>
      <c r="E738" s="36" t="s">
        <v>241</v>
      </c>
      <c r="F738" s="36" t="s">
        <v>243</v>
      </c>
      <c r="G738" s="37" t="s">
        <v>243</v>
      </c>
      <c r="H738" s="32">
        <v>1040</v>
      </c>
      <c r="I738" s="32">
        <v>185</v>
      </c>
      <c r="J738" s="32">
        <v>99</v>
      </c>
      <c r="K738" s="32">
        <v>86</v>
      </c>
      <c r="L738" s="32">
        <v>855</v>
      </c>
      <c r="M738" s="32">
        <v>1275</v>
      </c>
      <c r="N738" s="32">
        <v>497</v>
      </c>
      <c r="O738" s="32">
        <v>431</v>
      </c>
      <c r="P738" s="32">
        <v>66</v>
      </c>
      <c r="Q738" s="32">
        <v>778</v>
      </c>
      <c r="R738" s="33">
        <v>17.7884615</v>
      </c>
      <c r="S738" s="33">
        <v>9.5192308000000008</v>
      </c>
      <c r="T738" s="33">
        <v>8.2692308000000008</v>
      </c>
      <c r="U738" s="33">
        <v>82.211538500000003</v>
      </c>
      <c r="V738" s="33">
        <v>38.980392199999997</v>
      </c>
      <c r="W738" s="33">
        <v>33.803921600000002</v>
      </c>
      <c r="X738" s="33">
        <v>5.1764706</v>
      </c>
      <c r="Y738" s="33">
        <v>61.019607800000003</v>
      </c>
    </row>
    <row r="739" spans="2:25" ht="15" hidden="1" customHeight="1">
      <c r="B739" s="25">
        <v>734</v>
      </c>
      <c r="C739" s="26" t="s">
        <v>21</v>
      </c>
      <c r="D739" s="26" t="s">
        <v>216</v>
      </c>
      <c r="E739" s="26" t="s">
        <v>241</v>
      </c>
      <c r="F739" s="26" t="s">
        <v>243</v>
      </c>
      <c r="G739" s="27" t="s">
        <v>15</v>
      </c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9"/>
      <c r="S739" s="29"/>
      <c r="T739" s="29"/>
      <c r="U739" s="29"/>
      <c r="V739" s="29"/>
      <c r="W739" s="29"/>
      <c r="X739" s="29"/>
      <c r="Y739" s="29"/>
    </row>
    <row r="740" spans="2:25" ht="15" hidden="1" customHeight="1">
      <c r="B740" s="25">
        <v>735</v>
      </c>
      <c r="C740" s="26" t="s">
        <v>21</v>
      </c>
      <c r="D740" s="26" t="s">
        <v>216</v>
      </c>
      <c r="E740" s="26" t="s">
        <v>241</v>
      </c>
      <c r="F740" s="26" t="s">
        <v>243</v>
      </c>
      <c r="G740" s="27" t="s">
        <v>16</v>
      </c>
      <c r="H740" s="28">
        <v>1040</v>
      </c>
      <c r="I740" s="28">
        <v>185</v>
      </c>
      <c r="J740" s="28">
        <v>99</v>
      </c>
      <c r="K740" s="28">
        <v>86</v>
      </c>
      <c r="L740" s="28">
        <v>855</v>
      </c>
      <c r="M740" s="28">
        <v>1275</v>
      </c>
      <c r="N740" s="28">
        <v>497</v>
      </c>
      <c r="O740" s="28">
        <v>431</v>
      </c>
      <c r="P740" s="28">
        <v>66</v>
      </c>
      <c r="Q740" s="28">
        <v>778</v>
      </c>
      <c r="R740" s="29">
        <v>17.7884615</v>
      </c>
      <c r="S740" s="29">
        <v>9.5192308000000008</v>
      </c>
      <c r="T740" s="29">
        <v>8.2692308000000008</v>
      </c>
      <c r="U740" s="29">
        <v>82.211538500000003</v>
      </c>
      <c r="V740" s="29">
        <v>38.980392199999997</v>
      </c>
      <c r="W740" s="29">
        <v>33.803921600000002</v>
      </c>
      <c r="X740" s="29">
        <v>5.1764706</v>
      </c>
      <c r="Y740" s="29">
        <v>61.019607800000003</v>
      </c>
    </row>
    <row r="741" spans="2:25" ht="15" hidden="1" customHeight="1">
      <c r="B741" s="21">
        <v>736</v>
      </c>
      <c r="C741" s="22" t="s">
        <v>19</v>
      </c>
      <c r="D741" s="35" t="s">
        <v>216</v>
      </c>
      <c r="E741" s="35" t="s">
        <v>244</v>
      </c>
      <c r="F741" s="35"/>
      <c r="G741" s="22" t="s">
        <v>244</v>
      </c>
      <c r="H741" s="23">
        <v>3090</v>
      </c>
      <c r="I741" s="23">
        <v>478</v>
      </c>
      <c r="J741" s="23">
        <v>221</v>
      </c>
      <c r="K741" s="23">
        <v>257</v>
      </c>
      <c r="L741" s="23">
        <v>2612</v>
      </c>
      <c r="M741" s="23">
        <v>5317</v>
      </c>
      <c r="N741" s="23">
        <v>2315</v>
      </c>
      <c r="O741" s="23">
        <v>1667</v>
      </c>
      <c r="P741" s="23">
        <v>648</v>
      </c>
      <c r="Q741" s="23">
        <v>3002</v>
      </c>
      <c r="R741" s="24">
        <v>15.4692557</v>
      </c>
      <c r="S741" s="24">
        <v>7.1521036000000002</v>
      </c>
      <c r="T741" s="24">
        <v>8.3171520999999995</v>
      </c>
      <c r="U741" s="24">
        <v>84.530744299999995</v>
      </c>
      <c r="V741" s="24">
        <v>43.539589999999997</v>
      </c>
      <c r="W741" s="24">
        <v>31.3522663</v>
      </c>
      <c r="X741" s="24">
        <v>12.1873237</v>
      </c>
      <c r="Y741" s="24">
        <v>56.460410000000003</v>
      </c>
    </row>
    <row r="742" spans="2:25" ht="15" hidden="1" customHeight="1">
      <c r="B742" s="25">
        <v>737</v>
      </c>
      <c r="C742" s="26" t="s">
        <v>19</v>
      </c>
      <c r="D742" s="26" t="s">
        <v>216</v>
      </c>
      <c r="E742" s="26" t="s">
        <v>244</v>
      </c>
      <c r="F742" s="26"/>
      <c r="G742" s="27" t="s">
        <v>15</v>
      </c>
      <c r="H742" s="28"/>
      <c r="I742" s="28"/>
      <c r="J742" s="28"/>
      <c r="K742" s="28"/>
      <c r="L742" s="28"/>
      <c r="M742" s="28">
        <v>462</v>
      </c>
      <c r="N742" s="28">
        <v>321</v>
      </c>
      <c r="O742" s="28">
        <v>166</v>
      </c>
      <c r="P742" s="28">
        <v>155</v>
      </c>
      <c r="Q742" s="28">
        <v>141</v>
      </c>
      <c r="R742" s="29"/>
      <c r="S742" s="29"/>
      <c r="T742" s="29"/>
      <c r="U742" s="29"/>
      <c r="V742" s="29">
        <v>69.4805195</v>
      </c>
      <c r="W742" s="29">
        <v>35.930735900000002</v>
      </c>
      <c r="X742" s="29">
        <v>33.549783499999997</v>
      </c>
      <c r="Y742" s="29">
        <v>30.5194805</v>
      </c>
    </row>
    <row r="743" spans="2:25" ht="15" hidden="1" customHeight="1">
      <c r="B743" s="25">
        <v>738</v>
      </c>
      <c r="C743" s="26" t="s">
        <v>19</v>
      </c>
      <c r="D743" s="26" t="s">
        <v>216</v>
      </c>
      <c r="E743" s="26" t="s">
        <v>244</v>
      </c>
      <c r="F743" s="26"/>
      <c r="G743" s="27" t="s">
        <v>16</v>
      </c>
      <c r="H743" s="28">
        <v>3090</v>
      </c>
      <c r="I743" s="28">
        <v>478</v>
      </c>
      <c r="J743" s="28">
        <v>221</v>
      </c>
      <c r="K743" s="28">
        <v>257</v>
      </c>
      <c r="L743" s="28">
        <v>2612</v>
      </c>
      <c r="M743" s="28">
        <v>4855</v>
      </c>
      <c r="N743" s="28">
        <v>1994</v>
      </c>
      <c r="O743" s="28">
        <v>1501</v>
      </c>
      <c r="P743" s="28">
        <v>493</v>
      </c>
      <c r="Q743" s="28">
        <v>2861</v>
      </c>
      <c r="R743" s="29">
        <v>15.4692557</v>
      </c>
      <c r="S743" s="29">
        <v>7.1521036000000002</v>
      </c>
      <c r="T743" s="29">
        <v>8.3171520999999995</v>
      </c>
      <c r="U743" s="29">
        <v>84.530744299999995</v>
      </c>
      <c r="V743" s="29">
        <v>41.071060799999998</v>
      </c>
      <c r="W743" s="29">
        <v>30.916580799999998</v>
      </c>
      <c r="X743" s="29">
        <v>10.1544799</v>
      </c>
      <c r="Y743" s="29">
        <v>58.928939200000002</v>
      </c>
    </row>
    <row r="744" spans="2:25" ht="15" customHeight="1">
      <c r="B744" s="30">
        <v>739</v>
      </c>
      <c r="C744" s="31" t="s">
        <v>21</v>
      </c>
      <c r="D744" s="36" t="s">
        <v>216</v>
      </c>
      <c r="E744" s="36" t="s">
        <v>244</v>
      </c>
      <c r="F744" s="36" t="s">
        <v>244</v>
      </c>
      <c r="G744" s="37" t="s">
        <v>244</v>
      </c>
      <c r="H744" s="32">
        <v>2247</v>
      </c>
      <c r="I744" s="32">
        <v>255</v>
      </c>
      <c r="J744" s="32">
        <v>126</v>
      </c>
      <c r="K744" s="32">
        <v>129</v>
      </c>
      <c r="L744" s="32">
        <v>1992</v>
      </c>
      <c r="M744" s="32">
        <v>3855</v>
      </c>
      <c r="N744" s="32">
        <v>1719</v>
      </c>
      <c r="O744" s="32">
        <v>1152</v>
      </c>
      <c r="P744" s="32">
        <v>567</v>
      </c>
      <c r="Q744" s="32">
        <v>2136</v>
      </c>
      <c r="R744" s="33">
        <v>11.3484646</v>
      </c>
      <c r="S744" s="33">
        <v>5.6074766</v>
      </c>
      <c r="T744" s="33">
        <v>5.7409879999999998</v>
      </c>
      <c r="U744" s="33">
        <v>88.6515354</v>
      </c>
      <c r="V744" s="33">
        <v>44.591439700000002</v>
      </c>
      <c r="W744" s="33">
        <v>29.8832685</v>
      </c>
      <c r="X744" s="33">
        <v>14.708171200000001</v>
      </c>
      <c r="Y744" s="33">
        <v>55.408560299999998</v>
      </c>
    </row>
    <row r="745" spans="2:25" ht="15" hidden="1" customHeight="1">
      <c r="B745" s="25">
        <v>740</v>
      </c>
      <c r="C745" s="26" t="s">
        <v>21</v>
      </c>
      <c r="D745" s="26" t="s">
        <v>216</v>
      </c>
      <c r="E745" s="26" t="s">
        <v>244</v>
      </c>
      <c r="F745" s="26" t="s">
        <v>244</v>
      </c>
      <c r="G745" s="27" t="s">
        <v>15</v>
      </c>
      <c r="H745" s="28"/>
      <c r="I745" s="28"/>
      <c r="J745" s="28"/>
      <c r="K745" s="28"/>
      <c r="L745" s="28"/>
      <c r="M745" s="28">
        <v>462</v>
      </c>
      <c r="N745" s="28">
        <v>321</v>
      </c>
      <c r="O745" s="28">
        <v>166</v>
      </c>
      <c r="P745" s="28">
        <v>155</v>
      </c>
      <c r="Q745" s="28">
        <v>141</v>
      </c>
      <c r="R745" s="29"/>
      <c r="S745" s="29"/>
      <c r="T745" s="29"/>
      <c r="U745" s="29"/>
      <c r="V745" s="29">
        <v>69.4805195</v>
      </c>
      <c r="W745" s="29">
        <v>35.930735900000002</v>
      </c>
      <c r="X745" s="29">
        <v>33.549783499999997</v>
      </c>
      <c r="Y745" s="29">
        <v>30.5194805</v>
      </c>
    </row>
    <row r="746" spans="2:25" ht="15" hidden="1" customHeight="1">
      <c r="B746" s="25">
        <v>741</v>
      </c>
      <c r="C746" s="26" t="s">
        <v>21</v>
      </c>
      <c r="D746" s="26" t="s">
        <v>216</v>
      </c>
      <c r="E746" s="26" t="s">
        <v>244</v>
      </c>
      <c r="F746" s="26" t="s">
        <v>244</v>
      </c>
      <c r="G746" s="27" t="s">
        <v>16</v>
      </c>
      <c r="H746" s="28">
        <v>2247</v>
      </c>
      <c r="I746" s="28">
        <v>255</v>
      </c>
      <c r="J746" s="28">
        <v>126</v>
      </c>
      <c r="K746" s="28">
        <v>129</v>
      </c>
      <c r="L746" s="28">
        <v>1992</v>
      </c>
      <c r="M746" s="28">
        <v>3393</v>
      </c>
      <c r="N746" s="28">
        <v>1398</v>
      </c>
      <c r="O746" s="28">
        <v>986</v>
      </c>
      <c r="P746" s="28">
        <v>412</v>
      </c>
      <c r="Q746" s="28">
        <v>1995</v>
      </c>
      <c r="R746" s="29">
        <v>11.3484646</v>
      </c>
      <c r="S746" s="29">
        <v>5.6074766</v>
      </c>
      <c r="T746" s="29">
        <v>5.7409879999999998</v>
      </c>
      <c r="U746" s="29">
        <v>88.6515354</v>
      </c>
      <c r="V746" s="29">
        <v>41.202475700000001</v>
      </c>
      <c r="W746" s="29">
        <v>29.059829100000002</v>
      </c>
      <c r="X746" s="29">
        <v>12.142646600000001</v>
      </c>
      <c r="Y746" s="29">
        <v>58.797524299999999</v>
      </c>
    </row>
    <row r="747" spans="2:25" ht="15" customHeight="1">
      <c r="B747" s="30">
        <v>742</v>
      </c>
      <c r="C747" s="31" t="s">
        <v>21</v>
      </c>
      <c r="D747" s="36" t="s">
        <v>216</v>
      </c>
      <c r="E747" s="36" t="s">
        <v>244</v>
      </c>
      <c r="F747" s="36" t="s">
        <v>245</v>
      </c>
      <c r="G747" s="37" t="s">
        <v>245</v>
      </c>
      <c r="H747" s="32">
        <v>253</v>
      </c>
      <c r="I747" s="32">
        <v>13</v>
      </c>
      <c r="J747" s="32">
        <v>2</v>
      </c>
      <c r="K747" s="32">
        <v>11</v>
      </c>
      <c r="L747" s="32">
        <v>240</v>
      </c>
      <c r="M747" s="32">
        <v>357</v>
      </c>
      <c r="N747" s="32">
        <v>172</v>
      </c>
      <c r="O747" s="32">
        <v>130</v>
      </c>
      <c r="P747" s="32">
        <v>42</v>
      </c>
      <c r="Q747" s="32">
        <v>185</v>
      </c>
      <c r="R747" s="33">
        <v>5.1383399000000001</v>
      </c>
      <c r="S747" s="33">
        <v>0.79051380000000004</v>
      </c>
      <c r="T747" s="33">
        <v>4.3478260999999998</v>
      </c>
      <c r="U747" s="33">
        <v>94.861660099999995</v>
      </c>
      <c r="V747" s="33">
        <v>48.179271700000001</v>
      </c>
      <c r="W747" s="33">
        <v>36.414565799999998</v>
      </c>
      <c r="X747" s="33">
        <v>11.764705899999999</v>
      </c>
      <c r="Y747" s="33">
        <v>51.820728299999999</v>
      </c>
    </row>
    <row r="748" spans="2:25" ht="15" hidden="1" customHeight="1">
      <c r="B748" s="25">
        <v>743</v>
      </c>
      <c r="C748" s="26" t="s">
        <v>21</v>
      </c>
      <c r="D748" s="26" t="s">
        <v>216</v>
      </c>
      <c r="E748" s="26" t="s">
        <v>244</v>
      </c>
      <c r="F748" s="26" t="s">
        <v>245</v>
      </c>
      <c r="G748" s="27" t="s">
        <v>15</v>
      </c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9"/>
      <c r="S748" s="29"/>
      <c r="T748" s="29"/>
      <c r="U748" s="29"/>
      <c r="V748" s="29"/>
      <c r="W748" s="29"/>
      <c r="X748" s="29"/>
      <c r="Y748" s="29"/>
    </row>
    <row r="749" spans="2:25" ht="15" hidden="1" customHeight="1">
      <c r="B749" s="25">
        <v>744</v>
      </c>
      <c r="C749" s="26" t="s">
        <v>21</v>
      </c>
      <c r="D749" s="26" t="s">
        <v>216</v>
      </c>
      <c r="E749" s="26" t="s">
        <v>244</v>
      </c>
      <c r="F749" s="26" t="s">
        <v>245</v>
      </c>
      <c r="G749" s="27" t="s">
        <v>16</v>
      </c>
      <c r="H749" s="28">
        <v>253</v>
      </c>
      <c r="I749" s="28">
        <v>13</v>
      </c>
      <c r="J749" s="28">
        <v>2</v>
      </c>
      <c r="K749" s="28">
        <v>11</v>
      </c>
      <c r="L749" s="28">
        <v>240</v>
      </c>
      <c r="M749" s="28">
        <v>357</v>
      </c>
      <c r="N749" s="28">
        <v>172</v>
      </c>
      <c r="O749" s="28">
        <v>130</v>
      </c>
      <c r="P749" s="28">
        <v>42</v>
      </c>
      <c r="Q749" s="28">
        <v>185</v>
      </c>
      <c r="R749" s="29">
        <v>5.1383399000000001</v>
      </c>
      <c r="S749" s="29">
        <v>0.79051380000000004</v>
      </c>
      <c r="T749" s="29">
        <v>4.3478260999999998</v>
      </c>
      <c r="U749" s="29">
        <v>94.861660099999995</v>
      </c>
      <c r="V749" s="29">
        <v>48.179271700000001</v>
      </c>
      <c r="W749" s="29">
        <v>36.414565799999998</v>
      </c>
      <c r="X749" s="29">
        <v>11.764705899999999</v>
      </c>
      <c r="Y749" s="29">
        <v>51.820728299999999</v>
      </c>
    </row>
    <row r="750" spans="2:25" ht="15" customHeight="1">
      <c r="B750" s="30">
        <v>745</v>
      </c>
      <c r="C750" s="31" t="s">
        <v>21</v>
      </c>
      <c r="D750" s="36" t="s">
        <v>216</v>
      </c>
      <c r="E750" s="36" t="s">
        <v>244</v>
      </c>
      <c r="F750" s="36" t="s">
        <v>246</v>
      </c>
      <c r="G750" s="37" t="s">
        <v>246</v>
      </c>
      <c r="H750" s="32">
        <v>590</v>
      </c>
      <c r="I750" s="32">
        <v>210</v>
      </c>
      <c r="J750" s="32">
        <v>93</v>
      </c>
      <c r="K750" s="32">
        <v>117</v>
      </c>
      <c r="L750" s="32">
        <v>380</v>
      </c>
      <c r="M750" s="32">
        <v>1105</v>
      </c>
      <c r="N750" s="32">
        <v>424</v>
      </c>
      <c r="O750" s="32">
        <v>385</v>
      </c>
      <c r="P750" s="32">
        <v>39</v>
      </c>
      <c r="Q750" s="32">
        <v>681</v>
      </c>
      <c r="R750" s="33">
        <v>35.593220299999999</v>
      </c>
      <c r="S750" s="33">
        <v>15.762711899999999</v>
      </c>
      <c r="T750" s="33">
        <v>19.830508500000001</v>
      </c>
      <c r="U750" s="33">
        <v>64.406779700000001</v>
      </c>
      <c r="V750" s="33">
        <v>38.371040700000002</v>
      </c>
      <c r="W750" s="33">
        <v>34.841628999999998</v>
      </c>
      <c r="X750" s="33">
        <v>3.5294118000000001</v>
      </c>
      <c r="Y750" s="33">
        <v>61.628959299999998</v>
      </c>
    </row>
    <row r="751" spans="2:25" ht="15" hidden="1" customHeight="1">
      <c r="B751" s="25">
        <v>746</v>
      </c>
      <c r="C751" s="26" t="s">
        <v>21</v>
      </c>
      <c r="D751" s="26" t="s">
        <v>216</v>
      </c>
      <c r="E751" s="26" t="s">
        <v>244</v>
      </c>
      <c r="F751" s="26" t="s">
        <v>246</v>
      </c>
      <c r="G751" s="27" t="s">
        <v>15</v>
      </c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9"/>
      <c r="S751" s="29"/>
      <c r="T751" s="29"/>
      <c r="U751" s="29"/>
      <c r="V751" s="29"/>
      <c r="W751" s="29"/>
      <c r="X751" s="29"/>
      <c r="Y751" s="29"/>
    </row>
    <row r="752" spans="2:25" ht="15" hidden="1" customHeight="1">
      <c r="B752" s="25">
        <v>747</v>
      </c>
      <c r="C752" s="26" t="s">
        <v>21</v>
      </c>
      <c r="D752" s="26" t="s">
        <v>216</v>
      </c>
      <c r="E752" s="26" t="s">
        <v>244</v>
      </c>
      <c r="F752" s="26" t="s">
        <v>246</v>
      </c>
      <c r="G752" s="27" t="s">
        <v>16</v>
      </c>
      <c r="H752" s="28">
        <v>590</v>
      </c>
      <c r="I752" s="28">
        <v>210</v>
      </c>
      <c r="J752" s="28">
        <v>93</v>
      </c>
      <c r="K752" s="28">
        <v>117</v>
      </c>
      <c r="L752" s="28">
        <v>380</v>
      </c>
      <c r="M752" s="28">
        <v>1105</v>
      </c>
      <c r="N752" s="28">
        <v>424</v>
      </c>
      <c r="O752" s="28">
        <v>385</v>
      </c>
      <c r="P752" s="28">
        <v>39</v>
      </c>
      <c r="Q752" s="28">
        <v>681</v>
      </c>
      <c r="R752" s="29">
        <v>35.593220299999999</v>
      </c>
      <c r="S752" s="29">
        <v>15.762711899999999</v>
      </c>
      <c r="T752" s="29">
        <v>19.830508500000001</v>
      </c>
      <c r="U752" s="29">
        <v>64.406779700000001</v>
      </c>
      <c r="V752" s="29">
        <v>38.371040700000002</v>
      </c>
      <c r="W752" s="29">
        <v>34.841628999999998</v>
      </c>
      <c r="X752" s="29">
        <v>3.5294118000000001</v>
      </c>
      <c r="Y752" s="29">
        <v>61.628959299999998</v>
      </c>
    </row>
    <row r="753" spans="2:25" ht="15" hidden="1" customHeight="1">
      <c r="B753" s="21">
        <v>748</v>
      </c>
      <c r="C753" s="22" t="s">
        <v>19</v>
      </c>
      <c r="D753" s="35" t="s">
        <v>216</v>
      </c>
      <c r="E753" s="35" t="s">
        <v>247</v>
      </c>
      <c r="F753" s="35"/>
      <c r="G753" s="22" t="s">
        <v>247</v>
      </c>
      <c r="H753" s="23">
        <v>4331</v>
      </c>
      <c r="I753" s="23">
        <v>264</v>
      </c>
      <c r="J753" s="23">
        <v>133</v>
      </c>
      <c r="K753" s="23">
        <v>131</v>
      </c>
      <c r="L753" s="23">
        <v>4067</v>
      </c>
      <c r="M753" s="23">
        <v>4732</v>
      </c>
      <c r="N753" s="23">
        <v>770</v>
      </c>
      <c r="O753" s="23">
        <v>688</v>
      </c>
      <c r="P753" s="23">
        <v>82</v>
      </c>
      <c r="Q753" s="23">
        <v>3962</v>
      </c>
      <c r="R753" s="24">
        <v>6.0955899000000002</v>
      </c>
      <c r="S753" s="24">
        <v>3.0708842999999999</v>
      </c>
      <c r="T753" s="24">
        <v>3.0247055999999999</v>
      </c>
      <c r="U753" s="24">
        <v>93.904410100000007</v>
      </c>
      <c r="V753" s="24">
        <v>16.272189300000001</v>
      </c>
      <c r="W753" s="24">
        <v>14.5393068</v>
      </c>
      <c r="X753" s="24">
        <v>1.7328825000000001</v>
      </c>
      <c r="Y753" s="24">
        <v>83.727810700000006</v>
      </c>
    </row>
    <row r="754" spans="2:25" ht="15" hidden="1" customHeight="1">
      <c r="B754" s="25">
        <v>749</v>
      </c>
      <c r="C754" s="26" t="s">
        <v>19</v>
      </c>
      <c r="D754" s="26" t="s">
        <v>216</v>
      </c>
      <c r="E754" s="26" t="s">
        <v>247</v>
      </c>
      <c r="F754" s="26"/>
      <c r="G754" s="27" t="s">
        <v>15</v>
      </c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9"/>
      <c r="S754" s="29"/>
      <c r="T754" s="29"/>
      <c r="U754" s="29"/>
      <c r="V754" s="29"/>
      <c r="W754" s="29"/>
      <c r="X754" s="29"/>
      <c r="Y754" s="29"/>
    </row>
    <row r="755" spans="2:25" ht="15" hidden="1" customHeight="1">
      <c r="B755" s="25">
        <v>750</v>
      </c>
      <c r="C755" s="26" t="s">
        <v>19</v>
      </c>
      <c r="D755" s="26" t="s">
        <v>216</v>
      </c>
      <c r="E755" s="26" t="s">
        <v>247</v>
      </c>
      <c r="F755" s="26"/>
      <c r="G755" s="27" t="s">
        <v>16</v>
      </c>
      <c r="H755" s="28">
        <v>4331</v>
      </c>
      <c r="I755" s="28">
        <v>264</v>
      </c>
      <c r="J755" s="28">
        <v>133</v>
      </c>
      <c r="K755" s="28">
        <v>131</v>
      </c>
      <c r="L755" s="28">
        <v>4067</v>
      </c>
      <c r="M755" s="28">
        <v>4732</v>
      </c>
      <c r="N755" s="28">
        <v>770</v>
      </c>
      <c r="O755" s="28">
        <v>688</v>
      </c>
      <c r="P755" s="28">
        <v>82</v>
      </c>
      <c r="Q755" s="28">
        <v>3962</v>
      </c>
      <c r="R755" s="29">
        <v>6.0955899000000002</v>
      </c>
      <c r="S755" s="29">
        <v>3.0708842999999999</v>
      </c>
      <c r="T755" s="29">
        <v>3.0247055999999999</v>
      </c>
      <c r="U755" s="29">
        <v>93.904410100000007</v>
      </c>
      <c r="V755" s="29">
        <v>16.272189300000001</v>
      </c>
      <c r="W755" s="29">
        <v>14.5393068</v>
      </c>
      <c r="X755" s="29">
        <v>1.7328825000000001</v>
      </c>
      <c r="Y755" s="29">
        <v>83.727810700000006</v>
      </c>
    </row>
    <row r="756" spans="2:25" ht="15" customHeight="1">
      <c r="B756" s="30">
        <v>751</v>
      </c>
      <c r="C756" s="31" t="s">
        <v>21</v>
      </c>
      <c r="D756" s="36" t="s">
        <v>216</v>
      </c>
      <c r="E756" s="36" t="s">
        <v>247</v>
      </c>
      <c r="F756" s="36" t="s">
        <v>248</v>
      </c>
      <c r="G756" s="37" t="s">
        <v>248</v>
      </c>
      <c r="H756" s="32">
        <v>4331</v>
      </c>
      <c r="I756" s="32">
        <v>264</v>
      </c>
      <c r="J756" s="32">
        <v>133</v>
      </c>
      <c r="K756" s="32">
        <v>131</v>
      </c>
      <c r="L756" s="32">
        <v>4067</v>
      </c>
      <c r="M756" s="32">
        <v>4732</v>
      </c>
      <c r="N756" s="32">
        <v>770</v>
      </c>
      <c r="O756" s="32">
        <v>688</v>
      </c>
      <c r="P756" s="32">
        <v>82</v>
      </c>
      <c r="Q756" s="32">
        <v>3962</v>
      </c>
      <c r="R756" s="33">
        <v>6.0955899000000002</v>
      </c>
      <c r="S756" s="33">
        <v>3.0708842999999999</v>
      </c>
      <c r="T756" s="33">
        <v>3.0247055999999999</v>
      </c>
      <c r="U756" s="33">
        <v>93.904410100000007</v>
      </c>
      <c r="V756" s="33">
        <v>16.272189300000001</v>
      </c>
      <c r="W756" s="33">
        <v>14.5393068</v>
      </c>
      <c r="X756" s="33">
        <v>1.7328825000000001</v>
      </c>
      <c r="Y756" s="33">
        <v>83.727810700000006</v>
      </c>
    </row>
    <row r="757" spans="2:25" ht="15" hidden="1" customHeight="1">
      <c r="B757" s="25">
        <v>752</v>
      </c>
      <c r="C757" s="26" t="s">
        <v>21</v>
      </c>
      <c r="D757" s="26" t="s">
        <v>216</v>
      </c>
      <c r="E757" s="26" t="s">
        <v>247</v>
      </c>
      <c r="F757" s="26" t="s">
        <v>248</v>
      </c>
      <c r="G757" s="27" t="s">
        <v>15</v>
      </c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9"/>
      <c r="S757" s="29"/>
      <c r="T757" s="29"/>
      <c r="U757" s="29"/>
      <c r="V757" s="29"/>
      <c r="W757" s="29"/>
      <c r="X757" s="29"/>
      <c r="Y757" s="29"/>
    </row>
    <row r="758" spans="2:25" ht="15" hidden="1" customHeight="1">
      <c r="B758" s="25">
        <v>753</v>
      </c>
      <c r="C758" s="26" t="s">
        <v>21</v>
      </c>
      <c r="D758" s="26" t="s">
        <v>216</v>
      </c>
      <c r="E758" s="26" t="s">
        <v>247</v>
      </c>
      <c r="F758" s="26" t="s">
        <v>248</v>
      </c>
      <c r="G758" s="27" t="s">
        <v>16</v>
      </c>
      <c r="H758" s="28">
        <v>4331</v>
      </c>
      <c r="I758" s="28">
        <v>264</v>
      </c>
      <c r="J758" s="28">
        <v>133</v>
      </c>
      <c r="K758" s="28">
        <v>131</v>
      </c>
      <c r="L758" s="28">
        <v>4067</v>
      </c>
      <c r="M758" s="28">
        <v>4732</v>
      </c>
      <c r="N758" s="28">
        <v>770</v>
      </c>
      <c r="O758" s="28">
        <v>688</v>
      </c>
      <c r="P758" s="28">
        <v>82</v>
      </c>
      <c r="Q758" s="28">
        <v>3962</v>
      </c>
      <c r="R758" s="29">
        <v>6.0955899000000002</v>
      </c>
      <c r="S758" s="29">
        <v>3.0708842999999999</v>
      </c>
      <c r="T758" s="29">
        <v>3.0247055999999999</v>
      </c>
      <c r="U758" s="29">
        <v>93.904410100000007</v>
      </c>
      <c r="V758" s="29">
        <v>16.272189300000001</v>
      </c>
      <c r="W758" s="29">
        <v>14.5393068</v>
      </c>
      <c r="X758" s="29">
        <v>1.7328825000000001</v>
      </c>
      <c r="Y758" s="29">
        <v>83.727810700000006</v>
      </c>
    </row>
    <row r="759" spans="2:25" ht="15" hidden="1" customHeight="1">
      <c r="B759" s="21">
        <v>754</v>
      </c>
      <c r="C759" s="22" t="s">
        <v>19</v>
      </c>
      <c r="D759" s="35" t="s">
        <v>216</v>
      </c>
      <c r="E759" s="35" t="s">
        <v>249</v>
      </c>
      <c r="F759" s="35"/>
      <c r="G759" s="22" t="s">
        <v>249</v>
      </c>
      <c r="H759" s="23">
        <v>1898</v>
      </c>
      <c r="I759" s="23">
        <v>362</v>
      </c>
      <c r="J759" s="23">
        <v>137</v>
      </c>
      <c r="K759" s="23">
        <v>225</v>
      </c>
      <c r="L759" s="23">
        <v>1536</v>
      </c>
      <c r="M759" s="23">
        <v>1936</v>
      </c>
      <c r="N759" s="23">
        <v>836</v>
      </c>
      <c r="O759" s="23">
        <v>691</v>
      </c>
      <c r="P759" s="23">
        <v>145</v>
      </c>
      <c r="Q759" s="23">
        <v>1100</v>
      </c>
      <c r="R759" s="24">
        <v>19.0727081</v>
      </c>
      <c r="S759" s="24">
        <v>7.2181243000000004</v>
      </c>
      <c r="T759" s="24">
        <v>11.8545838</v>
      </c>
      <c r="U759" s="24">
        <v>80.9272919</v>
      </c>
      <c r="V759" s="24">
        <v>43.181818200000002</v>
      </c>
      <c r="W759" s="24">
        <v>35.692148799999998</v>
      </c>
      <c r="X759" s="24">
        <v>7.4896694000000004</v>
      </c>
      <c r="Y759" s="24">
        <v>56.818181799999998</v>
      </c>
    </row>
    <row r="760" spans="2:25" ht="15" hidden="1" customHeight="1">
      <c r="B760" s="25">
        <v>755</v>
      </c>
      <c r="C760" s="26" t="s">
        <v>19</v>
      </c>
      <c r="D760" s="26" t="s">
        <v>216</v>
      </c>
      <c r="E760" s="26" t="s">
        <v>249</v>
      </c>
      <c r="F760" s="26"/>
      <c r="G760" s="27" t="s">
        <v>15</v>
      </c>
      <c r="H760" s="28">
        <v>1015</v>
      </c>
      <c r="I760" s="28">
        <v>285</v>
      </c>
      <c r="J760" s="28">
        <v>106</v>
      </c>
      <c r="K760" s="28">
        <v>179</v>
      </c>
      <c r="L760" s="28">
        <v>730</v>
      </c>
      <c r="M760" s="28">
        <v>873</v>
      </c>
      <c r="N760" s="28">
        <v>507</v>
      </c>
      <c r="O760" s="28">
        <v>449</v>
      </c>
      <c r="P760" s="28">
        <v>58</v>
      </c>
      <c r="Q760" s="28">
        <v>366</v>
      </c>
      <c r="R760" s="29">
        <v>28.078817699999998</v>
      </c>
      <c r="S760" s="29">
        <v>10.4433498</v>
      </c>
      <c r="T760" s="29">
        <v>17.635467999999999</v>
      </c>
      <c r="U760" s="29">
        <v>71.921182299999998</v>
      </c>
      <c r="V760" s="29">
        <v>58.075601399999996</v>
      </c>
      <c r="W760" s="29">
        <v>51.4318442</v>
      </c>
      <c r="X760" s="29">
        <v>6.6437571999999996</v>
      </c>
      <c r="Y760" s="29">
        <v>41.924398600000004</v>
      </c>
    </row>
    <row r="761" spans="2:25" ht="15" hidden="1" customHeight="1">
      <c r="B761" s="25">
        <v>756</v>
      </c>
      <c r="C761" s="26" t="s">
        <v>19</v>
      </c>
      <c r="D761" s="26" t="s">
        <v>216</v>
      </c>
      <c r="E761" s="26" t="s">
        <v>249</v>
      </c>
      <c r="F761" s="26"/>
      <c r="G761" s="27" t="s">
        <v>16</v>
      </c>
      <c r="H761" s="28">
        <v>883</v>
      </c>
      <c r="I761" s="28">
        <v>77</v>
      </c>
      <c r="J761" s="28">
        <v>31</v>
      </c>
      <c r="K761" s="28">
        <v>46</v>
      </c>
      <c r="L761" s="28">
        <v>806</v>
      </c>
      <c r="M761" s="28">
        <v>1063</v>
      </c>
      <c r="N761" s="28">
        <v>329</v>
      </c>
      <c r="O761" s="28">
        <v>242</v>
      </c>
      <c r="P761" s="28">
        <v>87</v>
      </c>
      <c r="Q761" s="28">
        <v>734</v>
      </c>
      <c r="R761" s="29">
        <v>8.7202718000000008</v>
      </c>
      <c r="S761" s="29">
        <v>3.5107588000000001</v>
      </c>
      <c r="T761" s="29">
        <v>5.2095130000000003</v>
      </c>
      <c r="U761" s="29">
        <v>91.279728199999994</v>
      </c>
      <c r="V761" s="29">
        <v>30.9501411</v>
      </c>
      <c r="W761" s="29">
        <v>22.765757300000001</v>
      </c>
      <c r="X761" s="29">
        <v>8.1843838000000009</v>
      </c>
      <c r="Y761" s="29">
        <v>69.049858900000004</v>
      </c>
    </row>
    <row r="762" spans="2:25" ht="15" customHeight="1">
      <c r="B762" s="30">
        <v>757</v>
      </c>
      <c r="C762" s="31" t="s">
        <v>21</v>
      </c>
      <c r="D762" s="36" t="s">
        <v>216</v>
      </c>
      <c r="E762" s="36" t="s">
        <v>249</v>
      </c>
      <c r="F762" s="36" t="s">
        <v>250</v>
      </c>
      <c r="G762" s="37" t="s">
        <v>250</v>
      </c>
      <c r="H762" s="32">
        <v>1898</v>
      </c>
      <c r="I762" s="32">
        <v>362</v>
      </c>
      <c r="J762" s="32">
        <v>137</v>
      </c>
      <c r="K762" s="32">
        <v>225</v>
      </c>
      <c r="L762" s="32">
        <v>1536</v>
      </c>
      <c r="M762" s="32">
        <v>1936</v>
      </c>
      <c r="N762" s="32">
        <v>836</v>
      </c>
      <c r="O762" s="32">
        <v>691</v>
      </c>
      <c r="P762" s="32">
        <v>145</v>
      </c>
      <c r="Q762" s="32">
        <v>1100</v>
      </c>
      <c r="R762" s="33">
        <v>19.0727081</v>
      </c>
      <c r="S762" s="33">
        <v>7.2181243000000004</v>
      </c>
      <c r="T762" s="33">
        <v>11.8545838</v>
      </c>
      <c r="U762" s="33">
        <v>80.9272919</v>
      </c>
      <c r="V762" s="33">
        <v>43.181818200000002</v>
      </c>
      <c r="W762" s="33">
        <v>35.692148799999998</v>
      </c>
      <c r="X762" s="33">
        <v>7.4896694000000004</v>
      </c>
      <c r="Y762" s="33">
        <v>56.818181799999998</v>
      </c>
    </row>
    <row r="763" spans="2:25" ht="15" hidden="1" customHeight="1">
      <c r="B763" s="25">
        <v>758</v>
      </c>
      <c r="C763" s="26" t="s">
        <v>21</v>
      </c>
      <c r="D763" s="26" t="s">
        <v>216</v>
      </c>
      <c r="E763" s="26" t="s">
        <v>249</v>
      </c>
      <c r="F763" s="26" t="s">
        <v>250</v>
      </c>
      <c r="G763" s="27" t="s">
        <v>15</v>
      </c>
      <c r="H763" s="28">
        <v>1015</v>
      </c>
      <c r="I763" s="28">
        <v>285</v>
      </c>
      <c r="J763" s="28">
        <v>106</v>
      </c>
      <c r="K763" s="28">
        <v>179</v>
      </c>
      <c r="L763" s="28">
        <v>730</v>
      </c>
      <c r="M763" s="28">
        <v>873</v>
      </c>
      <c r="N763" s="28">
        <v>507</v>
      </c>
      <c r="O763" s="28">
        <v>449</v>
      </c>
      <c r="P763" s="28">
        <v>58</v>
      </c>
      <c r="Q763" s="28">
        <v>366</v>
      </c>
      <c r="R763" s="29">
        <v>28.078817699999998</v>
      </c>
      <c r="S763" s="29">
        <v>10.4433498</v>
      </c>
      <c r="T763" s="29">
        <v>17.635467999999999</v>
      </c>
      <c r="U763" s="29">
        <v>71.921182299999998</v>
      </c>
      <c r="V763" s="29">
        <v>58.075601399999996</v>
      </c>
      <c r="W763" s="29">
        <v>51.4318442</v>
      </c>
      <c r="X763" s="29">
        <v>6.6437571999999996</v>
      </c>
      <c r="Y763" s="29">
        <v>41.924398600000004</v>
      </c>
    </row>
    <row r="764" spans="2:25" ht="15" hidden="1" customHeight="1">
      <c r="B764" s="25">
        <v>759</v>
      </c>
      <c r="C764" s="26" t="s">
        <v>21</v>
      </c>
      <c r="D764" s="26" t="s">
        <v>216</v>
      </c>
      <c r="E764" s="26" t="s">
        <v>249</v>
      </c>
      <c r="F764" s="26" t="s">
        <v>250</v>
      </c>
      <c r="G764" s="27" t="s">
        <v>16</v>
      </c>
      <c r="H764" s="28">
        <v>883</v>
      </c>
      <c r="I764" s="28">
        <v>77</v>
      </c>
      <c r="J764" s="28">
        <v>31</v>
      </c>
      <c r="K764" s="28">
        <v>46</v>
      </c>
      <c r="L764" s="28">
        <v>806</v>
      </c>
      <c r="M764" s="28">
        <v>1063</v>
      </c>
      <c r="N764" s="28">
        <v>329</v>
      </c>
      <c r="O764" s="28">
        <v>242</v>
      </c>
      <c r="P764" s="28">
        <v>87</v>
      </c>
      <c r="Q764" s="28">
        <v>734</v>
      </c>
      <c r="R764" s="29">
        <v>8.7202718000000008</v>
      </c>
      <c r="S764" s="29">
        <v>3.5107588000000001</v>
      </c>
      <c r="T764" s="29">
        <v>5.2095130000000003</v>
      </c>
      <c r="U764" s="29">
        <v>91.279728199999994</v>
      </c>
      <c r="V764" s="29">
        <v>30.9501411</v>
      </c>
      <c r="W764" s="29">
        <v>22.765757300000001</v>
      </c>
      <c r="X764" s="29">
        <v>8.1843838000000009</v>
      </c>
      <c r="Y764" s="29">
        <v>69.049858900000004</v>
      </c>
    </row>
    <row r="765" spans="2:25" ht="15" hidden="1" customHeight="1">
      <c r="B765" s="21">
        <v>760</v>
      </c>
      <c r="C765" s="22" t="s">
        <v>19</v>
      </c>
      <c r="D765" s="35" t="s">
        <v>216</v>
      </c>
      <c r="E765" s="35" t="s">
        <v>251</v>
      </c>
      <c r="F765" s="35"/>
      <c r="G765" s="22" t="s">
        <v>251</v>
      </c>
      <c r="H765" s="23">
        <v>2720</v>
      </c>
      <c r="I765" s="23">
        <v>138</v>
      </c>
      <c r="J765" s="23">
        <v>80</v>
      </c>
      <c r="K765" s="23">
        <v>58</v>
      </c>
      <c r="L765" s="23">
        <v>2582</v>
      </c>
      <c r="M765" s="23">
        <v>3384</v>
      </c>
      <c r="N765" s="23">
        <v>1094</v>
      </c>
      <c r="O765" s="23">
        <v>874</v>
      </c>
      <c r="P765" s="23">
        <v>220</v>
      </c>
      <c r="Q765" s="23">
        <v>2290</v>
      </c>
      <c r="R765" s="24">
        <v>5.0735294</v>
      </c>
      <c r="S765" s="24">
        <v>2.9411765000000001</v>
      </c>
      <c r="T765" s="24">
        <v>2.1323528999999999</v>
      </c>
      <c r="U765" s="24">
        <v>94.926470600000002</v>
      </c>
      <c r="V765" s="24">
        <v>32.328605199999998</v>
      </c>
      <c r="W765" s="24">
        <v>25.827423199999998</v>
      </c>
      <c r="X765" s="24">
        <v>6.501182</v>
      </c>
      <c r="Y765" s="24">
        <v>67.671394800000002</v>
      </c>
    </row>
    <row r="766" spans="2:25" ht="15" hidden="1" customHeight="1">
      <c r="B766" s="25">
        <v>761</v>
      </c>
      <c r="C766" s="26" t="s">
        <v>19</v>
      </c>
      <c r="D766" s="26" t="s">
        <v>216</v>
      </c>
      <c r="E766" s="26" t="s">
        <v>251</v>
      </c>
      <c r="F766" s="26"/>
      <c r="G766" s="27" t="s">
        <v>15</v>
      </c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9"/>
      <c r="S766" s="29"/>
      <c r="T766" s="29"/>
      <c r="U766" s="29"/>
      <c r="V766" s="29"/>
      <c r="W766" s="29"/>
      <c r="X766" s="29"/>
      <c r="Y766" s="29"/>
    </row>
    <row r="767" spans="2:25" ht="15" hidden="1" customHeight="1">
      <c r="B767" s="25">
        <v>762</v>
      </c>
      <c r="C767" s="26" t="s">
        <v>19</v>
      </c>
      <c r="D767" s="26" t="s">
        <v>216</v>
      </c>
      <c r="E767" s="26" t="s">
        <v>251</v>
      </c>
      <c r="F767" s="26"/>
      <c r="G767" s="27" t="s">
        <v>16</v>
      </c>
      <c r="H767" s="28">
        <v>2720</v>
      </c>
      <c r="I767" s="28">
        <v>138</v>
      </c>
      <c r="J767" s="28">
        <v>80</v>
      </c>
      <c r="K767" s="28">
        <v>58</v>
      </c>
      <c r="L767" s="28">
        <v>2582</v>
      </c>
      <c r="M767" s="28">
        <v>3384</v>
      </c>
      <c r="N767" s="28">
        <v>1094</v>
      </c>
      <c r="O767" s="28">
        <v>874</v>
      </c>
      <c r="P767" s="28">
        <v>220</v>
      </c>
      <c r="Q767" s="28">
        <v>2290</v>
      </c>
      <c r="R767" s="29">
        <v>5.0735294</v>
      </c>
      <c r="S767" s="29">
        <v>2.9411765000000001</v>
      </c>
      <c r="T767" s="29">
        <v>2.1323528999999999</v>
      </c>
      <c r="U767" s="29">
        <v>94.926470600000002</v>
      </c>
      <c r="V767" s="29">
        <v>32.328605199999998</v>
      </c>
      <c r="W767" s="29">
        <v>25.827423199999998</v>
      </c>
      <c r="X767" s="29">
        <v>6.501182</v>
      </c>
      <c r="Y767" s="29">
        <v>67.671394800000002</v>
      </c>
    </row>
    <row r="768" spans="2:25" ht="15" customHeight="1">
      <c r="B768" s="30">
        <v>763</v>
      </c>
      <c r="C768" s="31" t="s">
        <v>21</v>
      </c>
      <c r="D768" s="36" t="s">
        <v>216</v>
      </c>
      <c r="E768" s="36" t="s">
        <v>251</v>
      </c>
      <c r="F768" s="36" t="s">
        <v>252</v>
      </c>
      <c r="G768" s="37" t="s">
        <v>252</v>
      </c>
      <c r="H768" s="32">
        <v>1992</v>
      </c>
      <c r="I768" s="32">
        <v>119</v>
      </c>
      <c r="J768" s="32">
        <v>66</v>
      </c>
      <c r="K768" s="32">
        <v>53</v>
      </c>
      <c r="L768" s="32">
        <v>1873</v>
      </c>
      <c r="M768" s="32">
        <v>2285</v>
      </c>
      <c r="N768" s="32">
        <v>665</v>
      </c>
      <c r="O768" s="32">
        <v>559</v>
      </c>
      <c r="P768" s="32">
        <v>106</v>
      </c>
      <c r="Q768" s="32">
        <v>1620</v>
      </c>
      <c r="R768" s="33">
        <v>5.9738955999999996</v>
      </c>
      <c r="S768" s="33">
        <v>3.313253</v>
      </c>
      <c r="T768" s="33">
        <v>2.6606426000000001</v>
      </c>
      <c r="U768" s="33">
        <v>94.026104399999994</v>
      </c>
      <c r="V768" s="33">
        <v>29.102844600000001</v>
      </c>
      <c r="W768" s="33">
        <v>24.463895000000001</v>
      </c>
      <c r="X768" s="33">
        <v>4.6389497000000004</v>
      </c>
      <c r="Y768" s="33">
        <v>70.897155400000003</v>
      </c>
    </row>
    <row r="769" spans="2:25" ht="15" hidden="1" customHeight="1">
      <c r="B769" s="25">
        <v>764</v>
      </c>
      <c r="C769" s="26" t="s">
        <v>21</v>
      </c>
      <c r="D769" s="26" t="s">
        <v>216</v>
      </c>
      <c r="E769" s="26" t="s">
        <v>251</v>
      </c>
      <c r="F769" s="26" t="s">
        <v>252</v>
      </c>
      <c r="G769" s="27" t="s">
        <v>15</v>
      </c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9"/>
      <c r="S769" s="29"/>
      <c r="T769" s="29"/>
      <c r="U769" s="29"/>
      <c r="V769" s="29"/>
      <c r="W769" s="29"/>
      <c r="X769" s="29"/>
      <c r="Y769" s="29"/>
    </row>
    <row r="770" spans="2:25" ht="15" hidden="1" customHeight="1">
      <c r="B770" s="25">
        <v>765</v>
      </c>
      <c r="C770" s="26" t="s">
        <v>21</v>
      </c>
      <c r="D770" s="26" t="s">
        <v>216</v>
      </c>
      <c r="E770" s="26" t="s">
        <v>251</v>
      </c>
      <c r="F770" s="26" t="s">
        <v>252</v>
      </c>
      <c r="G770" s="27" t="s">
        <v>16</v>
      </c>
      <c r="H770" s="28">
        <v>1992</v>
      </c>
      <c r="I770" s="28">
        <v>119</v>
      </c>
      <c r="J770" s="28">
        <v>66</v>
      </c>
      <c r="K770" s="28">
        <v>53</v>
      </c>
      <c r="L770" s="28">
        <v>1873</v>
      </c>
      <c r="M770" s="28">
        <v>2285</v>
      </c>
      <c r="N770" s="28">
        <v>665</v>
      </c>
      <c r="O770" s="28">
        <v>559</v>
      </c>
      <c r="P770" s="28">
        <v>106</v>
      </c>
      <c r="Q770" s="28">
        <v>1620</v>
      </c>
      <c r="R770" s="29">
        <v>5.9738955999999996</v>
      </c>
      <c r="S770" s="29">
        <v>3.313253</v>
      </c>
      <c r="T770" s="29">
        <v>2.6606426000000001</v>
      </c>
      <c r="U770" s="29">
        <v>94.026104399999994</v>
      </c>
      <c r="V770" s="29">
        <v>29.102844600000001</v>
      </c>
      <c r="W770" s="29">
        <v>24.463895000000001</v>
      </c>
      <c r="X770" s="29">
        <v>4.6389497000000004</v>
      </c>
      <c r="Y770" s="29">
        <v>70.897155400000003</v>
      </c>
    </row>
    <row r="771" spans="2:25" ht="15" customHeight="1">
      <c r="B771" s="30">
        <v>766</v>
      </c>
      <c r="C771" s="31" t="s">
        <v>21</v>
      </c>
      <c r="D771" s="36" t="s">
        <v>216</v>
      </c>
      <c r="E771" s="36" t="s">
        <v>251</v>
      </c>
      <c r="F771" s="36" t="s">
        <v>253</v>
      </c>
      <c r="G771" s="37" t="s">
        <v>253</v>
      </c>
      <c r="H771" s="32">
        <v>728</v>
      </c>
      <c r="I771" s="32">
        <v>19</v>
      </c>
      <c r="J771" s="32">
        <v>14</v>
      </c>
      <c r="K771" s="32">
        <v>5</v>
      </c>
      <c r="L771" s="32">
        <v>709</v>
      </c>
      <c r="M771" s="32">
        <v>1099</v>
      </c>
      <c r="N771" s="32">
        <v>429</v>
      </c>
      <c r="O771" s="32">
        <v>315</v>
      </c>
      <c r="P771" s="32">
        <v>114</v>
      </c>
      <c r="Q771" s="32">
        <v>670</v>
      </c>
      <c r="R771" s="33">
        <v>2.6098900999999999</v>
      </c>
      <c r="S771" s="33">
        <v>1.9230769000000001</v>
      </c>
      <c r="T771" s="33">
        <v>0.68681320000000001</v>
      </c>
      <c r="U771" s="33">
        <v>97.390109899999999</v>
      </c>
      <c r="V771" s="33">
        <v>39.035486800000001</v>
      </c>
      <c r="W771" s="33">
        <v>28.662420399999998</v>
      </c>
      <c r="X771" s="33">
        <v>10.373066400000001</v>
      </c>
      <c r="Y771" s="33">
        <v>60.964513199999999</v>
      </c>
    </row>
    <row r="772" spans="2:25" ht="15" hidden="1" customHeight="1">
      <c r="B772" s="25">
        <v>767</v>
      </c>
      <c r="C772" s="26" t="s">
        <v>21</v>
      </c>
      <c r="D772" s="26" t="s">
        <v>216</v>
      </c>
      <c r="E772" s="26" t="s">
        <v>251</v>
      </c>
      <c r="F772" s="26" t="s">
        <v>253</v>
      </c>
      <c r="G772" s="27" t="s">
        <v>15</v>
      </c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9"/>
      <c r="S772" s="29"/>
      <c r="T772" s="29"/>
      <c r="U772" s="29"/>
      <c r="V772" s="29"/>
      <c r="W772" s="29"/>
      <c r="X772" s="29"/>
      <c r="Y772" s="29"/>
    </row>
    <row r="773" spans="2:25" ht="15" hidden="1" customHeight="1">
      <c r="B773" s="25">
        <v>768</v>
      </c>
      <c r="C773" s="26" t="s">
        <v>21</v>
      </c>
      <c r="D773" s="26" t="s">
        <v>216</v>
      </c>
      <c r="E773" s="26" t="s">
        <v>251</v>
      </c>
      <c r="F773" s="26" t="s">
        <v>253</v>
      </c>
      <c r="G773" s="27" t="s">
        <v>16</v>
      </c>
      <c r="H773" s="28">
        <v>728</v>
      </c>
      <c r="I773" s="28">
        <v>19</v>
      </c>
      <c r="J773" s="28">
        <v>14</v>
      </c>
      <c r="K773" s="28">
        <v>5</v>
      </c>
      <c r="L773" s="28">
        <v>709</v>
      </c>
      <c r="M773" s="28">
        <v>1099</v>
      </c>
      <c r="N773" s="28">
        <v>429</v>
      </c>
      <c r="O773" s="28">
        <v>315</v>
      </c>
      <c r="P773" s="28">
        <v>114</v>
      </c>
      <c r="Q773" s="28">
        <v>670</v>
      </c>
      <c r="R773" s="29">
        <v>2.6098900999999999</v>
      </c>
      <c r="S773" s="29">
        <v>1.9230769000000001</v>
      </c>
      <c r="T773" s="29">
        <v>0.68681320000000001</v>
      </c>
      <c r="U773" s="29">
        <v>97.390109899999999</v>
      </c>
      <c r="V773" s="29">
        <v>39.035486800000001</v>
      </c>
      <c r="W773" s="29">
        <v>28.662420399999998</v>
      </c>
      <c r="X773" s="29">
        <v>10.373066400000001</v>
      </c>
      <c r="Y773" s="29">
        <v>60.964513199999999</v>
      </c>
    </row>
    <row r="774" spans="2:25" ht="15" hidden="1" customHeight="1">
      <c r="B774" s="21">
        <v>769</v>
      </c>
      <c r="C774" s="22" t="s">
        <v>19</v>
      </c>
      <c r="D774" s="35" t="s">
        <v>216</v>
      </c>
      <c r="E774" s="35" t="s">
        <v>254</v>
      </c>
      <c r="F774" s="35"/>
      <c r="G774" s="22" t="s">
        <v>254</v>
      </c>
      <c r="H774" s="23">
        <v>1886</v>
      </c>
      <c r="I774" s="23">
        <v>239</v>
      </c>
      <c r="J774" s="23">
        <v>128</v>
      </c>
      <c r="K774" s="23">
        <v>111</v>
      </c>
      <c r="L774" s="23">
        <v>1647</v>
      </c>
      <c r="M774" s="23">
        <v>2648</v>
      </c>
      <c r="N774" s="23">
        <v>762</v>
      </c>
      <c r="O774" s="23">
        <v>514</v>
      </c>
      <c r="P774" s="23">
        <v>248</v>
      </c>
      <c r="Q774" s="23">
        <v>1886</v>
      </c>
      <c r="R774" s="24">
        <v>12.672322400000001</v>
      </c>
      <c r="S774" s="24">
        <v>6.7868504999999999</v>
      </c>
      <c r="T774" s="24">
        <v>5.8854718999999998</v>
      </c>
      <c r="U774" s="24">
        <v>87.327677600000001</v>
      </c>
      <c r="V774" s="24">
        <v>28.776434999999999</v>
      </c>
      <c r="W774" s="24">
        <v>19.410876099999999</v>
      </c>
      <c r="X774" s="24">
        <v>9.3655588999999999</v>
      </c>
      <c r="Y774" s="24">
        <v>71.223564999999994</v>
      </c>
    </row>
    <row r="775" spans="2:25" ht="15" hidden="1" customHeight="1">
      <c r="B775" s="25">
        <v>770</v>
      </c>
      <c r="C775" s="26" t="s">
        <v>19</v>
      </c>
      <c r="D775" s="26" t="s">
        <v>216</v>
      </c>
      <c r="E775" s="26" t="s">
        <v>254</v>
      </c>
      <c r="F775" s="26"/>
      <c r="G775" s="27" t="s">
        <v>15</v>
      </c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9"/>
      <c r="S775" s="29"/>
      <c r="T775" s="29"/>
      <c r="U775" s="29"/>
      <c r="V775" s="29"/>
      <c r="W775" s="29"/>
      <c r="X775" s="29"/>
      <c r="Y775" s="29"/>
    </row>
    <row r="776" spans="2:25" ht="15" hidden="1" customHeight="1">
      <c r="B776" s="25">
        <v>771</v>
      </c>
      <c r="C776" s="26" t="s">
        <v>19</v>
      </c>
      <c r="D776" s="26" t="s">
        <v>216</v>
      </c>
      <c r="E776" s="26" t="s">
        <v>254</v>
      </c>
      <c r="F776" s="26"/>
      <c r="G776" s="27" t="s">
        <v>16</v>
      </c>
      <c r="H776" s="28">
        <v>1886</v>
      </c>
      <c r="I776" s="28">
        <v>239</v>
      </c>
      <c r="J776" s="28">
        <v>128</v>
      </c>
      <c r="K776" s="28">
        <v>111</v>
      </c>
      <c r="L776" s="28">
        <v>1647</v>
      </c>
      <c r="M776" s="28">
        <v>2648</v>
      </c>
      <c r="N776" s="28">
        <v>762</v>
      </c>
      <c r="O776" s="28">
        <v>514</v>
      </c>
      <c r="P776" s="28">
        <v>248</v>
      </c>
      <c r="Q776" s="28">
        <v>1886</v>
      </c>
      <c r="R776" s="29">
        <v>12.672322400000001</v>
      </c>
      <c r="S776" s="29">
        <v>6.7868504999999999</v>
      </c>
      <c r="T776" s="29">
        <v>5.8854718999999998</v>
      </c>
      <c r="U776" s="29">
        <v>87.327677600000001</v>
      </c>
      <c r="V776" s="29">
        <v>28.776434999999999</v>
      </c>
      <c r="W776" s="29">
        <v>19.410876099999999</v>
      </c>
      <c r="X776" s="29">
        <v>9.3655588999999999</v>
      </c>
      <c r="Y776" s="29">
        <v>71.223564999999994</v>
      </c>
    </row>
    <row r="777" spans="2:25" ht="15" customHeight="1">
      <c r="B777" s="30">
        <v>772</v>
      </c>
      <c r="C777" s="31" t="s">
        <v>21</v>
      </c>
      <c r="D777" s="36" t="s">
        <v>216</v>
      </c>
      <c r="E777" s="36" t="s">
        <v>254</v>
      </c>
      <c r="F777" s="36" t="s">
        <v>198</v>
      </c>
      <c r="G777" s="37" t="s">
        <v>198</v>
      </c>
      <c r="H777" s="32">
        <v>1886</v>
      </c>
      <c r="I777" s="32">
        <v>239</v>
      </c>
      <c r="J777" s="32">
        <v>128</v>
      </c>
      <c r="K777" s="32">
        <v>111</v>
      </c>
      <c r="L777" s="32">
        <v>1647</v>
      </c>
      <c r="M777" s="32">
        <v>2648</v>
      </c>
      <c r="N777" s="32">
        <v>762</v>
      </c>
      <c r="O777" s="32">
        <v>514</v>
      </c>
      <c r="P777" s="32">
        <v>248</v>
      </c>
      <c r="Q777" s="32">
        <v>1886</v>
      </c>
      <c r="R777" s="33">
        <v>12.672322400000001</v>
      </c>
      <c r="S777" s="33">
        <v>6.7868504999999999</v>
      </c>
      <c r="T777" s="33">
        <v>5.8854718999999998</v>
      </c>
      <c r="U777" s="33">
        <v>87.327677600000001</v>
      </c>
      <c r="V777" s="33">
        <v>28.776434999999999</v>
      </c>
      <c r="W777" s="33">
        <v>19.410876099999999</v>
      </c>
      <c r="X777" s="33">
        <v>9.3655588999999999</v>
      </c>
      <c r="Y777" s="33">
        <v>71.223564999999994</v>
      </c>
    </row>
    <row r="778" spans="2:25" ht="15" hidden="1" customHeight="1">
      <c r="B778" s="25">
        <v>773</v>
      </c>
      <c r="C778" s="26" t="s">
        <v>21</v>
      </c>
      <c r="D778" s="26" t="s">
        <v>216</v>
      </c>
      <c r="E778" s="26" t="s">
        <v>254</v>
      </c>
      <c r="F778" s="26" t="s">
        <v>198</v>
      </c>
      <c r="G778" s="27" t="s">
        <v>15</v>
      </c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9"/>
      <c r="S778" s="29"/>
      <c r="T778" s="29"/>
      <c r="U778" s="29"/>
      <c r="V778" s="29"/>
      <c r="W778" s="29"/>
      <c r="X778" s="29"/>
      <c r="Y778" s="29"/>
    </row>
    <row r="779" spans="2:25" ht="15" hidden="1" customHeight="1">
      <c r="B779" s="25">
        <v>774</v>
      </c>
      <c r="C779" s="26" t="s">
        <v>21</v>
      </c>
      <c r="D779" s="26" t="s">
        <v>216</v>
      </c>
      <c r="E779" s="26" t="s">
        <v>254</v>
      </c>
      <c r="F779" s="26" t="s">
        <v>198</v>
      </c>
      <c r="G779" s="27" t="s">
        <v>16</v>
      </c>
      <c r="H779" s="28">
        <v>1886</v>
      </c>
      <c r="I779" s="28">
        <v>239</v>
      </c>
      <c r="J779" s="28">
        <v>128</v>
      </c>
      <c r="K779" s="28">
        <v>111</v>
      </c>
      <c r="L779" s="28">
        <v>1647</v>
      </c>
      <c r="M779" s="28">
        <v>2648</v>
      </c>
      <c r="N779" s="28">
        <v>762</v>
      </c>
      <c r="O779" s="28">
        <v>514</v>
      </c>
      <c r="P779" s="28">
        <v>248</v>
      </c>
      <c r="Q779" s="28">
        <v>1886</v>
      </c>
      <c r="R779" s="29">
        <v>12.672322400000001</v>
      </c>
      <c r="S779" s="29">
        <v>6.7868504999999999</v>
      </c>
      <c r="T779" s="29">
        <v>5.8854718999999998</v>
      </c>
      <c r="U779" s="29">
        <v>87.327677600000001</v>
      </c>
      <c r="V779" s="29">
        <v>28.776434999999999</v>
      </c>
      <c r="W779" s="29">
        <v>19.410876099999999</v>
      </c>
      <c r="X779" s="29">
        <v>9.3655588999999999</v>
      </c>
      <c r="Y779" s="29">
        <v>71.223564999999994</v>
      </c>
    </row>
    <row r="780" spans="2:25" ht="15" hidden="1" customHeight="1">
      <c r="B780" s="21">
        <v>775</v>
      </c>
      <c r="C780" s="22" t="s">
        <v>19</v>
      </c>
      <c r="D780" s="35" t="s">
        <v>216</v>
      </c>
      <c r="E780" s="35" t="s">
        <v>255</v>
      </c>
      <c r="F780" s="35"/>
      <c r="G780" s="22" t="s">
        <v>255</v>
      </c>
      <c r="H780" s="23">
        <v>4302</v>
      </c>
      <c r="I780" s="23">
        <v>928</v>
      </c>
      <c r="J780" s="23">
        <v>491</v>
      </c>
      <c r="K780" s="23">
        <v>437</v>
      </c>
      <c r="L780" s="23">
        <v>3374</v>
      </c>
      <c r="M780" s="23">
        <v>4639</v>
      </c>
      <c r="N780" s="23">
        <v>1661</v>
      </c>
      <c r="O780" s="23">
        <v>1350</v>
      </c>
      <c r="P780" s="23">
        <v>311</v>
      </c>
      <c r="Q780" s="23">
        <v>2978</v>
      </c>
      <c r="R780" s="24">
        <v>21.571362199999999</v>
      </c>
      <c r="S780" s="24">
        <v>11.4132961</v>
      </c>
      <c r="T780" s="24">
        <v>10.158066</v>
      </c>
      <c r="U780" s="24">
        <v>78.428637800000004</v>
      </c>
      <c r="V780" s="24">
        <v>35.805130400000003</v>
      </c>
      <c r="W780" s="24">
        <v>29.101099399999999</v>
      </c>
      <c r="X780" s="24">
        <v>6.7040309999999996</v>
      </c>
      <c r="Y780" s="24">
        <v>64.194869600000004</v>
      </c>
    </row>
    <row r="781" spans="2:25" ht="15" hidden="1" customHeight="1">
      <c r="B781" s="25">
        <v>776</v>
      </c>
      <c r="C781" s="26" t="s">
        <v>19</v>
      </c>
      <c r="D781" s="26" t="s">
        <v>216</v>
      </c>
      <c r="E781" s="26" t="s">
        <v>255</v>
      </c>
      <c r="F781" s="26"/>
      <c r="G781" s="27" t="s">
        <v>15</v>
      </c>
      <c r="H781" s="28">
        <v>1304</v>
      </c>
      <c r="I781" s="28">
        <v>811</v>
      </c>
      <c r="J781" s="28">
        <v>451</v>
      </c>
      <c r="K781" s="28">
        <v>360</v>
      </c>
      <c r="L781" s="28">
        <v>493</v>
      </c>
      <c r="M781" s="28">
        <v>1146</v>
      </c>
      <c r="N781" s="28">
        <v>1043</v>
      </c>
      <c r="O781" s="28">
        <v>850</v>
      </c>
      <c r="P781" s="28">
        <v>193</v>
      </c>
      <c r="Q781" s="28">
        <v>103</v>
      </c>
      <c r="R781" s="29">
        <v>62.193251500000002</v>
      </c>
      <c r="S781" s="29">
        <v>34.585889600000002</v>
      </c>
      <c r="T781" s="29">
        <v>27.607361999999998</v>
      </c>
      <c r="U781" s="29">
        <v>37.806748499999998</v>
      </c>
      <c r="V781" s="29">
        <v>91.0122164</v>
      </c>
      <c r="W781" s="29">
        <v>74.171029700000005</v>
      </c>
      <c r="X781" s="29">
        <v>16.841186700000002</v>
      </c>
      <c r="Y781" s="29">
        <v>8.9877836000000002</v>
      </c>
    </row>
    <row r="782" spans="2:25" ht="15" hidden="1" customHeight="1">
      <c r="B782" s="25">
        <v>777</v>
      </c>
      <c r="C782" s="26" t="s">
        <v>19</v>
      </c>
      <c r="D782" s="26" t="s">
        <v>216</v>
      </c>
      <c r="E782" s="26" t="s">
        <v>255</v>
      </c>
      <c r="F782" s="26"/>
      <c r="G782" s="27" t="s">
        <v>16</v>
      </c>
      <c r="H782" s="28">
        <v>2998</v>
      </c>
      <c r="I782" s="28">
        <v>117</v>
      </c>
      <c r="J782" s="28">
        <v>40</v>
      </c>
      <c r="K782" s="28">
        <v>77</v>
      </c>
      <c r="L782" s="28">
        <v>2881</v>
      </c>
      <c r="M782" s="28">
        <v>3493</v>
      </c>
      <c r="N782" s="28">
        <v>618</v>
      </c>
      <c r="O782" s="28">
        <v>500</v>
      </c>
      <c r="P782" s="28">
        <v>118</v>
      </c>
      <c r="Q782" s="28">
        <v>2875</v>
      </c>
      <c r="R782" s="29">
        <v>3.9026017</v>
      </c>
      <c r="S782" s="29">
        <v>1.3342228</v>
      </c>
      <c r="T782" s="29">
        <v>2.5683788999999999</v>
      </c>
      <c r="U782" s="29">
        <v>96.097398299999995</v>
      </c>
      <c r="V782" s="29">
        <v>17.692527900000002</v>
      </c>
      <c r="W782" s="29">
        <v>14.314342999999999</v>
      </c>
      <c r="X782" s="29">
        <v>3.3781848999999999</v>
      </c>
      <c r="Y782" s="29">
        <v>82.307472099999998</v>
      </c>
    </row>
    <row r="783" spans="2:25" ht="15" customHeight="1">
      <c r="B783" s="30">
        <v>778</v>
      </c>
      <c r="C783" s="31" t="s">
        <v>21</v>
      </c>
      <c r="D783" s="36" t="s">
        <v>216</v>
      </c>
      <c r="E783" s="36" t="s">
        <v>255</v>
      </c>
      <c r="F783" s="36" t="s">
        <v>256</v>
      </c>
      <c r="G783" s="37" t="s">
        <v>256</v>
      </c>
      <c r="H783" s="32">
        <v>4302</v>
      </c>
      <c r="I783" s="32">
        <v>928</v>
      </c>
      <c r="J783" s="32">
        <v>491</v>
      </c>
      <c r="K783" s="32">
        <v>437</v>
      </c>
      <c r="L783" s="32">
        <v>3374</v>
      </c>
      <c r="M783" s="32">
        <v>4639</v>
      </c>
      <c r="N783" s="32">
        <v>1661</v>
      </c>
      <c r="O783" s="32">
        <v>1350</v>
      </c>
      <c r="P783" s="32">
        <v>311</v>
      </c>
      <c r="Q783" s="32">
        <v>2978</v>
      </c>
      <c r="R783" s="33">
        <v>21.571362199999999</v>
      </c>
      <c r="S783" s="33">
        <v>11.4132961</v>
      </c>
      <c r="T783" s="33">
        <v>10.158066</v>
      </c>
      <c r="U783" s="33">
        <v>78.428637800000004</v>
      </c>
      <c r="V783" s="33">
        <v>35.805130400000003</v>
      </c>
      <c r="W783" s="33">
        <v>29.101099399999999</v>
      </c>
      <c r="X783" s="33">
        <v>6.7040309999999996</v>
      </c>
      <c r="Y783" s="33">
        <v>64.194869600000004</v>
      </c>
    </row>
    <row r="784" spans="2:25" ht="15" hidden="1" customHeight="1">
      <c r="B784" s="25">
        <v>779</v>
      </c>
      <c r="C784" s="26" t="s">
        <v>21</v>
      </c>
      <c r="D784" s="26" t="s">
        <v>216</v>
      </c>
      <c r="E784" s="26" t="s">
        <v>255</v>
      </c>
      <c r="F784" s="26" t="s">
        <v>256</v>
      </c>
      <c r="G784" s="27" t="s">
        <v>15</v>
      </c>
      <c r="H784" s="28">
        <v>1304</v>
      </c>
      <c r="I784" s="28">
        <v>811</v>
      </c>
      <c r="J784" s="28">
        <v>451</v>
      </c>
      <c r="K784" s="28">
        <v>360</v>
      </c>
      <c r="L784" s="28">
        <v>493</v>
      </c>
      <c r="M784" s="28">
        <v>1146</v>
      </c>
      <c r="N784" s="28">
        <v>1043</v>
      </c>
      <c r="O784" s="28">
        <v>850</v>
      </c>
      <c r="P784" s="28">
        <v>193</v>
      </c>
      <c r="Q784" s="28">
        <v>103</v>
      </c>
      <c r="R784" s="29">
        <v>62.193251500000002</v>
      </c>
      <c r="S784" s="29">
        <v>34.585889600000002</v>
      </c>
      <c r="T784" s="29">
        <v>27.607361999999998</v>
      </c>
      <c r="U784" s="29">
        <v>37.806748499999998</v>
      </c>
      <c r="V784" s="29">
        <v>91.0122164</v>
      </c>
      <c r="W784" s="29">
        <v>74.171029700000005</v>
      </c>
      <c r="X784" s="29">
        <v>16.841186700000002</v>
      </c>
      <c r="Y784" s="29">
        <v>8.9877836000000002</v>
      </c>
    </row>
    <row r="785" spans="2:25" ht="15" hidden="1" customHeight="1">
      <c r="B785" s="25">
        <v>780</v>
      </c>
      <c r="C785" s="26" t="s">
        <v>21</v>
      </c>
      <c r="D785" s="26" t="s">
        <v>216</v>
      </c>
      <c r="E785" s="26" t="s">
        <v>255</v>
      </c>
      <c r="F785" s="26" t="s">
        <v>256</v>
      </c>
      <c r="G785" s="27" t="s">
        <v>16</v>
      </c>
      <c r="H785" s="28">
        <v>2998</v>
      </c>
      <c r="I785" s="28">
        <v>117</v>
      </c>
      <c r="J785" s="28">
        <v>40</v>
      </c>
      <c r="K785" s="28">
        <v>77</v>
      </c>
      <c r="L785" s="28">
        <v>2881</v>
      </c>
      <c r="M785" s="28">
        <v>3493</v>
      </c>
      <c r="N785" s="28">
        <v>618</v>
      </c>
      <c r="O785" s="28">
        <v>500</v>
      </c>
      <c r="P785" s="28">
        <v>118</v>
      </c>
      <c r="Q785" s="28">
        <v>2875</v>
      </c>
      <c r="R785" s="29">
        <v>3.9026017</v>
      </c>
      <c r="S785" s="29">
        <v>1.3342228</v>
      </c>
      <c r="T785" s="29">
        <v>2.5683788999999999</v>
      </c>
      <c r="U785" s="29">
        <v>96.097398299999995</v>
      </c>
      <c r="V785" s="29">
        <v>17.692527900000002</v>
      </c>
      <c r="W785" s="29">
        <v>14.314342999999999</v>
      </c>
      <c r="X785" s="29">
        <v>3.3781848999999999</v>
      </c>
      <c r="Y785" s="29">
        <v>82.307472099999998</v>
      </c>
    </row>
    <row r="786" spans="2:25" ht="15" hidden="1" customHeight="1">
      <c r="B786" s="21">
        <v>781</v>
      </c>
      <c r="C786" s="22" t="s">
        <v>19</v>
      </c>
      <c r="D786" s="35" t="s">
        <v>216</v>
      </c>
      <c r="E786" s="35" t="s">
        <v>257</v>
      </c>
      <c r="F786" s="35"/>
      <c r="G786" s="22" t="s">
        <v>257</v>
      </c>
      <c r="H786" s="23">
        <v>619</v>
      </c>
      <c r="I786" s="23">
        <v>66</v>
      </c>
      <c r="J786" s="23">
        <v>12</v>
      </c>
      <c r="K786" s="23">
        <v>54</v>
      </c>
      <c r="L786" s="23">
        <v>553</v>
      </c>
      <c r="M786" s="23">
        <v>869</v>
      </c>
      <c r="N786" s="23">
        <v>465</v>
      </c>
      <c r="O786" s="23">
        <v>335</v>
      </c>
      <c r="P786" s="23">
        <v>130</v>
      </c>
      <c r="Q786" s="23">
        <v>404</v>
      </c>
      <c r="R786" s="24">
        <v>10.662358599999999</v>
      </c>
      <c r="S786" s="24">
        <v>1.9386106999999999</v>
      </c>
      <c r="T786" s="24">
        <v>8.7237480000000005</v>
      </c>
      <c r="U786" s="24">
        <v>89.337641399999995</v>
      </c>
      <c r="V786" s="24">
        <v>53.509781400000001</v>
      </c>
      <c r="W786" s="24">
        <v>38.550057500000001</v>
      </c>
      <c r="X786" s="24">
        <v>14.959723800000001</v>
      </c>
      <c r="Y786" s="24">
        <v>46.490218599999999</v>
      </c>
    </row>
    <row r="787" spans="2:25" ht="15" hidden="1" customHeight="1">
      <c r="B787" s="25">
        <v>782</v>
      </c>
      <c r="C787" s="26" t="s">
        <v>19</v>
      </c>
      <c r="D787" s="26" t="s">
        <v>216</v>
      </c>
      <c r="E787" s="26" t="s">
        <v>257</v>
      </c>
      <c r="F787" s="26"/>
      <c r="G787" s="27" t="s">
        <v>15</v>
      </c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9"/>
      <c r="S787" s="29"/>
      <c r="T787" s="29"/>
      <c r="U787" s="29"/>
      <c r="V787" s="29"/>
      <c r="W787" s="29"/>
      <c r="X787" s="29"/>
      <c r="Y787" s="29"/>
    </row>
    <row r="788" spans="2:25" ht="15" hidden="1" customHeight="1">
      <c r="B788" s="25">
        <v>783</v>
      </c>
      <c r="C788" s="26" t="s">
        <v>19</v>
      </c>
      <c r="D788" s="26" t="s">
        <v>216</v>
      </c>
      <c r="E788" s="26" t="s">
        <v>257</v>
      </c>
      <c r="F788" s="26"/>
      <c r="G788" s="27" t="s">
        <v>16</v>
      </c>
      <c r="H788" s="28">
        <v>619</v>
      </c>
      <c r="I788" s="28">
        <v>66</v>
      </c>
      <c r="J788" s="28">
        <v>12</v>
      </c>
      <c r="K788" s="28">
        <v>54</v>
      </c>
      <c r="L788" s="28">
        <v>553</v>
      </c>
      <c r="M788" s="28">
        <v>869</v>
      </c>
      <c r="N788" s="28">
        <v>465</v>
      </c>
      <c r="O788" s="28">
        <v>335</v>
      </c>
      <c r="P788" s="28">
        <v>130</v>
      </c>
      <c r="Q788" s="28">
        <v>404</v>
      </c>
      <c r="R788" s="29">
        <v>10.662358599999999</v>
      </c>
      <c r="S788" s="29">
        <v>1.9386106999999999</v>
      </c>
      <c r="T788" s="29">
        <v>8.7237480000000005</v>
      </c>
      <c r="U788" s="29">
        <v>89.337641399999995</v>
      </c>
      <c r="V788" s="29">
        <v>53.509781400000001</v>
      </c>
      <c r="W788" s="29">
        <v>38.550057500000001</v>
      </c>
      <c r="X788" s="29">
        <v>14.959723800000001</v>
      </c>
      <c r="Y788" s="29">
        <v>46.490218599999999</v>
      </c>
    </row>
    <row r="789" spans="2:25" ht="15" customHeight="1">
      <c r="B789" s="30">
        <v>784</v>
      </c>
      <c r="C789" s="31" t="s">
        <v>21</v>
      </c>
      <c r="D789" s="36" t="s">
        <v>216</v>
      </c>
      <c r="E789" s="36" t="s">
        <v>257</v>
      </c>
      <c r="F789" s="36" t="s">
        <v>258</v>
      </c>
      <c r="G789" s="37" t="s">
        <v>258</v>
      </c>
      <c r="H789" s="32">
        <v>181</v>
      </c>
      <c r="I789" s="32">
        <v>28</v>
      </c>
      <c r="J789" s="32">
        <v>1</v>
      </c>
      <c r="K789" s="32">
        <v>27</v>
      </c>
      <c r="L789" s="32">
        <v>153</v>
      </c>
      <c r="M789" s="32">
        <v>283</v>
      </c>
      <c r="N789" s="32">
        <v>141</v>
      </c>
      <c r="O789" s="32">
        <v>103</v>
      </c>
      <c r="P789" s="32">
        <v>38</v>
      </c>
      <c r="Q789" s="32">
        <v>142</v>
      </c>
      <c r="R789" s="33">
        <v>15.469613300000001</v>
      </c>
      <c r="S789" s="33">
        <v>0.55248620000000004</v>
      </c>
      <c r="T789" s="33">
        <v>14.9171271</v>
      </c>
      <c r="U789" s="33">
        <v>84.530386699999994</v>
      </c>
      <c r="V789" s="33">
        <v>49.8233216</v>
      </c>
      <c r="W789" s="33">
        <v>36.395759699999999</v>
      </c>
      <c r="X789" s="33">
        <v>13.427561799999999</v>
      </c>
      <c r="Y789" s="33">
        <v>50.1766784</v>
      </c>
    </row>
    <row r="790" spans="2:25" ht="15" hidden="1" customHeight="1">
      <c r="B790" s="25">
        <v>785</v>
      </c>
      <c r="C790" s="26" t="s">
        <v>21</v>
      </c>
      <c r="D790" s="26" t="s">
        <v>216</v>
      </c>
      <c r="E790" s="26" t="s">
        <v>257</v>
      </c>
      <c r="F790" s="26" t="s">
        <v>258</v>
      </c>
      <c r="G790" s="27" t="s">
        <v>15</v>
      </c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9"/>
      <c r="S790" s="29"/>
      <c r="T790" s="29"/>
      <c r="U790" s="29"/>
      <c r="V790" s="29"/>
      <c r="W790" s="29"/>
      <c r="X790" s="29"/>
      <c r="Y790" s="29"/>
    </row>
    <row r="791" spans="2:25" ht="15" hidden="1" customHeight="1">
      <c r="B791" s="25">
        <v>786</v>
      </c>
      <c r="C791" s="26" t="s">
        <v>21</v>
      </c>
      <c r="D791" s="26" t="s">
        <v>216</v>
      </c>
      <c r="E791" s="26" t="s">
        <v>257</v>
      </c>
      <c r="F791" s="26" t="s">
        <v>258</v>
      </c>
      <c r="G791" s="27" t="s">
        <v>16</v>
      </c>
      <c r="H791" s="28">
        <v>181</v>
      </c>
      <c r="I791" s="28">
        <v>28</v>
      </c>
      <c r="J791" s="28">
        <v>1</v>
      </c>
      <c r="K791" s="28">
        <v>27</v>
      </c>
      <c r="L791" s="28">
        <v>153</v>
      </c>
      <c r="M791" s="28">
        <v>283</v>
      </c>
      <c r="N791" s="28">
        <v>141</v>
      </c>
      <c r="O791" s="28">
        <v>103</v>
      </c>
      <c r="P791" s="28">
        <v>38</v>
      </c>
      <c r="Q791" s="28">
        <v>142</v>
      </c>
      <c r="R791" s="29">
        <v>15.469613300000001</v>
      </c>
      <c r="S791" s="29">
        <v>0.55248620000000004</v>
      </c>
      <c r="T791" s="29">
        <v>14.9171271</v>
      </c>
      <c r="U791" s="29">
        <v>84.530386699999994</v>
      </c>
      <c r="V791" s="29">
        <v>49.8233216</v>
      </c>
      <c r="W791" s="29">
        <v>36.395759699999999</v>
      </c>
      <c r="X791" s="29">
        <v>13.427561799999999</v>
      </c>
      <c r="Y791" s="29">
        <v>50.1766784</v>
      </c>
    </row>
    <row r="792" spans="2:25" ht="15" customHeight="1">
      <c r="B792" s="30">
        <v>787</v>
      </c>
      <c r="C792" s="31" t="s">
        <v>21</v>
      </c>
      <c r="D792" s="36" t="s">
        <v>216</v>
      </c>
      <c r="E792" s="36" t="s">
        <v>257</v>
      </c>
      <c r="F792" s="36" t="s">
        <v>259</v>
      </c>
      <c r="G792" s="37" t="s">
        <v>259</v>
      </c>
      <c r="H792" s="32">
        <v>193</v>
      </c>
      <c r="I792" s="32">
        <v>27</v>
      </c>
      <c r="J792" s="32">
        <v>5</v>
      </c>
      <c r="K792" s="32">
        <v>22</v>
      </c>
      <c r="L792" s="32">
        <v>166</v>
      </c>
      <c r="M792" s="32">
        <v>329</v>
      </c>
      <c r="N792" s="32">
        <v>217</v>
      </c>
      <c r="O792" s="32">
        <v>143</v>
      </c>
      <c r="P792" s="32">
        <v>74</v>
      </c>
      <c r="Q792" s="32">
        <v>112</v>
      </c>
      <c r="R792" s="33">
        <v>13.9896373</v>
      </c>
      <c r="S792" s="33">
        <v>2.5906736000000001</v>
      </c>
      <c r="T792" s="33">
        <v>11.398963699999999</v>
      </c>
      <c r="U792" s="33">
        <v>86.010362700000002</v>
      </c>
      <c r="V792" s="33">
        <v>65.9574468</v>
      </c>
      <c r="W792" s="33">
        <v>43.465045600000003</v>
      </c>
      <c r="X792" s="33">
        <v>22.4924012</v>
      </c>
      <c r="Y792" s="33">
        <v>34.0425532</v>
      </c>
    </row>
    <row r="793" spans="2:25" ht="15" hidden="1" customHeight="1">
      <c r="B793" s="25">
        <v>788</v>
      </c>
      <c r="C793" s="26" t="s">
        <v>21</v>
      </c>
      <c r="D793" s="26" t="s">
        <v>216</v>
      </c>
      <c r="E793" s="26" t="s">
        <v>257</v>
      </c>
      <c r="F793" s="26" t="s">
        <v>259</v>
      </c>
      <c r="G793" s="27" t="s">
        <v>15</v>
      </c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9"/>
      <c r="S793" s="29"/>
      <c r="T793" s="29"/>
      <c r="U793" s="29"/>
      <c r="V793" s="29"/>
      <c r="W793" s="29"/>
      <c r="X793" s="29"/>
      <c r="Y793" s="29"/>
    </row>
    <row r="794" spans="2:25" ht="15" hidden="1" customHeight="1">
      <c r="B794" s="25">
        <v>789</v>
      </c>
      <c r="C794" s="26" t="s">
        <v>21</v>
      </c>
      <c r="D794" s="26" t="s">
        <v>216</v>
      </c>
      <c r="E794" s="26" t="s">
        <v>257</v>
      </c>
      <c r="F794" s="26" t="s">
        <v>259</v>
      </c>
      <c r="G794" s="27" t="s">
        <v>16</v>
      </c>
      <c r="H794" s="28">
        <v>193</v>
      </c>
      <c r="I794" s="28">
        <v>27</v>
      </c>
      <c r="J794" s="28">
        <v>5</v>
      </c>
      <c r="K794" s="28">
        <v>22</v>
      </c>
      <c r="L794" s="28">
        <v>166</v>
      </c>
      <c r="M794" s="28">
        <v>329</v>
      </c>
      <c r="N794" s="28">
        <v>217</v>
      </c>
      <c r="O794" s="28">
        <v>143</v>
      </c>
      <c r="P794" s="28">
        <v>74</v>
      </c>
      <c r="Q794" s="28">
        <v>112</v>
      </c>
      <c r="R794" s="29">
        <v>13.9896373</v>
      </c>
      <c r="S794" s="29">
        <v>2.5906736000000001</v>
      </c>
      <c r="T794" s="29">
        <v>11.398963699999999</v>
      </c>
      <c r="U794" s="29">
        <v>86.010362700000002</v>
      </c>
      <c r="V794" s="29">
        <v>65.9574468</v>
      </c>
      <c r="W794" s="29">
        <v>43.465045600000003</v>
      </c>
      <c r="X794" s="29">
        <v>22.4924012</v>
      </c>
      <c r="Y794" s="29">
        <v>34.0425532</v>
      </c>
    </row>
    <row r="795" spans="2:25" ht="15" customHeight="1">
      <c r="B795" s="30">
        <v>790</v>
      </c>
      <c r="C795" s="31" t="s">
        <v>21</v>
      </c>
      <c r="D795" s="36" t="s">
        <v>216</v>
      </c>
      <c r="E795" s="36" t="s">
        <v>257</v>
      </c>
      <c r="F795" s="36" t="s">
        <v>223</v>
      </c>
      <c r="G795" s="37" t="s">
        <v>223</v>
      </c>
      <c r="H795" s="32">
        <v>245</v>
      </c>
      <c r="I795" s="32">
        <v>11</v>
      </c>
      <c r="J795" s="32">
        <v>6</v>
      </c>
      <c r="K795" s="32">
        <v>5</v>
      </c>
      <c r="L795" s="32">
        <v>234</v>
      </c>
      <c r="M795" s="32">
        <v>257</v>
      </c>
      <c r="N795" s="32">
        <v>107</v>
      </c>
      <c r="O795" s="32">
        <v>89</v>
      </c>
      <c r="P795" s="32">
        <v>18</v>
      </c>
      <c r="Q795" s="32">
        <v>150</v>
      </c>
      <c r="R795" s="33">
        <v>4.4897958999999998</v>
      </c>
      <c r="S795" s="33">
        <v>2.4489795999999999</v>
      </c>
      <c r="T795" s="33">
        <v>2.0408162999999999</v>
      </c>
      <c r="U795" s="33">
        <v>95.510204099999996</v>
      </c>
      <c r="V795" s="33">
        <v>41.634241199999998</v>
      </c>
      <c r="W795" s="33">
        <v>34.630350200000002</v>
      </c>
      <c r="X795" s="33">
        <v>7.0038910999999997</v>
      </c>
      <c r="Y795" s="33">
        <v>58.365758800000002</v>
      </c>
    </row>
    <row r="796" spans="2:25" ht="15" hidden="1" customHeight="1">
      <c r="B796" s="25">
        <v>791</v>
      </c>
      <c r="C796" s="26" t="s">
        <v>21</v>
      </c>
      <c r="D796" s="26" t="s">
        <v>216</v>
      </c>
      <c r="E796" s="26" t="s">
        <v>257</v>
      </c>
      <c r="F796" s="26" t="s">
        <v>223</v>
      </c>
      <c r="G796" s="27" t="s">
        <v>15</v>
      </c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9"/>
      <c r="S796" s="29"/>
      <c r="T796" s="29"/>
      <c r="U796" s="29"/>
      <c r="V796" s="29"/>
      <c r="W796" s="29"/>
      <c r="X796" s="29"/>
      <c r="Y796" s="29"/>
    </row>
    <row r="797" spans="2:25" ht="15" hidden="1" customHeight="1">
      <c r="B797" s="25">
        <v>792</v>
      </c>
      <c r="C797" s="26" t="s">
        <v>21</v>
      </c>
      <c r="D797" s="26" t="s">
        <v>216</v>
      </c>
      <c r="E797" s="26" t="s">
        <v>257</v>
      </c>
      <c r="F797" s="26" t="s">
        <v>223</v>
      </c>
      <c r="G797" s="27" t="s">
        <v>16</v>
      </c>
      <c r="H797" s="28">
        <v>245</v>
      </c>
      <c r="I797" s="28">
        <v>11</v>
      </c>
      <c r="J797" s="28">
        <v>6</v>
      </c>
      <c r="K797" s="28">
        <v>5</v>
      </c>
      <c r="L797" s="28">
        <v>234</v>
      </c>
      <c r="M797" s="28">
        <v>257</v>
      </c>
      <c r="N797" s="28">
        <v>107</v>
      </c>
      <c r="O797" s="28">
        <v>89</v>
      </c>
      <c r="P797" s="28">
        <v>18</v>
      </c>
      <c r="Q797" s="28">
        <v>150</v>
      </c>
      <c r="R797" s="29">
        <v>4.4897958999999998</v>
      </c>
      <c r="S797" s="29">
        <v>2.4489795999999999</v>
      </c>
      <c r="T797" s="29">
        <v>2.0408162999999999</v>
      </c>
      <c r="U797" s="29">
        <v>95.510204099999996</v>
      </c>
      <c r="V797" s="29">
        <v>41.634241199999998</v>
      </c>
      <c r="W797" s="29">
        <v>34.630350200000002</v>
      </c>
      <c r="X797" s="29">
        <v>7.0038910999999997</v>
      </c>
      <c r="Y797" s="29">
        <v>58.365758800000002</v>
      </c>
    </row>
    <row r="798" spans="2:25" ht="15" hidden="1" customHeight="1">
      <c r="B798" s="21">
        <v>793</v>
      </c>
      <c r="C798" s="22" t="s">
        <v>19</v>
      </c>
      <c r="D798" s="35" t="s">
        <v>216</v>
      </c>
      <c r="E798" s="35" t="s">
        <v>260</v>
      </c>
      <c r="F798" s="35"/>
      <c r="G798" s="22" t="s">
        <v>260</v>
      </c>
      <c r="H798" s="23">
        <v>2254</v>
      </c>
      <c r="I798" s="23">
        <v>157</v>
      </c>
      <c r="J798" s="23">
        <v>111</v>
      </c>
      <c r="K798" s="23">
        <v>46</v>
      </c>
      <c r="L798" s="23">
        <v>2097</v>
      </c>
      <c r="M798" s="23">
        <v>2722</v>
      </c>
      <c r="N798" s="23">
        <v>718</v>
      </c>
      <c r="O798" s="23">
        <v>608</v>
      </c>
      <c r="P798" s="23">
        <v>110</v>
      </c>
      <c r="Q798" s="23">
        <v>2004</v>
      </c>
      <c r="R798" s="24">
        <v>6.9653948999999997</v>
      </c>
      <c r="S798" s="24">
        <v>4.9245785</v>
      </c>
      <c r="T798" s="24">
        <v>2.0408162999999999</v>
      </c>
      <c r="U798" s="24">
        <v>93.034605099999993</v>
      </c>
      <c r="V798" s="24">
        <v>26.377663500000001</v>
      </c>
      <c r="W798" s="24">
        <v>22.336517300000001</v>
      </c>
      <c r="X798" s="24">
        <v>4.0411462</v>
      </c>
      <c r="Y798" s="24">
        <v>73.622336500000003</v>
      </c>
    </row>
    <row r="799" spans="2:25" ht="15" hidden="1" customHeight="1">
      <c r="B799" s="25">
        <v>794</v>
      </c>
      <c r="C799" s="26" t="s">
        <v>19</v>
      </c>
      <c r="D799" s="26" t="s">
        <v>216</v>
      </c>
      <c r="E799" s="26" t="s">
        <v>260</v>
      </c>
      <c r="F799" s="26"/>
      <c r="G799" s="27" t="s">
        <v>15</v>
      </c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9"/>
      <c r="S799" s="29"/>
      <c r="T799" s="29"/>
      <c r="U799" s="29"/>
      <c r="V799" s="29"/>
      <c r="W799" s="29"/>
      <c r="X799" s="29"/>
      <c r="Y799" s="29"/>
    </row>
    <row r="800" spans="2:25" ht="15" hidden="1" customHeight="1">
      <c r="B800" s="25">
        <v>795</v>
      </c>
      <c r="C800" s="26" t="s">
        <v>19</v>
      </c>
      <c r="D800" s="26" t="s">
        <v>216</v>
      </c>
      <c r="E800" s="26" t="s">
        <v>260</v>
      </c>
      <c r="F800" s="26"/>
      <c r="G800" s="27" t="s">
        <v>16</v>
      </c>
      <c r="H800" s="28">
        <v>2254</v>
      </c>
      <c r="I800" s="28">
        <v>157</v>
      </c>
      <c r="J800" s="28">
        <v>111</v>
      </c>
      <c r="K800" s="28">
        <v>46</v>
      </c>
      <c r="L800" s="28">
        <v>2097</v>
      </c>
      <c r="M800" s="28">
        <v>2722</v>
      </c>
      <c r="N800" s="28">
        <v>718</v>
      </c>
      <c r="O800" s="28">
        <v>608</v>
      </c>
      <c r="P800" s="28">
        <v>110</v>
      </c>
      <c r="Q800" s="28">
        <v>2004</v>
      </c>
      <c r="R800" s="29">
        <v>6.9653948999999997</v>
      </c>
      <c r="S800" s="29">
        <v>4.9245785</v>
      </c>
      <c r="T800" s="29">
        <v>2.0408162999999999</v>
      </c>
      <c r="U800" s="29">
        <v>93.034605099999993</v>
      </c>
      <c r="V800" s="29">
        <v>26.377663500000001</v>
      </c>
      <c r="W800" s="29">
        <v>22.336517300000001</v>
      </c>
      <c r="X800" s="29">
        <v>4.0411462</v>
      </c>
      <c r="Y800" s="29">
        <v>73.622336500000003</v>
      </c>
    </row>
    <row r="801" spans="2:25" ht="15" customHeight="1">
      <c r="B801" s="30">
        <v>796</v>
      </c>
      <c r="C801" s="31" t="s">
        <v>21</v>
      </c>
      <c r="D801" s="36" t="s">
        <v>216</v>
      </c>
      <c r="E801" s="36" t="s">
        <v>260</v>
      </c>
      <c r="F801" s="36" t="s">
        <v>261</v>
      </c>
      <c r="G801" s="37" t="s">
        <v>261</v>
      </c>
      <c r="H801" s="32">
        <v>2254</v>
      </c>
      <c r="I801" s="32">
        <v>157</v>
      </c>
      <c r="J801" s="32">
        <v>111</v>
      </c>
      <c r="K801" s="32">
        <v>46</v>
      </c>
      <c r="L801" s="32">
        <v>2097</v>
      </c>
      <c r="M801" s="32">
        <v>2722</v>
      </c>
      <c r="N801" s="32">
        <v>718</v>
      </c>
      <c r="O801" s="32">
        <v>608</v>
      </c>
      <c r="P801" s="32">
        <v>110</v>
      </c>
      <c r="Q801" s="32">
        <v>2004</v>
      </c>
      <c r="R801" s="33">
        <v>6.9653948999999997</v>
      </c>
      <c r="S801" s="33">
        <v>4.9245785</v>
      </c>
      <c r="T801" s="33">
        <v>2.0408162999999999</v>
      </c>
      <c r="U801" s="33">
        <v>93.034605099999993</v>
      </c>
      <c r="V801" s="33">
        <v>26.377663500000001</v>
      </c>
      <c r="W801" s="33">
        <v>22.336517300000001</v>
      </c>
      <c r="X801" s="33">
        <v>4.0411462</v>
      </c>
      <c r="Y801" s="33">
        <v>73.622336500000003</v>
      </c>
    </row>
    <row r="802" spans="2:25" ht="15" hidden="1" customHeight="1">
      <c r="B802" s="25">
        <v>797</v>
      </c>
      <c r="C802" s="26" t="s">
        <v>21</v>
      </c>
      <c r="D802" s="26" t="s">
        <v>216</v>
      </c>
      <c r="E802" s="26" t="s">
        <v>260</v>
      </c>
      <c r="F802" s="26" t="s">
        <v>261</v>
      </c>
      <c r="G802" s="27" t="s">
        <v>15</v>
      </c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9"/>
      <c r="S802" s="29"/>
      <c r="T802" s="29"/>
      <c r="U802" s="29"/>
      <c r="V802" s="29"/>
      <c r="W802" s="29"/>
      <c r="X802" s="29"/>
      <c r="Y802" s="29"/>
    </row>
    <row r="803" spans="2:25" ht="15" hidden="1" customHeight="1">
      <c r="B803" s="25">
        <v>798</v>
      </c>
      <c r="C803" s="26" t="s">
        <v>21</v>
      </c>
      <c r="D803" s="26" t="s">
        <v>216</v>
      </c>
      <c r="E803" s="26" t="s">
        <v>260</v>
      </c>
      <c r="F803" s="26" t="s">
        <v>261</v>
      </c>
      <c r="G803" s="27" t="s">
        <v>16</v>
      </c>
      <c r="H803" s="28">
        <v>2254</v>
      </c>
      <c r="I803" s="28">
        <v>157</v>
      </c>
      <c r="J803" s="28">
        <v>111</v>
      </c>
      <c r="K803" s="28">
        <v>46</v>
      </c>
      <c r="L803" s="28">
        <v>2097</v>
      </c>
      <c r="M803" s="28">
        <v>2722</v>
      </c>
      <c r="N803" s="28">
        <v>718</v>
      </c>
      <c r="O803" s="28">
        <v>608</v>
      </c>
      <c r="P803" s="28">
        <v>110</v>
      </c>
      <c r="Q803" s="28">
        <v>2004</v>
      </c>
      <c r="R803" s="29">
        <v>6.9653948999999997</v>
      </c>
      <c r="S803" s="29">
        <v>4.9245785</v>
      </c>
      <c r="T803" s="29">
        <v>2.0408162999999999</v>
      </c>
      <c r="U803" s="29">
        <v>93.034605099999993</v>
      </c>
      <c r="V803" s="29">
        <v>26.377663500000001</v>
      </c>
      <c r="W803" s="29">
        <v>22.336517300000001</v>
      </c>
      <c r="X803" s="29">
        <v>4.0411462</v>
      </c>
      <c r="Y803" s="29">
        <v>73.622336500000003</v>
      </c>
    </row>
    <row r="804" spans="2:25" ht="15" hidden="1" customHeight="1">
      <c r="B804" s="13">
        <v>799</v>
      </c>
      <c r="C804" s="14" t="s">
        <v>17</v>
      </c>
      <c r="D804" s="14" t="s">
        <v>262</v>
      </c>
      <c r="E804" s="14"/>
      <c r="F804" s="14"/>
      <c r="G804" s="14" t="s">
        <v>262</v>
      </c>
      <c r="H804" s="15">
        <v>242302</v>
      </c>
      <c r="I804" s="15">
        <v>100185</v>
      </c>
      <c r="J804" s="15">
        <v>47043</v>
      </c>
      <c r="K804" s="15">
        <v>53142</v>
      </c>
      <c r="L804" s="15">
        <v>142117</v>
      </c>
      <c r="M804" s="15">
        <v>303745</v>
      </c>
      <c r="N804" s="15">
        <v>161688</v>
      </c>
      <c r="O804" s="15">
        <v>125972</v>
      </c>
      <c r="P804" s="15">
        <v>35716</v>
      </c>
      <c r="Q804" s="15">
        <v>142057</v>
      </c>
      <c r="R804" s="16">
        <v>41.347161800000002</v>
      </c>
      <c r="S804" s="16">
        <v>19.415027500000001</v>
      </c>
      <c r="T804" s="16">
        <v>21.932134300000001</v>
      </c>
      <c r="U804" s="16">
        <v>58.652838199999998</v>
      </c>
      <c r="V804" s="16">
        <v>53.231493499999999</v>
      </c>
      <c r="W804" s="16">
        <v>41.472946100000001</v>
      </c>
      <c r="X804" s="16">
        <v>11.758547500000001</v>
      </c>
      <c r="Y804" s="16">
        <v>46.768506500000001</v>
      </c>
    </row>
    <row r="805" spans="2:25" ht="15" hidden="1" customHeight="1">
      <c r="B805" s="17">
        <v>800</v>
      </c>
      <c r="C805" s="18" t="s">
        <v>17</v>
      </c>
      <c r="D805" s="34" t="s">
        <v>262</v>
      </c>
      <c r="E805" s="34"/>
      <c r="F805" s="34"/>
      <c r="G805" s="18" t="s">
        <v>15</v>
      </c>
      <c r="H805" s="19">
        <v>93169</v>
      </c>
      <c r="I805" s="19">
        <v>73156</v>
      </c>
      <c r="J805" s="19">
        <v>32311</v>
      </c>
      <c r="K805" s="19">
        <v>40845</v>
      </c>
      <c r="L805" s="19">
        <v>20013</v>
      </c>
      <c r="M805" s="19">
        <v>123576</v>
      </c>
      <c r="N805" s="19">
        <v>108294</v>
      </c>
      <c r="O805" s="19">
        <v>80434</v>
      </c>
      <c r="P805" s="19">
        <v>27860</v>
      </c>
      <c r="Q805" s="19">
        <v>15282</v>
      </c>
      <c r="R805" s="20">
        <v>78.519679300000007</v>
      </c>
      <c r="S805" s="20">
        <v>34.679990099999998</v>
      </c>
      <c r="T805" s="20">
        <v>43.839689200000002</v>
      </c>
      <c r="U805" s="20">
        <v>21.4803207</v>
      </c>
      <c r="V805" s="20">
        <v>87.633521099999996</v>
      </c>
      <c r="W805" s="20">
        <v>65.088690400000004</v>
      </c>
      <c r="X805" s="20">
        <v>22.544830699999999</v>
      </c>
      <c r="Y805" s="20">
        <v>12.366478900000001</v>
      </c>
    </row>
    <row r="806" spans="2:25" ht="15" hidden="1" customHeight="1">
      <c r="B806" s="17">
        <v>801</v>
      </c>
      <c r="C806" s="18" t="s">
        <v>17</v>
      </c>
      <c r="D806" s="34" t="s">
        <v>262</v>
      </c>
      <c r="E806" s="34"/>
      <c r="F806" s="34"/>
      <c r="G806" s="18" t="s">
        <v>16</v>
      </c>
      <c r="H806" s="19">
        <v>149133</v>
      </c>
      <c r="I806" s="19">
        <v>27029</v>
      </c>
      <c r="J806" s="19">
        <v>14732</v>
      </c>
      <c r="K806" s="19">
        <v>12297</v>
      </c>
      <c r="L806" s="19">
        <v>122104</v>
      </c>
      <c r="M806" s="19">
        <v>180169</v>
      </c>
      <c r="N806" s="19">
        <v>53394</v>
      </c>
      <c r="O806" s="19">
        <v>45538</v>
      </c>
      <c r="P806" s="19">
        <v>7856</v>
      </c>
      <c r="Q806" s="19">
        <v>126775</v>
      </c>
      <c r="R806" s="20">
        <v>18.124090599999999</v>
      </c>
      <c r="S806" s="20">
        <v>9.8784306999999991</v>
      </c>
      <c r="T806" s="20">
        <v>8.2456598999999997</v>
      </c>
      <c r="U806" s="20">
        <v>81.875909399999998</v>
      </c>
      <c r="V806" s="20">
        <v>29.635508900000001</v>
      </c>
      <c r="W806" s="20">
        <v>25.275158300000001</v>
      </c>
      <c r="X806" s="20">
        <v>4.3603506000000003</v>
      </c>
      <c r="Y806" s="20">
        <v>70.364491099999995</v>
      </c>
    </row>
    <row r="807" spans="2:25" ht="15" hidden="1" customHeight="1">
      <c r="B807" s="21">
        <v>802</v>
      </c>
      <c r="C807" s="22" t="s">
        <v>19</v>
      </c>
      <c r="D807" s="35" t="s">
        <v>262</v>
      </c>
      <c r="E807" s="35" t="s">
        <v>263</v>
      </c>
      <c r="F807" s="35"/>
      <c r="G807" s="22" t="s">
        <v>263</v>
      </c>
      <c r="H807" s="23">
        <v>63169</v>
      </c>
      <c r="I807" s="23">
        <v>43837</v>
      </c>
      <c r="J807" s="23">
        <v>18147</v>
      </c>
      <c r="K807" s="23">
        <v>25690</v>
      </c>
      <c r="L807" s="23">
        <v>19332</v>
      </c>
      <c r="M807" s="23">
        <v>82587</v>
      </c>
      <c r="N807" s="23">
        <v>61446</v>
      </c>
      <c r="O807" s="23">
        <v>45057</v>
      </c>
      <c r="P807" s="23">
        <v>16389</v>
      </c>
      <c r="Q807" s="23">
        <v>21141</v>
      </c>
      <c r="R807" s="24">
        <v>69.396381099999999</v>
      </c>
      <c r="S807" s="24">
        <v>28.727698700000001</v>
      </c>
      <c r="T807" s="24">
        <v>40.668682400000002</v>
      </c>
      <c r="U807" s="24">
        <v>30.603618900000001</v>
      </c>
      <c r="V807" s="24">
        <v>74.401540199999999</v>
      </c>
      <c r="W807" s="24">
        <v>54.5570126</v>
      </c>
      <c r="X807" s="24">
        <v>19.844527599999999</v>
      </c>
      <c r="Y807" s="24">
        <v>25.598459800000001</v>
      </c>
    </row>
    <row r="808" spans="2:25" ht="15" hidden="1" customHeight="1">
      <c r="B808" s="25">
        <v>803</v>
      </c>
      <c r="C808" s="26" t="s">
        <v>19</v>
      </c>
      <c r="D808" s="26" t="s">
        <v>262</v>
      </c>
      <c r="E808" s="26" t="s">
        <v>263</v>
      </c>
      <c r="F808" s="26"/>
      <c r="G808" s="27" t="s">
        <v>15</v>
      </c>
      <c r="H808" s="28">
        <v>46764</v>
      </c>
      <c r="I808" s="28">
        <v>41522</v>
      </c>
      <c r="J808" s="28">
        <v>17004</v>
      </c>
      <c r="K808" s="28">
        <v>24518</v>
      </c>
      <c r="L808" s="28">
        <v>5242</v>
      </c>
      <c r="M808" s="28">
        <v>60712</v>
      </c>
      <c r="N808" s="28">
        <v>56099</v>
      </c>
      <c r="O808" s="28">
        <v>40715</v>
      </c>
      <c r="P808" s="28">
        <v>15384</v>
      </c>
      <c r="Q808" s="28">
        <v>4613</v>
      </c>
      <c r="R808" s="29">
        <v>88.790522600000003</v>
      </c>
      <c r="S808" s="29">
        <v>36.361303599999999</v>
      </c>
      <c r="T808" s="29">
        <v>52.429219099999997</v>
      </c>
      <c r="U808" s="29">
        <v>11.209477400000001</v>
      </c>
      <c r="V808" s="29">
        <v>92.401831599999994</v>
      </c>
      <c r="W808" s="29">
        <v>67.062524699999997</v>
      </c>
      <c r="X808" s="29">
        <v>25.3393069</v>
      </c>
      <c r="Y808" s="29">
        <v>7.5981683999999996</v>
      </c>
    </row>
    <row r="809" spans="2:25" ht="15" hidden="1" customHeight="1">
      <c r="B809" s="25">
        <v>804</v>
      </c>
      <c r="C809" s="26" t="s">
        <v>19</v>
      </c>
      <c r="D809" s="26" t="s">
        <v>262</v>
      </c>
      <c r="E809" s="26" t="s">
        <v>263</v>
      </c>
      <c r="F809" s="26"/>
      <c r="G809" s="27" t="s">
        <v>16</v>
      </c>
      <c r="H809" s="28">
        <v>16405</v>
      </c>
      <c r="I809" s="28">
        <v>2315</v>
      </c>
      <c r="J809" s="28">
        <v>1143</v>
      </c>
      <c r="K809" s="28">
        <v>1172</v>
      </c>
      <c r="L809" s="28">
        <v>14090</v>
      </c>
      <c r="M809" s="28">
        <v>21875</v>
      </c>
      <c r="N809" s="28">
        <v>5347</v>
      </c>
      <c r="O809" s="28">
        <v>4342</v>
      </c>
      <c r="P809" s="28">
        <v>1005</v>
      </c>
      <c r="Q809" s="28">
        <v>16528</v>
      </c>
      <c r="R809" s="29">
        <v>14.1115514</v>
      </c>
      <c r="S809" s="29">
        <v>6.9673879999999997</v>
      </c>
      <c r="T809" s="29">
        <v>7.1441634000000001</v>
      </c>
      <c r="U809" s="29">
        <v>85.888448600000004</v>
      </c>
      <c r="V809" s="29">
        <v>24.443428600000001</v>
      </c>
      <c r="W809" s="29">
        <v>19.8491429</v>
      </c>
      <c r="X809" s="29">
        <v>4.5942857000000004</v>
      </c>
      <c r="Y809" s="29">
        <v>75.556571399999996</v>
      </c>
    </row>
    <row r="810" spans="2:25" ht="15" customHeight="1">
      <c r="B810" s="30">
        <v>805</v>
      </c>
      <c r="C810" s="31" t="s">
        <v>21</v>
      </c>
      <c r="D810" s="36" t="s">
        <v>262</v>
      </c>
      <c r="E810" s="36" t="s">
        <v>263</v>
      </c>
      <c r="F810" s="36" t="s">
        <v>262</v>
      </c>
      <c r="G810" s="37" t="s">
        <v>262</v>
      </c>
      <c r="H810" s="32">
        <v>51606</v>
      </c>
      <c r="I810" s="32">
        <v>42022</v>
      </c>
      <c r="J810" s="32">
        <v>17232</v>
      </c>
      <c r="K810" s="32">
        <v>24790</v>
      </c>
      <c r="L810" s="32">
        <v>9584</v>
      </c>
      <c r="M810" s="32">
        <v>67379</v>
      </c>
      <c r="N810" s="32">
        <v>58116</v>
      </c>
      <c r="O810" s="32">
        <v>42369</v>
      </c>
      <c r="P810" s="32">
        <v>15747</v>
      </c>
      <c r="Q810" s="32">
        <v>9263</v>
      </c>
      <c r="R810" s="33">
        <v>81.428516099999996</v>
      </c>
      <c r="S810" s="33">
        <v>33.391466100000002</v>
      </c>
      <c r="T810" s="33">
        <v>48.037050000000001</v>
      </c>
      <c r="U810" s="33">
        <v>18.5714839</v>
      </c>
      <c r="V810" s="33">
        <v>86.2523932</v>
      </c>
      <c r="W810" s="33">
        <v>62.881610000000002</v>
      </c>
      <c r="X810" s="33">
        <v>23.370783200000002</v>
      </c>
      <c r="Y810" s="33">
        <v>13.7476068</v>
      </c>
    </row>
    <row r="811" spans="2:25" ht="15" hidden="1" customHeight="1">
      <c r="B811" s="25">
        <v>806</v>
      </c>
      <c r="C811" s="26" t="s">
        <v>21</v>
      </c>
      <c r="D811" s="26" t="s">
        <v>262</v>
      </c>
      <c r="E811" s="26" t="s">
        <v>263</v>
      </c>
      <c r="F811" s="26" t="s">
        <v>262</v>
      </c>
      <c r="G811" s="27" t="s">
        <v>15</v>
      </c>
      <c r="H811" s="28">
        <v>46764</v>
      </c>
      <c r="I811" s="28">
        <v>41522</v>
      </c>
      <c r="J811" s="28">
        <v>17004</v>
      </c>
      <c r="K811" s="28">
        <v>24518</v>
      </c>
      <c r="L811" s="28">
        <v>5242</v>
      </c>
      <c r="M811" s="28">
        <v>60712</v>
      </c>
      <c r="N811" s="28">
        <v>56099</v>
      </c>
      <c r="O811" s="28">
        <v>40715</v>
      </c>
      <c r="P811" s="28">
        <v>15384</v>
      </c>
      <c r="Q811" s="28">
        <v>4613</v>
      </c>
      <c r="R811" s="29">
        <v>88.790522600000003</v>
      </c>
      <c r="S811" s="29">
        <v>36.361303599999999</v>
      </c>
      <c r="T811" s="29">
        <v>52.429219099999997</v>
      </c>
      <c r="U811" s="29">
        <v>11.209477400000001</v>
      </c>
      <c r="V811" s="29">
        <v>92.401831599999994</v>
      </c>
      <c r="W811" s="29">
        <v>67.062524699999997</v>
      </c>
      <c r="X811" s="29">
        <v>25.3393069</v>
      </c>
      <c r="Y811" s="29">
        <v>7.5981683999999996</v>
      </c>
    </row>
    <row r="812" spans="2:25" ht="15" hidden="1" customHeight="1">
      <c r="B812" s="25">
        <v>807</v>
      </c>
      <c r="C812" s="26" t="s">
        <v>21</v>
      </c>
      <c r="D812" s="26" t="s">
        <v>262</v>
      </c>
      <c r="E812" s="26" t="s">
        <v>263</v>
      </c>
      <c r="F812" s="26" t="s">
        <v>262</v>
      </c>
      <c r="G812" s="27" t="s">
        <v>16</v>
      </c>
      <c r="H812" s="28">
        <v>4842</v>
      </c>
      <c r="I812" s="28">
        <v>500</v>
      </c>
      <c r="J812" s="28">
        <v>228</v>
      </c>
      <c r="K812" s="28">
        <v>272</v>
      </c>
      <c r="L812" s="28">
        <v>4342</v>
      </c>
      <c r="M812" s="28">
        <v>6667</v>
      </c>
      <c r="N812" s="28">
        <v>2017</v>
      </c>
      <c r="O812" s="28">
        <v>1654</v>
      </c>
      <c r="P812" s="28">
        <v>363</v>
      </c>
      <c r="Q812" s="28">
        <v>4650</v>
      </c>
      <c r="R812" s="29">
        <v>10.3263114</v>
      </c>
      <c r="S812" s="29">
        <v>4.7087979999999998</v>
      </c>
      <c r="T812" s="29">
        <v>5.6175134</v>
      </c>
      <c r="U812" s="29">
        <v>89.673688600000006</v>
      </c>
      <c r="V812" s="29">
        <v>30.2534873</v>
      </c>
      <c r="W812" s="29">
        <v>24.808759599999998</v>
      </c>
      <c r="X812" s="29">
        <v>5.4447277999999999</v>
      </c>
      <c r="Y812" s="29">
        <v>69.746512699999997</v>
      </c>
    </row>
    <row r="813" spans="2:25" ht="15" customHeight="1">
      <c r="B813" s="30">
        <v>808</v>
      </c>
      <c r="C813" s="31" t="s">
        <v>21</v>
      </c>
      <c r="D813" s="36" t="s">
        <v>262</v>
      </c>
      <c r="E813" s="36" t="s">
        <v>263</v>
      </c>
      <c r="F813" s="36" t="s">
        <v>264</v>
      </c>
      <c r="G813" s="37" t="s">
        <v>264</v>
      </c>
      <c r="H813" s="32">
        <v>7545</v>
      </c>
      <c r="I813" s="32">
        <v>817</v>
      </c>
      <c r="J813" s="32">
        <v>427</v>
      </c>
      <c r="K813" s="32">
        <v>390</v>
      </c>
      <c r="L813" s="32">
        <v>6728</v>
      </c>
      <c r="M813" s="32">
        <v>9796</v>
      </c>
      <c r="N813" s="32">
        <v>1155</v>
      </c>
      <c r="O813" s="32">
        <v>950</v>
      </c>
      <c r="P813" s="32">
        <v>205</v>
      </c>
      <c r="Q813" s="32">
        <v>8641</v>
      </c>
      <c r="R813" s="33">
        <v>10.8283632</v>
      </c>
      <c r="S813" s="33">
        <v>5.6593771000000004</v>
      </c>
      <c r="T813" s="33">
        <v>5.1689860999999997</v>
      </c>
      <c r="U813" s="33">
        <v>89.171636800000002</v>
      </c>
      <c r="V813" s="33">
        <v>11.790526699999999</v>
      </c>
      <c r="W813" s="33">
        <v>9.6978358999999994</v>
      </c>
      <c r="X813" s="33">
        <v>2.0926909</v>
      </c>
      <c r="Y813" s="33">
        <v>88.209473299999999</v>
      </c>
    </row>
    <row r="814" spans="2:25" ht="15" hidden="1" customHeight="1">
      <c r="B814" s="25">
        <v>809</v>
      </c>
      <c r="C814" s="26" t="s">
        <v>21</v>
      </c>
      <c r="D814" s="26" t="s">
        <v>262</v>
      </c>
      <c r="E814" s="26" t="s">
        <v>263</v>
      </c>
      <c r="F814" s="26" t="s">
        <v>264</v>
      </c>
      <c r="G814" s="27" t="s">
        <v>15</v>
      </c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9"/>
      <c r="S814" s="29"/>
      <c r="T814" s="29"/>
      <c r="U814" s="29"/>
      <c r="V814" s="29"/>
      <c r="W814" s="29"/>
      <c r="X814" s="29"/>
      <c r="Y814" s="29"/>
    </row>
    <row r="815" spans="2:25" ht="15" hidden="1" customHeight="1">
      <c r="B815" s="25">
        <v>810</v>
      </c>
      <c r="C815" s="26" t="s">
        <v>21</v>
      </c>
      <c r="D815" s="26" t="s">
        <v>262</v>
      </c>
      <c r="E815" s="26" t="s">
        <v>263</v>
      </c>
      <c r="F815" s="26" t="s">
        <v>264</v>
      </c>
      <c r="G815" s="27" t="s">
        <v>16</v>
      </c>
      <c r="H815" s="28">
        <v>7545</v>
      </c>
      <c r="I815" s="28">
        <v>817</v>
      </c>
      <c r="J815" s="28">
        <v>427</v>
      </c>
      <c r="K815" s="28">
        <v>390</v>
      </c>
      <c r="L815" s="28">
        <v>6728</v>
      </c>
      <c r="M815" s="28">
        <v>9796</v>
      </c>
      <c r="N815" s="28">
        <v>1155</v>
      </c>
      <c r="O815" s="28">
        <v>950</v>
      </c>
      <c r="P815" s="28">
        <v>205</v>
      </c>
      <c r="Q815" s="28">
        <v>8641</v>
      </c>
      <c r="R815" s="29">
        <v>10.8283632</v>
      </c>
      <c r="S815" s="29">
        <v>5.6593771000000004</v>
      </c>
      <c r="T815" s="29">
        <v>5.1689860999999997</v>
      </c>
      <c r="U815" s="29">
        <v>89.171636800000002</v>
      </c>
      <c r="V815" s="29">
        <v>11.790526699999999</v>
      </c>
      <c r="W815" s="29">
        <v>9.6978358999999994</v>
      </c>
      <c r="X815" s="29">
        <v>2.0926909</v>
      </c>
      <c r="Y815" s="29">
        <v>88.209473299999999</v>
      </c>
    </row>
    <row r="816" spans="2:25" ht="15" customHeight="1">
      <c r="B816" s="30">
        <v>811</v>
      </c>
      <c r="C816" s="31" t="s">
        <v>21</v>
      </c>
      <c r="D816" s="36" t="s">
        <v>262</v>
      </c>
      <c r="E816" s="36" t="s">
        <v>263</v>
      </c>
      <c r="F816" s="36" t="s">
        <v>265</v>
      </c>
      <c r="G816" s="37" t="s">
        <v>265</v>
      </c>
      <c r="H816" s="32">
        <v>2916</v>
      </c>
      <c r="I816" s="32">
        <v>884</v>
      </c>
      <c r="J816" s="32">
        <v>431</v>
      </c>
      <c r="K816" s="32">
        <v>453</v>
      </c>
      <c r="L816" s="32">
        <v>2032</v>
      </c>
      <c r="M816" s="32">
        <v>4191</v>
      </c>
      <c r="N816" s="32">
        <v>1916</v>
      </c>
      <c r="O816" s="32">
        <v>1565</v>
      </c>
      <c r="P816" s="32">
        <v>351</v>
      </c>
      <c r="Q816" s="32">
        <v>2275</v>
      </c>
      <c r="R816" s="33">
        <v>30.315500700000001</v>
      </c>
      <c r="S816" s="33">
        <v>14.7805213</v>
      </c>
      <c r="T816" s="33">
        <v>15.534979399999999</v>
      </c>
      <c r="U816" s="33">
        <v>69.684499299999999</v>
      </c>
      <c r="V816" s="33">
        <v>45.717012599999997</v>
      </c>
      <c r="W816" s="33">
        <v>37.341923199999997</v>
      </c>
      <c r="X816" s="33">
        <v>8.3750894999999996</v>
      </c>
      <c r="Y816" s="33">
        <v>54.282987400000003</v>
      </c>
    </row>
    <row r="817" spans="2:25" ht="15" hidden="1" customHeight="1">
      <c r="B817" s="25">
        <v>812</v>
      </c>
      <c r="C817" s="26" t="s">
        <v>21</v>
      </c>
      <c r="D817" s="26" t="s">
        <v>262</v>
      </c>
      <c r="E817" s="26" t="s">
        <v>263</v>
      </c>
      <c r="F817" s="26" t="s">
        <v>265</v>
      </c>
      <c r="G817" s="27" t="s">
        <v>15</v>
      </c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9"/>
      <c r="S817" s="29"/>
      <c r="T817" s="29"/>
      <c r="U817" s="29"/>
      <c r="V817" s="29"/>
      <c r="W817" s="29"/>
      <c r="X817" s="29"/>
      <c r="Y817" s="29"/>
    </row>
    <row r="818" spans="2:25" ht="15" hidden="1" customHeight="1">
      <c r="B818" s="25">
        <v>813</v>
      </c>
      <c r="C818" s="26" t="s">
        <v>21</v>
      </c>
      <c r="D818" s="26" t="s">
        <v>262</v>
      </c>
      <c r="E818" s="26" t="s">
        <v>263</v>
      </c>
      <c r="F818" s="26" t="s">
        <v>265</v>
      </c>
      <c r="G818" s="27" t="s">
        <v>16</v>
      </c>
      <c r="H818" s="28">
        <v>2916</v>
      </c>
      <c r="I818" s="28">
        <v>884</v>
      </c>
      <c r="J818" s="28">
        <v>431</v>
      </c>
      <c r="K818" s="28">
        <v>453</v>
      </c>
      <c r="L818" s="28">
        <v>2032</v>
      </c>
      <c r="M818" s="28">
        <v>4191</v>
      </c>
      <c r="N818" s="28">
        <v>1916</v>
      </c>
      <c r="O818" s="28">
        <v>1565</v>
      </c>
      <c r="P818" s="28">
        <v>351</v>
      </c>
      <c r="Q818" s="28">
        <v>2275</v>
      </c>
      <c r="R818" s="29">
        <v>30.315500700000001</v>
      </c>
      <c r="S818" s="29">
        <v>14.7805213</v>
      </c>
      <c r="T818" s="29">
        <v>15.534979399999999</v>
      </c>
      <c r="U818" s="29">
        <v>69.684499299999999</v>
      </c>
      <c r="V818" s="29">
        <v>45.717012599999997</v>
      </c>
      <c r="W818" s="29">
        <v>37.341923199999997</v>
      </c>
      <c r="X818" s="29">
        <v>8.3750894999999996</v>
      </c>
      <c r="Y818" s="29">
        <v>54.282987400000003</v>
      </c>
    </row>
    <row r="819" spans="2:25" ht="15" customHeight="1">
      <c r="B819" s="30">
        <v>814</v>
      </c>
      <c r="C819" s="31" t="s">
        <v>21</v>
      </c>
      <c r="D819" s="36" t="s">
        <v>262</v>
      </c>
      <c r="E819" s="36" t="s">
        <v>263</v>
      </c>
      <c r="F819" s="36" t="s">
        <v>266</v>
      </c>
      <c r="G819" s="37" t="s">
        <v>266</v>
      </c>
      <c r="H819" s="32">
        <v>1102</v>
      </c>
      <c r="I819" s="32">
        <v>114</v>
      </c>
      <c r="J819" s="32">
        <v>57</v>
      </c>
      <c r="K819" s="32">
        <v>57</v>
      </c>
      <c r="L819" s="32">
        <v>988</v>
      </c>
      <c r="M819" s="32">
        <v>1221</v>
      </c>
      <c r="N819" s="32">
        <v>259</v>
      </c>
      <c r="O819" s="32">
        <v>173</v>
      </c>
      <c r="P819" s="32">
        <v>86</v>
      </c>
      <c r="Q819" s="32">
        <v>962</v>
      </c>
      <c r="R819" s="33">
        <v>10.3448276</v>
      </c>
      <c r="S819" s="33">
        <v>5.1724138000000002</v>
      </c>
      <c r="T819" s="33">
        <v>5.1724138000000002</v>
      </c>
      <c r="U819" s="33">
        <v>89.655172399999998</v>
      </c>
      <c r="V819" s="33">
        <v>21.212121199999999</v>
      </c>
      <c r="W819" s="33">
        <v>14.1687142</v>
      </c>
      <c r="X819" s="33">
        <v>7.0434070000000002</v>
      </c>
      <c r="Y819" s="33">
        <v>78.787878800000001</v>
      </c>
    </row>
    <row r="820" spans="2:25" ht="15" hidden="1" customHeight="1">
      <c r="B820" s="25">
        <v>815</v>
      </c>
      <c r="C820" s="26" t="s">
        <v>21</v>
      </c>
      <c r="D820" s="26" t="s">
        <v>262</v>
      </c>
      <c r="E820" s="26" t="s">
        <v>263</v>
      </c>
      <c r="F820" s="26" t="s">
        <v>266</v>
      </c>
      <c r="G820" s="27" t="s">
        <v>15</v>
      </c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9"/>
      <c r="S820" s="29"/>
      <c r="T820" s="29"/>
      <c r="U820" s="29"/>
      <c r="V820" s="29"/>
      <c r="W820" s="29"/>
      <c r="X820" s="29"/>
      <c r="Y820" s="29"/>
    </row>
    <row r="821" spans="2:25" ht="15" hidden="1" customHeight="1">
      <c r="B821" s="25">
        <v>816</v>
      </c>
      <c r="C821" s="26" t="s">
        <v>21</v>
      </c>
      <c r="D821" s="26" t="s">
        <v>262</v>
      </c>
      <c r="E821" s="26" t="s">
        <v>263</v>
      </c>
      <c r="F821" s="26" t="s">
        <v>266</v>
      </c>
      <c r="G821" s="27" t="s">
        <v>16</v>
      </c>
      <c r="H821" s="28">
        <v>1102</v>
      </c>
      <c r="I821" s="28">
        <v>114</v>
      </c>
      <c r="J821" s="28">
        <v>57</v>
      </c>
      <c r="K821" s="28">
        <v>57</v>
      </c>
      <c r="L821" s="28">
        <v>988</v>
      </c>
      <c r="M821" s="28">
        <v>1221</v>
      </c>
      <c r="N821" s="28">
        <v>259</v>
      </c>
      <c r="O821" s="28">
        <v>173</v>
      </c>
      <c r="P821" s="28">
        <v>86</v>
      </c>
      <c r="Q821" s="28">
        <v>962</v>
      </c>
      <c r="R821" s="29">
        <v>10.3448276</v>
      </c>
      <c r="S821" s="29">
        <v>5.1724138000000002</v>
      </c>
      <c r="T821" s="29">
        <v>5.1724138000000002</v>
      </c>
      <c r="U821" s="29">
        <v>89.655172399999998</v>
      </c>
      <c r="V821" s="29">
        <v>21.212121199999999</v>
      </c>
      <c r="W821" s="29">
        <v>14.1687142</v>
      </c>
      <c r="X821" s="29">
        <v>7.0434070000000002</v>
      </c>
      <c r="Y821" s="29">
        <v>78.787878800000001</v>
      </c>
    </row>
    <row r="822" spans="2:25" ht="15" hidden="1" customHeight="1">
      <c r="B822" s="21">
        <v>817</v>
      </c>
      <c r="C822" s="22" t="s">
        <v>19</v>
      </c>
      <c r="D822" s="35" t="s">
        <v>262</v>
      </c>
      <c r="E822" s="35" t="s">
        <v>267</v>
      </c>
      <c r="F822" s="35"/>
      <c r="G822" s="22" t="s">
        <v>267</v>
      </c>
      <c r="H822" s="23">
        <v>25965</v>
      </c>
      <c r="I822" s="23">
        <v>10563</v>
      </c>
      <c r="J822" s="23">
        <v>5445</v>
      </c>
      <c r="K822" s="23">
        <v>5118</v>
      </c>
      <c r="L822" s="23">
        <v>15402</v>
      </c>
      <c r="M822" s="23">
        <v>33144</v>
      </c>
      <c r="N822" s="23">
        <v>17376</v>
      </c>
      <c r="O822" s="23">
        <v>13642</v>
      </c>
      <c r="P822" s="23">
        <v>3734</v>
      </c>
      <c r="Q822" s="23">
        <v>15768</v>
      </c>
      <c r="R822" s="24">
        <v>40.681686900000003</v>
      </c>
      <c r="S822" s="24">
        <v>20.9705373</v>
      </c>
      <c r="T822" s="24">
        <v>19.711149599999999</v>
      </c>
      <c r="U822" s="24">
        <v>59.318313099999997</v>
      </c>
      <c r="V822" s="24">
        <v>52.425778399999999</v>
      </c>
      <c r="W822" s="24">
        <v>41.159787600000001</v>
      </c>
      <c r="X822" s="24">
        <v>11.265990800000001</v>
      </c>
      <c r="Y822" s="24">
        <v>47.574221600000001</v>
      </c>
    </row>
    <row r="823" spans="2:25" ht="15" hidden="1" customHeight="1">
      <c r="B823" s="25">
        <v>818</v>
      </c>
      <c r="C823" s="26" t="s">
        <v>19</v>
      </c>
      <c r="D823" s="26" t="s">
        <v>262</v>
      </c>
      <c r="E823" s="26" t="s">
        <v>267</v>
      </c>
      <c r="F823" s="26"/>
      <c r="G823" s="27" t="s">
        <v>15</v>
      </c>
      <c r="H823" s="28">
        <v>14008</v>
      </c>
      <c r="I823" s="28">
        <v>8574</v>
      </c>
      <c r="J823" s="28">
        <v>4271</v>
      </c>
      <c r="K823" s="28">
        <v>4303</v>
      </c>
      <c r="L823" s="28">
        <v>5434</v>
      </c>
      <c r="M823" s="28">
        <v>19003</v>
      </c>
      <c r="N823" s="28">
        <v>13877</v>
      </c>
      <c r="O823" s="28">
        <v>10799</v>
      </c>
      <c r="P823" s="28">
        <v>3078</v>
      </c>
      <c r="Q823" s="28">
        <v>5126</v>
      </c>
      <c r="R823" s="29">
        <v>61.207881200000003</v>
      </c>
      <c r="S823" s="29">
        <v>30.489720200000001</v>
      </c>
      <c r="T823" s="29">
        <v>30.7181611</v>
      </c>
      <c r="U823" s="29">
        <v>38.792118799999997</v>
      </c>
      <c r="V823" s="29">
        <v>73.025311799999997</v>
      </c>
      <c r="W823" s="29">
        <v>56.827869300000003</v>
      </c>
      <c r="X823" s="29">
        <v>16.197442500000001</v>
      </c>
      <c r="Y823" s="29">
        <v>26.974688199999999</v>
      </c>
    </row>
    <row r="824" spans="2:25" ht="15" hidden="1" customHeight="1">
      <c r="B824" s="25">
        <v>819</v>
      </c>
      <c r="C824" s="26" t="s">
        <v>19</v>
      </c>
      <c r="D824" s="26" t="s">
        <v>262</v>
      </c>
      <c r="E824" s="26" t="s">
        <v>267</v>
      </c>
      <c r="F824" s="26"/>
      <c r="G824" s="27" t="s">
        <v>16</v>
      </c>
      <c r="H824" s="28">
        <v>11957</v>
      </c>
      <c r="I824" s="28">
        <v>1989</v>
      </c>
      <c r="J824" s="28">
        <v>1174</v>
      </c>
      <c r="K824" s="28">
        <v>815</v>
      </c>
      <c r="L824" s="28">
        <v>9968</v>
      </c>
      <c r="M824" s="28">
        <v>14141</v>
      </c>
      <c r="N824" s="28">
        <v>3499</v>
      </c>
      <c r="O824" s="28">
        <v>2843</v>
      </c>
      <c r="P824" s="28">
        <v>656</v>
      </c>
      <c r="Q824" s="28">
        <v>10642</v>
      </c>
      <c r="R824" s="29">
        <v>16.634607299999999</v>
      </c>
      <c r="S824" s="29">
        <v>9.8185164</v>
      </c>
      <c r="T824" s="29">
        <v>6.8160910000000001</v>
      </c>
      <c r="U824" s="29">
        <v>83.365392700000001</v>
      </c>
      <c r="V824" s="29">
        <v>24.743653200000001</v>
      </c>
      <c r="W824" s="29">
        <v>20.104660200000001</v>
      </c>
      <c r="X824" s="29">
        <v>4.6389930000000001</v>
      </c>
      <c r="Y824" s="29">
        <v>75.256346800000003</v>
      </c>
    </row>
    <row r="825" spans="2:25" ht="15" customHeight="1">
      <c r="B825" s="30">
        <v>820</v>
      </c>
      <c r="C825" s="31" t="s">
        <v>21</v>
      </c>
      <c r="D825" s="36" t="s">
        <v>262</v>
      </c>
      <c r="E825" s="36" t="s">
        <v>267</v>
      </c>
      <c r="F825" s="36" t="s">
        <v>268</v>
      </c>
      <c r="G825" s="37" t="s">
        <v>268</v>
      </c>
      <c r="H825" s="32">
        <v>6620</v>
      </c>
      <c r="I825" s="32">
        <v>2482</v>
      </c>
      <c r="J825" s="32">
        <v>1542</v>
      </c>
      <c r="K825" s="32">
        <v>940</v>
      </c>
      <c r="L825" s="32">
        <v>4138</v>
      </c>
      <c r="M825" s="32">
        <v>8437</v>
      </c>
      <c r="N825" s="32">
        <v>3782</v>
      </c>
      <c r="O825" s="32">
        <v>3296</v>
      </c>
      <c r="P825" s="32">
        <v>486</v>
      </c>
      <c r="Q825" s="32">
        <v>4655</v>
      </c>
      <c r="R825" s="33">
        <v>37.4924471</v>
      </c>
      <c r="S825" s="33">
        <v>23.2930514</v>
      </c>
      <c r="T825" s="33">
        <v>14.1993958</v>
      </c>
      <c r="U825" s="33">
        <v>62.5075529</v>
      </c>
      <c r="V825" s="33">
        <v>44.826360100000002</v>
      </c>
      <c r="W825" s="33">
        <v>39.066018700000001</v>
      </c>
      <c r="X825" s="33">
        <v>5.7603413999999997</v>
      </c>
      <c r="Y825" s="33">
        <v>55.173639899999998</v>
      </c>
    </row>
    <row r="826" spans="2:25" ht="15" hidden="1" customHeight="1">
      <c r="B826" s="25">
        <v>821</v>
      </c>
      <c r="C826" s="26" t="s">
        <v>21</v>
      </c>
      <c r="D826" s="26" t="s">
        <v>262</v>
      </c>
      <c r="E826" s="26" t="s">
        <v>267</v>
      </c>
      <c r="F826" s="26" t="s">
        <v>268</v>
      </c>
      <c r="G826" s="27" t="s">
        <v>15</v>
      </c>
      <c r="H826" s="28">
        <v>2825</v>
      </c>
      <c r="I826" s="28">
        <v>1522</v>
      </c>
      <c r="J826" s="28">
        <v>963</v>
      </c>
      <c r="K826" s="28">
        <v>559</v>
      </c>
      <c r="L826" s="28">
        <v>1303</v>
      </c>
      <c r="M826" s="28">
        <v>3551</v>
      </c>
      <c r="N826" s="28">
        <v>2399</v>
      </c>
      <c r="O826" s="28">
        <v>2143</v>
      </c>
      <c r="P826" s="28">
        <v>256</v>
      </c>
      <c r="Q826" s="28">
        <v>1152</v>
      </c>
      <c r="R826" s="29">
        <v>53.876106200000002</v>
      </c>
      <c r="S826" s="29">
        <v>34.088495600000002</v>
      </c>
      <c r="T826" s="29">
        <v>19.787610600000001</v>
      </c>
      <c r="U826" s="29">
        <v>46.123893799999998</v>
      </c>
      <c r="V826" s="29">
        <v>67.558434199999994</v>
      </c>
      <c r="W826" s="29">
        <v>60.349197400000001</v>
      </c>
      <c r="X826" s="29">
        <v>7.2092368000000002</v>
      </c>
      <c r="Y826" s="29">
        <v>32.441565799999999</v>
      </c>
    </row>
    <row r="827" spans="2:25" ht="15" hidden="1" customHeight="1">
      <c r="B827" s="25">
        <v>822</v>
      </c>
      <c r="C827" s="26" t="s">
        <v>21</v>
      </c>
      <c r="D827" s="26" t="s">
        <v>262</v>
      </c>
      <c r="E827" s="26" t="s">
        <v>267</v>
      </c>
      <c r="F827" s="26" t="s">
        <v>268</v>
      </c>
      <c r="G827" s="27" t="s">
        <v>16</v>
      </c>
      <c r="H827" s="28">
        <v>3795</v>
      </c>
      <c r="I827" s="28">
        <v>960</v>
      </c>
      <c r="J827" s="28">
        <v>579</v>
      </c>
      <c r="K827" s="28">
        <v>381</v>
      </c>
      <c r="L827" s="28">
        <v>2835</v>
      </c>
      <c r="M827" s="28">
        <v>4886</v>
      </c>
      <c r="N827" s="28">
        <v>1383</v>
      </c>
      <c r="O827" s="28">
        <v>1153</v>
      </c>
      <c r="P827" s="28">
        <v>230</v>
      </c>
      <c r="Q827" s="28">
        <v>3503</v>
      </c>
      <c r="R827" s="29">
        <v>25.2964427</v>
      </c>
      <c r="S827" s="29">
        <v>15.256917</v>
      </c>
      <c r="T827" s="29">
        <v>10.0395257</v>
      </c>
      <c r="U827" s="29">
        <v>74.7035573</v>
      </c>
      <c r="V827" s="29">
        <v>28.305362299999999</v>
      </c>
      <c r="W827" s="29">
        <v>23.598035200000002</v>
      </c>
      <c r="X827" s="29">
        <v>4.7073270999999997</v>
      </c>
      <c r="Y827" s="29">
        <v>71.694637700000001</v>
      </c>
    </row>
    <row r="828" spans="2:25" ht="15" customHeight="1">
      <c r="B828" s="30">
        <v>823</v>
      </c>
      <c r="C828" s="31" t="s">
        <v>21</v>
      </c>
      <c r="D828" s="36" t="s">
        <v>262</v>
      </c>
      <c r="E828" s="36" t="s">
        <v>267</v>
      </c>
      <c r="F828" s="36" t="s">
        <v>269</v>
      </c>
      <c r="G828" s="37" t="s">
        <v>269</v>
      </c>
      <c r="H828" s="32">
        <v>4667</v>
      </c>
      <c r="I828" s="32">
        <v>965</v>
      </c>
      <c r="J828" s="32">
        <v>532</v>
      </c>
      <c r="K828" s="32">
        <v>433</v>
      </c>
      <c r="L828" s="32">
        <v>3702</v>
      </c>
      <c r="M828" s="32">
        <v>5658</v>
      </c>
      <c r="N828" s="32">
        <v>2237</v>
      </c>
      <c r="O828" s="32">
        <v>1846</v>
      </c>
      <c r="P828" s="32">
        <v>391</v>
      </c>
      <c r="Q828" s="32">
        <v>3421</v>
      </c>
      <c r="R828" s="33">
        <v>20.677094499999999</v>
      </c>
      <c r="S828" s="33">
        <v>11.3991858</v>
      </c>
      <c r="T828" s="33">
        <v>9.2779086999999993</v>
      </c>
      <c r="U828" s="33">
        <v>79.322905500000005</v>
      </c>
      <c r="V828" s="33">
        <v>39.536938800000001</v>
      </c>
      <c r="W828" s="33">
        <v>32.626369699999998</v>
      </c>
      <c r="X828" s="33">
        <v>6.9105691</v>
      </c>
      <c r="Y828" s="33">
        <v>60.463061199999999</v>
      </c>
    </row>
    <row r="829" spans="2:25" ht="15" hidden="1" customHeight="1">
      <c r="B829" s="25">
        <v>824</v>
      </c>
      <c r="C829" s="26" t="s">
        <v>21</v>
      </c>
      <c r="D829" s="26" t="s">
        <v>262</v>
      </c>
      <c r="E829" s="26" t="s">
        <v>267</v>
      </c>
      <c r="F829" s="26" t="s">
        <v>269</v>
      </c>
      <c r="G829" s="27" t="s">
        <v>15</v>
      </c>
      <c r="H829" s="28">
        <v>810</v>
      </c>
      <c r="I829" s="28">
        <v>494</v>
      </c>
      <c r="J829" s="28">
        <v>303</v>
      </c>
      <c r="K829" s="28">
        <v>191</v>
      </c>
      <c r="L829" s="28">
        <v>316</v>
      </c>
      <c r="M829" s="28">
        <v>1044</v>
      </c>
      <c r="N829" s="28">
        <v>820</v>
      </c>
      <c r="O829" s="28">
        <v>695</v>
      </c>
      <c r="P829" s="28">
        <v>125</v>
      </c>
      <c r="Q829" s="28">
        <v>224</v>
      </c>
      <c r="R829" s="29">
        <v>60.987654300000003</v>
      </c>
      <c r="S829" s="29">
        <v>37.407407399999997</v>
      </c>
      <c r="T829" s="29">
        <v>23.580246899999999</v>
      </c>
      <c r="U829" s="29">
        <v>39.012345699999997</v>
      </c>
      <c r="V829" s="29">
        <v>78.544061299999996</v>
      </c>
      <c r="W829" s="29">
        <v>66.570881200000002</v>
      </c>
      <c r="X829" s="29">
        <v>11.9731801</v>
      </c>
      <c r="Y829" s="29">
        <v>21.455938700000001</v>
      </c>
    </row>
    <row r="830" spans="2:25" ht="15" hidden="1" customHeight="1">
      <c r="B830" s="25">
        <v>825</v>
      </c>
      <c r="C830" s="26" t="s">
        <v>21</v>
      </c>
      <c r="D830" s="26" t="s">
        <v>262</v>
      </c>
      <c r="E830" s="26" t="s">
        <v>267</v>
      </c>
      <c r="F830" s="26" t="s">
        <v>269</v>
      </c>
      <c r="G830" s="27" t="s">
        <v>16</v>
      </c>
      <c r="H830" s="28">
        <v>3857</v>
      </c>
      <c r="I830" s="28">
        <v>471</v>
      </c>
      <c r="J830" s="28">
        <v>229</v>
      </c>
      <c r="K830" s="28">
        <v>242</v>
      </c>
      <c r="L830" s="28">
        <v>3386</v>
      </c>
      <c r="M830" s="28">
        <v>4614</v>
      </c>
      <c r="N830" s="28">
        <v>1417</v>
      </c>
      <c r="O830" s="28">
        <v>1151</v>
      </c>
      <c r="P830" s="28">
        <v>266</v>
      </c>
      <c r="Q830" s="28">
        <v>3197</v>
      </c>
      <c r="R830" s="29">
        <v>12.211563399999999</v>
      </c>
      <c r="S830" s="29">
        <v>5.9372569000000004</v>
      </c>
      <c r="T830" s="29">
        <v>6.2743064999999998</v>
      </c>
      <c r="U830" s="29">
        <v>87.788436599999997</v>
      </c>
      <c r="V830" s="29">
        <v>30.710879899999998</v>
      </c>
      <c r="W830" s="29">
        <v>24.945817099999999</v>
      </c>
      <c r="X830" s="29">
        <v>5.7650629000000002</v>
      </c>
      <c r="Y830" s="29">
        <v>69.289120100000005</v>
      </c>
    </row>
    <row r="831" spans="2:25" ht="15" customHeight="1">
      <c r="B831" s="30">
        <v>826</v>
      </c>
      <c r="C831" s="31" t="s">
        <v>21</v>
      </c>
      <c r="D831" s="36" t="s">
        <v>262</v>
      </c>
      <c r="E831" s="36" t="s">
        <v>267</v>
      </c>
      <c r="F831" s="36" t="s">
        <v>270</v>
      </c>
      <c r="G831" s="37" t="s">
        <v>270</v>
      </c>
      <c r="H831" s="32">
        <v>12409</v>
      </c>
      <c r="I831" s="32">
        <v>6972</v>
      </c>
      <c r="J831" s="32">
        <v>3293</v>
      </c>
      <c r="K831" s="32">
        <v>3679</v>
      </c>
      <c r="L831" s="32">
        <v>5437</v>
      </c>
      <c r="M831" s="32">
        <v>16017</v>
      </c>
      <c r="N831" s="32">
        <v>10729</v>
      </c>
      <c r="O831" s="32">
        <v>8021</v>
      </c>
      <c r="P831" s="32">
        <v>2708</v>
      </c>
      <c r="Q831" s="32">
        <v>5288</v>
      </c>
      <c r="R831" s="33">
        <v>56.185026999999998</v>
      </c>
      <c r="S831" s="33">
        <v>26.5371907</v>
      </c>
      <c r="T831" s="33">
        <v>29.6478362</v>
      </c>
      <c r="U831" s="33">
        <v>43.814973000000002</v>
      </c>
      <c r="V831" s="33">
        <v>66.985078400000006</v>
      </c>
      <c r="W831" s="33">
        <v>50.078042099999998</v>
      </c>
      <c r="X831" s="33">
        <v>16.907036300000001</v>
      </c>
      <c r="Y831" s="33">
        <v>33.014921600000001</v>
      </c>
    </row>
    <row r="832" spans="2:25" ht="15" hidden="1" customHeight="1">
      <c r="B832" s="25">
        <v>827</v>
      </c>
      <c r="C832" s="26" t="s">
        <v>21</v>
      </c>
      <c r="D832" s="26" t="s">
        <v>262</v>
      </c>
      <c r="E832" s="26" t="s">
        <v>267</v>
      </c>
      <c r="F832" s="26" t="s">
        <v>270</v>
      </c>
      <c r="G832" s="27" t="s">
        <v>15</v>
      </c>
      <c r="H832" s="28">
        <v>10373</v>
      </c>
      <c r="I832" s="28">
        <v>6558</v>
      </c>
      <c r="J832" s="28">
        <v>3005</v>
      </c>
      <c r="K832" s="28">
        <v>3553</v>
      </c>
      <c r="L832" s="28">
        <v>3815</v>
      </c>
      <c r="M832" s="28">
        <v>13731</v>
      </c>
      <c r="N832" s="28">
        <v>10262</v>
      </c>
      <c r="O832" s="28">
        <v>7649</v>
      </c>
      <c r="P832" s="28">
        <v>2613</v>
      </c>
      <c r="Q832" s="28">
        <v>3469</v>
      </c>
      <c r="R832" s="29">
        <v>63.221825899999999</v>
      </c>
      <c r="S832" s="29">
        <v>28.969439900000001</v>
      </c>
      <c r="T832" s="29">
        <v>34.252386000000001</v>
      </c>
      <c r="U832" s="29">
        <v>36.778174100000001</v>
      </c>
      <c r="V832" s="29">
        <v>74.735998800000004</v>
      </c>
      <c r="W832" s="29">
        <v>55.7060666</v>
      </c>
      <c r="X832" s="29">
        <v>19.029932299999999</v>
      </c>
      <c r="Y832" s="29">
        <v>25.264001199999999</v>
      </c>
    </row>
    <row r="833" spans="2:25" ht="15" hidden="1" customHeight="1">
      <c r="B833" s="25">
        <v>828</v>
      </c>
      <c r="C833" s="26" t="s">
        <v>21</v>
      </c>
      <c r="D833" s="26" t="s">
        <v>262</v>
      </c>
      <c r="E833" s="26" t="s">
        <v>267</v>
      </c>
      <c r="F833" s="26" t="s">
        <v>270</v>
      </c>
      <c r="G833" s="27" t="s">
        <v>16</v>
      </c>
      <c r="H833" s="28">
        <v>2036</v>
      </c>
      <c r="I833" s="28">
        <v>414</v>
      </c>
      <c r="J833" s="28">
        <v>288</v>
      </c>
      <c r="K833" s="28">
        <v>126</v>
      </c>
      <c r="L833" s="28">
        <v>1622</v>
      </c>
      <c r="M833" s="28">
        <v>2286</v>
      </c>
      <c r="N833" s="28">
        <v>467</v>
      </c>
      <c r="O833" s="28">
        <v>372</v>
      </c>
      <c r="P833" s="28">
        <v>95</v>
      </c>
      <c r="Q833" s="28">
        <v>1819</v>
      </c>
      <c r="R833" s="29">
        <v>20.3339882</v>
      </c>
      <c r="S833" s="29">
        <v>14.1453831</v>
      </c>
      <c r="T833" s="29">
        <v>6.1886051000000002</v>
      </c>
      <c r="U833" s="29">
        <v>79.666011800000007</v>
      </c>
      <c r="V833" s="29">
        <v>20.4286964</v>
      </c>
      <c r="W833" s="29">
        <v>16.272965899999999</v>
      </c>
      <c r="X833" s="29">
        <v>4.1557304999999998</v>
      </c>
      <c r="Y833" s="29">
        <v>79.571303599999993</v>
      </c>
    </row>
    <row r="834" spans="2:25" ht="15" customHeight="1">
      <c r="B834" s="30">
        <v>829</v>
      </c>
      <c r="C834" s="31" t="s">
        <v>21</v>
      </c>
      <c r="D834" s="36" t="s">
        <v>262</v>
      </c>
      <c r="E834" s="36" t="s">
        <v>267</v>
      </c>
      <c r="F834" s="36" t="s">
        <v>271</v>
      </c>
      <c r="G834" s="37" t="s">
        <v>271</v>
      </c>
      <c r="H834" s="32">
        <v>2269</v>
      </c>
      <c r="I834" s="32">
        <v>144</v>
      </c>
      <c r="J834" s="32">
        <v>78</v>
      </c>
      <c r="K834" s="32">
        <v>66</v>
      </c>
      <c r="L834" s="32">
        <v>2125</v>
      </c>
      <c r="M834" s="32">
        <v>3032</v>
      </c>
      <c r="N834" s="32">
        <v>628</v>
      </c>
      <c r="O834" s="32">
        <v>479</v>
      </c>
      <c r="P834" s="32">
        <v>149</v>
      </c>
      <c r="Q834" s="32">
        <v>2404</v>
      </c>
      <c r="R834" s="33">
        <v>6.3464080999999997</v>
      </c>
      <c r="S834" s="33">
        <v>3.4376376999999998</v>
      </c>
      <c r="T834" s="33">
        <v>2.9087703999999999</v>
      </c>
      <c r="U834" s="33">
        <v>93.653591899999995</v>
      </c>
      <c r="V834" s="33">
        <v>20.712401100000001</v>
      </c>
      <c r="W834" s="33">
        <v>15.798152999999999</v>
      </c>
      <c r="X834" s="33">
        <v>4.9142479999999997</v>
      </c>
      <c r="Y834" s="33">
        <v>79.287598900000006</v>
      </c>
    </row>
    <row r="835" spans="2:25" ht="15" hidden="1" customHeight="1">
      <c r="B835" s="25">
        <v>830</v>
      </c>
      <c r="C835" s="26" t="s">
        <v>21</v>
      </c>
      <c r="D835" s="26" t="s">
        <v>262</v>
      </c>
      <c r="E835" s="26" t="s">
        <v>267</v>
      </c>
      <c r="F835" s="26" t="s">
        <v>271</v>
      </c>
      <c r="G835" s="27" t="s">
        <v>15</v>
      </c>
      <c r="H835" s="28"/>
      <c r="I835" s="28"/>
      <c r="J835" s="28"/>
      <c r="K835" s="28"/>
      <c r="L835" s="28"/>
      <c r="M835" s="28">
        <v>677</v>
      </c>
      <c r="N835" s="28">
        <v>396</v>
      </c>
      <c r="O835" s="28">
        <v>312</v>
      </c>
      <c r="P835" s="28">
        <v>84</v>
      </c>
      <c r="Q835" s="28">
        <v>281</v>
      </c>
      <c r="R835" s="29"/>
      <c r="S835" s="29"/>
      <c r="T835" s="29"/>
      <c r="U835" s="29"/>
      <c r="V835" s="29">
        <v>58.493352999999999</v>
      </c>
      <c r="W835" s="29">
        <v>46.085672099999996</v>
      </c>
      <c r="X835" s="29">
        <v>12.407680900000001</v>
      </c>
      <c r="Y835" s="29">
        <v>41.506647000000001</v>
      </c>
    </row>
    <row r="836" spans="2:25" ht="15" hidden="1" customHeight="1">
      <c r="B836" s="25">
        <v>831</v>
      </c>
      <c r="C836" s="26" t="s">
        <v>21</v>
      </c>
      <c r="D836" s="26" t="s">
        <v>262</v>
      </c>
      <c r="E836" s="26" t="s">
        <v>267</v>
      </c>
      <c r="F836" s="26" t="s">
        <v>271</v>
      </c>
      <c r="G836" s="27" t="s">
        <v>16</v>
      </c>
      <c r="H836" s="28">
        <v>2269</v>
      </c>
      <c r="I836" s="28">
        <v>144</v>
      </c>
      <c r="J836" s="28">
        <v>78</v>
      </c>
      <c r="K836" s="28">
        <v>66</v>
      </c>
      <c r="L836" s="28">
        <v>2125</v>
      </c>
      <c r="M836" s="28">
        <v>2355</v>
      </c>
      <c r="N836" s="28">
        <v>232</v>
      </c>
      <c r="O836" s="28">
        <v>167</v>
      </c>
      <c r="P836" s="28">
        <v>65</v>
      </c>
      <c r="Q836" s="28">
        <v>2123</v>
      </c>
      <c r="R836" s="29">
        <v>6.3464080999999997</v>
      </c>
      <c r="S836" s="29">
        <v>3.4376376999999998</v>
      </c>
      <c r="T836" s="29">
        <v>2.9087703999999999</v>
      </c>
      <c r="U836" s="29">
        <v>93.653591899999995</v>
      </c>
      <c r="V836" s="29">
        <v>9.8513800000000007</v>
      </c>
      <c r="W836" s="29">
        <v>7.0912951</v>
      </c>
      <c r="X836" s="29">
        <v>2.7600848999999998</v>
      </c>
      <c r="Y836" s="29">
        <v>90.148619999999994</v>
      </c>
    </row>
    <row r="837" spans="2:25" ht="15" hidden="1" customHeight="1">
      <c r="B837" s="21">
        <v>832</v>
      </c>
      <c r="C837" s="22" t="s">
        <v>19</v>
      </c>
      <c r="D837" s="35" t="s">
        <v>262</v>
      </c>
      <c r="E837" s="35" t="s">
        <v>272</v>
      </c>
      <c r="F837" s="35"/>
      <c r="G837" s="22" t="s">
        <v>272</v>
      </c>
      <c r="H837" s="23">
        <v>16840</v>
      </c>
      <c r="I837" s="23">
        <v>3620</v>
      </c>
      <c r="J837" s="23">
        <v>1920</v>
      </c>
      <c r="K837" s="23">
        <v>1700</v>
      </c>
      <c r="L837" s="23">
        <v>13220</v>
      </c>
      <c r="M837" s="23">
        <v>19584</v>
      </c>
      <c r="N837" s="23">
        <v>6646</v>
      </c>
      <c r="O837" s="23">
        <v>5842</v>
      </c>
      <c r="P837" s="23">
        <v>804</v>
      </c>
      <c r="Q837" s="23">
        <v>12938</v>
      </c>
      <c r="R837" s="24">
        <v>21.496437100000001</v>
      </c>
      <c r="S837" s="24">
        <v>11.4014252</v>
      </c>
      <c r="T837" s="24">
        <v>10.095011899999999</v>
      </c>
      <c r="U837" s="24">
        <v>78.503562900000006</v>
      </c>
      <c r="V837" s="24">
        <v>33.935865999999997</v>
      </c>
      <c r="W837" s="24">
        <v>29.830473900000001</v>
      </c>
      <c r="X837" s="24">
        <v>4.1053921999999998</v>
      </c>
      <c r="Y837" s="24">
        <v>66.064133999999996</v>
      </c>
    </row>
    <row r="838" spans="2:25" ht="15" hidden="1" customHeight="1">
      <c r="B838" s="25">
        <v>833</v>
      </c>
      <c r="C838" s="26" t="s">
        <v>19</v>
      </c>
      <c r="D838" s="26" t="s">
        <v>262</v>
      </c>
      <c r="E838" s="26" t="s">
        <v>272</v>
      </c>
      <c r="F838" s="26"/>
      <c r="G838" s="27" t="s">
        <v>15</v>
      </c>
      <c r="H838" s="28">
        <v>1438</v>
      </c>
      <c r="I838" s="28">
        <v>1084</v>
      </c>
      <c r="J838" s="28">
        <v>479</v>
      </c>
      <c r="K838" s="28">
        <v>605</v>
      </c>
      <c r="L838" s="28">
        <v>354</v>
      </c>
      <c r="M838" s="28">
        <v>2182</v>
      </c>
      <c r="N838" s="28">
        <v>1732</v>
      </c>
      <c r="O838" s="28">
        <v>1492</v>
      </c>
      <c r="P838" s="28">
        <v>240</v>
      </c>
      <c r="Q838" s="28">
        <v>450</v>
      </c>
      <c r="R838" s="29">
        <v>75.382475700000001</v>
      </c>
      <c r="S838" s="29">
        <v>33.310153</v>
      </c>
      <c r="T838" s="29">
        <v>42.072322700000001</v>
      </c>
      <c r="U838" s="29">
        <v>24.617524299999999</v>
      </c>
      <c r="V838" s="29">
        <v>79.376718600000004</v>
      </c>
      <c r="W838" s="29">
        <v>68.3776352</v>
      </c>
      <c r="X838" s="29">
        <v>10.9990834</v>
      </c>
      <c r="Y838" s="29">
        <v>20.6232814</v>
      </c>
    </row>
    <row r="839" spans="2:25" ht="15" hidden="1" customHeight="1">
      <c r="B839" s="25">
        <v>834</v>
      </c>
      <c r="C839" s="26" t="s">
        <v>19</v>
      </c>
      <c r="D839" s="26" t="s">
        <v>262</v>
      </c>
      <c r="E839" s="26" t="s">
        <v>272</v>
      </c>
      <c r="F839" s="26"/>
      <c r="G839" s="27" t="s">
        <v>16</v>
      </c>
      <c r="H839" s="28">
        <v>15402</v>
      </c>
      <c r="I839" s="28">
        <v>2536</v>
      </c>
      <c r="J839" s="28">
        <v>1441</v>
      </c>
      <c r="K839" s="28">
        <v>1095</v>
      </c>
      <c r="L839" s="28">
        <v>12866</v>
      </c>
      <c r="M839" s="28">
        <v>17402</v>
      </c>
      <c r="N839" s="28">
        <v>4914</v>
      </c>
      <c r="O839" s="28">
        <v>4350</v>
      </c>
      <c r="P839" s="28">
        <v>564</v>
      </c>
      <c r="Q839" s="28">
        <v>12488</v>
      </c>
      <c r="R839" s="29">
        <v>16.465394100000001</v>
      </c>
      <c r="S839" s="29">
        <v>9.3559277999999999</v>
      </c>
      <c r="T839" s="29">
        <v>7.1094663000000002</v>
      </c>
      <c r="U839" s="29">
        <v>83.534605900000003</v>
      </c>
      <c r="V839" s="29">
        <v>28.2381335</v>
      </c>
      <c r="W839" s="29">
        <v>24.9971268</v>
      </c>
      <c r="X839" s="29">
        <v>3.2410068000000001</v>
      </c>
      <c r="Y839" s="29">
        <v>71.761866499999996</v>
      </c>
    </row>
    <row r="840" spans="2:25" ht="15" customHeight="1">
      <c r="B840" s="30">
        <v>835</v>
      </c>
      <c r="C840" s="31" t="s">
        <v>21</v>
      </c>
      <c r="D840" s="36" t="s">
        <v>262</v>
      </c>
      <c r="E840" s="36" t="s">
        <v>272</v>
      </c>
      <c r="F840" s="36" t="s">
        <v>273</v>
      </c>
      <c r="G840" s="37" t="s">
        <v>273</v>
      </c>
      <c r="H840" s="32">
        <v>9721</v>
      </c>
      <c r="I840" s="32">
        <v>2685</v>
      </c>
      <c r="J840" s="32">
        <v>1470</v>
      </c>
      <c r="K840" s="32">
        <v>1215</v>
      </c>
      <c r="L840" s="32">
        <v>7036</v>
      </c>
      <c r="M840" s="32">
        <v>10921</v>
      </c>
      <c r="N840" s="32">
        <v>4775</v>
      </c>
      <c r="O840" s="32">
        <v>4229</v>
      </c>
      <c r="P840" s="32">
        <v>546</v>
      </c>
      <c r="Q840" s="32">
        <v>6146</v>
      </c>
      <c r="R840" s="33">
        <v>27.6206152</v>
      </c>
      <c r="S840" s="33">
        <v>15.121900999999999</v>
      </c>
      <c r="T840" s="33">
        <v>12.498714100000001</v>
      </c>
      <c r="U840" s="33">
        <v>72.379384799999997</v>
      </c>
      <c r="V840" s="33">
        <v>43.723102300000001</v>
      </c>
      <c r="W840" s="33">
        <v>38.7235601</v>
      </c>
      <c r="X840" s="33">
        <v>4.9995421999999996</v>
      </c>
      <c r="Y840" s="33">
        <v>56.276897699999999</v>
      </c>
    </row>
    <row r="841" spans="2:25" ht="15" hidden="1" customHeight="1">
      <c r="B841" s="25">
        <v>836</v>
      </c>
      <c r="C841" s="26" t="s">
        <v>21</v>
      </c>
      <c r="D841" s="26" t="s">
        <v>262</v>
      </c>
      <c r="E841" s="26" t="s">
        <v>272</v>
      </c>
      <c r="F841" s="26" t="s">
        <v>273</v>
      </c>
      <c r="G841" s="27" t="s">
        <v>15</v>
      </c>
      <c r="H841" s="28">
        <v>1438</v>
      </c>
      <c r="I841" s="28">
        <v>1084</v>
      </c>
      <c r="J841" s="28">
        <v>479</v>
      </c>
      <c r="K841" s="28">
        <v>605</v>
      </c>
      <c r="L841" s="28">
        <v>354</v>
      </c>
      <c r="M841" s="28">
        <v>2182</v>
      </c>
      <c r="N841" s="28">
        <v>1732</v>
      </c>
      <c r="O841" s="28">
        <v>1492</v>
      </c>
      <c r="P841" s="28">
        <v>240</v>
      </c>
      <c r="Q841" s="28">
        <v>450</v>
      </c>
      <c r="R841" s="29">
        <v>75.382475700000001</v>
      </c>
      <c r="S841" s="29">
        <v>33.310153</v>
      </c>
      <c r="T841" s="29">
        <v>42.072322700000001</v>
      </c>
      <c r="U841" s="29">
        <v>24.617524299999999</v>
      </c>
      <c r="V841" s="29">
        <v>79.376718600000004</v>
      </c>
      <c r="W841" s="29">
        <v>68.3776352</v>
      </c>
      <c r="X841" s="29">
        <v>10.9990834</v>
      </c>
      <c r="Y841" s="29">
        <v>20.6232814</v>
      </c>
    </row>
    <row r="842" spans="2:25" ht="15" hidden="1" customHeight="1">
      <c r="B842" s="25">
        <v>837</v>
      </c>
      <c r="C842" s="26" t="s">
        <v>21</v>
      </c>
      <c r="D842" s="26" t="s">
        <v>262</v>
      </c>
      <c r="E842" s="26" t="s">
        <v>272</v>
      </c>
      <c r="F842" s="26" t="s">
        <v>273</v>
      </c>
      <c r="G842" s="27" t="s">
        <v>16</v>
      </c>
      <c r="H842" s="28">
        <v>8283</v>
      </c>
      <c r="I842" s="28">
        <v>1601</v>
      </c>
      <c r="J842" s="28">
        <v>991</v>
      </c>
      <c r="K842" s="28">
        <v>610</v>
      </c>
      <c r="L842" s="28">
        <v>6682</v>
      </c>
      <c r="M842" s="28">
        <v>8739</v>
      </c>
      <c r="N842" s="28">
        <v>3043</v>
      </c>
      <c r="O842" s="28">
        <v>2737</v>
      </c>
      <c r="P842" s="28">
        <v>306</v>
      </c>
      <c r="Q842" s="28">
        <v>5696</v>
      </c>
      <c r="R842" s="29">
        <v>19.328745600000001</v>
      </c>
      <c r="S842" s="29">
        <v>11.964264200000001</v>
      </c>
      <c r="T842" s="29">
        <v>7.3644815000000001</v>
      </c>
      <c r="U842" s="29">
        <v>80.671254399999995</v>
      </c>
      <c r="V842" s="29">
        <v>34.820917700000003</v>
      </c>
      <c r="W842" s="29">
        <v>31.319372900000001</v>
      </c>
      <c r="X842" s="29">
        <v>3.5015448</v>
      </c>
      <c r="Y842" s="29">
        <v>65.179082300000005</v>
      </c>
    </row>
    <row r="843" spans="2:25" ht="15" customHeight="1">
      <c r="B843" s="30">
        <v>838</v>
      </c>
      <c r="C843" s="31" t="s">
        <v>21</v>
      </c>
      <c r="D843" s="36" t="s">
        <v>262</v>
      </c>
      <c r="E843" s="36" t="s">
        <v>272</v>
      </c>
      <c r="F843" s="36" t="s">
        <v>274</v>
      </c>
      <c r="G843" s="37" t="s">
        <v>274</v>
      </c>
      <c r="H843" s="32">
        <v>3222</v>
      </c>
      <c r="I843" s="32">
        <v>839</v>
      </c>
      <c r="J843" s="32">
        <v>395</v>
      </c>
      <c r="K843" s="32">
        <v>444</v>
      </c>
      <c r="L843" s="32">
        <v>2383</v>
      </c>
      <c r="M843" s="32">
        <v>3482</v>
      </c>
      <c r="N843" s="32">
        <v>1393</v>
      </c>
      <c r="O843" s="32">
        <v>1244</v>
      </c>
      <c r="P843" s="32">
        <v>149</v>
      </c>
      <c r="Q843" s="32">
        <v>2089</v>
      </c>
      <c r="R843" s="33">
        <v>26.039726900000002</v>
      </c>
      <c r="S843" s="33">
        <v>12.2594662</v>
      </c>
      <c r="T843" s="33">
        <v>13.780260699999999</v>
      </c>
      <c r="U843" s="33">
        <v>73.960273099999995</v>
      </c>
      <c r="V843" s="33">
        <v>40.005743799999998</v>
      </c>
      <c r="W843" s="33">
        <v>35.726593899999997</v>
      </c>
      <c r="X843" s="33">
        <v>4.2791499000000002</v>
      </c>
      <c r="Y843" s="33">
        <v>59.994256200000002</v>
      </c>
    </row>
    <row r="844" spans="2:25" ht="15" hidden="1" customHeight="1">
      <c r="B844" s="25">
        <v>839</v>
      </c>
      <c r="C844" s="26" t="s">
        <v>21</v>
      </c>
      <c r="D844" s="26" t="s">
        <v>262</v>
      </c>
      <c r="E844" s="26" t="s">
        <v>272</v>
      </c>
      <c r="F844" s="26" t="s">
        <v>274</v>
      </c>
      <c r="G844" s="27" t="s">
        <v>15</v>
      </c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9"/>
      <c r="S844" s="29"/>
      <c r="T844" s="29"/>
      <c r="U844" s="29"/>
      <c r="V844" s="29"/>
      <c r="W844" s="29"/>
      <c r="X844" s="29"/>
      <c r="Y844" s="29"/>
    </row>
    <row r="845" spans="2:25" ht="15" hidden="1" customHeight="1">
      <c r="B845" s="25">
        <v>840</v>
      </c>
      <c r="C845" s="26" t="s">
        <v>21</v>
      </c>
      <c r="D845" s="26" t="s">
        <v>262</v>
      </c>
      <c r="E845" s="26" t="s">
        <v>272</v>
      </c>
      <c r="F845" s="26" t="s">
        <v>274</v>
      </c>
      <c r="G845" s="27" t="s">
        <v>16</v>
      </c>
      <c r="H845" s="28">
        <v>3222</v>
      </c>
      <c r="I845" s="28">
        <v>839</v>
      </c>
      <c r="J845" s="28">
        <v>395</v>
      </c>
      <c r="K845" s="28">
        <v>444</v>
      </c>
      <c r="L845" s="28">
        <v>2383</v>
      </c>
      <c r="M845" s="28">
        <v>3482</v>
      </c>
      <c r="N845" s="28">
        <v>1393</v>
      </c>
      <c r="O845" s="28">
        <v>1244</v>
      </c>
      <c r="P845" s="28">
        <v>149</v>
      </c>
      <c r="Q845" s="28">
        <v>2089</v>
      </c>
      <c r="R845" s="29">
        <v>26.039726900000002</v>
      </c>
      <c r="S845" s="29">
        <v>12.2594662</v>
      </c>
      <c r="T845" s="29">
        <v>13.780260699999999</v>
      </c>
      <c r="U845" s="29">
        <v>73.960273099999995</v>
      </c>
      <c r="V845" s="29">
        <v>40.005743799999998</v>
      </c>
      <c r="W845" s="29">
        <v>35.726593899999997</v>
      </c>
      <c r="X845" s="29">
        <v>4.2791499000000002</v>
      </c>
      <c r="Y845" s="29">
        <v>59.994256200000002</v>
      </c>
    </row>
    <row r="846" spans="2:25" ht="15" customHeight="1">
      <c r="B846" s="30">
        <v>841</v>
      </c>
      <c r="C846" s="31" t="s">
        <v>21</v>
      </c>
      <c r="D846" s="36" t="s">
        <v>262</v>
      </c>
      <c r="E846" s="36" t="s">
        <v>272</v>
      </c>
      <c r="F846" s="36" t="s">
        <v>275</v>
      </c>
      <c r="G846" s="37" t="s">
        <v>275</v>
      </c>
      <c r="H846" s="32">
        <v>3897</v>
      </c>
      <c r="I846" s="32">
        <v>96</v>
      </c>
      <c r="J846" s="32">
        <v>55</v>
      </c>
      <c r="K846" s="32">
        <v>41</v>
      </c>
      <c r="L846" s="32">
        <v>3801</v>
      </c>
      <c r="M846" s="32">
        <v>5181</v>
      </c>
      <c r="N846" s="32">
        <v>478</v>
      </c>
      <c r="O846" s="32">
        <v>369</v>
      </c>
      <c r="P846" s="32">
        <v>109</v>
      </c>
      <c r="Q846" s="32">
        <v>4703</v>
      </c>
      <c r="R846" s="33">
        <v>2.4634334</v>
      </c>
      <c r="S846" s="33">
        <v>1.4113420999999999</v>
      </c>
      <c r="T846" s="33">
        <v>1.0520913999999999</v>
      </c>
      <c r="U846" s="33">
        <v>97.5365666</v>
      </c>
      <c r="V846" s="33">
        <v>9.2260180999999992</v>
      </c>
      <c r="W846" s="33">
        <v>7.1221772000000003</v>
      </c>
      <c r="X846" s="33">
        <v>2.1038410000000001</v>
      </c>
      <c r="Y846" s="33">
        <v>90.773981899999995</v>
      </c>
    </row>
    <row r="847" spans="2:25" ht="15" hidden="1" customHeight="1">
      <c r="B847" s="25">
        <v>842</v>
      </c>
      <c r="C847" s="26" t="s">
        <v>21</v>
      </c>
      <c r="D847" s="26" t="s">
        <v>262</v>
      </c>
      <c r="E847" s="26" t="s">
        <v>272</v>
      </c>
      <c r="F847" s="26" t="s">
        <v>275</v>
      </c>
      <c r="G847" s="27" t="s">
        <v>15</v>
      </c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9"/>
      <c r="S847" s="29"/>
      <c r="T847" s="29"/>
      <c r="U847" s="29"/>
      <c r="V847" s="29"/>
      <c r="W847" s="29"/>
      <c r="X847" s="29"/>
      <c r="Y847" s="29"/>
    </row>
    <row r="848" spans="2:25" ht="15" hidden="1" customHeight="1">
      <c r="B848" s="25">
        <v>843</v>
      </c>
      <c r="C848" s="26" t="s">
        <v>21</v>
      </c>
      <c r="D848" s="26" t="s">
        <v>262</v>
      </c>
      <c r="E848" s="26" t="s">
        <v>272</v>
      </c>
      <c r="F848" s="26" t="s">
        <v>275</v>
      </c>
      <c r="G848" s="27" t="s">
        <v>16</v>
      </c>
      <c r="H848" s="28">
        <v>3897</v>
      </c>
      <c r="I848" s="28">
        <v>96</v>
      </c>
      <c r="J848" s="28">
        <v>55</v>
      </c>
      <c r="K848" s="28">
        <v>41</v>
      </c>
      <c r="L848" s="28">
        <v>3801</v>
      </c>
      <c r="M848" s="28">
        <v>5181</v>
      </c>
      <c r="N848" s="28">
        <v>478</v>
      </c>
      <c r="O848" s="28">
        <v>369</v>
      </c>
      <c r="P848" s="28">
        <v>109</v>
      </c>
      <c r="Q848" s="28">
        <v>4703</v>
      </c>
      <c r="R848" s="29">
        <v>2.4634334</v>
      </c>
      <c r="S848" s="29">
        <v>1.4113420999999999</v>
      </c>
      <c r="T848" s="29">
        <v>1.0520913999999999</v>
      </c>
      <c r="U848" s="29">
        <v>97.5365666</v>
      </c>
      <c r="V848" s="29">
        <v>9.2260180999999992</v>
      </c>
      <c r="W848" s="29">
        <v>7.1221772000000003</v>
      </c>
      <c r="X848" s="29">
        <v>2.1038410000000001</v>
      </c>
      <c r="Y848" s="29">
        <v>90.773981899999995</v>
      </c>
    </row>
    <row r="849" spans="2:25" ht="15" hidden="1" customHeight="1">
      <c r="B849" s="21">
        <v>844</v>
      </c>
      <c r="C849" s="22" t="s">
        <v>19</v>
      </c>
      <c r="D849" s="35" t="s">
        <v>262</v>
      </c>
      <c r="E849" s="35" t="s">
        <v>269</v>
      </c>
      <c r="F849" s="35"/>
      <c r="G849" s="22" t="s">
        <v>269</v>
      </c>
      <c r="H849" s="23">
        <v>30864</v>
      </c>
      <c r="I849" s="23">
        <v>5689</v>
      </c>
      <c r="J849" s="23">
        <v>3102</v>
      </c>
      <c r="K849" s="23">
        <v>2587</v>
      </c>
      <c r="L849" s="23">
        <v>25175</v>
      </c>
      <c r="M849" s="23">
        <v>40534</v>
      </c>
      <c r="N849" s="23">
        <v>9267</v>
      </c>
      <c r="O849" s="23">
        <v>7269</v>
      </c>
      <c r="P849" s="23">
        <v>1998</v>
      </c>
      <c r="Q849" s="23">
        <v>31267</v>
      </c>
      <c r="R849" s="24">
        <v>18.432478</v>
      </c>
      <c r="S849" s="24">
        <v>10.0505443</v>
      </c>
      <c r="T849" s="24">
        <v>8.3819336</v>
      </c>
      <c r="U849" s="24">
        <v>81.567521999999997</v>
      </c>
      <c r="V849" s="24">
        <v>22.862288400000001</v>
      </c>
      <c r="W849" s="24">
        <v>17.933093199999998</v>
      </c>
      <c r="X849" s="24">
        <v>4.9291951999999997</v>
      </c>
      <c r="Y849" s="24">
        <v>77.137711600000003</v>
      </c>
    </row>
    <row r="850" spans="2:25" ht="15" hidden="1" customHeight="1">
      <c r="B850" s="25">
        <v>845</v>
      </c>
      <c r="C850" s="26" t="s">
        <v>19</v>
      </c>
      <c r="D850" s="26" t="s">
        <v>262</v>
      </c>
      <c r="E850" s="26" t="s">
        <v>269</v>
      </c>
      <c r="F850" s="26"/>
      <c r="G850" s="27" t="s">
        <v>15</v>
      </c>
      <c r="H850" s="28">
        <v>1085</v>
      </c>
      <c r="I850" s="28">
        <v>529</v>
      </c>
      <c r="J850" s="28">
        <v>253</v>
      </c>
      <c r="K850" s="28">
        <v>276</v>
      </c>
      <c r="L850" s="28">
        <v>556</v>
      </c>
      <c r="M850" s="28">
        <v>3467</v>
      </c>
      <c r="N850" s="28">
        <v>2049</v>
      </c>
      <c r="O850" s="28">
        <v>1166</v>
      </c>
      <c r="P850" s="28">
        <v>883</v>
      </c>
      <c r="Q850" s="28">
        <v>1418</v>
      </c>
      <c r="R850" s="29">
        <v>48.7557604</v>
      </c>
      <c r="S850" s="29">
        <v>23.317972399999999</v>
      </c>
      <c r="T850" s="29">
        <v>25.437788000000001</v>
      </c>
      <c r="U850" s="29">
        <v>51.2442396</v>
      </c>
      <c r="V850" s="29">
        <v>59.100086500000003</v>
      </c>
      <c r="W850" s="29">
        <v>33.631381599999997</v>
      </c>
      <c r="X850" s="29">
        <v>25.468704899999999</v>
      </c>
      <c r="Y850" s="29">
        <v>40.899913499999997</v>
      </c>
    </row>
    <row r="851" spans="2:25" ht="15" hidden="1" customHeight="1">
      <c r="B851" s="25">
        <v>846</v>
      </c>
      <c r="C851" s="26" t="s">
        <v>19</v>
      </c>
      <c r="D851" s="26" t="s">
        <v>262</v>
      </c>
      <c r="E851" s="26" t="s">
        <v>269</v>
      </c>
      <c r="F851" s="26"/>
      <c r="G851" s="27" t="s">
        <v>16</v>
      </c>
      <c r="H851" s="28">
        <v>29779</v>
      </c>
      <c r="I851" s="28">
        <v>5160</v>
      </c>
      <c r="J851" s="28">
        <v>2849</v>
      </c>
      <c r="K851" s="28">
        <v>2311</v>
      </c>
      <c r="L851" s="28">
        <v>24619</v>
      </c>
      <c r="M851" s="28">
        <v>37067</v>
      </c>
      <c r="N851" s="28">
        <v>7218</v>
      </c>
      <c r="O851" s="28">
        <v>6103</v>
      </c>
      <c r="P851" s="28">
        <v>1115</v>
      </c>
      <c r="Q851" s="28">
        <v>29849</v>
      </c>
      <c r="R851" s="29">
        <v>17.327646999999999</v>
      </c>
      <c r="S851" s="29">
        <v>9.5671446000000007</v>
      </c>
      <c r="T851" s="29">
        <v>7.7605024</v>
      </c>
      <c r="U851" s="29">
        <v>82.672353000000001</v>
      </c>
      <c r="V851" s="29">
        <v>19.472846499999999</v>
      </c>
      <c r="W851" s="29">
        <v>16.464780000000001</v>
      </c>
      <c r="X851" s="29">
        <v>3.0080665</v>
      </c>
      <c r="Y851" s="29">
        <v>80.527153499999997</v>
      </c>
    </row>
    <row r="852" spans="2:25" ht="15" customHeight="1">
      <c r="B852" s="30">
        <v>847</v>
      </c>
      <c r="C852" s="31" t="s">
        <v>21</v>
      </c>
      <c r="D852" s="36" t="s">
        <v>262</v>
      </c>
      <c r="E852" s="36" t="s">
        <v>269</v>
      </c>
      <c r="F852" s="36" t="s">
        <v>276</v>
      </c>
      <c r="G852" s="37" t="s">
        <v>276</v>
      </c>
      <c r="H852" s="32">
        <v>4286</v>
      </c>
      <c r="I852" s="32">
        <v>984</v>
      </c>
      <c r="J852" s="32">
        <v>445</v>
      </c>
      <c r="K852" s="32">
        <v>539</v>
      </c>
      <c r="L852" s="32">
        <v>3302</v>
      </c>
      <c r="M852" s="32">
        <v>6497</v>
      </c>
      <c r="N852" s="32">
        <v>2072</v>
      </c>
      <c r="O852" s="32">
        <v>1179</v>
      </c>
      <c r="P852" s="32">
        <v>893</v>
      </c>
      <c r="Q852" s="32">
        <v>4425</v>
      </c>
      <c r="R852" s="33">
        <v>22.958469399999998</v>
      </c>
      <c r="S852" s="33">
        <v>10.3826412</v>
      </c>
      <c r="T852" s="33">
        <v>12.5758283</v>
      </c>
      <c r="U852" s="33">
        <v>77.041530600000002</v>
      </c>
      <c r="V852" s="33">
        <v>31.891642300000001</v>
      </c>
      <c r="W852" s="33">
        <v>18.146837000000001</v>
      </c>
      <c r="X852" s="33">
        <v>13.744805299999999</v>
      </c>
      <c r="Y852" s="33">
        <v>68.108357699999999</v>
      </c>
    </row>
    <row r="853" spans="2:25" ht="15" hidden="1" customHeight="1">
      <c r="B853" s="25">
        <v>848</v>
      </c>
      <c r="C853" s="26" t="s">
        <v>21</v>
      </c>
      <c r="D853" s="26" t="s">
        <v>262</v>
      </c>
      <c r="E853" s="26" t="s">
        <v>269</v>
      </c>
      <c r="F853" s="26" t="s">
        <v>276</v>
      </c>
      <c r="G853" s="27" t="s">
        <v>15</v>
      </c>
      <c r="H853" s="28">
        <v>1085</v>
      </c>
      <c r="I853" s="28">
        <v>529</v>
      </c>
      <c r="J853" s="28">
        <v>253</v>
      </c>
      <c r="K853" s="28">
        <v>276</v>
      </c>
      <c r="L853" s="28">
        <v>556</v>
      </c>
      <c r="M853" s="28">
        <v>2012</v>
      </c>
      <c r="N853" s="28">
        <v>1546</v>
      </c>
      <c r="O853" s="28">
        <v>738</v>
      </c>
      <c r="P853" s="28">
        <v>808</v>
      </c>
      <c r="Q853" s="28">
        <v>466</v>
      </c>
      <c r="R853" s="29">
        <v>48.7557604</v>
      </c>
      <c r="S853" s="29">
        <v>23.317972399999999</v>
      </c>
      <c r="T853" s="29">
        <v>25.437788000000001</v>
      </c>
      <c r="U853" s="29">
        <v>51.2442396</v>
      </c>
      <c r="V853" s="29">
        <v>76.838966200000002</v>
      </c>
      <c r="W853" s="29">
        <v>36.679920500000001</v>
      </c>
      <c r="X853" s="29">
        <v>40.1590457</v>
      </c>
      <c r="Y853" s="29">
        <v>23.161033799999998</v>
      </c>
    </row>
    <row r="854" spans="2:25" ht="15" hidden="1" customHeight="1">
      <c r="B854" s="25">
        <v>849</v>
      </c>
      <c r="C854" s="26" t="s">
        <v>21</v>
      </c>
      <c r="D854" s="26" t="s">
        <v>262</v>
      </c>
      <c r="E854" s="26" t="s">
        <v>269</v>
      </c>
      <c r="F854" s="26" t="s">
        <v>276</v>
      </c>
      <c r="G854" s="27" t="s">
        <v>16</v>
      </c>
      <c r="H854" s="28">
        <v>3201</v>
      </c>
      <c r="I854" s="28">
        <v>455</v>
      </c>
      <c r="J854" s="28">
        <v>192</v>
      </c>
      <c r="K854" s="28">
        <v>263</v>
      </c>
      <c r="L854" s="28">
        <v>2746</v>
      </c>
      <c r="M854" s="28">
        <v>4485</v>
      </c>
      <c r="N854" s="28">
        <v>526</v>
      </c>
      <c r="O854" s="28">
        <v>441</v>
      </c>
      <c r="P854" s="28">
        <v>85</v>
      </c>
      <c r="Q854" s="28">
        <v>3959</v>
      </c>
      <c r="R854" s="29">
        <v>14.214308000000001</v>
      </c>
      <c r="S854" s="29">
        <v>5.9981255999999998</v>
      </c>
      <c r="T854" s="29">
        <v>8.2161823999999992</v>
      </c>
      <c r="U854" s="29">
        <v>85.785691999999997</v>
      </c>
      <c r="V854" s="29">
        <v>11.7279822</v>
      </c>
      <c r="W854" s="29">
        <v>9.8327758999999997</v>
      </c>
      <c r="X854" s="29">
        <v>1.8952062000000001</v>
      </c>
      <c r="Y854" s="29">
        <v>88.2720178</v>
      </c>
    </row>
    <row r="855" spans="2:25" ht="15" customHeight="1">
      <c r="B855" s="30">
        <v>850</v>
      </c>
      <c r="C855" s="31" t="s">
        <v>21</v>
      </c>
      <c r="D855" s="36" t="s">
        <v>262</v>
      </c>
      <c r="E855" s="36" t="s">
        <v>269</v>
      </c>
      <c r="F855" s="36" t="s">
        <v>277</v>
      </c>
      <c r="G855" s="37" t="s">
        <v>277</v>
      </c>
      <c r="H855" s="32">
        <v>6685</v>
      </c>
      <c r="I855" s="32">
        <v>1819</v>
      </c>
      <c r="J855" s="32">
        <v>1044</v>
      </c>
      <c r="K855" s="32">
        <v>775</v>
      </c>
      <c r="L855" s="32">
        <v>4866</v>
      </c>
      <c r="M855" s="32">
        <v>6880</v>
      </c>
      <c r="N855" s="32">
        <v>1780</v>
      </c>
      <c r="O855" s="32">
        <v>1609</v>
      </c>
      <c r="P855" s="32">
        <v>171</v>
      </c>
      <c r="Q855" s="32">
        <v>5100</v>
      </c>
      <c r="R855" s="33">
        <v>27.210172</v>
      </c>
      <c r="S855" s="33">
        <v>15.6170531</v>
      </c>
      <c r="T855" s="33">
        <v>11.5931189</v>
      </c>
      <c r="U855" s="33">
        <v>72.789828</v>
      </c>
      <c r="V855" s="33">
        <v>25.872093</v>
      </c>
      <c r="W855" s="33">
        <v>23.386627900000001</v>
      </c>
      <c r="X855" s="33">
        <v>2.4854650999999999</v>
      </c>
      <c r="Y855" s="33">
        <v>74.127906999999993</v>
      </c>
    </row>
    <row r="856" spans="2:25" ht="15" hidden="1" customHeight="1">
      <c r="B856" s="25">
        <v>851</v>
      </c>
      <c r="C856" s="26" t="s">
        <v>21</v>
      </c>
      <c r="D856" s="26" t="s">
        <v>262</v>
      </c>
      <c r="E856" s="26" t="s">
        <v>269</v>
      </c>
      <c r="F856" s="26" t="s">
        <v>277</v>
      </c>
      <c r="G856" s="27" t="s">
        <v>15</v>
      </c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9"/>
      <c r="S856" s="29"/>
      <c r="T856" s="29"/>
      <c r="U856" s="29"/>
      <c r="V856" s="29"/>
      <c r="W856" s="29"/>
      <c r="X856" s="29"/>
      <c r="Y856" s="29"/>
    </row>
    <row r="857" spans="2:25" ht="15" hidden="1" customHeight="1">
      <c r="B857" s="25">
        <v>852</v>
      </c>
      <c r="C857" s="26" t="s">
        <v>21</v>
      </c>
      <c r="D857" s="26" t="s">
        <v>262</v>
      </c>
      <c r="E857" s="26" t="s">
        <v>269</v>
      </c>
      <c r="F857" s="26" t="s">
        <v>277</v>
      </c>
      <c r="G857" s="27" t="s">
        <v>16</v>
      </c>
      <c r="H857" s="28">
        <v>6685</v>
      </c>
      <c r="I857" s="28">
        <v>1819</v>
      </c>
      <c r="J857" s="28">
        <v>1044</v>
      </c>
      <c r="K857" s="28">
        <v>775</v>
      </c>
      <c r="L857" s="28">
        <v>4866</v>
      </c>
      <c r="M857" s="28">
        <v>6880</v>
      </c>
      <c r="N857" s="28">
        <v>1780</v>
      </c>
      <c r="O857" s="28">
        <v>1609</v>
      </c>
      <c r="P857" s="28">
        <v>171</v>
      </c>
      <c r="Q857" s="28">
        <v>5100</v>
      </c>
      <c r="R857" s="29">
        <v>27.210172</v>
      </c>
      <c r="S857" s="29">
        <v>15.6170531</v>
      </c>
      <c r="T857" s="29">
        <v>11.5931189</v>
      </c>
      <c r="U857" s="29">
        <v>72.789828</v>
      </c>
      <c r="V857" s="29">
        <v>25.872093</v>
      </c>
      <c r="W857" s="29">
        <v>23.386627900000001</v>
      </c>
      <c r="X857" s="29">
        <v>2.4854650999999999</v>
      </c>
      <c r="Y857" s="29">
        <v>74.127906999999993</v>
      </c>
    </row>
    <row r="858" spans="2:25" ht="15" customHeight="1">
      <c r="B858" s="30">
        <v>853</v>
      </c>
      <c r="C858" s="31" t="s">
        <v>21</v>
      </c>
      <c r="D858" s="36" t="s">
        <v>262</v>
      </c>
      <c r="E858" s="36" t="s">
        <v>269</v>
      </c>
      <c r="F858" s="36" t="s">
        <v>278</v>
      </c>
      <c r="G858" s="37" t="s">
        <v>278</v>
      </c>
      <c r="H858" s="32">
        <v>8436</v>
      </c>
      <c r="I858" s="32">
        <v>898</v>
      </c>
      <c r="J858" s="32">
        <v>489</v>
      </c>
      <c r="K858" s="32">
        <v>409</v>
      </c>
      <c r="L858" s="32">
        <v>7538</v>
      </c>
      <c r="M858" s="32">
        <v>12538</v>
      </c>
      <c r="N858" s="32">
        <v>2388</v>
      </c>
      <c r="O858" s="32">
        <v>1956</v>
      </c>
      <c r="P858" s="32">
        <v>432</v>
      </c>
      <c r="Q858" s="32">
        <v>10150</v>
      </c>
      <c r="R858" s="33">
        <v>10.644855400000001</v>
      </c>
      <c r="S858" s="33">
        <v>5.7965860999999999</v>
      </c>
      <c r="T858" s="33">
        <v>4.8482693000000001</v>
      </c>
      <c r="U858" s="33">
        <v>89.355144600000003</v>
      </c>
      <c r="V858" s="33">
        <v>19.046099900000002</v>
      </c>
      <c r="W858" s="33">
        <v>15.6005743</v>
      </c>
      <c r="X858" s="33">
        <v>3.4455255999999999</v>
      </c>
      <c r="Y858" s="33">
        <v>80.953900099999998</v>
      </c>
    </row>
    <row r="859" spans="2:25" ht="15" hidden="1" customHeight="1">
      <c r="B859" s="25">
        <v>854</v>
      </c>
      <c r="C859" s="26" t="s">
        <v>21</v>
      </c>
      <c r="D859" s="26" t="s">
        <v>262</v>
      </c>
      <c r="E859" s="26" t="s">
        <v>269</v>
      </c>
      <c r="F859" s="26" t="s">
        <v>278</v>
      </c>
      <c r="G859" s="27" t="s">
        <v>15</v>
      </c>
      <c r="H859" s="28"/>
      <c r="I859" s="28"/>
      <c r="J859" s="28"/>
      <c r="K859" s="28"/>
      <c r="L859" s="28"/>
      <c r="M859" s="28">
        <v>1455</v>
      </c>
      <c r="N859" s="28">
        <v>503</v>
      </c>
      <c r="O859" s="28">
        <v>428</v>
      </c>
      <c r="P859" s="28">
        <v>75</v>
      </c>
      <c r="Q859" s="28">
        <v>952</v>
      </c>
      <c r="R859" s="29"/>
      <c r="S859" s="29"/>
      <c r="T859" s="29"/>
      <c r="U859" s="29"/>
      <c r="V859" s="29">
        <v>34.570446699999998</v>
      </c>
      <c r="W859" s="29">
        <v>29.415807600000001</v>
      </c>
      <c r="X859" s="29">
        <v>5.1546392000000001</v>
      </c>
      <c r="Y859" s="29">
        <v>65.429553299999995</v>
      </c>
    </row>
    <row r="860" spans="2:25" ht="15" hidden="1" customHeight="1">
      <c r="B860" s="25">
        <v>855</v>
      </c>
      <c r="C860" s="26" t="s">
        <v>21</v>
      </c>
      <c r="D860" s="26" t="s">
        <v>262</v>
      </c>
      <c r="E860" s="26" t="s">
        <v>269</v>
      </c>
      <c r="F860" s="26" t="s">
        <v>278</v>
      </c>
      <c r="G860" s="27" t="s">
        <v>16</v>
      </c>
      <c r="H860" s="28">
        <v>8436</v>
      </c>
      <c r="I860" s="28">
        <v>898</v>
      </c>
      <c r="J860" s="28">
        <v>489</v>
      </c>
      <c r="K860" s="28">
        <v>409</v>
      </c>
      <c r="L860" s="28">
        <v>7538</v>
      </c>
      <c r="M860" s="28">
        <v>11083</v>
      </c>
      <c r="N860" s="28">
        <v>1885</v>
      </c>
      <c r="O860" s="28">
        <v>1528</v>
      </c>
      <c r="P860" s="28">
        <v>357</v>
      </c>
      <c r="Q860" s="28">
        <v>9198</v>
      </c>
      <c r="R860" s="29">
        <v>10.644855400000001</v>
      </c>
      <c r="S860" s="29">
        <v>5.7965860999999999</v>
      </c>
      <c r="T860" s="29">
        <v>4.8482693000000001</v>
      </c>
      <c r="U860" s="29">
        <v>89.355144600000003</v>
      </c>
      <c r="V860" s="29">
        <v>17.008030300000001</v>
      </c>
      <c r="W860" s="29">
        <v>13.7868808</v>
      </c>
      <c r="X860" s="29">
        <v>3.2211495000000001</v>
      </c>
      <c r="Y860" s="29">
        <v>82.991969699999999</v>
      </c>
    </row>
    <row r="861" spans="2:25" ht="15" customHeight="1">
      <c r="B861" s="30">
        <v>856</v>
      </c>
      <c r="C861" s="31" t="s">
        <v>21</v>
      </c>
      <c r="D861" s="36" t="s">
        <v>262</v>
      </c>
      <c r="E861" s="36" t="s">
        <v>269</v>
      </c>
      <c r="F861" s="36" t="s">
        <v>279</v>
      </c>
      <c r="G861" s="37" t="s">
        <v>279</v>
      </c>
      <c r="H861" s="32">
        <v>5093</v>
      </c>
      <c r="I861" s="32">
        <v>820</v>
      </c>
      <c r="J861" s="32">
        <v>505</v>
      </c>
      <c r="K861" s="32">
        <v>315</v>
      </c>
      <c r="L861" s="32">
        <v>4273</v>
      </c>
      <c r="M861" s="32">
        <v>6181</v>
      </c>
      <c r="N861" s="32">
        <v>1240</v>
      </c>
      <c r="O861" s="32">
        <v>1094</v>
      </c>
      <c r="P861" s="32">
        <v>146</v>
      </c>
      <c r="Q861" s="32">
        <v>4941</v>
      </c>
      <c r="R861" s="33">
        <v>16.1005301</v>
      </c>
      <c r="S861" s="33">
        <v>9.9155704</v>
      </c>
      <c r="T861" s="33">
        <v>6.1849597000000003</v>
      </c>
      <c r="U861" s="33">
        <v>83.8994699</v>
      </c>
      <c r="V861" s="33">
        <v>20.061478699999999</v>
      </c>
      <c r="W861" s="33">
        <v>17.699401399999999</v>
      </c>
      <c r="X861" s="33">
        <v>2.3620773000000002</v>
      </c>
      <c r="Y861" s="33">
        <v>79.938521300000005</v>
      </c>
    </row>
    <row r="862" spans="2:25" ht="15" hidden="1" customHeight="1">
      <c r="B862" s="25">
        <v>857</v>
      </c>
      <c r="C862" s="26" t="s">
        <v>21</v>
      </c>
      <c r="D862" s="26" t="s">
        <v>262</v>
      </c>
      <c r="E862" s="26" t="s">
        <v>269</v>
      </c>
      <c r="F862" s="26" t="s">
        <v>279</v>
      </c>
      <c r="G862" s="27" t="s">
        <v>15</v>
      </c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9"/>
      <c r="S862" s="29"/>
      <c r="T862" s="29"/>
      <c r="U862" s="29"/>
      <c r="V862" s="29"/>
      <c r="W862" s="29"/>
      <c r="X862" s="29"/>
      <c r="Y862" s="29"/>
    </row>
    <row r="863" spans="2:25" ht="15" hidden="1" customHeight="1">
      <c r="B863" s="25">
        <v>858</v>
      </c>
      <c r="C863" s="26" t="s">
        <v>21</v>
      </c>
      <c r="D863" s="26" t="s">
        <v>262</v>
      </c>
      <c r="E863" s="26" t="s">
        <v>269</v>
      </c>
      <c r="F863" s="26" t="s">
        <v>279</v>
      </c>
      <c r="G863" s="27" t="s">
        <v>16</v>
      </c>
      <c r="H863" s="28">
        <v>5093</v>
      </c>
      <c r="I863" s="28">
        <v>820</v>
      </c>
      <c r="J863" s="28">
        <v>505</v>
      </c>
      <c r="K863" s="28">
        <v>315</v>
      </c>
      <c r="L863" s="28">
        <v>4273</v>
      </c>
      <c r="M863" s="28">
        <v>6181</v>
      </c>
      <c r="N863" s="28">
        <v>1240</v>
      </c>
      <c r="O863" s="28">
        <v>1094</v>
      </c>
      <c r="P863" s="28">
        <v>146</v>
      </c>
      <c r="Q863" s="28">
        <v>4941</v>
      </c>
      <c r="R863" s="29">
        <v>16.1005301</v>
      </c>
      <c r="S863" s="29">
        <v>9.9155704</v>
      </c>
      <c r="T863" s="29">
        <v>6.1849597000000003</v>
      </c>
      <c r="U863" s="29">
        <v>83.8994699</v>
      </c>
      <c r="V863" s="29">
        <v>20.061478699999999</v>
      </c>
      <c r="W863" s="29">
        <v>17.699401399999999</v>
      </c>
      <c r="X863" s="29">
        <v>2.3620773000000002</v>
      </c>
      <c r="Y863" s="29">
        <v>79.938521300000005</v>
      </c>
    </row>
    <row r="864" spans="2:25" ht="15" customHeight="1">
      <c r="B864" s="30">
        <v>859</v>
      </c>
      <c r="C864" s="31" t="s">
        <v>21</v>
      </c>
      <c r="D864" s="36" t="s">
        <v>262</v>
      </c>
      <c r="E864" s="36" t="s">
        <v>269</v>
      </c>
      <c r="F864" s="36" t="s">
        <v>280</v>
      </c>
      <c r="G864" s="37" t="s">
        <v>280</v>
      </c>
      <c r="H864" s="32">
        <v>6364</v>
      </c>
      <c r="I864" s="32">
        <v>1168</v>
      </c>
      <c r="J864" s="32">
        <v>619</v>
      </c>
      <c r="K864" s="32">
        <v>549</v>
      </c>
      <c r="L864" s="32">
        <v>5196</v>
      </c>
      <c r="M864" s="32">
        <v>8438</v>
      </c>
      <c r="N864" s="32">
        <v>1787</v>
      </c>
      <c r="O864" s="32">
        <v>1431</v>
      </c>
      <c r="P864" s="32">
        <v>356</v>
      </c>
      <c r="Q864" s="32">
        <v>6651</v>
      </c>
      <c r="R864" s="33">
        <v>18.353237</v>
      </c>
      <c r="S864" s="33">
        <v>9.7265870999999997</v>
      </c>
      <c r="T864" s="33">
        <v>8.6266499000000003</v>
      </c>
      <c r="U864" s="33">
        <v>81.646763000000007</v>
      </c>
      <c r="V864" s="33">
        <v>21.178004300000001</v>
      </c>
      <c r="W864" s="33">
        <v>16.958995000000002</v>
      </c>
      <c r="X864" s="33">
        <v>4.2190092000000003</v>
      </c>
      <c r="Y864" s="33">
        <v>78.821995700000002</v>
      </c>
    </row>
    <row r="865" spans="2:25" ht="15" hidden="1" customHeight="1">
      <c r="B865" s="25">
        <v>860</v>
      </c>
      <c r="C865" s="26" t="s">
        <v>21</v>
      </c>
      <c r="D865" s="26" t="s">
        <v>262</v>
      </c>
      <c r="E865" s="26" t="s">
        <v>269</v>
      </c>
      <c r="F865" s="26" t="s">
        <v>280</v>
      </c>
      <c r="G865" s="27" t="s">
        <v>15</v>
      </c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9"/>
      <c r="S865" s="29"/>
      <c r="T865" s="29"/>
      <c r="U865" s="29"/>
      <c r="V865" s="29"/>
      <c r="W865" s="29"/>
      <c r="X865" s="29"/>
      <c r="Y865" s="29"/>
    </row>
    <row r="866" spans="2:25" ht="15" hidden="1" customHeight="1">
      <c r="B866" s="25">
        <v>861</v>
      </c>
      <c r="C866" s="26" t="s">
        <v>21</v>
      </c>
      <c r="D866" s="26" t="s">
        <v>262</v>
      </c>
      <c r="E866" s="26" t="s">
        <v>269</v>
      </c>
      <c r="F866" s="26" t="s">
        <v>280</v>
      </c>
      <c r="G866" s="27" t="s">
        <v>16</v>
      </c>
      <c r="H866" s="28">
        <v>6364</v>
      </c>
      <c r="I866" s="28">
        <v>1168</v>
      </c>
      <c r="J866" s="28">
        <v>619</v>
      </c>
      <c r="K866" s="28">
        <v>549</v>
      </c>
      <c r="L866" s="28">
        <v>5196</v>
      </c>
      <c r="M866" s="28">
        <v>8438</v>
      </c>
      <c r="N866" s="28">
        <v>1787</v>
      </c>
      <c r="O866" s="28">
        <v>1431</v>
      </c>
      <c r="P866" s="28">
        <v>356</v>
      </c>
      <c r="Q866" s="28">
        <v>6651</v>
      </c>
      <c r="R866" s="29">
        <v>18.353237</v>
      </c>
      <c r="S866" s="29">
        <v>9.7265870999999997</v>
      </c>
      <c r="T866" s="29">
        <v>8.6266499000000003</v>
      </c>
      <c r="U866" s="29">
        <v>81.646763000000007</v>
      </c>
      <c r="V866" s="29">
        <v>21.178004300000001</v>
      </c>
      <c r="W866" s="29">
        <v>16.958995000000002</v>
      </c>
      <c r="X866" s="29">
        <v>4.2190092000000003</v>
      </c>
      <c r="Y866" s="29">
        <v>78.821995700000002</v>
      </c>
    </row>
    <row r="867" spans="2:25" ht="15" hidden="1" customHeight="1">
      <c r="B867" s="21">
        <v>862</v>
      </c>
      <c r="C867" s="22" t="s">
        <v>19</v>
      </c>
      <c r="D867" s="35" t="s">
        <v>262</v>
      </c>
      <c r="E867" s="35" t="s">
        <v>281</v>
      </c>
      <c r="F867" s="35"/>
      <c r="G867" s="22" t="s">
        <v>281</v>
      </c>
      <c r="H867" s="23">
        <v>11788</v>
      </c>
      <c r="I867" s="23">
        <v>1356</v>
      </c>
      <c r="J867" s="23">
        <v>750</v>
      </c>
      <c r="K867" s="23">
        <v>606</v>
      </c>
      <c r="L867" s="23">
        <v>10432</v>
      </c>
      <c r="M867" s="23">
        <v>15495</v>
      </c>
      <c r="N867" s="23">
        <v>2789</v>
      </c>
      <c r="O867" s="23">
        <v>2315</v>
      </c>
      <c r="P867" s="23">
        <v>474</v>
      </c>
      <c r="Q867" s="23">
        <v>12706</v>
      </c>
      <c r="R867" s="24">
        <v>11.5032236</v>
      </c>
      <c r="S867" s="24">
        <v>6.3624023999999997</v>
      </c>
      <c r="T867" s="24">
        <v>5.1408212000000004</v>
      </c>
      <c r="U867" s="24">
        <v>88.496776400000002</v>
      </c>
      <c r="V867" s="24">
        <v>17.9993546</v>
      </c>
      <c r="W867" s="24">
        <v>14.9403033</v>
      </c>
      <c r="X867" s="24">
        <v>3.0590513000000001</v>
      </c>
      <c r="Y867" s="24">
        <v>82.000645399999996</v>
      </c>
    </row>
    <row r="868" spans="2:25" ht="15" hidden="1" customHeight="1">
      <c r="B868" s="25">
        <v>863</v>
      </c>
      <c r="C868" s="26" t="s">
        <v>19</v>
      </c>
      <c r="D868" s="26" t="s">
        <v>262</v>
      </c>
      <c r="E868" s="26" t="s">
        <v>281</v>
      </c>
      <c r="F868" s="26"/>
      <c r="G868" s="27" t="s">
        <v>15</v>
      </c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9"/>
      <c r="S868" s="29"/>
      <c r="T868" s="29"/>
      <c r="U868" s="29"/>
      <c r="V868" s="29"/>
      <c r="W868" s="29"/>
      <c r="X868" s="29"/>
      <c r="Y868" s="29"/>
    </row>
    <row r="869" spans="2:25" ht="15" hidden="1" customHeight="1">
      <c r="B869" s="25">
        <v>864</v>
      </c>
      <c r="C869" s="26" t="s">
        <v>19</v>
      </c>
      <c r="D869" s="26" t="s">
        <v>262</v>
      </c>
      <c r="E869" s="26" t="s">
        <v>281</v>
      </c>
      <c r="F869" s="26"/>
      <c r="G869" s="27" t="s">
        <v>16</v>
      </c>
      <c r="H869" s="28">
        <v>11788</v>
      </c>
      <c r="I869" s="28">
        <v>1356</v>
      </c>
      <c r="J869" s="28">
        <v>750</v>
      </c>
      <c r="K869" s="28">
        <v>606</v>
      </c>
      <c r="L869" s="28">
        <v>10432</v>
      </c>
      <c r="M869" s="28">
        <v>15495</v>
      </c>
      <c r="N869" s="28">
        <v>2789</v>
      </c>
      <c r="O869" s="28">
        <v>2315</v>
      </c>
      <c r="P869" s="28">
        <v>474</v>
      </c>
      <c r="Q869" s="28">
        <v>12706</v>
      </c>
      <c r="R869" s="29">
        <v>11.5032236</v>
      </c>
      <c r="S869" s="29">
        <v>6.3624023999999997</v>
      </c>
      <c r="T869" s="29">
        <v>5.1408212000000004</v>
      </c>
      <c r="U869" s="29">
        <v>88.496776400000002</v>
      </c>
      <c r="V869" s="29">
        <v>17.9993546</v>
      </c>
      <c r="W869" s="29">
        <v>14.9403033</v>
      </c>
      <c r="X869" s="29">
        <v>3.0590513000000001</v>
      </c>
      <c r="Y869" s="29">
        <v>82.000645399999996</v>
      </c>
    </row>
    <row r="870" spans="2:25" ht="15" customHeight="1">
      <c r="B870" s="30">
        <v>865</v>
      </c>
      <c r="C870" s="31" t="s">
        <v>21</v>
      </c>
      <c r="D870" s="36" t="s">
        <v>262</v>
      </c>
      <c r="E870" s="36" t="s">
        <v>281</v>
      </c>
      <c r="F870" s="36" t="s">
        <v>282</v>
      </c>
      <c r="G870" s="37" t="s">
        <v>282</v>
      </c>
      <c r="H870" s="32">
        <v>8277</v>
      </c>
      <c r="I870" s="32">
        <v>635</v>
      </c>
      <c r="J870" s="32">
        <v>363</v>
      </c>
      <c r="K870" s="32">
        <v>272</v>
      </c>
      <c r="L870" s="32">
        <v>7642</v>
      </c>
      <c r="M870" s="32">
        <v>11303</v>
      </c>
      <c r="N870" s="32">
        <v>1584</v>
      </c>
      <c r="O870" s="32">
        <v>1327</v>
      </c>
      <c r="P870" s="32">
        <v>257</v>
      </c>
      <c r="Q870" s="32">
        <v>9719</v>
      </c>
      <c r="R870" s="33">
        <v>7.6718618000000003</v>
      </c>
      <c r="S870" s="33">
        <v>4.3856469999999996</v>
      </c>
      <c r="T870" s="33">
        <v>3.2862148000000002</v>
      </c>
      <c r="U870" s="33">
        <v>92.328138199999998</v>
      </c>
      <c r="V870" s="33">
        <v>14.0139786</v>
      </c>
      <c r="W870" s="33">
        <v>11.740246000000001</v>
      </c>
      <c r="X870" s="33">
        <v>2.2737326000000002</v>
      </c>
      <c r="Y870" s="33">
        <v>85.986021399999998</v>
      </c>
    </row>
    <row r="871" spans="2:25" ht="15" hidden="1" customHeight="1">
      <c r="B871" s="25">
        <v>866</v>
      </c>
      <c r="C871" s="26" t="s">
        <v>21</v>
      </c>
      <c r="D871" s="26" t="s">
        <v>262</v>
      </c>
      <c r="E871" s="26" t="s">
        <v>281</v>
      </c>
      <c r="F871" s="26" t="s">
        <v>282</v>
      </c>
      <c r="G871" s="27" t="s">
        <v>15</v>
      </c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9"/>
      <c r="S871" s="29"/>
      <c r="T871" s="29"/>
      <c r="U871" s="29"/>
      <c r="V871" s="29"/>
      <c r="W871" s="29"/>
      <c r="X871" s="29"/>
      <c r="Y871" s="29"/>
    </row>
    <row r="872" spans="2:25" ht="15" hidden="1" customHeight="1">
      <c r="B872" s="25">
        <v>867</v>
      </c>
      <c r="C872" s="26" t="s">
        <v>21</v>
      </c>
      <c r="D872" s="26" t="s">
        <v>262</v>
      </c>
      <c r="E872" s="26" t="s">
        <v>281</v>
      </c>
      <c r="F872" s="26" t="s">
        <v>282</v>
      </c>
      <c r="G872" s="27" t="s">
        <v>16</v>
      </c>
      <c r="H872" s="28">
        <v>8277</v>
      </c>
      <c r="I872" s="28">
        <v>635</v>
      </c>
      <c r="J872" s="28">
        <v>363</v>
      </c>
      <c r="K872" s="28">
        <v>272</v>
      </c>
      <c r="L872" s="28">
        <v>7642</v>
      </c>
      <c r="M872" s="28">
        <v>11303</v>
      </c>
      <c r="N872" s="28">
        <v>1584</v>
      </c>
      <c r="O872" s="28">
        <v>1327</v>
      </c>
      <c r="P872" s="28">
        <v>257</v>
      </c>
      <c r="Q872" s="28">
        <v>9719</v>
      </c>
      <c r="R872" s="29">
        <v>7.6718618000000003</v>
      </c>
      <c r="S872" s="29">
        <v>4.3856469999999996</v>
      </c>
      <c r="T872" s="29">
        <v>3.2862148000000002</v>
      </c>
      <c r="U872" s="29">
        <v>92.328138199999998</v>
      </c>
      <c r="V872" s="29">
        <v>14.0139786</v>
      </c>
      <c r="W872" s="29">
        <v>11.740246000000001</v>
      </c>
      <c r="X872" s="29">
        <v>2.2737326000000002</v>
      </c>
      <c r="Y872" s="29">
        <v>85.986021399999998</v>
      </c>
    </row>
    <row r="873" spans="2:25" ht="15" customHeight="1">
      <c r="B873" s="30">
        <v>868</v>
      </c>
      <c r="C873" s="31" t="s">
        <v>21</v>
      </c>
      <c r="D873" s="36" t="s">
        <v>262</v>
      </c>
      <c r="E873" s="36" t="s">
        <v>281</v>
      </c>
      <c r="F873" s="36" t="s">
        <v>283</v>
      </c>
      <c r="G873" s="37" t="s">
        <v>283</v>
      </c>
      <c r="H873" s="32">
        <v>3511</v>
      </c>
      <c r="I873" s="32">
        <v>721</v>
      </c>
      <c r="J873" s="32">
        <v>387</v>
      </c>
      <c r="K873" s="32">
        <v>334</v>
      </c>
      <c r="L873" s="32">
        <v>2790</v>
      </c>
      <c r="M873" s="32">
        <v>4192</v>
      </c>
      <c r="N873" s="32">
        <v>1205</v>
      </c>
      <c r="O873" s="32">
        <v>988</v>
      </c>
      <c r="P873" s="32">
        <v>217</v>
      </c>
      <c r="Q873" s="32">
        <v>2987</v>
      </c>
      <c r="R873" s="33">
        <v>20.53546</v>
      </c>
      <c r="S873" s="33">
        <v>11.0225007</v>
      </c>
      <c r="T873" s="33">
        <v>9.5129593000000003</v>
      </c>
      <c r="U873" s="33">
        <v>79.46454</v>
      </c>
      <c r="V873" s="33">
        <v>28.745228999999998</v>
      </c>
      <c r="W873" s="33">
        <v>23.568702300000002</v>
      </c>
      <c r="X873" s="33">
        <v>5.1765267000000001</v>
      </c>
      <c r="Y873" s="33">
        <v>71.254771000000005</v>
      </c>
    </row>
    <row r="874" spans="2:25" ht="15" hidden="1" customHeight="1">
      <c r="B874" s="25">
        <v>869</v>
      </c>
      <c r="C874" s="26" t="s">
        <v>21</v>
      </c>
      <c r="D874" s="26" t="s">
        <v>262</v>
      </c>
      <c r="E874" s="26" t="s">
        <v>281</v>
      </c>
      <c r="F874" s="26" t="s">
        <v>283</v>
      </c>
      <c r="G874" s="27" t="s">
        <v>15</v>
      </c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9"/>
      <c r="S874" s="29"/>
      <c r="T874" s="29"/>
      <c r="U874" s="29"/>
      <c r="V874" s="29"/>
      <c r="W874" s="29"/>
      <c r="X874" s="29"/>
      <c r="Y874" s="29"/>
    </row>
    <row r="875" spans="2:25" ht="15" hidden="1" customHeight="1">
      <c r="B875" s="25">
        <v>870</v>
      </c>
      <c r="C875" s="26" t="s">
        <v>21</v>
      </c>
      <c r="D875" s="26" t="s">
        <v>262</v>
      </c>
      <c r="E875" s="26" t="s">
        <v>281</v>
      </c>
      <c r="F875" s="26" t="s">
        <v>283</v>
      </c>
      <c r="G875" s="27" t="s">
        <v>16</v>
      </c>
      <c r="H875" s="28">
        <v>3511</v>
      </c>
      <c r="I875" s="28">
        <v>721</v>
      </c>
      <c r="J875" s="28">
        <v>387</v>
      </c>
      <c r="K875" s="28">
        <v>334</v>
      </c>
      <c r="L875" s="28">
        <v>2790</v>
      </c>
      <c r="M875" s="28">
        <v>4192</v>
      </c>
      <c r="N875" s="28">
        <v>1205</v>
      </c>
      <c r="O875" s="28">
        <v>988</v>
      </c>
      <c r="P875" s="28">
        <v>217</v>
      </c>
      <c r="Q875" s="28">
        <v>2987</v>
      </c>
      <c r="R875" s="29">
        <v>20.53546</v>
      </c>
      <c r="S875" s="29">
        <v>11.0225007</v>
      </c>
      <c r="T875" s="29">
        <v>9.5129593000000003</v>
      </c>
      <c r="U875" s="29">
        <v>79.46454</v>
      </c>
      <c r="V875" s="29">
        <v>28.745228999999998</v>
      </c>
      <c r="W875" s="29">
        <v>23.568702300000002</v>
      </c>
      <c r="X875" s="29">
        <v>5.1765267000000001</v>
      </c>
      <c r="Y875" s="29">
        <v>71.254771000000005</v>
      </c>
    </row>
    <row r="876" spans="2:25" ht="15" hidden="1" customHeight="1">
      <c r="B876" s="21">
        <v>871</v>
      </c>
      <c r="C876" s="22" t="s">
        <v>19</v>
      </c>
      <c r="D876" s="35" t="s">
        <v>262</v>
      </c>
      <c r="E876" s="35" t="s">
        <v>284</v>
      </c>
      <c r="F876" s="35"/>
      <c r="G876" s="22" t="s">
        <v>284</v>
      </c>
      <c r="H876" s="23">
        <v>12595</v>
      </c>
      <c r="I876" s="23">
        <v>3535</v>
      </c>
      <c r="J876" s="23">
        <v>1815</v>
      </c>
      <c r="K876" s="23">
        <v>1720</v>
      </c>
      <c r="L876" s="23">
        <v>9060</v>
      </c>
      <c r="M876" s="23">
        <v>15104</v>
      </c>
      <c r="N876" s="23">
        <v>7183</v>
      </c>
      <c r="O876" s="23">
        <v>6338</v>
      </c>
      <c r="P876" s="23">
        <v>845</v>
      </c>
      <c r="Q876" s="23">
        <v>7921</v>
      </c>
      <c r="R876" s="24">
        <v>28.066693099999998</v>
      </c>
      <c r="S876" s="24">
        <v>14.4104803</v>
      </c>
      <c r="T876" s="24">
        <v>13.6562128</v>
      </c>
      <c r="U876" s="24">
        <v>71.933306900000005</v>
      </c>
      <c r="V876" s="24">
        <v>47.556938600000002</v>
      </c>
      <c r="W876" s="24">
        <v>41.962394099999997</v>
      </c>
      <c r="X876" s="24">
        <v>5.5945444999999996</v>
      </c>
      <c r="Y876" s="24">
        <v>52.443061399999998</v>
      </c>
    </row>
    <row r="877" spans="2:25" ht="15" hidden="1" customHeight="1">
      <c r="B877" s="25">
        <v>872</v>
      </c>
      <c r="C877" s="26" t="s">
        <v>19</v>
      </c>
      <c r="D877" s="26" t="s">
        <v>262</v>
      </c>
      <c r="E877" s="26" t="s">
        <v>284</v>
      </c>
      <c r="F877" s="26"/>
      <c r="G877" s="27" t="s">
        <v>15</v>
      </c>
      <c r="H877" s="28">
        <v>1765</v>
      </c>
      <c r="I877" s="28">
        <v>803</v>
      </c>
      <c r="J877" s="28">
        <v>406</v>
      </c>
      <c r="K877" s="28">
        <v>397</v>
      </c>
      <c r="L877" s="28">
        <v>962</v>
      </c>
      <c r="M877" s="28">
        <v>1322</v>
      </c>
      <c r="N877" s="28">
        <v>1199</v>
      </c>
      <c r="O877" s="28">
        <v>1089</v>
      </c>
      <c r="P877" s="28">
        <v>110</v>
      </c>
      <c r="Q877" s="28">
        <v>123</v>
      </c>
      <c r="R877" s="29">
        <v>45.495750700000002</v>
      </c>
      <c r="S877" s="29">
        <v>23.002832900000001</v>
      </c>
      <c r="T877" s="29">
        <v>22.492917800000001</v>
      </c>
      <c r="U877" s="29">
        <v>54.504249299999998</v>
      </c>
      <c r="V877" s="29">
        <v>90.695915299999996</v>
      </c>
      <c r="W877" s="29">
        <v>82.3751891</v>
      </c>
      <c r="X877" s="29">
        <v>8.3207261999999993</v>
      </c>
      <c r="Y877" s="29">
        <v>9.3040847000000007</v>
      </c>
    </row>
    <row r="878" spans="2:25" ht="15" hidden="1" customHeight="1">
      <c r="B878" s="25">
        <v>873</v>
      </c>
      <c r="C878" s="26" t="s">
        <v>19</v>
      </c>
      <c r="D878" s="26" t="s">
        <v>262</v>
      </c>
      <c r="E878" s="26" t="s">
        <v>284</v>
      </c>
      <c r="F878" s="26"/>
      <c r="G878" s="27" t="s">
        <v>16</v>
      </c>
      <c r="H878" s="28">
        <v>10830</v>
      </c>
      <c r="I878" s="28">
        <v>2732</v>
      </c>
      <c r="J878" s="28">
        <v>1409</v>
      </c>
      <c r="K878" s="28">
        <v>1323</v>
      </c>
      <c r="L878" s="28">
        <v>8098</v>
      </c>
      <c r="M878" s="28">
        <v>13782</v>
      </c>
      <c r="N878" s="28">
        <v>5984</v>
      </c>
      <c r="O878" s="28">
        <v>5249</v>
      </c>
      <c r="P878" s="28">
        <v>735</v>
      </c>
      <c r="Q878" s="28">
        <v>7798</v>
      </c>
      <c r="R878" s="29">
        <v>25.2262235</v>
      </c>
      <c r="S878" s="29">
        <v>13.010157</v>
      </c>
      <c r="T878" s="29">
        <v>12.2160665</v>
      </c>
      <c r="U878" s="29">
        <v>74.773776499999997</v>
      </c>
      <c r="V878" s="29">
        <v>43.418952300000001</v>
      </c>
      <c r="W878" s="29">
        <v>38.085909200000003</v>
      </c>
      <c r="X878" s="29">
        <v>5.3330431000000003</v>
      </c>
      <c r="Y878" s="29">
        <v>56.581047699999999</v>
      </c>
    </row>
    <row r="879" spans="2:25" ht="15" customHeight="1">
      <c r="B879" s="30">
        <v>874</v>
      </c>
      <c r="C879" s="31" t="s">
        <v>21</v>
      </c>
      <c r="D879" s="36" t="s">
        <v>262</v>
      </c>
      <c r="E879" s="36" t="s">
        <v>284</v>
      </c>
      <c r="F879" s="36" t="s">
        <v>285</v>
      </c>
      <c r="G879" s="37" t="s">
        <v>285</v>
      </c>
      <c r="H879" s="32">
        <v>9471</v>
      </c>
      <c r="I879" s="32">
        <v>2590</v>
      </c>
      <c r="J879" s="32">
        <v>1245</v>
      </c>
      <c r="K879" s="32">
        <v>1345</v>
      </c>
      <c r="L879" s="32">
        <v>6881</v>
      </c>
      <c r="M879" s="32">
        <v>11224</v>
      </c>
      <c r="N879" s="32">
        <v>5302</v>
      </c>
      <c r="O879" s="32">
        <v>4672</v>
      </c>
      <c r="P879" s="32">
        <v>630</v>
      </c>
      <c r="Q879" s="32">
        <v>5922</v>
      </c>
      <c r="R879" s="33">
        <v>27.346637099999999</v>
      </c>
      <c r="S879" s="33">
        <v>13.145391200000001</v>
      </c>
      <c r="T879" s="33">
        <v>14.2012459</v>
      </c>
      <c r="U879" s="33">
        <v>72.653362900000005</v>
      </c>
      <c r="V879" s="33">
        <v>47.238061299999998</v>
      </c>
      <c r="W879" s="33">
        <v>41.625089099999997</v>
      </c>
      <c r="X879" s="33">
        <v>5.6129721999999997</v>
      </c>
      <c r="Y879" s="33">
        <v>52.761938700000002</v>
      </c>
    </row>
    <row r="880" spans="2:25" ht="15" hidden="1" customHeight="1">
      <c r="B880" s="25">
        <v>875</v>
      </c>
      <c r="C880" s="26" t="s">
        <v>21</v>
      </c>
      <c r="D880" s="26" t="s">
        <v>262</v>
      </c>
      <c r="E880" s="26" t="s">
        <v>284</v>
      </c>
      <c r="F880" s="26" t="s">
        <v>285</v>
      </c>
      <c r="G880" s="27" t="s">
        <v>15</v>
      </c>
      <c r="H880" s="28">
        <v>1765</v>
      </c>
      <c r="I880" s="28">
        <v>803</v>
      </c>
      <c r="J880" s="28">
        <v>406</v>
      </c>
      <c r="K880" s="28">
        <v>397</v>
      </c>
      <c r="L880" s="28">
        <v>962</v>
      </c>
      <c r="M880" s="28">
        <v>1322</v>
      </c>
      <c r="N880" s="28">
        <v>1199</v>
      </c>
      <c r="O880" s="28">
        <v>1089</v>
      </c>
      <c r="P880" s="28">
        <v>110</v>
      </c>
      <c r="Q880" s="28">
        <v>123</v>
      </c>
      <c r="R880" s="29">
        <v>45.495750700000002</v>
      </c>
      <c r="S880" s="29">
        <v>23.002832900000001</v>
      </c>
      <c r="T880" s="29">
        <v>22.492917800000001</v>
      </c>
      <c r="U880" s="29">
        <v>54.504249299999998</v>
      </c>
      <c r="V880" s="29">
        <v>90.695915299999996</v>
      </c>
      <c r="W880" s="29">
        <v>82.3751891</v>
      </c>
      <c r="X880" s="29">
        <v>8.3207261999999993</v>
      </c>
      <c r="Y880" s="29">
        <v>9.3040847000000007</v>
      </c>
    </row>
    <row r="881" spans="2:25" ht="15" hidden="1" customHeight="1">
      <c r="B881" s="25">
        <v>876</v>
      </c>
      <c r="C881" s="26" t="s">
        <v>21</v>
      </c>
      <c r="D881" s="26" t="s">
        <v>262</v>
      </c>
      <c r="E881" s="26" t="s">
        <v>284</v>
      </c>
      <c r="F881" s="26" t="s">
        <v>285</v>
      </c>
      <c r="G881" s="27" t="s">
        <v>16</v>
      </c>
      <c r="H881" s="28">
        <v>7706</v>
      </c>
      <c r="I881" s="28">
        <v>1787</v>
      </c>
      <c r="J881" s="28">
        <v>839</v>
      </c>
      <c r="K881" s="28">
        <v>948</v>
      </c>
      <c r="L881" s="28">
        <v>5919</v>
      </c>
      <c r="M881" s="28">
        <v>9902</v>
      </c>
      <c r="N881" s="28">
        <v>4103</v>
      </c>
      <c r="O881" s="28">
        <v>3583</v>
      </c>
      <c r="P881" s="28">
        <v>520</v>
      </c>
      <c r="Q881" s="28">
        <v>5799</v>
      </c>
      <c r="R881" s="29">
        <v>23.1897223</v>
      </c>
      <c r="S881" s="29">
        <v>10.88762</v>
      </c>
      <c r="T881" s="29">
        <v>12.3021023</v>
      </c>
      <c r="U881" s="29">
        <v>76.8102777</v>
      </c>
      <c r="V881" s="29">
        <v>41.436073499999999</v>
      </c>
      <c r="W881" s="29">
        <v>36.184609199999997</v>
      </c>
      <c r="X881" s="29">
        <v>5.2514643999999997</v>
      </c>
      <c r="Y881" s="29">
        <v>58.563926500000001</v>
      </c>
    </row>
    <row r="882" spans="2:25" ht="15" customHeight="1">
      <c r="B882" s="30">
        <v>877</v>
      </c>
      <c r="C882" s="31" t="s">
        <v>21</v>
      </c>
      <c r="D882" s="36" t="s">
        <v>262</v>
      </c>
      <c r="E882" s="36" t="s">
        <v>284</v>
      </c>
      <c r="F882" s="36" t="s">
        <v>286</v>
      </c>
      <c r="G882" s="37" t="s">
        <v>286</v>
      </c>
      <c r="H882" s="32">
        <v>3124</v>
      </c>
      <c r="I882" s="32">
        <v>945</v>
      </c>
      <c r="J882" s="32">
        <v>570</v>
      </c>
      <c r="K882" s="32">
        <v>375</v>
      </c>
      <c r="L882" s="32">
        <v>2179</v>
      </c>
      <c r="M882" s="32">
        <v>3880</v>
      </c>
      <c r="N882" s="32">
        <v>1881</v>
      </c>
      <c r="O882" s="32">
        <v>1666</v>
      </c>
      <c r="P882" s="32">
        <v>215</v>
      </c>
      <c r="Q882" s="32">
        <v>1999</v>
      </c>
      <c r="R882" s="33">
        <v>30.2496799</v>
      </c>
      <c r="S882" s="33">
        <v>18.2458387</v>
      </c>
      <c r="T882" s="33">
        <v>12.0038412</v>
      </c>
      <c r="U882" s="33">
        <v>69.750320099999996</v>
      </c>
      <c r="V882" s="33">
        <v>48.479381400000001</v>
      </c>
      <c r="W882" s="33">
        <v>42.938144299999998</v>
      </c>
      <c r="X882" s="33">
        <v>5.5412371</v>
      </c>
      <c r="Y882" s="33">
        <v>51.520618599999999</v>
      </c>
    </row>
    <row r="883" spans="2:25" ht="15" hidden="1" customHeight="1">
      <c r="B883" s="25">
        <v>878</v>
      </c>
      <c r="C883" s="26" t="s">
        <v>21</v>
      </c>
      <c r="D883" s="26" t="s">
        <v>262</v>
      </c>
      <c r="E883" s="26" t="s">
        <v>284</v>
      </c>
      <c r="F883" s="26" t="s">
        <v>286</v>
      </c>
      <c r="G883" s="27" t="s">
        <v>15</v>
      </c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9"/>
      <c r="S883" s="29"/>
      <c r="T883" s="29"/>
      <c r="U883" s="29"/>
      <c r="V883" s="29"/>
      <c r="W883" s="29"/>
      <c r="X883" s="29"/>
      <c r="Y883" s="29"/>
    </row>
    <row r="884" spans="2:25" ht="15" hidden="1" customHeight="1">
      <c r="B884" s="25">
        <v>879</v>
      </c>
      <c r="C884" s="26" t="s">
        <v>21</v>
      </c>
      <c r="D884" s="26" t="s">
        <v>262</v>
      </c>
      <c r="E884" s="26" t="s">
        <v>284</v>
      </c>
      <c r="F884" s="26" t="s">
        <v>286</v>
      </c>
      <c r="G884" s="27" t="s">
        <v>16</v>
      </c>
      <c r="H884" s="28">
        <v>3124</v>
      </c>
      <c r="I884" s="28">
        <v>945</v>
      </c>
      <c r="J884" s="28">
        <v>570</v>
      </c>
      <c r="K884" s="28">
        <v>375</v>
      </c>
      <c r="L884" s="28">
        <v>2179</v>
      </c>
      <c r="M884" s="28">
        <v>3880</v>
      </c>
      <c r="N884" s="28">
        <v>1881</v>
      </c>
      <c r="O884" s="28">
        <v>1666</v>
      </c>
      <c r="P884" s="28">
        <v>215</v>
      </c>
      <c r="Q884" s="28">
        <v>1999</v>
      </c>
      <c r="R884" s="29">
        <v>30.2496799</v>
      </c>
      <c r="S884" s="29">
        <v>18.2458387</v>
      </c>
      <c r="T884" s="29">
        <v>12.0038412</v>
      </c>
      <c r="U884" s="29">
        <v>69.750320099999996</v>
      </c>
      <c r="V884" s="29">
        <v>48.479381400000001</v>
      </c>
      <c r="W884" s="29">
        <v>42.938144299999998</v>
      </c>
      <c r="X884" s="29">
        <v>5.5412371</v>
      </c>
      <c r="Y884" s="29">
        <v>51.520618599999999</v>
      </c>
    </row>
    <row r="885" spans="2:25" ht="15" hidden="1" customHeight="1">
      <c r="B885" s="21">
        <v>880</v>
      </c>
      <c r="C885" s="22" t="s">
        <v>19</v>
      </c>
      <c r="D885" s="35" t="s">
        <v>262</v>
      </c>
      <c r="E885" s="35" t="s">
        <v>287</v>
      </c>
      <c r="F885" s="35"/>
      <c r="G885" s="22" t="s">
        <v>287</v>
      </c>
      <c r="H885" s="23">
        <v>8359</v>
      </c>
      <c r="I885" s="23">
        <v>1265</v>
      </c>
      <c r="J885" s="23">
        <v>743</v>
      </c>
      <c r="K885" s="23">
        <v>522</v>
      </c>
      <c r="L885" s="23">
        <v>7094</v>
      </c>
      <c r="M885" s="23">
        <v>10296</v>
      </c>
      <c r="N885" s="23">
        <v>2135</v>
      </c>
      <c r="O885" s="23">
        <v>1791</v>
      </c>
      <c r="P885" s="23">
        <v>344</v>
      </c>
      <c r="Q885" s="23">
        <v>8161</v>
      </c>
      <c r="R885" s="24">
        <v>15.1333892</v>
      </c>
      <c r="S885" s="24">
        <v>8.8886230000000008</v>
      </c>
      <c r="T885" s="24">
        <v>6.2447660999999997</v>
      </c>
      <c r="U885" s="24">
        <v>84.866610800000004</v>
      </c>
      <c r="V885" s="24">
        <v>20.7362082</v>
      </c>
      <c r="W885" s="24">
        <v>17.3951049</v>
      </c>
      <c r="X885" s="24">
        <v>3.3411032999999999</v>
      </c>
      <c r="Y885" s="24">
        <v>79.263791800000007</v>
      </c>
    </row>
    <row r="886" spans="2:25" ht="15" hidden="1" customHeight="1">
      <c r="B886" s="25">
        <v>881</v>
      </c>
      <c r="C886" s="26" t="s">
        <v>19</v>
      </c>
      <c r="D886" s="26" t="s">
        <v>262</v>
      </c>
      <c r="E886" s="26" t="s">
        <v>287</v>
      </c>
      <c r="F886" s="26"/>
      <c r="G886" s="27" t="s">
        <v>15</v>
      </c>
      <c r="H886" s="28">
        <v>914</v>
      </c>
      <c r="I886" s="28">
        <v>576</v>
      </c>
      <c r="J886" s="28">
        <v>302</v>
      </c>
      <c r="K886" s="28">
        <v>274</v>
      </c>
      <c r="L886" s="28">
        <v>338</v>
      </c>
      <c r="M886" s="28">
        <v>1026</v>
      </c>
      <c r="N886" s="28">
        <v>829</v>
      </c>
      <c r="O886" s="28">
        <v>677</v>
      </c>
      <c r="P886" s="28">
        <v>152</v>
      </c>
      <c r="Q886" s="28">
        <v>197</v>
      </c>
      <c r="R886" s="29">
        <v>63.019693699999998</v>
      </c>
      <c r="S886" s="29">
        <v>33.0415755</v>
      </c>
      <c r="T886" s="29">
        <v>29.978118200000001</v>
      </c>
      <c r="U886" s="29">
        <v>36.980306300000002</v>
      </c>
      <c r="V886" s="29">
        <v>80.799220300000002</v>
      </c>
      <c r="W886" s="29">
        <v>65.984405499999994</v>
      </c>
      <c r="X886" s="29">
        <v>14.814814800000001</v>
      </c>
      <c r="Y886" s="29">
        <v>19.200779699999998</v>
      </c>
    </row>
    <row r="887" spans="2:25" ht="15" hidden="1" customHeight="1">
      <c r="B887" s="25">
        <v>882</v>
      </c>
      <c r="C887" s="26" t="s">
        <v>19</v>
      </c>
      <c r="D887" s="26" t="s">
        <v>262</v>
      </c>
      <c r="E887" s="26" t="s">
        <v>287</v>
      </c>
      <c r="F887" s="26"/>
      <c r="G887" s="27" t="s">
        <v>16</v>
      </c>
      <c r="H887" s="28">
        <v>7445</v>
      </c>
      <c r="I887" s="28">
        <v>689</v>
      </c>
      <c r="J887" s="28">
        <v>441</v>
      </c>
      <c r="K887" s="28">
        <v>248</v>
      </c>
      <c r="L887" s="28">
        <v>6756</v>
      </c>
      <c r="M887" s="28">
        <v>9270</v>
      </c>
      <c r="N887" s="28">
        <v>1306</v>
      </c>
      <c r="O887" s="28">
        <v>1114</v>
      </c>
      <c r="P887" s="28">
        <v>192</v>
      </c>
      <c r="Q887" s="28">
        <v>7964</v>
      </c>
      <c r="R887" s="29">
        <v>9.2545331999999991</v>
      </c>
      <c r="S887" s="29">
        <v>5.9234384999999996</v>
      </c>
      <c r="T887" s="29">
        <v>3.3310947</v>
      </c>
      <c r="U887" s="29">
        <v>90.745466800000003</v>
      </c>
      <c r="V887" s="29">
        <v>14.088457399999999</v>
      </c>
      <c r="W887" s="29">
        <v>12.01726</v>
      </c>
      <c r="X887" s="29">
        <v>2.0711974</v>
      </c>
      <c r="Y887" s="29">
        <v>85.911542600000004</v>
      </c>
    </row>
    <row r="888" spans="2:25" ht="15" customHeight="1">
      <c r="B888" s="30">
        <v>883</v>
      </c>
      <c r="C888" s="31" t="s">
        <v>21</v>
      </c>
      <c r="D888" s="36" t="s">
        <v>262</v>
      </c>
      <c r="E888" s="36" t="s">
        <v>287</v>
      </c>
      <c r="F888" s="36" t="s">
        <v>288</v>
      </c>
      <c r="G888" s="37" t="s">
        <v>288</v>
      </c>
      <c r="H888" s="32">
        <v>5618</v>
      </c>
      <c r="I888" s="32">
        <v>877</v>
      </c>
      <c r="J888" s="32">
        <v>479</v>
      </c>
      <c r="K888" s="32">
        <v>398</v>
      </c>
      <c r="L888" s="32">
        <v>4741</v>
      </c>
      <c r="M888" s="32">
        <v>6779</v>
      </c>
      <c r="N888" s="32">
        <v>1633</v>
      </c>
      <c r="O888" s="32">
        <v>1386</v>
      </c>
      <c r="P888" s="32">
        <v>247</v>
      </c>
      <c r="Q888" s="32">
        <v>5146</v>
      </c>
      <c r="R888" s="33">
        <v>15.610537600000001</v>
      </c>
      <c r="S888" s="33">
        <v>8.5261659000000005</v>
      </c>
      <c r="T888" s="33">
        <v>7.0843717000000002</v>
      </c>
      <c r="U888" s="33">
        <v>84.389462399999999</v>
      </c>
      <c r="V888" s="33">
        <v>24.089098700000001</v>
      </c>
      <c r="W888" s="33">
        <v>20.4454934</v>
      </c>
      <c r="X888" s="33">
        <v>3.6436052999999999</v>
      </c>
      <c r="Y888" s="33">
        <v>75.910901300000006</v>
      </c>
    </row>
    <row r="889" spans="2:25" ht="15" hidden="1" customHeight="1">
      <c r="B889" s="25">
        <v>884</v>
      </c>
      <c r="C889" s="26" t="s">
        <v>21</v>
      </c>
      <c r="D889" s="26" t="s">
        <v>262</v>
      </c>
      <c r="E889" s="26" t="s">
        <v>287</v>
      </c>
      <c r="F889" s="26" t="s">
        <v>288</v>
      </c>
      <c r="G889" s="27" t="s">
        <v>15</v>
      </c>
      <c r="H889" s="28">
        <v>914</v>
      </c>
      <c r="I889" s="28">
        <v>576</v>
      </c>
      <c r="J889" s="28">
        <v>302</v>
      </c>
      <c r="K889" s="28">
        <v>274</v>
      </c>
      <c r="L889" s="28">
        <v>338</v>
      </c>
      <c r="M889" s="28">
        <v>1026</v>
      </c>
      <c r="N889" s="28">
        <v>829</v>
      </c>
      <c r="O889" s="28">
        <v>677</v>
      </c>
      <c r="P889" s="28">
        <v>152</v>
      </c>
      <c r="Q889" s="28">
        <v>197</v>
      </c>
      <c r="R889" s="29">
        <v>63.019693699999998</v>
      </c>
      <c r="S889" s="29">
        <v>33.0415755</v>
      </c>
      <c r="T889" s="29">
        <v>29.978118200000001</v>
      </c>
      <c r="U889" s="29">
        <v>36.980306300000002</v>
      </c>
      <c r="V889" s="29">
        <v>80.799220300000002</v>
      </c>
      <c r="W889" s="29">
        <v>65.984405499999994</v>
      </c>
      <c r="X889" s="29">
        <v>14.814814800000001</v>
      </c>
      <c r="Y889" s="29">
        <v>19.200779699999998</v>
      </c>
    </row>
    <row r="890" spans="2:25" ht="15" hidden="1" customHeight="1">
      <c r="B890" s="25">
        <v>885</v>
      </c>
      <c r="C890" s="26" t="s">
        <v>21</v>
      </c>
      <c r="D890" s="26" t="s">
        <v>262</v>
      </c>
      <c r="E890" s="26" t="s">
        <v>287</v>
      </c>
      <c r="F890" s="26" t="s">
        <v>288</v>
      </c>
      <c r="G890" s="27" t="s">
        <v>16</v>
      </c>
      <c r="H890" s="28">
        <v>4704</v>
      </c>
      <c r="I890" s="28">
        <v>301</v>
      </c>
      <c r="J890" s="28">
        <v>177</v>
      </c>
      <c r="K890" s="28">
        <v>124</v>
      </c>
      <c r="L890" s="28">
        <v>4403</v>
      </c>
      <c r="M890" s="28">
        <v>5753</v>
      </c>
      <c r="N890" s="28">
        <v>804</v>
      </c>
      <c r="O890" s="28">
        <v>709</v>
      </c>
      <c r="P890" s="28">
        <v>95</v>
      </c>
      <c r="Q890" s="28">
        <v>4949</v>
      </c>
      <c r="R890" s="29">
        <v>6.3988094999999996</v>
      </c>
      <c r="S890" s="29">
        <v>3.7627551000000001</v>
      </c>
      <c r="T890" s="29">
        <v>2.6360543999999999</v>
      </c>
      <c r="U890" s="29">
        <v>93.601190500000001</v>
      </c>
      <c r="V890" s="29">
        <v>13.975317199999999</v>
      </c>
      <c r="W890" s="29">
        <v>12.3240049</v>
      </c>
      <c r="X890" s="29">
        <v>1.6513123999999999</v>
      </c>
      <c r="Y890" s="29">
        <v>86.024682799999994</v>
      </c>
    </row>
    <row r="891" spans="2:25" ht="15" customHeight="1">
      <c r="B891" s="30">
        <v>886</v>
      </c>
      <c r="C891" s="31" t="s">
        <v>21</v>
      </c>
      <c r="D891" s="36" t="s">
        <v>262</v>
      </c>
      <c r="E891" s="36" t="s">
        <v>287</v>
      </c>
      <c r="F891" s="36" t="s">
        <v>289</v>
      </c>
      <c r="G891" s="37" t="s">
        <v>289</v>
      </c>
      <c r="H891" s="32">
        <v>2741</v>
      </c>
      <c r="I891" s="32">
        <v>388</v>
      </c>
      <c r="J891" s="32">
        <v>264</v>
      </c>
      <c r="K891" s="32">
        <v>124</v>
      </c>
      <c r="L891" s="32">
        <v>2353</v>
      </c>
      <c r="M891" s="32">
        <v>3517</v>
      </c>
      <c r="N891" s="32">
        <v>502</v>
      </c>
      <c r="O891" s="32">
        <v>405</v>
      </c>
      <c r="P891" s="32">
        <v>97</v>
      </c>
      <c r="Q891" s="32">
        <v>3015</v>
      </c>
      <c r="R891" s="33">
        <v>14.155417699999999</v>
      </c>
      <c r="S891" s="33">
        <v>9.6315212999999993</v>
      </c>
      <c r="T891" s="33">
        <v>4.5238963999999999</v>
      </c>
      <c r="U891" s="33">
        <v>85.844582299999999</v>
      </c>
      <c r="V891" s="33">
        <v>14.273528600000001</v>
      </c>
      <c r="W891" s="33">
        <v>11.515496199999999</v>
      </c>
      <c r="X891" s="33">
        <v>2.7580323999999998</v>
      </c>
      <c r="Y891" s="33">
        <v>85.726471399999994</v>
      </c>
    </row>
    <row r="892" spans="2:25" ht="15" hidden="1" customHeight="1">
      <c r="B892" s="25">
        <v>887</v>
      </c>
      <c r="C892" s="26" t="s">
        <v>21</v>
      </c>
      <c r="D892" s="26" t="s">
        <v>262</v>
      </c>
      <c r="E892" s="26" t="s">
        <v>287</v>
      </c>
      <c r="F892" s="26" t="s">
        <v>289</v>
      </c>
      <c r="G892" s="27" t="s">
        <v>15</v>
      </c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9"/>
      <c r="S892" s="29"/>
      <c r="T892" s="29"/>
      <c r="U892" s="29"/>
      <c r="V892" s="29"/>
      <c r="W892" s="29"/>
      <c r="X892" s="29"/>
      <c r="Y892" s="29"/>
    </row>
    <row r="893" spans="2:25" ht="15" hidden="1" customHeight="1">
      <c r="B893" s="25">
        <v>888</v>
      </c>
      <c r="C893" s="26" t="s">
        <v>21</v>
      </c>
      <c r="D893" s="26" t="s">
        <v>262</v>
      </c>
      <c r="E893" s="26" t="s">
        <v>287</v>
      </c>
      <c r="F893" s="26" t="s">
        <v>289</v>
      </c>
      <c r="G893" s="27" t="s">
        <v>16</v>
      </c>
      <c r="H893" s="28">
        <v>2741</v>
      </c>
      <c r="I893" s="28">
        <v>388</v>
      </c>
      <c r="J893" s="28">
        <v>264</v>
      </c>
      <c r="K893" s="28">
        <v>124</v>
      </c>
      <c r="L893" s="28">
        <v>2353</v>
      </c>
      <c r="M893" s="28">
        <v>3517</v>
      </c>
      <c r="N893" s="28">
        <v>502</v>
      </c>
      <c r="O893" s="28">
        <v>405</v>
      </c>
      <c r="P893" s="28">
        <v>97</v>
      </c>
      <c r="Q893" s="28">
        <v>3015</v>
      </c>
      <c r="R893" s="29">
        <v>14.155417699999999</v>
      </c>
      <c r="S893" s="29">
        <v>9.6315212999999993</v>
      </c>
      <c r="T893" s="29">
        <v>4.5238963999999999</v>
      </c>
      <c r="U893" s="29">
        <v>85.844582299999999</v>
      </c>
      <c r="V893" s="29">
        <v>14.273528600000001</v>
      </c>
      <c r="W893" s="29">
        <v>11.515496199999999</v>
      </c>
      <c r="X893" s="29">
        <v>2.7580323999999998</v>
      </c>
      <c r="Y893" s="29">
        <v>85.726471399999994</v>
      </c>
    </row>
    <row r="894" spans="2:25" ht="15" hidden="1" customHeight="1">
      <c r="B894" s="21">
        <v>889</v>
      </c>
      <c r="C894" s="22" t="s">
        <v>19</v>
      </c>
      <c r="D894" s="35" t="s">
        <v>262</v>
      </c>
      <c r="E894" s="35" t="s">
        <v>290</v>
      </c>
      <c r="F894" s="35"/>
      <c r="G894" s="22" t="s">
        <v>290</v>
      </c>
      <c r="H894" s="23">
        <v>16895</v>
      </c>
      <c r="I894" s="23">
        <v>9311</v>
      </c>
      <c r="J894" s="23">
        <v>5232</v>
      </c>
      <c r="K894" s="23">
        <v>4079</v>
      </c>
      <c r="L894" s="23">
        <v>7584</v>
      </c>
      <c r="M894" s="23">
        <v>19627</v>
      </c>
      <c r="N894" s="23">
        <v>14198</v>
      </c>
      <c r="O894" s="23">
        <v>11968</v>
      </c>
      <c r="P894" s="23">
        <v>2230</v>
      </c>
      <c r="Q894" s="23">
        <v>5429</v>
      </c>
      <c r="R894" s="24">
        <v>55.1109796</v>
      </c>
      <c r="S894" s="24">
        <v>30.9677419</v>
      </c>
      <c r="T894" s="24">
        <v>24.143237599999999</v>
      </c>
      <c r="U894" s="24">
        <v>44.8890204</v>
      </c>
      <c r="V894" s="24">
        <v>72.339124699999999</v>
      </c>
      <c r="W894" s="24">
        <v>60.977225300000001</v>
      </c>
      <c r="X894" s="24">
        <v>11.3618994</v>
      </c>
      <c r="Y894" s="24">
        <v>27.660875300000001</v>
      </c>
    </row>
    <row r="895" spans="2:25" ht="15" hidden="1" customHeight="1">
      <c r="B895" s="25">
        <v>890</v>
      </c>
      <c r="C895" s="26" t="s">
        <v>19</v>
      </c>
      <c r="D895" s="26" t="s">
        <v>262</v>
      </c>
      <c r="E895" s="26" t="s">
        <v>290</v>
      </c>
      <c r="F895" s="26"/>
      <c r="G895" s="27" t="s">
        <v>15</v>
      </c>
      <c r="H895" s="28">
        <v>9081</v>
      </c>
      <c r="I895" s="28">
        <v>7152</v>
      </c>
      <c r="J895" s="28">
        <v>3861</v>
      </c>
      <c r="K895" s="28">
        <v>3291</v>
      </c>
      <c r="L895" s="28">
        <v>1929</v>
      </c>
      <c r="M895" s="28">
        <v>9327</v>
      </c>
      <c r="N895" s="28">
        <v>8945</v>
      </c>
      <c r="O895" s="28">
        <v>7424</v>
      </c>
      <c r="P895" s="28">
        <v>1521</v>
      </c>
      <c r="Q895" s="28">
        <v>382</v>
      </c>
      <c r="R895" s="29">
        <v>78.757846099999995</v>
      </c>
      <c r="S895" s="29">
        <v>42.5173439</v>
      </c>
      <c r="T895" s="29">
        <v>36.2405021</v>
      </c>
      <c r="U895" s="29">
        <v>21.242153900000002</v>
      </c>
      <c r="V895" s="29">
        <v>95.904363700000005</v>
      </c>
      <c r="W895" s="29">
        <v>79.596869299999994</v>
      </c>
      <c r="X895" s="29">
        <v>16.3074944</v>
      </c>
      <c r="Y895" s="29">
        <v>4.0956362999999998</v>
      </c>
    </row>
    <row r="896" spans="2:25" ht="15" hidden="1" customHeight="1">
      <c r="B896" s="25">
        <v>891</v>
      </c>
      <c r="C896" s="26" t="s">
        <v>19</v>
      </c>
      <c r="D896" s="26" t="s">
        <v>262</v>
      </c>
      <c r="E896" s="26" t="s">
        <v>290</v>
      </c>
      <c r="F896" s="26"/>
      <c r="G896" s="27" t="s">
        <v>16</v>
      </c>
      <c r="H896" s="28">
        <v>7814</v>
      </c>
      <c r="I896" s="28">
        <v>2159</v>
      </c>
      <c r="J896" s="28">
        <v>1371</v>
      </c>
      <c r="K896" s="28">
        <v>788</v>
      </c>
      <c r="L896" s="28">
        <v>5655</v>
      </c>
      <c r="M896" s="28">
        <v>10300</v>
      </c>
      <c r="N896" s="28">
        <v>5253</v>
      </c>
      <c r="O896" s="28">
        <v>4544</v>
      </c>
      <c r="P896" s="28">
        <v>709</v>
      </c>
      <c r="Q896" s="28">
        <v>5047</v>
      </c>
      <c r="R896" s="29">
        <v>27.629895099999999</v>
      </c>
      <c r="S896" s="29">
        <v>17.545431300000001</v>
      </c>
      <c r="T896" s="29">
        <v>10.0844638</v>
      </c>
      <c r="U896" s="29">
        <v>72.370104900000001</v>
      </c>
      <c r="V896" s="29">
        <v>51</v>
      </c>
      <c r="W896" s="29">
        <v>44.116504900000002</v>
      </c>
      <c r="X896" s="29">
        <v>6.8834951000000002</v>
      </c>
      <c r="Y896" s="29">
        <v>49</v>
      </c>
    </row>
    <row r="897" spans="2:25" ht="15" customHeight="1">
      <c r="B897" s="30">
        <v>892</v>
      </c>
      <c r="C897" s="31" t="s">
        <v>21</v>
      </c>
      <c r="D897" s="36" t="s">
        <v>262</v>
      </c>
      <c r="E897" s="36" t="s">
        <v>290</v>
      </c>
      <c r="F897" s="36" t="s">
        <v>291</v>
      </c>
      <c r="G897" s="37" t="s">
        <v>291</v>
      </c>
      <c r="H897" s="32">
        <v>13319</v>
      </c>
      <c r="I897" s="32">
        <v>8508</v>
      </c>
      <c r="J897" s="32">
        <v>4719</v>
      </c>
      <c r="K897" s="32">
        <v>3789</v>
      </c>
      <c r="L897" s="32">
        <v>4811</v>
      </c>
      <c r="M897" s="32">
        <v>15876</v>
      </c>
      <c r="N897" s="32">
        <v>12665</v>
      </c>
      <c r="O897" s="32">
        <v>10777</v>
      </c>
      <c r="P897" s="32">
        <v>1888</v>
      </c>
      <c r="Q897" s="32">
        <v>3211</v>
      </c>
      <c r="R897" s="33">
        <v>63.878669600000002</v>
      </c>
      <c r="S897" s="33">
        <v>35.430587899999999</v>
      </c>
      <c r="T897" s="33">
        <v>28.448081699999999</v>
      </c>
      <c r="U897" s="33">
        <v>36.121330399999998</v>
      </c>
      <c r="V897" s="33">
        <v>79.774502400000003</v>
      </c>
      <c r="W897" s="33">
        <v>67.882338099999998</v>
      </c>
      <c r="X897" s="33">
        <v>11.892164299999999</v>
      </c>
      <c r="Y897" s="33">
        <v>20.225497600000001</v>
      </c>
    </row>
    <row r="898" spans="2:25" ht="15" hidden="1" customHeight="1">
      <c r="B898" s="25">
        <v>893</v>
      </c>
      <c r="C898" s="26" t="s">
        <v>21</v>
      </c>
      <c r="D898" s="26" t="s">
        <v>262</v>
      </c>
      <c r="E898" s="26" t="s">
        <v>290</v>
      </c>
      <c r="F898" s="26" t="s">
        <v>291</v>
      </c>
      <c r="G898" s="27" t="s">
        <v>15</v>
      </c>
      <c r="H898" s="28">
        <v>7534</v>
      </c>
      <c r="I898" s="28">
        <v>6761</v>
      </c>
      <c r="J898" s="28">
        <v>3630</v>
      </c>
      <c r="K898" s="28">
        <v>3131</v>
      </c>
      <c r="L898" s="28">
        <v>773</v>
      </c>
      <c r="M898" s="28">
        <v>9327</v>
      </c>
      <c r="N898" s="28">
        <v>8945</v>
      </c>
      <c r="O898" s="28">
        <v>7424</v>
      </c>
      <c r="P898" s="28">
        <v>1521</v>
      </c>
      <c r="Q898" s="28">
        <v>382</v>
      </c>
      <c r="R898" s="29">
        <v>89.739846</v>
      </c>
      <c r="S898" s="29">
        <v>48.181576900000003</v>
      </c>
      <c r="T898" s="29">
        <v>41.558269199999998</v>
      </c>
      <c r="U898" s="29">
        <v>10.260154</v>
      </c>
      <c r="V898" s="29">
        <v>95.904363700000005</v>
      </c>
      <c r="W898" s="29">
        <v>79.596869299999994</v>
      </c>
      <c r="X898" s="29">
        <v>16.3074944</v>
      </c>
      <c r="Y898" s="29">
        <v>4.0956362999999998</v>
      </c>
    </row>
    <row r="899" spans="2:25" ht="15" hidden="1" customHeight="1">
      <c r="B899" s="25">
        <v>894</v>
      </c>
      <c r="C899" s="26" t="s">
        <v>21</v>
      </c>
      <c r="D899" s="26" t="s">
        <v>262</v>
      </c>
      <c r="E899" s="26" t="s">
        <v>290</v>
      </c>
      <c r="F899" s="26" t="s">
        <v>291</v>
      </c>
      <c r="G899" s="27" t="s">
        <v>16</v>
      </c>
      <c r="H899" s="28">
        <v>5785</v>
      </c>
      <c r="I899" s="28">
        <v>1747</v>
      </c>
      <c r="J899" s="28">
        <v>1089</v>
      </c>
      <c r="K899" s="28">
        <v>658</v>
      </c>
      <c r="L899" s="28">
        <v>4038</v>
      </c>
      <c r="M899" s="28">
        <v>6549</v>
      </c>
      <c r="N899" s="28">
        <v>3720</v>
      </c>
      <c r="O899" s="28">
        <v>3353</v>
      </c>
      <c r="P899" s="28">
        <v>367</v>
      </c>
      <c r="Q899" s="28">
        <v>2829</v>
      </c>
      <c r="R899" s="29">
        <v>30.198789999999999</v>
      </c>
      <c r="S899" s="29">
        <v>18.8245462</v>
      </c>
      <c r="T899" s="29">
        <v>11.374243699999999</v>
      </c>
      <c r="U899" s="29">
        <v>69.801209999999998</v>
      </c>
      <c r="V899" s="29">
        <v>56.802565299999998</v>
      </c>
      <c r="W899" s="29">
        <v>51.198656300000003</v>
      </c>
      <c r="X899" s="29">
        <v>5.6039089999999998</v>
      </c>
      <c r="Y899" s="29">
        <v>43.197434700000002</v>
      </c>
    </row>
    <row r="900" spans="2:25" ht="15" customHeight="1">
      <c r="B900" s="30">
        <v>895</v>
      </c>
      <c r="C900" s="31" t="s">
        <v>21</v>
      </c>
      <c r="D900" s="36" t="s">
        <v>262</v>
      </c>
      <c r="E900" s="36" t="s">
        <v>290</v>
      </c>
      <c r="F900" s="36" t="s">
        <v>292</v>
      </c>
      <c r="G900" s="37" t="s">
        <v>292</v>
      </c>
      <c r="H900" s="32">
        <v>3576</v>
      </c>
      <c r="I900" s="32">
        <v>803</v>
      </c>
      <c r="J900" s="32">
        <v>513</v>
      </c>
      <c r="K900" s="32">
        <v>290</v>
      </c>
      <c r="L900" s="32">
        <v>2773</v>
      </c>
      <c r="M900" s="32">
        <v>3751</v>
      </c>
      <c r="N900" s="32">
        <v>1533</v>
      </c>
      <c r="O900" s="32">
        <v>1191</v>
      </c>
      <c r="P900" s="32">
        <v>342</v>
      </c>
      <c r="Q900" s="32">
        <v>2218</v>
      </c>
      <c r="R900" s="33">
        <v>22.4552573</v>
      </c>
      <c r="S900" s="33">
        <v>14.3456376</v>
      </c>
      <c r="T900" s="33">
        <v>8.1096196999999997</v>
      </c>
      <c r="U900" s="33">
        <v>77.5447427</v>
      </c>
      <c r="V900" s="33">
        <v>40.8691016</v>
      </c>
      <c r="W900" s="33">
        <v>31.751532900000001</v>
      </c>
      <c r="X900" s="33">
        <v>9.1175686000000002</v>
      </c>
      <c r="Y900" s="33">
        <v>59.1308984</v>
      </c>
    </row>
    <row r="901" spans="2:25" ht="15" hidden="1" customHeight="1">
      <c r="B901" s="25">
        <v>896</v>
      </c>
      <c r="C901" s="26" t="s">
        <v>21</v>
      </c>
      <c r="D901" s="26" t="s">
        <v>262</v>
      </c>
      <c r="E901" s="26" t="s">
        <v>290</v>
      </c>
      <c r="F901" s="26" t="s">
        <v>292</v>
      </c>
      <c r="G901" s="27" t="s">
        <v>15</v>
      </c>
      <c r="H901" s="28">
        <v>1547</v>
      </c>
      <c r="I901" s="28">
        <v>391</v>
      </c>
      <c r="J901" s="28">
        <v>231</v>
      </c>
      <c r="K901" s="28">
        <v>160</v>
      </c>
      <c r="L901" s="28">
        <v>1156</v>
      </c>
      <c r="M901" s="28"/>
      <c r="N901" s="28"/>
      <c r="O901" s="28"/>
      <c r="P901" s="28"/>
      <c r="Q901" s="28"/>
      <c r="R901" s="29">
        <v>25.2747253</v>
      </c>
      <c r="S901" s="29">
        <v>14.9321267</v>
      </c>
      <c r="T901" s="29">
        <v>10.342598600000001</v>
      </c>
      <c r="U901" s="29">
        <v>74.7252747</v>
      </c>
      <c r="V901" s="29"/>
      <c r="W901" s="29"/>
      <c r="X901" s="29"/>
      <c r="Y901" s="29"/>
    </row>
    <row r="902" spans="2:25" ht="15" hidden="1" customHeight="1">
      <c r="B902" s="25">
        <v>897</v>
      </c>
      <c r="C902" s="26" t="s">
        <v>21</v>
      </c>
      <c r="D902" s="26" t="s">
        <v>262</v>
      </c>
      <c r="E902" s="26" t="s">
        <v>290</v>
      </c>
      <c r="F902" s="26" t="s">
        <v>292</v>
      </c>
      <c r="G902" s="27" t="s">
        <v>16</v>
      </c>
      <c r="H902" s="28">
        <v>2029</v>
      </c>
      <c r="I902" s="28">
        <v>412</v>
      </c>
      <c r="J902" s="28">
        <v>282</v>
      </c>
      <c r="K902" s="28">
        <v>130</v>
      </c>
      <c r="L902" s="28">
        <v>1617</v>
      </c>
      <c r="M902" s="28">
        <v>3751</v>
      </c>
      <c r="N902" s="28">
        <v>1533</v>
      </c>
      <c r="O902" s="28">
        <v>1191</v>
      </c>
      <c r="P902" s="28">
        <v>342</v>
      </c>
      <c r="Q902" s="28">
        <v>2218</v>
      </c>
      <c r="R902" s="29">
        <v>20.305569200000001</v>
      </c>
      <c r="S902" s="29">
        <v>13.8984722</v>
      </c>
      <c r="T902" s="29">
        <v>6.4070970999999997</v>
      </c>
      <c r="U902" s="29">
        <v>79.694430800000006</v>
      </c>
      <c r="V902" s="29">
        <v>40.8691016</v>
      </c>
      <c r="W902" s="29">
        <v>31.751532900000001</v>
      </c>
      <c r="X902" s="29">
        <v>9.1175686000000002</v>
      </c>
      <c r="Y902" s="29">
        <v>59.1308984</v>
      </c>
    </row>
    <row r="903" spans="2:25" ht="15" hidden="1" customHeight="1">
      <c r="B903" s="21">
        <v>898</v>
      </c>
      <c r="C903" s="22" t="s">
        <v>19</v>
      </c>
      <c r="D903" s="35" t="s">
        <v>262</v>
      </c>
      <c r="E903" s="35" t="s">
        <v>293</v>
      </c>
      <c r="F903" s="35"/>
      <c r="G903" s="22" t="s">
        <v>293</v>
      </c>
      <c r="H903" s="23">
        <v>3679</v>
      </c>
      <c r="I903" s="23">
        <v>1078</v>
      </c>
      <c r="J903" s="23">
        <v>394</v>
      </c>
      <c r="K903" s="23">
        <v>684</v>
      </c>
      <c r="L903" s="23">
        <v>2601</v>
      </c>
      <c r="M903" s="23">
        <v>4822</v>
      </c>
      <c r="N903" s="23">
        <v>3469</v>
      </c>
      <c r="O903" s="23">
        <v>2766</v>
      </c>
      <c r="P903" s="23">
        <v>703</v>
      </c>
      <c r="Q903" s="23">
        <v>1353</v>
      </c>
      <c r="R903" s="24">
        <v>29.301440599999999</v>
      </c>
      <c r="S903" s="24">
        <v>10.7094319</v>
      </c>
      <c r="T903" s="24">
        <v>18.592008700000001</v>
      </c>
      <c r="U903" s="24">
        <v>70.698559399999994</v>
      </c>
      <c r="V903" s="24">
        <v>71.941103299999995</v>
      </c>
      <c r="W903" s="24">
        <v>57.3620904</v>
      </c>
      <c r="X903" s="24">
        <v>14.5790129</v>
      </c>
      <c r="Y903" s="24">
        <v>28.058896699999998</v>
      </c>
    </row>
    <row r="904" spans="2:25" ht="15" hidden="1" customHeight="1">
      <c r="B904" s="25">
        <v>899</v>
      </c>
      <c r="C904" s="26" t="s">
        <v>19</v>
      </c>
      <c r="D904" s="26" t="s">
        <v>262</v>
      </c>
      <c r="E904" s="26" t="s">
        <v>293</v>
      </c>
      <c r="F904" s="26"/>
      <c r="G904" s="27" t="s">
        <v>15</v>
      </c>
      <c r="H904" s="28"/>
      <c r="I904" s="28"/>
      <c r="J904" s="28"/>
      <c r="K904" s="28"/>
      <c r="L904" s="28"/>
      <c r="M904" s="28">
        <v>711</v>
      </c>
      <c r="N904" s="28">
        <v>646</v>
      </c>
      <c r="O904" s="28">
        <v>531</v>
      </c>
      <c r="P904" s="28">
        <v>115</v>
      </c>
      <c r="Q904" s="28">
        <v>65</v>
      </c>
      <c r="R904" s="29"/>
      <c r="S904" s="29"/>
      <c r="T904" s="29"/>
      <c r="U904" s="29"/>
      <c r="V904" s="29">
        <v>90.857946600000005</v>
      </c>
      <c r="W904" s="29">
        <v>74.683544299999994</v>
      </c>
      <c r="X904" s="29">
        <v>16.174402300000001</v>
      </c>
      <c r="Y904" s="29">
        <v>9.1420534</v>
      </c>
    </row>
    <row r="905" spans="2:25" ht="15" hidden="1" customHeight="1">
      <c r="B905" s="25">
        <v>900</v>
      </c>
      <c r="C905" s="26" t="s">
        <v>19</v>
      </c>
      <c r="D905" s="26" t="s">
        <v>262</v>
      </c>
      <c r="E905" s="26" t="s">
        <v>293</v>
      </c>
      <c r="F905" s="26"/>
      <c r="G905" s="27" t="s">
        <v>16</v>
      </c>
      <c r="H905" s="28">
        <v>3679</v>
      </c>
      <c r="I905" s="28">
        <v>1078</v>
      </c>
      <c r="J905" s="28">
        <v>394</v>
      </c>
      <c r="K905" s="28">
        <v>684</v>
      </c>
      <c r="L905" s="28">
        <v>2601</v>
      </c>
      <c r="M905" s="28">
        <v>4111</v>
      </c>
      <c r="N905" s="28">
        <v>2823</v>
      </c>
      <c r="O905" s="28">
        <v>2235</v>
      </c>
      <c r="P905" s="28">
        <v>588</v>
      </c>
      <c r="Q905" s="28">
        <v>1288</v>
      </c>
      <c r="R905" s="29">
        <v>29.301440599999999</v>
      </c>
      <c r="S905" s="29">
        <v>10.7094319</v>
      </c>
      <c r="T905" s="29">
        <v>18.592008700000001</v>
      </c>
      <c r="U905" s="29">
        <v>70.698559399999994</v>
      </c>
      <c r="V905" s="29">
        <v>68.669423499999994</v>
      </c>
      <c r="W905" s="29">
        <v>54.366334199999997</v>
      </c>
      <c r="X905" s="29">
        <v>14.3030893</v>
      </c>
      <c r="Y905" s="29">
        <v>31.330576499999999</v>
      </c>
    </row>
    <row r="906" spans="2:25" ht="15" customHeight="1">
      <c r="B906" s="30">
        <v>901</v>
      </c>
      <c r="C906" s="31" t="s">
        <v>21</v>
      </c>
      <c r="D906" s="36" t="s">
        <v>262</v>
      </c>
      <c r="E906" s="36" t="s">
        <v>293</v>
      </c>
      <c r="F906" s="36" t="s">
        <v>294</v>
      </c>
      <c r="G906" s="37" t="s">
        <v>294</v>
      </c>
      <c r="H906" s="32">
        <v>3307</v>
      </c>
      <c r="I906" s="32">
        <v>978</v>
      </c>
      <c r="J906" s="32">
        <v>362</v>
      </c>
      <c r="K906" s="32">
        <v>616</v>
      </c>
      <c r="L906" s="32">
        <v>2329</v>
      </c>
      <c r="M906" s="32">
        <v>4165</v>
      </c>
      <c r="N906" s="32">
        <v>3049</v>
      </c>
      <c r="O906" s="32">
        <v>2414</v>
      </c>
      <c r="P906" s="32">
        <v>635</v>
      </c>
      <c r="Q906" s="32">
        <v>1116</v>
      </c>
      <c r="R906" s="33">
        <v>29.5736317</v>
      </c>
      <c r="S906" s="33">
        <v>10.9464772</v>
      </c>
      <c r="T906" s="33">
        <v>18.6271545</v>
      </c>
      <c r="U906" s="33">
        <v>70.426368299999993</v>
      </c>
      <c r="V906" s="33">
        <v>73.205282100000005</v>
      </c>
      <c r="W906" s="33">
        <v>57.959183699999997</v>
      </c>
      <c r="X906" s="33">
        <v>15.246098399999999</v>
      </c>
      <c r="Y906" s="33">
        <v>26.794717899999998</v>
      </c>
    </row>
    <row r="907" spans="2:25" ht="15" hidden="1" customHeight="1">
      <c r="B907" s="25">
        <v>902</v>
      </c>
      <c r="C907" s="26" t="s">
        <v>21</v>
      </c>
      <c r="D907" s="26" t="s">
        <v>262</v>
      </c>
      <c r="E907" s="26" t="s">
        <v>293</v>
      </c>
      <c r="F907" s="26" t="s">
        <v>294</v>
      </c>
      <c r="G907" s="27" t="s">
        <v>15</v>
      </c>
      <c r="H907" s="28"/>
      <c r="I907" s="28"/>
      <c r="J907" s="28"/>
      <c r="K907" s="28"/>
      <c r="L907" s="28"/>
      <c r="M907" s="28">
        <v>711</v>
      </c>
      <c r="N907" s="28">
        <v>646</v>
      </c>
      <c r="O907" s="28">
        <v>531</v>
      </c>
      <c r="P907" s="28">
        <v>115</v>
      </c>
      <c r="Q907" s="28">
        <v>65</v>
      </c>
      <c r="R907" s="29"/>
      <c r="S907" s="29"/>
      <c r="T907" s="29"/>
      <c r="U907" s="29"/>
      <c r="V907" s="29">
        <v>90.857946600000005</v>
      </c>
      <c r="W907" s="29">
        <v>74.683544299999994</v>
      </c>
      <c r="X907" s="29">
        <v>16.174402300000001</v>
      </c>
      <c r="Y907" s="29">
        <v>9.1420534</v>
      </c>
    </row>
    <row r="908" spans="2:25" ht="15" hidden="1" customHeight="1">
      <c r="B908" s="25">
        <v>903</v>
      </c>
      <c r="C908" s="26" t="s">
        <v>21</v>
      </c>
      <c r="D908" s="26" t="s">
        <v>262</v>
      </c>
      <c r="E908" s="26" t="s">
        <v>293</v>
      </c>
      <c r="F908" s="26" t="s">
        <v>294</v>
      </c>
      <c r="G908" s="27" t="s">
        <v>16</v>
      </c>
      <c r="H908" s="28">
        <v>3307</v>
      </c>
      <c r="I908" s="28">
        <v>978</v>
      </c>
      <c r="J908" s="28">
        <v>362</v>
      </c>
      <c r="K908" s="28">
        <v>616</v>
      </c>
      <c r="L908" s="28">
        <v>2329</v>
      </c>
      <c r="M908" s="28">
        <v>3454</v>
      </c>
      <c r="N908" s="28">
        <v>2403</v>
      </c>
      <c r="O908" s="28">
        <v>1883</v>
      </c>
      <c r="P908" s="28">
        <v>520</v>
      </c>
      <c r="Q908" s="28">
        <v>1051</v>
      </c>
      <c r="R908" s="29">
        <v>29.5736317</v>
      </c>
      <c r="S908" s="29">
        <v>10.9464772</v>
      </c>
      <c r="T908" s="29">
        <v>18.6271545</v>
      </c>
      <c r="U908" s="29">
        <v>70.426368299999993</v>
      </c>
      <c r="V908" s="29">
        <v>69.571511299999997</v>
      </c>
      <c r="W908" s="29">
        <v>54.516502600000003</v>
      </c>
      <c r="X908" s="29">
        <v>15.0550087</v>
      </c>
      <c r="Y908" s="29">
        <v>30.428488699999999</v>
      </c>
    </row>
    <row r="909" spans="2:25" ht="15" customHeight="1">
      <c r="B909" s="30">
        <v>904</v>
      </c>
      <c r="C909" s="31" t="s">
        <v>21</v>
      </c>
      <c r="D909" s="36" t="s">
        <v>262</v>
      </c>
      <c r="E909" s="36" t="s">
        <v>293</v>
      </c>
      <c r="F909" s="36" t="s">
        <v>295</v>
      </c>
      <c r="G909" s="37" t="s">
        <v>295</v>
      </c>
      <c r="H909" s="32">
        <v>372</v>
      </c>
      <c r="I909" s="32">
        <v>100</v>
      </c>
      <c r="J909" s="32">
        <v>32</v>
      </c>
      <c r="K909" s="32">
        <v>68</v>
      </c>
      <c r="L909" s="32">
        <v>272</v>
      </c>
      <c r="M909" s="32">
        <v>657</v>
      </c>
      <c r="N909" s="32">
        <v>420</v>
      </c>
      <c r="O909" s="32">
        <v>352</v>
      </c>
      <c r="P909" s="32">
        <v>68</v>
      </c>
      <c r="Q909" s="32">
        <v>237</v>
      </c>
      <c r="R909" s="33">
        <v>26.881720399999999</v>
      </c>
      <c r="S909" s="33">
        <v>8.6021505000000005</v>
      </c>
      <c r="T909" s="33">
        <v>18.279569899999998</v>
      </c>
      <c r="U909" s="33">
        <v>73.118279599999994</v>
      </c>
      <c r="V909" s="33">
        <v>63.926940600000002</v>
      </c>
      <c r="W909" s="33">
        <v>53.576864499999999</v>
      </c>
      <c r="X909" s="33">
        <v>10.350076100000001</v>
      </c>
      <c r="Y909" s="33">
        <v>36.073059399999998</v>
      </c>
    </row>
    <row r="910" spans="2:25" ht="15" hidden="1" customHeight="1">
      <c r="B910" s="25">
        <v>905</v>
      </c>
      <c r="C910" s="26" t="s">
        <v>21</v>
      </c>
      <c r="D910" s="26" t="s">
        <v>262</v>
      </c>
      <c r="E910" s="26" t="s">
        <v>293</v>
      </c>
      <c r="F910" s="26" t="s">
        <v>295</v>
      </c>
      <c r="G910" s="27" t="s">
        <v>15</v>
      </c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9"/>
      <c r="S910" s="29"/>
      <c r="T910" s="29"/>
      <c r="U910" s="29"/>
      <c r="V910" s="29"/>
      <c r="W910" s="29"/>
      <c r="X910" s="29"/>
      <c r="Y910" s="29"/>
    </row>
    <row r="911" spans="2:25" ht="15" hidden="1" customHeight="1">
      <c r="B911" s="25">
        <v>906</v>
      </c>
      <c r="C911" s="26" t="s">
        <v>21</v>
      </c>
      <c r="D911" s="26" t="s">
        <v>262</v>
      </c>
      <c r="E911" s="26" t="s">
        <v>293</v>
      </c>
      <c r="F911" s="26" t="s">
        <v>295</v>
      </c>
      <c r="G911" s="27" t="s">
        <v>16</v>
      </c>
      <c r="H911" s="28">
        <v>372</v>
      </c>
      <c r="I911" s="28">
        <v>100</v>
      </c>
      <c r="J911" s="28">
        <v>32</v>
      </c>
      <c r="K911" s="28">
        <v>68</v>
      </c>
      <c r="L911" s="28">
        <v>272</v>
      </c>
      <c r="M911" s="28">
        <v>657</v>
      </c>
      <c r="N911" s="28">
        <v>420</v>
      </c>
      <c r="O911" s="28">
        <v>352</v>
      </c>
      <c r="P911" s="28">
        <v>68</v>
      </c>
      <c r="Q911" s="28">
        <v>237</v>
      </c>
      <c r="R911" s="29">
        <v>26.881720399999999</v>
      </c>
      <c r="S911" s="29">
        <v>8.6021505000000005</v>
      </c>
      <c r="T911" s="29">
        <v>18.279569899999998</v>
      </c>
      <c r="U911" s="29">
        <v>73.118279599999994</v>
      </c>
      <c r="V911" s="29">
        <v>63.926940600000002</v>
      </c>
      <c r="W911" s="29">
        <v>53.576864499999999</v>
      </c>
      <c r="X911" s="29">
        <v>10.350076100000001</v>
      </c>
      <c r="Y911" s="29">
        <v>36.073059399999998</v>
      </c>
    </row>
    <row r="912" spans="2:25" ht="15" hidden="1" customHeight="1">
      <c r="B912" s="21">
        <v>907</v>
      </c>
      <c r="C912" s="22" t="s">
        <v>19</v>
      </c>
      <c r="D912" s="35" t="s">
        <v>262</v>
      </c>
      <c r="E912" s="35" t="s">
        <v>296</v>
      </c>
      <c r="F912" s="35"/>
      <c r="G912" s="22" t="s">
        <v>296</v>
      </c>
      <c r="H912" s="23">
        <v>1944</v>
      </c>
      <c r="I912" s="23">
        <v>473</v>
      </c>
      <c r="J912" s="23">
        <v>176</v>
      </c>
      <c r="K912" s="23">
        <v>297</v>
      </c>
      <c r="L912" s="23">
        <v>1471</v>
      </c>
      <c r="M912" s="23">
        <v>2125</v>
      </c>
      <c r="N912" s="23">
        <v>1114</v>
      </c>
      <c r="O912" s="23">
        <v>868</v>
      </c>
      <c r="P912" s="23">
        <v>246</v>
      </c>
      <c r="Q912" s="23">
        <v>1011</v>
      </c>
      <c r="R912" s="24">
        <v>24.331275699999999</v>
      </c>
      <c r="S912" s="24">
        <v>9.0534979</v>
      </c>
      <c r="T912" s="24">
        <v>15.277777800000001</v>
      </c>
      <c r="U912" s="24">
        <v>75.668724299999994</v>
      </c>
      <c r="V912" s="24">
        <v>52.4235294</v>
      </c>
      <c r="W912" s="24">
        <v>40.847058799999999</v>
      </c>
      <c r="X912" s="24">
        <v>11.5764706</v>
      </c>
      <c r="Y912" s="24">
        <v>47.5764706</v>
      </c>
    </row>
    <row r="913" spans="2:25" ht="15" hidden="1" customHeight="1">
      <c r="B913" s="25">
        <v>908</v>
      </c>
      <c r="C913" s="26" t="s">
        <v>19</v>
      </c>
      <c r="D913" s="26" t="s">
        <v>262</v>
      </c>
      <c r="E913" s="26" t="s">
        <v>296</v>
      </c>
      <c r="F913" s="26"/>
      <c r="G913" s="27" t="s">
        <v>15</v>
      </c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9"/>
      <c r="S913" s="29"/>
      <c r="T913" s="29"/>
      <c r="U913" s="29"/>
      <c r="V913" s="29"/>
      <c r="W913" s="29"/>
      <c r="X913" s="29"/>
      <c r="Y913" s="29"/>
    </row>
    <row r="914" spans="2:25" ht="15" hidden="1" customHeight="1">
      <c r="B914" s="25">
        <v>909</v>
      </c>
      <c r="C914" s="26" t="s">
        <v>19</v>
      </c>
      <c r="D914" s="26" t="s">
        <v>262</v>
      </c>
      <c r="E914" s="26" t="s">
        <v>296</v>
      </c>
      <c r="F914" s="26"/>
      <c r="G914" s="27" t="s">
        <v>16</v>
      </c>
      <c r="H914" s="28">
        <v>1944</v>
      </c>
      <c r="I914" s="28">
        <v>473</v>
      </c>
      <c r="J914" s="28">
        <v>176</v>
      </c>
      <c r="K914" s="28">
        <v>297</v>
      </c>
      <c r="L914" s="28">
        <v>1471</v>
      </c>
      <c r="M914" s="28">
        <v>2125</v>
      </c>
      <c r="N914" s="28">
        <v>1114</v>
      </c>
      <c r="O914" s="28">
        <v>868</v>
      </c>
      <c r="P914" s="28">
        <v>246</v>
      </c>
      <c r="Q914" s="28">
        <v>1011</v>
      </c>
      <c r="R914" s="29">
        <v>24.331275699999999</v>
      </c>
      <c r="S914" s="29">
        <v>9.0534979</v>
      </c>
      <c r="T914" s="29">
        <v>15.277777800000001</v>
      </c>
      <c r="U914" s="29">
        <v>75.668724299999994</v>
      </c>
      <c r="V914" s="29">
        <v>52.4235294</v>
      </c>
      <c r="W914" s="29">
        <v>40.847058799999999</v>
      </c>
      <c r="X914" s="29">
        <v>11.5764706</v>
      </c>
      <c r="Y914" s="29">
        <v>47.5764706</v>
      </c>
    </row>
    <row r="915" spans="2:25" ht="15" customHeight="1">
      <c r="B915" s="30">
        <v>910</v>
      </c>
      <c r="C915" s="31" t="s">
        <v>21</v>
      </c>
      <c r="D915" s="36" t="s">
        <v>262</v>
      </c>
      <c r="E915" s="36" t="s">
        <v>296</v>
      </c>
      <c r="F915" s="36" t="s">
        <v>297</v>
      </c>
      <c r="G915" s="37" t="s">
        <v>297</v>
      </c>
      <c r="H915" s="32">
        <v>871</v>
      </c>
      <c r="I915" s="32">
        <v>158</v>
      </c>
      <c r="J915" s="32">
        <v>45</v>
      </c>
      <c r="K915" s="32">
        <v>113</v>
      </c>
      <c r="L915" s="32">
        <v>713</v>
      </c>
      <c r="M915" s="32">
        <v>1111</v>
      </c>
      <c r="N915" s="32">
        <v>525</v>
      </c>
      <c r="O915" s="32">
        <v>399</v>
      </c>
      <c r="P915" s="32">
        <v>126</v>
      </c>
      <c r="Q915" s="32">
        <v>586</v>
      </c>
      <c r="R915" s="33">
        <v>18.140068899999999</v>
      </c>
      <c r="S915" s="33">
        <v>5.1664753000000001</v>
      </c>
      <c r="T915" s="33">
        <v>12.973593599999999</v>
      </c>
      <c r="U915" s="33">
        <v>81.859931099999997</v>
      </c>
      <c r="V915" s="33">
        <v>47.254725499999999</v>
      </c>
      <c r="W915" s="33">
        <v>35.913591400000001</v>
      </c>
      <c r="X915" s="33">
        <v>11.3411341</v>
      </c>
      <c r="Y915" s="33">
        <v>52.745274500000001</v>
      </c>
    </row>
    <row r="916" spans="2:25" ht="15" hidden="1" customHeight="1">
      <c r="B916" s="25">
        <v>911</v>
      </c>
      <c r="C916" s="26" t="s">
        <v>21</v>
      </c>
      <c r="D916" s="26" t="s">
        <v>262</v>
      </c>
      <c r="E916" s="26" t="s">
        <v>296</v>
      </c>
      <c r="F916" s="26" t="s">
        <v>297</v>
      </c>
      <c r="G916" s="27" t="s">
        <v>15</v>
      </c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9"/>
      <c r="S916" s="29"/>
      <c r="T916" s="29"/>
      <c r="U916" s="29"/>
      <c r="V916" s="29"/>
      <c r="W916" s="29"/>
      <c r="X916" s="29"/>
      <c r="Y916" s="29"/>
    </row>
    <row r="917" spans="2:25" ht="15" hidden="1" customHeight="1">
      <c r="B917" s="25">
        <v>912</v>
      </c>
      <c r="C917" s="26" t="s">
        <v>21</v>
      </c>
      <c r="D917" s="26" t="s">
        <v>262</v>
      </c>
      <c r="E917" s="26" t="s">
        <v>296</v>
      </c>
      <c r="F917" s="26" t="s">
        <v>297</v>
      </c>
      <c r="G917" s="27" t="s">
        <v>16</v>
      </c>
      <c r="H917" s="28">
        <v>871</v>
      </c>
      <c r="I917" s="28">
        <v>158</v>
      </c>
      <c r="J917" s="28">
        <v>45</v>
      </c>
      <c r="K917" s="28">
        <v>113</v>
      </c>
      <c r="L917" s="28">
        <v>713</v>
      </c>
      <c r="M917" s="28">
        <v>1111</v>
      </c>
      <c r="N917" s="28">
        <v>525</v>
      </c>
      <c r="O917" s="28">
        <v>399</v>
      </c>
      <c r="P917" s="28">
        <v>126</v>
      </c>
      <c r="Q917" s="28">
        <v>586</v>
      </c>
      <c r="R917" s="29">
        <v>18.140068899999999</v>
      </c>
      <c r="S917" s="29">
        <v>5.1664753000000001</v>
      </c>
      <c r="T917" s="29">
        <v>12.973593599999999</v>
      </c>
      <c r="U917" s="29">
        <v>81.859931099999997</v>
      </c>
      <c r="V917" s="29">
        <v>47.254725499999999</v>
      </c>
      <c r="W917" s="29">
        <v>35.913591400000001</v>
      </c>
      <c r="X917" s="29">
        <v>11.3411341</v>
      </c>
      <c r="Y917" s="29">
        <v>52.745274500000001</v>
      </c>
    </row>
    <row r="918" spans="2:25" ht="15" customHeight="1">
      <c r="B918" s="30">
        <v>913</v>
      </c>
      <c r="C918" s="31" t="s">
        <v>21</v>
      </c>
      <c r="D918" s="36" t="s">
        <v>262</v>
      </c>
      <c r="E918" s="36" t="s">
        <v>296</v>
      </c>
      <c r="F918" s="36" t="s">
        <v>298</v>
      </c>
      <c r="G918" s="37" t="s">
        <v>298</v>
      </c>
      <c r="H918" s="32">
        <v>358</v>
      </c>
      <c r="I918" s="32">
        <v>105</v>
      </c>
      <c r="J918" s="32">
        <v>49</v>
      </c>
      <c r="K918" s="32">
        <v>56</v>
      </c>
      <c r="L918" s="32">
        <v>253</v>
      </c>
      <c r="M918" s="32">
        <v>324</v>
      </c>
      <c r="N918" s="32">
        <v>186</v>
      </c>
      <c r="O918" s="32">
        <v>140</v>
      </c>
      <c r="P918" s="32">
        <v>46</v>
      </c>
      <c r="Q918" s="32">
        <v>138</v>
      </c>
      <c r="R918" s="33">
        <v>29.3296089</v>
      </c>
      <c r="S918" s="33">
        <v>13.6871508</v>
      </c>
      <c r="T918" s="33">
        <v>15.642458100000001</v>
      </c>
      <c r="U918" s="33">
        <v>70.670391100000003</v>
      </c>
      <c r="V918" s="33">
        <v>57.407407399999997</v>
      </c>
      <c r="W918" s="33">
        <v>43.2098765</v>
      </c>
      <c r="X918" s="33">
        <v>14.1975309</v>
      </c>
      <c r="Y918" s="33">
        <v>42.592592600000003</v>
      </c>
    </row>
    <row r="919" spans="2:25" ht="15" hidden="1" customHeight="1">
      <c r="B919" s="25">
        <v>914</v>
      </c>
      <c r="C919" s="26" t="s">
        <v>21</v>
      </c>
      <c r="D919" s="26" t="s">
        <v>262</v>
      </c>
      <c r="E919" s="26" t="s">
        <v>296</v>
      </c>
      <c r="F919" s="26" t="s">
        <v>298</v>
      </c>
      <c r="G919" s="27" t="s">
        <v>15</v>
      </c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9"/>
      <c r="S919" s="29"/>
      <c r="T919" s="29"/>
      <c r="U919" s="29"/>
      <c r="V919" s="29"/>
      <c r="W919" s="29"/>
      <c r="X919" s="29"/>
      <c r="Y919" s="29"/>
    </row>
    <row r="920" spans="2:25" ht="15" hidden="1" customHeight="1">
      <c r="B920" s="25">
        <v>915</v>
      </c>
      <c r="C920" s="26" t="s">
        <v>21</v>
      </c>
      <c r="D920" s="26" t="s">
        <v>262</v>
      </c>
      <c r="E920" s="26" t="s">
        <v>296</v>
      </c>
      <c r="F920" s="26" t="s">
        <v>298</v>
      </c>
      <c r="G920" s="27" t="s">
        <v>16</v>
      </c>
      <c r="H920" s="28">
        <v>358</v>
      </c>
      <c r="I920" s="28">
        <v>105</v>
      </c>
      <c r="J920" s="28">
        <v>49</v>
      </c>
      <c r="K920" s="28">
        <v>56</v>
      </c>
      <c r="L920" s="28">
        <v>253</v>
      </c>
      <c r="M920" s="28">
        <v>324</v>
      </c>
      <c r="N920" s="28">
        <v>186</v>
      </c>
      <c r="O920" s="28">
        <v>140</v>
      </c>
      <c r="P920" s="28">
        <v>46</v>
      </c>
      <c r="Q920" s="28">
        <v>138</v>
      </c>
      <c r="R920" s="29">
        <v>29.3296089</v>
      </c>
      <c r="S920" s="29">
        <v>13.6871508</v>
      </c>
      <c r="T920" s="29">
        <v>15.642458100000001</v>
      </c>
      <c r="U920" s="29">
        <v>70.670391100000003</v>
      </c>
      <c r="V920" s="29">
        <v>57.407407399999997</v>
      </c>
      <c r="W920" s="29">
        <v>43.2098765</v>
      </c>
      <c r="X920" s="29">
        <v>14.1975309</v>
      </c>
      <c r="Y920" s="29">
        <v>42.592592600000003</v>
      </c>
    </row>
    <row r="921" spans="2:25" ht="15" customHeight="1">
      <c r="B921" s="30">
        <v>916</v>
      </c>
      <c r="C921" s="31" t="s">
        <v>21</v>
      </c>
      <c r="D921" s="36" t="s">
        <v>262</v>
      </c>
      <c r="E921" s="36" t="s">
        <v>296</v>
      </c>
      <c r="F921" s="36" t="s">
        <v>299</v>
      </c>
      <c r="G921" s="37" t="s">
        <v>299</v>
      </c>
      <c r="H921" s="32">
        <v>715</v>
      </c>
      <c r="I921" s="32">
        <v>210</v>
      </c>
      <c r="J921" s="32">
        <v>82</v>
      </c>
      <c r="K921" s="32">
        <v>128</v>
      </c>
      <c r="L921" s="32">
        <v>505</v>
      </c>
      <c r="M921" s="32">
        <v>690</v>
      </c>
      <c r="N921" s="32">
        <v>403</v>
      </c>
      <c r="O921" s="32">
        <v>329</v>
      </c>
      <c r="P921" s="32">
        <v>74</v>
      </c>
      <c r="Q921" s="32">
        <v>287</v>
      </c>
      <c r="R921" s="33">
        <v>29.370629399999999</v>
      </c>
      <c r="S921" s="33">
        <v>11.468531499999999</v>
      </c>
      <c r="T921" s="33">
        <v>17.902097900000001</v>
      </c>
      <c r="U921" s="33">
        <v>70.629370600000001</v>
      </c>
      <c r="V921" s="33">
        <v>58.405797100000001</v>
      </c>
      <c r="W921" s="33">
        <v>47.681159399999999</v>
      </c>
      <c r="X921" s="33">
        <v>10.724637700000001</v>
      </c>
      <c r="Y921" s="33">
        <v>41.594202899999999</v>
      </c>
    </row>
    <row r="922" spans="2:25" ht="15" hidden="1" customHeight="1">
      <c r="B922" s="25">
        <v>917</v>
      </c>
      <c r="C922" s="26" t="s">
        <v>21</v>
      </c>
      <c r="D922" s="26" t="s">
        <v>262</v>
      </c>
      <c r="E922" s="26" t="s">
        <v>296</v>
      </c>
      <c r="F922" s="26" t="s">
        <v>299</v>
      </c>
      <c r="G922" s="27" t="s">
        <v>15</v>
      </c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9"/>
      <c r="S922" s="29"/>
      <c r="T922" s="29"/>
      <c r="U922" s="29"/>
      <c r="V922" s="29"/>
      <c r="W922" s="29"/>
      <c r="X922" s="29"/>
      <c r="Y922" s="29"/>
    </row>
    <row r="923" spans="2:25" ht="15" hidden="1" customHeight="1">
      <c r="B923" s="25">
        <v>918</v>
      </c>
      <c r="C923" s="26" t="s">
        <v>21</v>
      </c>
      <c r="D923" s="26" t="s">
        <v>262</v>
      </c>
      <c r="E923" s="26" t="s">
        <v>296</v>
      </c>
      <c r="F923" s="26" t="s">
        <v>299</v>
      </c>
      <c r="G923" s="27" t="s">
        <v>16</v>
      </c>
      <c r="H923" s="28">
        <v>715</v>
      </c>
      <c r="I923" s="28">
        <v>210</v>
      </c>
      <c r="J923" s="28">
        <v>82</v>
      </c>
      <c r="K923" s="28">
        <v>128</v>
      </c>
      <c r="L923" s="28">
        <v>505</v>
      </c>
      <c r="M923" s="28">
        <v>690</v>
      </c>
      <c r="N923" s="28">
        <v>403</v>
      </c>
      <c r="O923" s="28">
        <v>329</v>
      </c>
      <c r="P923" s="28">
        <v>74</v>
      </c>
      <c r="Q923" s="28">
        <v>287</v>
      </c>
      <c r="R923" s="29">
        <v>29.370629399999999</v>
      </c>
      <c r="S923" s="29">
        <v>11.468531499999999</v>
      </c>
      <c r="T923" s="29">
        <v>17.902097900000001</v>
      </c>
      <c r="U923" s="29">
        <v>70.629370600000001</v>
      </c>
      <c r="V923" s="29">
        <v>58.405797100000001</v>
      </c>
      <c r="W923" s="29">
        <v>47.681159399999999</v>
      </c>
      <c r="X923" s="29">
        <v>10.724637700000001</v>
      </c>
      <c r="Y923" s="29">
        <v>41.594202899999999</v>
      </c>
    </row>
    <row r="924" spans="2:25" ht="15" hidden="1" customHeight="1">
      <c r="B924" s="21">
        <v>919</v>
      </c>
      <c r="C924" s="22" t="s">
        <v>19</v>
      </c>
      <c r="D924" s="35" t="s">
        <v>262</v>
      </c>
      <c r="E924" s="35" t="s">
        <v>300</v>
      </c>
      <c r="F924" s="35"/>
      <c r="G924" s="22" t="s">
        <v>300</v>
      </c>
      <c r="H924" s="23">
        <v>14472</v>
      </c>
      <c r="I924" s="23">
        <v>3329</v>
      </c>
      <c r="J924" s="23">
        <v>1809</v>
      </c>
      <c r="K924" s="23">
        <v>1520</v>
      </c>
      <c r="L924" s="23">
        <v>11143</v>
      </c>
      <c r="M924" s="23">
        <v>15097</v>
      </c>
      <c r="N924" s="23">
        <v>6428</v>
      </c>
      <c r="O924" s="23">
        <v>5859</v>
      </c>
      <c r="P924" s="23">
        <v>569</v>
      </c>
      <c r="Q924" s="23">
        <v>8669</v>
      </c>
      <c r="R924" s="24">
        <v>23.0030404</v>
      </c>
      <c r="S924" s="24">
        <v>12.5</v>
      </c>
      <c r="T924" s="24">
        <v>10.5030404</v>
      </c>
      <c r="U924" s="24">
        <v>76.996959599999997</v>
      </c>
      <c r="V924" s="24">
        <v>42.577995600000001</v>
      </c>
      <c r="W924" s="24">
        <v>38.8090349</v>
      </c>
      <c r="X924" s="24">
        <v>3.7689607000000001</v>
      </c>
      <c r="Y924" s="24">
        <v>57.422004399999999</v>
      </c>
    </row>
    <row r="925" spans="2:25" ht="15" hidden="1" customHeight="1">
      <c r="B925" s="25">
        <v>920</v>
      </c>
      <c r="C925" s="26" t="s">
        <v>19</v>
      </c>
      <c r="D925" s="26" t="s">
        <v>262</v>
      </c>
      <c r="E925" s="26" t="s">
        <v>300</v>
      </c>
      <c r="F925" s="26"/>
      <c r="G925" s="27" t="s">
        <v>15</v>
      </c>
      <c r="H925" s="28">
        <v>722</v>
      </c>
      <c r="I925" s="28">
        <v>12</v>
      </c>
      <c r="J925" s="28">
        <v>9</v>
      </c>
      <c r="K925" s="28">
        <v>3</v>
      </c>
      <c r="L925" s="28">
        <v>710</v>
      </c>
      <c r="M925" s="28">
        <v>1230</v>
      </c>
      <c r="N925" s="28">
        <v>825</v>
      </c>
      <c r="O925" s="28">
        <v>727</v>
      </c>
      <c r="P925" s="28">
        <v>98</v>
      </c>
      <c r="Q925" s="28">
        <v>405</v>
      </c>
      <c r="R925" s="29">
        <v>1.6620499</v>
      </c>
      <c r="S925" s="29">
        <v>1.2465374</v>
      </c>
      <c r="T925" s="29">
        <v>0.41551250000000001</v>
      </c>
      <c r="U925" s="29">
        <v>98.3379501</v>
      </c>
      <c r="V925" s="29">
        <v>67.073170700000006</v>
      </c>
      <c r="W925" s="29">
        <v>59.105691100000001</v>
      </c>
      <c r="X925" s="29">
        <v>7.9674797000000002</v>
      </c>
      <c r="Y925" s="29">
        <v>32.926829300000001</v>
      </c>
    </row>
    <row r="926" spans="2:25" ht="15" hidden="1" customHeight="1">
      <c r="B926" s="25">
        <v>921</v>
      </c>
      <c r="C926" s="26" t="s">
        <v>19</v>
      </c>
      <c r="D926" s="26" t="s">
        <v>262</v>
      </c>
      <c r="E926" s="26" t="s">
        <v>300</v>
      </c>
      <c r="F926" s="26"/>
      <c r="G926" s="27" t="s">
        <v>16</v>
      </c>
      <c r="H926" s="28">
        <v>13750</v>
      </c>
      <c r="I926" s="28">
        <v>3317</v>
      </c>
      <c r="J926" s="28">
        <v>1800</v>
      </c>
      <c r="K926" s="28">
        <v>1517</v>
      </c>
      <c r="L926" s="28">
        <v>10433</v>
      </c>
      <c r="M926" s="28">
        <v>13867</v>
      </c>
      <c r="N926" s="28">
        <v>5603</v>
      </c>
      <c r="O926" s="28">
        <v>5132</v>
      </c>
      <c r="P926" s="28">
        <v>471</v>
      </c>
      <c r="Q926" s="28">
        <v>8264</v>
      </c>
      <c r="R926" s="29">
        <v>24.123636399999999</v>
      </c>
      <c r="S926" s="29">
        <v>13.090909099999999</v>
      </c>
      <c r="T926" s="29">
        <v>11.032727299999999</v>
      </c>
      <c r="U926" s="29">
        <v>75.876363600000005</v>
      </c>
      <c r="V926" s="29">
        <v>40.405278699999997</v>
      </c>
      <c r="W926" s="29">
        <v>37.008725800000001</v>
      </c>
      <c r="X926" s="29">
        <v>3.3965529999999999</v>
      </c>
      <c r="Y926" s="29">
        <v>59.594721300000003</v>
      </c>
    </row>
    <row r="927" spans="2:25" ht="15" customHeight="1">
      <c r="B927" s="30">
        <v>922</v>
      </c>
      <c r="C927" s="31" t="s">
        <v>21</v>
      </c>
      <c r="D927" s="36" t="s">
        <v>262</v>
      </c>
      <c r="E927" s="36" t="s">
        <v>300</v>
      </c>
      <c r="F927" s="36" t="s">
        <v>301</v>
      </c>
      <c r="G927" s="37" t="s">
        <v>301</v>
      </c>
      <c r="H927" s="32">
        <v>7103</v>
      </c>
      <c r="I927" s="32">
        <v>2081</v>
      </c>
      <c r="J927" s="32">
        <v>1129</v>
      </c>
      <c r="K927" s="32">
        <v>952</v>
      </c>
      <c r="L927" s="32">
        <v>5022</v>
      </c>
      <c r="M927" s="32">
        <v>6251</v>
      </c>
      <c r="N927" s="32">
        <v>3157</v>
      </c>
      <c r="O927" s="32">
        <v>2896</v>
      </c>
      <c r="P927" s="32">
        <v>261</v>
      </c>
      <c r="Q927" s="32">
        <v>3094</v>
      </c>
      <c r="R927" s="33">
        <v>29.297479899999999</v>
      </c>
      <c r="S927" s="33">
        <v>15.8946924</v>
      </c>
      <c r="T927" s="33">
        <v>13.4027876</v>
      </c>
      <c r="U927" s="33">
        <v>70.702520100000001</v>
      </c>
      <c r="V927" s="33">
        <v>50.503919400000001</v>
      </c>
      <c r="W927" s="33">
        <v>46.328587400000004</v>
      </c>
      <c r="X927" s="33">
        <v>4.1753318999999998</v>
      </c>
      <c r="Y927" s="33">
        <v>49.496080599999999</v>
      </c>
    </row>
    <row r="928" spans="2:25" ht="15" hidden="1" customHeight="1">
      <c r="B928" s="25">
        <v>923</v>
      </c>
      <c r="C928" s="26" t="s">
        <v>21</v>
      </c>
      <c r="D928" s="26" t="s">
        <v>262</v>
      </c>
      <c r="E928" s="26" t="s">
        <v>300</v>
      </c>
      <c r="F928" s="26" t="s">
        <v>301</v>
      </c>
      <c r="G928" s="27" t="s">
        <v>15</v>
      </c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9"/>
      <c r="S928" s="29"/>
      <c r="T928" s="29"/>
      <c r="U928" s="29"/>
      <c r="V928" s="29"/>
      <c r="W928" s="29"/>
      <c r="X928" s="29"/>
      <c r="Y928" s="29"/>
    </row>
    <row r="929" spans="2:25" ht="15" hidden="1" customHeight="1">
      <c r="B929" s="25">
        <v>924</v>
      </c>
      <c r="C929" s="26" t="s">
        <v>21</v>
      </c>
      <c r="D929" s="26" t="s">
        <v>262</v>
      </c>
      <c r="E929" s="26" t="s">
        <v>300</v>
      </c>
      <c r="F929" s="26" t="s">
        <v>301</v>
      </c>
      <c r="G929" s="27" t="s">
        <v>16</v>
      </c>
      <c r="H929" s="28">
        <v>7103</v>
      </c>
      <c r="I929" s="28">
        <v>2081</v>
      </c>
      <c r="J929" s="28">
        <v>1129</v>
      </c>
      <c r="K929" s="28">
        <v>952</v>
      </c>
      <c r="L929" s="28">
        <v>5022</v>
      </c>
      <c r="M929" s="28">
        <v>6251</v>
      </c>
      <c r="N929" s="28">
        <v>3157</v>
      </c>
      <c r="O929" s="28">
        <v>2896</v>
      </c>
      <c r="P929" s="28">
        <v>261</v>
      </c>
      <c r="Q929" s="28">
        <v>3094</v>
      </c>
      <c r="R929" s="29">
        <v>29.297479899999999</v>
      </c>
      <c r="S929" s="29">
        <v>15.8946924</v>
      </c>
      <c r="T929" s="29">
        <v>13.4027876</v>
      </c>
      <c r="U929" s="29">
        <v>70.702520100000001</v>
      </c>
      <c r="V929" s="29">
        <v>50.503919400000001</v>
      </c>
      <c r="W929" s="29">
        <v>46.328587400000004</v>
      </c>
      <c r="X929" s="29">
        <v>4.1753318999999998</v>
      </c>
      <c r="Y929" s="29">
        <v>49.496080599999999</v>
      </c>
    </row>
    <row r="930" spans="2:25" ht="15" customHeight="1">
      <c r="B930" s="30">
        <v>925</v>
      </c>
      <c r="C930" s="31" t="s">
        <v>21</v>
      </c>
      <c r="D930" s="36" t="s">
        <v>262</v>
      </c>
      <c r="E930" s="36" t="s">
        <v>300</v>
      </c>
      <c r="F930" s="36" t="s">
        <v>302</v>
      </c>
      <c r="G930" s="37" t="s">
        <v>302</v>
      </c>
      <c r="H930" s="32">
        <v>3543</v>
      </c>
      <c r="I930" s="32">
        <v>993</v>
      </c>
      <c r="J930" s="32">
        <v>535</v>
      </c>
      <c r="K930" s="32">
        <v>458</v>
      </c>
      <c r="L930" s="32">
        <v>2550</v>
      </c>
      <c r="M930" s="32">
        <v>4643</v>
      </c>
      <c r="N930" s="32">
        <v>2513</v>
      </c>
      <c r="O930" s="32">
        <v>2281</v>
      </c>
      <c r="P930" s="32">
        <v>232</v>
      </c>
      <c r="Q930" s="32">
        <v>2130</v>
      </c>
      <c r="R930" s="33">
        <v>28.0270957</v>
      </c>
      <c r="S930" s="33">
        <v>15.1001976</v>
      </c>
      <c r="T930" s="33">
        <v>12.926898100000001</v>
      </c>
      <c r="U930" s="33">
        <v>71.972904299999996</v>
      </c>
      <c r="V930" s="33">
        <v>54.124488499999998</v>
      </c>
      <c r="W930" s="33">
        <v>49.1277191</v>
      </c>
      <c r="X930" s="33">
        <v>4.9967693000000004</v>
      </c>
      <c r="Y930" s="33">
        <v>45.875511500000002</v>
      </c>
    </row>
    <row r="931" spans="2:25" ht="15" hidden="1" customHeight="1">
      <c r="B931" s="25">
        <v>926</v>
      </c>
      <c r="C931" s="26" t="s">
        <v>21</v>
      </c>
      <c r="D931" s="26" t="s">
        <v>262</v>
      </c>
      <c r="E931" s="26" t="s">
        <v>300</v>
      </c>
      <c r="F931" s="26" t="s">
        <v>302</v>
      </c>
      <c r="G931" s="27" t="s">
        <v>15</v>
      </c>
      <c r="H931" s="28">
        <v>722</v>
      </c>
      <c r="I931" s="28">
        <v>12</v>
      </c>
      <c r="J931" s="28">
        <v>9</v>
      </c>
      <c r="K931" s="28">
        <v>3</v>
      </c>
      <c r="L931" s="28">
        <v>710</v>
      </c>
      <c r="M931" s="28">
        <v>1230</v>
      </c>
      <c r="N931" s="28">
        <v>825</v>
      </c>
      <c r="O931" s="28">
        <v>727</v>
      </c>
      <c r="P931" s="28">
        <v>98</v>
      </c>
      <c r="Q931" s="28">
        <v>405</v>
      </c>
      <c r="R931" s="29">
        <v>1.6620499</v>
      </c>
      <c r="S931" s="29">
        <v>1.2465374</v>
      </c>
      <c r="T931" s="29">
        <v>0.41551250000000001</v>
      </c>
      <c r="U931" s="29">
        <v>98.3379501</v>
      </c>
      <c r="V931" s="29">
        <v>67.073170700000006</v>
      </c>
      <c r="W931" s="29">
        <v>59.105691100000001</v>
      </c>
      <c r="X931" s="29">
        <v>7.9674797000000002</v>
      </c>
      <c r="Y931" s="29">
        <v>32.926829300000001</v>
      </c>
    </row>
    <row r="932" spans="2:25" ht="15" hidden="1" customHeight="1">
      <c r="B932" s="25">
        <v>927</v>
      </c>
      <c r="C932" s="26" t="s">
        <v>21</v>
      </c>
      <c r="D932" s="26" t="s">
        <v>262</v>
      </c>
      <c r="E932" s="26" t="s">
        <v>300</v>
      </c>
      <c r="F932" s="26" t="s">
        <v>302</v>
      </c>
      <c r="G932" s="27" t="s">
        <v>16</v>
      </c>
      <c r="H932" s="28">
        <v>2821</v>
      </c>
      <c r="I932" s="28">
        <v>981</v>
      </c>
      <c r="J932" s="28">
        <v>526</v>
      </c>
      <c r="K932" s="28">
        <v>455</v>
      </c>
      <c r="L932" s="28">
        <v>1840</v>
      </c>
      <c r="M932" s="28">
        <v>3413</v>
      </c>
      <c r="N932" s="28">
        <v>1688</v>
      </c>
      <c r="O932" s="28">
        <v>1554</v>
      </c>
      <c r="P932" s="28">
        <v>134</v>
      </c>
      <c r="Q932" s="28">
        <v>1725</v>
      </c>
      <c r="R932" s="29">
        <v>34.774902500000003</v>
      </c>
      <c r="S932" s="29">
        <v>18.645870299999999</v>
      </c>
      <c r="T932" s="29">
        <v>16.129032299999999</v>
      </c>
      <c r="U932" s="29">
        <v>65.225097500000004</v>
      </c>
      <c r="V932" s="29">
        <v>49.457954899999997</v>
      </c>
      <c r="W932" s="29">
        <v>45.531790200000003</v>
      </c>
      <c r="X932" s="29">
        <v>3.9261647000000002</v>
      </c>
      <c r="Y932" s="29">
        <v>50.542045100000003</v>
      </c>
    </row>
    <row r="933" spans="2:25" ht="15" customHeight="1">
      <c r="B933" s="30">
        <v>928</v>
      </c>
      <c r="C933" s="31" t="s">
        <v>21</v>
      </c>
      <c r="D933" s="36" t="s">
        <v>262</v>
      </c>
      <c r="E933" s="36" t="s">
        <v>300</v>
      </c>
      <c r="F933" s="36" t="s">
        <v>303</v>
      </c>
      <c r="G933" s="37" t="s">
        <v>303</v>
      </c>
      <c r="H933" s="32">
        <v>3826</v>
      </c>
      <c r="I933" s="32">
        <v>255</v>
      </c>
      <c r="J933" s="32">
        <v>145</v>
      </c>
      <c r="K933" s="32">
        <v>110</v>
      </c>
      <c r="L933" s="32">
        <v>3571</v>
      </c>
      <c r="M933" s="32">
        <v>4203</v>
      </c>
      <c r="N933" s="32">
        <v>758</v>
      </c>
      <c r="O933" s="32">
        <v>682</v>
      </c>
      <c r="P933" s="32">
        <v>76</v>
      </c>
      <c r="Q933" s="32">
        <v>3445</v>
      </c>
      <c r="R933" s="33">
        <v>6.6649241999999997</v>
      </c>
      <c r="S933" s="33">
        <v>3.7898589</v>
      </c>
      <c r="T933" s="33">
        <v>2.8750653000000002</v>
      </c>
      <c r="U933" s="33">
        <v>93.335075799999998</v>
      </c>
      <c r="V933" s="33">
        <v>18.034737100000001</v>
      </c>
      <c r="W933" s="33">
        <v>16.226504899999998</v>
      </c>
      <c r="X933" s="33">
        <v>1.8082322</v>
      </c>
      <c r="Y933" s="33">
        <v>81.965262899999999</v>
      </c>
    </row>
    <row r="934" spans="2:25" ht="15" hidden="1" customHeight="1">
      <c r="B934" s="25">
        <v>929</v>
      </c>
      <c r="C934" s="26" t="s">
        <v>21</v>
      </c>
      <c r="D934" s="26" t="s">
        <v>262</v>
      </c>
      <c r="E934" s="26" t="s">
        <v>300</v>
      </c>
      <c r="F934" s="26" t="s">
        <v>303</v>
      </c>
      <c r="G934" s="27" t="s">
        <v>15</v>
      </c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9"/>
      <c r="S934" s="29"/>
      <c r="T934" s="29"/>
      <c r="U934" s="29"/>
      <c r="V934" s="29"/>
      <c r="W934" s="29"/>
      <c r="X934" s="29"/>
      <c r="Y934" s="29"/>
    </row>
    <row r="935" spans="2:25" ht="15" hidden="1" customHeight="1">
      <c r="B935" s="25">
        <v>930</v>
      </c>
      <c r="C935" s="26" t="s">
        <v>21</v>
      </c>
      <c r="D935" s="26" t="s">
        <v>262</v>
      </c>
      <c r="E935" s="26" t="s">
        <v>300</v>
      </c>
      <c r="F935" s="26" t="s">
        <v>303</v>
      </c>
      <c r="G935" s="27" t="s">
        <v>16</v>
      </c>
      <c r="H935" s="28">
        <v>3826</v>
      </c>
      <c r="I935" s="28">
        <v>255</v>
      </c>
      <c r="J935" s="28">
        <v>145</v>
      </c>
      <c r="K935" s="28">
        <v>110</v>
      </c>
      <c r="L935" s="28">
        <v>3571</v>
      </c>
      <c r="M935" s="28">
        <v>4203</v>
      </c>
      <c r="N935" s="28">
        <v>758</v>
      </c>
      <c r="O935" s="28">
        <v>682</v>
      </c>
      <c r="P935" s="28">
        <v>76</v>
      </c>
      <c r="Q935" s="28">
        <v>3445</v>
      </c>
      <c r="R935" s="29">
        <v>6.6649241999999997</v>
      </c>
      <c r="S935" s="29">
        <v>3.7898589</v>
      </c>
      <c r="T935" s="29">
        <v>2.8750653000000002</v>
      </c>
      <c r="U935" s="29">
        <v>93.335075799999998</v>
      </c>
      <c r="V935" s="29">
        <v>18.034737100000001</v>
      </c>
      <c r="W935" s="29">
        <v>16.226504899999998</v>
      </c>
      <c r="X935" s="29">
        <v>1.8082322</v>
      </c>
      <c r="Y935" s="29">
        <v>81.965262899999999</v>
      </c>
    </row>
    <row r="936" spans="2:25" ht="15" hidden="1" customHeight="1">
      <c r="B936" s="21">
        <v>931</v>
      </c>
      <c r="C936" s="22" t="s">
        <v>19</v>
      </c>
      <c r="D936" s="35" t="s">
        <v>262</v>
      </c>
      <c r="E936" s="35" t="s">
        <v>304</v>
      </c>
      <c r="F936" s="35"/>
      <c r="G936" s="22" t="s">
        <v>304</v>
      </c>
      <c r="H936" s="23">
        <v>17969</v>
      </c>
      <c r="I936" s="23">
        <v>6175</v>
      </c>
      <c r="J936" s="23">
        <v>2474</v>
      </c>
      <c r="K936" s="23">
        <v>3701</v>
      </c>
      <c r="L936" s="23">
        <v>11794</v>
      </c>
      <c r="M936" s="23">
        <v>24344</v>
      </c>
      <c r="N936" s="23">
        <v>14277</v>
      </c>
      <c r="O936" s="23">
        <v>9549</v>
      </c>
      <c r="P936" s="23">
        <v>4728</v>
      </c>
      <c r="Q936" s="23">
        <v>10067</v>
      </c>
      <c r="R936" s="24">
        <v>34.364739299999997</v>
      </c>
      <c r="S936" s="24">
        <v>13.768156299999999</v>
      </c>
      <c r="T936" s="24">
        <v>20.596582999999999</v>
      </c>
      <c r="U936" s="24">
        <v>65.635260700000003</v>
      </c>
      <c r="V936" s="24">
        <v>58.646894500000002</v>
      </c>
      <c r="W936" s="24">
        <v>39.225271100000001</v>
      </c>
      <c r="X936" s="24">
        <v>19.421623400000001</v>
      </c>
      <c r="Y936" s="24">
        <v>41.353105499999998</v>
      </c>
    </row>
    <row r="937" spans="2:25" ht="15" hidden="1" customHeight="1">
      <c r="B937" s="25">
        <v>932</v>
      </c>
      <c r="C937" s="26" t="s">
        <v>19</v>
      </c>
      <c r="D937" s="26" t="s">
        <v>262</v>
      </c>
      <c r="E937" s="26" t="s">
        <v>304</v>
      </c>
      <c r="F937" s="26"/>
      <c r="G937" s="27" t="s">
        <v>15</v>
      </c>
      <c r="H937" s="28">
        <v>8008</v>
      </c>
      <c r="I937" s="28">
        <v>5309</v>
      </c>
      <c r="J937" s="28">
        <v>2042</v>
      </c>
      <c r="K937" s="28">
        <v>3267</v>
      </c>
      <c r="L937" s="28">
        <v>2699</v>
      </c>
      <c r="M937" s="28">
        <v>13151</v>
      </c>
      <c r="N937" s="28">
        <v>11399</v>
      </c>
      <c r="O937" s="28">
        <v>7078</v>
      </c>
      <c r="P937" s="28">
        <v>4321</v>
      </c>
      <c r="Q937" s="28">
        <v>1752</v>
      </c>
      <c r="R937" s="29">
        <v>66.296203800000001</v>
      </c>
      <c r="S937" s="29">
        <v>25.4995005</v>
      </c>
      <c r="T937" s="29">
        <v>40.796703299999997</v>
      </c>
      <c r="U937" s="29">
        <v>33.703796199999999</v>
      </c>
      <c r="V937" s="29">
        <v>86.677819200000002</v>
      </c>
      <c r="W937" s="29">
        <v>53.821002200000002</v>
      </c>
      <c r="X937" s="29">
        <v>32.856816999999999</v>
      </c>
      <c r="Y937" s="29">
        <v>13.3221808</v>
      </c>
    </row>
    <row r="938" spans="2:25" ht="15" hidden="1" customHeight="1">
      <c r="B938" s="25">
        <v>933</v>
      </c>
      <c r="C938" s="26" t="s">
        <v>19</v>
      </c>
      <c r="D938" s="26" t="s">
        <v>262</v>
      </c>
      <c r="E938" s="26" t="s">
        <v>304</v>
      </c>
      <c r="F938" s="26"/>
      <c r="G938" s="27" t="s">
        <v>16</v>
      </c>
      <c r="H938" s="28">
        <v>9961</v>
      </c>
      <c r="I938" s="28">
        <v>866</v>
      </c>
      <c r="J938" s="28">
        <v>432</v>
      </c>
      <c r="K938" s="28">
        <v>434</v>
      </c>
      <c r="L938" s="28">
        <v>9095</v>
      </c>
      <c r="M938" s="28">
        <v>11193</v>
      </c>
      <c r="N938" s="28">
        <v>2878</v>
      </c>
      <c r="O938" s="28">
        <v>2471</v>
      </c>
      <c r="P938" s="28">
        <v>407</v>
      </c>
      <c r="Q938" s="28">
        <v>8315</v>
      </c>
      <c r="R938" s="29">
        <v>8.6939062000000007</v>
      </c>
      <c r="S938" s="29">
        <v>4.3369140000000002</v>
      </c>
      <c r="T938" s="29">
        <v>4.3569922999999999</v>
      </c>
      <c r="U938" s="29">
        <v>91.306093799999999</v>
      </c>
      <c r="V938" s="29">
        <v>25.7124989</v>
      </c>
      <c r="W938" s="29">
        <v>22.076297700000001</v>
      </c>
      <c r="X938" s="29">
        <v>3.6362011999999999</v>
      </c>
      <c r="Y938" s="29">
        <v>74.2875011</v>
      </c>
    </row>
    <row r="939" spans="2:25" ht="15" customHeight="1">
      <c r="B939" s="30">
        <v>934</v>
      </c>
      <c r="C939" s="31" t="s">
        <v>21</v>
      </c>
      <c r="D939" s="36" t="s">
        <v>262</v>
      </c>
      <c r="E939" s="36" t="s">
        <v>304</v>
      </c>
      <c r="F939" s="36" t="s">
        <v>305</v>
      </c>
      <c r="G939" s="37" t="s">
        <v>305</v>
      </c>
      <c r="H939" s="32">
        <v>9597</v>
      </c>
      <c r="I939" s="32">
        <v>3864</v>
      </c>
      <c r="J939" s="32">
        <v>1645</v>
      </c>
      <c r="K939" s="32">
        <v>2219</v>
      </c>
      <c r="L939" s="32">
        <v>5733</v>
      </c>
      <c r="M939" s="32">
        <v>13134</v>
      </c>
      <c r="N939" s="32">
        <v>8488</v>
      </c>
      <c r="O939" s="32">
        <v>6390</v>
      </c>
      <c r="P939" s="32">
        <v>2098</v>
      </c>
      <c r="Q939" s="32">
        <v>4646</v>
      </c>
      <c r="R939" s="33">
        <v>40.262582100000003</v>
      </c>
      <c r="S939" s="33">
        <v>17.140773200000002</v>
      </c>
      <c r="T939" s="33">
        <v>23.121808900000001</v>
      </c>
      <c r="U939" s="33">
        <v>59.737417899999997</v>
      </c>
      <c r="V939" s="33">
        <v>64.626161100000004</v>
      </c>
      <c r="W939" s="33">
        <v>48.652352700000002</v>
      </c>
      <c r="X939" s="33">
        <v>15.973808399999999</v>
      </c>
      <c r="Y939" s="33">
        <v>35.373838900000003</v>
      </c>
    </row>
    <row r="940" spans="2:25" ht="15" hidden="1" customHeight="1">
      <c r="B940" s="25">
        <v>935</v>
      </c>
      <c r="C940" s="26" t="s">
        <v>21</v>
      </c>
      <c r="D940" s="26" t="s">
        <v>262</v>
      </c>
      <c r="E940" s="26" t="s">
        <v>304</v>
      </c>
      <c r="F940" s="26" t="s">
        <v>305</v>
      </c>
      <c r="G940" s="27" t="s">
        <v>15</v>
      </c>
      <c r="H940" s="28">
        <v>5768</v>
      </c>
      <c r="I940" s="28">
        <v>3502</v>
      </c>
      <c r="J940" s="28">
        <v>1492</v>
      </c>
      <c r="K940" s="28">
        <v>2010</v>
      </c>
      <c r="L940" s="28">
        <v>2266</v>
      </c>
      <c r="M940" s="28">
        <v>9037</v>
      </c>
      <c r="N940" s="28">
        <v>7471</v>
      </c>
      <c r="O940" s="28">
        <v>5492</v>
      </c>
      <c r="P940" s="28">
        <v>1979</v>
      </c>
      <c r="Q940" s="28">
        <v>1566</v>
      </c>
      <c r="R940" s="29">
        <v>60.714285699999998</v>
      </c>
      <c r="S940" s="29">
        <v>25.8668516</v>
      </c>
      <c r="T940" s="29">
        <v>34.847434100000001</v>
      </c>
      <c r="U940" s="29">
        <v>39.285714300000002</v>
      </c>
      <c r="V940" s="29">
        <v>82.671240499999996</v>
      </c>
      <c r="W940" s="29">
        <v>60.772380200000001</v>
      </c>
      <c r="X940" s="29">
        <v>21.898860200000001</v>
      </c>
      <c r="Y940" s="29">
        <v>17.3287595</v>
      </c>
    </row>
    <row r="941" spans="2:25" ht="15" hidden="1" customHeight="1">
      <c r="B941" s="25">
        <v>936</v>
      </c>
      <c r="C941" s="26" t="s">
        <v>21</v>
      </c>
      <c r="D941" s="26" t="s">
        <v>262</v>
      </c>
      <c r="E941" s="26" t="s">
        <v>304</v>
      </c>
      <c r="F941" s="26" t="s">
        <v>305</v>
      </c>
      <c r="G941" s="27" t="s">
        <v>16</v>
      </c>
      <c r="H941" s="28">
        <v>3829</v>
      </c>
      <c r="I941" s="28">
        <v>362</v>
      </c>
      <c r="J941" s="28">
        <v>153</v>
      </c>
      <c r="K941" s="28">
        <v>209</v>
      </c>
      <c r="L941" s="28">
        <v>3467</v>
      </c>
      <c r="M941" s="28">
        <v>4097</v>
      </c>
      <c r="N941" s="28">
        <v>1017</v>
      </c>
      <c r="O941" s="28">
        <v>898</v>
      </c>
      <c r="P941" s="28">
        <v>119</v>
      </c>
      <c r="Q941" s="28">
        <v>3080</v>
      </c>
      <c r="R941" s="29">
        <v>9.4541655999999996</v>
      </c>
      <c r="S941" s="29">
        <v>3.9958214000000001</v>
      </c>
      <c r="T941" s="29">
        <v>5.4583442</v>
      </c>
      <c r="U941" s="29">
        <v>90.545834400000004</v>
      </c>
      <c r="V941" s="29">
        <v>24.823041199999999</v>
      </c>
      <c r="W941" s="29">
        <v>21.918476900000002</v>
      </c>
      <c r="X941" s="29">
        <v>2.9045643000000001</v>
      </c>
      <c r="Y941" s="29">
        <v>75.176958799999994</v>
      </c>
    </row>
    <row r="942" spans="2:25" ht="15" customHeight="1">
      <c r="B942" s="30">
        <v>937</v>
      </c>
      <c r="C942" s="31" t="s">
        <v>21</v>
      </c>
      <c r="D942" s="36" t="s">
        <v>262</v>
      </c>
      <c r="E942" s="36" t="s">
        <v>304</v>
      </c>
      <c r="F942" s="36" t="s">
        <v>306</v>
      </c>
      <c r="G942" s="37" t="s">
        <v>306</v>
      </c>
      <c r="H942" s="32">
        <v>3077</v>
      </c>
      <c r="I942" s="32">
        <v>211</v>
      </c>
      <c r="J942" s="32">
        <v>141</v>
      </c>
      <c r="K942" s="32">
        <v>70</v>
      </c>
      <c r="L942" s="32">
        <v>2866</v>
      </c>
      <c r="M942" s="32">
        <v>3317</v>
      </c>
      <c r="N942" s="32">
        <v>888</v>
      </c>
      <c r="O942" s="32">
        <v>759</v>
      </c>
      <c r="P942" s="32">
        <v>129</v>
      </c>
      <c r="Q942" s="32">
        <v>2429</v>
      </c>
      <c r="R942" s="33">
        <v>6.8573285999999998</v>
      </c>
      <c r="S942" s="33">
        <v>4.5823853999999997</v>
      </c>
      <c r="T942" s="33">
        <v>2.2749431000000002</v>
      </c>
      <c r="U942" s="33">
        <v>93.142671399999998</v>
      </c>
      <c r="V942" s="33">
        <v>26.771178800000001</v>
      </c>
      <c r="W942" s="33">
        <v>22.8821224</v>
      </c>
      <c r="X942" s="33">
        <v>3.8890563999999999</v>
      </c>
      <c r="Y942" s="33">
        <v>73.228821199999999</v>
      </c>
    </row>
    <row r="943" spans="2:25" ht="15" hidden="1" customHeight="1">
      <c r="B943" s="25">
        <v>938</v>
      </c>
      <c r="C943" s="26" t="s">
        <v>21</v>
      </c>
      <c r="D943" s="26" t="s">
        <v>262</v>
      </c>
      <c r="E943" s="26" t="s">
        <v>304</v>
      </c>
      <c r="F943" s="26" t="s">
        <v>306</v>
      </c>
      <c r="G943" s="27" t="s">
        <v>15</v>
      </c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9"/>
      <c r="S943" s="29"/>
      <c r="T943" s="29"/>
      <c r="U943" s="29"/>
      <c r="V943" s="29"/>
      <c r="W943" s="29"/>
      <c r="X943" s="29"/>
      <c r="Y943" s="29"/>
    </row>
    <row r="944" spans="2:25" ht="15" hidden="1" customHeight="1">
      <c r="B944" s="25">
        <v>939</v>
      </c>
      <c r="C944" s="26" t="s">
        <v>21</v>
      </c>
      <c r="D944" s="26" t="s">
        <v>262</v>
      </c>
      <c r="E944" s="26" t="s">
        <v>304</v>
      </c>
      <c r="F944" s="26" t="s">
        <v>306</v>
      </c>
      <c r="G944" s="27" t="s">
        <v>16</v>
      </c>
      <c r="H944" s="28">
        <v>3077</v>
      </c>
      <c r="I944" s="28">
        <v>211</v>
      </c>
      <c r="J944" s="28">
        <v>141</v>
      </c>
      <c r="K944" s="28">
        <v>70</v>
      </c>
      <c r="L944" s="28">
        <v>2866</v>
      </c>
      <c r="M944" s="28">
        <v>3317</v>
      </c>
      <c r="N944" s="28">
        <v>888</v>
      </c>
      <c r="O944" s="28">
        <v>759</v>
      </c>
      <c r="P944" s="28">
        <v>129</v>
      </c>
      <c r="Q944" s="28">
        <v>2429</v>
      </c>
      <c r="R944" s="29">
        <v>6.8573285999999998</v>
      </c>
      <c r="S944" s="29">
        <v>4.5823853999999997</v>
      </c>
      <c r="T944" s="29">
        <v>2.2749431000000002</v>
      </c>
      <c r="U944" s="29">
        <v>93.142671399999998</v>
      </c>
      <c r="V944" s="29">
        <v>26.771178800000001</v>
      </c>
      <c r="W944" s="29">
        <v>22.8821224</v>
      </c>
      <c r="X944" s="29">
        <v>3.8890563999999999</v>
      </c>
      <c r="Y944" s="29">
        <v>73.228821199999999</v>
      </c>
    </row>
    <row r="945" spans="2:25" ht="15" customHeight="1">
      <c r="B945" s="30">
        <v>940</v>
      </c>
      <c r="C945" s="31" t="s">
        <v>21</v>
      </c>
      <c r="D945" s="36" t="s">
        <v>262</v>
      </c>
      <c r="E945" s="36" t="s">
        <v>304</v>
      </c>
      <c r="F945" s="36" t="s">
        <v>307</v>
      </c>
      <c r="G945" s="37" t="s">
        <v>307</v>
      </c>
      <c r="H945" s="32">
        <v>3156</v>
      </c>
      <c r="I945" s="32">
        <v>1888</v>
      </c>
      <c r="J945" s="32">
        <v>579</v>
      </c>
      <c r="K945" s="32">
        <v>1309</v>
      </c>
      <c r="L945" s="32">
        <v>1268</v>
      </c>
      <c r="M945" s="32">
        <v>5286</v>
      </c>
      <c r="N945" s="32">
        <v>4126</v>
      </c>
      <c r="O945" s="32">
        <v>1733</v>
      </c>
      <c r="P945" s="32">
        <v>2393</v>
      </c>
      <c r="Q945" s="32">
        <v>1160</v>
      </c>
      <c r="R945" s="33">
        <v>59.822560199999998</v>
      </c>
      <c r="S945" s="33">
        <v>18.3460076</v>
      </c>
      <c r="T945" s="33">
        <v>41.476552599999998</v>
      </c>
      <c r="U945" s="33">
        <v>40.177439800000002</v>
      </c>
      <c r="V945" s="33">
        <v>78.055240299999994</v>
      </c>
      <c r="W945" s="33">
        <v>32.784714299999997</v>
      </c>
      <c r="X945" s="33">
        <v>45.270525900000003</v>
      </c>
      <c r="Y945" s="33">
        <v>21.944759699999999</v>
      </c>
    </row>
    <row r="946" spans="2:25" ht="15" hidden="1" customHeight="1">
      <c r="B946" s="25">
        <v>941</v>
      </c>
      <c r="C946" s="26" t="s">
        <v>21</v>
      </c>
      <c r="D946" s="26" t="s">
        <v>262</v>
      </c>
      <c r="E946" s="26" t="s">
        <v>304</v>
      </c>
      <c r="F946" s="26" t="s">
        <v>307</v>
      </c>
      <c r="G946" s="27" t="s">
        <v>15</v>
      </c>
      <c r="H946" s="28">
        <v>2240</v>
      </c>
      <c r="I946" s="28">
        <v>1807</v>
      </c>
      <c r="J946" s="28">
        <v>550</v>
      </c>
      <c r="K946" s="28">
        <v>1257</v>
      </c>
      <c r="L946" s="28">
        <v>433</v>
      </c>
      <c r="M946" s="28">
        <v>4114</v>
      </c>
      <c r="N946" s="28">
        <v>3928</v>
      </c>
      <c r="O946" s="28">
        <v>1586</v>
      </c>
      <c r="P946" s="28">
        <v>2342</v>
      </c>
      <c r="Q946" s="28">
        <v>186</v>
      </c>
      <c r="R946" s="29">
        <v>80.669642899999999</v>
      </c>
      <c r="S946" s="29">
        <v>24.553571399999999</v>
      </c>
      <c r="T946" s="29">
        <v>56.116071400000003</v>
      </c>
      <c r="U946" s="29">
        <v>19.330357100000001</v>
      </c>
      <c r="V946" s="29">
        <v>95.478852700000004</v>
      </c>
      <c r="W946" s="29">
        <v>38.551288300000003</v>
      </c>
      <c r="X946" s="29">
        <v>56.927564400000001</v>
      </c>
      <c r="Y946" s="29">
        <v>4.5211473</v>
      </c>
    </row>
    <row r="947" spans="2:25" ht="15" hidden="1" customHeight="1">
      <c r="B947" s="25">
        <v>942</v>
      </c>
      <c r="C947" s="26" t="s">
        <v>21</v>
      </c>
      <c r="D947" s="26" t="s">
        <v>262</v>
      </c>
      <c r="E947" s="26" t="s">
        <v>304</v>
      </c>
      <c r="F947" s="26" t="s">
        <v>307</v>
      </c>
      <c r="G947" s="27" t="s">
        <v>16</v>
      </c>
      <c r="H947" s="28">
        <v>916</v>
      </c>
      <c r="I947" s="28">
        <v>81</v>
      </c>
      <c r="J947" s="28">
        <v>29</v>
      </c>
      <c r="K947" s="28">
        <v>52</v>
      </c>
      <c r="L947" s="28">
        <v>835</v>
      </c>
      <c r="M947" s="28">
        <v>1172</v>
      </c>
      <c r="N947" s="28">
        <v>198</v>
      </c>
      <c r="O947" s="28">
        <v>147</v>
      </c>
      <c r="P947" s="28">
        <v>51</v>
      </c>
      <c r="Q947" s="28">
        <v>974</v>
      </c>
      <c r="R947" s="29">
        <v>8.8427948000000001</v>
      </c>
      <c r="S947" s="29">
        <v>3.1659389</v>
      </c>
      <c r="T947" s="29">
        <v>5.6768558999999996</v>
      </c>
      <c r="U947" s="29">
        <v>91.157205200000007</v>
      </c>
      <c r="V947" s="29">
        <v>16.894197999999999</v>
      </c>
      <c r="W947" s="29">
        <v>12.542662099999999</v>
      </c>
      <c r="X947" s="29">
        <v>4.3515357999999997</v>
      </c>
      <c r="Y947" s="29">
        <v>83.105801999999997</v>
      </c>
    </row>
    <row r="948" spans="2:25" ht="15" customHeight="1">
      <c r="B948" s="30">
        <v>943</v>
      </c>
      <c r="C948" s="31" t="s">
        <v>21</v>
      </c>
      <c r="D948" s="36" t="s">
        <v>262</v>
      </c>
      <c r="E948" s="36" t="s">
        <v>304</v>
      </c>
      <c r="F948" s="36" t="s">
        <v>308</v>
      </c>
      <c r="G948" s="37" t="s">
        <v>308</v>
      </c>
      <c r="H948" s="32">
        <v>2139</v>
      </c>
      <c r="I948" s="32">
        <v>212</v>
      </c>
      <c r="J948" s="32">
        <v>109</v>
      </c>
      <c r="K948" s="32">
        <v>103</v>
      </c>
      <c r="L948" s="32">
        <v>1927</v>
      </c>
      <c r="M948" s="32">
        <v>2607</v>
      </c>
      <c r="N948" s="32">
        <v>775</v>
      </c>
      <c r="O948" s="32">
        <v>667</v>
      </c>
      <c r="P948" s="32">
        <v>108</v>
      </c>
      <c r="Q948" s="32">
        <v>1832</v>
      </c>
      <c r="R948" s="33">
        <v>9.9111733999999991</v>
      </c>
      <c r="S948" s="33">
        <v>5.0958392000000003</v>
      </c>
      <c r="T948" s="33">
        <v>4.8153343</v>
      </c>
      <c r="U948" s="33">
        <v>90.088826600000004</v>
      </c>
      <c r="V948" s="33">
        <v>29.7276563</v>
      </c>
      <c r="W948" s="33">
        <v>25.584963599999998</v>
      </c>
      <c r="X948" s="33">
        <v>4.1426927999999998</v>
      </c>
      <c r="Y948" s="33">
        <v>70.272343699999993</v>
      </c>
    </row>
    <row r="949" spans="2:25" ht="15" hidden="1" customHeight="1">
      <c r="B949" s="25">
        <v>944</v>
      </c>
      <c r="C949" s="26" t="s">
        <v>21</v>
      </c>
      <c r="D949" s="26" t="s">
        <v>262</v>
      </c>
      <c r="E949" s="26" t="s">
        <v>304</v>
      </c>
      <c r="F949" s="26" t="s">
        <v>308</v>
      </c>
      <c r="G949" s="27" t="s">
        <v>15</v>
      </c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9"/>
      <c r="S949" s="29"/>
      <c r="T949" s="29"/>
      <c r="U949" s="29"/>
      <c r="V949" s="29"/>
      <c r="W949" s="29"/>
      <c r="X949" s="29"/>
      <c r="Y949" s="29"/>
    </row>
    <row r="950" spans="2:25" ht="15" hidden="1" customHeight="1">
      <c r="B950" s="25">
        <v>945</v>
      </c>
      <c r="C950" s="26" t="s">
        <v>21</v>
      </c>
      <c r="D950" s="26" t="s">
        <v>262</v>
      </c>
      <c r="E950" s="26" t="s">
        <v>304</v>
      </c>
      <c r="F950" s="26" t="s">
        <v>308</v>
      </c>
      <c r="G950" s="27" t="s">
        <v>16</v>
      </c>
      <c r="H950" s="28">
        <v>2139</v>
      </c>
      <c r="I950" s="28">
        <v>212</v>
      </c>
      <c r="J950" s="28">
        <v>109</v>
      </c>
      <c r="K950" s="28">
        <v>103</v>
      </c>
      <c r="L950" s="28">
        <v>1927</v>
      </c>
      <c r="M950" s="28">
        <v>2607</v>
      </c>
      <c r="N950" s="28">
        <v>775</v>
      </c>
      <c r="O950" s="28">
        <v>667</v>
      </c>
      <c r="P950" s="28">
        <v>108</v>
      </c>
      <c r="Q950" s="28">
        <v>1832</v>
      </c>
      <c r="R950" s="29">
        <v>9.9111733999999991</v>
      </c>
      <c r="S950" s="29">
        <v>5.0958392000000003</v>
      </c>
      <c r="T950" s="29">
        <v>4.8153343</v>
      </c>
      <c r="U950" s="29">
        <v>90.088826600000004</v>
      </c>
      <c r="V950" s="29">
        <v>29.7276563</v>
      </c>
      <c r="W950" s="29">
        <v>25.584963599999998</v>
      </c>
      <c r="X950" s="29">
        <v>4.1426927999999998</v>
      </c>
      <c r="Y950" s="29">
        <v>70.272343699999993</v>
      </c>
    </row>
    <row r="951" spans="2:25" ht="15" hidden="1" customHeight="1">
      <c r="B951" s="21">
        <v>946</v>
      </c>
      <c r="C951" s="22" t="s">
        <v>19</v>
      </c>
      <c r="D951" s="35" t="s">
        <v>262</v>
      </c>
      <c r="E951" s="35" t="s">
        <v>309</v>
      </c>
      <c r="F951" s="35"/>
      <c r="G951" s="22" t="s">
        <v>309</v>
      </c>
      <c r="H951" s="23">
        <v>3017</v>
      </c>
      <c r="I951" s="23">
        <v>470</v>
      </c>
      <c r="J951" s="23">
        <v>267</v>
      </c>
      <c r="K951" s="23">
        <v>203</v>
      </c>
      <c r="L951" s="23">
        <v>2547</v>
      </c>
      <c r="M951" s="23">
        <v>3288</v>
      </c>
      <c r="N951" s="23">
        <v>873</v>
      </c>
      <c r="O951" s="23">
        <v>731</v>
      </c>
      <c r="P951" s="23">
        <v>142</v>
      </c>
      <c r="Q951" s="23">
        <v>2415</v>
      </c>
      <c r="R951" s="24">
        <v>15.578389100000001</v>
      </c>
      <c r="S951" s="24">
        <v>8.8498508000000005</v>
      </c>
      <c r="T951" s="24">
        <v>6.7285383000000003</v>
      </c>
      <c r="U951" s="24">
        <v>84.421610900000005</v>
      </c>
      <c r="V951" s="24">
        <v>26.551094899999999</v>
      </c>
      <c r="W951" s="24">
        <v>22.232360100000001</v>
      </c>
      <c r="X951" s="24">
        <v>4.3187347999999997</v>
      </c>
      <c r="Y951" s="24">
        <v>73.448905100000005</v>
      </c>
    </row>
    <row r="952" spans="2:25" ht="15" hidden="1" customHeight="1">
      <c r="B952" s="25">
        <v>947</v>
      </c>
      <c r="C952" s="26" t="s">
        <v>19</v>
      </c>
      <c r="D952" s="26" t="s">
        <v>262</v>
      </c>
      <c r="E952" s="26" t="s">
        <v>309</v>
      </c>
      <c r="F952" s="26"/>
      <c r="G952" s="27" t="s">
        <v>15</v>
      </c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9"/>
      <c r="S952" s="29"/>
      <c r="T952" s="29"/>
      <c r="U952" s="29"/>
      <c r="V952" s="29"/>
      <c r="W952" s="29"/>
      <c r="X952" s="29"/>
      <c r="Y952" s="29"/>
    </row>
    <row r="953" spans="2:25" ht="15" hidden="1" customHeight="1">
      <c r="B953" s="25">
        <v>948</v>
      </c>
      <c r="C953" s="26" t="s">
        <v>19</v>
      </c>
      <c r="D953" s="26" t="s">
        <v>262</v>
      </c>
      <c r="E953" s="26" t="s">
        <v>309</v>
      </c>
      <c r="F953" s="26"/>
      <c r="G953" s="27" t="s">
        <v>16</v>
      </c>
      <c r="H953" s="28">
        <v>3017</v>
      </c>
      <c r="I953" s="28">
        <v>470</v>
      </c>
      <c r="J953" s="28">
        <v>267</v>
      </c>
      <c r="K953" s="28">
        <v>203</v>
      </c>
      <c r="L953" s="28">
        <v>2547</v>
      </c>
      <c r="M953" s="28">
        <v>3288</v>
      </c>
      <c r="N953" s="28">
        <v>873</v>
      </c>
      <c r="O953" s="28">
        <v>731</v>
      </c>
      <c r="P953" s="28">
        <v>142</v>
      </c>
      <c r="Q953" s="28">
        <v>2415</v>
      </c>
      <c r="R953" s="29">
        <v>15.578389100000001</v>
      </c>
      <c r="S953" s="29">
        <v>8.8498508000000005</v>
      </c>
      <c r="T953" s="29">
        <v>6.7285383000000003</v>
      </c>
      <c r="U953" s="29">
        <v>84.421610900000005</v>
      </c>
      <c r="V953" s="29">
        <v>26.551094899999999</v>
      </c>
      <c r="W953" s="29">
        <v>22.232360100000001</v>
      </c>
      <c r="X953" s="29">
        <v>4.3187347999999997</v>
      </c>
      <c r="Y953" s="29">
        <v>73.448905100000005</v>
      </c>
    </row>
    <row r="954" spans="2:25" ht="15" customHeight="1">
      <c r="B954" s="30">
        <v>949</v>
      </c>
      <c r="C954" s="31" t="s">
        <v>21</v>
      </c>
      <c r="D954" s="36" t="s">
        <v>262</v>
      </c>
      <c r="E954" s="36" t="s">
        <v>309</v>
      </c>
      <c r="F954" s="36" t="s">
        <v>310</v>
      </c>
      <c r="G954" s="37" t="s">
        <v>310</v>
      </c>
      <c r="H954" s="32">
        <v>1298</v>
      </c>
      <c r="I954" s="32">
        <v>248</v>
      </c>
      <c r="J954" s="32">
        <v>158</v>
      </c>
      <c r="K954" s="32">
        <v>90</v>
      </c>
      <c r="L954" s="32">
        <v>1050</v>
      </c>
      <c r="M954" s="32">
        <v>1457</v>
      </c>
      <c r="N954" s="32">
        <v>433</v>
      </c>
      <c r="O954" s="32">
        <v>363</v>
      </c>
      <c r="P954" s="32">
        <v>70</v>
      </c>
      <c r="Q954" s="32">
        <v>1024</v>
      </c>
      <c r="R954" s="33">
        <v>19.106317399999998</v>
      </c>
      <c r="S954" s="33">
        <v>12.1725732</v>
      </c>
      <c r="T954" s="33">
        <v>6.9337441999999996</v>
      </c>
      <c r="U954" s="33">
        <v>80.893682600000005</v>
      </c>
      <c r="V954" s="33">
        <v>29.718599900000001</v>
      </c>
      <c r="W954" s="33">
        <v>24.914207300000001</v>
      </c>
      <c r="X954" s="33">
        <v>4.8043925999999999</v>
      </c>
      <c r="Y954" s="33">
        <v>70.281400099999999</v>
      </c>
    </row>
    <row r="955" spans="2:25" ht="15" hidden="1" customHeight="1">
      <c r="B955" s="25">
        <v>950</v>
      </c>
      <c r="C955" s="26" t="s">
        <v>21</v>
      </c>
      <c r="D955" s="26" t="s">
        <v>262</v>
      </c>
      <c r="E955" s="26" t="s">
        <v>309</v>
      </c>
      <c r="F955" s="26" t="s">
        <v>310</v>
      </c>
      <c r="G955" s="27" t="s">
        <v>15</v>
      </c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9"/>
      <c r="S955" s="29"/>
      <c r="T955" s="29"/>
      <c r="U955" s="29"/>
      <c r="V955" s="29"/>
      <c r="W955" s="29"/>
      <c r="X955" s="29"/>
      <c r="Y955" s="29"/>
    </row>
    <row r="956" spans="2:25" ht="15" hidden="1" customHeight="1">
      <c r="B956" s="25">
        <v>951</v>
      </c>
      <c r="C956" s="26" t="s">
        <v>21</v>
      </c>
      <c r="D956" s="26" t="s">
        <v>262</v>
      </c>
      <c r="E956" s="26" t="s">
        <v>309</v>
      </c>
      <c r="F956" s="26" t="s">
        <v>310</v>
      </c>
      <c r="G956" s="27" t="s">
        <v>16</v>
      </c>
      <c r="H956" s="28">
        <v>1298</v>
      </c>
      <c r="I956" s="28">
        <v>248</v>
      </c>
      <c r="J956" s="28">
        <v>158</v>
      </c>
      <c r="K956" s="28">
        <v>90</v>
      </c>
      <c r="L956" s="28">
        <v>1050</v>
      </c>
      <c r="M956" s="28">
        <v>1457</v>
      </c>
      <c r="N956" s="28">
        <v>433</v>
      </c>
      <c r="O956" s="28">
        <v>363</v>
      </c>
      <c r="P956" s="28">
        <v>70</v>
      </c>
      <c r="Q956" s="28">
        <v>1024</v>
      </c>
      <c r="R956" s="29">
        <v>19.106317399999998</v>
      </c>
      <c r="S956" s="29">
        <v>12.1725732</v>
      </c>
      <c r="T956" s="29">
        <v>6.9337441999999996</v>
      </c>
      <c r="U956" s="29">
        <v>80.893682600000005</v>
      </c>
      <c r="V956" s="29">
        <v>29.718599900000001</v>
      </c>
      <c r="W956" s="29">
        <v>24.914207300000001</v>
      </c>
      <c r="X956" s="29">
        <v>4.8043925999999999</v>
      </c>
      <c r="Y956" s="29">
        <v>70.281400099999999</v>
      </c>
    </row>
    <row r="957" spans="2:25" ht="15" customHeight="1">
      <c r="B957" s="30">
        <v>952</v>
      </c>
      <c r="C957" s="31" t="s">
        <v>21</v>
      </c>
      <c r="D957" s="36" t="s">
        <v>262</v>
      </c>
      <c r="E957" s="36" t="s">
        <v>309</v>
      </c>
      <c r="F957" s="36" t="s">
        <v>311</v>
      </c>
      <c r="G957" s="37" t="s">
        <v>311</v>
      </c>
      <c r="H957" s="32">
        <v>1719</v>
      </c>
      <c r="I957" s="32">
        <v>222</v>
      </c>
      <c r="J957" s="32">
        <v>109</v>
      </c>
      <c r="K957" s="32">
        <v>113</v>
      </c>
      <c r="L957" s="32">
        <v>1497</v>
      </c>
      <c r="M957" s="32">
        <v>1831</v>
      </c>
      <c r="N957" s="32">
        <v>440</v>
      </c>
      <c r="O957" s="32">
        <v>368</v>
      </c>
      <c r="P957" s="32">
        <v>72</v>
      </c>
      <c r="Q957" s="32">
        <v>1391</v>
      </c>
      <c r="R957" s="33">
        <v>12.9144852</v>
      </c>
      <c r="S957" s="33">
        <v>6.3408958999999996</v>
      </c>
      <c r="T957" s="33">
        <v>6.5735893000000001</v>
      </c>
      <c r="U957" s="33">
        <v>87.085514799999999</v>
      </c>
      <c r="V957" s="33">
        <v>24.030584399999999</v>
      </c>
      <c r="W957" s="33">
        <v>20.098306900000001</v>
      </c>
      <c r="X957" s="33">
        <v>3.9322773999999998</v>
      </c>
      <c r="Y957" s="33">
        <v>75.969415600000005</v>
      </c>
    </row>
    <row r="958" spans="2:25" ht="15" hidden="1" customHeight="1">
      <c r="B958" s="25">
        <v>953</v>
      </c>
      <c r="C958" s="26" t="s">
        <v>21</v>
      </c>
      <c r="D958" s="26" t="s">
        <v>262</v>
      </c>
      <c r="E958" s="26" t="s">
        <v>309</v>
      </c>
      <c r="F958" s="26" t="s">
        <v>311</v>
      </c>
      <c r="G958" s="27" t="s">
        <v>15</v>
      </c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9"/>
      <c r="S958" s="29"/>
      <c r="T958" s="29"/>
      <c r="U958" s="29"/>
      <c r="V958" s="29"/>
      <c r="W958" s="29"/>
      <c r="X958" s="29"/>
      <c r="Y958" s="29"/>
    </row>
    <row r="959" spans="2:25" ht="15" hidden="1" customHeight="1">
      <c r="B959" s="25">
        <v>954</v>
      </c>
      <c r="C959" s="26" t="s">
        <v>21</v>
      </c>
      <c r="D959" s="26" t="s">
        <v>262</v>
      </c>
      <c r="E959" s="26" t="s">
        <v>309</v>
      </c>
      <c r="F959" s="26" t="s">
        <v>311</v>
      </c>
      <c r="G959" s="27" t="s">
        <v>16</v>
      </c>
      <c r="H959" s="28">
        <v>1719</v>
      </c>
      <c r="I959" s="28">
        <v>222</v>
      </c>
      <c r="J959" s="28">
        <v>109</v>
      </c>
      <c r="K959" s="28">
        <v>113</v>
      </c>
      <c r="L959" s="28">
        <v>1497</v>
      </c>
      <c r="M959" s="28">
        <v>1831</v>
      </c>
      <c r="N959" s="28">
        <v>440</v>
      </c>
      <c r="O959" s="28">
        <v>368</v>
      </c>
      <c r="P959" s="28">
        <v>72</v>
      </c>
      <c r="Q959" s="28">
        <v>1391</v>
      </c>
      <c r="R959" s="29">
        <v>12.9144852</v>
      </c>
      <c r="S959" s="29">
        <v>6.3408958999999996</v>
      </c>
      <c r="T959" s="29">
        <v>6.5735893000000001</v>
      </c>
      <c r="U959" s="29">
        <v>87.085514799999999</v>
      </c>
      <c r="V959" s="29">
        <v>24.030584399999999</v>
      </c>
      <c r="W959" s="29">
        <v>20.098306900000001</v>
      </c>
      <c r="X959" s="29">
        <v>3.9322773999999998</v>
      </c>
      <c r="Y959" s="29">
        <v>75.969415600000005</v>
      </c>
    </row>
    <row r="960" spans="2:25" ht="15" hidden="1" customHeight="1">
      <c r="B960" s="21">
        <v>955</v>
      </c>
      <c r="C960" s="22" t="s">
        <v>19</v>
      </c>
      <c r="D960" s="35" t="s">
        <v>262</v>
      </c>
      <c r="E960" s="35" t="s">
        <v>312</v>
      </c>
      <c r="F960" s="35"/>
      <c r="G960" s="22" t="s">
        <v>312</v>
      </c>
      <c r="H960" s="23">
        <v>2183</v>
      </c>
      <c r="I960" s="23">
        <v>415</v>
      </c>
      <c r="J960" s="23">
        <v>184</v>
      </c>
      <c r="K960" s="23">
        <v>231</v>
      </c>
      <c r="L960" s="23">
        <v>1768</v>
      </c>
      <c r="M960" s="23">
        <v>2598</v>
      </c>
      <c r="N960" s="23">
        <v>1283</v>
      </c>
      <c r="O960" s="23">
        <v>997</v>
      </c>
      <c r="P960" s="23">
        <v>286</v>
      </c>
      <c r="Q960" s="23">
        <v>1315</v>
      </c>
      <c r="R960" s="24">
        <v>19.010535999999998</v>
      </c>
      <c r="S960" s="24">
        <v>8.4287677999999993</v>
      </c>
      <c r="T960" s="24">
        <v>10.581768200000001</v>
      </c>
      <c r="U960" s="24">
        <v>80.989463999999998</v>
      </c>
      <c r="V960" s="24">
        <v>49.3841416</v>
      </c>
      <c r="W960" s="24">
        <v>38.375673599999999</v>
      </c>
      <c r="X960" s="24">
        <v>11.0084681</v>
      </c>
      <c r="Y960" s="24">
        <v>50.6158584</v>
      </c>
    </row>
    <row r="961" spans="2:25" ht="15" hidden="1" customHeight="1">
      <c r="B961" s="25">
        <v>956</v>
      </c>
      <c r="C961" s="26" t="s">
        <v>19</v>
      </c>
      <c r="D961" s="26" t="s">
        <v>262</v>
      </c>
      <c r="E961" s="26" t="s">
        <v>312</v>
      </c>
      <c r="F961" s="26"/>
      <c r="G961" s="27" t="s">
        <v>15</v>
      </c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9"/>
      <c r="S961" s="29"/>
      <c r="T961" s="29"/>
      <c r="U961" s="29"/>
      <c r="V961" s="29"/>
      <c r="W961" s="29"/>
      <c r="X961" s="29"/>
      <c r="Y961" s="29"/>
    </row>
    <row r="962" spans="2:25" ht="15" hidden="1" customHeight="1">
      <c r="B962" s="25">
        <v>957</v>
      </c>
      <c r="C962" s="26" t="s">
        <v>19</v>
      </c>
      <c r="D962" s="26" t="s">
        <v>262</v>
      </c>
      <c r="E962" s="26" t="s">
        <v>312</v>
      </c>
      <c r="F962" s="26"/>
      <c r="G962" s="27" t="s">
        <v>16</v>
      </c>
      <c r="H962" s="28">
        <v>2183</v>
      </c>
      <c r="I962" s="28">
        <v>415</v>
      </c>
      <c r="J962" s="28">
        <v>184</v>
      </c>
      <c r="K962" s="28">
        <v>231</v>
      </c>
      <c r="L962" s="28">
        <v>1768</v>
      </c>
      <c r="M962" s="28">
        <v>2598</v>
      </c>
      <c r="N962" s="28">
        <v>1283</v>
      </c>
      <c r="O962" s="28">
        <v>997</v>
      </c>
      <c r="P962" s="28">
        <v>286</v>
      </c>
      <c r="Q962" s="28">
        <v>1315</v>
      </c>
      <c r="R962" s="29">
        <v>19.010535999999998</v>
      </c>
      <c r="S962" s="29">
        <v>8.4287677999999993</v>
      </c>
      <c r="T962" s="29">
        <v>10.581768200000001</v>
      </c>
      <c r="U962" s="29">
        <v>80.989463999999998</v>
      </c>
      <c r="V962" s="29">
        <v>49.3841416</v>
      </c>
      <c r="W962" s="29">
        <v>38.375673599999999</v>
      </c>
      <c r="X962" s="29">
        <v>11.0084681</v>
      </c>
      <c r="Y962" s="29">
        <v>50.6158584</v>
      </c>
    </row>
    <row r="963" spans="2:25" ht="15" customHeight="1">
      <c r="B963" s="30">
        <v>958</v>
      </c>
      <c r="C963" s="31" t="s">
        <v>21</v>
      </c>
      <c r="D963" s="36" t="s">
        <v>262</v>
      </c>
      <c r="E963" s="36" t="s">
        <v>312</v>
      </c>
      <c r="F963" s="36" t="s">
        <v>313</v>
      </c>
      <c r="G963" s="37" t="s">
        <v>313</v>
      </c>
      <c r="H963" s="32">
        <v>1504</v>
      </c>
      <c r="I963" s="32">
        <v>361</v>
      </c>
      <c r="J963" s="32">
        <v>150</v>
      </c>
      <c r="K963" s="32">
        <v>211</v>
      </c>
      <c r="L963" s="32">
        <v>1143</v>
      </c>
      <c r="M963" s="32">
        <v>1856</v>
      </c>
      <c r="N963" s="32">
        <v>1031</v>
      </c>
      <c r="O963" s="32">
        <v>766</v>
      </c>
      <c r="P963" s="32">
        <v>265</v>
      </c>
      <c r="Q963" s="32">
        <v>825</v>
      </c>
      <c r="R963" s="33">
        <v>24.002659600000001</v>
      </c>
      <c r="S963" s="33">
        <v>9.9734043000000003</v>
      </c>
      <c r="T963" s="33">
        <v>14.029255300000001</v>
      </c>
      <c r="U963" s="33">
        <v>75.997340399999999</v>
      </c>
      <c r="V963" s="33">
        <v>55.549568999999998</v>
      </c>
      <c r="W963" s="33">
        <v>41.271551700000003</v>
      </c>
      <c r="X963" s="33">
        <v>14.278017200000001</v>
      </c>
      <c r="Y963" s="33">
        <v>44.450431000000002</v>
      </c>
    </row>
    <row r="964" spans="2:25" ht="15" hidden="1" customHeight="1">
      <c r="B964" s="25">
        <v>959</v>
      </c>
      <c r="C964" s="26" t="s">
        <v>21</v>
      </c>
      <c r="D964" s="26" t="s">
        <v>262</v>
      </c>
      <c r="E964" s="26" t="s">
        <v>312</v>
      </c>
      <c r="F964" s="26" t="s">
        <v>313</v>
      </c>
      <c r="G964" s="27" t="s">
        <v>15</v>
      </c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9"/>
      <c r="S964" s="29"/>
      <c r="T964" s="29"/>
      <c r="U964" s="29"/>
      <c r="V964" s="29"/>
      <c r="W964" s="29"/>
      <c r="X964" s="29"/>
      <c r="Y964" s="29"/>
    </row>
    <row r="965" spans="2:25" ht="15" hidden="1" customHeight="1">
      <c r="B965" s="25">
        <v>960</v>
      </c>
      <c r="C965" s="26" t="s">
        <v>21</v>
      </c>
      <c r="D965" s="26" t="s">
        <v>262</v>
      </c>
      <c r="E965" s="26" t="s">
        <v>312</v>
      </c>
      <c r="F965" s="26" t="s">
        <v>313</v>
      </c>
      <c r="G965" s="27" t="s">
        <v>16</v>
      </c>
      <c r="H965" s="28">
        <v>1504</v>
      </c>
      <c r="I965" s="28">
        <v>361</v>
      </c>
      <c r="J965" s="28">
        <v>150</v>
      </c>
      <c r="K965" s="28">
        <v>211</v>
      </c>
      <c r="L965" s="28">
        <v>1143</v>
      </c>
      <c r="M965" s="28">
        <v>1856</v>
      </c>
      <c r="N965" s="28">
        <v>1031</v>
      </c>
      <c r="O965" s="28">
        <v>766</v>
      </c>
      <c r="P965" s="28">
        <v>265</v>
      </c>
      <c r="Q965" s="28">
        <v>825</v>
      </c>
      <c r="R965" s="29">
        <v>24.002659600000001</v>
      </c>
      <c r="S965" s="29">
        <v>9.9734043000000003</v>
      </c>
      <c r="T965" s="29">
        <v>14.029255300000001</v>
      </c>
      <c r="U965" s="29">
        <v>75.997340399999999</v>
      </c>
      <c r="V965" s="29">
        <v>55.549568999999998</v>
      </c>
      <c r="W965" s="29">
        <v>41.271551700000003</v>
      </c>
      <c r="X965" s="29">
        <v>14.278017200000001</v>
      </c>
      <c r="Y965" s="29">
        <v>44.450431000000002</v>
      </c>
    </row>
    <row r="966" spans="2:25" ht="15" customHeight="1">
      <c r="B966" s="30">
        <v>961</v>
      </c>
      <c r="C966" s="31" t="s">
        <v>21</v>
      </c>
      <c r="D966" s="36" t="s">
        <v>262</v>
      </c>
      <c r="E966" s="36" t="s">
        <v>312</v>
      </c>
      <c r="F966" s="36" t="s">
        <v>314</v>
      </c>
      <c r="G966" s="37" t="s">
        <v>314</v>
      </c>
      <c r="H966" s="32">
        <v>679</v>
      </c>
      <c r="I966" s="32">
        <v>54</v>
      </c>
      <c r="J966" s="32">
        <v>34</v>
      </c>
      <c r="K966" s="32">
        <v>20</v>
      </c>
      <c r="L966" s="32">
        <v>625</v>
      </c>
      <c r="M966" s="32">
        <v>742</v>
      </c>
      <c r="N966" s="32">
        <v>252</v>
      </c>
      <c r="O966" s="32">
        <v>231</v>
      </c>
      <c r="P966" s="32">
        <v>21</v>
      </c>
      <c r="Q966" s="32">
        <v>490</v>
      </c>
      <c r="R966" s="33">
        <v>7.9528718999999999</v>
      </c>
      <c r="S966" s="33">
        <v>5.0073638000000003</v>
      </c>
      <c r="T966" s="33">
        <v>2.9455081000000001</v>
      </c>
      <c r="U966" s="33">
        <v>92.047128099999995</v>
      </c>
      <c r="V966" s="33">
        <v>33.9622642</v>
      </c>
      <c r="W966" s="33">
        <v>31.132075499999999</v>
      </c>
      <c r="X966" s="33">
        <v>2.8301886999999999</v>
      </c>
      <c r="Y966" s="33">
        <v>66.037735799999993</v>
      </c>
    </row>
    <row r="967" spans="2:25" ht="15" hidden="1" customHeight="1">
      <c r="B967" s="25">
        <v>962</v>
      </c>
      <c r="C967" s="26" t="s">
        <v>21</v>
      </c>
      <c r="D967" s="26" t="s">
        <v>262</v>
      </c>
      <c r="E967" s="26" t="s">
        <v>312</v>
      </c>
      <c r="F967" s="26" t="s">
        <v>314</v>
      </c>
      <c r="G967" s="27" t="s">
        <v>15</v>
      </c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9"/>
      <c r="S967" s="29"/>
      <c r="T967" s="29"/>
      <c r="U967" s="29"/>
      <c r="V967" s="29"/>
      <c r="W967" s="29"/>
      <c r="X967" s="29"/>
      <c r="Y967" s="29"/>
    </row>
    <row r="968" spans="2:25" ht="15" hidden="1" customHeight="1">
      <c r="B968" s="25">
        <v>963</v>
      </c>
      <c r="C968" s="26" t="s">
        <v>21</v>
      </c>
      <c r="D968" s="26" t="s">
        <v>262</v>
      </c>
      <c r="E968" s="26" t="s">
        <v>312</v>
      </c>
      <c r="F968" s="26" t="s">
        <v>314</v>
      </c>
      <c r="G968" s="27" t="s">
        <v>16</v>
      </c>
      <c r="H968" s="28">
        <v>679</v>
      </c>
      <c r="I968" s="28">
        <v>54</v>
      </c>
      <c r="J968" s="28">
        <v>34</v>
      </c>
      <c r="K968" s="28">
        <v>20</v>
      </c>
      <c r="L968" s="28">
        <v>625</v>
      </c>
      <c r="M968" s="28">
        <v>742</v>
      </c>
      <c r="N968" s="28">
        <v>252</v>
      </c>
      <c r="O968" s="28">
        <v>231</v>
      </c>
      <c r="P968" s="28">
        <v>21</v>
      </c>
      <c r="Q968" s="28">
        <v>490</v>
      </c>
      <c r="R968" s="29">
        <v>7.9528718999999999</v>
      </c>
      <c r="S968" s="29">
        <v>5.0073638000000003</v>
      </c>
      <c r="T968" s="29">
        <v>2.9455081000000001</v>
      </c>
      <c r="U968" s="29">
        <v>92.047128099999995</v>
      </c>
      <c r="V968" s="29">
        <v>33.9622642</v>
      </c>
      <c r="W968" s="29">
        <v>31.132075499999999</v>
      </c>
      <c r="X968" s="29">
        <v>2.8301886999999999</v>
      </c>
      <c r="Y968" s="29">
        <v>66.037735799999993</v>
      </c>
    </row>
    <row r="969" spans="2:25" ht="15" hidden="1" customHeight="1">
      <c r="B969" s="21">
        <v>964</v>
      </c>
      <c r="C969" s="22" t="s">
        <v>19</v>
      </c>
      <c r="D969" s="35" t="s">
        <v>262</v>
      </c>
      <c r="E969" s="35" t="s">
        <v>315</v>
      </c>
      <c r="F969" s="35"/>
      <c r="G969" s="22" t="s">
        <v>315</v>
      </c>
      <c r="H969" s="23">
        <v>12074</v>
      </c>
      <c r="I969" s="23">
        <v>8943</v>
      </c>
      <c r="J969" s="23">
        <v>4543</v>
      </c>
      <c r="K969" s="23">
        <v>4400</v>
      </c>
      <c r="L969" s="23">
        <v>3131</v>
      </c>
      <c r="M969" s="23">
        <v>14433</v>
      </c>
      <c r="N969" s="23">
        <v>12756</v>
      </c>
      <c r="O969" s="23">
        <v>10601</v>
      </c>
      <c r="P969" s="23">
        <v>2155</v>
      </c>
      <c r="Q969" s="23">
        <v>1677</v>
      </c>
      <c r="R969" s="24">
        <v>74.0682458</v>
      </c>
      <c r="S969" s="24">
        <v>37.626304500000003</v>
      </c>
      <c r="T969" s="24">
        <v>36.441941399999997</v>
      </c>
      <c r="U969" s="24">
        <v>25.9317542</v>
      </c>
      <c r="V969" s="24">
        <v>88.380793999999995</v>
      </c>
      <c r="W969" s="24">
        <v>73.449733300000005</v>
      </c>
      <c r="X969" s="24">
        <v>14.931060799999999</v>
      </c>
      <c r="Y969" s="24">
        <v>11.619206</v>
      </c>
    </row>
    <row r="970" spans="2:25" ht="15" hidden="1" customHeight="1">
      <c r="B970" s="25">
        <v>965</v>
      </c>
      <c r="C970" s="26" t="s">
        <v>19</v>
      </c>
      <c r="D970" s="26" t="s">
        <v>262</v>
      </c>
      <c r="E970" s="26" t="s">
        <v>315</v>
      </c>
      <c r="F970" s="26"/>
      <c r="G970" s="27" t="s">
        <v>15</v>
      </c>
      <c r="H970" s="28">
        <v>9384</v>
      </c>
      <c r="I970" s="28">
        <v>7595</v>
      </c>
      <c r="J970" s="28">
        <v>3684</v>
      </c>
      <c r="K970" s="28">
        <v>3911</v>
      </c>
      <c r="L970" s="28">
        <v>1789</v>
      </c>
      <c r="M970" s="28">
        <v>11445</v>
      </c>
      <c r="N970" s="28">
        <v>10694</v>
      </c>
      <c r="O970" s="28">
        <v>8736</v>
      </c>
      <c r="P970" s="28">
        <v>1958</v>
      </c>
      <c r="Q970" s="28">
        <v>751</v>
      </c>
      <c r="R970" s="29">
        <v>80.935635099999999</v>
      </c>
      <c r="S970" s="29">
        <v>39.258311999999997</v>
      </c>
      <c r="T970" s="29">
        <v>41.677323100000002</v>
      </c>
      <c r="U970" s="29">
        <v>19.064364900000001</v>
      </c>
      <c r="V970" s="29">
        <v>93.438182600000005</v>
      </c>
      <c r="W970" s="29">
        <v>76.330275200000003</v>
      </c>
      <c r="X970" s="29">
        <v>17.107907399999998</v>
      </c>
      <c r="Y970" s="29">
        <v>6.5618173999999998</v>
      </c>
    </row>
    <row r="971" spans="2:25" ht="15" hidden="1" customHeight="1">
      <c r="B971" s="25">
        <v>966</v>
      </c>
      <c r="C971" s="26" t="s">
        <v>19</v>
      </c>
      <c r="D971" s="26" t="s">
        <v>262</v>
      </c>
      <c r="E971" s="26" t="s">
        <v>315</v>
      </c>
      <c r="F971" s="26"/>
      <c r="G971" s="27" t="s">
        <v>16</v>
      </c>
      <c r="H971" s="28">
        <v>2690</v>
      </c>
      <c r="I971" s="28">
        <v>1348</v>
      </c>
      <c r="J971" s="28">
        <v>859</v>
      </c>
      <c r="K971" s="28">
        <v>489</v>
      </c>
      <c r="L971" s="28">
        <v>1342</v>
      </c>
      <c r="M971" s="28">
        <v>2988</v>
      </c>
      <c r="N971" s="28">
        <v>2062</v>
      </c>
      <c r="O971" s="28">
        <v>1865</v>
      </c>
      <c r="P971" s="28">
        <v>197</v>
      </c>
      <c r="Q971" s="28">
        <v>926</v>
      </c>
      <c r="R971" s="29">
        <v>50.111524199999998</v>
      </c>
      <c r="S971" s="29">
        <v>31.933085500000001</v>
      </c>
      <c r="T971" s="29">
        <v>18.178438700000001</v>
      </c>
      <c r="U971" s="29">
        <v>49.888475800000002</v>
      </c>
      <c r="V971" s="29">
        <v>69.009370799999999</v>
      </c>
      <c r="W971" s="29">
        <v>62.416331999999997</v>
      </c>
      <c r="X971" s="29">
        <v>6.5930388000000004</v>
      </c>
      <c r="Y971" s="29">
        <v>30.990629200000001</v>
      </c>
    </row>
    <row r="972" spans="2:25" ht="15" customHeight="1">
      <c r="B972" s="30">
        <v>967</v>
      </c>
      <c r="C972" s="31" t="s">
        <v>21</v>
      </c>
      <c r="D972" s="36" t="s">
        <v>262</v>
      </c>
      <c r="E972" s="36" t="s">
        <v>315</v>
      </c>
      <c r="F972" s="36" t="s">
        <v>316</v>
      </c>
      <c r="G972" s="37" t="s">
        <v>316</v>
      </c>
      <c r="H972" s="32">
        <v>12074</v>
      </c>
      <c r="I972" s="32">
        <v>8943</v>
      </c>
      <c r="J972" s="32">
        <v>4543</v>
      </c>
      <c r="K972" s="32">
        <v>4400</v>
      </c>
      <c r="L972" s="32">
        <v>3131</v>
      </c>
      <c r="M972" s="32">
        <v>14433</v>
      </c>
      <c r="N972" s="32">
        <v>12756</v>
      </c>
      <c r="O972" s="32">
        <v>10601</v>
      </c>
      <c r="P972" s="32">
        <v>2155</v>
      </c>
      <c r="Q972" s="32">
        <v>1677</v>
      </c>
      <c r="R972" s="33">
        <v>74.0682458</v>
      </c>
      <c r="S972" s="33">
        <v>37.626304500000003</v>
      </c>
      <c r="T972" s="33">
        <v>36.441941399999997</v>
      </c>
      <c r="U972" s="33">
        <v>25.9317542</v>
      </c>
      <c r="V972" s="33">
        <v>88.380793999999995</v>
      </c>
      <c r="W972" s="33">
        <v>73.449733300000005</v>
      </c>
      <c r="X972" s="33">
        <v>14.931060799999999</v>
      </c>
      <c r="Y972" s="33">
        <v>11.619206</v>
      </c>
    </row>
    <row r="973" spans="2:25" ht="15" hidden="1" customHeight="1">
      <c r="B973" s="25">
        <v>968</v>
      </c>
      <c r="C973" s="26" t="s">
        <v>21</v>
      </c>
      <c r="D973" s="26" t="s">
        <v>262</v>
      </c>
      <c r="E973" s="26" t="s">
        <v>315</v>
      </c>
      <c r="F973" s="26" t="s">
        <v>316</v>
      </c>
      <c r="G973" s="27" t="s">
        <v>15</v>
      </c>
      <c r="H973" s="28">
        <v>9384</v>
      </c>
      <c r="I973" s="28">
        <v>7595</v>
      </c>
      <c r="J973" s="28">
        <v>3684</v>
      </c>
      <c r="K973" s="28">
        <v>3911</v>
      </c>
      <c r="L973" s="28">
        <v>1789</v>
      </c>
      <c r="M973" s="28">
        <v>11445</v>
      </c>
      <c r="N973" s="28">
        <v>10694</v>
      </c>
      <c r="O973" s="28">
        <v>8736</v>
      </c>
      <c r="P973" s="28">
        <v>1958</v>
      </c>
      <c r="Q973" s="28">
        <v>751</v>
      </c>
      <c r="R973" s="29">
        <v>80.935635099999999</v>
      </c>
      <c r="S973" s="29">
        <v>39.258311999999997</v>
      </c>
      <c r="T973" s="29">
        <v>41.677323100000002</v>
      </c>
      <c r="U973" s="29">
        <v>19.064364900000001</v>
      </c>
      <c r="V973" s="29">
        <v>93.438182600000005</v>
      </c>
      <c r="W973" s="29">
        <v>76.330275200000003</v>
      </c>
      <c r="X973" s="29">
        <v>17.107907399999998</v>
      </c>
      <c r="Y973" s="29">
        <v>6.5618173999999998</v>
      </c>
    </row>
    <row r="974" spans="2:25" ht="15" hidden="1" customHeight="1">
      <c r="B974" s="25">
        <v>969</v>
      </c>
      <c r="C974" s="26" t="s">
        <v>21</v>
      </c>
      <c r="D974" s="26" t="s">
        <v>262</v>
      </c>
      <c r="E974" s="26" t="s">
        <v>315</v>
      </c>
      <c r="F974" s="26" t="s">
        <v>316</v>
      </c>
      <c r="G974" s="27" t="s">
        <v>16</v>
      </c>
      <c r="H974" s="28">
        <v>2690</v>
      </c>
      <c r="I974" s="28">
        <v>1348</v>
      </c>
      <c r="J974" s="28">
        <v>859</v>
      </c>
      <c r="K974" s="28">
        <v>489</v>
      </c>
      <c r="L974" s="28">
        <v>1342</v>
      </c>
      <c r="M974" s="28">
        <v>2988</v>
      </c>
      <c r="N974" s="28">
        <v>2062</v>
      </c>
      <c r="O974" s="28">
        <v>1865</v>
      </c>
      <c r="P974" s="28">
        <v>197</v>
      </c>
      <c r="Q974" s="28">
        <v>926</v>
      </c>
      <c r="R974" s="29">
        <v>50.111524199999998</v>
      </c>
      <c r="S974" s="29">
        <v>31.933085500000001</v>
      </c>
      <c r="T974" s="29">
        <v>18.178438700000001</v>
      </c>
      <c r="U974" s="29">
        <v>49.888475800000002</v>
      </c>
      <c r="V974" s="29">
        <v>69.009370799999999</v>
      </c>
      <c r="W974" s="29">
        <v>62.416331999999997</v>
      </c>
      <c r="X974" s="29">
        <v>6.5930388000000004</v>
      </c>
      <c r="Y974" s="29">
        <v>30.990629200000001</v>
      </c>
    </row>
    <row r="975" spans="2:25" ht="15" hidden="1" customHeight="1">
      <c r="B975" s="21">
        <v>970</v>
      </c>
      <c r="C975" s="22" t="s">
        <v>19</v>
      </c>
      <c r="D975" s="35" t="s">
        <v>262</v>
      </c>
      <c r="E975" s="35" t="s">
        <v>317</v>
      </c>
      <c r="F975" s="35"/>
      <c r="G975" s="22" t="s">
        <v>317</v>
      </c>
      <c r="H975" s="23">
        <v>489</v>
      </c>
      <c r="I975" s="23">
        <v>126</v>
      </c>
      <c r="J975" s="23">
        <v>42</v>
      </c>
      <c r="K975" s="23">
        <v>84</v>
      </c>
      <c r="L975" s="23">
        <v>363</v>
      </c>
      <c r="M975" s="23">
        <v>667</v>
      </c>
      <c r="N975" s="23">
        <v>448</v>
      </c>
      <c r="O975" s="23">
        <v>379</v>
      </c>
      <c r="P975" s="23">
        <v>69</v>
      </c>
      <c r="Q975" s="23">
        <v>219</v>
      </c>
      <c r="R975" s="24">
        <v>25.766871200000001</v>
      </c>
      <c r="S975" s="24">
        <v>8.5889571</v>
      </c>
      <c r="T975" s="24">
        <v>17.177914099999999</v>
      </c>
      <c r="U975" s="24">
        <v>74.233128800000003</v>
      </c>
      <c r="V975" s="24">
        <v>67.166416799999993</v>
      </c>
      <c r="W975" s="24">
        <v>56.821589199999998</v>
      </c>
      <c r="X975" s="24">
        <v>10.3448276</v>
      </c>
      <c r="Y975" s="24">
        <v>32.8335832</v>
      </c>
    </row>
    <row r="976" spans="2:25" ht="15" hidden="1" customHeight="1">
      <c r="B976" s="25">
        <v>971</v>
      </c>
      <c r="C976" s="26" t="s">
        <v>19</v>
      </c>
      <c r="D976" s="26" t="s">
        <v>262</v>
      </c>
      <c r="E976" s="26" t="s">
        <v>317</v>
      </c>
      <c r="F976" s="26"/>
      <c r="G976" s="27" t="s">
        <v>15</v>
      </c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9"/>
      <c r="S976" s="29"/>
      <c r="T976" s="29"/>
      <c r="U976" s="29"/>
      <c r="V976" s="29"/>
      <c r="W976" s="29"/>
      <c r="X976" s="29"/>
      <c r="Y976" s="29"/>
    </row>
    <row r="977" spans="2:25" ht="15" hidden="1" customHeight="1">
      <c r="B977" s="25">
        <v>972</v>
      </c>
      <c r="C977" s="26" t="s">
        <v>19</v>
      </c>
      <c r="D977" s="26" t="s">
        <v>262</v>
      </c>
      <c r="E977" s="26" t="s">
        <v>317</v>
      </c>
      <c r="F977" s="26"/>
      <c r="G977" s="27" t="s">
        <v>16</v>
      </c>
      <c r="H977" s="28">
        <v>489</v>
      </c>
      <c r="I977" s="28">
        <v>126</v>
      </c>
      <c r="J977" s="28">
        <v>42</v>
      </c>
      <c r="K977" s="28">
        <v>84</v>
      </c>
      <c r="L977" s="28">
        <v>363</v>
      </c>
      <c r="M977" s="28">
        <v>667</v>
      </c>
      <c r="N977" s="28">
        <v>448</v>
      </c>
      <c r="O977" s="28">
        <v>379</v>
      </c>
      <c r="P977" s="28">
        <v>69</v>
      </c>
      <c r="Q977" s="28">
        <v>219</v>
      </c>
      <c r="R977" s="29">
        <v>25.766871200000001</v>
      </c>
      <c r="S977" s="29">
        <v>8.5889571</v>
      </c>
      <c r="T977" s="29">
        <v>17.177914099999999</v>
      </c>
      <c r="U977" s="29">
        <v>74.233128800000003</v>
      </c>
      <c r="V977" s="29">
        <v>67.166416799999993</v>
      </c>
      <c r="W977" s="29">
        <v>56.821589199999998</v>
      </c>
      <c r="X977" s="29">
        <v>10.3448276</v>
      </c>
      <c r="Y977" s="29">
        <v>32.8335832</v>
      </c>
    </row>
    <row r="978" spans="2:25" ht="15" customHeight="1">
      <c r="B978" s="30">
        <v>973</v>
      </c>
      <c r="C978" s="31" t="s">
        <v>21</v>
      </c>
      <c r="D978" s="36" t="s">
        <v>262</v>
      </c>
      <c r="E978" s="36" t="s">
        <v>317</v>
      </c>
      <c r="F978" s="36" t="s">
        <v>318</v>
      </c>
      <c r="G978" s="37" t="s">
        <v>318</v>
      </c>
      <c r="H978" s="32">
        <v>489</v>
      </c>
      <c r="I978" s="32">
        <v>126</v>
      </c>
      <c r="J978" s="32">
        <v>42</v>
      </c>
      <c r="K978" s="32">
        <v>84</v>
      </c>
      <c r="L978" s="32">
        <v>363</v>
      </c>
      <c r="M978" s="32">
        <v>667</v>
      </c>
      <c r="N978" s="32">
        <v>448</v>
      </c>
      <c r="O978" s="32">
        <v>379</v>
      </c>
      <c r="P978" s="32">
        <v>69</v>
      </c>
      <c r="Q978" s="32">
        <v>219</v>
      </c>
      <c r="R978" s="33">
        <v>25.766871200000001</v>
      </c>
      <c r="S978" s="33">
        <v>8.5889571</v>
      </c>
      <c r="T978" s="33">
        <v>17.177914099999999</v>
      </c>
      <c r="U978" s="33">
        <v>74.233128800000003</v>
      </c>
      <c r="V978" s="33">
        <v>67.166416799999993</v>
      </c>
      <c r="W978" s="33">
        <v>56.821589199999998</v>
      </c>
      <c r="X978" s="33">
        <v>10.3448276</v>
      </c>
      <c r="Y978" s="33">
        <v>32.8335832</v>
      </c>
    </row>
    <row r="979" spans="2:25" ht="15" hidden="1" customHeight="1">
      <c r="B979" s="25">
        <v>974</v>
      </c>
      <c r="C979" s="26" t="s">
        <v>21</v>
      </c>
      <c r="D979" s="26" t="s">
        <v>262</v>
      </c>
      <c r="E979" s="26" t="s">
        <v>317</v>
      </c>
      <c r="F979" s="26" t="s">
        <v>318</v>
      </c>
      <c r="G979" s="27" t="s">
        <v>15</v>
      </c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9"/>
      <c r="S979" s="29"/>
      <c r="T979" s="29"/>
      <c r="U979" s="29"/>
      <c r="V979" s="29"/>
      <c r="W979" s="29"/>
      <c r="X979" s="29"/>
      <c r="Y979" s="29"/>
    </row>
    <row r="980" spans="2:25" ht="15" hidden="1" customHeight="1">
      <c r="B980" s="25">
        <v>975</v>
      </c>
      <c r="C980" s="26" t="s">
        <v>21</v>
      </c>
      <c r="D980" s="26" t="s">
        <v>262</v>
      </c>
      <c r="E980" s="26" t="s">
        <v>317</v>
      </c>
      <c r="F980" s="26" t="s">
        <v>318</v>
      </c>
      <c r="G980" s="27" t="s">
        <v>16</v>
      </c>
      <c r="H980" s="28">
        <v>489</v>
      </c>
      <c r="I980" s="28">
        <v>126</v>
      </c>
      <c r="J980" s="28">
        <v>42</v>
      </c>
      <c r="K980" s="28">
        <v>84</v>
      </c>
      <c r="L980" s="28">
        <v>363</v>
      </c>
      <c r="M980" s="28">
        <v>667</v>
      </c>
      <c r="N980" s="28">
        <v>448</v>
      </c>
      <c r="O980" s="28">
        <v>379</v>
      </c>
      <c r="P980" s="28">
        <v>69</v>
      </c>
      <c r="Q980" s="28">
        <v>219</v>
      </c>
      <c r="R980" s="29">
        <v>25.766871200000001</v>
      </c>
      <c r="S980" s="29">
        <v>8.5889571</v>
      </c>
      <c r="T980" s="29">
        <v>17.177914099999999</v>
      </c>
      <c r="U980" s="29">
        <v>74.233128800000003</v>
      </c>
      <c r="V980" s="29">
        <v>67.166416799999993</v>
      </c>
      <c r="W980" s="29">
        <v>56.821589199999998</v>
      </c>
      <c r="X980" s="29">
        <v>10.3448276</v>
      </c>
      <c r="Y980" s="29">
        <v>32.8335832</v>
      </c>
    </row>
    <row r="981" spans="2:25" ht="15" hidden="1" customHeight="1">
      <c r="B981" s="13">
        <v>976</v>
      </c>
      <c r="C981" s="14" t="s">
        <v>17</v>
      </c>
      <c r="D981" s="14" t="s">
        <v>319</v>
      </c>
      <c r="E981" s="14"/>
      <c r="F981" s="14"/>
      <c r="G981" s="14" t="s">
        <v>319</v>
      </c>
      <c r="H981" s="15">
        <v>126248</v>
      </c>
      <c r="I981" s="15">
        <v>103274</v>
      </c>
      <c r="J981" s="15">
        <v>52733</v>
      </c>
      <c r="K981" s="15">
        <v>50541</v>
      </c>
      <c r="L981" s="15">
        <v>22974</v>
      </c>
      <c r="M981" s="15">
        <v>160254</v>
      </c>
      <c r="N981" s="15">
        <v>145956</v>
      </c>
      <c r="O981" s="15">
        <v>118708</v>
      </c>
      <c r="P981" s="15">
        <v>27248</v>
      </c>
      <c r="Q981" s="15">
        <v>14298</v>
      </c>
      <c r="R981" s="16">
        <v>81.802484000000007</v>
      </c>
      <c r="S981" s="16">
        <v>41.769374599999999</v>
      </c>
      <c r="T981" s="16">
        <v>40.033109400000001</v>
      </c>
      <c r="U981" s="16">
        <v>18.197516</v>
      </c>
      <c r="V981" s="16">
        <v>91.077913800000005</v>
      </c>
      <c r="W981" s="16">
        <v>74.074906100000007</v>
      </c>
      <c r="X981" s="16">
        <v>17.003007700000001</v>
      </c>
      <c r="Y981" s="16">
        <v>8.9220862000000007</v>
      </c>
    </row>
    <row r="982" spans="2:25" ht="15" hidden="1" customHeight="1">
      <c r="B982" s="17">
        <v>977</v>
      </c>
      <c r="C982" s="18" t="s">
        <v>17</v>
      </c>
      <c r="D982" s="34" t="s">
        <v>319</v>
      </c>
      <c r="E982" s="34"/>
      <c r="F982" s="34"/>
      <c r="G982" s="18" t="s">
        <v>15</v>
      </c>
      <c r="H982" s="19">
        <v>81982</v>
      </c>
      <c r="I982" s="19">
        <v>76674</v>
      </c>
      <c r="J982" s="19">
        <v>37100</v>
      </c>
      <c r="K982" s="19">
        <v>39574</v>
      </c>
      <c r="L982" s="19">
        <v>5308</v>
      </c>
      <c r="M982" s="19">
        <v>110632</v>
      </c>
      <c r="N982" s="19">
        <v>108081</v>
      </c>
      <c r="O982" s="19">
        <v>84192</v>
      </c>
      <c r="P982" s="19">
        <v>23889</v>
      </c>
      <c r="Q982" s="19">
        <v>2551</v>
      </c>
      <c r="R982" s="20">
        <v>93.525407999999999</v>
      </c>
      <c r="S982" s="20">
        <v>45.253836200000002</v>
      </c>
      <c r="T982" s="20">
        <v>48.271571799999997</v>
      </c>
      <c r="U982" s="20">
        <v>6.4745920000000003</v>
      </c>
      <c r="V982" s="20">
        <v>97.694157200000006</v>
      </c>
      <c r="W982" s="20">
        <v>76.100947300000001</v>
      </c>
      <c r="X982" s="20">
        <v>21.593209900000002</v>
      </c>
      <c r="Y982" s="20">
        <v>2.3058428000000002</v>
      </c>
    </row>
    <row r="983" spans="2:25" ht="15" hidden="1" customHeight="1">
      <c r="B983" s="17">
        <v>978</v>
      </c>
      <c r="C983" s="18" t="s">
        <v>17</v>
      </c>
      <c r="D983" s="34" t="s">
        <v>319</v>
      </c>
      <c r="E983" s="34"/>
      <c r="F983" s="34"/>
      <c r="G983" s="18" t="s">
        <v>16</v>
      </c>
      <c r="H983" s="19">
        <v>44266</v>
      </c>
      <c r="I983" s="19">
        <v>26600</v>
      </c>
      <c r="J983" s="19">
        <v>15633</v>
      </c>
      <c r="K983" s="19">
        <v>10967</v>
      </c>
      <c r="L983" s="19">
        <v>17666</v>
      </c>
      <c r="M983" s="19">
        <v>49622</v>
      </c>
      <c r="N983" s="19">
        <v>37875</v>
      </c>
      <c r="O983" s="19">
        <v>34516</v>
      </c>
      <c r="P983" s="19">
        <v>3359</v>
      </c>
      <c r="Q983" s="19">
        <v>11747</v>
      </c>
      <c r="R983" s="20">
        <v>60.091266400000002</v>
      </c>
      <c r="S983" s="20">
        <v>35.316043899999997</v>
      </c>
      <c r="T983" s="20">
        <v>24.775222500000002</v>
      </c>
      <c r="U983" s="20">
        <v>39.908733599999998</v>
      </c>
      <c r="V983" s="20">
        <v>76.327032399999993</v>
      </c>
      <c r="W983" s="20">
        <v>69.557857400000003</v>
      </c>
      <c r="X983" s="20">
        <v>6.7691749999999997</v>
      </c>
      <c r="Y983" s="20">
        <v>23.6729676</v>
      </c>
    </row>
    <row r="984" spans="2:25" ht="15" hidden="1" customHeight="1">
      <c r="B984" s="21">
        <v>979</v>
      </c>
      <c r="C984" s="22" t="s">
        <v>19</v>
      </c>
      <c r="D984" s="35" t="s">
        <v>319</v>
      </c>
      <c r="E984" s="35" t="s">
        <v>163</v>
      </c>
      <c r="F984" s="35"/>
      <c r="G984" s="22" t="s">
        <v>163</v>
      </c>
      <c r="H984" s="23">
        <v>54926</v>
      </c>
      <c r="I984" s="23">
        <v>47924</v>
      </c>
      <c r="J984" s="23">
        <v>24091</v>
      </c>
      <c r="K984" s="23">
        <v>23833</v>
      </c>
      <c r="L984" s="23">
        <v>7002</v>
      </c>
      <c r="M984" s="23">
        <v>72709</v>
      </c>
      <c r="N984" s="23">
        <v>69226</v>
      </c>
      <c r="O984" s="23">
        <v>53093</v>
      </c>
      <c r="P984" s="23">
        <v>16133</v>
      </c>
      <c r="Q984" s="23">
        <v>3483</v>
      </c>
      <c r="R984" s="24">
        <v>87.251938999999993</v>
      </c>
      <c r="S984" s="24">
        <v>43.860830900000003</v>
      </c>
      <c r="T984" s="24">
        <v>43.391108000000003</v>
      </c>
      <c r="U984" s="24">
        <v>12.748061</v>
      </c>
      <c r="V984" s="24">
        <v>95.209671400000005</v>
      </c>
      <c r="W984" s="24">
        <v>73.021221600000004</v>
      </c>
      <c r="X984" s="24">
        <v>22.188449800000001</v>
      </c>
      <c r="Y984" s="24">
        <v>4.7903285999999996</v>
      </c>
    </row>
    <row r="985" spans="2:25" ht="15" hidden="1" customHeight="1">
      <c r="B985" s="25">
        <v>980</v>
      </c>
      <c r="C985" s="26" t="s">
        <v>19</v>
      </c>
      <c r="D985" s="26" t="s">
        <v>319</v>
      </c>
      <c r="E985" s="26" t="s">
        <v>163</v>
      </c>
      <c r="F985" s="26"/>
      <c r="G985" s="27" t="s">
        <v>15</v>
      </c>
      <c r="H985" s="28">
        <v>47826</v>
      </c>
      <c r="I985" s="28">
        <v>44340</v>
      </c>
      <c r="J985" s="28">
        <v>21830</v>
      </c>
      <c r="K985" s="28">
        <v>22510</v>
      </c>
      <c r="L985" s="28">
        <v>3486</v>
      </c>
      <c r="M985" s="28">
        <v>65296</v>
      </c>
      <c r="N985" s="28">
        <v>63794</v>
      </c>
      <c r="O985" s="28">
        <v>48148</v>
      </c>
      <c r="P985" s="28">
        <v>15646</v>
      </c>
      <c r="Q985" s="28">
        <v>1502</v>
      </c>
      <c r="R985" s="29">
        <v>92.711077700000004</v>
      </c>
      <c r="S985" s="29">
        <v>45.644628400000002</v>
      </c>
      <c r="T985" s="29">
        <v>47.066449200000001</v>
      </c>
      <c r="U985" s="29">
        <v>7.2889223000000003</v>
      </c>
      <c r="V985" s="29">
        <v>97.699706000000006</v>
      </c>
      <c r="W985" s="29">
        <v>73.738054399999996</v>
      </c>
      <c r="X985" s="29">
        <v>23.9616516</v>
      </c>
      <c r="Y985" s="29">
        <v>2.3002940000000001</v>
      </c>
    </row>
    <row r="986" spans="2:25" ht="15" hidden="1" customHeight="1">
      <c r="B986" s="25">
        <v>981</v>
      </c>
      <c r="C986" s="26" t="s">
        <v>19</v>
      </c>
      <c r="D986" s="26" t="s">
        <v>319</v>
      </c>
      <c r="E986" s="26" t="s">
        <v>163</v>
      </c>
      <c r="F986" s="26"/>
      <c r="G986" s="27" t="s">
        <v>16</v>
      </c>
      <c r="H986" s="28">
        <v>7100</v>
      </c>
      <c r="I986" s="28">
        <v>3584</v>
      </c>
      <c r="J986" s="28">
        <v>2261</v>
      </c>
      <c r="K986" s="28">
        <v>1323</v>
      </c>
      <c r="L986" s="28">
        <v>3516</v>
      </c>
      <c r="M986" s="28">
        <v>7413</v>
      </c>
      <c r="N986" s="28">
        <v>5432</v>
      </c>
      <c r="O986" s="28">
        <v>4945</v>
      </c>
      <c r="P986" s="28">
        <v>487</v>
      </c>
      <c r="Q986" s="28">
        <v>1981</v>
      </c>
      <c r="R986" s="29">
        <v>50.478873200000002</v>
      </c>
      <c r="S986" s="29">
        <v>31.845070400000001</v>
      </c>
      <c r="T986" s="29">
        <v>18.633802800000002</v>
      </c>
      <c r="U986" s="29">
        <v>49.521126799999998</v>
      </c>
      <c r="V986" s="29">
        <v>73.276676100000003</v>
      </c>
      <c r="W986" s="29">
        <v>66.7071361</v>
      </c>
      <c r="X986" s="29">
        <v>6.5695399999999999</v>
      </c>
      <c r="Y986" s="29">
        <v>26.7233239</v>
      </c>
    </row>
    <row r="987" spans="2:25" ht="15" customHeight="1">
      <c r="B987" s="30">
        <v>982</v>
      </c>
      <c r="C987" s="31" t="s">
        <v>21</v>
      </c>
      <c r="D987" s="36" t="s">
        <v>319</v>
      </c>
      <c r="E987" s="36" t="s">
        <v>163</v>
      </c>
      <c r="F987" s="36" t="s">
        <v>319</v>
      </c>
      <c r="G987" s="37" t="s">
        <v>319</v>
      </c>
      <c r="H987" s="32">
        <v>54926</v>
      </c>
      <c r="I987" s="32">
        <v>47924</v>
      </c>
      <c r="J987" s="32">
        <v>24091</v>
      </c>
      <c r="K987" s="32">
        <v>23833</v>
      </c>
      <c r="L987" s="32">
        <v>7002</v>
      </c>
      <c r="M987" s="32">
        <v>72709</v>
      </c>
      <c r="N987" s="32">
        <v>69226</v>
      </c>
      <c r="O987" s="32">
        <v>53093</v>
      </c>
      <c r="P987" s="32">
        <v>16133</v>
      </c>
      <c r="Q987" s="32">
        <v>3483</v>
      </c>
      <c r="R987" s="33">
        <v>87.251938999999993</v>
      </c>
      <c r="S987" s="33">
        <v>43.860830900000003</v>
      </c>
      <c r="T987" s="33">
        <v>43.391108000000003</v>
      </c>
      <c r="U987" s="33">
        <v>12.748061</v>
      </c>
      <c r="V987" s="33">
        <v>95.209671400000005</v>
      </c>
      <c r="W987" s="33">
        <v>73.021221600000004</v>
      </c>
      <c r="X987" s="33">
        <v>22.188449800000001</v>
      </c>
      <c r="Y987" s="33">
        <v>4.7903285999999996</v>
      </c>
    </row>
    <row r="988" spans="2:25" ht="15" hidden="1" customHeight="1">
      <c r="B988" s="25">
        <v>983</v>
      </c>
      <c r="C988" s="26" t="s">
        <v>21</v>
      </c>
      <c r="D988" s="26" t="s">
        <v>319</v>
      </c>
      <c r="E988" s="26" t="s">
        <v>163</v>
      </c>
      <c r="F988" s="26" t="s">
        <v>319</v>
      </c>
      <c r="G988" s="27" t="s">
        <v>15</v>
      </c>
      <c r="H988" s="28">
        <v>47826</v>
      </c>
      <c r="I988" s="28">
        <v>44340</v>
      </c>
      <c r="J988" s="28">
        <v>21830</v>
      </c>
      <c r="K988" s="28">
        <v>22510</v>
      </c>
      <c r="L988" s="28">
        <v>3486</v>
      </c>
      <c r="M988" s="28">
        <v>65296</v>
      </c>
      <c r="N988" s="28">
        <v>63794</v>
      </c>
      <c r="O988" s="28">
        <v>48148</v>
      </c>
      <c r="P988" s="28">
        <v>15646</v>
      </c>
      <c r="Q988" s="28">
        <v>1502</v>
      </c>
      <c r="R988" s="29">
        <v>92.711077700000004</v>
      </c>
      <c r="S988" s="29">
        <v>45.644628400000002</v>
      </c>
      <c r="T988" s="29">
        <v>47.066449200000001</v>
      </c>
      <c r="U988" s="29">
        <v>7.2889223000000003</v>
      </c>
      <c r="V988" s="29">
        <v>97.699706000000006</v>
      </c>
      <c r="W988" s="29">
        <v>73.738054399999996</v>
      </c>
      <c r="X988" s="29">
        <v>23.9616516</v>
      </c>
      <c r="Y988" s="29">
        <v>2.3002940000000001</v>
      </c>
    </row>
    <row r="989" spans="2:25" ht="15" hidden="1" customHeight="1">
      <c r="B989" s="25">
        <v>984</v>
      </c>
      <c r="C989" s="26" t="s">
        <v>21</v>
      </c>
      <c r="D989" s="26" t="s">
        <v>319</v>
      </c>
      <c r="E989" s="26" t="s">
        <v>163</v>
      </c>
      <c r="F989" s="26" t="s">
        <v>319</v>
      </c>
      <c r="G989" s="27" t="s">
        <v>16</v>
      </c>
      <c r="H989" s="28">
        <v>7100</v>
      </c>
      <c r="I989" s="28">
        <v>3584</v>
      </c>
      <c r="J989" s="28">
        <v>2261</v>
      </c>
      <c r="K989" s="28">
        <v>1323</v>
      </c>
      <c r="L989" s="28">
        <v>3516</v>
      </c>
      <c r="M989" s="28">
        <v>7413</v>
      </c>
      <c r="N989" s="28">
        <v>5432</v>
      </c>
      <c r="O989" s="28">
        <v>4945</v>
      </c>
      <c r="P989" s="28">
        <v>487</v>
      </c>
      <c r="Q989" s="28">
        <v>1981</v>
      </c>
      <c r="R989" s="29">
        <v>50.478873200000002</v>
      </c>
      <c r="S989" s="29">
        <v>31.845070400000001</v>
      </c>
      <c r="T989" s="29">
        <v>18.633802800000002</v>
      </c>
      <c r="U989" s="29">
        <v>49.521126799999998</v>
      </c>
      <c r="V989" s="29">
        <v>73.276676100000003</v>
      </c>
      <c r="W989" s="29">
        <v>66.7071361</v>
      </c>
      <c r="X989" s="29">
        <v>6.5695399999999999</v>
      </c>
      <c r="Y989" s="29">
        <v>26.7233239</v>
      </c>
    </row>
    <row r="990" spans="2:25" ht="15" hidden="1" customHeight="1">
      <c r="B990" s="21">
        <v>985</v>
      </c>
      <c r="C990" s="22" t="s">
        <v>19</v>
      </c>
      <c r="D990" s="35" t="s">
        <v>319</v>
      </c>
      <c r="E990" s="35" t="s">
        <v>320</v>
      </c>
      <c r="F990" s="35"/>
      <c r="G990" s="22" t="s">
        <v>320</v>
      </c>
      <c r="H990" s="23">
        <v>14102</v>
      </c>
      <c r="I990" s="23">
        <v>10709</v>
      </c>
      <c r="J990" s="23">
        <v>5927</v>
      </c>
      <c r="K990" s="23">
        <v>4782</v>
      </c>
      <c r="L990" s="23">
        <v>3393</v>
      </c>
      <c r="M990" s="23">
        <v>16275</v>
      </c>
      <c r="N990" s="23">
        <v>14142</v>
      </c>
      <c r="O990" s="23">
        <v>11914</v>
      </c>
      <c r="P990" s="23">
        <v>2228</v>
      </c>
      <c r="Q990" s="23">
        <v>2133</v>
      </c>
      <c r="R990" s="24">
        <v>75.939582999999999</v>
      </c>
      <c r="S990" s="24">
        <v>42.029499399999999</v>
      </c>
      <c r="T990" s="24">
        <v>33.910083700000001</v>
      </c>
      <c r="U990" s="24">
        <v>24.060417000000001</v>
      </c>
      <c r="V990" s="24">
        <v>86.894009199999999</v>
      </c>
      <c r="W990" s="24">
        <v>73.204301099999995</v>
      </c>
      <c r="X990" s="24">
        <v>13.689708100000001</v>
      </c>
      <c r="Y990" s="24">
        <v>13.105990800000001</v>
      </c>
    </row>
    <row r="991" spans="2:25" ht="15" hidden="1" customHeight="1">
      <c r="B991" s="25">
        <v>986</v>
      </c>
      <c r="C991" s="26" t="s">
        <v>19</v>
      </c>
      <c r="D991" s="26" t="s">
        <v>319</v>
      </c>
      <c r="E991" s="26" t="s">
        <v>320</v>
      </c>
      <c r="F991" s="26"/>
      <c r="G991" s="27" t="s">
        <v>15</v>
      </c>
      <c r="H991" s="28">
        <v>7600</v>
      </c>
      <c r="I991" s="28">
        <v>7219</v>
      </c>
      <c r="J991" s="28">
        <v>3603</v>
      </c>
      <c r="K991" s="28">
        <v>3616</v>
      </c>
      <c r="L991" s="28">
        <v>381</v>
      </c>
      <c r="M991" s="28">
        <v>9414</v>
      </c>
      <c r="N991" s="28">
        <v>9237</v>
      </c>
      <c r="O991" s="28">
        <v>7424</v>
      </c>
      <c r="P991" s="28">
        <v>1813</v>
      </c>
      <c r="Q991" s="28">
        <v>177</v>
      </c>
      <c r="R991" s="29">
        <v>94.986842100000004</v>
      </c>
      <c r="S991" s="29">
        <v>47.4078947</v>
      </c>
      <c r="T991" s="29">
        <v>47.578947399999997</v>
      </c>
      <c r="U991" s="29">
        <v>5.0131579000000004</v>
      </c>
      <c r="V991" s="29">
        <v>98.1198215</v>
      </c>
      <c r="W991" s="29">
        <v>78.861270399999995</v>
      </c>
      <c r="X991" s="29">
        <v>19.258551099999998</v>
      </c>
      <c r="Y991" s="29">
        <v>1.8801785</v>
      </c>
    </row>
    <row r="992" spans="2:25" ht="15" hidden="1" customHeight="1">
      <c r="B992" s="25">
        <v>987</v>
      </c>
      <c r="C992" s="26" t="s">
        <v>19</v>
      </c>
      <c r="D992" s="26" t="s">
        <v>319</v>
      </c>
      <c r="E992" s="26" t="s">
        <v>320</v>
      </c>
      <c r="F992" s="26"/>
      <c r="G992" s="27" t="s">
        <v>16</v>
      </c>
      <c r="H992" s="28">
        <v>6502</v>
      </c>
      <c r="I992" s="28">
        <v>3490</v>
      </c>
      <c r="J992" s="28">
        <v>2324</v>
      </c>
      <c r="K992" s="28">
        <v>1166</v>
      </c>
      <c r="L992" s="28">
        <v>3012</v>
      </c>
      <c r="M992" s="28">
        <v>6861</v>
      </c>
      <c r="N992" s="28">
        <v>4905</v>
      </c>
      <c r="O992" s="28">
        <v>4490</v>
      </c>
      <c r="P992" s="28">
        <v>415</v>
      </c>
      <c r="Q992" s="28">
        <v>1956</v>
      </c>
      <c r="R992" s="29">
        <v>53.675792100000002</v>
      </c>
      <c r="S992" s="29">
        <v>35.7428484</v>
      </c>
      <c r="T992" s="29">
        <v>17.932943699999999</v>
      </c>
      <c r="U992" s="29">
        <v>46.324207899999998</v>
      </c>
      <c r="V992" s="29">
        <v>71.491036300000005</v>
      </c>
      <c r="W992" s="29">
        <v>65.442355300000003</v>
      </c>
      <c r="X992" s="29">
        <v>6.0486810000000002</v>
      </c>
      <c r="Y992" s="29">
        <v>28.508963699999999</v>
      </c>
    </row>
    <row r="993" spans="2:25" ht="15" customHeight="1">
      <c r="B993" s="30">
        <v>988</v>
      </c>
      <c r="C993" s="31" t="s">
        <v>21</v>
      </c>
      <c r="D993" s="36" t="s">
        <v>319</v>
      </c>
      <c r="E993" s="36" t="s">
        <v>320</v>
      </c>
      <c r="F993" s="36" t="s">
        <v>321</v>
      </c>
      <c r="G993" s="37" t="s">
        <v>321</v>
      </c>
      <c r="H993" s="32">
        <v>5090</v>
      </c>
      <c r="I993" s="32">
        <v>2633</v>
      </c>
      <c r="J993" s="32">
        <v>1793</v>
      </c>
      <c r="K993" s="32">
        <v>840</v>
      </c>
      <c r="L993" s="32">
        <v>2457</v>
      </c>
      <c r="M993" s="32">
        <v>5649</v>
      </c>
      <c r="N993" s="32">
        <v>3920</v>
      </c>
      <c r="O993" s="32">
        <v>3601</v>
      </c>
      <c r="P993" s="32">
        <v>319</v>
      </c>
      <c r="Q993" s="32">
        <v>1729</v>
      </c>
      <c r="R993" s="33">
        <v>51.728880199999999</v>
      </c>
      <c r="S993" s="33">
        <v>35.2259332</v>
      </c>
      <c r="T993" s="33">
        <v>16.502946999999999</v>
      </c>
      <c r="U993" s="33">
        <v>48.271119800000001</v>
      </c>
      <c r="V993" s="33">
        <v>69.392812899999996</v>
      </c>
      <c r="W993" s="33">
        <v>63.745795700000002</v>
      </c>
      <c r="X993" s="33">
        <v>5.6470171999999996</v>
      </c>
      <c r="Y993" s="33">
        <v>30.607187100000001</v>
      </c>
    </row>
    <row r="994" spans="2:25" ht="15" hidden="1" customHeight="1">
      <c r="B994" s="25">
        <v>989</v>
      </c>
      <c r="C994" s="26" t="s">
        <v>21</v>
      </c>
      <c r="D994" s="26" t="s">
        <v>319</v>
      </c>
      <c r="E994" s="26" t="s">
        <v>320</v>
      </c>
      <c r="F994" s="26" t="s">
        <v>321</v>
      </c>
      <c r="G994" s="27" t="s">
        <v>15</v>
      </c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9"/>
      <c r="S994" s="29"/>
      <c r="T994" s="29"/>
      <c r="U994" s="29"/>
      <c r="V994" s="29"/>
      <c r="W994" s="29"/>
      <c r="X994" s="29"/>
      <c r="Y994" s="29"/>
    </row>
    <row r="995" spans="2:25" ht="15" hidden="1" customHeight="1">
      <c r="B995" s="25">
        <v>990</v>
      </c>
      <c r="C995" s="26" t="s">
        <v>21</v>
      </c>
      <c r="D995" s="26" t="s">
        <v>319</v>
      </c>
      <c r="E995" s="26" t="s">
        <v>320</v>
      </c>
      <c r="F995" s="26" t="s">
        <v>321</v>
      </c>
      <c r="G995" s="27" t="s">
        <v>16</v>
      </c>
      <c r="H995" s="28">
        <v>5090</v>
      </c>
      <c r="I995" s="28">
        <v>2633</v>
      </c>
      <c r="J995" s="28">
        <v>1793</v>
      </c>
      <c r="K995" s="28">
        <v>840</v>
      </c>
      <c r="L995" s="28">
        <v>2457</v>
      </c>
      <c r="M995" s="28">
        <v>5649</v>
      </c>
      <c r="N995" s="28">
        <v>3920</v>
      </c>
      <c r="O995" s="28">
        <v>3601</v>
      </c>
      <c r="P995" s="28">
        <v>319</v>
      </c>
      <c r="Q995" s="28">
        <v>1729</v>
      </c>
      <c r="R995" s="29">
        <v>51.728880199999999</v>
      </c>
      <c r="S995" s="29">
        <v>35.2259332</v>
      </c>
      <c r="T995" s="29">
        <v>16.502946999999999</v>
      </c>
      <c r="U995" s="29">
        <v>48.271119800000001</v>
      </c>
      <c r="V995" s="29">
        <v>69.392812899999996</v>
      </c>
      <c r="W995" s="29">
        <v>63.745795700000002</v>
      </c>
      <c r="X995" s="29">
        <v>5.6470171999999996</v>
      </c>
      <c r="Y995" s="29">
        <v>30.607187100000001</v>
      </c>
    </row>
    <row r="996" spans="2:25" ht="15" customHeight="1">
      <c r="B996" s="30">
        <v>991</v>
      </c>
      <c r="C996" s="31" t="s">
        <v>21</v>
      </c>
      <c r="D996" s="36" t="s">
        <v>319</v>
      </c>
      <c r="E996" s="36" t="s">
        <v>320</v>
      </c>
      <c r="F996" s="36" t="s">
        <v>322</v>
      </c>
      <c r="G996" s="37" t="s">
        <v>322</v>
      </c>
      <c r="H996" s="32">
        <v>9012</v>
      </c>
      <c r="I996" s="32">
        <v>8076</v>
      </c>
      <c r="J996" s="32">
        <v>4134</v>
      </c>
      <c r="K996" s="32">
        <v>3942</v>
      </c>
      <c r="L996" s="32">
        <v>936</v>
      </c>
      <c r="M996" s="32">
        <v>10626</v>
      </c>
      <c r="N996" s="32">
        <v>10222</v>
      </c>
      <c r="O996" s="32">
        <v>8313</v>
      </c>
      <c r="P996" s="32">
        <v>1909</v>
      </c>
      <c r="Q996" s="32">
        <v>404</v>
      </c>
      <c r="R996" s="33">
        <v>89.613848200000007</v>
      </c>
      <c r="S996" s="33">
        <v>45.872170400000002</v>
      </c>
      <c r="T996" s="33">
        <v>43.741677799999998</v>
      </c>
      <c r="U996" s="33">
        <v>10.3861518</v>
      </c>
      <c r="V996" s="33">
        <v>96.198004900000001</v>
      </c>
      <c r="W996" s="33">
        <v>78.232636900000003</v>
      </c>
      <c r="X996" s="33">
        <v>17.965368000000002</v>
      </c>
      <c r="Y996" s="33">
        <v>3.8019951000000001</v>
      </c>
    </row>
    <row r="997" spans="2:25" ht="15" hidden="1" customHeight="1">
      <c r="B997" s="25">
        <v>992</v>
      </c>
      <c r="C997" s="26" t="s">
        <v>21</v>
      </c>
      <c r="D997" s="26" t="s">
        <v>319</v>
      </c>
      <c r="E997" s="26" t="s">
        <v>320</v>
      </c>
      <c r="F997" s="26" t="s">
        <v>322</v>
      </c>
      <c r="G997" s="27" t="s">
        <v>15</v>
      </c>
      <c r="H997" s="28">
        <v>7600</v>
      </c>
      <c r="I997" s="28">
        <v>7219</v>
      </c>
      <c r="J997" s="28">
        <v>3603</v>
      </c>
      <c r="K997" s="28">
        <v>3616</v>
      </c>
      <c r="L997" s="28">
        <v>381</v>
      </c>
      <c r="M997" s="28">
        <v>9414</v>
      </c>
      <c r="N997" s="28">
        <v>9237</v>
      </c>
      <c r="O997" s="28">
        <v>7424</v>
      </c>
      <c r="P997" s="28">
        <v>1813</v>
      </c>
      <c r="Q997" s="28">
        <v>177</v>
      </c>
      <c r="R997" s="29">
        <v>94.986842100000004</v>
      </c>
      <c r="S997" s="29">
        <v>47.4078947</v>
      </c>
      <c r="T997" s="29">
        <v>47.578947399999997</v>
      </c>
      <c r="U997" s="29">
        <v>5.0131579000000004</v>
      </c>
      <c r="V997" s="29">
        <v>98.1198215</v>
      </c>
      <c r="W997" s="29">
        <v>78.861270399999995</v>
      </c>
      <c r="X997" s="29">
        <v>19.258551099999998</v>
      </c>
      <c r="Y997" s="29">
        <v>1.8801785</v>
      </c>
    </row>
    <row r="998" spans="2:25" ht="15" hidden="1" customHeight="1">
      <c r="B998" s="25">
        <v>993</v>
      </c>
      <c r="C998" s="26" t="s">
        <v>21</v>
      </c>
      <c r="D998" s="26" t="s">
        <v>319</v>
      </c>
      <c r="E998" s="26" t="s">
        <v>320</v>
      </c>
      <c r="F998" s="26" t="s">
        <v>322</v>
      </c>
      <c r="G998" s="27" t="s">
        <v>16</v>
      </c>
      <c r="H998" s="28">
        <v>1412</v>
      </c>
      <c r="I998" s="28">
        <v>857</v>
      </c>
      <c r="J998" s="28">
        <v>531</v>
      </c>
      <c r="K998" s="28">
        <v>326</v>
      </c>
      <c r="L998" s="28">
        <v>555</v>
      </c>
      <c r="M998" s="28">
        <v>1212</v>
      </c>
      <c r="N998" s="28">
        <v>985</v>
      </c>
      <c r="O998" s="28">
        <v>889</v>
      </c>
      <c r="P998" s="28">
        <v>96</v>
      </c>
      <c r="Q998" s="28">
        <v>227</v>
      </c>
      <c r="R998" s="29">
        <v>60.694051000000002</v>
      </c>
      <c r="S998" s="29">
        <v>37.606232300000002</v>
      </c>
      <c r="T998" s="29">
        <v>23.0878187</v>
      </c>
      <c r="U998" s="29">
        <v>39.305948999999998</v>
      </c>
      <c r="V998" s="29">
        <v>81.270627099999999</v>
      </c>
      <c r="W998" s="29">
        <v>73.349834999999999</v>
      </c>
      <c r="X998" s="29">
        <v>7.9207920999999999</v>
      </c>
      <c r="Y998" s="29">
        <v>18.729372900000001</v>
      </c>
    </row>
    <row r="999" spans="2:25" ht="15" hidden="1" customHeight="1">
      <c r="B999" s="21">
        <v>994</v>
      </c>
      <c r="C999" s="22" t="s">
        <v>19</v>
      </c>
      <c r="D999" s="35" t="s">
        <v>319</v>
      </c>
      <c r="E999" s="35" t="s">
        <v>323</v>
      </c>
      <c r="F999" s="35"/>
      <c r="G999" s="22" t="s">
        <v>323</v>
      </c>
      <c r="H999" s="23">
        <v>36422</v>
      </c>
      <c r="I999" s="23">
        <v>30997</v>
      </c>
      <c r="J999" s="23">
        <v>15170</v>
      </c>
      <c r="K999" s="23">
        <v>15827</v>
      </c>
      <c r="L999" s="23">
        <v>5425</v>
      </c>
      <c r="M999" s="23">
        <v>46032</v>
      </c>
      <c r="N999" s="23">
        <v>42645</v>
      </c>
      <c r="O999" s="23">
        <v>35917</v>
      </c>
      <c r="P999" s="23">
        <v>6728</v>
      </c>
      <c r="Q999" s="23">
        <v>3387</v>
      </c>
      <c r="R999" s="24">
        <v>85.105156199999996</v>
      </c>
      <c r="S999" s="24">
        <v>41.6506507</v>
      </c>
      <c r="T999" s="24">
        <v>43.454505500000003</v>
      </c>
      <c r="U999" s="24">
        <v>14.8948438</v>
      </c>
      <c r="V999" s="24">
        <v>92.6420751</v>
      </c>
      <c r="W999" s="24">
        <v>78.026155700000004</v>
      </c>
      <c r="X999" s="24">
        <v>14.615919399999999</v>
      </c>
      <c r="Y999" s="24">
        <v>7.3579249000000004</v>
      </c>
    </row>
    <row r="1000" spans="2:25" ht="15" hidden="1" customHeight="1">
      <c r="B1000" s="25">
        <v>995</v>
      </c>
      <c r="C1000" s="26" t="s">
        <v>19</v>
      </c>
      <c r="D1000" s="26" t="s">
        <v>319</v>
      </c>
      <c r="E1000" s="26" t="s">
        <v>323</v>
      </c>
      <c r="F1000" s="26"/>
      <c r="G1000" s="27" t="s">
        <v>15</v>
      </c>
      <c r="H1000" s="28">
        <v>24528</v>
      </c>
      <c r="I1000" s="28">
        <v>23212</v>
      </c>
      <c r="J1000" s="28">
        <v>10658</v>
      </c>
      <c r="K1000" s="28">
        <v>12554</v>
      </c>
      <c r="L1000" s="28">
        <v>1316</v>
      </c>
      <c r="M1000" s="28">
        <v>32165</v>
      </c>
      <c r="N1000" s="28">
        <v>31410</v>
      </c>
      <c r="O1000" s="28">
        <v>25540</v>
      </c>
      <c r="P1000" s="28">
        <v>5870</v>
      </c>
      <c r="Q1000" s="28">
        <v>755</v>
      </c>
      <c r="R1000" s="29">
        <v>94.634703200000004</v>
      </c>
      <c r="S1000" s="29">
        <v>43.452381000000003</v>
      </c>
      <c r="T1000" s="29">
        <v>51.182322200000002</v>
      </c>
      <c r="U1000" s="29">
        <v>5.3652968000000003</v>
      </c>
      <c r="V1000" s="29">
        <v>97.652728100000004</v>
      </c>
      <c r="W1000" s="29">
        <v>79.4030779</v>
      </c>
      <c r="X1000" s="29">
        <v>18.249650200000001</v>
      </c>
      <c r="Y1000" s="29">
        <v>2.3472719</v>
      </c>
    </row>
    <row r="1001" spans="2:25" ht="15" hidden="1" customHeight="1">
      <c r="B1001" s="25">
        <v>996</v>
      </c>
      <c r="C1001" s="26" t="s">
        <v>19</v>
      </c>
      <c r="D1001" s="26" t="s">
        <v>319</v>
      </c>
      <c r="E1001" s="26" t="s">
        <v>323</v>
      </c>
      <c r="F1001" s="26"/>
      <c r="G1001" s="27" t="s">
        <v>16</v>
      </c>
      <c r="H1001" s="28">
        <v>11894</v>
      </c>
      <c r="I1001" s="28">
        <v>7785</v>
      </c>
      <c r="J1001" s="28">
        <v>4512</v>
      </c>
      <c r="K1001" s="28">
        <v>3273</v>
      </c>
      <c r="L1001" s="28">
        <v>4109</v>
      </c>
      <c r="M1001" s="28">
        <v>13867</v>
      </c>
      <c r="N1001" s="28">
        <v>11235</v>
      </c>
      <c r="O1001" s="28">
        <v>10377</v>
      </c>
      <c r="P1001" s="28">
        <v>858</v>
      </c>
      <c r="Q1001" s="28">
        <v>2632</v>
      </c>
      <c r="R1001" s="29">
        <v>65.453169700000004</v>
      </c>
      <c r="S1001" s="29">
        <v>37.935093299999998</v>
      </c>
      <c r="T1001" s="29">
        <v>27.518076300000001</v>
      </c>
      <c r="U1001" s="29">
        <v>34.546830300000003</v>
      </c>
      <c r="V1001" s="29">
        <v>81.019687000000005</v>
      </c>
      <c r="W1001" s="29">
        <v>74.832335799999996</v>
      </c>
      <c r="X1001" s="29">
        <v>6.1873513000000004</v>
      </c>
      <c r="Y1001" s="29">
        <v>18.980312999999999</v>
      </c>
    </row>
    <row r="1002" spans="2:25" ht="15" customHeight="1">
      <c r="B1002" s="30">
        <v>997</v>
      </c>
      <c r="C1002" s="31" t="s">
        <v>21</v>
      </c>
      <c r="D1002" s="36" t="s">
        <v>319</v>
      </c>
      <c r="E1002" s="36" t="s">
        <v>323</v>
      </c>
      <c r="F1002" s="36" t="s">
        <v>324</v>
      </c>
      <c r="G1002" s="37" t="s">
        <v>324</v>
      </c>
      <c r="H1002" s="32">
        <v>22138</v>
      </c>
      <c r="I1002" s="32">
        <v>19071</v>
      </c>
      <c r="J1002" s="32">
        <v>8952</v>
      </c>
      <c r="K1002" s="32">
        <v>10119</v>
      </c>
      <c r="L1002" s="32">
        <v>3067</v>
      </c>
      <c r="M1002" s="32">
        <v>27308</v>
      </c>
      <c r="N1002" s="32">
        <v>25672</v>
      </c>
      <c r="O1002" s="32">
        <v>20834</v>
      </c>
      <c r="P1002" s="32">
        <v>4838</v>
      </c>
      <c r="Q1002" s="32">
        <v>1636</v>
      </c>
      <c r="R1002" s="33">
        <v>86.145993300000001</v>
      </c>
      <c r="S1002" s="33">
        <v>40.437257199999998</v>
      </c>
      <c r="T1002" s="33">
        <v>45.708736100000003</v>
      </c>
      <c r="U1002" s="33">
        <v>13.854006699999999</v>
      </c>
      <c r="V1002" s="33">
        <v>94.009081600000002</v>
      </c>
      <c r="W1002" s="33">
        <v>76.292661499999994</v>
      </c>
      <c r="X1002" s="33">
        <v>17.716420100000001</v>
      </c>
      <c r="Y1002" s="33">
        <v>5.9909184</v>
      </c>
    </row>
    <row r="1003" spans="2:25" ht="15" hidden="1" customHeight="1">
      <c r="B1003" s="25">
        <v>998</v>
      </c>
      <c r="C1003" s="26" t="s">
        <v>21</v>
      </c>
      <c r="D1003" s="26" t="s">
        <v>319</v>
      </c>
      <c r="E1003" s="26" t="s">
        <v>323</v>
      </c>
      <c r="F1003" s="26" t="s">
        <v>324</v>
      </c>
      <c r="G1003" s="27" t="s">
        <v>15</v>
      </c>
      <c r="H1003" s="28">
        <v>15658</v>
      </c>
      <c r="I1003" s="28">
        <v>15119</v>
      </c>
      <c r="J1003" s="28">
        <v>6638</v>
      </c>
      <c r="K1003" s="28">
        <v>8481</v>
      </c>
      <c r="L1003" s="28">
        <v>539</v>
      </c>
      <c r="M1003" s="28">
        <v>20574</v>
      </c>
      <c r="N1003" s="28">
        <v>20229</v>
      </c>
      <c r="O1003" s="28">
        <v>15836</v>
      </c>
      <c r="P1003" s="28">
        <v>4393</v>
      </c>
      <c r="Q1003" s="28">
        <v>345</v>
      </c>
      <c r="R1003" s="29">
        <v>96.557670200000004</v>
      </c>
      <c r="S1003" s="29">
        <v>42.393664600000001</v>
      </c>
      <c r="T1003" s="29">
        <v>54.164005600000003</v>
      </c>
      <c r="U1003" s="29">
        <v>3.4423298</v>
      </c>
      <c r="V1003" s="29">
        <v>98.323126299999998</v>
      </c>
      <c r="W1003" s="29">
        <v>76.970934200000002</v>
      </c>
      <c r="X1003" s="29">
        <v>21.3521921</v>
      </c>
      <c r="Y1003" s="29">
        <v>1.6768737</v>
      </c>
    </row>
    <row r="1004" spans="2:25" ht="15" hidden="1" customHeight="1">
      <c r="B1004" s="25">
        <v>999</v>
      </c>
      <c r="C1004" s="26" t="s">
        <v>21</v>
      </c>
      <c r="D1004" s="26" t="s">
        <v>319</v>
      </c>
      <c r="E1004" s="26" t="s">
        <v>323</v>
      </c>
      <c r="F1004" s="26" t="s">
        <v>324</v>
      </c>
      <c r="G1004" s="27" t="s">
        <v>16</v>
      </c>
      <c r="H1004" s="28">
        <v>6480</v>
      </c>
      <c r="I1004" s="28">
        <v>3952</v>
      </c>
      <c r="J1004" s="28">
        <v>2314</v>
      </c>
      <c r="K1004" s="28">
        <v>1638</v>
      </c>
      <c r="L1004" s="28">
        <v>2528</v>
      </c>
      <c r="M1004" s="28">
        <v>6734</v>
      </c>
      <c r="N1004" s="28">
        <v>5443</v>
      </c>
      <c r="O1004" s="28">
        <v>4998</v>
      </c>
      <c r="P1004" s="28">
        <v>445</v>
      </c>
      <c r="Q1004" s="28">
        <v>1291</v>
      </c>
      <c r="R1004" s="29">
        <v>60.987654300000003</v>
      </c>
      <c r="S1004" s="29">
        <v>35.7098765</v>
      </c>
      <c r="T1004" s="29">
        <v>25.277777799999999</v>
      </c>
      <c r="U1004" s="29">
        <v>39.012345699999997</v>
      </c>
      <c r="V1004" s="29">
        <v>80.828630799999999</v>
      </c>
      <c r="W1004" s="29">
        <v>74.220374199999995</v>
      </c>
      <c r="X1004" s="29">
        <v>6.6082565999999998</v>
      </c>
      <c r="Y1004" s="29">
        <v>19.171369200000001</v>
      </c>
    </row>
    <row r="1005" spans="2:25" ht="15" customHeight="1">
      <c r="B1005" s="30">
        <v>1000</v>
      </c>
      <c r="C1005" s="31" t="s">
        <v>21</v>
      </c>
      <c r="D1005" s="36" t="s">
        <v>319</v>
      </c>
      <c r="E1005" s="36" t="s">
        <v>323</v>
      </c>
      <c r="F1005" s="36" t="s">
        <v>325</v>
      </c>
      <c r="G1005" s="37" t="s">
        <v>325</v>
      </c>
      <c r="H1005" s="32">
        <v>3995</v>
      </c>
      <c r="I1005" s="32">
        <v>3357</v>
      </c>
      <c r="J1005" s="32">
        <v>1782</v>
      </c>
      <c r="K1005" s="32">
        <v>1575</v>
      </c>
      <c r="L1005" s="32">
        <v>638</v>
      </c>
      <c r="M1005" s="32">
        <v>4684</v>
      </c>
      <c r="N1005" s="32">
        <v>4106</v>
      </c>
      <c r="O1005" s="32">
        <v>3578</v>
      </c>
      <c r="P1005" s="32">
        <v>528</v>
      </c>
      <c r="Q1005" s="32">
        <v>578</v>
      </c>
      <c r="R1005" s="33">
        <v>84.030037500000006</v>
      </c>
      <c r="S1005" s="33">
        <v>44.605757199999999</v>
      </c>
      <c r="T1005" s="33">
        <v>39.424280400000001</v>
      </c>
      <c r="U1005" s="33">
        <v>15.969962499999999</v>
      </c>
      <c r="V1005" s="33">
        <v>87.660119600000002</v>
      </c>
      <c r="W1005" s="33">
        <v>76.3877028</v>
      </c>
      <c r="X1005" s="33">
        <v>11.272416700000001</v>
      </c>
      <c r="Y1005" s="33">
        <v>12.3398804</v>
      </c>
    </row>
    <row r="1006" spans="2:25" ht="15" hidden="1" customHeight="1">
      <c r="B1006" s="25">
        <v>1001</v>
      </c>
      <c r="C1006" s="26" t="s">
        <v>21</v>
      </c>
      <c r="D1006" s="26" t="s">
        <v>319</v>
      </c>
      <c r="E1006" s="26" t="s">
        <v>323</v>
      </c>
      <c r="F1006" s="26" t="s">
        <v>325</v>
      </c>
      <c r="G1006" s="27" t="s">
        <v>15</v>
      </c>
      <c r="H1006" s="28">
        <v>962</v>
      </c>
      <c r="I1006" s="28">
        <v>924</v>
      </c>
      <c r="J1006" s="28">
        <v>296</v>
      </c>
      <c r="K1006" s="28">
        <v>628</v>
      </c>
      <c r="L1006" s="28">
        <v>38</v>
      </c>
      <c r="M1006" s="28">
        <v>1260</v>
      </c>
      <c r="N1006" s="28">
        <v>1214</v>
      </c>
      <c r="O1006" s="28">
        <v>920</v>
      </c>
      <c r="P1006" s="28">
        <v>294</v>
      </c>
      <c r="Q1006" s="28">
        <v>46</v>
      </c>
      <c r="R1006" s="29">
        <v>96.049896000000004</v>
      </c>
      <c r="S1006" s="29">
        <v>30.769230799999999</v>
      </c>
      <c r="T1006" s="29">
        <v>65.280665299999995</v>
      </c>
      <c r="U1006" s="29">
        <v>3.9501040000000001</v>
      </c>
      <c r="V1006" s="29">
        <v>96.349206300000006</v>
      </c>
      <c r="W1006" s="29">
        <v>73.015872999999999</v>
      </c>
      <c r="X1006" s="29">
        <v>23.3333333</v>
      </c>
      <c r="Y1006" s="29">
        <v>3.6507936999999999</v>
      </c>
    </row>
    <row r="1007" spans="2:25" ht="15" hidden="1" customHeight="1">
      <c r="B1007" s="25">
        <v>1002</v>
      </c>
      <c r="C1007" s="26" t="s">
        <v>21</v>
      </c>
      <c r="D1007" s="26" t="s">
        <v>319</v>
      </c>
      <c r="E1007" s="26" t="s">
        <v>323</v>
      </c>
      <c r="F1007" s="26" t="s">
        <v>325</v>
      </c>
      <c r="G1007" s="27" t="s">
        <v>16</v>
      </c>
      <c r="H1007" s="28">
        <v>3033</v>
      </c>
      <c r="I1007" s="28">
        <v>2433</v>
      </c>
      <c r="J1007" s="28">
        <v>1486</v>
      </c>
      <c r="K1007" s="28">
        <v>947</v>
      </c>
      <c r="L1007" s="28">
        <v>600</v>
      </c>
      <c r="M1007" s="28">
        <v>3424</v>
      </c>
      <c r="N1007" s="28">
        <v>2892</v>
      </c>
      <c r="O1007" s="28">
        <v>2658</v>
      </c>
      <c r="P1007" s="28">
        <v>234</v>
      </c>
      <c r="Q1007" s="28">
        <v>532</v>
      </c>
      <c r="R1007" s="29">
        <v>80.2176063</v>
      </c>
      <c r="S1007" s="29">
        <v>48.994394999999997</v>
      </c>
      <c r="T1007" s="29">
        <v>31.223211299999999</v>
      </c>
      <c r="U1007" s="29">
        <v>19.7823937</v>
      </c>
      <c r="V1007" s="29">
        <v>84.462616800000006</v>
      </c>
      <c r="W1007" s="29">
        <v>77.628504699999993</v>
      </c>
      <c r="X1007" s="29">
        <v>6.8341120999999996</v>
      </c>
      <c r="Y1007" s="29">
        <v>15.537383200000001</v>
      </c>
    </row>
    <row r="1008" spans="2:25" ht="15" customHeight="1">
      <c r="B1008" s="30">
        <v>1003</v>
      </c>
      <c r="C1008" s="31" t="s">
        <v>21</v>
      </c>
      <c r="D1008" s="36" t="s">
        <v>319</v>
      </c>
      <c r="E1008" s="36" t="s">
        <v>323</v>
      </c>
      <c r="F1008" s="36" t="s">
        <v>326</v>
      </c>
      <c r="G1008" s="37" t="s">
        <v>326</v>
      </c>
      <c r="H1008" s="32">
        <v>10289</v>
      </c>
      <c r="I1008" s="32">
        <v>8569</v>
      </c>
      <c r="J1008" s="32">
        <v>4436</v>
      </c>
      <c r="K1008" s="32">
        <v>4133</v>
      </c>
      <c r="L1008" s="32">
        <v>1720</v>
      </c>
      <c r="M1008" s="32">
        <v>14040</v>
      </c>
      <c r="N1008" s="32">
        <v>12867</v>
      </c>
      <c r="O1008" s="32">
        <v>11505</v>
      </c>
      <c r="P1008" s="32">
        <v>1362</v>
      </c>
      <c r="Q1008" s="32">
        <v>1173</v>
      </c>
      <c r="R1008" s="33">
        <v>83.283117899999993</v>
      </c>
      <c r="S1008" s="33">
        <v>43.114005200000001</v>
      </c>
      <c r="T1008" s="33">
        <v>40.169112599999998</v>
      </c>
      <c r="U1008" s="33">
        <v>16.716882099999999</v>
      </c>
      <c r="V1008" s="33">
        <v>91.645299100000003</v>
      </c>
      <c r="W1008" s="33">
        <v>81.944444399999995</v>
      </c>
      <c r="X1008" s="33">
        <v>9.7008547000000007</v>
      </c>
      <c r="Y1008" s="33">
        <v>8.3547008999999992</v>
      </c>
    </row>
    <row r="1009" spans="2:25" ht="15" hidden="1" customHeight="1">
      <c r="B1009" s="25">
        <v>1004</v>
      </c>
      <c r="C1009" s="26" t="s">
        <v>21</v>
      </c>
      <c r="D1009" s="26" t="s">
        <v>319</v>
      </c>
      <c r="E1009" s="26" t="s">
        <v>323</v>
      </c>
      <c r="F1009" s="26" t="s">
        <v>326</v>
      </c>
      <c r="G1009" s="27" t="s">
        <v>15</v>
      </c>
      <c r="H1009" s="28">
        <v>7908</v>
      </c>
      <c r="I1009" s="28">
        <v>7169</v>
      </c>
      <c r="J1009" s="28">
        <v>3724</v>
      </c>
      <c r="K1009" s="28">
        <v>3445</v>
      </c>
      <c r="L1009" s="28">
        <v>739</v>
      </c>
      <c r="M1009" s="28">
        <v>10331</v>
      </c>
      <c r="N1009" s="28">
        <v>9967</v>
      </c>
      <c r="O1009" s="28">
        <v>8784</v>
      </c>
      <c r="P1009" s="28">
        <v>1183</v>
      </c>
      <c r="Q1009" s="28">
        <v>364</v>
      </c>
      <c r="R1009" s="29">
        <v>90.655032899999995</v>
      </c>
      <c r="S1009" s="29">
        <v>47.091552900000003</v>
      </c>
      <c r="T1009" s="29">
        <v>43.563479999999998</v>
      </c>
      <c r="U1009" s="29">
        <v>9.3449670999999999</v>
      </c>
      <c r="V1009" s="29">
        <v>96.476623799999999</v>
      </c>
      <c r="W1009" s="29">
        <v>85.025650999999996</v>
      </c>
      <c r="X1009" s="29">
        <v>11.450972800000001</v>
      </c>
      <c r="Y1009" s="29">
        <v>3.5233762</v>
      </c>
    </row>
    <row r="1010" spans="2:25" ht="15" hidden="1" customHeight="1">
      <c r="B1010" s="25">
        <v>1005</v>
      </c>
      <c r="C1010" s="26" t="s">
        <v>21</v>
      </c>
      <c r="D1010" s="26" t="s">
        <v>319</v>
      </c>
      <c r="E1010" s="26" t="s">
        <v>323</v>
      </c>
      <c r="F1010" s="26" t="s">
        <v>326</v>
      </c>
      <c r="G1010" s="27" t="s">
        <v>16</v>
      </c>
      <c r="H1010" s="28">
        <v>2381</v>
      </c>
      <c r="I1010" s="28">
        <v>1400</v>
      </c>
      <c r="J1010" s="28">
        <v>712</v>
      </c>
      <c r="K1010" s="28">
        <v>688</v>
      </c>
      <c r="L1010" s="28">
        <v>981</v>
      </c>
      <c r="M1010" s="28">
        <v>3709</v>
      </c>
      <c r="N1010" s="28">
        <v>2900</v>
      </c>
      <c r="O1010" s="28">
        <v>2721</v>
      </c>
      <c r="P1010" s="28">
        <v>179</v>
      </c>
      <c r="Q1010" s="28">
        <v>809</v>
      </c>
      <c r="R1010" s="29">
        <v>58.798824000000003</v>
      </c>
      <c r="S1010" s="29">
        <v>29.903401899999999</v>
      </c>
      <c r="T1010" s="29">
        <v>28.895422100000001</v>
      </c>
      <c r="U1010" s="29">
        <v>41.201175999999997</v>
      </c>
      <c r="V1010" s="29">
        <v>78.188190899999995</v>
      </c>
      <c r="W1010" s="29">
        <v>73.362092200000006</v>
      </c>
      <c r="X1010" s="29">
        <v>4.8260987000000002</v>
      </c>
      <c r="Y1010" s="29">
        <v>21.811809100000001</v>
      </c>
    </row>
    <row r="1011" spans="2:25" ht="15" hidden="1" customHeight="1">
      <c r="B1011" s="21">
        <v>1006</v>
      </c>
      <c r="C1011" s="22" t="s">
        <v>19</v>
      </c>
      <c r="D1011" s="35" t="s">
        <v>319</v>
      </c>
      <c r="E1011" s="35" t="s">
        <v>327</v>
      </c>
      <c r="F1011" s="35"/>
      <c r="G1011" s="22" t="s">
        <v>327</v>
      </c>
      <c r="H1011" s="23">
        <v>5646</v>
      </c>
      <c r="I1011" s="23">
        <v>3678</v>
      </c>
      <c r="J1011" s="23">
        <v>2095</v>
      </c>
      <c r="K1011" s="23">
        <v>1583</v>
      </c>
      <c r="L1011" s="23">
        <v>1968</v>
      </c>
      <c r="M1011" s="23">
        <v>6446</v>
      </c>
      <c r="N1011" s="23">
        <v>5123</v>
      </c>
      <c r="O1011" s="23">
        <v>4544</v>
      </c>
      <c r="P1011" s="23">
        <v>579</v>
      </c>
      <c r="Q1011" s="23">
        <v>1323</v>
      </c>
      <c r="R1011" s="24">
        <v>65.143464399999999</v>
      </c>
      <c r="S1011" s="24">
        <v>37.105915699999997</v>
      </c>
      <c r="T1011" s="24">
        <v>28.037548699999999</v>
      </c>
      <c r="U1011" s="24">
        <v>34.856535600000001</v>
      </c>
      <c r="V1011" s="24">
        <v>79.4756438</v>
      </c>
      <c r="W1011" s="24">
        <v>70.493329200000005</v>
      </c>
      <c r="X1011" s="24">
        <v>8.9823146000000005</v>
      </c>
      <c r="Y1011" s="24">
        <v>20.5243562</v>
      </c>
    </row>
    <row r="1012" spans="2:25" ht="15" hidden="1" customHeight="1">
      <c r="B1012" s="25">
        <v>1007</v>
      </c>
      <c r="C1012" s="26" t="s">
        <v>19</v>
      </c>
      <c r="D1012" s="26" t="s">
        <v>319</v>
      </c>
      <c r="E1012" s="26" t="s">
        <v>327</v>
      </c>
      <c r="F1012" s="26"/>
      <c r="G1012" s="27" t="s">
        <v>15</v>
      </c>
      <c r="H1012" s="28"/>
      <c r="I1012" s="28"/>
      <c r="J1012" s="28"/>
      <c r="K1012" s="28"/>
      <c r="L1012" s="28"/>
      <c r="M1012" s="28">
        <v>703</v>
      </c>
      <c r="N1012" s="28">
        <v>682</v>
      </c>
      <c r="O1012" s="28">
        <v>585</v>
      </c>
      <c r="P1012" s="28">
        <v>97</v>
      </c>
      <c r="Q1012" s="28">
        <v>21</v>
      </c>
      <c r="R1012" s="29"/>
      <c r="S1012" s="29"/>
      <c r="T1012" s="29"/>
      <c r="U1012" s="29"/>
      <c r="V1012" s="29">
        <v>97.012802300000004</v>
      </c>
      <c r="W1012" s="29">
        <v>83.214793700000001</v>
      </c>
      <c r="X1012" s="29">
        <v>13.7980085</v>
      </c>
      <c r="Y1012" s="29">
        <v>2.9871976999999998</v>
      </c>
    </row>
    <row r="1013" spans="2:25" ht="15" hidden="1" customHeight="1">
      <c r="B1013" s="25">
        <v>1008</v>
      </c>
      <c r="C1013" s="26" t="s">
        <v>19</v>
      </c>
      <c r="D1013" s="26" t="s">
        <v>319</v>
      </c>
      <c r="E1013" s="26" t="s">
        <v>327</v>
      </c>
      <c r="F1013" s="26"/>
      <c r="G1013" s="27" t="s">
        <v>16</v>
      </c>
      <c r="H1013" s="28">
        <v>5646</v>
      </c>
      <c r="I1013" s="28">
        <v>3678</v>
      </c>
      <c r="J1013" s="28">
        <v>2095</v>
      </c>
      <c r="K1013" s="28">
        <v>1583</v>
      </c>
      <c r="L1013" s="28">
        <v>1968</v>
      </c>
      <c r="M1013" s="28">
        <v>5743</v>
      </c>
      <c r="N1013" s="28">
        <v>4441</v>
      </c>
      <c r="O1013" s="28">
        <v>3959</v>
      </c>
      <c r="P1013" s="28">
        <v>482</v>
      </c>
      <c r="Q1013" s="28">
        <v>1302</v>
      </c>
      <c r="R1013" s="29">
        <v>65.143464399999999</v>
      </c>
      <c r="S1013" s="29">
        <v>37.105915699999997</v>
      </c>
      <c r="T1013" s="29">
        <v>28.037548699999999</v>
      </c>
      <c r="U1013" s="29">
        <v>34.856535600000001</v>
      </c>
      <c r="V1013" s="29">
        <v>77.328922199999994</v>
      </c>
      <c r="W1013" s="29">
        <v>68.9360961</v>
      </c>
      <c r="X1013" s="29">
        <v>8.3928259999999995</v>
      </c>
      <c r="Y1013" s="29">
        <v>22.671077799999999</v>
      </c>
    </row>
    <row r="1014" spans="2:25" ht="15" customHeight="1">
      <c r="B1014" s="30">
        <v>1009</v>
      </c>
      <c r="C1014" s="31" t="s">
        <v>21</v>
      </c>
      <c r="D1014" s="36" t="s">
        <v>319</v>
      </c>
      <c r="E1014" s="36" t="s">
        <v>327</v>
      </c>
      <c r="F1014" s="36" t="s">
        <v>328</v>
      </c>
      <c r="G1014" s="37" t="s">
        <v>328</v>
      </c>
      <c r="H1014" s="32">
        <v>4162</v>
      </c>
      <c r="I1014" s="32">
        <v>2582</v>
      </c>
      <c r="J1014" s="32">
        <v>1462</v>
      </c>
      <c r="K1014" s="32">
        <v>1120</v>
      </c>
      <c r="L1014" s="32">
        <v>1580</v>
      </c>
      <c r="M1014" s="32">
        <v>4916</v>
      </c>
      <c r="N1014" s="32">
        <v>3926</v>
      </c>
      <c r="O1014" s="32">
        <v>3515</v>
      </c>
      <c r="P1014" s="32">
        <v>411</v>
      </c>
      <c r="Q1014" s="32">
        <v>990</v>
      </c>
      <c r="R1014" s="33">
        <v>62.037481999999997</v>
      </c>
      <c r="S1014" s="33">
        <v>35.127342599999999</v>
      </c>
      <c r="T1014" s="33">
        <v>26.910139399999998</v>
      </c>
      <c r="U1014" s="33">
        <v>37.962518000000003</v>
      </c>
      <c r="V1014" s="33">
        <v>79.861676200000005</v>
      </c>
      <c r="W1014" s="33">
        <v>71.501220500000002</v>
      </c>
      <c r="X1014" s="33">
        <v>8.3604556999999993</v>
      </c>
      <c r="Y1014" s="33">
        <v>20.138323799999998</v>
      </c>
    </row>
    <row r="1015" spans="2:25" ht="15" hidden="1" customHeight="1">
      <c r="B1015" s="25">
        <v>1010</v>
      </c>
      <c r="C1015" s="26" t="s">
        <v>21</v>
      </c>
      <c r="D1015" s="26" t="s">
        <v>319</v>
      </c>
      <c r="E1015" s="26" t="s">
        <v>327</v>
      </c>
      <c r="F1015" s="26" t="s">
        <v>328</v>
      </c>
      <c r="G1015" s="27" t="s">
        <v>15</v>
      </c>
      <c r="H1015" s="28"/>
      <c r="I1015" s="28"/>
      <c r="J1015" s="28"/>
      <c r="K1015" s="28"/>
      <c r="L1015" s="28"/>
      <c r="M1015" s="28">
        <v>703</v>
      </c>
      <c r="N1015" s="28">
        <v>682</v>
      </c>
      <c r="O1015" s="28">
        <v>585</v>
      </c>
      <c r="P1015" s="28">
        <v>97</v>
      </c>
      <c r="Q1015" s="28">
        <v>21</v>
      </c>
      <c r="R1015" s="29"/>
      <c r="S1015" s="29"/>
      <c r="T1015" s="29"/>
      <c r="U1015" s="29"/>
      <c r="V1015" s="29">
        <v>97.012802300000004</v>
      </c>
      <c r="W1015" s="29">
        <v>83.214793700000001</v>
      </c>
      <c r="X1015" s="29">
        <v>13.7980085</v>
      </c>
      <c r="Y1015" s="29">
        <v>2.9871976999999998</v>
      </c>
    </row>
    <row r="1016" spans="2:25" ht="15" hidden="1" customHeight="1">
      <c r="B1016" s="25">
        <v>1011</v>
      </c>
      <c r="C1016" s="26" t="s">
        <v>21</v>
      </c>
      <c r="D1016" s="26" t="s">
        <v>319</v>
      </c>
      <c r="E1016" s="26" t="s">
        <v>327</v>
      </c>
      <c r="F1016" s="26" t="s">
        <v>328</v>
      </c>
      <c r="G1016" s="27" t="s">
        <v>16</v>
      </c>
      <c r="H1016" s="28">
        <v>4162</v>
      </c>
      <c r="I1016" s="28">
        <v>2582</v>
      </c>
      <c r="J1016" s="28">
        <v>1462</v>
      </c>
      <c r="K1016" s="28">
        <v>1120</v>
      </c>
      <c r="L1016" s="28">
        <v>1580</v>
      </c>
      <c r="M1016" s="28">
        <v>4213</v>
      </c>
      <c r="N1016" s="28">
        <v>3244</v>
      </c>
      <c r="O1016" s="28">
        <v>2930</v>
      </c>
      <c r="P1016" s="28">
        <v>314</v>
      </c>
      <c r="Q1016" s="28">
        <v>969</v>
      </c>
      <c r="R1016" s="29">
        <v>62.037481999999997</v>
      </c>
      <c r="S1016" s="29">
        <v>35.127342599999999</v>
      </c>
      <c r="T1016" s="29">
        <v>26.910139399999998</v>
      </c>
      <c r="U1016" s="29">
        <v>37.962518000000003</v>
      </c>
      <c r="V1016" s="29">
        <v>76.999762599999997</v>
      </c>
      <c r="W1016" s="29">
        <v>69.546641300000005</v>
      </c>
      <c r="X1016" s="29">
        <v>7.4531213000000003</v>
      </c>
      <c r="Y1016" s="29">
        <v>23.0002374</v>
      </c>
    </row>
    <row r="1017" spans="2:25" ht="15" customHeight="1">
      <c r="B1017" s="30">
        <v>1012</v>
      </c>
      <c r="C1017" s="31" t="s">
        <v>21</v>
      </c>
      <c r="D1017" s="36" t="s">
        <v>319</v>
      </c>
      <c r="E1017" s="36" t="s">
        <v>327</v>
      </c>
      <c r="F1017" s="36" t="s">
        <v>329</v>
      </c>
      <c r="G1017" s="37" t="s">
        <v>329</v>
      </c>
      <c r="H1017" s="32">
        <v>1484</v>
      </c>
      <c r="I1017" s="32">
        <v>1096</v>
      </c>
      <c r="J1017" s="32">
        <v>633</v>
      </c>
      <c r="K1017" s="32">
        <v>463</v>
      </c>
      <c r="L1017" s="32">
        <v>388</v>
      </c>
      <c r="M1017" s="32">
        <v>1530</v>
      </c>
      <c r="N1017" s="32">
        <v>1197</v>
      </c>
      <c r="O1017" s="32">
        <v>1029</v>
      </c>
      <c r="P1017" s="32">
        <v>168</v>
      </c>
      <c r="Q1017" s="32">
        <v>333</v>
      </c>
      <c r="R1017" s="33">
        <v>73.854447399999998</v>
      </c>
      <c r="S1017" s="33">
        <v>42.6549865</v>
      </c>
      <c r="T1017" s="33">
        <v>31.199460899999998</v>
      </c>
      <c r="U1017" s="33">
        <v>26.145552599999998</v>
      </c>
      <c r="V1017" s="33">
        <v>78.235294100000004</v>
      </c>
      <c r="W1017" s="33">
        <v>67.254902000000001</v>
      </c>
      <c r="X1017" s="33">
        <v>10.980392200000001</v>
      </c>
      <c r="Y1017" s="33">
        <v>21.764705899999999</v>
      </c>
    </row>
    <row r="1018" spans="2:25" ht="15" hidden="1" customHeight="1">
      <c r="B1018" s="25">
        <v>1013</v>
      </c>
      <c r="C1018" s="26" t="s">
        <v>21</v>
      </c>
      <c r="D1018" s="26" t="s">
        <v>319</v>
      </c>
      <c r="E1018" s="26" t="s">
        <v>327</v>
      </c>
      <c r="F1018" s="26" t="s">
        <v>329</v>
      </c>
      <c r="G1018" s="27" t="s">
        <v>15</v>
      </c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9"/>
      <c r="S1018" s="29"/>
      <c r="T1018" s="29"/>
      <c r="U1018" s="29"/>
      <c r="V1018" s="29"/>
      <c r="W1018" s="29"/>
      <c r="X1018" s="29"/>
      <c r="Y1018" s="29"/>
    </row>
    <row r="1019" spans="2:25" ht="15" hidden="1" customHeight="1">
      <c r="B1019" s="25">
        <v>1014</v>
      </c>
      <c r="C1019" s="26" t="s">
        <v>21</v>
      </c>
      <c r="D1019" s="26" t="s">
        <v>319</v>
      </c>
      <c r="E1019" s="26" t="s">
        <v>327</v>
      </c>
      <c r="F1019" s="26" t="s">
        <v>329</v>
      </c>
      <c r="G1019" s="27" t="s">
        <v>16</v>
      </c>
      <c r="H1019" s="28">
        <v>1484</v>
      </c>
      <c r="I1019" s="28">
        <v>1096</v>
      </c>
      <c r="J1019" s="28">
        <v>633</v>
      </c>
      <c r="K1019" s="28">
        <v>463</v>
      </c>
      <c r="L1019" s="28">
        <v>388</v>
      </c>
      <c r="M1019" s="28">
        <v>1530</v>
      </c>
      <c r="N1019" s="28">
        <v>1197</v>
      </c>
      <c r="O1019" s="28">
        <v>1029</v>
      </c>
      <c r="P1019" s="28">
        <v>168</v>
      </c>
      <c r="Q1019" s="28">
        <v>333</v>
      </c>
      <c r="R1019" s="29">
        <v>73.854447399999998</v>
      </c>
      <c r="S1019" s="29">
        <v>42.6549865</v>
      </c>
      <c r="T1019" s="29">
        <v>31.199460899999998</v>
      </c>
      <c r="U1019" s="29">
        <v>26.145552599999998</v>
      </c>
      <c r="V1019" s="29">
        <v>78.235294100000004</v>
      </c>
      <c r="W1019" s="29">
        <v>67.254902000000001</v>
      </c>
      <c r="X1019" s="29">
        <v>10.980392200000001</v>
      </c>
      <c r="Y1019" s="29">
        <v>21.764705899999999</v>
      </c>
    </row>
    <row r="1020" spans="2:25" ht="15" hidden="1" customHeight="1">
      <c r="B1020" s="21">
        <v>1015</v>
      </c>
      <c r="C1020" s="22" t="s">
        <v>19</v>
      </c>
      <c r="D1020" s="35" t="s">
        <v>319</v>
      </c>
      <c r="E1020" s="35" t="s">
        <v>330</v>
      </c>
      <c r="F1020" s="35"/>
      <c r="G1020" s="22" t="s">
        <v>330</v>
      </c>
      <c r="H1020" s="23">
        <v>9737</v>
      </c>
      <c r="I1020" s="23">
        <v>6699</v>
      </c>
      <c r="J1020" s="23">
        <v>3855</v>
      </c>
      <c r="K1020" s="23">
        <v>2844</v>
      </c>
      <c r="L1020" s="23">
        <v>3038</v>
      </c>
      <c r="M1020" s="23">
        <v>12576</v>
      </c>
      <c r="N1020" s="23">
        <v>10290</v>
      </c>
      <c r="O1020" s="23">
        <v>9163</v>
      </c>
      <c r="P1020" s="23">
        <v>1127</v>
      </c>
      <c r="Q1020" s="23">
        <v>2286</v>
      </c>
      <c r="R1020" s="24">
        <v>68.799424900000005</v>
      </c>
      <c r="S1020" s="24">
        <v>39.591249900000001</v>
      </c>
      <c r="T1020" s="24">
        <v>29.208175000000001</v>
      </c>
      <c r="U1020" s="24">
        <v>31.200575099999998</v>
      </c>
      <c r="V1020" s="24">
        <v>81.822519099999994</v>
      </c>
      <c r="W1020" s="24">
        <v>72.8610051</v>
      </c>
      <c r="X1020" s="24">
        <v>8.9615139999999993</v>
      </c>
      <c r="Y1020" s="24">
        <v>18.177480899999999</v>
      </c>
    </row>
    <row r="1021" spans="2:25" ht="15" hidden="1" customHeight="1">
      <c r="B1021" s="25">
        <v>1016</v>
      </c>
      <c r="C1021" s="26" t="s">
        <v>19</v>
      </c>
      <c r="D1021" s="26" t="s">
        <v>319</v>
      </c>
      <c r="E1021" s="26" t="s">
        <v>330</v>
      </c>
      <c r="F1021" s="26"/>
      <c r="G1021" s="27" t="s">
        <v>15</v>
      </c>
      <c r="H1021" s="28">
        <v>874</v>
      </c>
      <c r="I1021" s="28">
        <v>813</v>
      </c>
      <c r="J1021" s="28">
        <v>593</v>
      </c>
      <c r="K1021" s="28">
        <v>220</v>
      </c>
      <c r="L1021" s="28">
        <v>61</v>
      </c>
      <c r="M1021" s="28">
        <v>1762</v>
      </c>
      <c r="N1021" s="28">
        <v>1693</v>
      </c>
      <c r="O1021" s="28">
        <v>1474</v>
      </c>
      <c r="P1021" s="28">
        <v>219</v>
      </c>
      <c r="Q1021" s="28">
        <v>69</v>
      </c>
      <c r="R1021" s="29">
        <v>93.020595</v>
      </c>
      <c r="S1021" s="29">
        <v>67.848970300000005</v>
      </c>
      <c r="T1021" s="29">
        <v>25.171624699999999</v>
      </c>
      <c r="U1021" s="29">
        <v>6.9794049999999999</v>
      </c>
      <c r="V1021" s="29">
        <v>96.0839955</v>
      </c>
      <c r="W1021" s="29">
        <v>83.654937599999997</v>
      </c>
      <c r="X1021" s="29">
        <v>12.4290579</v>
      </c>
      <c r="Y1021" s="29">
        <v>3.9160045000000001</v>
      </c>
    </row>
    <row r="1022" spans="2:25" ht="15" hidden="1" customHeight="1">
      <c r="B1022" s="25">
        <v>1017</v>
      </c>
      <c r="C1022" s="26" t="s">
        <v>19</v>
      </c>
      <c r="D1022" s="26" t="s">
        <v>319</v>
      </c>
      <c r="E1022" s="26" t="s">
        <v>330</v>
      </c>
      <c r="F1022" s="26"/>
      <c r="G1022" s="27" t="s">
        <v>16</v>
      </c>
      <c r="H1022" s="28">
        <v>8863</v>
      </c>
      <c r="I1022" s="28">
        <v>5886</v>
      </c>
      <c r="J1022" s="28">
        <v>3262</v>
      </c>
      <c r="K1022" s="28">
        <v>2624</v>
      </c>
      <c r="L1022" s="28">
        <v>2977</v>
      </c>
      <c r="M1022" s="28">
        <v>10814</v>
      </c>
      <c r="N1022" s="28">
        <v>8597</v>
      </c>
      <c r="O1022" s="28">
        <v>7689</v>
      </c>
      <c r="P1022" s="28">
        <v>908</v>
      </c>
      <c r="Q1022" s="28">
        <v>2217</v>
      </c>
      <c r="R1022" s="29">
        <v>66.410921799999997</v>
      </c>
      <c r="S1022" s="29">
        <v>36.804693700000001</v>
      </c>
      <c r="T1022" s="29">
        <v>29.606228099999999</v>
      </c>
      <c r="U1022" s="29">
        <v>33.589078200000003</v>
      </c>
      <c r="V1022" s="29">
        <v>79.4987979</v>
      </c>
      <c r="W1022" s="29">
        <v>71.102274800000004</v>
      </c>
      <c r="X1022" s="29">
        <v>8.3965230000000002</v>
      </c>
      <c r="Y1022" s="29">
        <v>20.5012021</v>
      </c>
    </row>
    <row r="1023" spans="2:25" ht="15" customHeight="1">
      <c r="B1023" s="30">
        <v>1018</v>
      </c>
      <c r="C1023" s="31" t="s">
        <v>21</v>
      </c>
      <c r="D1023" s="36" t="s">
        <v>319</v>
      </c>
      <c r="E1023" s="36" t="s">
        <v>330</v>
      </c>
      <c r="F1023" s="36" t="s">
        <v>331</v>
      </c>
      <c r="G1023" s="37" t="s">
        <v>331</v>
      </c>
      <c r="H1023" s="32">
        <v>6484</v>
      </c>
      <c r="I1023" s="32">
        <v>4165</v>
      </c>
      <c r="J1023" s="32">
        <v>2506</v>
      </c>
      <c r="K1023" s="32">
        <v>1659</v>
      </c>
      <c r="L1023" s="32">
        <v>2319</v>
      </c>
      <c r="M1023" s="32">
        <v>9336</v>
      </c>
      <c r="N1023" s="32">
        <v>7545</v>
      </c>
      <c r="O1023" s="32">
        <v>6740</v>
      </c>
      <c r="P1023" s="32">
        <v>805</v>
      </c>
      <c r="Q1023" s="32">
        <v>1791</v>
      </c>
      <c r="R1023" s="33">
        <v>64.235040100000006</v>
      </c>
      <c r="S1023" s="33">
        <v>38.648982099999998</v>
      </c>
      <c r="T1023" s="33">
        <v>25.586058000000001</v>
      </c>
      <c r="U1023" s="33">
        <v>35.764959900000001</v>
      </c>
      <c r="V1023" s="33">
        <v>80.816195399999998</v>
      </c>
      <c r="W1023" s="33">
        <v>72.193658999999997</v>
      </c>
      <c r="X1023" s="33">
        <v>8.6225363999999995</v>
      </c>
      <c r="Y1023" s="33">
        <v>19.183804599999998</v>
      </c>
    </row>
    <row r="1024" spans="2:25" ht="15" hidden="1" customHeight="1">
      <c r="B1024" s="25">
        <v>1019</v>
      </c>
      <c r="C1024" s="26" t="s">
        <v>21</v>
      </c>
      <c r="D1024" s="26" t="s">
        <v>319</v>
      </c>
      <c r="E1024" s="26" t="s">
        <v>330</v>
      </c>
      <c r="F1024" s="26" t="s">
        <v>331</v>
      </c>
      <c r="G1024" s="27" t="s">
        <v>15</v>
      </c>
      <c r="H1024" s="28">
        <v>874</v>
      </c>
      <c r="I1024" s="28">
        <v>813</v>
      </c>
      <c r="J1024" s="28">
        <v>593</v>
      </c>
      <c r="K1024" s="28">
        <v>220</v>
      </c>
      <c r="L1024" s="28">
        <v>61</v>
      </c>
      <c r="M1024" s="28">
        <v>1762</v>
      </c>
      <c r="N1024" s="28">
        <v>1693</v>
      </c>
      <c r="O1024" s="28">
        <v>1474</v>
      </c>
      <c r="P1024" s="28">
        <v>219</v>
      </c>
      <c r="Q1024" s="28">
        <v>69</v>
      </c>
      <c r="R1024" s="29">
        <v>93.020595</v>
      </c>
      <c r="S1024" s="29">
        <v>67.848970300000005</v>
      </c>
      <c r="T1024" s="29">
        <v>25.171624699999999</v>
      </c>
      <c r="U1024" s="29">
        <v>6.9794049999999999</v>
      </c>
      <c r="V1024" s="29">
        <v>96.0839955</v>
      </c>
      <c r="W1024" s="29">
        <v>83.654937599999997</v>
      </c>
      <c r="X1024" s="29">
        <v>12.4290579</v>
      </c>
      <c r="Y1024" s="29">
        <v>3.9160045000000001</v>
      </c>
    </row>
    <row r="1025" spans="2:25" ht="15" hidden="1" customHeight="1">
      <c r="B1025" s="25">
        <v>1020</v>
      </c>
      <c r="C1025" s="26" t="s">
        <v>21</v>
      </c>
      <c r="D1025" s="26" t="s">
        <v>319</v>
      </c>
      <c r="E1025" s="26" t="s">
        <v>330</v>
      </c>
      <c r="F1025" s="26" t="s">
        <v>331</v>
      </c>
      <c r="G1025" s="27" t="s">
        <v>16</v>
      </c>
      <c r="H1025" s="28">
        <v>5610</v>
      </c>
      <c r="I1025" s="28">
        <v>3352</v>
      </c>
      <c r="J1025" s="28">
        <v>1913</v>
      </c>
      <c r="K1025" s="28">
        <v>1439</v>
      </c>
      <c r="L1025" s="28">
        <v>2258</v>
      </c>
      <c r="M1025" s="28">
        <v>7574</v>
      </c>
      <c r="N1025" s="28">
        <v>5852</v>
      </c>
      <c r="O1025" s="28">
        <v>5266</v>
      </c>
      <c r="P1025" s="28">
        <v>586</v>
      </c>
      <c r="Q1025" s="28">
        <v>1722</v>
      </c>
      <c r="R1025" s="29">
        <v>59.750445599999999</v>
      </c>
      <c r="S1025" s="29">
        <v>34.0998217</v>
      </c>
      <c r="T1025" s="29">
        <v>25.650623899999999</v>
      </c>
      <c r="U1025" s="29">
        <v>40.249554400000001</v>
      </c>
      <c r="V1025" s="29">
        <v>77.264325299999996</v>
      </c>
      <c r="W1025" s="29">
        <v>69.527330300000003</v>
      </c>
      <c r="X1025" s="29">
        <v>7.7369950000000003</v>
      </c>
      <c r="Y1025" s="29">
        <v>22.735674700000001</v>
      </c>
    </row>
    <row r="1026" spans="2:25" ht="15" customHeight="1">
      <c r="B1026" s="30">
        <v>1021</v>
      </c>
      <c r="C1026" s="31" t="s">
        <v>21</v>
      </c>
      <c r="D1026" s="36" t="s">
        <v>319</v>
      </c>
      <c r="E1026" s="36" t="s">
        <v>330</v>
      </c>
      <c r="F1026" s="36" t="s">
        <v>332</v>
      </c>
      <c r="G1026" s="37" t="s">
        <v>332</v>
      </c>
      <c r="H1026" s="32">
        <v>3253</v>
      </c>
      <c r="I1026" s="32">
        <v>2534</v>
      </c>
      <c r="J1026" s="32">
        <v>1349</v>
      </c>
      <c r="K1026" s="32">
        <v>1185</v>
      </c>
      <c r="L1026" s="32">
        <v>719</v>
      </c>
      <c r="M1026" s="32">
        <v>3240</v>
      </c>
      <c r="N1026" s="32">
        <v>2745</v>
      </c>
      <c r="O1026" s="32">
        <v>2423</v>
      </c>
      <c r="P1026" s="32">
        <v>322</v>
      </c>
      <c r="Q1026" s="32">
        <v>495</v>
      </c>
      <c r="R1026" s="33">
        <v>77.897325499999994</v>
      </c>
      <c r="S1026" s="33">
        <v>41.469412800000001</v>
      </c>
      <c r="T1026" s="33">
        <v>36.4279127</v>
      </c>
      <c r="U1026" s="33">
        <v>22.102674499999999</v>
      </c>
      <c r="V1026" s="33">
        <v>84.722222200000004</v>
      </c>
      <c r="W1026" s="33">
        <v>74.783950599999997</v>
      </c>
      <c r="X1026" s="33">
        <v>9.9382716000000002</v>
      </c>
      <c r="Y1026" s="33">
        <v>15.277777800000001</v>
      </c>
    </row>
    <row r="1027" spans="2:25" ht="15" hidden="1" customHeight="1">
      <c r="B1027" s="25">
        <v>1022</v>
      </c>
      <c r="C1027" s="26" t="s">
        <v>21</v>
      </c>
      <c r="D1027" s="26" t="s">
        <v>319</v>
      </c>
      <c r="E1027" s="26" t="s">
        <v>330</v>
      </c>
      <c r="F1027" s="26" t="s">
        <v>332</v>
      </c>
      <c r="G1027" s="27" t="s">
        <v>15</v>
      </c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9"/>
      <c r="S1027" s="29"/>
      <c r="T1027" s="29"/>
      <c r="U1027" s="29"/>
      <c r="V1027" s="29"/>
      <c r="W1027" s="29"/>
      <c r="X1027" s="29"/>
      <c r="Y1027" s="29"/>
    </row>
    <row r="1028" spans="2:25" ht="15" hidden="1" customHeight="1">
      <c r="B1028" s="25">
        <v>1023</v>
      </c>
      <c r="C1028" s="26" t="s">
        <v>21</v>
      </c>
      <c r="D1028" s="26" t="s">
        <v>319</v>
      </c>
      <c r="E1028" s="26" t="s">
        <v>330</v>
      </c>
      <c r="F1028" s="26" t="s">
        <v>332</v>
      </c>
      <c r="G1028" s="27" t="s">
        <v>16</v>
      </c>
      <c r="H1028" s="28">
        <v>3253</v>
      </c>
      <c r="I1028" s="28">
        <v>2534</v>
      </c>
      <c r="J1028" s="28">
        <v>1349</v>
      </c>
      <c r="K1028" s="28">
        <v>1185</v>
      </c>
      <c r="L1028" s="28">
        <v>719</v>
      </c>
      <c r="M1028" s="28">
        <v>3240</v>
      </c>
      <c r="N1028" s="28">
        <v>2745</v>
      </c>
      <c r="O1028" s="28">
        <v>2423</v>
      </c>
      <c r="P1028" s="28">
        <v>322</v>
      </c>
      <c r="Q1028" s="28">
        <v>495</v>
      </c>
      <c r="R1028" s="29">
        <v>77.897325499999994</v>
      </c>
      <c r="S1028" s="29">
        <v>41.469412800000001</v>
      </c>
      <c r="T1028" s="29">
        <v>36.4279127</v>
      </c>
      <c r="U1028" s="29">
        <v>22.102674499999999</v>
      </c>
      <c r="V1028" s="29">
        <v>84.722222200000004</v>
      </c>
      <c r="W1028" s="29">
        <v>74.783950599999997</v>
      </c>
      <c r="X1028" s="29">
        <v>9.9382716000000002</v>
      </c>
      <c r="Y1028" s="29">
        <v>15.277777800000001</v>
      </c>
    </row>
    <row r="1029" spans="2:25" ht="15" hidden="1" customHeight="1">
      <c r="B1029" s="21">
        <v>1024</v>
      </c>
      <c r="C1029" s="22" t="s">
        <v>19</v>
      </c>
      <c r="D1029" s="35" t="s">
        <v>319</v>
      </c>
      <c r="E1029" s="35" t="s">
        <v>333</v>
      </c>
      <c r="F1029" s="35"/>
      <c r="G1029" s="22" t="s">
        <v>333</v>
      </c>
      <c r="H1029" s="23">
        <v>5415</v>
      </c>
      <c r="I1029" s="23">
        <v>3267</v>
      </c>
      <c r="J1029" s="23">
        <v>1595</v>
      </c>
      <c r="K1029" s="23">
        <v>1672</v>
      </c>
      <c r="L1029" s="23">
        <v>2148</v>
      </c>
      <c r="M1029" s="23">
        <v>6216</v>
      </c>
      <c r="N1029" s="23">
        <v>4530</v>
      </c>
      <c r="O1029" s="23">
        <v>4077</v>
      </c>
      <c r="P1029" s="23">
        <v>453</v>
      </c>
      <c r="Q1029" s="23">
        <v>1686</v>
      </c>
      <c r="R1029" s="24">
        <v>60.332410000000003</v>
      </c>
      <c r="S1029" s="24">
        <v>29.455217000000001</v>
      </c>
      <c r="T1029" s="24">
        <v>30.877192999999998</v>
      </c>
      <c r="U1029" s="24">
        <v>39.667589999999997</v>
      </c>
      <c r="V1029" s="24">
        <v>72.876447900000002</v>
      </c>
      <c r="W1029" s="24">
        <v>65.588803100000007</v>
      </c>
      <c r="X1029" s="24">
        <v>7.2876447999999998</v>
      </c>
      <c r="Y1029" s="24">
        <v>27.123552100000001</v>
      </c>
    </row>
    <row r="1030" spans="2:25" ht="15" hidden="1" customHeight="1">
      <c r="B1030" s="25">
        <v>1025</v>
      </c>
      <c r="C1030" s="26" t="s">
        <v>19</v>
      </c>
      <c r="D1030" s="26" t="s">
        <v>319</v>
      </c>
      <c r="E1030" s="26" t="s">
        <v>333</v>
      </c>
      <c r="F1030" s="26"/>
      <c r="G1030" s="27" t="s">
        <v>15</v>
      </c>
      <c r="H1030" s="28">
        <v>1154</v>
      </c>
      <c r="I1030" s="28">
        <v>1090</v>
      </c>
      <c r="J1030" s="28">
        <v>416</v>
      </c>
      <c r="K1030" s="28">
        <v>674</v>
      </c>
      <c r="L1030" s="28">
        <v>64</v>
      </c>
      <c r="M1030" s="28">
        <v>1292</v>
      </c>
      <c r="N1030" s="28">
        <v>1265</v>
      </c>
      <c r="O1030" s="28">
        <v>1021</v>
      </c>
      <c r="P1030" s="28">
        <v>244</v>
      </c>
      <c r="Q1030" s="28">
        <v>27</v>
      </c>
      <c r="R1030" s="29">
        <v>94.454072800000006</v>
      </c>
      <c r="S1030" s="29">
        <v>36.048526899999999</v>
      </c>
      <c r="T1030" s="29">
        <v>58.4055459</v>
      </c>
      <c r="U1030" s="29">
        <v>5.5459272000000004</v>
      </c>
      <c r="V1030" s="29">
        <v>97.910216700000007</v>
      </c>
      <c r="W1030" s="29">
        <v>79.024767800000006</v>
      </c>
      <c r="X1030" s="29">
        <v>18.8854489</v>
      </c>
      <c r="Y1030" s="29">
        <v>2.0897833000000001</v>
      </c>
    </row>
    <row r="1031" spans="2:25" ht="15" hidden="1" customHeight="1">
      <c r="B1031" s="25">
        <v>1026</v>
      </c>
      <c r="C1031" s="26" t="s">
        <v>19</v>
      </c>
      <c r="D1031" s="26" t="s">
        <v>319</v>
      </c>
      <c r="E1031" s="26" t="s">
        <v>333</v>
      </c>
      <c r="F1031" s="26"/>
      <c r="G1031" s="27" t="s">
        <v>16</v>
      </c>
      <c r="H1031" s="28">
        <v>4261</v>
      </c>
      <c r="I1031" s="28">
        <v>2177</v>
      </c>
      <c r="J1031" s="28">
        <v>1179</v>
      </c>
      <c r="K1031" s="28">
        <v>998</v>
      </c>
      <c r="L1031" s="28">
        <v>2084</v>
      </c>
      <c r="M1031" s="28">
        <v>4924</v>
      </c>
      <c r="N1031" s="28">
        <v>3265</v>
      </c>
      <c r="O1031" s="28">
        <v>3056</v>
      </c>
      <c r="P1031" s="28">
        <v>209</v>
      </c>
      <c r="Q1031" s="28">
        <v>1659</v>
      </c>
      <c r="R1031" s="29">
        <v>51.091293100000001</v>
      </c>
      <c r="S1031" s="29">
        <v>27.669561099999999</v>
      </c>
      <c r="T1031" s="29">
        <v>23.421731999999999</v>
      </c>
      <c r="U1031" s="29">
        <v>48.908706899999999</v>
      </c>
      <c r="V1031" s="29">
        <v>66.307879799999995</v>
      </c>
      <c r="W1031" s="29">
        <v>62.063363099999997</v>
      </c>
      <c r="X1031" s="29">
        <v>4.2445167000000001</v>
      </c>
      <c r="Y1031" s="29">
        <v>33.692120199999998</v>
      </c>
    </row>
    <row r="1032" spans="2:25" ht="15" customHeight="1">
      <c r="B1032" s="30">
        <v>1027</v>
      </c>
      <c r="C1032" s="31" t="s">
        <v>21</v>
      </c>
      <c r="D1032" s="36" t="s">
        <v>319</v>
      </c>
      <c r="E1032" s="36" t="s">
        <v>333</v>
      </c>
      <c r="F1032" s="36" t="s">
        <v>203</v>
      </c>
      <c r="G1032" s="37" t="s">
        <v>203</v>
      </c>
      <c r="H1032" s="32">
        <v>5415</v>
      </c>
      <c r="I1032" s="32">
        <v>3267</v>
      </c>
      <c r="J1032" s="32">
        <v>1595</v>
      </c>
      <c r="K1032" s="32">
        <v>1672</v>
      </c>
      <c r="L1032" s="32">
        <v>2148</v>
      </c>
      <c r="M1032" s="32">
        <v>6216</v>
      </c>
      <c r="N1032" s="32">
        <v>4530</v>
      </c>
      <c r="O1032" s="32">
        <v>4077</v>
      </c>
      <c r="P1032" s="32">
        <v>453</v>
      </c>
      <c r="Q1032" s="32">
        <v>1686</v>
      </c>
      <c r="R1032" s="33">
        <v>60.332410000000003</v>
      </c>
      <c r="S1032" s="33">
        <v>29.455217000000001</v>
      </c>
      <c r="T1032" s="33">
        <v>30.877192999999998</v>
      </c>
      <c r="U1032" s="33">
        <v>39.667589999999997</v>
      </c>
      <c r="V1032" s="33">
        <v>72.876447900000002</v>
      </c>
      <c r="W1032" s="33">
        <v>65.588803100000007</v>
      </c>
      <c r="X1032" s="33">
        <v>7.2876447999999998</v>
      </c>
      <c r="Y1032" s="33">
        <v>27.123552100000001</v>
      </c>
    </row>
    <row r="1033" spans="2:25" ht="15" hidden="1" customHeight="1">
      <c r="B1033" s="25">
        <v>1028</v>
      </c>
      <c r="C1033" s="26" t="s">
        <v>21</v>
      </c>
      <c r="D1033" s="26" t="s">
        <v>319</v>
      </c>
      <c r="E1033" s="26" t="s">
        <v>333</v>
      </c>
      <c r="F1033" s="26" t="s">
        <v>203</v>
      </c>
      <c r="G1033" s="27" t="s">
        <v>15</v>
      </c>
      <c r="H1033" s="28">
        <v>1154</v>
      </c>
      <c r="I1033" s="28">
        <v>1090</v>
      </c>
      <c r="J1033" s="28">
        <v>416</v>
      </c>
      <c r="K1033" s="28">
        <v>674</v>
      </c>
      <c r="L1033" s="28">
        <v>64</v>
      </c>
      <c r="M1033" s="28">
        <v>1292</v>
      </c>
      <c r="N1033" s="28">
        <v>1265</v>
      </c>
      <c r="O1033" s="28">
        <v>1021</v>
      </c>
      <c r="P1033" s="28">
        <v>244</v>
      </c>
      <c r="Q1033" s="28">
        <v>27</v>
      </c>
      <c r="R1033" s="29">
        <v>94.454072800000006</v>
      </c>
      <c r="S1033" s="29">
        <v>36.048526899999999</v>
      </c>
      <c r="T1033" s="29">
        <v>58.4055459</v>
      </c>
      <c r="U1033" s="29">
        <v>5.5459272000000004</v>
      </c>
      <c r="V1033" s="29">
        <v>97.910216700000007</v>
      </c>
      <c r="W1033" s="29">
        <v>79.024767800000006</v>
      </c>
      <c r="X1033" s="29">
        <v>18.8854489</v>
      </c>
      <c r="Y1033" s="29">
        <v>2.0897833000000001</v>
      </c>
    </row>
    <row r="1034" spans="2:25" ht="15" hidden="1" customHeight="1">
      <c r="B1034" s="25">
        <v>1029</v>
      </c>
      <c r="C1034" s="26" t="s">
        <v>21</v>
      </c>
      <c r="D1034" s="26" t="s">
        <v>319</v>
      </c>
      <c r="E1034" s="26" t="s">
        <v>333</v>
      </c>
      <c r="F1034" s="26" t="s">
        <v>203</v>
      </c>
      <c r="G1034" s="27" t="s">
        <v>16</v>
      </c>
      <c r="H1034" s="28">
        <v>4261</v>
      </c>
      <c r="I1034" s="28">
        <v>2177</v>
      </c>
      <c r="J1034" s="28">
        <v>1179</v>
      </c>
      <c r="K1034" s="28">
        <v>998</v>
      </c>
      <c r="L1034" s="28">
        <v>2084</v>
      </c>
      <c r="M1034" s="28">
        <v>4924</v>
      </c>
      <c r="N1034" s="28">
        <v>3265</v>
      </c>
      <c r="O1034" s="28">
        <v>3056</v>
      </c>
      <c r="P1034" s="28">
        <v>209</v>
      </c>
      <c r="Q1034" s="28">
        <v>1659</v>
      </c>
      <c r="R1034" s="29">
        <v>51.091293100000001</v>
      </c>
      <c r="S1034" s="29">
        <v>27.669561099999999</v>
      </c>
      <c r="T1034" s="29">
        <v>23.421731999999999</v>
      </c>
      <c r="U1034" s="29">
        <v>48.908706899999999</v>
      </c>
      <c r="V1034" s="29">
        <v>66.307879799999995</v>
      </c>
      <c r="W1034" s="29">
        <v>62.063363099999997</v>
      </c>
      <c r="X1034" s="29">
        <v>4.2445167000000001</v>
      </c>
      <c r="Y1034" s="29">
        <v>33.692120199999998</v>
      </c>
    </row>
    <row r="1035" spans="2:25" ht="15" hidden="1" customHeight="1">
      <c r="B1035" s="13">
        <v>1030</v>
      </c>
      <c r="C1035" s="14" t="s">
        <v>17</v>
      </c>
      <c r="D1035" s="14" t="s">
        <v>334</v>
      </c>
      <c r="E1035" s="14"/>
      <c r="F1035" s="14"/>
      <c r="G1035" s="14" t="s">
        <v>334</v>
      </c>
      <c r="H1035" s="15">
        <v>644854</v>
      </c>
      <c r="I1035" s="15">
        <v>578675</v>
      </c>
      <c r="J1035" s="15">
        <v>285053</v>
      </c>
      <c r="K1035" s="15">
        <v>293622</v>
      </c>
      <c r="L1035" s="15">
        <v>66179</v>
      </c>
      <c r="M1035" s="15">
        <v>877257</v>
      </c>
      <c r="N1035" s="15">
        <v>823477</v>
      </c>
      <c r="O1035" s="15">
        <v>643649</v>
      </c>
      <c r="P1035" s="15">
        <v>179828</v>
      </c>
      <c r="Q1035" s="15">
        <v>53780</v>
      </c>
      <c r="R1035" s="16">
        <v>89.737366899999998</v>
      </c>
      <c r="S1035" s="16">
        <v>44.204269500000002</v>
      </c>
      <c r="T1035" s="16">
        <v>45.533097400000003</v>
      </c>
      <c r="U1035" s="16">
        <v>10.2626331</v>
      </c>
      <c r="V1035" s="16">
        <v>93.869527399999996</v>
      </c>
      <c r="W1035" s="16">
        <v>73.370631399999994</v>
      </c>
      <c r="X1035" s="16">
        <v>20.498895999999998</v>
      </c>
      <c r="Y1035" s="16">
        <v>6.1304726</v>
      </c>
    </row>
    <row r="1036" spans="2:25" ht="15" hidden="1" customHeight="1">
      <c r="B1036" s="17">
        <v>1031</v>
      </c>
      <c r="C1036" s="18" t="s">
        <v>17</v>
      </c>
      <c r="D1036" s="34" t="s">
        <v>334</v>
      </c>
      <c r="E1036" s="34"/>
      <c r="F1036" s="34"/>
      <c r="G1036" s="18" t="s">
        <v>15</v>
      </c>
      <c r="H1036" s="19">
        <v>529389</v>
      </c>
      <c r="I1036" s="19">
        <v>501573</v>
      </c>
      <c r="J1036" s="19">
        <v>242161</v>
      </c>
      <c r="K1036" s="19">
        <v>259412</v>
      </c>
      <c r="L1036" s="19">
        <v>27816</v>
      </c>
      <c r="M1036" s="19">
        <v>718856</v>
      </c>
      <c r="N1036" s="19">
        <v>702757</v>
      </c>
      <c r="O1036" s="19">
        <v>537342</v>
      </c>
      <c r="P1036" s="19">
        <v>165415</v>
      </c>
      <c r="Q1036" s="19">
        <v>16099</v>
      </c>
      <c r="R1036" s="20">
        <v>94.745640699999996</v>
      </c>
      <c r="S1036" s="20">
        <v>45.743489199999999</v>
      </c>
      <c r="T1036" s="20">
        <v>49.002151499999997</v>
      </c>
      <c r="U1036" s="20">
        <v>5.2543593</v>
      </c>
      <c r="V1036" s="20">
        <v>97.760469400000005</v>
      </c>
      <c r="W1036" s="20">
        <v>74.749602100000004</v>
      </c>
      <c r="X1036" s="20">
        <v>23.010867300000001</v>
      </c>
      <c r="Y1036" s="20">
        <v>2.2395306000000001</v>
      </c>
    </row>
    <row r="1037" spans="2:25" ht="15" hidden="1" customHeight="1">
      <c r="B1037" s="17">
        <v>1032</v>
      </c>
      <c r="C1037" s="18" t="s">
        <v>17</v>
      </c>
      <c r="D1037" s="34" t="s">
        <v>334</v>
      </c>
      <c r="E1037" s="34"/>
      <c r="F1037" s="34"/>
      <c r="G1037" s="18" t="s">
        <v>16</v>
      </c>
      <c r="H1037" s="19">
        <v>115465</v>
      </c>
      <c r="I1037" s="19">
        <v>77102</v>
      </c>
      <c r="J1037" s="19">
        <v>42892</v>
      </c>
      <c r="K1037" s="19">
        <v>34210</v>
      </c>
      <c r="L1037" s="19">
        <v>38363</v>
      </c>
      <c r="M1037" s="19">
        <v>158401</v>
      </c>
      <c r="N1037" s="19">
        <v>120720</v>
      </c>
      <c r="O1037" s="19">
        <v>106307</v>
      </c>
      <c r="P1037" s="19">
        <v>14413</v>
      </c>
      <c r="Q1037" s="19">
        <v>37681</v>
      </c>
      <c r="R1037" s="20">
        <v>66.775213300000004</v>
      </c>
      <c r="S1037" s="20">
        <v>37.147187500000001</v>
      </c>
      <c r="T1037" s="20">
        <v>29.6280258</v>
      </c>
      <c r="U1037" s="20">
        <v>33.224786700000003</v>
      </c>
      <c r="V1037" s="20">
        <v>76.211640099999997</v>
      </c>
      <c r="W1037" s="20">
        <v>67.112581399999996</v>
      </c>
      <c r="X1037" s="20">
        <v>9.0990587000000005</v>
      </c>
      <c r="Y1037" s="20">
        <v>23.7883599</v>
      </c>
    </row>
    <row r="1038" spans="2:25" ht="15" hidden="1" customHeight="1">
      <c r="B1038" s="21">
        <v>1033</v>
      </c>
      <c r="C1038" s="22" t="s">
        <v>19</v>
      </c>
      <c r="D1038" s="35" t="s">
        <v>334</v>
      </c>
      <c r="E1038" s="35" t="s">
        <v>335</v>
      </c>
      <c r="F1038" s="35"/>
      <c r="G1038" s="22" t="s">
        <v>335</v>
      </c>
      <c r="H1038" s="23">
        <v>410289</v>
      </c>
      <c r="I1038" s="23">
        <v>390203</v>
      </c>
      <c r="J1038" s="23">
        <v>189043</v>
      </c>
      <c r="K1038" s="23">
        <v>201160</v>
      </c>
      <c r="L1038" s="23">
        <v>20086</v>
      </c>
      <c r="M1038" s="23">
        <v>544512</v>
      </c>
      <c r="N1038" s="23">
        <v>533984</v>
      </c>
      <c r="O1038" s="23">
        <v>404767</v>
      </c>
      <c r="P1038" s="23">
        <v>129217</v>
      </c>
      <c r="Q1038" s="23">
        <v>10528</v>
      </c>
      <c r="R1038" s="24">
        <v>95.104426399999994</v>
      </c>
      <c r="S1038" s="24">
        <v>46.075571099999998</v>
      </c>
      <c r="T1038" s="24">
        <v>49.028855299999996</v>
      </c>
      <c r="U1038" s="24">
        <v>4.8955735999999996</v>
      </c>
      <c r="V1038" s="24">
        <v>98.066525600000006</v>
      </c>
      <c r="W1038" s="24">
        <v>74.335735499999998</v>
      </c>
      <c r="X1038" s="24">
        <v>23.7307901</v>
      </c>
      <c r="Y1038" s="24">
        <v>1.9334743999999999</v>
      </c>
    </row>
    <row r="1039" spans="2:25" ht="15" hidden="1" customHeight="1">
      <c r="B1039" s="25">
        <v>1034</v>
      </c>
      <c r="C1039" s="26" t="s">
        <v>19</v>
      </c>
      <c r="D1039" s="26" t="s">
        <v>334</v>
      </c>
      <c r="E1039" s="26" t="s">
        <v>335</v>
      </c>
      <c r="F1039" s="26"/>
      <c r="G1039" s="27" t="s">
        <v>15</v>
      </c>
      <c r="H1039" s="28">
        <v>392949</v>
      </c>
      <c r="I1039" s="28">
        <v>379032</v>
      </c>
      <c r="J1039" s="28">
        <v>182819</v>
      </c>
      <c r="K1039" s="28">
        <v>196213</v>
      </c>
      <c r="L1039" s="28">
        <v>13917</v>
      </c>
      <c r="M1039" s="28">
        <v>526832</v>
      </c>
      <c r="N1039" s="28">
        <v>519140</v>
      </c>
      <c r="O1039" s="28">
        <v>391784</v>
      </c>
      <c r="P1039" s="28">
        <v>127356</v>
      </c>
      <c r="Q1039" s="28">
        <v>7692</v>
      </c>
      <c r="R1039" s="29">
        <v>96.458319000000003</v>
      </c>
      <c r="S1039" s="29">
        <v>46.524867100000002</v>
      </c>
      <c r="T1039" s="29">
        <v>49.933451900000001</v>
      </c>
      <c r="U1039" s="29">
        <v>3.5416810000000001</v>
      </c>
      <c r="V1039" s="29">
        <v>98.539952</v>
      </c>
      <c r="W1039" s="29">
        <v>74.366021799999999</v>
      </c>
      <c r="X1039" s="29">
        <v>24.173930200000001</v>
      </c>
      <c r="Y1039" s="29">
        <v>1.460048</v>
      </c>
    </row>
    <row r="1040" spans="2:25" ht="15" hidden="1" customHeight="1">
      <c r="B1040" s="25">
        <v>1035</v>
      </c>
      <c r="C1040" s="26" t="s">
        <v>19</v>
      </c>
      <c r="D1040" s="26" t="s">
        <v>334</v>
      </c>
      <c r="E1040" s="26" t="s">
        <v>335</v>
      </c>
      <c r="F1040" s="26"/>
      <c r="G1040" s="27" t="s">
        <v>16</v>
      </c>
      <c r="H1040" s="28">
        <v>17340</v>
      </c>
      <c r="I1040" s="28">
        <v>11171</v>
      </c>
      <c r="J1040" s="28">
        <v>6224</v>
      </c>
      <c r="K1040" s="28">
        <v>4947</v>
      </c>
      <c r="L1040" s="28">
        <v>6169</v>
      </c>
      <c r="M1040" s="28">
        <v>17680</v>
      </c>
      <c r="N1040" s="28">
        <v>14844</v>
      </c>
      <c r="O1040" s="28">
        <v>12983</v>
      </c>
      <c r="P1040" s="28">
        <v>1861</v>
      </c>
      <c r="Q1040" s="28">
        <v>2836</v>
      </c>
      <c r="R1040" s="29">
        <v>64.423298700000004</v>
      </c>
      <c r="S1040" s="29">
        <v>35.893886999999999</v>
      </c>
      <c r="T1040" s="29">
        <v>28.529411799999998</v>
      </c>
      <c r="U1040" s="29">
        <v>35.576701300000003</v>
      </c>
      <c r="V1040" s="29">
        <v>83.959276000000003</v>
      </c>
      <c r="W1040" s="29">
        <v>73.433257900000001</v>
      </c>
      <c r="X1040" s="29">
        <v>10.5260181</v>
      </c>
      <c r="Y1040" s="29">
        <v>16.040724000000001</v>
      </c>
    </row>
    <row r="1041" spans="2:25" ht="15" customHeight="1">
      <c r="B1041" s="30">
        <v>1036</v>
      </c>
      <c r="C1041" s="31" t="s">
        <v>21</v>
      </c>
      <c r="D1041" s="36" t="s">
        <v>334</v>
      </c>
      <c r="E1041" s="36" t="s">
        <v>335</v>
      </c>
      <c r="F1041" s="36" t="s">
        <v>336</v>
      </c>
      <c r="G1041" s="37" t="s">
        <v>336</v>
      </c>
      <c r="H1041" s="32">
        <v>360441</v>
      </c>
      <c r="I1041" s="32">
        <v>348140</v>
      </c>
      <c r="J1041" s="32">
        <v>167394</v>
      </c>
      <c r="K1041" s="32">
        <v>180746</v>
      </c>
      <c r="L1041" s="32">
        <v>12301</v>
      </c>
      <c r="M1041" s="32">
        <v>453158</v>
      </c>
      <c r="N1041" s="32">
        <v>447792</v>
      </c>
      <c r="O1041" s="32">
        <v>335189</v>
      </c>
      <c r="P1041" s="32">
        <v>112603</v>
      </c>
      <c r="Q1041" s="32">
        <v>5366</v>
      </c>
      <c r="R1041" s="33">
        <v>96.587236200000007</v>
      </c>
      <c r="S1041" s="33">
        <v>46.441442600000002</v>
      </c>
      <c r="T1041" s="33">
        <v>50.145793599999998</v>
      </c>
      <c r="U1041" s="33">
        <v>3.4127638</v>
      </c>
      <c r="V1041" s="33">
        <v>98.815865500000001</v>
      </c>
      <c r="W1041" s="33">
        <v>73.967358000000004</v>
      </c>
      <c r="X1041" s="33">
        <v>24.848507600000001</v>
      </c>
      <c r="Y1041" s="33">
        <v>1.1841345000000001</v>
      </c>
    </row>
    <row r="1042" spans="2:25" ht="15" hidden="1" customHeight="1">
      <c r="B1042" s="25">
        <v>1037</v>
      </c>
      <c r="C1042" s="26" t="s">
        <v>21</v>
      </c>
      <c r="D1042" s="26" t="s">
        <v>334</v>
      </c>
      <c r="E1042" s="26" t="s">
        <v>335</v>
      </c>
      <c r="F1042" s="26" t="s">
        <v>336</v>
      </c>
      <c r="G1042" s="27" t="s">
        <v>15</v>
      </c>
      <c r="H1042" s="28">
        <v>357586</v>
      </c>
      <c r="I1042" s="28">
        <v>346234</v>
      </c>
      <c r="J1042" s="28">
        <v>166335</v>
      </c>
      <c r="K1042" s="28">
        <v>179899</v>
      </c>
      <c r="L1042" s="28">
        <v>11352</v>
      </c>
      <c r="M1042" s="28">
        <v>450791</v>
      </c>
      <c r="N1042" s="28">
        <v>445714</v>
      </c>
      <c r="O1042" s="28">
        <v>333341</v>
      </c>
      <c r="P1042" s="28">
        <v>112373</v>
      </c>
      <c r="Q1042" s="28">
        <v>5077</v>
      </c>
      <c r="R1042" s="29">
        <v>96.825379100000006</v>
      </c>
      <c r="S1042" s="29">
        <v>46.5160828</v>
      </c>
      <c r="T1042" s="29">
        <v>50.309296199999999</v>
      </c>
      <c r="U1042" s="29">
        <v>3.1746208999999999</v>
      </c>
      <c r="V1042" s="29">
        <v>98.873757499999996</v>
      </c>
      <c r="W1042" s="29">
        <v>73.945797499999998</v>
      </c>
      <c r="X1042" s="29">
        <v>24.927959999999999</v>
      </c>
      <c r="Y1042" s="29">
        <v>1.1262425</v>
      </c>
    </row>
    <row r="1043" spans="2:25" ht="15" hidden="1" customHeight="1">
      <c r="B1043" s="25">
        <v>1038</v>
      </c>
      <c r="C1043" s="26" t="s">
        <v>21</v>
      </c>
      <c r="D1043" s="26" t="s">
        <v>334</v>
      </c>
      <c r="E1043" s="26" t="s">
        <v>335</v>
      </c>
      <c r="F1043" s="26" t="s">
        <v>336</v>
      </c>
      <c r="G1043" s="27" t="s">
        <v>16</v>
      </c>
      <c r="H1043" s="28">
        <v>2855</v>
      </c>
      <c r="I1043" s="28">
        <v>1906</v>
      </c>
      <c r="J1043" s="28">
        <v>1059</v>
      </c>
      <c r="K1043" s="28">
        <v>847</v>
      </c>
      <c r="L1043" s="28">
        <v>949</v>
      </c>
      <c r="M1043" s="28">
        <v>2367</v>
      </c>
      <c r="N1043" s="28">
        <v>2078</v>
      </c>
      <c r="O1043" s="28">
        <v>1848</v>
      </c>
      <c r="P1043" s="28">
        <v>230</v>
      </c>
      <c r="Q1043" s="28">
        <v>289</v>
      </c>
      <c r="R1043" s="29">
        <v>66.760070099999993</v>
      </c>
      <c r="S1043" s="29">
        <v>37.092819599999999</v>
      </c>
      <c r="T1043" s="29">
        <v>29.6672504</v>
      </c>
      <c r="U1043" s="29">
        <v>33.2399299</v>
      </c>
      <c r="V1043" s="29">
        <v>87.790452000000002</v>
      </c>
      <c r="W1043" s="29">
        <v>78.073510799999994</v>
      </c>
      <c r="X1043" s="29">
        <v>9.7169413000000002</v>
      </c>
      <c r="Y1043" s="29">
        <v>12.209548</v>
      </c>
    </row>
    <row r="1044" spans="2:25" ht="15" customHeight="1">
      <c r="B1044" s="30">
        <v>1039</v>
      </c>
      <c r="C1044" s="31" t="s">
        <v>21</v>
      </c>
      <c r="D1044" s="36" t="s">
        <v>334</v>
      </c>
      <c r="E1044" s="36" t="s">
        <v>335</v>
      </c>
      <c r="F1044" s="36" t="s">
        <v>337</v>
      </c>
      <c r="G1044" s="37" t="s">
        <v>337</v>
      </c>
      <c r="H1044" s="32">
        <v>12677</v>
      </c>
      <c r="I1044" s="32">
        <v>10176</v>
      </c>
      <c r="J1044" s="32">
        <v>4983</v>
      </c>
      <c r="K1044" s="32">
        <v>5193</v>
      </c>
      <c r="L1044" s="32">
        <v>2501</v>
      </c>
      <c r="M1044" s="32">
        <v>27833</v>
      </c>
      <c r="N1044" s="32">
        <v>26149</v>
      </c>
      <c r="O1044" s="32">
        <v>21344</v>
      </c>
      <c r="P1044" s="32">
        <v>4805</v>
      </c>
      <c r="Q1044" s="32">
        <v>1684</v>
      </c>
      <c r="R1044" s="33">
        <v>80.271357600000002</v>
      </c>
      <c r="S1044" s="33">
        <v>39.307407099999999</v>
      </c>
      <c r="T1044" s="33">
        <v>40.963950500000003</v>
      </c>
      <c r="U1044" s="33">
        <v>19.728642399999998</v>
      </c>
      <c r="V1044" s="33">
        <v>93.949628099999998</v>
      </c>
      <c r="W1044" s="33">
        <v>76.685948300000007</v>
      </c>
      <c r="X1044" s="33">
        <v>17.263679799999998</v>
      </c>
      <c r="Y1044" s="33">
        <v>6.0503719</v>
      </c>
    </row>
    <row r="1045" spans="2:25" ht="15" hidden="1" customHeight="1">
      <c r="B1045" s="25">
        <v>1040</v>
      </c>
      <c r="C1045" s="26" t="s">
        <v>21</v>
      </c>
      <c r="D1045" s="26" t="s">
        <v>334</v>
      </c>
      <c r="E1045" s="26" t="s">
        <v>335</v>
      </c>
      <c r="F1045" s="26" t="s">
        <v>337</v>
      </c>
      <c r="G1045" s="27" t="s">
        <v>15</v>
      </c>
      <c r="H1045" s="28">
        <v>7746</v>
      </c>
      <c r="I1045" s="28">
        <v>7009</v>
      </c>
      <c r="J1045" s="28">
        <v>3548</v>
      </c>
      <c r="K1045" s="28">
        <v>3461</v>
      </c>
      <c r="L1045" s="28">
        <v>737</v>
      </c>
      <c r="M1045" s="28">
        <v>23514</v>
      </c>
      <c r="N1045" s="28">
        <v>22281</v>
      </c>
      <c r="O1045" s="28">
        <v>18005</v>
      </c>
      <c r="P1045" s="28">
        <v>4276</v>
      </c>
      <c r="Q1045" s="28">
        <v>1233</v>
      </c>
      <c r="R1045" s="29">
        <v>90.485411799999994</v>
      </c>
      <c r="S1045" s="29">
        <v>45.804286099999999</v>
      </c>
      <c r="T1045" s="29">
        <v>44.681125700000003</v>
      </c>
      <c r="U1045" s="29">
        <v>9.5145882000000004</v>
      </c>
      <c r="V1045" s="29">
        <v>94.756315400000005</v>
      </c>
      <c r="W1045" s="29">
        <v>76.571404299999998</v>
      </c>
      <c r="X1045" s="29">
        <v>18.184911100000001</v>
      </c>
      <c r="Y1045" s="29">
        <v>5.2436845999999999</v>
      </c>
    </row>
    <row r="1046" spans="2:25" ht="15" hidden="1" customHeight="1">
      <c r="B1046" s="25">
        <v>1041</v>
      </c>
      <c r="C1046" s="26" t="s">
        <v>21</v>
      </c>
      <c r="D1046" s="26" t="s">
        <v>334</v>
      </c>
      <c r="E1046" s="26" t="s">
        <v>335</v>
      </c>
      <c r="F1046" s="26" t="s">
        <v>337</v>
      </c>
      <c r="G1046" s="27" t="s">
        <v>16</v>
      </c>
      <c r="H1046" s="28">
        <v>4931</v>
      </c>
      <c r="I1046" s="28">
        <v>3167</v>
      </c>
      <c r="J1046" s="28">
        <v>1435</v>
      </c>
      <c r="K1046" s="28">
        <v>1732</v>
      </c>
      <c r="L1046" s="28">
        <v>1764</v>
      </c>
      <c r="M1046" s="28">
        <v>4319</v>
      </c>
      <c r="N1046" s="28">
        <v>3868</v>
      </c>
      <c r="O1046" s="28">
        <v>3339</v>
      </c>
      <c r="P1046" s="28">
        <v>529</v>
      </c>
      <c r="Q1046" s="28">
        <v>451</v>
      </c>
      <c r="R1046" s="29">
        <v>64.226323300000004</v>
      </c>
      <c r="S1046" s="29">
        <v>29.101602100000001</v>
      </c>
      <c r="T1046" s="29">
        <v>35.124721200000003</v>
      </c>
      <c r="U1046" s="29">
        <v>35.773676700000003</v>
      </c>
      <c r="V1046" s="29">
        <v>89.557767999999996</v>
      </c>
      <c r="W1046" s="29">
        <v>77.309562400000004</v>
      </c>
      <c r="X1046" s="29">
        <v>12.2482056</v>
      </c>
      <c r="Y1046" s="29">
        <v>10.442232000000001</v>
      </c>
    </row>
    <row r="1047" spans="2:25" ht="15" customHeight="1">
      <c r="B1047" s="30">
        <v>1042</v>
      </c>
      <c r="C1047" s="31" t="s">
        <v>21</v>
      </c>
      <c r="D1047" s="36" t="s">
        <v>334</v>
      </c>
      <c r="E1047" s="36" t="s">
        <v>335</v>
      </c>
      <c r="F1047" s="36" t="s">
        <v>338</v>
      </c>
      <c r="G1047" s="37" t="s">
        <v>338</v>
      </c>
      <c r="H1047" s="32">
        <v>3622</v>
      </c>
      <c r="I1047" s="32">
        <v>2668</v>
      </c>
      <c r="J1047" s="32">
        <v>1827</v>
      </c>
      <c r="K1047" s="32">
        <v>841</v>
      </c>
      <c r="L1047" s="32">
        <v>954</v>
      </c>
      <c r="M1047" s="32">
        <v>6642</v>
      </c>
      <c r="N1047" s="32">
        <v>6091</v>
      </c>
      <c r="O1047" s="32">
        <v>5508</v>
      </c>
      <c r="P1047" s="32">
        <v>583</v>
      </c>
      <c r="Q1047" s="32">
        <v>551</v>
      </c>
      <c r="R1047" s="33">
        <v>73.660960799999998</v>
      </c>
      <c r="S1047" s="33">
        <v>50.441744900000003</v>
      </c>
      <c r="T1047" s="33">
        <v>23.219215899999998</v>
      </c>
      <c r="U1047" s="33">
        <v>26.339039199999998</v>
      </c>
      <c r="V1047" s="33">
        <v>91.704305899999994</v>
      </c>
      <c r="W1047" s="33">
        <v>82.926829299999994</v>
      </c>
      <c r="X1047" s="33">
        <v>8.7774766999999994</v>
      </c>
      <c r="Y1047" s="33">
        <v>8.2956941000000004</v>
      </c>
    </row>
    <row r="1048" spans="2:25" ht="15" hidden="1" customHeight="1">
      <c r="B1048" s="25">
        <v>1043</v>
      </c>
      <c r="C1048" s="26" t="s">
        <v>21</v>
      </c>
      <c r="D1048" s="26" t="s">
        <v>334</v>
      </c>
      <c r="E1048" s="26" t="s">
        <v>335</v>
      </c>
      <c r="F1048" s="26" t="s">
        <v>338</v>
      </c>
      <c r="G1048" s="27" t="s">
        <v>15</v>
      </c>
      <c r="H1048" s="28">
        <v>958</v>
      </c>
      <c r="I1048" s="28">
        <v>934</v>
      </c>
      <c r="J1048" s="28">
        <v>810</v>
      </c>
      <c r="K1048" s="28">
        <v>124</v>
      </c>
      <c r="L1048" s="28">
        <v>24</v>
      </c>
      <c r="M1048" s="28">
        <v>3074</v>
      </c>
      <c r="N1048" s="28">
        <v>3026</v>
      </c>
      <c r="O1048" s="28">
        <v>2800</v>
      </c>
      <c r="P1048" s="28">
        <v>226</v>
      </c>
      <c r="Q1048" s="28">
        <v>48</v>
      </c>
      <c r="R1048" s="29">
        <v>97.494780800000001</v>
      </c>
      <c r="S1048" s="29">
        <v>84.5511482</v>
      </c>
      <c r="T1048" s="29">
        <v>12.943632600000001</v>
      </c>
      <c r="U1048" s="29">
        <v>2.5052192</v>
      </c>
      <c r="V1048" s="29">
        <v>98.4385166</v>
      </c>
      <c r="W1048" s="29">
        <v>91.086532199999994</v>
      </c>
      <c r="X1048" s="29">
        <v>7.3519844000000001</v>
      </c>
      <c r="Y1048" s="29">
        <v>1.5614834</v>
      </c>
    </row>
    <row r="1049" spans="2:25" ht="15" hidden="1" customHeight="1">
      <c r="B1049" s="25">
        <v>1044</v>
      </c>
      <c r="C1049" s="26" t="s">
        <v>21</v>
      </c>
      <c r="D1049" s="26" t="s">
        <v>334</v>
      </c>
      <c r="E1049" s="26" t="s">
        <v>335</v>
      </c>
      <c r="F1049" s="26" t="s">
        <v>338</v>
      </c>
      <c r="G1049" s="27" t="s">
        <v>16</v>
      </c>
      <c r="H1049" s="28">
        <v>2664</v>
      </c>
      <c r="I1049" s="28">
        <v>1734</v>
      </c>
      <c r="J1049" s="28">
        <v>1017</v>
      </c>
      <c r="K1049" s="28">
        <v>717</v>
      </c>
      <c r="L1049" s="28">
        <v>930</v>
      </c>
      <c r="M1049" s="28">
        <v>3568</v>
      </c>
      <c r="N1049" s="28">
        <v>3065</v>
      </c>
      <c r="O1049" s="28">
        <v>2708</v>
      </c>
      <c r="P1049" s="28">
        <v>357</v>
      </c>
      <c r="Q1049" s="28">
        <v>503</v>
      </c>
      <c r="R1049" s="29">
        <v>65.090090099999998</v>
      </c>
      <c r="S1049" s="29">
        <v>38.175675699999999</v>
      </c>
      <c r="T1049" s="29">
        <v>26.914414399999998</v>
      </c>
      <c r="U1049" s="29">
        <v>34.909909900000002</v>
      </c>
      <c r="V1049" s="29">
        <v>85.902466399999994</v>
      </c>
      <c r="W1049" s="29">
        <v>75.896861000000001</v>
      </c>
      <c r="X1049" s="29">
        <v>10.0056054</v>
      </c>
      <c r="Y1049" s="29">
        <v>14.0975336</v>
      </c>
    </row>
    <row r="1050" spans="2:25" ht="15" customHeight="1">
      <c r="B1050" s="30">
        <v>1045</v>
      </c>
      <c r="C1050" s="31" t="s">
        <v>21</v>
      </c>
      <c r="D1050" s="36" t="s">
        <v>334</v>
      </c>
      <c r="E1050" s="36" t="s">
        <v>335</v>
      </c>
      <c r="F1050" s="36" t="s">
        <v>339</v>
      </c>
      <c r="G1050" s="37" t="s">
        <v>339</v>
      </c>
      <c r="H1050" s="32">
        <v>21314</v>
      </c>
      <c r="I1050" s="32">
        <v>19548</v>
      </c>
      <c r="J1050" s="32">
        <v>10152</v>
      </c>
      <c r="K1050" s="32">
        <v>9396</v>
      </c>
      <c r="L1050" s="32">
        <v>1766</v>
      </c>
      <c r="M1050" s="32">
        <v>40267</v>
      </c>
      <c r="N1050" s="32">
        <v>39063</v>
      </c>
      <c r="O1050" s="32">
        <v>30728</v>
      </c>
      <c r="P1050" s="32">
        <v>8335</v>
      </c>
      <c r="Q1050" s="32">
        <v>1204</v>
      </c>
      <c r="R1050" s="33">
        <v>91.714366100000007</v>
      </c>
      <c r="S1050" s="33">
        <v>47.630665299999997</v>
      </c>
      <c r="T1050" s="33">
        <v>44.083700899999997</v>
      </c>
      <c r="U1050" s="33">
        <v>8.2856339000000006</v>
      </c>
      <c r="V1050" s="33">
        <v>97.009958499999996</v>
      </c>
      <c r="W1050" s="33">
        <v>76.310626600000006</v>
      </c>
      <c r="X1050" s="33">
        <v>20.699331999999998</v>
      </c>
      <c r="Y1050" s="33">
        <v>2.9900414999999998</v>
      </c>
    </row>
    <row r="1051" spans="2:25" ht="15" hidden="1" customHeight="1">
      <c r="B1051" s="25">
        <v>1046</v>
      </c>
      <c r="C1051" s="26" t="s">
        <v>21</v>
      </c>
      <c r="D1051" s="26" t="s">
        <v>334</v>
      </c>
      <c r="E1051" s="26" t="s">
        <v>335</v>
      </c>
      <c r="F1051" s="26" t="s">
        <v>339</v>
      </c>
      <c r="G1051" s="27" t="s">
        <v>15</v>
      </c>
      <c r="H1051" s="28">
        <v>18957</v>
      </c>
      <c r="I1051" s="28">
        <v>17704</v>
      </c>
      <c r="J1051" s="28">
        <v>8975</v>
      </c>
      <c r="K1051" s="28">
        <v>8729</v>
      </c>
      <c r="L1051" s="28">
        <v>1253</v>
      </c>
      <c r="M1051" s="28">
        <v>37921</v>
      </c>
      <c r="N1051" s="28">
        <v>36948</v>
      </c>
      <c r="O1051" s="28">
        <v>28970</v>
      </c>
      <c r="P1051" s="28">
        <v>7978</v>
      </c>
      <c r="Q1051" s="28">
        <v>973</v>
      </c>
      <c r="R1051" s="29">
        <v>93.390304400000005</v>
      </c>
      <c r="S1051" s="29">
        <v>47.343989000000001</v>
      </c>
      <c r="T1051" s="29">
        <v>46.046315300000003</v>
      </c>
      <c r="U1051" s="29">
        <v>6.6096956000000002</v>
      </c>
      <c r="V1051" s="29">
        <v>97.434139400000007</v>
      </c>
      <c r="W1051" s="29">
        <v>76.395664699999998</v>
      </c>
      <c r="X1051" s="29">
        <v>21.038474699999998</v>
      </c>
      <c r="Y1051" s="29">
        <v>2.5658606000000002</v>
      </c>
    </row>
    <row r="1052" spans="2:25" ht="15" hidden="1" customHeight="1">
      <c r="B1052" s="25">
        <v>1047</v>
      </c>
      <c r="C1052" s="26" t="s">
        <v>21</v>
      </c>
      <c r="D1052" s="26" t="s">
        <v>334</v>
      </c>
      <c r="E1052" s="26" t="s">
        <v>335</v>
      </c>
      <c r="F1052" s="26" t="s">
        <v>339</v>
      </c>
      <c r="G1052" s="27" t="s">
        <v>16</v>
      </c>
      <c r="H1052" s="28">
        <v>2357</v>
      </c>
      <c r="I1052" s="28">
        <v>1844</v>
      </c>
      <c r="J1052" s="28">
        <v>1177</v>
      </c>
      <c r="K1052" s="28">
        <v>667</v>
      </c>
      <c r="L1052" s="28">
        <v>513</v>
      </c>
      <c r="M1052" s="28">
        <v>2346</v>
      </c>
      <c r="N1052" s="28">
        <v>2115</v>
      </c>
      <c r="O1052" s="28">
        <v>1758</v>
      </c>
      <c r="P1052" s="28">
        <v>357</v>
      </c>
      <c r="Q1052" s="28">
        <v>231</v>
      </c>
      <c r="R1052" s="29">
        <v>78.235044500000001</v>
      </c>
      <c r="S1052" s="29">
        <v>49.936359799999998</v>
      </c>
      <c r="T1052" s="29">
        <v>28.2986848</v>
      </c>
      <c r="U1052" s="29">
        <v>21.764955499999999</v>
      </c>
      <c r="V1052" s="29">
        <v>90.153452700000003</v>
      </c>
      <c r="W1052" s="29">
        <v>74.9360614</v>
      </c>
      <c r="X1052" s="29">
        <v>15.217391299999999</v>
      </c>
      <c r="Y1052" s="29">
        <v>9.8465472999999992</v>
      </c>
    </row>
    <row r="1053" spans="2:25" ht="15" customHeight="1">
      <c r="B1053" s="30">
        <v>1048</v>
      </c>
      <c r="C1053" s="31" t="s">
        <v>21</v>
      </c>
      <c r="D1053" s="36" t="s">
        <v>334</v>
      </c>
      <c r="E1053" s="36" t="s">
        <v>335</v>
      </c>
      <c r="F1053" s="36" t="s">
        <v>340</v>
      </c>
      <c r="G1053" s="37" t="s">
        <v>340</v>
      </c>
      <c r="H1053" s="32">
        <v>12235</v>
      </c>
      <c r="I1053" s="32">
        <v>9671</v>
      </c>
      <c r="J1053" s="32">
        <v>4687</v>
      </c>
      <c r="K1053" s="32">
        <v>4984</v>
      </c>
      <c r="L1053" s="32">
        <v>2564</v>
      </c>
      <c r="M1053" s="32">
        <v>16612</v>
      </c>
      <c r="N1053" s="32">
        <v>14889</v>
      </c>
      <c r="O1053" s="32">
        <v>11998</v>
      </c>
      <c r="P1053" s="32">
        <v>2891</v>
      </c>
      <c r="Q1053" s="32">
        <v>1723</v>
      </c>
      <c r="R1053" s="33">
        <v>79.043727000000004</v>
      </c>
      <c r="S1053" s="33">
        <v>38.308132399999998</v>
      </c>
      <c r="T1053" s="33">
        <v>40.735594599999999</v>
      </c>
      <c r="U1053" s="33">
        <v>20.956272999999999</v>
      </c>
      <c r="V1053" s="33">
        <v>89.627979800000006</v>
      </c>
      <c r="W1053" s="33">
        <v>72.2248977</v>
      </c>
      <c r="X1053" s="33">
        <v>17.403082099999999</v>
      </c>
      <c r="Y1053" s="33">
        <v>10.3720202</v>
      </c>
    </row>
    <row r="1054" spans="2:25" ht="15" hidden="1" customHeight="1">
      <c r="B1054" s="25">
        <v>1049</v>
      </c>
      <c r="C1054" s="26" t="s">
        <v>21</v>
      </c>
      <c r="D1054" s="26" t="s">
        <v>334</v>
      </c>
      <c r="E1054" s="26" t="s">
        <v>335</v>
      </c>
      <c r="F1054" s="26" t="s">
        <v>340</v>
      </c>
      <c r="G1054" s="27" t="s">
        <v>15</v>
      </c>
      <c r="H1054" s="28">
        <v>7702</v>
      </c>
      <c r="I1054" s="28">
        <v>7151</v>
      </c>
      <c r="J1054" s="28">
        <v>3151</v>
      </c>
      <c r="K1054" s="28">
        <v>4000</v>
      </c>
      <c r="L1054" s="28">
        <v>551</v>
      </c>
      <c r="M1054" s="28">
        <v>11532</v>
      </c>
      <c r="N1054" s="28">
        <v>11171</v>
      </c>
      <c r="O1054" s="28">
        <v>8668</v>
      </c>
      <c r="P1054" s="28">
        <v>2503</v>
      </c>
      <c r="Q1054" s="28">
        <v>361</v>
      </c>
      <c r="R1054" s="29">
        <v>92.846013999999997</v>
      </c>
      <c r="S1054" s="29">
        <v>40.911451599999999</v>
      </c>
      <c r="T1054" s="29">
        <v>51.934562499999998</v>
      </c>
      <c r="U1054" s="29">
        <v>7.1539859999999997</v>
      </c>
      <c r="V1054" s="29">
        <v>96.869580299999996</v>
      </c>
      <c r="W1054" s="29">
        <v>75.164758899999995</v>
      </c>
      <c r="X1054" s="29">
        <v>21.7048214</v>
      </c>
      <c r="Y1054" s="29">
        <v>3.1304197</v>
      </c>
    </row>
    <row r="1055" spans="2:25" ht="15" hidden="1" customHeight="1">
      <c r="B1055" s="25">
        <v>1050</v>
      </c>
      <c r="C1055" s="26" t="s">
        <v>21</v>
      </c>
      <c r="D1055" s="26" t="s">
        <v>334</v>
      </c>
      <c r="E1055" s="26" t="s">
        <v>335</v>
      </c>
      <c r="F1055" s="26" t="s">
        <v>340</v>
      </c>
      <c r="G1055" s="27" t="s">
        <v>16</v>
      </c>
      <c r="H1055" s="28">
        <v>4533</v>
      </c>
      <c r="I1055" s="28">
        <v>2520</v>
      </c>
      <c r="J1055" s="28">
        <v>1536</v>
      </c>
      <c r="K1055" s="28">
        <v>984</v>
      </c>
      <c r="L1055" s="28">
        <v>2013</v>
      </c>
      <c r="M1055" s="28">
        <v>5080</v>
      </c>
      <c r="N1055" s="28">
        <v>3718</v>
      </c>
      <c r="O1055" s="28">
        <v>3330</v>
      </c>
      <c r="P1055" s="28">
        <v>388</v>
      </c>
      <c r="Q1055" s="28">
        <v>1362</v>
      </c>
      <c r="R1055" s="29">
        <v>55.592323</v>
      </c>
      <c r="S1055" s="29">
        <v>33.8848445</v>
      </c>
      <c r="T1055" s="29">
        <v>21.707478500000001</v>
      </c>
      <c r="U1055" s="29">
        <v>44.407677</v>
      </c>
      <c r="V1055" s="29">
        <v>73.188976400000001</v>
      </c>
      <c r="W1055" s="29">
        <v>65.551181099999994</v>
      </c>
      <c r="X1055" s="29">
        <v>7.6377952999999996</v>
      </c>
      <c r="Y1055" s="29">
        <v>26.811023599999999</v>
      </c>
    </row>
    <row r="1056" spans="2:25" ht="15" hidden="1" customHeight="1">
      <c r="B1056" s="21">
        <v>1051</v>
      </c>
      <c r="C1056" s="22" t="s">
        <v>19</v>
      </c>
      <c r="D1056" s="35" t="s">
        <v>334</v>
      </c>
      <c r="E1056" s="35" t="s">
        <v>341</v>
      </c>
      <c r="F1056" s="35"/>
      <c r="G1056" s="22" t="s">
        <v>341</v>
      </c>
      <c r="H1056" s="23">
        <v>25778</v>
      </c>
      <c r="I1056" s="23">
        <v>21462</v>
      </c>
      <c r="J1056" s="23">
        <v>10845</v>
      </c>
      <c r="K1056" s="23">
        <v>10617</v>
      </c>
      <c r="L1056" s="23">
        <v>4316</v>
      </c>
      <c r="M1056" s="23">
        <v>43493</v>
      </c>
      <c r="N1056" s="23">
        <v>41216</v>
      </c>
      <c r="O1056" s="23">
        <v>33160</v>
      </c>
      <c r="P1056" s="23">
        <v>8056</v>
      </c>
      <c r="Q1056" s="23">
        <v>2277</v>
      </c>
      <c r="R1056" s="24">
        <v>83.257040900000007</v>
      </c>
      <c r="S1056" s="24">
        <v>42.070757999999998</v>
      </c>
      <c r="T1056" s="24">
        <v>41.186282900000002</v>
      </c>
      <c r="U1056" s="24">
        <v>16.7429591</v>
      </c>
      <c r="V1056" s="24">
        <v>94.764674799999995</v>
      </c>
      <c r="W1056" s="24">
        <v>76.242153900000005</v>
      </c>
      <c r="X1056" s="24">
        <v>18.5225209</v>
      </c>
      <c r="Y1056" s="24">
        <v>5.2353252000000001</v>
      </c>
    </row>
    <row r="1057" spans="2:25" ht="15" hidden="1" customHeight="1">
      <c r="B1057" s="25">
        <v>1052</v>
      </c>
      <c r="C1057" s="26" t="s">
        <v>19</v>
      </c>
      <c r="D1057" s="26" t="s">
        <v>334</v>
      </c>
      <c r="E1057" s="26" t="s">
        <v>341</v>
      </c>
      <c r="F1057" s="26"/>
      <c r="G1057" s="27" t="s">
        <v>15</v>
      </c>
      <c r="H1057" s="28">
        <v>20750</v>
      </c>
      <c r="I1057" s="28">
        <v>17594</v>
      </c>
      <c r="J1057" s="28">
        <v>8965</v>
      </c>
      <c r="K1057" s="28">
        <v>8629</v>
      </c>
      <c r="L1057" s="28">
        <v>3156</v>
      </c>
      <c r="M1057" s="28">
        <v>37618</v>
      </c>
      <c r="N1057" s="28">
        <v>35837</v>
      </c>
      <c r="O1057" s="28">
        <v>28900</v>
      </c>
      <c r="P1057" s="28">
        <v>6937</v>
      </c>
      <c r="Q1057" s="28">
        <v>1781</v>
      </c>
      <c r="R1057" s="29">
        <v>84.790361399999995</v>
      </c>
      <c r="S1057" s="29">
        <v>43.204819299999997</v>
      </c>
      <c r="T1057" s="29">
        <v>41.585542199999999</v>
      </c>
      <c r="U1057" s="29">
        <v>15.2096386</v>
      </c>
      <c r="V1057" s="29">
        <v>95.265564400000002</v>
      </c>
      <c r="W1057" s="29">
        <v>76.824924199999998</v>
      </c>
      <c r="X1057" s="29">
        <v>18.4406401</v>
      </c>
      <c r="Y1057" s="29">
        <v>4.7344356000000003</v>
      </c>
    </row>
    <row r="1058" spans="2:25" ht="15" hidden="1" customHeight="1">
      <c r="B1058" s="25">
        <v>1053</v>
      </c>
      <c r="C1058" s="26" t="s">
        <v>19</v>
      </c>
      <c r="D1058" s="26" t="s">
        <v>334</v>
      </c>
      <c r="E1058" s="26" t="s">
        <v>341</v>
      </c>
      <c r="F1058" s="26"/>
      <c r="G1058" s="27" t="s">
        <v>16</v>
      </c>
      <c r="H1058" s="28">
        <v>5028</v>
      </c>
      <c r="I1058" s="28">
        <v>3868</v>
      </c>
      <c r="J1058" s="28">
        <v>1880</v>
      </c>
      <c r="K1058" s="28">
        <v>1988</v>
      </c>
      <c r="L1058" s="28">
        <v>1160</v>
      </c>
      <c r="M1058" s="28">
        <v>5875</v>
      </c>
      <c r="N1058" s="28">
        <v>5379</v>
      </c>
      <c r="O1058" s="28">
        <v>4260</v>
      </c>
      <c r="P1058" s="28">
        <v>1119</v>
      </c>
      <c r="Q1058" s="28">
        <v>496</v>
      </c>
      <c r="R1058" s="29">
        <v>76.929196500000003</v>
      </c>
      <c r="S1058" s="29">
        <v>37.390612599999997</v>
      </c>
      <c r="T1058" s="29">
        <v>39.538583899999999</v>
      </c>
      <c r="U1058" s="29">
        <v>23.0708035</v>
      </c>
      <c r="V1058" s="29">
        <v>91.557446799999994</v>
      </c>
      <c r="W1058" s="29">
        <v>72.510638299999997</v>
      </c>
      <c r="X1058" s="29">
        <v>19.046808500000001</v>
      </c>
      <c r="Y1058" s="29">
        <v>8.4425532000000008</v>
      </c>
    </row>
    <row r="1059" spans="2:25" ht="15" customHeight="1">
      <c r="B1059" s="30">
        <v>1054</v>
      </c>
      <c r="C1059" s="31" t="s">
        <v>21</v>
      </c>
      <c r="D1059" s="36" t="s">
        <v>334</v>
      </c>
      <c r="E1059" s="36" t="s">
        <v>341</v>
      </c>
      <c r="F1059" s="36" t="s">
        <v>341</v>
      </c>
      <c r="G1059" s="37" t="s">
        <v>341</v>
      </c>
      <c r="H1059" s="32">
        <v>23218</v>
      </c>
      <c r="I1059" s="32">
        <v>19178</v>
      </c>
      <c r="J1059" s="32">
        <v>9838</v>
      </c>
      <c r="K1059" s="32">
        <v>9340</v>
      </c>
      <c r="L1059" s="32">
        <v>4040</v>
      </c>
      <c r="M1059" s="32">
        <v>40597</v>
      </c>
      <c r="N1059" s="32">
        <v>38430</v>
      </c>
      <c r="O1059" s="32">
        <v>31305</v>
      </c>
      <c r="P1059" s="32">
        <v>7125</v>
      </c>
      <c r="Q1059" s="32">
        <v>2167</v>
      </c>
      <c r="R1059" s="33">
        <v>82.599707100000003</v>
      </c>
      <c r="S1059" s="33">
        <v>42.372297400000001</v>
      </c>
      <c r="T1059" s="33">
        <v>40.227409799999997</v>
      </c>
      <c r="U1059" s="33">
        <v>17.4002929</v>
      </c>
      <c r="V1059" s="33">
        <v>94.662167199999999</v>
      </c>
      <c r="W1059" s="33">
        <v>77.111609200000004</v>
      </c>
      <c r="X1059" s="33">
        <v>17.550557900000001</v>
      </c>
      <c r="Y1059" s="33">
        <v>5.3378328000000002</v>
      </c>
    </row>
    <row r="1060" spans="2:25" ht="15" hidden="1" customHeight="1">
      <c r="B1060" s="25">
        <v>1055</v>
      </c>
      <c r="C1060" s="26" t="s">
        <v>21</v>
      </c>
      <c r="D1060" s="26" t="s">
        <v>334</v>
      </c>
      <c r="E1060" s="26" t="s">
        <v>341</v>
      </c>
      <c r="F1060" s="26" t="s">
        <v>341</v>
      </c>
      <c r="G1060" s="27" t="s">
        <v>15</v>
      </c>
      <c r="H1060" s="28">
        <v>19509</v>
      </c>
      <c r="I1060" s="28">
        <v>16427</v>
      </c>
      <c r="J1060" s="28">
        <v>8464</v>
      </c>
      <c r="K1060" s="28">
        <v>7963</v>
      </c>
      <c r="L1060" s="28">
        <v>3082</v>
      </c>
      <c r="M1060" s="28">
        <v>36182</v>
      </c>
      <c r="N1060" s="28">
        <v>34422</v>
      </c>
      <c r="O1060" s="28">
        <v>28158</v>
      </c>
      <c r="P1060" s="28">
        <v>6264</v>
      </c>
      <c r="Q1060" s="28">
        <v>1760</v>
      </c>
      <c r="R1060" s="29">
        <v>84.202163100000007</v>
      </c>
      <c r="S1060" s="29">
        <v>43.385104300000002</v>
      </c>
      <c r="T1060" s="29">
        <v>40.817058799999998</v>
      </c>
      <c r="U1060" s="29">
        <v>15.7978369</v>
      </c>
      <c r="V1060" s="29">
        <v>95.135702800000004</v>
      </c>
      <c r="W1060" s="29">
        <v>77.823227000000003</v>
      </c>
      <c r="X1060" s="29">
        <v>17.312475800000001</v>
      </c>
      <c r="Y1060" s="29">
        <v>4.8642972000000002</v>
      </c>
    </row>
    <row r="1061" spans="2:25" ht="15" hidden="1" customHeight="1">
      <c r="B1061" s="25">
        <v>1056</v>
      </c>
      <c r="C1061" s="26" t="s">
        <v>21</v>
      </c>
      <c r="D1061" s="26" t="s">
        <v>334</v>
      </c>
      <c r="E1061" s="26" t="s">
        <v>341</v>
      </c>
      <c r="F1061" s="26" t="s">
        <v>341</v>
      </c>
      <c r="G1061" s="27" t="s">
        <v>16</v>
      </c>
      <c r="H1061" s="28">
        <v>3709</v>
      </c>
      <c r="I1061" s="28">
        <v>2751</v>
      </c>
      <c r="J1061" s="28">
        <v>1374</v>
      </c>
      <c r="K1061" s="28">
        <v>1377</v>
      </c>
      <c r="L1061" s="28">
        <v>958</v>
      </c>
      <c r="M1061" s="28">
        <v>4415</v>
      </c>
      <c r="N1061" s="28">
        <v>4008</v>
      </c>
      <c r="O1061" s="28">
        <v>3147</v>
      </c>
      <c r="P1061" s="28">
        <v>861</v>
      </c>
      <c r="Q1061" s="28">
        <v>407</v>
      </c>
      <c r="R1061" s="29">
        <v>74.170935600000007</v>
      </c>
      <c r="S1061" s="29">
        <v>37.045025600000002</v>
      </c>
      <c r="T1061" s="29">
        <v>37.125909900000003</v>
      </c>
      <c r="U1061" s="29">
        <v>25.8290644</v>
      </c>
      <c r="V1061" s="29">
        <v>90.781426999999994</v>
      </c>
      <c r="W1061" s="29">
        <v>71.279728199999994</v>
      </c>
      <c r="X1061" s="29">
        <v>19.5016988</v>
      </c>
      <c r="Y1061" s="29">
        <v>9.2185729999999992</v>
      </c>
    </row>
    <row r="1062" spans="2:25" ht="15" customHeight="1">
      <c r="B1062" s="30">
        <v>1057</v>
      </c>
      <c r="C1062" s="31" t="s">
        <v>21</v>
      </c>
      <c r="D1062" s="36" t="s">
        <v>334</v>
      </c>
      <c r="E1062" s="36" t="s">
        <v>341</v>
      </c>
      <c r="F1062" s="36" t="s">
        <v>342</v>
      </c>
      <c r="G1062" s="37" t="s">
        <v>342</v>
      </c>
      <c r="H1062" s="32">
        <v>2560</v>
      </c>
      <c r="I1062" s="32">
        <v>2284</v>
      </c>
      <c r="J1062" s="32">
        <v>1007</v>
      </c>
      <c r="K1062" s="32">
        <v>1277</v>
      </c>
      <c r="L1062" s="32">
        <v>276</v>
      </c>
      <c r="M1062" s="32">
        <v>2896</v>
      </c>
      <c r="N1062" s="32">
        <v>2786</v>
      </c>
      <c r="O1062" s="32">
        <v>1855</v>
      </c>
      <c r="P1062" s="32">
        <v>931</v>
      </c>
      <c r="Q1062" s="32">
        <v>110</v>
      </c>
      <c r="R1062" s="33">
        <v>89.21875</v>
      </c>
      <c r="S1062" s="33">
        <v>39.3359375</v>
      </c>
      <c r="T1062" s="33">
        <v>49.8828125</v>
      </c>
      <c r="U1062" s="33">
        <v>10.78125</v>
      </c>
      <c r="V1062" s="33">
        <v>96.201657499999996</v>
      </c>
      <c r="W1062" s="33">
        <v>64.053867400000001</v>
      </c>
      <c r="X1062" s="33">
        <v>32.147790100000002</v>
      </c>
      <c r="Y1062" s="33">
        <v>3.7983425</v>
      </c>
    </row>
    <row r="1063" spans="2:25" ht="15" hidden="1" customHeight="1">
      <c r="B1063" s="25">
        <v>1058</v>
      </c>
      <c r="C1063" s="26" t="s">
        <v>21</v>
      </c>
      <c r="D1063" s="26" t="s">
        <v>334</v>
      </c>
      <c r="E1063" s="26" t="s">
        <v>341</v>
      </c>
      <c r="F1063" s="26" t="s">
        <v>342</v>
      </c>
      <c r="G1063" s="27" t="s">
        <v>15</v>
      </c>
      <c r="H1063" s="28">
        <v>1241</v>
      </c>
      <c r="I1063" s="28">
        <v>1167</v>
      </c>
      <c r="J1063" s="28">
        <v>501</v>
      </c>
      <c r="K1063" s="28">
        <v>666</v>
      </c>
      <c r="L1063" s="28">
        <v>74</v>
      </c>
      <c r="M1063" s="28">
        <v>1436</v>
      </c>
      <c r="N1063" s="28">
        <v>1415</v>
      </c>
      <c r="O1063" s="28">
        <v>742</v>
      </c>
      <c r="P1063" s="28">
        <v>673</v>
      </c>
      <c r="Q1063" s="28">
        <v>21</v>
      </c>
      <c r="R1063" s="29">
        <v>94.037066899999999</v>
      </c>
      <c r="S1063" s="29">
        <v>40.370668799999997</v>
      </c>
      <c r="T1063" s="29">
        <v>53.666398100000002</v>
      </c>
      <c r="U1063" s="29">
        <v>5.9629330999999999</v>
      </c>
      <c r="V1063" s="29">
        <v>98.5376045</v>
      </c>
      <c r="W1063" s="29">
        <v>51.671309200000003</v>
      </c>
      <c r="X1063" s="29">
        <v>46.866295299999997</v>
      </c>
      <c r="Y1063" s="29">
        <v>1.4623955</v>
      </c>
    </row>
    <row r="1064" spans="2:25" ht="15" hidden="1" customHeight="1">
      <c r="B1064" s="25">
        <v>1059</v>
      </c>
      <c r="C1064" s="26" t="s">
        <v>21</v>
      </c>
      <c r="D1064" s="26" t="s">
        <v>334</v>
      </c>
      <c r="E1064" s="26" t="s">
        <v>341</v>
      </c>
      <c r="F1064" s="26" t="s">
        <v>342</v>
      </c>
      <c r="G1064" s="27" t="s">
        <v>16</v>
      </c>
      <c r="H1064" s="28">
        <v>1319</v>
      </c>
      <c r="I1064" s="28">
        <v>1117</v>
      </c>
      <c r="J1064" s="28">
        <v>506</v>
      </c>
      <c r="K1064" s="28">
        <v>611</v>
      </c>
      <c r="L1064" s="28">
        <v>202</v>
      </c>
      <c r="M1064" s="28">
        <v>1460</v>
      </c>
      <c r="N1064" s="28">
        <v>1371</v>
      </c>
      <c r="O1064" s="28">
        <v>1113</v>
      </c>
      <c r="P1064" s="28">
        <v>258</v>
      </c>
      <c r="Q1064" s="28">
        <v>89</v>
      </c>
      <c r="R1064" s="29">
        <v>84.6853677</v>
      </c>
      <c r="S1064" s="29">
        <v>38.362395800000002</v>
      </c>
      <c r="T1064" s="29">
        <v>46.322971899999999</v>
      </c>
      <c r="U1064" s="29">
        <v>15.3146323</v>
      </c>
      <c r="V1064" s="29">
        <v>93.904109599999998</v>
      </c>
      <c r="W1064" s="29">
        <v>76.232876700000006</v>
      </c>
      <c r="X1064" s="29">
        <v>17.6712329</v>
      </c>
      <c r="Y1064" s="29">
        <v>6.0958904</v>
      </c>
    </row>
    <row r="1065" spans="2:25" ht="15" hidden="1" customHeight="1">
      <c r="B1065" s="21">
        <v>1060</v>
      </c>
      <c r="C1065" s="22" t="s">
        <v>19</v>
      </c>
      <c r="D1065" s="35" t="s">
        <v>334</v>
      </c>
      <c r="E1065" s="35" t="s">
        <v>343</v>
      </c>
      <c r="F1065" s="35"/>
      <c r="G1065" s="22" t="s">
        <v>343</v>
      </c>
      <c r="H1065" s="23">
        <v>14546</v>
      </c>
      <c r="I1065" s="23">
        <v>13201</v>
      </c>
      <c r="J1065" s="23">
        <v>6137</v>
      </c>
      <c r="K1065" s="23">
        <v>7064</v>
      </c>
      <c r="L1065" s="23">
        <v>1345</v>
      </c>
      <c r="M1065" s="23">
        <v>25104</v>
      </c>
      <c r="N1065" s="23">
        <v>21409</v>
      </c>
      <c r="O1065" s="23">
        <v>17900</v>
      </c>
      <c r="P1065" s="23">
        <v>3509</v>
      </c>
      <c r="Q1065" s="23">
        <v>3695</v>
      </c>
      <c r="R1065" s="24">
        <v>90.753471700000006</v>
      </c>
      <c r="S1065" s="24">
        <v>42.190292900000003</v>
      </c>
      <c r="T1065" s="24">
        <v>48.563178899999997</v>
      </c>
      <c r="U1065" s="24">
        <v>9.2465282999999996</v>
      </c>
      <c r="V1065" s="24">
        <v>85.281230100000002</v>
      </c>
      <c r="W1065" s="24">
        <v>71.303377900000001</v>
      </c>
      <c r="X1065" s="24">
        <v>13.9778521</v>
      </c>
      <c r="Y1065" s="24">
        <v>14.7187699</v>
      </c>
    </row>
    <row r="1066" spans="2:25" ht="15" hidden="1" customHeight="1">
      <c r="B1066" s="25">
        <v>1061</v>
      </c>
      <c r="C1066" s="26" t="s">
        <v>19</v>
      </c>
      <c r="D1066" s="26" t="s">
        <v>334</v>
      </c>
      <c r="E1066" s="26" t="s">
        <v>343</v>
      </c>
      <c r="F1066" s="26"/>
      <c r="G1066" s="27" t="s">
        <v>15</v>
      </c>
      <c r="H1066" s="28">
        <v>6674</v>
      </c>
      <c r="I1066" s="28">
        <v>6533</v>
      </c>
      <c r="J1066" s="28">
        <v>2914</v>
      </c>
      <c r="K1066" s="28">
        <v>3619</v>
      </c>
      <c r="L1066" s="28">
        <v>141</v>
      </c>
      <c r="M1066" s="28">
        <v>10963</v>
      </c>
      <c r="N1066" s="28">
        <v>10480</v>
      </c>
      <c r="O1066" s="28">
        <v>8282</v>
      </c>
      <c r="P1066" s="28">
        <v>2198</v>
      </c>
      <c r="Q1066" s="28">
        <v>483</v>
      </c>
      <c r="R1066" s="29">
        <v>97.887323899999998</v>
      </c>
      <c r="S1066" s="29">
        <v>43.661971800000003</v>
      </c>
      <c r="T1066" s="29">
        <v>54.225352100000002</v>
      </c>
      <c r="U1066" s="29">
        <v>2.1126760999999998</v>
      </c>
      <c r="V1066" s="29">
        <v>95.594271599999999</v>
      </c>
      <c r="W1066" s="29">
        <v>75.545015100000001</v>
      </c>
      <c r="X1066" s="29">
        <v>20.0492566</v>
      </c>
      <c r="Y1066" s="29">
        <v>4.4057284000000001</v>
      </c>
    </row>
    <row r="1067" spans="2:25" ht="15" hidden="1" customHeight="1">
      <c r="B1067" s="25">
        <v>1062</v>
      </c>
      <c r="C1067" s="26" t="s">
        <v>19</v>
      </c>
      <c r="D1067" s="26" t="s">
        <v>334</v>
      </c>
      <c r="E1067" s="26" t="s">
        <v>343</v>
      </c>
      <c r="F1067" s="26"/>
      <c r="G1067" s="27" t="s">
        <v>16</v>
      </c>
      <c r="H1067" s="28">
        <v>7872</v>
      </c>
      <c r="I1067" s="28">
        <v>6668</v>
      </c>
      <c r="J1067" s="28">
        <v>3223</v>
      </c>
      <c r="K1067" s="28">
        <v>3445</v>
      </c>
      <c r="L1067" s="28">
        <v>1204</v>
      </c>
      <c r="M1067" s="28">
        <v>14141</v>
      </c>
      <c r="N1067" s="28">
        <v>10929</v>
      </c>
      <c r="O1067" s="28">
        <v>9618</v>
      </c>
      <c r="P1067" s="28">
        <v>1311</v>
      </c>
      <c r="Q1067" s="28">
        <v>3212</v>
      </c>
      <c r="R1067" s="29">
        <v>84.705284599999999</v>
      </c>
      <c r="S1067" s="29">
        <v>40.942581300000001</v>
      </c>
      <c r="T1067" s="29">
        <v>43.762703299999998</v>
      </c>
      <c r="U1067" s="29">
        <v>15.294715399999999</v>
      </c>
      <c r="V1067" s="29">
        <v>77.285906199999999</v>
      </c>
      <c r="W1067" s="29">
        <v>68.014991899999998</v>
      </c>
      <c r="X1067" s="29">
        <v>9.2709144000000006</v>
      </c>
      <c r="Y1067" s="29">
        <v>22.714093800000001</v>
      </c>
    </row>
    <row r="1068" spans="2:25" ht="15" customHeight="1">
      <c r="B1068" s="30">
        <v>1063</v>
      </c>
      <c r="C1068" s="31" t="s">
        <v>21</v>
      </c>
      <c r="D1068" s="36" t="s">
        <v>334</v>
      </c>
      <c r="E1068" s="36" t="s">
        <v>343</v>
      </c>
      <c r="F1068" s="36" t="s">
        <v>344</v>
      </c>
      <c r="G1068" s="37" t="s">
        <v>344</v>
      </c>
      <c r="H1068" s="32">
        <v>10825</v>
      </c>
      <c r="I1068" s="32">
        <v>10008</v>
      </c>
      <c r="J1068" s="32">
        <v>4795</v>
      </c>
      <c r="K1068" s="32">
        <v>5213</v>
      </c>
      <c r="L1068" s="32">
        <v>817</v>
      </c>
      <c r="M1068" s="32">
        <v>17760</v>
      </c>
      <c r="N1068" s="32">
        <v>15917</v>
      </c>
      <c r="O1068" s="32">
        <v>13072</v>
      </c>
      <c r="P1068" s="32">
        <v>2845</v>
      </c>
      <c r="Q1068" s="32">
        <v>1843</v>
      </c>
      <c r="R1068" s="33">
        <v>92.452655899999996</v>
      </c>
      <c r="S1068" s="33">
        <v>44.295611999999998</v>
      </c>
      <c r="T1068" s="33">
        <v>48.157043899999998</v>
      </c>
      <c r="U1068" s="33">
        <v>7.5473441000000001</v>
      </c>
      <c r="V1068" s="33">
        <v>89.622747700000005</v>
      </c>
      <c r="W1068" s="33">
        <v>73.6036036</v>
      </c>
      <c r="X1068" s="33">
        <v>16.019144099999998</v>
      </c>
      <c r="Y1068" s="33">
        <v>10.3772523</v>
      </c>
    </row>
    <row r="1069" spans="2:25" ht="15" hidden="1" customHeight="1">
      <c r="B1069" s="25">
        <v>1064</v>
      </c>
      <c r="C1069" s="26" t="s">
        <v>21</v>
      </c>
      <c r="D1069" s="26" t="s">
        <v>334</v>
      </c>
      <c r="E1069" s="26" t="s">
        <v>343</v>
      </c>
      <c r="F1069" s="26" t="s">
        <v>344</v>
      </c>
      <c r="G1069" s="27" t="s">
        <v>15</v>
      </c>
      <c r="H1069" s="28">
        <v>4874</v>
      </c>
      <c r="I1069" s="28">
        <v>4790</v>
      </c>
      <c r="J1069" s="28">
        <v>2126</v>
      </c>
      <c r="K1069" s="28">
        <v>2664</v>
      </c>
      <c r="L1069" s="28">
        <v>84</v>
      </c>
      <c r="M1069" s="28">
        <v>8746</v>
      </c>
      <c r="N1069" s="28">
        <v>8313</v>
      </c>
      <c r="O1069" s="28">
        <v>6388</v>
      </c>
      <c r="P1069" s="28">
        <v>1925</v>
      </c>
      <c r="Q1069" s="28">
        <v>433</v>
      </c>
      <c r="R1069" s="29">
        <v>98.276569600000002</v>
      </c>
      <c r="S1069" s="29">
        <v>43.619203900000002</v>
      </c>
      <c r="T1069" s="29">
        <v>54.657365599999999</v>
      </c>
      <c r="U1069" s="29">
        <v>1.7234304</v>
      </c>
      <c r="V1069" s="29">
        <v>95.049165299999999</v>
      </c>
      <c r="W1069" s="29">
        <v>73.039103600000004</v>
      </c>
      <c r="X1069" s="29">
        <v>22.010061700000001</v>
      </c>
      <c r="Y1069" s="29">
        <v>4.9508346999999997</v>
      </c>
    </row>
    <row r="1070" spans="2:25" ht="15" hidden="1" customHeight="1">
      <c r="B1070" s="25">
        <v>1065</v>
      </c>
      <c r="C1070" s="26" t="s">
        <v>21</v>
      </c>
      <c r="D1070" s="26" t="s">
        <v>334</v>
      </c>
      <c r="E1070" s="26" t="s">
        <v>343</v>
      </c>
      <c r="F1070" s="26" t="s">
        <v>344</v>
      </c>
      <c r="G1070" s="27" t="s">
        <v>16</v>
      </c>
      <c r="H1070" s="28">
        <v>5951</v>
      </c>
      <c r="I1070" s="28">
        <v>5218</v>
      </c>
      <c r="J1070" s="28">
        <v>2669</v>
      </c>
      <c r="K1070" s="28">
        <v>2549</v>
      </c>
      <c r="L1070" s="28">
        <v>733</v>
      </c>
      <c r="M1070" s="28">
        <v>9014</v>
      </c>
      <c r="N1070" s="28">
        <v>7604</v>
      </c>
      <c r="O1070" s="28">
        <v>6684</v>
      </c>
      <c r="P1070" s="28">
        <v>920</v>
      </c>
      <c r="Q1070" s="28">
        <v>1410</v>
      </c>
      <c r="R1070" s="29">
        <v>87.682742399999995</v>
      </c>
      <c r="S1070" s="29">
        <v>44.849605099999998</v>
      </c>
      <c r="T1070" s="29">
        <v>42.833137299999997</v>
      </c>
      <c r="U1070" s="29">
        <v>12.3172576</v>
      </c>
      <c r="V1070" s="29">
        <v>84.357665900000001</v>
      </c>
      <c r="W1070" s="29">
        <v>74.151320200000001</v>
      </c>
      <c r="X1070" s="29">
        <v>10.2063457</v>
      </c>
      <c r="Y1070" s="29">
        <v>15.642334099999999</v>
      </c>
    </row>
    <row r="1071" spans="2:25" ht="15" customHeight="1">
      <c r="B1071" s="30">
        <v>1066</v>
      </c>
      <c r="C1071" s="31" t="s">
        <v>21</v>
      </c>
      <c r="D1071" s="36" t="s">
        <v>334</v>
      </c>
      <c r="E1071" s="36" t="s">
        <v>343</v>
      </c>
      <c r="F1071" s="36" t="s">
        <v>345</v>
      </c>
      <c r="G1071" s="37" t="s">
        <v>345</v>
      </c>
      <c r="H1071" s="32">
        <v>2582</v>
      </c>
      <c r="I1071" s="32">
        <v>2206</v>
      </c>
      <c r="J1071" s="32">
        <v>975</v>
      </c>
      <c r="K1071" s="32">
        <v>1231</v>
      </c>
      <c r="L1071" s="32">
        <v>376</v>
      </c>
      <c r="M1071" s="32">
        <v>4447</v>
      </c>
      <c r="N1071" s="32">
        <v>3588</v>
      </c>
      <c r="O1071" s="32">
        <v>3237</v>
      </c>
      <c r="P1071" s="32">
        <v>351</v>
      </c>
      <c r="Q1071" s="32">
        <v>859</v>
      </c>
      <c r="R1071" s="33">
        <v>85.437645200000006</v>
      </c>
      <c r="S1071" s="33">
        <v>37.761425299999999</v>
      </c>
      <c r="T1071" s="33">
        <v>47.676220000000001</v>
      </c>
      <c r="U1071" s="33">
        <v>14.5623548</v>
      </c>
      <c r="V1071" s="33">
        <v>80.683606900000001</v>
      </c>
      <c r="W1071" s="33">
        <v>72.790645400000002</v>
      </c>
      <c r="X1071" s="33">
        <v>7.8929615000000002</v>
      </c>
      <c r="Y1071" s="33">
        <v>19.316393099999999</v>
      </c>
    </row>
    <row r="1072" spans="2:25" ht="15" hidden="1" customHeight="1">
      <c r="B1072" s="25">
        <v>1067</v>
      </c>
      <c r="C1072" s="26" t="s">
        <v>21</v>
      </c>
      <c r="D1072" s="26" t="s">
        <v>334</v>
      </c>
      <c r="E1072" s="26" t="s">
        <v>343</v>
      </c>
      <c r="F1072" s="26" t="s">
        <v>345</v>
      </c>
      <c r="G1072" s="27" t="s">
        <v>15</v>
      </c>
      <c r="H1072" s="28">
        <v>1177</v>
      </c>
      <c r="I1072" s="28">
        <v>1141</v>
      </c>
      <c r="J1072" s="28">
        <v>505</v>
      </c>
      <c r="K1072" s="28">
        <v>636</v>
      </c>
      <c r="L1072" s="28">
        <v>36</v>
      </c>
      <c r="M1072" s="28">
        <v>1456</v>
      </c>
      <c r="N1072" s="28">
        <v>1426</v>
      </c>
      <c r="O1072" s="28">
        <v>1289</v>
      </c>
      <c r="P1072" s="28">
        <v>137</v>
      </c>
      <c r="Q1072" s="28">
        <v>30</v>
      </c>
      <c r="R1072" s="29">
        <v>96.941376399999996</v>
      </c>
      <c r="S1072" s="29">
        <v>42.9056924</v>
      </c>
      <c r="T1072" s="29">
        <v>54.035683900000002</v>
      </c>
      <c r="U1072" s="29">
        <v>3.0586236000000002</v>
      </c>
      <c r="V1072" s="29">
        <v>97.939560400000005</v>
      </c>
      <c r="W1072" s="29">
        <v>88.530219799999998</v>
      </c>
      <c r="X1072" s="29">
        <v>9.4093406999999996</v>
      </c>
      <c r="Y1072" s="29">
        <v>2.0604396</v>
      </c>
    </row>
    <row r="1073" spans="2:25" ht="15" hidden="1" customHeight="1">
      <c r="B1073" s="25">
        <v>1068</v>
      </c>
      <c r="C1073" s="26" t="s">
        <v>21</v>
      </c>
      <c r="D1073" s="26" t="s">
        <v>334</v>
      </c>
      <c r="E1073" s="26" t="s">
        <v>343</v>
      </c>
      <c r="F1073" s="26" t="s">
        <v>345</v>
      </c>
      <c r="G1073" s="27" t="s">
        <v>16</v>
      </c>
      <c r="H1073" s="28">
        <v>1405</v>
      </c>
      <c r="I1073" s="28">
        <v>1065</v>
      </c>
      <c r="J1073" s="28">
        <v>470</v>
      </c>
      <c r="K1073" s="28">
        <v>595</v>
      </c>
      <c r="L1073" s="28">
        <v>340</v>
      </c>
      <c r="M1073" s="28">
        <v>2991</v>
      </c>
      <c r="N1073" s="28">
        <v>2162</v>
      </c>
      <c r="O1073" s="28">
        <v>1948</v>
      </c>
      <c r="P1073" s="28">
        <v>214</v>
      </c>
      <c r="Q1073" s="28">
        <v>829</v>
      </c>
      <c r="R1073" s="29">
        <v>75.800711699999994</v>
      </c>
      <c r="S1073" s="29">
        <v>33.451957299999997</v>
      </c>
      <c r="T1073" s="29">
        <v>42.348754399999997</v>
      </c>
      <c r="U1073" s="29">
        <v>24.199288299999999</v>
      </c>
      <c r="V1073" s="29">
        <v>72.283517200000006</v>
      </c>
      <c r="W1073" s="29">
        <v>65.128719500000003</v>
      </c>
      <c r="X1073" s="29">
        <v>7.1547976999999996</v>
      </c>
      <c r="Y1073" s="29">
        <v>27.716482800000001</v>
      </c>
    </row>
    <row r="1074" spans="2:25" ht="15" customHeight="1">
      <c r="B1074" s="30">
        <v>1069</v>
      </c>
      <c r="C1074" s="31" t="s">
        <v>21</v>
      </c>
      <c r="D1074" s="36" t="s">
        <v>334</v>
      </c>
      <c r="E1074" s="36" t="s">
        <v>343</v>
      </c>
      <c r="F1074" s="36" t="s">
        <v>346</v>
      </c>
      <c r="G1074" s="37" t="s">
        <v>346</v>
      </c>
      <c r="H1074" s="32">
        <v>1139</v>
      </c>
      <c r="I1074" s="32">
        <v>987</v>
      </c>
      <c r="J1074" s="32">
        <v>367</v>
      </c>
      <c r="K1074" s="32">
        <v>620</v>
      </c>
      <c r="L1074" s="32">
        <v>152</v>
      </c>
      <c r="M1074" s="32">
        <v>2897</v>
      </c>
      <c r="N1074" s="32">
        <v>1904</v>
      </c>
      <c r="O1074" s="32">
        <v>1591</v>
      </c>
      <c r="P1074" s="32">
        <v>313</v>
      </c>
      <c r="Q1074" s="32">
        <v>993</v>
      </c>
      <c r="R1074" s="33">
        <v>86.654960500000001</v>
      </c>
      <c r="S1074" s="33">
        <v>32.221246700000002</v>
      </c>
      <c r="T1074" s="33">
        <v>54.4337138</v>
      </c>
      <c r="U1074" s="33">
        <v>13.3450395</v>
      </c>
      <c r="V1074" s="33">
        <v>65.723161899999994</v>
      </c>
      <c r="W1074" s="33">
        <v>54.918881599999999</v>
      </c>
      <c r="X1074" s="33">
        <v>10.8042803</v>
      </c>
      <c r="Y1074" s="33">
        <v>34.276838099999999</v>
      </c>
    </row>
    <row r="1075" spans="2:25" ht="15" hidden="1" customHeight="1">
      <c r="B1075" s="25">
        <v>1070</v>
      </c>
      <c r="C1075" s="26" t="s">
        <v>21</v>
      </c>
      <c r="D1075" s="26" t="s">
        <v>334</v>
      </c>
      <c r="E1075" s="26" t="s">
        <v>343</v>
      </c>
      <c r="F1075" s="26" t="s">
        <v>346</v>
      </c>
      <c r="G1075" s="27" t="s">
        <v>15</v>
      </c>
      <c r="H1075" s="28">
        <v>623</v>
      </c>
      <c r="I1075" s="28">
        <v>602</v>
      </c>
      <c r="J1075" s="28">
        <v>283</v>
      </c>
      <c r="K1075" s="28">
        <v>319</v>
      </c>
      <c r="L1075" s="28">
        <v>21</v>
      </c>
      <c r="M1075" s="28">
        <v>761</v>
      </c>
      <c r="N1075" s="28">
        <v>741</v>
      </c>
      <c r="O1075" s="28">
        <v>605</v>
      </c>
      <c r="P1075" s="28">
        <v>136</v>
      </c>
      <c r="Q1075" s="28">
        <v>20</v>
      </c>
      <c r="R1075" s="29">
        <v>96.629213500000006</v>
      </c>
      <c r="S1075" s="29">
        <v>45.425361199999998</v>
      </c>
      <c r="T1075" s="29">
        <v>51.203852300000001</v>
      </c>
      <c r="U1075" s="29">
        <v>3.3707864999999999</v>
      </c>
      <c r="V1075" s="29">
        <v>97.371879100000001</v>
      </c>
      <c r="W1075" s="29">
        <v>79.500657000000004</v>
      </c>
      <c r="X1075" s="29">
        <v>17.871222100000001</v>
      </c>
      <c r="Y1075" s="29">
        <v>2.6281208999999999</v>
      </c>
    </row>
    <row r="1076" spans="2:25" ht="15" hidden="1" customHeight="1">
      <c r="B1076" s="25">
        <v>1071</v>
      </c>
      <c r="C1076" s="26" t="s">
        <v>21</v>
      </c>
      <c r="D1076" s="26" t="s">
        <v>334</v>
      </c>
      <c r="E1076" s="26" t="s">
        <v>343</v>
      </c>
      <c r="F1076" s="26" t="s">
        <v>346</v>
      </c>
      <c r="G1076" s="27" t="s">
        <v>16</v>
      </c>
      <c r="H1076" s="28">
        <v>516</v>
      </c>
      <c r="I1076" s="28">
        <v>385</v>
      </c>
      <c r="J1076" s="28">
        <v>84</v>
      </c>
      <c r="K1076" s="28">
        <v>301</v>
      </c>
      <c r="L1076" s="28">
        <v>131</v>
      </c>
      <c r="M1076" s="28">
        <v>2136</v>
      </c>
      <c r="N1076" s="28">
        <v>1163</v>
      </c>
      <c r="O1076" s="28">
        <v>986</v>
      </c>
      <c r="P1076" s="28">
        <v>177</v>
      </c>
      <c r="Q1076" s="28">
        <v>973</v>
      </c>
      <c r="R1076" s="29">
        <v>74.612403099999995</v>
      </c>
      <c r="S1076" s="29">
        <v>16.279069799999998</v>
      </c>
      <c r="T1076" s="29">
        <v>58.3333333</v>
      </c>
      <c r="U1076" s="29">
        <v>25.387596899999998</v>
      </c>
      <c r="V1076" s="29">
        <v>54.447565500000003</v>
      </c>
      <c r="W1076" s="29">
        <v>46.161048700000002</v>
      </c>
      <c r="X1076" s="29">
        <v>8.2865169000000005</v>
      </c>
      <c r="Y1076" s="29">
        <v>45.552434499999997</v>
      </c>
    </row>
    <row r="1077" spans="2:25" ht="15" hidden="1" customHeight="1">
      <c r="B1077" s="21">
        <v>1072</v>
      </c>
      <c r="C1077" s="22" t="s">
        <v>19</v>
      </c>
      <c r="D1077" s="35" t="s">
        <v>334</v>
      </c>
      <c r="E1077" s="35" t="s">
        <v>347</v>
      </c>
      <c r="F1077" s="35"/>
      <c r="G1077" s="22" t="s">
        <v>347</v>
      </c>
      <c r="H1077" s="23">
        <v>24574</v>
      </c>
      <c r="I1077" s="23">
        <v>16788</v>
      </c>
      <c r="J1077" s="23">
        <v>8270</v>
      </c>
      <c r="K1077" s="23">
        <v>8518</v>
      </c>
      <c r="L1077" s="23">
        <v>7786</v>
      </c>
      <c r="M1077" s="23">
        <v>32331</v>
      </c>
      <c r="N1077" s="23">
        <v>24770</v>
      </c>
      <c r="O1077" s="23">
        <v>20071</v>
      </c>
      <c r="P1077" s="23">
        <v>4699</v>
      </c>
      <c r="Q1077" s="23">
        <v>7561</v>
      </c>
      <c r="R1077" s="24">
        <v>68.316106500000004</v>
      </c>
      <c r="S1077" s="24">
        <v>33.6534549</v>
      </c>
      <c r="T1077" s="24">
        <v>34.662651599999997</v>
      </c>
      <c r="U1077" s="24">
        <v>31.6838935</v>
      </c>
      <c r="V1077" s="24">
        <v>76.613776299999998</v>
      </c>
      <c r="W1077" s="24">
        <v>62.079737700000003</v>
      </c>
      <c r="X1077" s="24">
        <v>14.534038499999999</v>
      </c>
      <c r="Y1077" s="24">
        <v>23.386223699999999</v>
      </c>
    </row>
    <row r="1078" spans="2:25" ht="15" hidden="1" customHeight="1">
      <c r="B1078" s="25">
        <v>1073</v>
      </c>
      <c r="C1078" s="26" t="s">
        <v>19</v>
      </c>
      <c r="D1078" s="26" t="s">
        <v>334</v>
      </c>
      <c r="E1078" s="26" t="s">
        <v>347</v>
      </c>
      <c r="F1078" s="26"/>
      <c r="G1078" s="27" t="s">
        <v>15</v>
      </c>
      <c r="H1078" s="28">
        <v>13523</v>
      </c>
      <c r="I1078" s="28">
        <v>11324</v>
      </c>
      <c r="J1078" s="28">
        <v>5394</v>
      </c>
      <c r="K1078" s="28">
        <v>5930</v>
      </c>
      <c r="L1078" s="28">
        <v>2199</v>
      </c>
      <c r="M1078" s="28">
        <v>16853</v>
      </c>
      <c r="N1078" s="28">
        <v>15914</v>
      </c>
      <c r="O1078" s="28">
        <v>11983</v>
      </c>
      <c r="P1078" s="28">
        <v>3931</v>
      </c>
      <c r="Q1078" s="28">
        <v>939</v>
      </c>
      <c r="R1078" s="29">
        <v>83.738815399999993</v>
      </c>
      <c r="S1078" s="29">
        <v>39.8875989</v>
      </c>
      <c r="T1078" s="29">
        <v>43.851216399999998</v>
      </c>
      <c r="U1078" s="29">
        <v>16.2611846</v>
      </c>
      <c r="V1078" s="29">
        <v>94.428291700000003</v>
      </c>
      <c r="W1078" s="29">
        <v>71.103067699999997</v>
      </c>
      <c r="X1078" s="29">
        <v>23.325223999999999</v>
      </c>
      <c r="Y1078" s="29">
        <v>5.5717083000000001</v>
      </c>
    </row>
    <row r="1079" spans="2:25" ht="15" hidden="1" customHeight="1">
      <c r="B1079" s="25">
        <v>1074</v>
      </c>
      <c r="C1079" s="26" t="s">
        <v>19</v>
      </c>
      <c r="D1079" s="26" t="s">
        <v>334</v>
      </c>
      <c r="E1079" s="26" t="s">
        <v>347</v>
      </c>
      <c r="F1079" s="26"/>
      <c r="G1079" s="27" t="s">
        <v>16</v>
      </c>
      <c r="H1079" s="28">
        <v>11051</v>
      </c>
      <c r="I1079" s="28">
        <v>5464</v>
      </c>
      <c r="J1079" s="28">
        <v>2876</v>
      </c>
      <c r="K1079" s="28">
        <v>2588</v>
      </c>
      <c r="L1079" s="28">
        <v>5587</v>
      </c>
      <c r="M1079" s="28">
        <v>15478</v>
      </c>
      <c r="N1079" s="28">
        <v>8856</v>
      </c>
      <c r="O1079" s="28">
        <v>8088</v>
      </c>
      <c r="P1079" s="28">
        <v>768</v>
      </c>
      <c r="Q1079" s="28">
        <v>6622</v>
      </c>
      <c r="R1079" s="29">
        <v>49.443489300000003</v>
      </c>
      <c r="S1079" s="29">
        <v>26.024794100000001</v>
      </c>
      <c r="T1079" s="29">
        <v>23.418695100000001</v>
      </c>
      <c r="U1079" s="29">
        <v>50.556510699999997</v>
      </c>
      <c r="V1079" s="29">
        <v>57.216694699999998</v>
      </c>
      <c r="W1079" s="29">
        <v>52.254813300000002</v>
      </c>
      <c r="X1079" s="29">
        <v>4.9618814000000002</v>
      </c>
      <c r="Y1079" s="29">
        <v>42.783305300000002</v>
      </c>
    </row>
    <row r="1080" spans="2:25" ht="15" customHeight="1">
      <c r="B1080" s="30">
        <v>1075</v>
      </c>
      <c r="C1080" s="31" t="s">
        <v>21</v>
      </c>
      <c r="D1080" s="36" t="s">
        <v>334</v>
      </c>
      <c r="E1080" s="36" t="s">
        <v>347</v>
      </c>
      <c r="F1080" s="36" t="s">
        <v>348</v>
      </c>
      <c r="G1080" s="37" t="s">
        <v>348</v>
      </c>
      <c r="H1080" s="32">
        <v>3171</v>
      </c>
      <c r="I1080" s="32">
        <v>2506</v>
      </c>
      <c r="J1080" s="32">
        <v>1501</v>
      </c>
      <c r="K1080" s="32">
        <v>1005</v>
      </c>
      <c r="L1080" s="32">
        <v>665</v>
      </c>
      <c r="M1080" s="32">
        <v>3776</v>
      </c>
      <c r="N1080" s="32">
        <v>3412</v>
      </c>
      <c r="O1080" s="32">
        <v>3018</v>
      </c>
      <c r="P1080" s="32">
        <v>394</v>
      </c>
      <c r="Q1080" s="32">
        <v>364</v>
      </c>
      <c r="R1080" s="33">
        <v>79.028697600000001</v>
      </c>
      <c r="S1080" s="33">
        <v>47.3352255</v>
      </c>
      <c r="T1080" s="33">
        <v>31.693472100000001</v>
      </c>
      <c r="U1080" s="33">
        <v>20.971302399999999</v>
      </c>
      <c r="V1080" s="33">
        <v>90.360169499999998</v>
      </c>
      <c r="W1080" s="33">
        <v>79.925847500000003</v>
      </c>
      <c r="X1080" s="33">
        <v>10.434322</v>
      </c>
      <c r="Y1080" s="33">
        <v>9.6398305000000004</v>
      </c>
    </row>
    <row r="1081" spans="2:25" ht="15" hidden="1" customHeight="1">
      <c r="B1081" s="25">
        <v>1076</v>
      </c>
      <c r="C1081" s="26" t="s">
        <v>21</v>
      </c>
      <c r="D1081" s="26" t="s">
        <v>334</v>
      </c>
      <c r="E1081" s="26" t="s">
        <v>347</v>
      </c>
      <c r="F1081" s="26" t="s">
        <v>348</v>
      </c>
      <c r="G1081" s="27" t="s">
        <v>15</v>
      </c>
      <c r="H1081" s="28">
        <v>1019</v>
      </c>
      <c r="I1081" s="28">
        <v>924</v>
      </c>
      <c r="J1081" s="28">
        <v>667</v>
      </c>
      <c r="K1081" s="28">
        <v>257</v>
      </c>
      <c r="L1081" s="28">
        <v>95</v>
      </c>
      <c r="M1081" s="28">
        <v>1435</v>
      </c>
      <c r="N1081" s="28">
        <v>1381</v>
      </c>
      <c r="O1081" s="28">
        <v>1168</v>
      </c>
      <c r="P1081" s="28">
        <v>213</v>
      </c>
      <c r="Q1081" s="28">
        <v>54</v>
      </c>
      <c r="R1081" s="29">
        <v>90.6771344</v>
      </c>
      <c r="S1081" s="29">
        <v>65.456329699999998</v>
      </c>
      <c r="T1081" s="29">
        <v>25.220804699999999</v>
      </c>
      <c r="U1081" s="29">
        <v>9.3228656000000001</v>
      </c>
      <c r="V1081" s="29">
        <v>96.236933800000003</v>
      </c>
      <c r="W1081" s="29">
        <v>81.393728199999998</v>
      </c>
      <c r="X1081" s="29">
        <v>14.843205599999999</v>
      </c>
      <c r="Y1081" s="29">
        <v>3.7630661999999999</v>
      </c>
    </row>
    <row r="1082" spans="2:25" ht="15" hidden="1" customHeight="1">
      <c r="B1082" s="25">
        <v>1077</v>
      </c>
      <c r="C1082" s="26" t="s">
        <v>21</v>
      </c>
      <c r="D1082" s="26" t="s">
        <v>334</v>
      </c>
      <c r="E1082" s="26" t="s">
        <v>347</v>
      </c>
      <c r="F1082" s="26" t="s">
        <v>348</v>
      </c>
      <c r="G1082" s="27" t="s">
        <v>16</v>
      </c>
      <c r="H1082" s="28">
        <v>2152</v>
      </c>
      <c r="I1082" s="28">
        <v>1582</v>
      </c>
      <c r="J1082" s="28">
        <v>834</v>
      </c>
      <c r="K1082" s="28">
        <v>748</v>
      </c>
      <c r="L1082" s="28">
        <v>570</v>
      </c>
      <c r="M1082" s="28">
        <v>2341</v>
      </c>
      <c r="N1082" s="28">
        <v>2031</v>
      </c>
      <c r="O1082" s="28">
        <v>1850</v>
      </c>
      <c r="P1082" s="28">
        <v>181</v>
      </c>
      <c r="Q1082" s="28">
        <v>310</v>
      </c>
      <c r="R1082" s="29">
        <v>73.513011199999994</v>
      </c>
      <c r="S1082" s="29">
        <v>38.754646800000003</v>
      </c>
      <c r="T1082" s="29">
        <v>34.758364299999997</v>
      </c>
      <c r="U1082" s="29">
        <v>26.486988799999999</v>
      </c>
      <c r="V1082" s="29">
        <v>86.757795799999997</v>
      </c>
      <c r="W1082" s="29">
        <v>79.026057199999997</v>
      </c>
      <c r="X1082" s="29">
        <v>7.7317385999999999</v>
      </c>
      <c r="Y1082" s="29">
        <v>13.2422042</v>
      </c>
    </row>
    <row r="1083" spans="2:25" ht="15" customHeight="1">
      <c r="B1083" s="30">
        <v>1078</v>
      </c>
      <c r="C1083" s="31" t="s">
        <v>21</v>
      </c>
      <c r="D1083" s="36" t="s">
        <v>334</v>
      </c>
      <c r="E1083" s="36" t="s">
        <v>347</v>
      </c>
      <c r="F1083" s="36" t="s">
        <v>349</v>
      </c>
      <c r="G1083" s="37" t="s">
        <v>349</v>
      </c>
      <c r="H1083" s="32">
        <v>4573</v>
      </c>
      <c r="I1083" s="32">
        <v>3534</v>
      </c>
      <c r="J1083" s="32">
        <v>1980</v>
      </c>
      <c r="K1083" s="32">
        <v>1554</v>
      </c>
      <c r="L1083" s="32">
        <v>1039</v>
      </c>
      <c r="M1083" s="32">
        <v>5523</v>
      </c>
      <c r="N1083" s="32">
        <v>4832</v>
      </c>
      <c r="O1083" s="32">
        <v>4012</v>
      </c>
      <c r="P1083" s="32">
        <v>820</v>
      </c>
      <c r="Q1083" s="32">
        <v>691</v>
      </c>
      <c r="R1083" s="33">
        <v>77.279685099999995</v>
      </c>
      <c r="S1083" s="33">
        <v>43.297616400000003</v>
      </c>
      <c r="T1083" s="33">
        <v>33.982068699999999</v>
      </c>
      <c r="U1083" s="33">
        <v>22.720314900000002</v>
      </c>
      <c r="V1083" s="33">
        <v>87.488683699999996</v>
      </c>
      <c r="W1083" s="33">
        <v>72.641680199999996</v>
      </c>
      <c r="X1083" s="33">
        <v>14.8470034</v>
      </c>
      <c r="Y1083" s="33">
        <v>12.511316300000001</v>
      </c>
    </row>
    <row r="1084" spans="2:25" ht="15" hidden="1" customHeight="1">
      <c r="B1084" s="25">
        <v>1079</v>
      </c>
      <c r="C1084" s="26" t="s">
        <v>21</v>
      </c>
      <c r="D1084" s="26" t="s">
        <v>334</v>
      </c>
      <c r="E1084" s="26" t="s">
        <v>347</v>
      </c>
      <c r="F1084" s="26" t="s">
        <v>349</v>
      </c>
      <c r="G1084" s="27" t="s">
        <v>15</v>
      </c>
      <c r="H1084" s="28">
        <v>2936</v>
      </c>
      <c r="I1084" s="28">
        <v>2535</v>
      </c>
      <c r="J1084" s="28">
        <v>1433</v>
      </c>
      <c r="K1084" s="28">
        <v>1102</v>
      </c>
      <c r="L1084" s="28">
        <v>401</v>
      </c>
      <c r="M1084" s="28">
        <v>3491</v>
      </c>
      <c r="N1084" s="28">
        <v>3334</v>
      </c>
      <c r="O1084" s="28">
        <v>2661</v>
      </c>
      <c r="P1084" s="28">
        <v>673</v>
      </c>
      <c r="Q1084" s="28">
        <v>157</v>
      </c>
      <c r="R1084" s="29">
        <v>86.341961900000001</v>
      </c>
      <c r="S1084" s="29">
        <v>48.807901899999997</v>
      </c>
      <c r="T1084" s="29">
        <v>37.534059900000003</v>
      </c>
      <c r="U1084" s="29">
        <v>13.658038100000001</v>
      </c>
      <c r="V1084" s="29">
        <v>95.502721300000005</v>
      </c>
      <c r="W1084" s="29">
        <v>76.224577499999995</v>
      </c>
      <c r="X1084" s="29">
        <v>19.278143799999999</v>
      </c>
      <c r="Y1084" s="29">
        <v>4.4972786999999999</v>
      </c>
    </row>
    <row r="1085" spans="2:25" ht="15" hidden="1" customHeight="1">
      <c r="B1085" s="25">
        <v>1080</v>
      </c>
      <c r="C1085" s="26" t="s">
        <v>21</v>
      </c>
      <c r="D1085" s="26" t="s">
        <v>334</v>
      </c>
      <c r="E1085" s="26" t="s">
        <v>347</v>
      </c>
      <c r="F1085" s="26" t="s">
        <v>349</v>
      </c>
      <c r="G1085" s="27" t="s">
        <v>16</v>
      </c>
      <c r="H1085" s="28">
        <v>1637</v>
      </c>
      <c r="I1085" s="28">
        <v>999</v>
      </c>
      <c r="J1085" s="28">
        <v>547</v>
      </c>
      <c r="K1085" s="28">
        <v>452</v>
      </c>
      <c r="L1085" s="28">
        <v>638</v>
      </c>
      <c r="M1085" s="28">
        <v>2032</v>
      </c>
      <c r="N1085" s="28">
        <v>1498</v>
      </c>
      <c r="O1085" s="28">
        <v>1351</v>
      </c>
      <c r="P1085" s="28">
        <v>147</v>
      </c>
      <c r="Q1085" s="28">
        <v>534</v>
      </c>
      <c r="R1085" s="29">
        <v>61.026267599999997</v>
      </c>
      <c r="S1085" s="29">
        <v>33.414783100000001</v>
      </c>
      <c r="T1085" s="29">
        <v>27.611484399999998</v>
      </c>
      <c r="U1085" s="29">
        <v>38.973732400000003</v>
      </c>
      <c r="V1085" s="29">
        <v>73.720472400000006</v>
      </c>
      <c r="W1085" s="29">
        <v>66.486220500000002</v>
      </c>
      <c r="X1085" s="29">
        <v>7.2342519999999997</v>
      </c>
      <c r="Y1085" s="29">
        <v>26.279527600000002</v>
      </c>
    </row>
    <row r="1086" spans="2:25" ht="15" customHeight="1">
      <c r="B1086" s="30">
        <v>1081</v>
      </c>
      <c r="C1086" s="31" t="s">
        <v>21</v>
      </c>
      <c r="D1086" s="36" t="s">
        <v>334</v>
      </c>
      <c r="E1086" s="36" t="s">
        <v>347</v>
      </c>
      <c r="F1086" s="36" t="s">
        <v>350</v>
      </c>
      <c r="G1086" s="37" t="s">
        <v>350</v>
      </c>
      <c r="H1086" s="32">
        <v>14775</v>
      </c>
      <c r="I1086" s="32">
        <v>9171</v>
      </c>
      <c r="J1086" s="32">
        <v>3899</v>
      </c>
      <c r="K1086" s="32">
        <v>5272</v>
      </c>
      <c r="L1086" s="32">
        <v>5604</v>
      </c>
      <c r="M1086" s="32">
        <v>20075</v>
      </c>
      <c r="N1086" s="32">
        <v>14137</v>
      </c>
      <c r="O1086" s="32">
        <v>11068</v>
      </c>
      <c r="P1086" s="32">
        <v>3069</v>
      </c>
      <c r="Q1086" s="32">
        <v>5938</v>
      </c>
      <c r="R1086" s="33">
        <v>62.071066000000002</v>
      </c>
      <c r="S1086" s="33">
        <v>26.3891709</v>
      </c>
      <c r="T1086" s="33">
        <v>35.681895099999998</v>
      </c>
      <c r="U1086" s="33">
        <v>37.928933999999998</v>
      </c>
      <c r="V1086" s="33">
        <v>70.420921500000006</v>
      </c>
      <c r="W1086" s="33">
        <v>55.1332503</v>
      </c>
      <c r="X1086" s="33">
        <v>15.2876712</v>
      </c>
      <c r="Y1086" s="33">
        <v>29.579078500000001</v>
      </c>
    </row>
    <row r="1087" spans="2:25" ht="15" hidden="1" customHeight="1">
      <c r="B1087" s="25">
        <v>1082</v>
      </c>
      <c r="C1087" s="26" t="s">
        <v>21</v>
      </c>
      <c r="D1087" s="26" t="s">
        <v>334</v>
      </c>
      <c r="E1087" s="26" t="s">
        <v>347</v>
      </c>
      <c r="F1087" s="26" t="s">
        <v>350</v>
      </c>
      <c r="G1087" s="27" t="s">
        <v>15</v>
      </c>
      <c r="H1087" s="28">
        <v>8484</v>
      </c>
      <c r="I1087" s="28">
        <v>6835</v>
      </c>
      <c r="J1087" s="28">
        <v>2709</v>
      </c>
      <c r="K1087" s="28">
        <v>4126</v>
      </c>
      <c r="L1087" s="28">
        <v>1649</v>
      </c>
      <c r="M1087" s="28">
        <v>10463</v>
      </c>
      <c r="N1087" s="28">
        <v>9834</v>
      </c>
      <c r="O1087" s="28">
        <v>7063</v>
      </c>
      <c r="P1087" s="28">
        <v>2771</v>
      </c>
      <c r="Q1087" s="28">
        <v>629</v>
      </c>
      <c r="R1087" s="29">
        <v>80.563413499999996</v>
      </c>
      <c r="S1087" s="29">
        <v>31.930693099999999</v>
      </c>
      <c r="T1087" s="29">
        <v>48.632720399999997</v>
      </c>
      <c r="U1087" s="29">
        <v>19.436586500000001</v>
      </c>
      <c r="V1087" s="29">
        <v>93.9883399</v>
      </c>
      <c r="W1087" s="29">
        <v>67.504539800000003</v>
      </c>
      <c r="X1087" s="29">
        <v>26.4838001</v>
      </c>
      <c r="Y1087" s="29">
        <v>6.0116601000000003</v>
      </c>
    </row>
    <row r="1088" spans="2:25" ht="15" hidden="1" customHeight="1">
      <c r="B1088" s="25">
        <v>1083</v>
      </c>
      <c r="C1088" s="26" t="s">
        <v>21</v>
      </c>
      <c r="D1088" s="26" t="s">
        <v>334</v>
      </c>
      <c r="E1088" s="26" t="s">
        <v>347</v>
      </c>
      <c r="F1088" s="26" t="s">
        <v>350</v>
      </c>
      <c r="G1088" s="27" t="s">
        <v>16</v>
      </c>
      <c r="H1088" s="28">
        <v>6291</v>
      </c>
      <c r="I1088" s="28">
        <v>2336</v>
      </c>
      <c r="J1088" s="28">
        <v>1190</v>
      </c>
      <c r="K1088" s="28">
        <v>1146</v>
      </c>
      <c r="L1088" s="28">
        <v>3955</v>
      </c>
      <c r="M1088" s="28">
        <v>9612</v>
      </c>
      <c r="N1088" s="28">
        <v>4303</v>
      </c>
      <c r="O1088" s="28">
        <v>4005</v>
      </c>
      <c r="P1088" s="28">
        <v>298</v>
      </c>
      <c r="Q1088" s="28">
        <v>5309</v>
      </c>
      <c r="R1088" s="29">
        <v>37.132411400000002</v>
      </c>
      <c r="S1088" s="29">
        <v>18.915911600000001</v>
      </c>
      <c r="T1088" s="29">
        <v>18.216499800000001</v>
      </c>
      <c r="U1088" s="29">
        <v>62.867588599999998</v>
      </c>
      <c r="V1088" s="29">
        <v>44.766958000000002</v>
      </c>
      <c r="W1088" s="29">
        <v>41.6666667</v>
      </c>
      <c r="X1088" s="29">
        <v>3.1002912999999999</v>
      </c>
      <c r="Y1088" s="29">
        <v>55.233041999999998</v>
      </c>
    </row>
    <row r="1089" spans="2:25" ht="15" customHeight="1">
      <c r="B1089" s="30">
        <v>1084</v>
      </c>
      <c r="C1089" s="31" t="s">
        <v>21</v>
      </c>
      <c r="D1089" s="36" t="s">
        <v>334</v>
      </c>
      <c r="E1089" s="36" t="s">
        <v>347</v>
      </c>
      <c r="F1089" s="36" t="s">
        <v>351</v>
      </c>
      <c r="G1089" s="37" t="s">
        <v>351</v>
      </c>
      <c r="H1089" s="32">
        <v>2055</v>
      </c>
      <c r="I1089" s="32">
        <v>1577</v>
      </c>
      <c r="J1089" s="32">
        <v>890</v>
      </c>
      <c r="K1089" s="32">
        <v>687</v>
      </c>
      <c r="L1089" s="32">
        <v>478</v>
      </c>
      <c r="M1089" s="32">
        <v>2957</v>
      </c>
      <c r="N1089" s="32">
        <v>2389</v>
      </c>
      <c r="O1089" s="32">
        <v>1973</v>
      </c>
      <c r="P1089" s="32">
        <v>416</v>
      </c>
      <c r="Q1089" s="32">
        <v>568</v>
      </c>
      <c r="R1089" s="33">
        <v>76.739659399999994</v>
      </c>
      <c r="S1089" s="33">
        <v>43.309002399999997</v>
      </c>
      <c r="T1089" s="33">
        <v>33.430656900000002</v>
      </c>
      <c r="U1089" s="33">
        <v>23.260340599999999</v>
      </c>
      <c r="V1089" s="33">
        <v>80.791342599999993</v>
      </c>
      <c r="W1089" s="33">
        <v>66.723030100000003</v>
      </c>
      <c r="X1089" s="33">
        <v>14.068312499999999</v>
      </c>
      <c r="Y1089" s="33">
        <v>19.2086574</v>
      </c>
    </row>
    <row r="1090" spans="2:25" ht="15" hidden="1" customHeight="1">
      <c r="B1090" s="25">
        <v>1085</v>
      </c>
      <c r="C1090" s="26" t="s">
        <v>21</v>
      </c>
      <c r="D1090" s="26" t="s">
        <v>334</v>
      </c>
      <c r="E1090" s="26" t="s">
        <v>347</v>
      </c>
      <c r="F1090" s="26" t="s">
        <v>351</v>
      </c>
      <c r="G1090" s="27" t="s">
        <v>15</v>
      </c>
      <c r="H1090" s="28">
        <v>1084</v>
      </c>
      <c r="I1090" s="28">
        <v>1030</v>
      </c>
      <c r="J1090" s="28">
        <v>585</v>
      </c>
      <c r="K1090" s="28">
        <v>445</v>
      </c>
      <c r="L1090" s="28">
        <v>54</v>
      </c>
      <c r="M1090" s="28">
        <v>1464</v>
      </c>
      <c r="N1090" s="28">
        <v>1365</v>
      </c>
      <c r="O1090" s="28">
        <v>1091</v>
      </c>
      <c r="P1090" s="28">
        <v>274</v>
      </c>
      <c r="Q1090" s="28">
        <v>99</v>
      </c>
      <c r="R1090" s="29">
        <v>95.018450200000004</v>
      </c>
      <c r="S1090" s="29">
        <v>53.9667897</v>
      </c>
      <c r="T1090" s="29">
        <v>41.051660499999997</v>
      </c>
      <c r="U1090" s="29">
        <v>4.9815497999999998</v>
      </c>
      <c r="V1090" s="29">
        <v>93.237704899999997</v>
      </c>
      <c r="W1090" s="29">
        <v>74.521857900000001</v>
      </c>
      <c r="X1090" s="29">
        <v>18.715847</v>
      </c>
      <c r="Y1090" s="29">
        <v>6.7622951000000002</v>
      </c>
    </row>
    <row r="1091" spans="2:25" ht="15" hidden="1" customHeight="1">
      <c r="B1091" s="25">
        <v>1086</v>
      </c>
      <c r="C1091" s="26" t="s">
        <v>21</v>
      </c>
      <c r="D1091" s="26" t="s">
        <v>334</v>
      </c>
      <c r="E1091" s="26" t="s">
        <v>347</v>
      </c>
      <c r="F1091" s="26" t="s">
        <v>351</v>
      </c>
      <c r="G1091" s="27" t="s">
        <v>16</v>
      </c>
      <c r="H1091" s="28">
        <v>971</v>
      </c>
      <c r="I1091" s="28">
        <v>547</v>
      </c>
      <c r="J1091" s="28">
        <v>305</v>
      </c>
      <c r="K1091" s="28">
        <v>242</v>
      </c>
      <c r="L1091" s="28">
        <v>424</v>
      </c>
      <c r="M1091" s="28">
        <v>1493</v>
      </c>
      <c r="N1091" s="28">
        <v>1024</v>
      </c>
      <c r="O1091" s="28">
        <v>882</v>
      </c>
      <c r="P1091" s="28">
        <v>142</v>
      </c>
      <c r="Q1091" s="28">
        <v>469</v>
      </c>
      <c r="R1091" s="29">
        <v>56.333676599999997</v>
      </c>
      <c r="S1091" s="29">
        <v>31.4109166</v>
      </c>
      <c r="T1091" s="29">
        <v>24.92276</v>
      </c>
      <c r="U1091" s="29">
        <v>43.666323400000003</v>
      </c>
      <c r="V1091" s="29">
        <v>68.586738100000005</v>
      </c>
      <c r="W1091" s="29">
        <v>59.075686500000003</v>
      </c>
      <c r="X1091" s="29">
        <v>9.5110516000000001</v>
      </c>
      <c r="Y1091" s="29">
        <v>31.413261899999998</v>
      </c>
    </row>
    <row r="1092" spans="2:25" ht="15" hidden="1" customHeight="1">
      <c r="B1092" s="21">
        <v>1087</v>
      </c>
      <c r="C1092" s="22" t="s">
        <v>19</v>
      </c>
      <c r="D1092" s="35" t="s">
        <v>334</v>
      </c>
      <c r="E1092" s="35" t="s">
        <v>352</v>
      </c>
      <c r="F1092" s="35"/>
      <c r="G1092" s="22" t="s">
        <v>352</v>
      </c>
      <c r="H1092" s="23">
        <v>15495</v>
      </c>
      <c r="I1092" s="23">
        <v>13967</v>
      </c>
      <c r="J1092" s="23">
        <v>8212</v>
      </c>
      <c r="K1092" s="23">
        <v>5755</v>
      </c>
      <c r="L1092" s="23">
        <v>1528</v>
      </c>
      <c r="M1092" s="23">
        <v>29925</v>
      </c>
      <c r="N1092" s="23">
        <v>25126</v>
      </c>
      <c r="O1092" s="23">
        <v>21791</v>
      </c>
      <c r="P1092" s="23">
        <v>3335</v>
      </c>
      <c r="Q1092" s="23">
        <v>4799</v>
      </c>
      <c r="R1092" s="24">
        <v>90.138754399999996</v>
      </c>
      <c r="S1092" s="24">
        <v>52.9977412</v>
      </c>
      <c r="T1092" s="24">
        <v>37.141013200000003</v>
      </c>
      <c r="U1092" s="24">
        <v>9.8612456000000002</v>
      </c>
      <c r="V1092" s="24">
        <v>83.963241400000001</v>
      </c>
      <c r="W1092" s="24">
        <v>72.818713500000001</v>
      </c>
      <c r="X1092" s="24">
        <v>11.144527999999999</v>
      </c>
      <c r="Y1092" s="24">
        <v>16.036758599999999</v>
      </c>
    </row>
    <row r="1093" spans="2:25" ht="15" hidden="1" customHeight="1">
      <c r="B1093" s="25">
        <v>1088</v>
      </c>
      <c r="C1093" s="26" t="s">
        <v>19</v>
      </c>
      <c r="D1093" s="26" t="s">
        <v>334</v>
      </c>
      <c r="E1093" s="26" t="s">
        <v>352</v>
      </c>
      <c r="F1093" s="26"/>
      <c r="G1093" s="27" t="s">
        <v>15</v>
      </c>
      <c r="H1093" s="28">
        <v>7260</v>
      </c>
      <c r="I1093" s="28">
        <v>6882</v>
      </c>
      <c r="J1093" s="28">
        <v>3294</v>
      </c>
      <c r="K1093" s="28">
        <v>3588</v>
      </c>
      <c r="L1093" s="28">
        <v>378</v>
      </c>
      <c r="M1093" s="28">
        <v>11099</v>
      </c>
      <c r="N1093" s="28">
        <v>10653</v>
      </c>
      <c r="O1093" s="28">
        <v>8518</v>
      </c>
      <c r="P1093" s="28">
        <v>2135</v>
      </c>
      <c r="Q1093" s="28">
        <v>446</v>
      </c>
      <c r="R1093" s="29">
        <v>94.793388399999998</v>
      </c>
      <c r="S1093" s="29">
        <v>45.371900799999999</v>
      </c>
      <c r="T1093" s="29">
        <v>49.421487599999999</v>
      </c>
      <c r="U1093" s="29">
        <v>5.2066115999999996</v>
      </c>
      <c r="V1093" s="29">
        <v>95.981620000000007</v>
      </c>
      <c r="W1093" s="29">
        <v>76.745652800000002</v>
      </c>
      <c r="X1093" s="29">
        <v>19.235967200000001</v>
      </c>
      <c r="Y1093" s="29">
        <v>4.0183799999999996</v>
      </c>
    </row>
    <row r="1094" spans="2:25" ht="15" hidden="1" customHeight="1">
      <c r="B1094" s="25">
        <v>1089</v>
      </c>
      <c r="C1094" s="26" t="s">
        <v>19</v>
      </c>
      <c r="D1094" s="26" t="s">
        <v>334</v>
      </c>
      <c r="E1094" s="26" t="s">
        <v>352</v>
      </c>
      <c r="F1094" s="26"/>
      <c r="G1094" s="27" t="s">
        <v>16</v>
      </c>
      <c r="H1094" s="28">
        <v>8235</v>
      </c>
      <c r="I1094" s="28">
        <v>7085</v>
      </c>
      <c r="J1094" s="28">
        <v>4918</v>
      </c>
      <c r="K1094" s="28">
        <v>2167</v>
      </c>
      <c r="L1094" s="28">
        <v>1150</v>
      </c>
      <c r="M1094" s="28">
        <v>18826</v>
      </c>
      <c r="N1094" s="28">
        <v>14473</v>
      </c>
      <c r="O1094" s="28">
        <v>13273</v>
      </c>
      <c r="P1094" s="28">
        <v>1200</v>
      </c>
      <c r="Q1094" s="28">
        <v>4353</v>
      </c>
      <c r="R1094" s="29">
        <v>86.035215500000007</v>
      </c>
      <c r="S1094" s="29">
        <v>59.720704300000001</v>
      </c>
      <c r="T1094" s="29">
        <v>26.314511199999998</v>
      </c>
      <c r="U1094" s="29">
        <v>13.9647845</v>
      </c>
      <c r="V1094" s="29">
        <v>76.877722300000002</v>
      </c>
      <c r="W1094" s="29">
        <v>70.503558900000002</v>
      </c>
      <c r="X1094" s="29">
        <v>6.3741633999999996</v>
      </c>
      <c r="Y1094" s="29">
        <v>23.122277700000001</v>
      </c>
    </row>
    <row r="1095" spans="2:25" ht="15" customHeight="1">
      <c r="B1095" s="30">
        <v>1090</v>
      </c>
      <c r="C1095" s="31" t="s">
        <v>21</v>
      </c>
      <c r="D1095" s="36" t="s">
        <v>334</v>
      </c>
      <c r="E1095" s="36" t="s">
        <v>352</v>
      </c>
      <c r="F1095" s="36" t="s">
        <v>353</v>
      </c>
      <c r="G1095" s="37" t="s">
        <v>353</v>
      </c>
      <c r="H1095" s="32">
        <v>4566</v>
      </c>
      <c r="I1095" s="32">
        <v>4153</v>
      </c>
      <c r="J1095" s="32">
        <v>1901</v>
      </c>
      <c r="K1095" s="32">
        <v>2252</v>
      </c>
      <c r="L1095" s="32">
        <v>413</v>
      </c>
      <c r="M1095" s="32">
        <v>11607</v>
      </c>
      <c r="N1095" s="32">
        <v>8596</v>
      </c>
      <c r="O1095" s="32">
        <v>7522</v>
      </c>
      <c r="P1095" s="32">
        <v>1074</v>
      </c>
      <c r="Q1095" s="32">
        <v>3011</v>
      </c>
      <c r="R1095" s="33">
        <v>90.954883899999999</v>
      </c>
      <c r="S1095" s="33">
        <v>41.633815200000001</v>
      </c>
      <c r="T1095" s="33">
        <v>49.321068799999999</v>
      </c>
      <c r="U1095" s="33">
        <v>9.0451160999999995</v>
      </c>
      <c r="V1095" s="33">
        <v>74.058757600000007</v>
      </c>
      <c r="W1095" s="33">
        <v>64.805720699999995</v>
      </c>
      <c r="X1095" s="33">
        <v>9.2530370000000008</v>
      </c>
      <c r="Y1095" s="33">
        <v>25.9412424</v>
      </c>
    </row>
    <row r="1096" spans="2:25" ht="15" hidden="1" customHeight="1">
      <c r="B1096" s="25">
        <v>1091</v>
      </c>
      <c r="C1096" s="26" t="s">
        <v>21</v>
      </c>
      <c r="D1096" s="26" t="s">
        <v>334</v>
      </c>
      <c r="E1096" s="26" t="s">
        <v>352</v>
      </c>
      <c r="F1096" s="26" t="s">
        <v>353</v>
      </c>
      <c r="G1096" s="27" t="s">
        <v>15</v>
      </c>
      <c r="H1096" s="28">
        <v>2680</v>
      </c>
      <c r="I1096" s="28">
        <v>2579</v>
      </c>
      <c r="J1096" s="28">
        <v>1122</v>
      </c>
      <c r="K1096" s="28">
        <v>1457</v>
      </c>
      <c r="L1096" s="28">
        <v>101</v>
      </c>
      <c r="M1096" s="28">
        <v>3535</v>
      </c>
      <c r="N1096" s="28">
        <v>3403</v>
      </c>
      <c r="O1096" s="28">
        <v>2715</v>
      </c>
      <c r="P1096" s="28">
        <v>688</v>
      </c>
      <c r="Q1096" s="28">
        <v>132</v>
      </c>
      <c r="R1096" s="29">
        <v>96.231343300000006</v>
      </c>
      <c r="S1096" s="29">
        <v>41.865671599999999</v>
      </c>
      <c r="T1096" s="29">
        <v>54.365671599999999</v>
      </c>
      <c r="U1096" s="29">
        <v>3.7686567000000002</v>
      </c>
      <c r="V1096" s="29">
        <v>96.265912299999997</v>
      </c>
      <c r="W1096" s="29">
        <v>76.803394600000004</v>
      </c>
      <c r="X1096" s="29">
        <v>19.462517699999999</v>
      </c>
      <c r="Y1096" s="29">
        <v>3.7340876999999999</v>
      </c>
    </row>
    <row r="1097" spans="2:25" ht="15" hidden="1" customHeight="1">
      <c r="B1097" s="25">
        <v>1092</v>
      </c>
      <c r="C1097" s="26" t="s">
        <v>21</v>
      </c>
      <c r="D1097" s="26" t="s">
        <v>334</v>
      </c>
      <c r="E1097" s="26" t="s">
        <v>352</v>
      </c>
      <c r="F1097" s="26" t="s">
        <v>353</v>
      </c>
      <c r="G1097" s="27" t="s">
        <v>16</v>
      </c>
      <c r="H1097" s="28">
        <v>1886</v>
      </c>
      <c r="I1097" s="28">
        <v>1574</v>
      </c>
      <c r="J1097" s="28">
        <v>779</v>
      </c>
      <c r="K1097" s="28">
        <v>795</v>
      </c>
      <c r="L1097" s="28">
        <v>312</v>
      </c>
      <c r="M1097" s="28">
        <v>8072</v>
      </c>
      <c r="N1097" s="28">
        <v>5193</v>
      </c>
      <c r="O1097" s="28">
        <v>4807</v>
      </c>
      <c r="P1097" s="28">
        <v>386</v>
      </c>
      <c r="Q1097" s="28">
        <v>2879</v>
      </c>
      <c r="R1097" s="29">
        <v>83.457052000000004</v>
      </c>
      <c r="S1097" s="29">
        <v>41.304347800000002</v>
      </c>
      <c r="T1097" s="29">
        <v>42.152704100000001</v>
      </c>
      <c r="U1097" s="29">
        <v>16.542947999999999</v>
      </c>
      <c r="V1097" s="29">
        <v>64.333498500000005</v>
      </c>
      <c r="W1097" s="29">
        <v>59.551536200000001</v>
      </c>
      <c r="X1097" s="29">
        <v>4.7819623</v>
      </c>
      <c r="Y1097" s="29">
        <v>35.666501500000003</v>
      </c>
    </row>
    <row r="1098" spans="2:25" ht="15" customHeight="1">
      <c r="B1098" s="30">
        <v>1093</v>
      </c>
      <c r="C1098" s="31" t="s">
        <v>21</v>
      </c>
      <c r="D1098" s="36" t="s">
        <v>334</v>
      </c>
      <c r="E1098" s="36" t="s">
        <v>352</v>
      </c>
      <c r="F1098" s="36" t="s">
        <v>354</v>
      </c>
      <c r="G1098" s="37" t="s">
        <v>354</v>
      </c>
      <c r="H1098" s="32">
        <v>7182</v>
      </c>
      <c r="I1098" s="32">
        <v>6511</v>
      </c>
      <c r="J1098" s="32">
        <v>4453</v>
      </c>
      <c r="K1098" s="32">
        <v>2058</v>
      </c>
      <c r="L1098" s="32">
        <v>671</v>
      </c>
      <c r="M1098" s="32">
        <v>12970</v>
      </c>
      <c r="N1098" s="32">
        <v>11647</v>
      </c>
      <c r="O1098" s="32">
        <v>10092</v>
      </c>
      <c r="P1098" s="32">
        <v>1555</v>
      </c>
      <c r="Q1098" s="32">
        <v>1323</v>
      </c>
      <c r="R1098" s="33">
        <v>90.657198600000001</v>
      </c>
      <c r="S1098" s="33">
        <v>62.0022278</v>
      </c>
      <c r="T1098" s="33">
        <v>28.654970800000001</v>
      </c>
      <c r="U1098" s="33">
        <v>9.3428014000000008</v>
      </c>
      <c r="V1098" s="33">
        <v>89.799537400000006</v>
      </c>
      <c r="W1098" s="33">
        <v>77.810331500000004</v>
      </c>
      <c r="X1098" s="33">
        <v>11.9892059</v>
      </c>
      <c r="Y1098" s="33">
        <v>10.2004626</v>
      </c>
    </row>
    <row r="1099" spans="2:25" ht="15" hidden="1" customHeight="1">
      <c r="B1099" s="25">
        <v>1094</v>
      </c>
      <c r="C1099" s="26" t="s">
        <v>21</v>
      </c>
      <c r="D1099" s="26" t="s">
        <v>334</v>
      </c>
      <c r="E1099" s="26" t="s">
        <v>352</v>
      </c>
      <c r="F1099" s="26" t="s">
        <v>354</v>
      </c>
      <c r="G1099" s="27" t="s">
        <v>15</v>
      </c>
      <c r="H1099" s="28">
        <v>2138</v>
      </c>
      <c r="I1099" s="28">
        <v>2005</v>
      </c>
      <c r="J1099" s="28">
        <v>887</v>
      </c>
      <c r="K1099" s="28">
        <v>1118</v>
      </c>
      <c r="L1099" s="28">
        <v>133</v>
      </c>
      <c r="M1099" s="28">
        <v>4296</v>
      </c>
      <c r="N1099" s="28">
        <v>4091</v>
      </c>
      <c r="O1099" s="28">
        <v>3130</v>
      </c>
      <c r="P1099" s="28">
        <v>961</v>
      </c>
      <c r="Q1099" s="28">
        <v>205</v>
      </c>
      <c r="R1099" s="29">
        <v>93.779232899999997</v>
      </c>
      <c r="S1099" s="29">
        <v>41.487371400000001</v>
      </c>
      <c r="T1099" s="29">
        <v>52.291861599999997</v>
      </c>
      <c r="U1099" s="29">
        <v>6.2207670999999998</v>
      </c>
      <c r="V1099" s="29">
        <v>95.228119199999995</v>
      </c>
      <c r="W1099" s="29">
        <v>72.858473000000004</v>
      </c>
      <c r="X1099" s="29">
        <v>22.369646199999998</v>
      </c>
      <c r="Y1099" s="29">
        <v>4.7718807999999999</v>
      </c>
    </row>
    <row r="1100" spans="2:25" ht="15" hidden="1" customHeight="1">
      <c r="B1100" s="25">
        <v>1095</v>
      </c>
      <c r="C1100" s="26" t="s">
        <v>21</v>
      </c>
      <c r="D1100" s="26" t="s">
        <v>334</v>
      </c>
      <c r="E1100" s="26" t="s">
        <v>352</v>
      </c>
      <c r="F1100" s="26" t="s">
        <v>354</v>
      </c>
      <c r="G1100" s="27" t="s">
        <v>16</v>
      </c>
      <c r="H1100" s="28">
        <v>5044</v>
      </c>
      <c r="I1100" s="28">
        <v>4506</v>
      </c>
      <c r="J1100" s="28">
        <v>3566</v>
      </c>
      <c r="K1100" s="28">
        <v>940</v>
      </c>
      <c r="L1100" s="28">
        <v>538</v>
      </c>
      <c r="M1100" s="28">
        <v>8674</v>
      </c>
      <c r="N1100" s="28">
        <v>7556</v>
      </c>
      <c r="O1100" s="28">
        <v>6962</v>
      </c>
      <c r="P1100" s="28">
        <v>594</v>
      </c>
      <c r="Q1100" s="28">
        <v>1118</v>
      </c>
      <c r="R1100" s="29">
        <v>89.333861999999996</v>
      </c>
      <c r="S1100" s="29">
        <v>70.697858800000006</v>
      </c>
      <c r="T1100" s="29">
        <v>18.636003200000001</v>
      </c>
      <c r="U1100" s="29">
        <v>10.666138</v>
      </c>
      <c r="V1100" s="29">
        <v>87.110906200000002</v>
      </c>
      <c r="W1100" s="29">
        <v>80.262854500000003</v>
      </c>
      <c r="X1100" s="29">
        <v>6.8480515999999998</v>
      </c>
      <c r="Y1100" s="29">
        <v>12.889093799999999</v>
      </c>
    </row>
    <row r="1101" spans="2:25" ht="15" customHeight="1">
      <c r="B1101" s="30">
        <v>1096</v>
      </c>
      <c r="C1101" s="31" t="s">
        <v>21</v>
      </c>
      <c r="D1101" s="36" t="s">
        <v>334</v>
      </c>
      <c r="E1101" s="36" t="s">
        <v>352</v>
      </c>
      <c r="F1101" s="36" t="s">
        <v>355</v>
      </c>
      <c r="G1101" s="37" t="s">
        <v>355</v>
      </c>
      <c r="H1101" s="32">
        <v>3747</v>
      </c>
      <c r="I1101" s="32">
        <v>3303</v>
      </c>
      <c r="J1101" s="32">
        <v>1858</v>
      </c>
      <c r="K1101" s="32">
        <v>1445</v>
      </c>
      <c r="L1101" s="32">
        <v>444</v>
      </c>
      <c r="M1101" s="32">
        <v>5348</v>
      </c>
      <c r="N1101" s="32">
        <v>4883</v>
      </c>
      <c r="O1101" s="32">
        <v>4177</v>
      </c>
      <c r="P1101" s="32">
        <v>706</v>
      </c>
      <c r="Q1101" s="32">
        <v>465</v>
      </c>
      <c r="R1101" s="33">
        <v>88.150520400000005</v>
      </c>
      <c r="S1101" s="33">
        <v>49.586335699999999</v>
      </c>
      <c r="T1101" s="33">
        <v>38.564184699999998</v>
      </c>
      <c r="U1101" s="33">
        <v>11.8494796</v>
      </c>
      <c r="V1101" s="33">
        <v>91.305160799999996</v>
      </c>
      <c r="W1101" s="33">
        <v>78.103964099999999</v>
      </c>
      <c r="X1101" s="33">
        <v>13.201196700000001</v>
      </c>
      <c r="Y1101" s="33">
        <v>8.6948392000000005</v>
      </c>
    </row>
    <row r="1102" spans="2:25" ht="15" hidden="1" customHeight="1">
      <c r="B1102" s="25">
        <v>1097</v>
      </c>
      <c r="C1102" s="26" t="s">
        <v>21</v>
      </c>
      <c r="D1102" s="26" t="s">
        <v>334</v>
      </c>
      <c r="E1102" s="26" t="s">
        <v>352</v>
      </c>
      <c r="F1102" s="26" t="s">
        <v>355</v>
      </c>
      <c r="G1102" s="27" t="s">
        <v>15</v>
      </c>
      <c r="H1102" s="28">
        <v>2442</v>
      </c>
      <c r="I1102" s="28">
        <v>2298</v>
      </c>
      <c r="J1102" s="28">
        <v>1285</v>
      </c>
      <c r="K1102" s="28">
        <v>1013</v>
      </c>
      <c r="L1102" s="28">
        <v>144</v>
      </c>
      <c r="M1102" s="28">
        <v>3268</v>
      </c>
      <c r="N1102" s="28">
        <v>3159</v>
      </c>
      <c r="O1102" s="28">
        <v>2673</v>
      </c>
      <c r="P1102" s="28">
        <v>486</v>
      </c>
      <c r="Q1102" s="28">
        <v>109</v>
      </c>
      <c r="R1102" s="29">
        <v>94.103194099999996</v>
      </c>
      <c r="S1102" s="29">
        <v>52.620802599999998</v>
      </c>
      <c r="T1102" s="29">
        <v>41.482391499999999</v>
      </c>
      <c r="U1102" s="29">
        <v>5.8968059000000004</v>
      </c>
      <c r="V1102" s="29">
        <v>96.664626699999999</v>
      </c>
      <c r="W1102" s="29">
        <v>81.793145699999997</v>
      </c>
      <c r="X1102" s="29">
        <v>14.871480999999999</v>
      </c>
      <c r="Y1102" s="29">
        <v>3.3353733000000001</v>
      </c>
    </row>
    <row r="1103" spans="2:25" ht="15" hidden="1" customHeight="1">
      <c r="B1103" s="25">
        <v>1098</v>
      </c>
      <c r="C1103" s="26" t="s">
        <v>21</v>
      </c>
      <c r="D1103" s="26" t="s">
        <v>334</v>
      </c>
      <c r="E1103" s="26" t="s">
        <v>352</v>
      </c>
      <c r="F1103" s="26" t="s">
        <v>355</v>
      </c>
      <c r="G1103" s="27" t="s">
        <v>16</v>
      </c>
      <c r="H1103" s="28">
        <v>1305</v>
      </c>
      <c r="I1103" s="28">
        <v>1005</v>
      </c>
      <c r="J1103" s="28">
        <v>573</v>
      </c>
      <c r="K1103" s="28">
        <v>432</v>
      </c>
      <c r="L1103" s="28">
        <v>300</v>
      </c>
      <c r="M1103" s="28">
        <v>2080</v>
      </c>
      <c r="N1103" s="28">
        <v>1724</v>
      </c>
      <c r="O1103" s="28">
        <v>1504</v>
      </c>
      <c r="P1103" s="28">
        <v>220</v>
      </c>
      <c r="Q1103" s="28">
        <v>356</v>
      </c>
      <c r="R1103" s="29">
        <v>77.011494299999995</v>
      </c>
      <c r="S1103" s="29">
        <v>43.908045999999999</v>
      </c>
      <c r="T1103" s="29">
        <v>33.103448299999997</v>
      </c>
      <c r="U1103" s="29">
        <v>22.988505700000001</v>
      </c>
      <c r="V1103" s="29">
        <v>82.884615400000001</v>
      </c>
      <c r="W1103" s="29">
        <v>72.307692299999999</v>
      </c>
      <c r="X1103" s="29">
        <v>10.5769231</v>
      </c>
      <c r="Y1103" s="29">
        <v>17.115384599999999</v>
      </c>
    </row>
    <row r="1104" spans="2:25" ht="15" hidden="1" customHeight="1">
      <c r="B1104" s="21">
        <v>1099</v>
      </c>
      <c r="C1104" s="22" t="s">
        <v>19</v>
      </c>
      <c r="D1104" s="35" t="s">
        <v>334</v>
      </c>
      <c r="E1104" s="35" t="s">
        <v>356</v>
      </c>
      <c r="F1104" s="35"/>
      <c r="G1104" s="22" t="s">
        <v>356</v>
      </c>
      <c r="H1104" s="23">
        <v>10451</v>
      </c>
      <c r="I1104" s="23">
        <v>8061</v>
      </c>
      <c r="J1104" s="23">
        <v>3485</v>
      </c>
      <c r="K1104" s="23">
        <v>4576</v>
      </c>
      <c r="L1104" s="23">
        <v>2390</v>
      </c>
      <c r="M1104" s="23">
        <v>12935</v>
      </c>
      <c r="N1104" s="23">
        <v>11561</v>
      </c>
      <c r="O1104" s="23">
        <v>9994</v>
      </c>
      <c r="P1104" s="23">
        <v>1567</v>
      </c>
      <c r="Q1104" s="23">
        <v>1374</v>
      </c>
      <c r="R1104" s="24">
        <v>77.131375000000006</v>
      </c>
      <c r="S1104" s="24">
        <v>33.346091299999998</v>
      </c>
      <c r="T1104" s="24">
        <v>43.785283700000001</v>
      </c>
      <c r="U1104" s="24">
        <v>22.868625000000002</v>
      </c>
      <c r="V1104" s="24">
        <v>89.377657499999998</v>
      </c>
      <c r="W1104" s="24">
        <v>77.263239299999995</v>
      </c>
      <c r="X1104" s="24">
        <v>12.114418199999999</v>
      </c>
      <c r="Y1104" s="24">
        <v>10.6223425</v>
      </c>
    </row>
    <row r="1105" spans="2:25" ht="15" hidden="1" customHeight="1">
      <c r="B1105" s="25">
        <v>1100</v>
      </c>
      <c r="C1105" s="26" t="s">
        <v>19</v>
      </c>
      <c r="D1105" s="26" t="s">
        <v>334</v>
      </c>
      <c r="E1105" s="26" t="s">
        <v>356</v>
      </c>
      <c r="F1105" s="26"/>
      <c r="G1105" s="27" t="s">
        <v>15</v>
      </c>
      <c r="H1105" s="28">
        <v>5404</v>
      </c>
      <c r="I1105" s="28">
        <v>4965</v>
      </c>
      <c r="J1105" s="28">
        <v>2173</v>
      </c>
      <c r="K1105" s="28">
        <v>2792</v>
      </c>
      <c r="L1105" s="28">
        <v>439</v>
      </c>
      <c r="M1105" s="28">
        <v>6698</v>
      </c>
      <c r="N1105" s="28">
        <v>6530</v>
      </c>
      <c r="O1105" s="28">
        <v>5447</v>
      </c>
      <c r="P1105" s="28">
        <v>1083</v>
      </c>
      <c r="Q1105" s="28">
        <v>168</v>
      </c>
      <c r="R1105" s="29">
        <v>91.876387899999997</v>
      </c>
      <c r="S1105" s="29">
        <v>40.210954800000003</v>
      </c>
      <c r="T1105" s="29">
        <v>51.665433</v>
      </c>
      <c r="U1105" s="29">
        <v>8.1236121000000008</v>
      </c>
      <c r="V1105" s="29">
        <v>97.491788600000007</v>
      </c>
      <c r="W1105" s="29">
        <v>81.322782900000007</v>
      </c>
      <c r="X1105" s="29">
        <v>16.1690057</v>
      </c>
      <c r="Y1105" s="29">
        <v>2.5082114</v>
      </c>
    </row>
    <row r="1106" spans="2:25" ht="15" hidden="1" customHeight="1">
      <c r="B1106" s="25">
        <v>1101</v>
      </c>
      <c r="C1106" s="26" t="s">
        <v>19</v>
      </c>
      <c r="D1106" s="26" t="s">
        <v>334</v>
      </c>
      <c r="E1106" s="26" t="s">
        <v>356</v>
      </c>
      <c r="F1106" s="26"/>
      <c r="G1106" s="27" t="s">
        <v>16</v>
      </c>
      <c r="H1106" s="28">
        <v>5047</v>
      </c>
      <c r="I1106" s="28">
        <v>3096</v>
      </c>
      <c r="J1106" s="28">
        <v>1312</v>
      </c>
      <c r="K1106" s="28">
        <v>1784</v>
      </c>
      <c r="L1106" s="28">
        <v>1951</v>
      </c>
      <c r="M1106" s="28">
        <v>6237</v>
      </c>
      <c r="N1106" s="28">
        <v>5031</v>
      </c>
      <c r="O1106" s="28">
        <v>4547</v>
      </c>
      <c r="P1106" s="28">
        <v>484</v>
      </c>
      <c r="Q1106" s="28">
        <v>1206</v>
      </c>
      <c r="R1106" s="29">
        <v>61.343372299999999</v>
      </c>
      <c r="S1106" s="29">
        <v>25.995640999999999</v>
      </c>
      <c r="T1106" s="29">
        <v>35.3477313</v>
      </c>
      <c r="U1106" s="29">
        <v>38.656627700000001</v>
      </c>
      <c r="V1106" s="29">
        <v>80.663780700000004</v>
      </c>
      <c r="W1106" s="29">
        <v>72.903639600000005</v>
      </c>
      <c r="X1106" s="29">
        <v>7.7601411000000002</v>
      </c>
      <c r="Y1106" s="29">
        <v>19.3362193</v>
      </c>
    </row>
    <row r="1107" spans="2:25" ht="15" customHeight="1">
      <c r="B1107" s="30">
        <v>1102</v>
      </c>
      <c r="C1107" s="31" t="s">
        <v>21</v>
      </c>
      <c r="D1107" s="36" t="s">
        <v>334</v>
      </c>
      <c r="E1107" s="36" t="s">
        <v>356</v>
      </c>
      <c r="F1107" s="36" t="s">
        <v>357</v>
      </c>
      <c r="G1107" s="37" t="s">
        <v>357</v>
      </c>
      <c r="H1107" s="32">
        <v>4119</v>
      </c>
      <c r="I1107" s="32">
        <v>3632</v>
      </c>
      <c r="J1107" s="32">
        <v>1619</v>
      </c>
      <c r="K1107" s="32">
        <v>2013</v>
      </c>
      <c r="L1107" s="32">
        <v>487</v>
      </c>
      <c r="M1107" s="32">
        <v>5445</v>
      </c>
      <c r="N1107" s="32">
        <v>5272</v>
      </c>
      <c r="O1107" s="32">
        <v>4403</v>
      </c>
      <c r="P1107" s="32">
        <v>869</v>
      </c>
      <c r="Q1107" s="32">
        <v>173</v>
      </c>
      <c r="R1107" s="33">
        <v>88.176741899999996</v>
      </c>
      <c r="S1107" s="33">
        <v>39.3056567</v>
      </c>
      <c r="T1107" s="33">
        <v>48.871085200000003</v>
      </c>
      <c r="U1107" s="33">
        <v>11.8232581</v>
      </c>
      <c r="V1107" s="33">
        <v>96.8227732</v>
      </c>
      <c r="W1107" s="33">
        <v>80.863177199999996</v>
      </c>
      <c r="X1107" s="33">
        <v>15.959595999999999</v>
      </c>
      <c r="Y1107" s="33">
        <v>3.1772268000000001</v>
      </c>
    </row>
    <row r="1108" spans="2:25" ht="15" hidden="1" customHeight="1">
      <c r="B1108" s="25">
        <v>1103</v>
      </c>
      <c r="C1108" s="26" t="s">
        <v>21</v>
      </c>
      <c r="D1108" s="26" t="s">
        <v>334</v>
      </c>
      <c r="E1108" s="26" t="s">
        <v>356</v>
      </c>
      <c r="F1108" s="26" t="s">
        <v>357</v>
      </c>
      <c r="G1108" s="27" t="s">
        <v>15</v>
      </c>
      <c r="H1108" s="28">
        <v>3189</v>
      </c>
      <c r="I1108" s="28">
        <v>2963</v>
      </c>
      <c r="J1108" s="28">
        <v>1261</v>
      </c>
      <c r="K1108" s="28">
        <v>1702</v>
      </c>
      <c r="L1108" s="28">
        <v>226</v>
      </c>
      <c r="M1108" s="28">
        <v>4186</v>
      </c>
      <c r="N1108" s="28">
        <v>4135</v>
      </c>
      <c r="O1108" s="28">
        <v>3473</v>
      </c>
      <c r="P1108" s="28">
        <v>662</v>
      </c>
      <c r="Q1108" s="28">
        <v>51</v>
      </c>
      <c r="R1108" s="29">
        <v>92.913138900000007</v>
      </c>
      <c r="S1108" s="29">
        <v>39.5421762</v>
      </c>
      <c r="T1108" s="29">
        <v>53.3709627</v>
      </c>
      <c r="U1108" s="29">
        <v>7.0868611000000001</v>
      </c>
      <c r="V1108" s="29">
        <v>98.7816531</v>
      </c>
      <c r="W1108" s="29">
        <v>82.967033000000001</v>
      </c>
      <c r="X1108" s="29">
        <v>15.8146202</v>
      </c>
      <c r="Y1108" s="29">
        <v>1.2183469</v>
      </c>
    </row>
    <row r="1109" spans="2:25" ht="15" hidden="1" customHeight="1">
      <c r="B1109" s="25">
        <v>1104</v>
      </c>
      <c r="C1109" s="26" t="s">
        <v>21</v>
      </c>
      <c r="D1109" s="26" t="s">
        <v>334</v>
      </c>
      <c r="E1109" s="26" t="s">
        <v>356</v>
      </c>
      <c r="F1109" s="26" t="s">
        <v>357</v>
      </c>
      <c r="G1109" s="27" t="s">
        <v>16</v>
      </c>
      <c r="H1109" s="28">
        <v>930</v>
      </c>
      <c r="I1109" s="28">
        <v>669</v>
      </c>
      <c r="J1109" s="28">
        <v>358</v>
      </c>
      <c r="K1109" s="28">
        <v>311</v>
      </c>
      <c r="L1109" s="28">
        <v>261</v>
      </c>
      <c r="M1109" s="28">
        <v>1259</v>
      </c>
      <c r="N1109" s="28">
        <v>1137</v>
      </c>
      <c r="O1109" s="28">
        <v>930</v>
      </c>
      <c r="P1109" s="28">
        <v>207</v>
      </c>
      <c r="Q1109" s="28">
        <v>122</v>
      </c>
      <c r="R1109" s="29">
        <v>71.935483899999994</v>
      </c>
      <c r="S1109" s="29">
        <v>38.494623699999998</v>
      </c>
      <c r="T1109" s="29">
        <v>33.440860200000003</v>
      </c>
      <c r="U1109" s="29">
        <v>28.064516099999999</v>
      </c>
      <c r="V1109" s="29">
        <v>90.309769700000004</v>
      </c>
      <c r="W1109" s="29">
        <v>73.868149299999999</v>
      </c>
      <c r="X1109" s="29">
        <v>16.4416203</v>
      </c>
      <c r="Y1109" s="29">
        <v>9.6902302999999996</v>
      </c>
    </row>
    <row r="1110" spans="2:25" ht="15" customHeight="1">
      <c r="B1110" s="30">
        <v>1105</v>
      </c>
      <c r="C1110" s="31" t="s">
        <v>21</v>
      </c>
      <c r="D1110" s="36" t="s">
        <v>334</v>
      </c>
      <c r="E1110" s="36" t="s">
        <v>356</v>
      </c>
      <c r="F1110" s="36" t="s">
        <v>358</v>
      </c>
      <c r="G1110" s="37" t="s">
        <v>358</v>
      </c>
      <c r="H1110" s="32">
        <v>4978</v>
      </c>
      <c r="I1110" s="32">
        <v>3276</v>
      </c>
      <c r="J1110" s="32">
        <v>1181</v>
      </c>
      <c r="K1110" s="32">
        <v>2095</v>
      </c>
      <c r="L1110" s="32">
        <v>1702</v>
      </c>
      <c r="M1110" s="32">
        <v>5957</v>
      </c>
      <c r="N1110" s="32">
        <v>4869</v>
      </c>
      <c r="O1110" s="32">
        <v>4439</v>
      </c>
      <c r="P1110" s="32">
        <v>430</v>
      </c>
      <c r="Q1110" s="32">
        <v>1088</v>
      </c>
      <c r="R1110" s="33">
        <v>65.809562099999994</v>
      </c>
      <c r="S1110" s="33">
        <v>23.7243873</v>
      </c>
      <c r="T1110" s="33">
        <v>42.085174799999997</v>
      </c>
      <c r="U1110" s="33">
        <v>34.190437899999999</v>
      </c>
      <c r="V1110" s="33">
        <v>81.735772999999995</v>
      </c>
      <c r="W1110" s="33">
        <v>74.517374500000003</v>
      </c>
      <c r="X1110" s="33">
        <v>7.2183985000000002</v>
      </c>
      <c r="Y1110" s="33">
        <v>18.264227000000002</v>
      </c>
    </row>
    <row r="1111" spans="2:25" ht="15" hidden="1" customHeight="1">
      <c r="B1111" s="25">
        <v>1106</v>
      </c>
      <c r="C1111" s="26" t="s">
        <v>21</v>
      </c>
      <c r="D1111" s="26" t="s">
        <v>334</v>
      </c>
      <c r="E1111" s="26" t="s">
        <v>356</v>
      </c>
      <c r="F1111" s="26" t="s">
        <v>358</v>
      </c>
      <c r="G1111" s="27" t="s">
        <v>15</v>
      </c>
      <c r="H1111" s="28">
        <v>1164</v>
      </c>
      <c r="I1111" s="28">
        <v>1058</v>
      </c>
      <c r="J1111" s="28">
        <v>340</v>
      </c>
      <c r="K1111" s="28">
        <v>718</v>
      </c>
      <c r="L1111" s="28">
        <v>106</v>
      </c>
      <c r="M1111" s="28">
        <v>1288</v>
      </c>
      <c r="N1111" s="28">
        <v>1230</v>
      </c>
      <c r="O1111" s="28">
        <v>1048</v>
      </c>
      <c r="P1111" s="28">
        <v>182</v>
      </c>
      <c r="Q1111" s="28">
        <v>58</v>
      </c>
      <c r="R1111" s="29">
        <v>90.893470800000003</v>
      </c>
      <c r="S1111" s="29">
        <v>29.209622</v>
      </c>
      <c r="T1111" s="29">
        <v>61.6838488</v>
      </c>
      <c r="U1111" s="29">
        <v>9.1065292000000007</v>
      </c>
      <c r="V1111" s="29">
        <v>95.496894400000002</v>
      </c>
      <c r="W1111" s="29">
        <v>81.366459599999999</v>
      </c>
      <c r="X1111" s="29">
        <v>14.1304348</v>
      </c>
      <c r="Y1111" s="29">
        <v>4.5031055999999996</v>
      </c>
    </row>
    <row r="1112" spans="2:25" ht="15" hidden="1" customHeight="1">
      <c r="B1112" s="25">
        <v>1107</v>
      </c>
      <c r="C1112" s="26" t="s">
        <v>21</v>
      </c>
      <c r="D1112" s="26" t="s">
        <v>334</v>
      </c>
      <c r="E1112" s="26" t="s">
        <v>356</v>
      </c>
      <c r="F1112" s="26" t="s">
        <v>358</v>
      </c>
      <c r="G1112" s="27" t="s">
        <v>16</v>
      </c>
      <c r="H1112" s="28">
        <v>3814</v>
      </c>
      <c r="I1112" s="28">
        <v>2218</v>
      </c>
      <c r="J1112" s="28">
        <v>841</v>
      </c>
      <c r="K1112" s="28">
        <v>1377</v>
      </c>
      <c r="L1112" s="28">
        <v>1596</v>
      </c>
      <c r="M1112" s="28">
        <v>4669</v>
      </c>
      <c r="N1112" s="28">
        <v>3639</v>
      </c>
      <c r="O1112" s="28">
        <v>3391</v>
      </c>
      <c r="P1112" s="28">
        <v>248</v>
      </c>
      <c r="Q1112" s="28">
        <v>1030</v>
      </c>
      <c r="R1112" s="29">
        <v>58.154168900000002</v>
      </c>
      <c r="S1112" s="29">
        <v>22.050340800000001</v>
      </c>
      <c r="T1112" s="29">
        <v>36.103828</v>
      </c>
      <c r="U1112" s="29">
        <v>41.845831099999998</v>
      </c>
      <c r="V1112" s="29">
        <v>77.939601600000003</v>
      </c>
      <c r="W1112" s="29">
        <v>72.627971700000003</v>
      </c>
      <c r="X1112" s="29">
        <v>5.3116298999999998</v>
      </c>
      <c r="Y1112" s="29">
        <v>22.0603984</v>
      </c>
    </row>
    <row r="1113" spans="2:25" ht="15" customHeight="1">
      <c r="B1113" s="30">
        <v>1108</v>
      </c>
      <c r="C1113" s="31" t="s">
        <v>21</v>
      </c>
      <c r="D1113" s="36" t="s">
        <v>334</v>
      </c>
      <c r="E1113" s="36" t="s">
        <v>356</v>
      </c>
      <c r="F1113" s="36" t="s">
        <v>359</v>
      </c>
      <c r="G1113" s="37" t="s">
        <v>359</v>
      </c>
      <c r="H1113" s="32">
        <v>1354</v>
      </c>
      <c r="I1113" s="32">
        <v>1153</v>
      </c>
      <c r="J1113" s="32">
        <v>685</v>
      </c>
      <c r="K1113" s="32">
        <v>468</v>
      </c>
      <c r="L1113" s="32">
        <v>201</v>
      </c>
      <c r="M1113" s="32">
        <v>1533</v>
      </c>
      <c r="N1113" s="32">
        <v>1420</v>
      </c>
      <c r="O1113" s="32">
        <v>1152</v>
      </c>
      <c r="P1113" s="32">
        <v>268</v>
      </c>
      <c r="Q1113" s="32">
        <v>113</v>
      </c>
      <c r="R1113" s="33">
        <v>85.155096</v>
      </c>
      <c r="S1113" s="33">
        <v>50.590841900000001</v>
      </c>
      <c r="T1113" s="33">
        <v>34.564254099999999</v>
      </c>
      <c r="U1113" s="33">
        <v>14.844904</v>
      </c>
      <c r="V1113" s="33">
        <v>92.628832399999993</v>
      </c>
      <c r="W1113" s="33">
        <v>75.146771000000001</v>
      </c>
      <c r="X1113" s="33">
        <v>17.482061300000002</v>
      </c>
      <c r="Y1113" s="33">
        <v>7.3711675999999997</v>
      </c>
    </row>
    <row r="1114" spans="2:25" ht="15" hidden="1" customHeight="1">
      <c r="B1114" s="25">
        <v>1109</v>
      </c>
      <c r="C1114" s="26" t="s">
        <v>21</v>
      </c>
      <c r="D1114" s="26" t="s">
        <v>334</v>
      </c>
      <c r="E1114" s="26" t="s">
        <v>356</v>
      </c>
      <c r="F1114" s="26" t="s">
        <v>359</v>
      </c>
      <c r="G1114" s="27" t="s">
        <v>15</v>
      </c>
      <c r="H1114" s="28">
        <v>1051</v>
      </c>
      <c r="I1114" s="28">
        <v>944</v>
      </c>
      <c r="J1114" s="28">
        <v>572</v>
      </c>
      <c r="K1114" s="28">
        <v>372</v>
      </c>
      <c r="L1114" s="28">
        <v>107</v>
      </c>
      <c r="M1114" s="28">
        <v>1224</v>
      </c>
      <c r="N1114" s="28">
        <v>1165</v>
      </c>
      <c r="O1114" s="28">
        <v>926</v>
      </c>
      <c r="P1114" s="28">
        <v>239</v>
      </c>
      <c r="Q1114" s="28">
        <v>59</v>
      </c>
      <c r="R1114" s="29">
        <v>89.819219799999999</v>
      </c>
      <c r="S1114" s="29">
        <v>54.424357800000003</v>
      </c>
      <c r="T1114" s="29">
        <v>35.394862000000003</v>
      </c>
      <c r="U1114" s="29">
        <v>10.180780199999999</v>
      </c>
      <c r="V1114" s="29">
        <v>95.179738599999993</v>
      </c>
      <c r="W1114" s="29">
        <v>75.653594799999993</v>
      </c>
      <c r="X1114" s="29">
        <v>19.5261438</v>
      </c>
      <c r="Y1114" s="29">
        <v>4.8202613999999997</v>
      </c>
    </row>
    <row r="1115" spans="2:25" ht="15" hidden="1" customHeight="1">
      <c r="B1115" s="25">
        <v>1110</v>
      </c>
      <c r="C1115" s="26" t="s">
        <v>21</v>
      </c>
      <c r="D1115" s="26" t="s">
        <v>334</v>
      </c>
      <c r="E1115" s="26" t="s">
        <v>356</v>
      </c>
      <c r="F1115" s="26" t="s">
        <v>359</v>
      </c>
      <c r="G1115" s="27" t="s">
        <v>16</v>
      </c>
      <c r="H1115" s="28">
        <v>303</v>
      </c>
      <c r="I1115" s="28">
        <v>209</v>
      </c>
      <c r="J1115" s="28">
        <v>113</v>
      </c>
      <c r="K1115" s="28">
        <v>96</v>
      </c>
      <c r="L1115" s="28">
        <v>94</v>
      </c>
      <c r="M1115" s="28">
        <v>309</v>
      </c>
      <c r="N1115" s="28">
        <v>255</v>
      </c>
      <c r="O1115" s="28">
        <v>226</v>
      </c>
      <c r="P1115" s="28">
        <v>29</v>
      </c>
      <c r="Q1115" s="28">
        <v>54</v>
      </c>
      <c r="R1115" s="29">
        <v>68.976897699999995</v>
      </c>
      <c r="S1115" s="29">
        <v>37.293729399999997</v>
      </c>
      <c r="T1115" s="29">
        <v>31.683168299999998</v>
      </c>
      <c r="U1115" s="29">
        <v>31.023102300000001</v>
      </c>
      <c r="V1115" s="29">
        <v>82.524271799999994</v>
      </c>
      <c r="W1115" s="29">
        <v>73.139158600000002</v>
      </c>
      <c r="X1115" s="29">
        <v>9.3851133000000004</v>
      </c>
      <c r="Y1115" s="29">
        <v>17.475728199999999</v>
      </c>
    </row>
    <row r="1116" spans="2:25" ht="15" hidden="1" customHeight="1">
      <c r="B1116" s="21">
        <v>1111</v>
      </c>
      <c r="C1116" s="22" t="s">
        <v>19</v>
      </c>
      <c r="D1116" s="35" t="s">
        <v>334</v>
      </c>
      <c r="E1116" s="35" t="s">
        <v>360</v>
      </c>
      <c r="F1116" s="35"/>
      <c r="G1116" s="22" t="s">
        <v>360</v>
      </c>
      <c r="H1116" s="23">
        <v>25882</v>
      </c>
      <c r="I1116" s="23">
        <v>19666</v>
      </c>
      <c r="J1116" s="23">
        <v>10885</v>
      </c>
      <c r="K1116" s="23">
        <v>8781</v>
      </c>
      <c r="L1116" s="23">
        <v>6216</v>
      </c>
      <c r="M1116" s="23">
        <v>34985</v>
      </c>
      <c r="N1116" s="23">
        <v>30190</v>
      </c>
      <c r="O1116" s="23">
        <v>25639</v>
      </c>
      <c r="P1116" s="23">
        <v>4551</v>
      </c>
      <c r="Q1116" s="23">
        <v>4795</v>
      </c>
      <c r="R1116" s="24">
        <v>75.983308899999997</v>
      </c>
      <c r="S1116" s="24">
        <v>42.056255299999997</v>
      </c>
      <c r="T1116" s="24">
        <v>33.927053600000001</v>
      </c>
      <c r="U1116" s="24">
        <v>24.016691099999999</v>
      </c>
      <c r="V1116" s="24">
        <v>86.2941261</v>
      </c>
      <c r="W1116" s="24">
        <v>73.285693899999998</v>
      </c>
      <c r="X1116" s="24">
        <v>13.0084322</v>
      </c>
      <c r="Y1116" s="24">
        <v>13.7058739</v>
      </c>
    </row>
    <row r="1117" spans="2:25" ht="15" hidden="1" customHeight="1">
      <c r="B1117" s="25">
        <v>1112</v>
      </c>
      <c r="C1117" s="26" t="s">
        <v>19</v>
      </c>
      <c r="D1117" s="26" t="s">
        <v>334</v>
      </c>
      <c r="E1117" s="26" t="s">
        <v>360</v>
      </c>
      <c r="F1117" s="26"/>
      <c r="G1117" s="27" t="s">
        <v>15</v>
      </c>
      <c r="H1117" s="28">
        <v>10425</v>
      </c>
      <c r="I1117" s="28">
        <v>9853</v>
      </c>
      <c r="J1117" s="28">
        <v>5156</v>
      </c>
      <c r="K1117" s="28">
        <v>4697</v>
      </c>
      <c r="L1117" s="28">
        <v>572</v>
      </c>
      <c r="M1117" s="28">
        <v>12872</v>
      </c>
      <c r="N1117" s="28">
        <v>12523</v>
      </c>
      <c r="O1117" s="28">
        <v>10338</v>
      </c>
      <c r="P1117" s="28">
        <v>2185</v>
      </c>
      <c r="Q1117" s="28">
        <v>349</v>
      </c>
      <c r="R1117" s="29">
        <v>94.513189400000002</v>
      </c>
      <c r="S1117" s="29">
        <v>49.4580336</v>
      </c>
      <c r="T1117" s="29">
        <v>45.055155900000003</v>
      </c>
      <c r="U1117" s="29">
        <v>5.4868106000000001</v>
      </c>
      <c r="V1117" s="29">
        <v>97.2886886</v>
      </c>
      <c r="W1117" s="29">
        <v>80.313859500000007</v>
      </c>
      <c r="X1117" s="29">
        <v>16.974829100000001</v>
      </c>
      <c r="Y1117" s="29">
        <v>2.7113114</v>
      </c>
    </row>
    <row r="1118" spans="2:25" ht="15" hidden="1" customHeight="1">
      <c r="B1118" s="25">
        <v>1113</v>
      </c>
      <c r="C1118" s="26" t="s">
        <v>19</v>
      </c>
      <c r="D1118" s="26" t="s">
        <v>334</v>
      </c>
      <c r="E1118" s="26" t="s">
        <v>360</v>
      </c>
      <c r="F1118" s="26"/>
      <c r="G1118" s="27" t="s">
        <v>16</v>
      </c>
      <c r="H1118" s="28">
        <v>15457</v>
      </c>
      <c r="I1118" s="28">
        <v>9813</v>
      </c>
      <c r="J1118" s="28">
        <v>5729</v>
      </c>
      <c r="K1118" s="28">
        <v>4084</v>
      </c>
      <c r="L1118" s="28">
        <v>5644</v>
      </c>
      <c r="M1118" s="28">
        <v>22113</v>
      </c>
      <c r="N1118" s="28">
        <v>17667</v>
      </c>
      <c r="O1118" s="28">
        <v>15301</v>
      </c>
      <c r="P1118" s="28">
        <v>2366</v>
      </c>
      <c r="Q1118" s="28">
        <v>4446</v>
      </c>
      <c r="R1118" s="29">
        <v>63.485799299999996</v>
      </c>
      <c r="S1118" s="29">
        <v>37.064113300000002</v>
      </c>
      <c r="T1118" s="29">
        <v>26.421686000000001</v>
      </c>
      <c r="U1118" s="29">
        <v>36.514200700000004</v>
      </c>
      <c r="V1118" s="29">
        <v>79.894179899999997</v>
      </c>
      <c r="W1118" s="29">
        <v>69.194591399999993</v>
      </c>
      <c r="X1118" s="29">
        <v>10.699588500000001</v>
      </c>
      <c r="Y1118" s="29">
        <v>20.105820099999999</v>
      </c>
    </row>
    <row r="1119" spans="2:25" ht="15" customHeight="1">
      <c r="B1119" s="30">
        <v>1114</v>
      </c>
      <c r="C1119" s="31" t="s">
        <v>21</v>
      </c>
      <c r="D1119" s="36" t="s">
        <v>334</v>
      </c>
      <c r="E1119" s="36" t="s">
        <v>360</v>
      </c>
      <c r="F1119" s="36" t="s">
        <v>361</v>
      </c>
      <c r="G1119" s="37" t="s">
        <v>361</v>
      </c>
      <c r="H1119" s="32">
        <v>1071</v>
      </c>
      <c r="I1119" s="32">
        <v>621</v>
      </c>
      <c r="J1119" s="32">
        <v>451</v>
      </c>
      <c r="K1119" s="32">
        <v>170</v>
      </c>
      <c r="L1119" s="32">
        <v>450</v>
      </c>
      <c r="M1119" s="32">
        <v>1569</v>
      </c>
      <c r="N1119" s="32">
        <v>1344</v>
      </c>
      <c r="O1119" s="32">
        <v>1173</v>
      </c>
      <c r="P1119" s="32">
        <v>171</v>
      </c>
      <c r="Q1119" s="32">
        <v>225</v>
      </c>
      <c r="R1119" s="33">
        <v>57.983193300000003</v>
      </c>
      <c r="S1119" s="33">
        <v>42.110177399999998</v>
      </c>
      <c r="T1119" s="33">
        <v>15.8730159</v>
      </c>
      <c r="U1119" s="33">
        <v>42.016806699999997</v>
      </c>
      <c r="V1119" s="33">
        <v>85.659655799999996</v>
      </c>
      <c r="W1119" s="33">
        <v>74.760994299999993</v>
      </c>
      <c r="X1119" s="33">
        <v>10.898661600000001</v>
      </c>
      <c r="Y1119" s="33">
        <v>14.340344200000001</v>
      </c>
    </row>
    <row r="1120" spans="2:25" ht="15" hidden="1" customHeight="1">
      <c r="B1120" s="25">
        <v>1115</v>
      </c>
      <c r="C1120" s="26" t="s">
        <v>21</v>
      </c>
      <c r="D1120" s="26" t="s">
        <v>334</v>
      </c>
      <c r="E1120" s="26" t="s">
        <v>360</v>
      </c>
      <c r="F1120" s="26" t="s">
        <v>361</v>
      </c>
      <c r="G1120" s="27" t="s">
        <v>15</v>
      </c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9"/>
      <c r="S1120" s="29"/>
      <c r="T1120" s="29"/>
      <c r="U1120" s="29"/>
      <c r="V1120" s="29"/>
      <c r="W1120" s="29"/>
      <c r="X1120" s="29"/>
      <c r="Y1120" s="29"/>
    </row>
    <row r="1121" spans="2:25" ht="15" hidden="1" customHeight="1">
      <c r="B1121" s="25">
        <v>1116</v>
      </c>
      <c r="C1121" s="26" t="s">
        <v>21</v>
      </c>
      <c r="D1121" s="26" t="s">
        <v>334</v>
      </c>
      <c r="E1121" s="26" t="s">
        <v>360</v>
      </c>
      <c r="F1121" s="26" t="s">
        <v>361</v>
      </c>
      <c r="G1121" s="27" t="s">
        <v>16</v>
      </c>
      <c r="H1121" s="28">
        <v>1071</v>
      </c>
      <c r="I1121" s="28">
        <v>621</v>
      </c>
      <c r="J1121" s="28">
        <v>451</v>
      </c>
      <c r="K1121" s="28">
        <v>170</v>
      </c>
      <c r="L1121" s="28">
        <v>450</v>
      </c>
      <c r="M1121" s="28">
        <v>1569</v>
      </c>
      <c r="N1121" s="28">
        <v>1344</v>
      </c>
      <c r="O1121" s="28">
        <v>1173</v>
      </c>
      <c r="P1121" s="28">
        <v>171</v>
      </c>
      <c r="Q1121" s="28">
        <v>225</v>
      </c>
      <c r="R1121" s="29">
        <v>57.983193300000003</v>
      </c>
      <c r="S1121" s="29">
        <v>42.110177399999998</v>
      </c>
      <c r="T1121" s="29">
        <v>15.8730159</v>
      </c>
      <c r="U1121" s="29">
        <v>42.016806699999997</v>
      </c>
      <c r="V1121" s="29">
        <v>85.659655799999996</v>
      </c>
      <c r="W1121" s="29">
        <v>74.760994299999993</v>
      </c>
      <c r="X1121" s="29">
        <v>10.898661600000001</v>
      </c>
      <c r="Y1121" s="29">
        <v>14.340344200000001</v>
      </c>
    </row>
    <row r="1122" spans="2:25" ht="15" customHeight="1">
      <c r="B1122" s="30">
        <v>1117</v>
      </c>
      <c r="C1122" s="31" t="s">
        <v>21</v>
      </c>
      <c r="D1122" s="36" t="s">
        <v>334</v>
      </c>
      <c r="E1122" s="36" t="s">
        <v>360</v>
      </c>
      <c r="F1122" s="36" t="s">
        <v>362</v>
      </c>
      <c r="G1122" s="37" t="s">
        <v>362</v>
      </c>
      <c r="H1122" s="32">
        <v>6289</v>
      </c>
      <c r="I1122" s="32">
        <v>4344</v>
      </c>
      <c r="J1122" s="32">
        <v>2322</v>
      </c>
      <c r="K1122" s="32">
        <v>2022</v>
      </c>
      <c r="L1122" s="32">
        <v>1945</v>
      </c>
      <c r="M1122" s="32">
        <v>9548</v>
      </c>
      <c r="N1122" s="32">
        <v>7734</v>
      </c>
      <c r="O1122" s="32">
        <v>6513</v>
      </c>
      <c r="P1122" s="32">
        <v>1221</v>
      </c>
      <c r="Q1122" s="32">
        <v>1814</v>
      </c>
      <c r="R1122" s="33">
        <v>69.072984599999998</v>
      </c>
      <c r="S1122" s="33">
        <v>36.921609199999999</v>
      </c>
      <c r="T1122" s="33">
        <v>32.151375399999999</v>
      </c>
      <c r="U1122" s="33">
        <v>30.927015399999998</v>
      </c>
      <c r="V1122" s="33">
        <v>81.001256799999993</v>
      </c>
      <c r="W1122" s="33">
        <v>68.213238399999994</v>
      </c>
      <c r="X1122" s="33">
        <v>12.7880184</v>
      </c>
      <c r="Y1122" s="33">
        <v>18.9987432</v>
      </c>
    </row>
    <row r="1123" spans="2:25" ht="15" hidden="1" customHeight="1">
      <c r="B1123" s="25">
        <v>1118</v>
      </c>
      <c r="C1123" s="26" t="s">
        <v>21</v>
      </c>
      <c r="D1123" s="26" t="s">
        <v>334</v>
      </c>
      <c r="E1123" s="26" t="s">
        <v>360</v>
      </c>
      <c r="F1123" s="26" t="s">
        <v>362</v>
      </c>
      <c r="G1123" s="27" t="s">
        <v>15</v>
      </c>
      <c r="H1123" s="28">
        <v>742</v>
      </c>
      <c r="I1123" s="28">
        <v>690</v>
      </c>
      <c r="J1123" s="28">
        <v>366</v>
      </c>
      <c r="K1123" s="28">
        <v>324</v>
      </c>
      <c r="L1123" s="28">
        <v>52</v>
      </c>
      <c r="M1123" s="28">
        <v>1504</v>
      </c>
      <c r="N1123" s="28">
        <v>1462</v>
      </c>
      <c r="O1123" s="28">
        <v>1142</v>
      </c>
      <c r="P1123" s="28">
        <v>320</v>
      </c>
      <c r="Q1123" s="28">
        <v>42</v>
      </c>
      <c r="R1123" s="29">
        <v>92.991913699999998</v>
      </c>
      <c r="S1123" s="29">
        <v>49.326145599999997</v>
      </c>
      <c r="T1123" s="29">
        <v>43.665768200000002</v>
      </c>
      <c r="U1123" s="29">
        <v>7.0080863000000004</v>
      </c>
      <c r="V1123" s="29">
        <v>97.2074468</v>
      </c>
      <c r="W1123" s="29">
        <v>75.930851099999998</v>
      </c>
      <c r="X1123" s="29">
        <v>21.276595700000001</v>
      </c>
      <c r="Y1123" s="29">
        <v>2.7925532</v>
      </c>
    </row>
    <row r="1124" spans="2:25" ht="15" hidden="1" customHeight="1">
      <c r="B1124" s="25">
        <v>1119</v>
      </c>
      <c r="C1124" s="26" t="s">
        <v>21</v>
      </c>
      <c r="D1124" s="26" t="s">
        <v>334</v>
      </c>
      <c r="E1124" s="26" t="s">
        <v>360</v>
      </c>
      <c r="F1124" s="26" t="s">
        <v>362</v>
      </c>
      <c r="G1124" s="27" t="s">
        <v>16</v>
      </c>
      <c r="H1124" s="28">
        <v>5547</v>
      </c>
      <c r="I1124" s="28">
        <v>3654</v>
      </c>
      <c r="J1124" s="28">
        <v>1956</v>
      </c>
      <c r="K1124" s="28">
        <v>1698</v>
      </c>
      <c r="L1124" s="28">
        <v>1893</v>
      </c>
      <c r="M1124" s="28">
        <v>8044</v>
      </c>
      <c r="N1124" s="28">
        <v>6272</v>
      </c>
      <c r="O1124" s="28">
        <v>5371</v>
      </c>
      <c r="P1124" s="28">
        <v>901</v>
      </c>
      <c r="Q1124" s="28">
        <v>1772</v>
      </c>
      <c r="R1124" s="29">
        <v>65.873445099999998</v>
      </c>
      <c r="S1124" s="29">
        <v>35.262303899999999</v>
      </c>
      <c r="T1124" s="29">
        <v>30.611141199999999</v>
      </c>
      <c r="U1124" s="29">
        <v>34.126554900000002</v>
      </c>
      <c r="V1124" s="29">
        <v>77.971158599999995</v>
      </c>
      <c r="W1124" s="29">
        <v>66.770263600000007</v>
      </c>
      <c r="X1124" s="29">
        <v>11.2008951</v>
      </c>
      <c r="Y1124" s="29">
        <v>22.028841400000001</v>
      </c>
    </row>
    <row r="1125" spans="2:25" ht="15" customHeight="1">
      <c r="B1125" s="30">
        <v>1120</v>
      </c>
      <c r="C1125" s="31" t="s">
        <v>21</v>
      </c>
      <c r="D1125" s="36" t="s">
        <v>334</v>
      </c>
      <c r="E1125" s="36" t="s">
        <v>360</v>
      </c>
      <c r="F1125" s="36" t="s">
        <v>363</v>
      </c>
      <c r="G1125" s="37" t="s">
        <v>363</v>
      </c>
      <c r="H1125" s="32">
        <v>5628</v>
      </c>
      <c r="I1125" s="32">
        <v>4314</v>
      </c>
      <c r="J1125" s="32">
        <v>2803</v>
      </c>
      <c r="K1125" s="32">
        <v>1511</v>
      </c>
      <c r="L1125" s="32">
        <v>1314</v>
      </c>
      <c r="M1125" s="32">
        <v>8291</v>
      </c>
      <c r="N1125" s="32">
        <v>7209</v>
      </c>
      <c r="O1125" s="32">
        <v>6278</v>
      </c>
      <c r="P1125" s="32">
        <v>931</v>
      </c>
      <c r="Q1125" s="32">
        <v>1082</v>
      </c>
      <c r="R1125" s="33">
        <v>76.652451999999997</v>
      </c>
      <c r="S1125" s="33">
        <v>49.804548699999998</v>
      </c>
      <c r="T1125" s="33">
        <v>26.847903299999999</v>
      </c>
      <c r="U1125" s="33">
        <v>23.347548</v>
      </c>
      <c r="V1125" s="33">
        <v>86.949704499999996</v>
      </c>
      <c r="W1125" s="33">
        <v>75.720661000000007</v>
      </c>
      <c r="X1125" s="33">
        <v>11.2290435</v>
      </c>
      <c r="Y1125" s="33">
        <v>13.050295500000001</v>
      </c>
    </row>
    <row r="1126" spans="2:25" ht="15" hidden="1" customHeight="1">
      <c r="B1126" s="25">
        <v>1121</v>
      </c>
      <c r="C1126" s="26" t="s">
        <v>21</v>
      </c>
      <c r="D1126" s="26" t="s">
        <v>334</v>
      </c>
      <c r="E1126" s="26" t="s">
        <v>360</v>
      </c>
      <c r="F1126" s="26" t="s">
        <v>363</v>
      </c>
      <c r="G1126" s="27" t="s">
        <v>15</v>
      </c>
      <c r="H1126" s="28">
        <v>1067</v>
      </c>
      <c r="I1126" s="28">
        <v>968</v>
      </c>
      <c r="J1126" s="28">
        <v>548</v>
      </c>
      <c r="K1126" s="28">
        <v>420</v>
      </c>
      <c r="L1126" s="28">
        <v>99</v>
      </c>
      <c r="M1126" s="28">
        <v>2248</v>
      </c>
      <c r="N1126" s="28">
        <v>2138</v>
      </c>
      <c r="O1126" s="28">
        <v>1645</v>
      </c>
      <c r="P1126" s="28">
        <v>493</v>
      </c>
      <c r="Q1126" s="28">
        <v>110</v>
      </c>
      <c r="R1126" s="29">
        <v>90.721649499999998</v>
      </c>
      <c r="S1126" s="29">
        <v>51.358950299999997</v>
      </c>
      <c r="T1126" s="29">
        <v>39.362699200000002</v>
      </c>
      <c r="U1126" s="29">
        <v>9.2783505000000002</v>
      </c>
      <c r="V1126" s="29">
        <v>95.106761599999999</v>
      </c>
      <c r="W1126" s="29">
        <v>73.176156599999999</v>
      </c>
      <c r="X1126" s="29">
        <v>21.930605</v>
      </c>
      <c r="Y1126" s="29">
        <v>4.8932384000000004</v>
      </c>
    </row>
    <row r="1127" spans="2:25" ht="15" hidden="1" customHeight="1">
      <c r="B1127" s="25">
        <v>1122</v>
      </c>
      <c r="C1127" s="26" t="s">
        <v>21</v>
      </c>
      <c r="D1127" s="26" t="s">
        <v>334</v>
      </c>
      <c r="E1127" s="26" t="s">
        <v>360</v>
      </c>
      <c r="F1127" s="26" t="s">
        <v>363</v>
      </c>
      <c r="G1127" s="27" t="s">
        <v>16</v>
      </c>
      <c r="H1127" s="28">
        <v>4561</v>
      </c>
      <c r="I1127" s="28">
        <v>3346</v>
      </c>
      <c r="J1127" s="28">
        <v>2255</v>
      </c>
      <c r="K1127" s="28">
        <v>1091</v>
      </c>
      <c r="L1127" s="28">
        <v>1215</v>
      </c>
      <c r="M1127" s="28">
        <v>6043</v>
      </c>
      <c r="N1127" s="28">
        <v>5071</v>
      </c>
      <c r="O1127" s="28">
        <v>4633</v>
      </c>
      <c r="P1127" s="28">
        <v>438</v>
      </c>
      <c r="Q1127" s="28">
        <v>972</v>
      </c>
      <c r="R1127" s="29">
        <v>73.361104999999995</v>
      </c>
      <c r="S1127" s="29">
        <v>49.440912099999998</v>
      </c>
      <c r="T1127" s="29">
        <v>23.9201929</v>
      </c>
      <c r="U1127" s="29">
        <v>26.638895000000002</v>
      </c>
      <c r="V1127" s="29">
        <v>83.915273900000003</v>
      </c>
      <c r="W1127" s="29">
        <v>76.667218300000002</v>
      </c>
      <c r="X1127" s="29">
        <v>7.2480555999999998</v>
      </c>
      <c r="Y1127" s="29">
        <v>16.084726100000001</v>
      </c>
    </row>
    <row r="1128" spans="2:25" ht="15" customHeight="1">
      <c r="B1128" s="30">
        <v>1123</v>
      </c>
      <c r="C1128" s="31" t="s">
        <v>21</v>
      </c>
      <c r="D1128" s="36" t="s">
        <v>334</v>
      </c>
      <c r="E1128" s="36" t="s">
        <v>360</v>
      </c>
      <c r="F1128" s="36" t="s">
        <v>364</v>
      </c>
      <c r="G1128" s="37" t="s">
        <v>364</v>
      </c>
      <c r="H1128" s="32">
        <v>1117</v>
      </c>
      <c r="I1128" s="32">
        <v>763</v>
      </c>
      <c r="J1128" s="32">
        <v>403</v>
      </c>
      <c r="K1128" s="32">
        <v>360</v>
      </c>
      <c r="L1128" s="32">
        <v>354</v>
      </c>
      <c r="M1128" s="32">
        <v>1261</v>
      </c>
      <c r="N1128" s="32">
        <v>1077</v>
      </c>
      <c r="O1128" s="32">
        <v>931</v>
      </c>
      <c r="P1128" s="32">
        <v>146</v>
      </c>
      <c r="Q1128" s="32">
        <v>184</v>
      </c>
      <c r="R1128" s="33">
        <v>68.3079678</v>
      </c>
      <c r="S1128" s="33">
        <v>36.078782500000003</v>
      </c>
      <c r="T1128" s="33">
        <v>32.229185299999997</v>
      </c>
      <c r="U1128" s="33">
        <v>31.6920322</v>
      </c>
      <c r="V1128" s="33">
        <v>85.408405999999999</v>
      </c>
      <c r="W1128" s="33">
        <v>73.830293400000002</v>
      </c>
      <c r="X1128" s="33">
        <v>11.578112600000001</v>
      </c>
      <c r="Y1128" s="33">
        <v>14.591594000000001</v>
      </c>
    </row>
    <row r="1129" spans="2:25" ht="15" hidden="1" customHeight="1">
      <c r="B1129" s="25">
        <v>1124</v>
      </c>
      <c r="C1129" s="26" t="s">
        <v>21</v>
      </c>
      <c r="D1129" s="26" t="s">
        <v>334</v>
      </c>
      <c r="E1129" s="26" t="s">
        <v>360</v>
      </c>
      <c r="F1129" s="26" t="s">
        <v>364</v>
      </c>
      <c r="G1129" s="27" t="s">
        <v>15</v>
      </c>
      <c r="H1129" s="28">
        <v>570</v>
      </c>
      <c r="I1129" s="28">
        <v>522</v>
      </c>
      <c r="J1129" s="28">
        <v>259</v>
      </c>
      <c r="K1129" s="28">
        <v>263</v>
      </c>
      <c r="L1129" s="28">
        <v>48</v>
      </c>
      <c r="M1129" s="28">
        <v>546</v>
      </c>
      <c r="N1129" s="28">
        <v>529</v>
      </c>
      <c r="O1129" s="28">
        <v>483</v>
      </c>
      <c r="P1129" s="28">
        <v>46</v>
      </c>
      <c r="Q1129" s="28">
        <v>17</v>
      </c>
      <c r="R1129" s="29">
        <v>91.578947400000004</v>
      </c>
      <c r="S1129" s="29">
        <v>45.438596500000003</v>
      </c>
      <c r="T1129" s="29">
        <v>46.140350900000001</v>
      </c>
      <c r="U1129" s="29">
        <v>8.4210525999999994</v>
      </c>
      <c r="V1129" s="29">
        <v>96.886446899999996</v>
      </c>
      <c r="W1129" s="29">
        <v>88.461538500000003</v>
      </c>
      <c r="X1129" s="29">
        <v>8.4249083999999996</v>
      </c>
      <c r="Y1129" s="29">
        <v>3.1135530999999999</v>
      </c>
    </row>
    <row r="1130" spans="2:25" ht="15" hidden="1" customHeight="1">
      <c r="B1130" s="25">
        <v>1125</v>
      </c>
      <c r="C1130" s="26" t="s">
        <v>21</v>
      </c>
      <c r="D1130" s="26" t="s">
        <v>334</v>
      </c>
      <c r="E1130" s="26" t="s">
        <v>360</v>
      </c>
      <c r="F1130" s="26" t="s">
        <v>364</v>
      </c>
      <c r="G1130" s="27" t="s">
        <v>16</v>
      </c>
      <c r="H1130" s="28">
        <v>547</v>
      </c>
      <c r="I1130" s="28">
        <v>241</v>
      </c>
      <c r="J1130" s="28">
        <v>144</v>
      </c>
      <c r="K1130" s="28">
        <v>97</v>
      </c>
      <c r="L1130" s="28">
        <v>306</v>
      </c>
      <c r="M1130" s="28">
        <v>715</v>
      </c>
      <c r="N1130" s="28">
        <v>548</v>
      </c>
      <c r="O1130" s="28">
        <v>448</v>
      </c>
      <c r="P1130" s="28">
        <v>100</v>
      </c>
      <c r="Q1130" s="28">
        <v>167</v>
      </c>
      <c r="R1130" s="29">
        <v>44.058500899999999</v>
      </c>
      <c r="S1130" s="29">
        <v>26.325411299999999</v>
      </c>
      <c r="T1130" s="29">
        <v>17.7330896</v>
      </c>
      <c r="U1130" s="29">
        <v>55.941499100000001</v>
      </c>
      <c r="V1130" s="29">
        <v>76.643356600000004</v>
      </c>
      <c r="W1130" s="29">
        <v>62.657342700000001</v>
      </c>
      <c r="X1130" s="29">
        <v>13.986014000000001</v>
      </c>
      <c r="Y1130" s="29">
        <v>23.356643399999999</v>
      </c>
    </row>
    <row r="1131" spans="2:25" ht="15" customHeight="1">
      <c r="B1131" s="30">
        <v>1126</v>
      </c>
      <c r="C1131" s="31" t="s">
        <v>21</v>
      </c>
      <c r="D1131" s="36" t="s">
        <v>334</v>
      </c>
      <c r="E1131" s="36" t="s">
        <v>360</v>
      </c>
      <c r="F1131" s="36" t="s">
        <v>365</v>
      </c>
      <c r="G1131" s="37" t="s">
        <v>365</v>
      </c>
      <c r="H1131" s="32">
        <v>2390</v>
      </c>
      <c r="I1131" s="32">
        <v>1271</v>
      </c>
      <c r="J1131" s="32">
        <v>604</v>
      </c>
      <c r="K1131" s="32">
        <v>667</v>
      </c>
      <c r="L1131" s="32">
        <v>1119</v>
      </c>
      <c r="M1131" s="32">
        <v>3626</v>
      </c>
      <c r="N1131" s="32">
        <v>2865</v>
      </c>
      <c r="O1131" s="32">
        <v>2333</v>
      </c>
      <c r="P1131" s="32">
        <v>532</v>
      </c>
      <c r="Q1131" s="32">
        <v>761</v>
      </c>
      <c r="R1131" s="33">
        <v>53.179916300000002</v>
      </c>
      <c r="S1131" s="33">
        <v>25.271966500000001</v>
      </c>
      <c r="T1131" s="33">
        <v>27.907949800000001</v>
      </c>
      <c r="U1131" s="33">
        <v>46.820083699999998</v>
      </c>
      <c r="V1131" s="33">
        <v>79.012686200000005</v>
      </c>
      <c r="W1131" s="33">
        <v>64.340871500000006</v>
      </c>
      <c r="X1131" s="33">
        <v>14.671814700000001</v>
      </c>
      <c r="Y1131" s="33">
        <v>20.987313799999999</v>
      </c>
    </row>
    <row r="1132" spans="2:25" ht="15" hidden="1" customHeight="1">
      <c r="B1132" s="25">
        <v>1127</v>
      </c>
      <c r="C1132" s="26" t="s">
        <v>21</v>
      </c>
      <c r="D1132" s="26" t="s">
        <v>334</v>
      </c>
      <c r="E1132" s="26" t="s">
        <v>360</v>
      </c>
      <c r="F1132" s="26" t="s">
        <v>365</v>
      </c>
      <c r="G1132" s="27" t="s">
        <v>15</v>
      </c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9"/>
      <c r="S1132" s="29"/>
      <c r="T1132" s="29"/>
      <c r="U1132" s="29"/>
      <c r="V1132" s="29"/>
      <c r="W1132" s="29"/>
      <c r="X1132" s="29"/>
      <c r="Y1132" s="29"/>
    </row>
    <row r="1133" spans="2:25" ht="15" hidden="1" customHeight="1">
      <c r="B1133" s="25">
        <v>1128</v>
      </c>
      <c r="C1133" s="26" t="s">
        <v>21</v>
      </c>
      <c r="D1133" s="26" t="s">
        <v>334</v>
      </c>
      <c r="E1133" s="26" t="s">
        <v>360</v>
      </c>
      <c r="F1133" s="26" t="s">
        <v>365</v>
      </c>
      <c r="G1133" s="27" t="s">
        <v>16</v>
      </c>
      <c r="H1133" s="28">
        <v>2390</v>
      </c>
      <c r="I1133" s="28">
        <v>1271</v>
      </c>
      <c r="J1133" s="28">
        <v>604</v>
      </c>
      <c r="K1133" s="28">
        <v>667</v>
      </c>
      <c r="L1133" s="28">
        <v>1119</v>
      </c>
      <c r="M1133" s="28">
        <v>3626</v>
      </c>
      <c r="N1133" s="28">
        <v>2865</v>
      </c>
      <c r="O1133" s="28">
        <v>2333</v>
      </c>
      <c r="P1133" s="28">
        <v>532</v>
      </c>
      <c r="Q1133" s="28">
        <v>761</v>
      </c>
      <c r="R1133" s="29">
        <v>53.179916300000002</v>
      </c>
      <c r="S1133" s="29">
        <v>25.271966500000001</v>
      </c>
      <c r="T1133" s="29">
        <v>27.907949800000001</v>
      </c>
      <c r="U1133" s="29">
        <v>46.820083699999998</v>
      </c>
      <c r="V1133" s="29">
        <v>79.012686200000005</v>
      </c>
      <c r="W1133" s="29">
        <v>64.340871500000006</v>
      </c>
      <c r="X1133" s="29">
        <v>14.671814700000001</v>
      </c>
      <c r="Y1133" s="29">
        <v>20.987313799999999</v>
      </c>
    </row>
    <row r="1134" spans="2:25" ht="15" customHeight="1">
      <c r="B1134" s="30">
        <v>1129</v>
      </c>
      <c r="C1134" s="31" t="s">
        <v>21</v>
      </c>
      <c r="D1134" s="36" t="s">
        <v>334</v>
      </c>
      <c r="E1134" s="36" t="s">
        <v>360</v>
      </c>
      <c r="F1134" s="36" t="s">
        <v>366</v>
      </c>
      <c r="G1134" s="37" t="s">
        <v>366</v>
      </c>
      <c r="H1134" s="32">
        <v>8374</v>
      </c>
      <c r="I1134" s="32">
        <v>7570</v>
      </c>
      <c r="J1134" s="32">
        <v>3830</v>
      </c>
      <c r="K1134" s="32">
        <v>3740</v>
      </c>
      <c r="L1134" s="32">
        <v>804</v>
      </c>
      <c r="M1134" s="32">
        <v>9305</v>
      </c>
      <c r="N1134" s="32">
        <v>8669</v>
      </c>
      <c r="O1134" s="32">
        <v>7268</v>
      </c>
      <c r="P1134" s="32">
        <v>1401</v>
      </c>
      <c r="Q1134" s="32">
        <v>636</v>
      </c>
      <c r="R1134" s="33">
        <v>90.398853599999995</v>
      </c>
      <c r="S1134" s="33">
        <v>45.736804399999997</v>
      </c>
      <c r="T1134" s="33">
        <v>44.662049199999998</v>
      </c>
      <c r="U1134" s="33">
        <v>9.6011463999999993</v>
      </c>
      <c r="V1134" s="33">
        <v>93.164965100000003</v>
      </c>
      <c r="W1134" s="33">
        <v>78.108543800000007</v>
      </c>
      <c r="X1134" s="33">
        <v>15.0564213</v>
      </c>
      <c r="Y1134" s="33">
        <v>6.8350349000000001</v>
      </c>
    </row>
    <row r="1135" spans="2:25" ht="15" hidden="1" customHeight="1">
      <c r="B1135" s="25">
        <v>1130</v>
      </c>
      <c r="C1135" s="26" t="s">
        <v>21</v>
      </c>
      <c r="D1135" s="26" t="s">
        <v>334</v>
      </c>
      <c r="E1135" s="26" t="s">
        <v>360</v>
      </c>
      <c r="F1135" s="26" t="s">
        <v>366</v>
      </c>
      <c r="G1135" s="27" t="s">
        <v>15</v>
      </c>
      <c r="H1135" s="28">
        <v>7338</v>
      </c>
      <c r="I1135" s="28">
        <v>7054</v>
      </c>
      <c r="J1135" s="28">
        <v>3593</v>
      </c>
      <c r="K1135" s="28">
        <v>3461</v>
      </c>
      <c r="L1135" s="28">
        <v>284</v>
      </c>
      <c r="M1135" s="28">
        <v>7611</v>
      </c>
      <c r="N1135" s="28">
        <v>7464</v>
      </c>
      <c r="O1135" s="28">
        <v>6260</v>
      </c>
      <c r="P1135" s="28">
        <v>1204</v>
      </c>
      <c r="Q1135" s="28">
        <v>147</v>
      </c>
      <c r="R1135" s="29">
        <v>96.129735600000004</v>
      </c>
      <c r="S1135" s="29">
        <v>48.964295399999997</v>
      </c>
      <c r="T1135" s="29">
        <v>47.165440199999999</v>
      </c>
      <c r="U1135" s="29">
        <v>3.8702643999999999</v>
      </c>
      <c r="V1135" s="29">
        <v>98.068584900000005</v>
      </c>
      <c r="W1135" s="29">
        <v>82.249375900000004</v>
      </c>
      <c r="X1135" s="29">
        <v>15.819209000000001</v>
      </c>
      <c r="Y1135" s="29">
        <v>1.9314150999999999</v>
      </c>
    </row>
    <row r="1136" spans="2:25" ht="15" hidden="1" customHeight="1">
      <c r="B1136" s="25">
        <v>1131</v>
      </c>
      <c r="C1136" s="26" t="s">
        <v>21</v>
      </c>
      <c r="D1136" s="26" t="s">
        <v>334</v>
      </c>
      <c r="E1136" s="26" t="s">
        <v>360</v>
      </c>
      <c r="F1136" s="26" t="s">
        <v>366</v>
      </c>
      <c r="G1136" s="27" t="s">
        <v>16</v>
      </c>
      <c r="H1136" s="28">
        <v>1036</v>
      </c>
      <c r="I1136" s="28">
        <v>516</v>
      </c>
      <c r="J1136" s="28">
        <v>237</v>
      </c>
      <c r="K1136" s="28">
        <v>279</v>
      </c>
      <c r="L1136" s="28">
        <v>520</v>
      </c>
      <c r="M1136" s="28">
        <v>1694</v>
      </c>
      <c r="N1136" s="28">
        <v>1205</v>
      </c>
      <c r="O1136" s="28">
        <v>1008</v>
      </c>
      <c r="P1136" s="28">
        <v>197</v>
      </c>
      <c r="Q1136" s="28">
        <v>489</v>
      </c>
      <c r="R1136" s="29">
        <v>49.806949799999998</v>
      </c>
      <c r="S1136" s="29">
        <v>22.876447899999999</v>
      </c>
      <c r="T1136" s="29">
        <v>26.930501899999999</v>
      </c>
      <c r="U1136" s="29">
        <v>50.193050200000002</v>
      </c>
      <c r="V1136" s="29">
        <v>71.133412000000007</v>
      </c>
      <c r="W1136" s="29">
        <v>59.504132200000001</v>
      </c>
      <c r="X1136" s="29">
        <v>11.629279800000001</v>
      </c>
      <c r="Y1136" s="29">
        <v>28.866588</v>
      </c>
    </row>
    <row r="1137" spans="2:25" ht="15" customHeight="1">
      <c r="B1137" s="30">
        <v>1132</v>
      </c>
      <c r="C1137" s="31" t="s">
        <v>21</v>
      </c>
      <c r="D1137" s="36" t="s">
        <v>334</v>
      </c>
      <c r="E1137" s="36" t="s">
        <v>360</v>
      </c>
      <c r="F1137" s="36" t="s">
        <v>367</v>
      </c>
      <c r="G1137" s="37" t="s">
        <v>367</v>
      </c>
      <c r="H1137" s="32">
        <v>1013</v>
      </c>
      <c r="I1137" s="32">
        <v>783</v>
      </c>
      <c r="J1137" s="32">
        <v>472</v>
      </c>
      <c r="K1137" s="32">
        <v>311</v>
      </c>
      <c r="L1137" s="32">
        <v>230</v>
      </c>
      <c r="M1137" s="32">
        <v>1385</v>
      </c>
      <c r="N1137" s="32">
        <v>1292</v>
      </c>
      <c r="O1137" s="32">
        <v>1143</v>
      </c>
      <c r="P1137" s="32">
        <v>149</v>
      </c>
      <c r="Q1137" s="32">
        <v>93</v>
      </c>
      <c r="R1137" s="33">
        <v>77.295162899999994</v>
      </c>
      <c r="S1137" s="33">
        <v>46.594274400000003</v>
      </c>
      <c r="T1137" s="33">
        <v>30.700888500000001</v>
      </c>
      <c r="U1137" s="33">
        <v>22.704837099999999</v>
      </c>
      <c r="V1137" s="33">
        <v>93.285198600000001</v>
      </c>
      <c r="W1137" s="33">
        <v>82.527075800000006</v>
      </c>
      <c r="X1137" s="33">
        <v>10.758122699999999</v>
      </c>
      <c r="Y1137" s="33">
        <v>6.7148013999999998</v>
      </c>
    </row>
    <row r="1138" spans="2:25" ht="15" hidden="1" customHeight="1">
      <c r="B1138" s="25">
        <v>1133</v>
      </c>
      <c r="C1138" s="26" t="s">
        <v>21</v>
      </c>
      <c r="D1138" s="26" t="s">
        <v>334</v>
      </c>
      <c r="E1138" s="26" t="s">
        <v>360</v>
      </c>
      <c r="F1138" s="26" t="s">
        <v>367</v>
      </c>
      <c r="G1138" s="27" t="s">
        <v>15</v>
      </c>
      <c r="H1138" s="28">
        <v>708</v>
      </c>
      <c r="I1138" s="28">
        <v>619</v>
      </c>
      <c r="J1138" s="28">
        <v>390</v>
      </c>
      <c r="K1138" s="28">
        <v>229</v>
      </c>
      <c r="L1138" s="28">
        <v>89</v>
      </c>
      <c r="M1138" s="28">
        <v>963</v>
      </c>
      <c r="N1138" s="28">
        <v>930</v>
      </c>
      <c r="O1138" s="28">
        <v>808</v>
      </c>
      <c r="P1138" s="28">
        <v>122</v>
      </c>
      <c r="Q1138" s="28">
        <v>33</v>
      </c>
      <c r="R1138" s="29">
        <v>87.429378499999999</v>
      </c>
      <c r="S1138" s="29">
        <v>55.0847458</v>
      </c>
      <c r="T1138" s="29">
        <v>32.344632799999999</v>
      </c>
      <c r="U1138" s="29">
        <v>12.5706215</v>
      </c>
      <c r="V1138" s="29">
        <v>96.573208699999995</v>
      </c>
      <c r="W1138" s="29">
        <v>83.904465200000004</v>
      </c>
      <c r="X1138" s="29">
        <v>12.6687435</v>
      </c>
      <c r="Y1138" s="29">
        <v>3.4267913000000001</v>
      </c>
    </row>
    <row r="1139" spans="2:25" ht="15" hidden="1" customHeight="1">
      <c r="B1139" s="25">
        <v>1134</v>
      </c>
      <c r="C1139" s="26" t="s">
        <v>21</v>
      </c>
      <c r="D1139" s="26" t="s">
        <v>334</v>
      </c>
      <c r="E1139" s="26" t="s">
        <v>360</v>
      </c>
      <c r="F1139" s="26" t="s">
        <v>367</v>
      </c>
      <c r="G1139" s="27" t="s">
        <v>16</v>
      </c>
      <c r="H1139" s="28">
        <v>305</v>
      </c>
      <c r="I1139" s="28">
        <v>164</v>
      </c>
      <c r="J1139" s="28">
        <v>82</v>
      </c>
      <c r="K1139" s="28">
        <v>82</v>
      </c>
      <c r="L1139" s="28">
        <v>141</v>
      </c>
      <c r="M1139" s="28">
        <v>422</v>
      </c>
      <c r="N1139" s="28">
        <v>362</v>
      </c>
      <c r="O1139" s="28">
        <v>335</v>
      </c>
      <c r="P1139" s="28">
        <v>27</v>
      </c>
      <c r="Q1139" s="28">
        <v>60</v>
      </c>
      <c r="R1139" s="29">
        <v>53.770491800000002</v>
      </c>
      <c r="S1139" s="29">
        <v>26.885245900000001</v>
      </c>
      <c r="T1139" s="29">
        <v>26.885245900000001</v>
      </c>
      <c r="U1139" s="29">
        <v>46.229508199999998</v>
      </c>
      <c r="V1139" s="29">
        <v>85.781990500000006</v>
      </c>
      <c r="W1139" s="29">
        <v>79.3838863</v>
      </c>
      <c r="X1139" s="29">
        <v>6.3981043</v>
      </c>
      <c r="Y1139" s="29">
        <v>14.218009500000001</v>
      </c>
    </row>
    <row r="1140" spans="2:25" ht="15" hidden="1" customHeight="1">
      <c r="B1140" s="21">
        <v>1135</v>
      </c>
      <c r="C1140" s="22" t="s">
        <v>19</v>
      </c>
      <c r="D1140" s="35" t="s">
        <v>334</v>
      </c>
      <c r="E1140" s="35" t="s">
        <v>368</v>
      </c>
      <c r="F1140" s="35"/>
      <c r="G1140" s="22" t="s">
        <v>368</v>
      </c>
      <c r="H1140" s="23">
        <v>7956</v>
      </c>
      <c r="I1140" s="23">
        <v>4802</v>
      </c>
      <c r="J1140" s="23">
        <v>2842</v>
      </c>
      <c r="K1140" s="23">
        <v>1960</v>
      </c>
      <c r="L1140" s="23">
        <v>3154</v>
      </c>
      <c r="M1140" s="23">
        <v>9338</v>
      </c>
      <c r="N1140" s="23">
        <v>7117</v>
      </c>
      <c r="O1140" s="23">
        <v>6049</v>
      </c>
      <c r="P1140" s="23">
        <v>1068</v>
      </c>
      <c r="Q1140" s="23">
        <v>2221</v>
      </c>
      <c r="R1140" s="24">
        <v>60.356963299999997</v>
      </c>
      <c r="S1140" s="24">
        <v>35.721468100000003</v>
      </c>
      <c r="T1140" s="24">
        <v>24.635495200000001</v>
      </c>
      <c r="U1140" s="24">
        <v>39.643036700000003</v>
      </c>
      <c r="V1140" s="24">
        <v>76.215463700000001</v>
      </c>
      <c r="W1140" s="24">
        <v>64.778325100000004</v>
      </c>
      <c r="X1140" s="24">
        <v>11.437138600000001</v>
      </c>
      <c r="Y1140" s="24">
        <v>23.784536299999999</v>
      </c>
    </row>
    <row r="1141" spans="2:25" ht="15" hidden="1" customHeight="1">
      <c r="B1141" s="25">
        <v>1136</v>
      </c>
      <c r="C1141" s="26" t="s">
        <v>19</v>
      </c>
      <c r="D1141" s="26" t="s">
        <v>334</v>
      </c>
      <c r="E1141" s="26" t="s">
        <v>368</v>
      </c>
      <c r="F1141" s="26"/>
      <c r="G1141" s="27" t="s">
        <v>15</v>
      </c>
      <c r="H1141" s="28">
        <v>2981</v>
      </c>
      <c r="I1141" s="28">
        <v>2778</v>
      </c>
      <c r="J1141" s="28">
        <v>1505</v>
      </c>
      <c r="K1141" s="28">
        <v>1273</v>
      </c>
      <c r="L1141" s="28">
        <v>203</v>
      </c>
      <c r="M1141" s="28">
        <v>3589</v>
      </c>
      <c r="N1141" s="28">
        <v>3492</v>
      </c>
      <c r="O1141" s="28">
        <v>2738</v>
      </c>
      <c r="P1141" s="28">
        <v>754</v>
      </c>
      <c r="Q1141" s="28">
        <v>97</v>
      </c>
      <c r="R1141" s="29">
        <v>93.190204600000001</v>
      </c>
      <c r="S1141" s="29">
        <v>50.486414000000003</v>
      </c>
      <c r="T1141" s="29">
        <v>42.703790699999999</v>
      </c>
      <c r="U1141" s="29">
        <v>6.8097953999999996</v>
      </c>
      <c r="V1141" s="29">
        <v>97.297297299999997</v>
      </c>
      <c r="W1141" s="29">
        <v>76.288659800000005</v>
      </c>
      <c r="X1141" s="29">
        <v>21.008637499999999</v>
      </c>
      <c r="Y1141" s="29">
        <v>2.7027027000000001</v>
      </c>
    </row>
    <row r="1142" spans="2:25" ht="15" hidden="1" customHeight="1">
      <c r="B1142" s="25">
        <v>1137</v>
      </c>
      <c r="C1142" s="26" t="s">
        <v>19</v>
      </c>
      <c r="D1142" s="26" t="s">
        <v>334</v>
      </c>
      <c r="E1142" s="26" t="s">
        <v>368</v>
      </c>
      <c r="F1142" s="26"/>
      <c r="G1142" s="27" t="s">
        <v>16</v>
      </c>
      <c r="H1142" s="28">
        <v>4975</v>
      </c>
      <c r="I1142" s="28">
        <v>2024</v>
      </c>
      <c r="J1142" s="28">
        <v>1337</v>
      </c>
      <c r="K1142" s="28">
        <v>687</v>
      </c>
      <c r="L1142" s="28">
        <v>2951</v>
      </c>
      <c r="M1142" s="28">
        <v>5749</v>
      </c>
      <c r="N1142" s="28">
        <v>3625</v>
      </c>
      <c r="O1142" s="28">
        <v>3311</v>
      </c>
      <c r="P1142" s="28">
        <v>314</v>
      </c>
      <c r="Q1142" s="28">
        <v>2124</v>
      </c>
      <c r="R1142" s="29">
        <v>40.6834171</v>
      </c>
      <c r="S1142" s="29">
        <v>26.8743719</v>
      </c>
      <c r="T1142" s="29">
        <v>13.8090452</v>
      </c>
      <c r="U1142" s="29">
        <v>59.3165829</v>
      </c>
      <c r="V1142" s="29">
        <v>63.0544443</v>
      </c>
      <c r="W1142" s="29">
        <v>57.592624800000003</v>
      </c>
      <c r="X1142" s="29">
        <v>5.4618194000000004</v>
      </c>
      <c r="Y1142" s="29">
        <v>36.9455557</v>
      </c>
    </row>
    <row r="1143" spans="2:25" ht="15" customHeight="1">
      <c r="B1143" s="30">
        <v>1138</v>
      </c>
      <c r="C1143" s="31" t="s">
        <v>21</v>
      </c>
      <c r="D1143" s="36" t="s">
        <v>334</v>
      </c>
      <c r="E1143" s="36" t="s">
        <v>368</v>
      </c>
      <c r="F1143" s="36" t="s">
        <v>369</v>
      </c>
      <c r="G1143" s="37" t="s">
        <v>369</v>
      </c>
      <c r="H1143" s="32">
        <v>5275</v>
      </c>
      <c r="I1143" s="32">
        <v>3500</v>
      </c>
      <c r="J1143" s="32">
        <v>2003</v>
      </c>
      <c r="K1143" s="32">
        <v>1497</v>
      </c>
      <c r="L1143" s="32">
        <v>1775</v>
      </c>
      <c r="M1143" s="32">
        <v>6197</v>
      </c>
      <c r="N1143" s="32">
        <v>4930</v>
      </c>
      <c r="O1143" s="32">
        <v>4078</v>
      </c>
      <c r="P1143" s="32">
        <v>852</v>
      </c>
      <c r="Q1143" s="32">
        <v>1267</v>
      </c>
      <c r="R1143" s="33">
        <v>66.350710899999996</v>
      </c>
      <c r="S1143" s="33">
        <v>37.971564000000001</v>
      </c>
      <c r="T1143" s="33">
        <v>28.379146899999999</v>
      </c>
      <c r="U1143" s="33">
        <v>33.649289099999997</v>
      </c>
      <c r="V1143" s="33">
        <v>79.554623199999995</v>
      </c>
      <c r="W1143" s="33">
        <v>65.806035199999997</v>
      </c>
      <c r="X1143" s="33">
        <v>13.748588</v>
      </c>
      <c r="Y1143" s="33">
        <v>20.445376799999998</v>
      </c>
    </row>
    <row r="1144" spans="2:25" ht="15" hidden="1" customHeight="1">
      <c r="B1144" s="25">
        <v>1139</v>
      </c>
      <c r="C1144" s="26" t="s">
        <v>21</v>
      </c>
      <c r="D1144" s="26" t="s">
        <v>334</v>
      </c>
      <c r="E1144" s="26" t="s">
        <v>368</v>
      </c>
      <c r="F1144" s="26" t="s">
        <v>369</v>
      </c>
      <c r="G1144" s="27" t="s">
        <v>15</v>
      </c>
      <c r="H1144" s="28">
        <v>2981</v>
      </c>
      <c r="I1144" s="28">
        <v>2778</v>
      </c>
      <c r="J1144" s="28">
        <v>1505</v>
      </c>
      <c r="K1144" s="28">
        <v>1273</v>
      </c>
      <c r="L1144" s="28">
        <v>203</v>
      </c>
      <c r="M1144" s="28">
        <v>3589</v>
      </c>
      <c r="N1144" s="28">
        <v>3492</v>
      </c>
      <c r="O1144" s="28">
        <v>2738</v>
      </c>
      <c r="P1144" s="28">
        <v>754</v>
      </c>
      <c r="Q1144" s="28">
        <v>97</v>
      </c>
      <c r="R1144" s="29">
        <v>93.190204600000001</v>
      </c>
      <c r="S1144" s="29">
        <v>50.486414000000003</v>
      </c>
      <c r="T1144" s="29">
        <v>42.703790699999999</v>
      </c>
      <c r="U1144" s="29">
        <v>6.8097953999999996</v>
      </c>
      <c r="V1144" s="29">
        <v>97.297297299999997</v>
      </c>
      <c r="W1144" s="29">
        <v>76.288659800000005</v>
      </c>
      <c r="X1144" s="29">
        <v>21.008637499999999</v>
      </c>
      <c r="Y1144" s="29">
        <v>2.7027027000000001</v>
      </c>
    </row>
    <row r="1145" spans="2:25" ht="15" hidden="1" customHeight="1">
      <c r="B1145" s="25">
        <v>1140</v>
      </c>
      <c r="C1145" s="26" t="s">
        <v>21</v>
      </c>
      <c r="D1145" s="26" t="s">
        <v>334</v>
      </c>
      <c r="E1145" s="26" t="s">
        <v>368</v>
      </c>
      <c r="F1145" s="26" t="s">
        <v>369</v>
      </c>
      <c r="G1145" s="27" t="s">
        <v>16</v>
      </c>
      <c r="H1145" s="28">
        <v>2294</v>
      </c>
      <c r="I1145" s="28">
        <v>722</v>
      </c>
      <c r="J1145" s="28">
        <v>498</v>
      </c>
      <c r="K1145" s="28">
        <v>224</v>
      </c>
      <c r="L1145" s="28">
        <v>1572</v>
      </c>
      <c r="M1145" s="28">
        <v>2608</v>
      </c>
      <c r="N1145" s="28">
        <v>1438</v>
      </c>
      <c r="O1145" s="28">
        <v>1340</v>
      </c>
      <c r="P1145" s="28">
        <v>98</v>
      </c>
      <c r="Q1145" s="28">
        <v>1170</v>
      </c>
      <c r="R1145" s="29">
        <v>31.473408899999999</v>
      </c>
      <c r="S1145" s="29">
        <v>21.708805600000002</v>
      </c>
      <c r="T1145" s="29">
        <v>9.7646032999999992</v>
      </c>
      <c r="U1145" s="29">
        <v>68.526591100000005</v>
      </c>
      <c r="V1145" s="29">
        <v>55.138036800000002</v>
      </c>
      <c r="W1145" s="29">
        <v>51.380368099999998</v>
      </c>
      <c r="X1145" s="29">
        <v>3.7576687</v>
      </c>
      <c r="Y1145" s="29">
        <v>44.861963199999998</v>
      </c>
    </row>
    <row r="1146" spans="2:25" ht="15" customHeight="1">
      <c r="B1146" s="30">
        <v>1141</v>
      </c>
      <c r="C1146" s="31" t="s">
        <v>21</v>
      </c>
      <c r="D1146" s="36" t="s">
        <v>334</v>
      </c>
      <c r="E1146" s="36" t="s">
        <v>368</v>
      </c>
      <c r="F1146" s="36" t="s">
        <v>370</v>
      </c>
      <c r="G1146" s="37" t="s">
        <v>370</v>
      </c>
      <c r="H1146" s="32">
        <v>576</v>
      </c>
      <c r="I1146" s="32">
        <v>385</v>
      </c>
      <c r="J1146" s="32">
        <v>251</v>
      </c>
      <c r="K1146" s="32">
        <v>134</v>
      </c>
      <c r="L1146" s="32">
        <v>191</v>
      </c>
      <c r="M1146" s="32">
        <v>795</v>
      </c>
      <c r="N1146" s="32">
        <v>691</v>
      </c>
      <c r="O1146" s="32">
        <v>620</v>
      </c>
      <c r="P1146" s="32">
        <v>71</v>
      </c>
      <c r="Q1146" s="32">
        <v>104</v>
      </c>
      <c r="R1146" s="33">
        <v>66.840277799999996</v>
      </c>
      <c r="S1146" s="33">
        <v>43.576388899999998</v>
      </c>
      <c r="T1146" s="33">
        <v>23.263888900000001</v>
      </c>
      <c r="U1146" s="33">
        <v>33.159722199999997</v>
      </c>
      <c r="V1146" s="33">
        <v>86.918239</v>
      </c>
      <c r="W1146" s="33">
        <v>77.987421400000002</v>
      </c>
      <c r="X1146" s="33">
        <v>8.9308175999999992</v>
      </c>
      <c r="Y1146" s="33">
        <v>13.081761</v>
      </c>
    </row>
    <row r="1147" spans="2:25" ht="15" hidden="1" customHeight="1">
      <c r="B1147" s="25">
        <v>1142</v>
      </c>
      <c r="C1147" s="26" t="s">
        <v>21</v>
      </c>
      <c r="D1147" s="26" t="s">
        <v>334</v>
      </c>
      <c r="E1147" s="26" t="s">
        <v>368</v>
      </c>
      <c r="F1147" s="26" t="s">
        <v>370</v>
      </c>
      <c r="G1147" s="27" t="s">
        <v>15</v>
      </c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9"/>
      <c r="S1147" s="29"/>
      <c r="T1147" s="29"/>
      <c r="U1147" s="29"/>
      <c r="V1147" s="29"/>
      <c r="W1147" s="29"/>
      <c r="X1147" s="29"/>
      <c r="Y1147" s="29"/>
    </row>
    <row r="1148" spans="2:25" ht="15" hidden="1" customHeight="1">
      <c r="B1148" s="25">
        <v>1143</v>
      </c>
      <c r="C1148" s="26" t="s">
        <v>21</v>
      </c>
      <c r="D1148" s="26" t="s">
        <v>334</v>
      </c>
      <c r="E1148" s="26" t="s">
        <v>368</v>
      </c>
      <c r="F1148" s="26" t="s">
        <v>370</v>
      </c>
      <c r="G1148" s="27" t="s">
        <v>16</v>
      </c>
      <c r="H1148" s="28">
        <v>576</v>
      </c>
      <c r="I1148" s="28">
        <v>385</v>
      </c>
      <c r="J1148" s="28">
        <v>251</v>
      </c>
      <c r="K1148" s="28">
        <v>134</v>
      </c>
      <c r="L1148" s="28">
        <v>191</v>
      </c>
      <c r="M1148" s="28">
        <v>795</v>
      </c>
      <c r="N1148" s="28">
        <v>691</v>
      </c>
      <c r="O1148" s="28">
        <v>620</v>
      </c>
      <c r="P1148" s="28">
        <v>71</v>
      </c>
      <c r="Q1148" s="28">
        <v>104</v>
      </c>
      <c r="R1148" s="29">
        <v>66.840277799999996</v>
      </c>
      <c r="S1148" s="29">
        <v>43.576388899999998</v>
      </c>
      <c r="T1148" s="29">
        <v>23.263888900000001</v>
      </c>
      <c r="U1148" s="29">
        <v>33.159722199999997</v>
      </c>
      <c r="V1148" s="29">
        <v>86.918239</v>
      </c>
      <c r="W1148" s="29">
        <v>77.987421400000002</v>
      </c>
      <c r="X1148" s="29">
        <v>8.9308175999999992</v>
      </c>
      <c r="Y1148" s="29">
        <v>13.081761</v>
      </c>
    </row>
    <row r="1149" spans="2:25" ht="15" customHeight="1">
      <c r="B1149" s="30">
        <v>1144</v>
      </c>
      <c r="C1149" s="31" t="s">
        <v>21</v>
      </c>
      <c r="D1149" s="36" t="s">
        <v>334</v>
      </c>
      <c r="E1149" s="36" t="s">
        <v>368</v>
      </c>
      <c r="F1149" s="36" t="s">
        <v>371</v>
      </c>
      <c r="G1149" s="37" t="s">
        <v>371</v>
      </c>
      <c r="H1149" s="32">
        <v>870</v>
      </c>
      <c r="I1149" s="32">
        <v>481</v>
      </c>
      <c r="J1149" s="32">
        <v>336</v>
      </c>
      <c r="K1149" s="32">
        <v>145</v>
      </c>
      <c r="L1149" s="32">
        <v>389</v>
      </c>
      <c r="M1149" s="32">
        <v>991</v>
      </c>
      <c r="N1149" s="32">
        <v>667</v>
      </c>
      <c r="O1149" s="32">
        <v>606</v>
      </c>
      <c r="P1149" s="32">
        <v>61</v>
      </c>
      <c r="Q1149" s="32">
        <v>324</v>
      </c>
      <c r="R1149" s="33">
        <v>55.287356299999999</v>
      </c>
      <c r="S1149" s="33">
        <v>38.6206897</v>
      </c>
      <c r="T1149" s="33">
        <v>16.6666667</v>
      </c>
      <c r="U1149" s="33">
        <v>44.712643700000001</v>
      </c>
      <c r="V1149" s="33">
        <v>67.305751799999996</v>
      </c>
      <c r="W1149" s="33">
        <v>61.150353199999998</v>
      </c>
      <c r="X1149" s="33">
        <v>6.1553985999999998</v>
      </c>
      <c r="Y1149" s="33">
        <v>32.694248199999997</v>
      </c>
    </row>
    <row r="1150" spans="2:25" ht="15" hidden="1" customHeight="1">
      <c r="B1150" s="25">
        <v>1145</v>
      </c>
      <c r="C1150" s="26" t="s">
        <v>21</v>
      </c>
      <c r="D1150" s="26" t="s">
        <v>334</v>
      </c>
      <c r="E1150" s="26" t="s">
        <v>368</v>
      </c>
      <c r="F1150" s="26" t="s">
        <v>371</v>
      </c>
      <c r="G1150" s="27" t="s">
        <v>15</v>
      </c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9"/>
      <c r="S1150" s="29"/>
      <c r="T1150" s="29"/>
      <c r="U1150" s="29"/>
      <c r="V1150" s="29"/>
      <c r="W1150" s="29"/>
      <c r="X1150" s="29"/>
      <c r="Y1150" s="29"/>
    </row>
    <row r="1151" spans="2:25" ht="15" hidden="1" customHeight="1">
      <c r="B1151" s="25">
        <v>1146</v>
      </c>
      <c r="C1151" s="26" t="s">
        <v>21</v>
      </c>
      <c r="D1151" s="26" t="s">
        <v>334</v>
      </c>
      <c r="E1151" s="26" t="s">
        <v>368</v>
      </c>
      <c r="F1151" s="26" t="s">
        <v>371</v>
      </c>
      <c r="G1151" s="27" t="s">
        <v>16</v>
      </c>
      <c r="H1151" s="28">
        <v>870</v>
      </c>
      <c r="I1151" s="28">
        <v>481</v>
      </c>
      <c r="J1151" s="28">
        <v>336</v>
      </c>
      <c r="K1151" s="28">
        <v>145</v>
      </c>
      <c r="L1151" s="28">
        <v>389</v>
      </c>
      <c r="M1151" s="28">
        <v>991</v>
      </c>
      <c r="N1151" s="28">
        <v>667</v>
      </c>
      <c r="O1151" s="28">
        <v>606</v>
      </c>
      <c r="P1151" s="28">
        <v>61</v>
      </c>
      <c r="Q1151" s="28">
        <v>324</v>
      </c>
      <c r="R1151" s="29">
        <v>55.287356299999999</v>
      </c>
      <c r="S1151" s="29">
        <v>38.6206897</v>
      </c>
      <c r="T1151" s="29">
        <v>16.6666667</v>
      </c>
      <c r="U1151" s="29">
        <v>44.712643700000001</v>
      </c>
      <c r="V1151" s="29">
        <v>67.305751799999996</v>
      </c>
      <c r="W1151" s="29">
        <v>61.150353199999998</v>
      </c>
      <c r="X1151" s="29">
        <v>6.1553985999999998</v>
      </c>
      <c r="Y1151" s="29">
        <v>32.694248199999997</v>
      </c>
    </row>
    <row r="1152" spans="2:25" ht="15" customHeight="1">
      <c r="B1152" s="30">
        <v>1147</v>
      </c>
      <c r="C1152" s="31" t="s">
        <v>21</v>
      </c>
      <c r="D1152" s="36" t="s">
        <v>334</v>
      </c>
      <c r="E1152" s="36" t="s">
        <v>368</v>
      </c>
      <c r="F1152" s="36" t="s">
        <v>372</v>
      </c>
      <c r="G1152" s="37" t="s">
        <v>372</v>
      </c>
      <c r="H1152" s="32">
        <v>600</v>
      </c>
      <c r="I1152" s="32">
        <v>245</v>
      </c>
      <c r="J1152" s="32">
        <v>118</v>
      </c>
      <c r="K1152" s="32">
        <v>127</v>
      </c>
      <c r="L1152" s="32">
        <v>355</v>
      </c>
      <c r="M1152" s="32">
        <v>606</v>
      </c>
      <c r="N1152" s="32">
        <v>398</v>
      </c>
      <c r="O1152" s="32">
        <v>355</v>
      </c>
      <c r="P1152" s="32">
        <v>43</v>
      </c>
      <c r="Q1152" s="32">
        <v>208</v>
      </c>
      <c r="R1152" s="33">
        <v>40.8333333</v>
      </c>
      <c r="S1152" s="33">
        <v>19.6666667</v>
      </c>
      <c r="T1152" s="33">
        <v>21.1666667</v>
      </c>
      <c r="U1152" s="33">
        <v>59.1666667</v>
      </c>
      <c r="V1152" s="33">
        <v>65.676567700000007</v>
      </c>
      <c r="W1152" s="33">
        <v>58.5808581</v>
      </c>
      <c r="X1152" s="33">
        <v>7.0957096000000002</v>
      </c>
      <c r="Y1152" s="33">
        <v>34.3234323</v>
      </c>
    </row>
    <row r="1153" spans="2:25" ht="15" hidden="1" customHeight="1">
      <c r="B1153" s="25">
        <v>1148</v>
      </c>
      <c r="C1153" s="26" t="s">
        <v>21</v>
      </c>
      <c r="D1153" s="26" t="s">
        <v>334</v>
      </c>
      <c r="E1153" s="26" t="s">
        <v>368</v>
      </c>
      <c r="F1153" s="26" t="s">
        <v>372</v>
      </c>
      <c r="G1153" s="27" t="s">
        <v>15</v>
      </c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9"/>
      <c r="S1153" s="29"/>
      <c r="T1153" s="29"/>
      <c r="U1153" s="29"/>
      <c r="V1153" s="29"/>
      <c r="W1153" s="29"/>
      <c r="X1153" s="29"/>
      <c r="Y1153" s="29"/>
    </row>
    <row r="1154" spans="2:25" ht="15" hidden="1" customHeight="1">
      <c r="B1154" s="25">
        <v>1149</v>
      </c>
      <c r="C1154" s="26" t="s">
        <v>21</v>
      </c>
      <c r="D1154" s="26" t="s">
        <v>334</v>
      </c>
      <c r="E1154" s="26" t="s">
        <v>368</v>
      </c>
      <c r="F1154" s="26" t="s">
        <v>372</v>
      </c>
      <c r="G1154" s="27" t="s">
        <v>16</v>
      </c>
      <c r="H1154" s="28">
        <v>600</v>
      </c>
      <c r="I1154" s="28">
        <v>245</v>
      </c>
      <c r="J1154" s="28">
        <v>118</v>
      </c>
      <c r="K1154" s="28">
        <v>127</v>
      </c>
      <c r="L1154" s="28">
        <v>355</v>
      </c>
      <c r="M1154" s="28">
        <v>606</v>
      </c>
      <c r="N1154" s="28">
        <v>398</v>
      </c>
      <c r="O1154" s="28">
        <v>355</v>
      </c>
      <c r="P1154" s="28">
        <v>43</v>
      </c>
      <c r="Q1154" s="28">
        <v>208</v>
      </c>
      <c r="R1154" s="29">
        <v>40.8333333</v>
      </c>
      <c r="S1154" s="29">
        <v>19.6666667</v>
      </c>
      <c r="T1154" s="29">
        <v>21.1666667</v>
      </c>
      <c r="U1154" s="29">
        <v>59.1666667</v>
      </c>
      <c r="V1154" s="29">
        <v>65.676567700000007</v>
      </c>
      <c r="W1154" s="29">
        <v>58.5808581</v>
      </c>
      <c r="X1154" s="29">
        <v>7.0957096000000002</v>
      </c>
      <c r="Y1154" s="29">
        <v>34.3234323</v>
      </c>
    </row>
    <row r="1155" spans="2:25" ht="15" customHeight="1">
      <c r="B1155" s="30">
        <v>1150</v>
      </c>
      <c r="C1155" s="31" t="s">
        <v>21</v>
      </c>
      <c r="D1155" s="36" t="s">
        <v>334</v>
      </c>
      <c r="E1155" s="36" t="s">
        <v>368</v>
      </c>
      <c r="F1155" s="36" t="s">
        <v>373</v>
      </c>
      <c r="G1155" s="37" t="s">
        <v>373</v>
      </c>
      <c r="H1155" s="32">
        <v>635</v>
      </c>
      <c r="I1155" s="32">
        <v>191</v>
      </c>
      <c r="J1155" s="32">
        <v>134</v>
      </c>
      <c r="K1155" s="32">
        <v>57</v>
      </c>
      <c r="L1155" s="32">
        <v>444</v>
      </c>
      <c r="M1155" s="32">
        <v>749</v>
      </c>
      <c r="N1155" s="32">
        <v>431</v>
      </c>
      <c r="O1155" s="32">
        <v>390</v>
      </c>
      <c r="P1155" s="32">
        <v>41</v>
      </c>
      <c r="Q1155" s="32">
        <v>318</v>
      </c>
      <c r="R1155" s="33">
        <v>30.078740199999999</v>
      </c>
      <c r="S1155" s="33">
        <v>21.102362200000002</v>
      </c>
      <c r="T1155" s="33">
        <v>8.9763780000000004</v>
      </c>
      <c r="U1155" s="33">
        <v>69.921259800000001</v>
      </c>
      <c r="V1155" s="33">
        <v>57.543391200000002</v>
      </c>
      <c r="W1155" s="33">
        <v>52.069425899999999</v>
      </c>
      <c r="X1155" s="33">
        <v>5.4739652999999997</v>
      </c>
      <c r="Y1155" s="33">
        <v>42.456608799999998</v>
      </c>
    </row>
    <row r="1156" spans="2:25" ht="15" hidden="1" customHeight="1">
      <c r="B1156" s="25">
        <v>1151</v>
      </c>
      <c r="C1156" s="26" t="s">
        <v>21</v>
      </c>
      <c r="D1156" s="26" t="s">
        <v>334</v>
      </c>
      <c r="E1156" s="26" t="s">
        <v>368</v>
      </c>
      <c r="F1156" s="26" t="s">
        <v>373</v>
      </c>
      <c r="G1156" s="27" t="s">
        <v>15</v>
      </c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9"/>
      <c r="S1156" s="29"/>
      <c r="T1156" s="29"/>
      <c r="U1156" s="29"/>
      <c r="V1156" s="29"/>
      <c r="W1156" s="29"/>
      <c r="X1156" s="29"/>
      <c r="Y1156" s="29"/>
    </row>
    <row r="1157" spans="2:25" ht="15" hidden="1" customHeight="1">
      <c r="B1157" s="25">
        <v>1152</v>
      </c>
      <c r="C1157" s="26" t="s">
        <v>21</v>
      </c>
      <c r="D1157" s="26" t="s">
        <v>334</v>
      </c>
      <c r="E1157" s="26" t="s">
        <v>368</v>
      </c>
      <c r="F1157" s="26" t="s">
        <v>373</v>
      </c>
      <c r="G1157" s="27" t="s">
        <v>16</v>
      </c>
      <c r="H1157" s="28">
        <v>635</v>
      </c>
      <c r="I1157" s="28">
        <v>191</v>
      </c>
      <c r="J1157" s="28">
        <v>134</v>
      </c>
      <c r="K1157" s="28">
        <v>57</v>
      </c>
      <c r="L1157" s="28">
        <v>444</v>
      </c>
      <c r="M1157" s="28">
        <v>749</v>
      </c>
      <c r="N1157" s="28">
        <v>431</v>
      </c>
      <c r="O1157" s="28">
        <v>390</v>
      </c>
      <c r="P1157" s="28">
        <v>41</v>
      </c>
      <c r="Q1157" s="28">
        <v>318</v>
      </c>
      <c r="R1157" s="29">
        <v>30.078740199999999</v>
      </c>
      <c r="S1157" s="29">
        <v>21.102362200000002</v>
      </c>
      <c r="T1157" s="29">
        <v>8.9763780000000004</v>
      </c>
      <c r="U1157" s="29">
        <v>69.921259800000001</v>
      </c>
      <c r="V1157" s="29">
        <v>57.543391200000002</v>
      </c>
      <c r="W1157" s="29">
        <v>52.069425899999999</v>
      </c>
      <c r="X1157" s="29">
        <v>5.4739652999999997</v>
      </c>
      <c r="Y1157" s="29">
        <v>42.456608799999998</v>
      </c>
    </row>
    <row r="1158" spans="2:25" ht="15" hidden="1" customHeight="1">
      <c r="B1158" s="21">
        <v>1153</v>
      </c>
      <c r="C1158" s="22" t="s">
        <v>19</v>
      </c>
      <c r="D1158" s="35" t="s">
        <v>334</v>
      </c>
      <c r="E1158" s="35" t="s">
        <v>374</v>
      </c>
      <c r="F1158" s="35"/>
      <c r="G1158" s="22" t="s">
        <v>374</v>
      </c>
      <c r="H1158" s="23">
        <v>9507</v>
      </c>
      <c r="I1158" s="23">
        <v>6959</v>
      </c>
      <c r="J1158" s="23">
        <v>3928</v>
      </c>
      <c r="K1158" s="23">
        <v>3031</v>
      </c>
      <c r="L1158" s="23">
        <v>2548</v>
      </c>
      <c r="M1158" s="23">
        <v>12199</v>
      </c>
      <c r="N1158" s="23">
        <v>10187</v>
      </c>
      <c r="O1158" s="23">
        <v>8068</v>
      </c>
      <c r="P1158" s="23">
        <v>2119</v>
      </c>
      <c r="Q1158" s="23">
        <v>2012</v>
      </c>
      <c r="R1158" s="24">
        <v>73.198695700000002</v>
      </c>
      <c r="S1158" s="24">
        <v>41.316924399999998</v>
      </c>
      <c r="T1158" s="24">
        <v>31.8817713</v>
      </c>
      <c r="U1158" s="24">
        <v>26.801304300000002</v>
      </c>
      <c r="V1158" s="24">
        <v>83.506844799999996</v>
      </c>
      <c r="W1158" s="24">
        <v>66.136568600000004</v>
      </c>
      <c r="X1158" s="24">
        <v>17.3702763</v>
      </c>
      <c r="Y1158" s="24">
        <v>16.4931552</v>
      </c>
    </row>
    <row r="1159" spans="2:25" ht="15" hidden="1" customHeight="1">
      <c r="B1159" s="25">
        <v>1154</v>
      </c>
      <c r="C1159" s="26" t="s">
        <v>19</v>
      </c>
      <c r="D1159" s="26" t="s">
        <v>334</v>
      </c>
      <c r="E1159" s="26" t="s">
        <v>374</v>
      </c>
      <c r="F1159" s="26"/>
      <c r="G1159" s="27" t="s">
        <v>15</v>
      </c>
      <c r="H1159" s="28">
        <v>4185</v>
      </c>
      <c r="I1159" s="28">
        <v>3773</v>
      </c>
      <c r="J1159" s="28">
        <v>2093</v>
      </c>
      <c r="K1159" s="28">
        <v>1680</v>
      </c>
      <c r="L1159" s="28">
        <v>412</v>
      </c>
      <c r="M1159" s="28">
        <v>5420</v>
      </c>
      <c r="N1159" s="28">
        <v>5250</v>
      </c>
      <c r="O1159" s="28">
        <v>3864</v>
      </c>
      <c r="P1159" s="28">
        <v>1386</v>
      </c>
      <c r="Q1159" s="28">
        <v>170</v>
      </c>
      <c r="R1159" s="29">
        <v>90.155316600000006</v>
      </c>
      <c r="S1159" s="29">
        <v>50.011947399999997</v>
      </c>
      <c r="T1159" s="29">
        <v>40.143369200000002</v>
      </c>
      <c r="U1159" s="29">
        <v>9.8446833999999992</v>
      </c>
      <c r="V1159" s="29">
        <v>96.863468600000004</v>
      </c>
      <c r="W1159" s="29">
        <v>71.291512900000001</v>
      </c>
      <c r="X1159" s="29">
        <v>25.5719557</v>
      </c>
      <c r="Y1159" s="29">
        <v>3.1365314</v>
      </c>
    </row>
    <row r="1160" spans="2:25" ht="15" hidden="1" customHeight="1">
      <c r="B1160" s="25">
        <v>1155</v>
      </c>
      <c r="C1160" s="26" t="s">
        <v>19</v>
      </c>
      <c r="D1160" s="26" t="s">
        <v>334</v>
      </c>
      <c r="E1160" s="26" t="s">
        <v>374</v>
      </c>
      <c r="F1160" s="26"/>
      <c r="G1160" s="27" t="s">
        <v>16</v>
      </c>
      <c r="H1160" s="28">
        <v>5322</v>
      </c>
      <c r="I1160" s="28">
        <v>3186</v>
      </c>
      <c r="J1160" s="28">
        <v>1835</v>
      </c>
      <c r="K1160" s="28">
        <v>1351</v>
      </c>
      <c r="L1160" s="28">
        <v>2136</v>
      </c>
      <c r="M1160" s="28">
        <v>6779</v>
      </c>
      <c r="N1160" s="28">
        <v>4937</v>
      </c>
      <c r="O1160" s="28">
        <v>4204</v>
      </c>
      <c r="P1160" s="28">
        <v>733</v>
      </c>
      <c r="Q1160" s="28">
        <v>1842</v>
      </c>
      <c r="R1160" s="29">
        <v>59.864712500000003</v>
      </c>
      <c r="S1160" s="29">
        <v>34.479519000000003</v>
      </c>
      <c r="T1160" s="29">
        <v>25.3851935</v>
      </c>
      <c r="U1160" s="29">
        <v>40.135287499999997</v>
      </c>
      <c r="V1160" s="29">
        <v>72.827850699999999</v>
      </c>
      <c r="W1160" s="29">
        <v>62.015046499999997</v>
      </c>
      <c r="X1160" s="29">
        <v>10.8128042</v>
      </c>
      <c r="Y1160" s="29">
        <v>27.172149300000001</v>
      </c>
    </row>
    <row r="1161" spans="2:25" ht="15" customHeight="1">
      <c r="B1161" s="30">
        <v>1156</v>
      </c>
      <c r="C1161" s="31" t="s">
        <v>21</v>
      </c>
      <c r="D1161" s="36" t="s">
        <v>334</v>
      </c>
      <c r="E1161" s="36" t="s">
        <v>374</v>
      </c>
      <c r="F1161" s="36" t="s">
        <v>375</v>
      </c>
      <c r="G1161" s="37" t="s">
        <v>375</v>
      </c>
      <c r="H1161" s="32">
        <v>3099</v>
      </c>
      <c r="I1161" s="32">
        <v>2124</v>
      </c>
      <c r="J1161" s="32">
        <v>1333</v>
      </c>
      <c r="K1161" s="32">
        <v>791</v>
      </c>
      <c r="L1161" s="32">
        <v>975</v>
      </c>
      <c r="M1161" s="32">
        <v>4052</v>
      </c>
      <c r="N1161" s="32">
        <v>3382</v>
      </c>
      <c r="O1161" s="32">
        <v>2777</v>
      </c>
      <c r="P1161" s="32">
        <v>605</v>
      </c>
      <c r="Q1161" s="32">
        <v>670</v>
      </c>
      <c r="R1161" s="33">
        <v>68.538238100000001</v>
      </c>
      <c r="S1161" s="33">
        <v>43.013875400000003</v>
      </c>
      <c r="T1161" s="33">
        <v>25.524362700000001</v>
      </c>
      <c r="U1161" s="33">
        <v>31.461761899999999</v>
      </c>
      <c r="V1161" s="33">
        <v>83.464955599999996</v>
      </c>
      <c r="W1161" s="33">
        <v>68.534057300000001</v>
      </c>
      <c r="X1161" s="33">
        <v>14.930898300000001</v>
      </c>
      <c r="Y1161" s="33">
        <v>16.5350444</v>
      </c>
    </row>
    <row r="1162" spans="2:25" ht="15" hidden="1" customHeight="1">
      <c r="B1162" s="25">
        <v>1157</v>
      </c>
      <c r="C1162" s="26" t="s">
        <v>21</v>
      </c>
      <c r="D1162" s="26" t="s">
        <v>334</v>
      </c>
      <c r="E1162" s="26" t="s">
        <v>374</v>
      </c>
      <c r="F1162" s="26" t="s">
        <v>375</v>
      </c>
      <c r="G1162" s="27" t="s">
        <v>15</v>
      </c>
      <c r="H1162" s="28">
        <v>1290</v>
      </c>
      <c r="I1162" s="28">
        <v>1171</v>
      </c>
      <c r="J1162" s="28">
        <v>704</v>
      </c>
      <c r="K1162" s="28">
        <v>467</v>
      </c>
      <c r="L1162" s="28">
        <v>119</v>
      </c>
      <c r="M1162" s="28">
        <v>1760</v>
      </c>
      <c r="N1162" s="28">
        <v>1708</v>
      </c>
      <c r="O1162" s="28">
        <v>1297</v>
      </c>
      <c r="P1162" s="28">
        <v>411</v>
      </c>
      <c r="Q1162" s="28">
        <v>52</v>
      </c>
      <c r="R1162" s="29">
        <v>90.775193799999997</v>
      </c>
      <c r="S1162" s="29">
        <v>54.573643400000002</v>
      </c>
      <c r="T1162" s="29">
        <v>36.201550400000002</v>
      </c>
      <c r="U1162" s="29">
        <v>9.2248061999999997</v>
      </c>
      <c r="V1162" s="29">
        <v>97.045454500000005</v>
      </c>
      <c r="W1162" s="29">
        <v>73.693181800000005</v>
      </c>
      <c r="X1162" s="29">
        <v>23.3522727</v>
      </c>
      <c r="Y1162" s="29">
        <v>2.9545455</v>
      </c>
    </row>
    <row r="1163" spans="2:25" ht="15" hidden="1" customHeight="1">
      <c r="B1163" s="25">
        <v>1158</v>
      </c>
      <c r="C1163" s="26" t="s">
        <v>21</v>
      </c>
      <c r="D1163" s="26" t="s">
        <v>334</v>
      </c>
      <c r="E1163" s="26" t="s">
        <v>374</v>
      </c>
      <c r="F1163" s="26" t="s">
        <v>375</v>
      </c>
      <c r="G1163" s="27" t="s">
        <v>16</v>
      </c>
      <c r="H1163" s="28">
        <v>1809</v>
      </c>
      <c r="I1163" s="28">
        <v>953</v>
      </c>
      <c r="J1163" s="28">
        <v>629</v>
      </c>
      <c r="K1163" s="28">
        <v>324</v>
      </c>
      <c r="L1163" s="28">
        <v>856</v>
      </c>
      <c r="M1163" s="28">
        <v>2292</v>
      </c>
      <c r="N1163" s="28">
        <v>1674</v>
      </c>
      <c r="O1163" s="28">
        <v>1480</v>
      </c>
      <c r="P1163" s="28">
        <v>194</v>
      </c>
      <c r="Q1163" s="28">
        <v>618</v>
      </c>
      <c r="R1163" s="29">
        <v>52.681039200000001</v>
      </c>
      <c r="S1163" s="29">
        <v>34.770591500000002</v>
      </c>
      <c r="T1163" s="29">
        <v>17.9104478</v>
      </c>
      <c r="U1163" s="29">
        <v>47.318960799999999</v>
      </c>
      <c r="V1163" s="29">
        <v>73.036649199999999</v>
      </c>
      <c r="W1163" s="29">
        <v>64.572425800000005</v>
      </c>
      <c r="X1163" s="29">
        <v>8.4642233999999998</v>
      </c>
      <c r="Y1163" s="29">
        <v>26.963350800000001</v>
      </c>
    </row>
    <row r="1164" spans="2:25" ht="15" customHeight="1">
      <c r="B1164" s="30">
        <v>1159</v>
      </c>
      <c r="C1164" s="31" t="s">
        <v>21</v>
      </c>
      <c r="D1164" s="36" t="s">
        <v>334</v>
      </c>
      <c r="E1164" s="36" t="s">
        <v>374</v>
      </c>
      <c r="F1164" s="36" t="s">
        <v>376</v>
      </c>
      <c r="G1164" s="37" t="s">
        <v>376</v>
      </c>
      <c r="H1164" s="32">
        <v>2714</v>
      </c>
      <c r="I1164" s="32">
        <v>1990</v>
      </c>
      <c r="J1164" s="32">
        <v>1102</v>
      </c>
      <c r="K1164" s="32">
        <v>888</v>
      </c>
      <c r="L1164" s="32">
        <v>724</v>
      </c>
      <c r="M1164" s="32">
        <v>3050</v>
      </c>
      <c r="N1164" s="32">
        <v>2588</v>
      </c>
      <c r="O1164" s="32">
        <v>2089</v>
      </c>
      <c r="P1164" s="32">
        <v>499</v>
      </c>
      <c r="Q1164" s="32">
        <v>462</v>
      </c>
      <c r="R1164" s="33">
        <v>73.323507699999993</v>
      </c>
      <c r="S1164" s="33">
        <v>40.604274099999998</v>
      </c>
      <c r="T1164" s="33">
        <v>32.719233600000003</v>
      </c>
      <c r="U1164" s="33">
        <v>26.6764923</v>
      </c>
      <c r="V1164" s="33">
        <v>84.852458999999996</v>
      </c>
      <c r="W1164" s="33">
        <v>68.491803300000001</v>
      </c>
      <c r="X1164" s="33">
        <v>16.360655699999999</v>
      </c>
      <c r="Y1164" s="33">
        <v>15.147541</v>
      </c>
    </row>
    <row r="1165" spans="2:25" ht="15" hidden="1" customHeight="1">
      <c r="B1165" s="25">
        <v>1160</v>
      </c>
      <c r="C1165" s="26" t="s">
        <v>21</v>
      </c>
      <c r="D1165" s="26" t="s">
        <v>334</v>
      </c>
      <c r="E1165" s="26" t="s">
        <v>374</v>
      </c>
      <c r="F1165" s="26" t="s">
        <v>376</v>
      </c>
      <c r="G1165" s="27" t="s">
        <v>15</v>
      </c>
      <c r="H1165" s="28">
        <v>1002</v>
      </c>
      <c r="I1165" s="28">
        <v>858</v>
      </c>
      <c r="J1165" s="28">
        <v>433</v>
      </c>
      <c r="K1165" s="28">
        <v>425</v>
      </c>
      <c r="L1165" s="28">
        <v>144</v>
      </c>
      <c r="M1165" s="28">
        <v>1181</v>
      </c>
      <c r="N1165" s="28">
        <v>1124</v>
      </c>
      <c r="O1165" s="28">
        <v>863</v>
      </c>
      <c r="P1165" s="28">
        <v>261</v>
      </c>
      <c r="Q1165" s="28">
        <v>57</v>
      </c>
      <c r="R1165" s="29">
        <v>85.628742500000001</v>
      </c>
      <c r="S1165" s="29">
        <v>43.213572900000003</v>
      </c>
      <c r="T1165" s="29">
        <v>42.4151697</v>
      </c>
      <c r="U1165" s="29">
        <v>14.3712575</v>
      </c>
      <c r="V1165" s="29">
        <v>95.1735817</v>
      </c>
      <c r="W1165" s="29">
        <v>73.073666399999993</v>
      </c>
      <c r="X1165" s="29">
        <v>22.099915299999999</v>
      </c>
      <c r="Y1165" s="29">
        <v>4.8264183000000003</v>
      </c>
    </row>
    <row r="1166" spans="2:25" ht="15" hidden="1" customHeight="1">
      <c r="B1166" s="25">
        <v>1161</v>
      </c>
      <c r="C1166" s="26" t="s">
        <v>21</v>
      </c>
      <c r="D1166" s="26" t="s">
        <v>334</v>
      </c>
      <c r="E1166" s="26" t="s">
        <v>374</v>
      </c>
      <c r="F1166" s="26" t="s">
        <v>376</v>
      </c>
      <c r="G1166" s="27" t="s">
        <v>16</v>
      </c>
      <c r="H1166" s="28">
        <v>1712</v>
      </c>
      <c r="I1166" s="28">
        <v>1132</v>
      </c>
      <c r="J1166" s="28">
        <v>669</v>
      </c>
      <c r="K1166" s="28">
        <v>463</v>
      </c>
      <c r="L1166" s="28">
        <v>580</v>
      </c>
      <c r="M1166" s="28">
        <v>1869</v>
      </c>
      <c r="N1166" s="28">
        <v>1464</v>
      </c>
      <c r="O1166" s="28">
        <v>1226</v>
      </c>
      <c r="P1166" s="28">
        <v>238</v>
      </c>
      <c r="Q1166" s="28">
        <v>405</v>
      </c>
      <c r="R1166" s="29">
        <v>66.121495300000007</v>
      </c>
      <c r="S1166" s="29">
        <v>39.077102799999999</v>
      </c>
      <c r="T1166" s="29">
        <v>27.044392500000001</v>
      </c>
      <c r="U1166" s="29">
        <v>33.878504700000001</v>
      </c>
      <c r="V1166" s="29">
        <v>78.330658099999994</v>
      </c>
      <c r="W1166" s="29">
        <v>65.596575700000002</v>
      </c>
      <c r="X1166" s="29">
        <v>12.7340824</v>
      </c>
      <c r="Y1166" s="29">
        <v>21.669341899999999</v>
      </c>
    </row>
    <row r="1167" spans="2:25" ht="15" customHeight="1">
      <c r="B1167" s="30">
        <v>1162</v>
      </c>
      <c r="C1167" s="31" t="s">
        <v>21</v>
      </c>
      <c r="D1167" s="36" t="s">
        <v>334</v>
      </c>
      <c r="E1167" s="36" t="s">
        <v>374</v>
      </c>
      <c r="F1167" s="36" t="s">
        <v>377</v>
      </c>
      <c r="G1167" s="37" t="s">
        <v>377</v>
      </c>
      <c r="H1167" s="32">
        <v>2964</v>
      </c>
      <c r="I1167" s="32">
        <v>2390</v>
      </c>
      <c r="J1167" s="32">
        <v>1305</v>
      </c>
      <c r="K1167" s="32">
        <v>1085</v>
      </c>
      <c r="L1167" s="32">
        <v>574</v>
      </c>
      <c r="M1167" s="32">
        <v>4310</v>
      </c>
      <c r="N1167" s="32">
        <v>3631</v>
      </c>
      <c r="O1167" s="32">
        <v>2691</v>
      </c>
      <c r="P1167" s="32">
        <v>940</v>
      </c>
      <c r="Q1167" s="32">
        <v>679</v>
      </c>
      <c r="R1167" s="33">
        <v>80.634277999999995</v>
      </c>
      <c r="S1167" s="33">
        <v>44.028340100000001</v>
      </c>
      <c r="T1167" s="33">
        <v>36.605937900000001</v>
      </c>
      <c r="U1167" s="33">
        <v>19.365722000000002</v>
      </c>
      <c r="V1167" s="33">
        <v>84.245939699999994</v>
      </c>
      <c r="W1167" s="33">
        <v>62.436194899999997</v>
      </c>
      <c r="X1167" s="33">
        <v>21.809744800000001</v>
      </c>
      <c r="Y1167" s="33">
        <v>15.754060300000001</v>
      </c>
    </row>
    <row r="1168" spans="2:25" ht="15" hidden="1" customHeight="1">
      <c r="B1168" s="25">
        <v>1163</v>
      </c>
      <c r="C1168" s="26" t="s">
        <v>21</v>
      </c>
      <c r="D1168" s="26" t="s">
        <v>334</v>
      </c>
      <c r="E1168" s="26" t="s">
        <v>374</v>
      </c>
      <c r="F1168" s="26" t="s">
        <v>377</v>
      </c>
      <c r="G1168" s="27" t="s">
        <v>15</v>
      </c>
      <c r="H1168" s="28">
        <v>1893</v>
      </c>
      <c r="I1168" s="28">
        <v>1744</v>
      </c>
      <c r="J1168" s="28">
        <v>956</v>
      </c>
      <c r="K1168" s="28">
        <v>788</v>
      </c>
      <c r="L1168" s="28">
        <v>149</v>
      </c>
      <c r="M1168" s="28">
        <v>2479</v>
      </c>
      <c r="N1168" s="28">
        <v>2418</v>
      </c>
      <c r="O1168" s="28">
        <v>1704</v>
      </c>
      <c r="P1168" s="28">
        <v>714</v>
      </c>
      <c r="Q1168" s="28">
        <v>61</v>
      </c>
      <c r="R1168" s="29">
        <v>92.128895900000003</v>
      </c>
      <c r="S1168" s="29">
        <v>50.501848899999999</v>
      </c>
      <c r="T1168" s="29">
        <v>41.627046999999997</v>
      </c>
      <c r="U1168" s="29">
        <v>7.8711041000000002</v>
      </c>
      <c r="V1168" s="29">
        <v>97.539330399999997</v>
      </c>
      <c r="W1168" s="29">
        <v>68.737394100000003</v>
      </c>
      <c r="X1168" s="29">
        <v>28.801936300000001</v>
      </c>
      <c r="Y1168" s="29">
        <v>2.4606696000000001</v>
      </c>
    </row>
    <row r="1169" spans="2:25" ht="15" hidden="1" customHeight="1">
      <c r="B1169" s="25">
        <v>1164</v>
      </c>
      <c r="C1169" s="26" t="s">
        <v>21</v>
      </c>
      <c r="D1169" s="26" t="s">
        <v>334</v>
      </c>
      <c r="E1169" s="26" t="s">
        <v>374</v>
      </c>
      <c r="F1169" s="26" t="s">
        <v>377</v>
      </c>
      <c r="G1169" s="27" t="s">
        <v>16</v>
      </c>
      <c r="H1169" s="28">
        <v>1071</v>
      </c>
      <c r="I1169" s="28">
        <v>646</v>
      </c>
      <c r="J1169" s="28">
        <v>349</v>
      </c>
      <c r="K1169" s="28">
        <v>297</v>
      </c>
      <c r="L1169" s="28">
        <v>425</v>
      </c>
      <c r="M1169" s="28">
        <v>1831</v>
      </c>
      <c r="N1169" s="28">
        <v>1213</v>
      </c>
      <c r="O1169" s="28">
        <v>987</v>
      </c>
      <c r="P1169" s="28">
        <v>226</v>
      </c>
      <c r="Q1169" s="28">
        <v>618</v>
      </c>
      <c r="R1169" s="29">
        <v>60.3174603</v>
      </c>
      <c r="S1169" s="29">
        <v>32.586367899999999</v>
      </c>
      <c r="T1169" s="29">
        <v>27.731092400000001</v>
      </c>
      <c r="U1169" s="29">
        <v>39.6825397</v>
      </c>
      <c r="V1169" s="29">
        <v>66.247951900000004</v>
      </c>
      <c r="W1169" s="29">
        <v>53.904969999999999</v>
      </c>
      <c r="X1169" s="29">
        <v>12.342981999999999</v>
      </c>
      <c r="Y1169" s="29">
        <v>33.752048100000003</v>
      </c>
    </row>
    <row r="1170" spans="2:25" ht="15" customHeight="1">
      <c r="B1170" s="30">
        <v>1165</v>
      </c>
      <c r="C1170" s="31" t="s">
        <v>21</v>
      </c>
      <c r="D1170" s="36" t="s">
        <v>334</v>
      </c>
      <c r="E1170" s="36" t="s">
        <v>374</v>
      </c>
      <c r="F1170" s="36" t="s">
        <v>378</v>
      </c>
      <c r="G1170" s="37" t="s">
        <v>378</v>
      </c>
      <c r="H1170" s="32">
        <v>730</v>
      </c>
      <c r="I1170" s="32">
        <v>455</v>
      </c>
      <c r="J1170" s="32">
        <v>188</v>
      </c>
      <c r="K1170" s="32">
        <v>267</v>
      </c>
      <c r="L1170" s="32">
        <v>275</v>
      </c>
      <c r="M1170" s="32">
        <v>787</v>
      </c>
      <c r="N1170" s="32">
        <v>586</v>
      </c>
      <c r="O1170" s="32">
        <v>511</v>
      </c>
      <c r="P1170" s="32">
        <v>75</v>
      </c>
      <c r="Q1170" s="32">
        <v>201</v>
      </c>
      <c r="R1170" s="33">
        <v>62.3287671</v>
      </c>
      <c r="S1170" s="33">
        <v>25.7534247</v>
      </c>
      <c r="T1170" s="33">
        <v>36.575342499999998</v>
      </c>
      <c r="U1170" s="33">
        <v>37.6712329</v>
      </c>
      <c r="V1170" s="33">
        <v>74.459974599999995</v>
      </c>
      <c r="W1170" s="33">
        <v>64.930114399999994</v>
      </c>
      <c r="X1170" s="33">
        <v>9.5298601999999999</v>
      </c>
      <c r="Y1170" s="33">
        <v>25.540025400000001</v>
      </c>
    </row>
    <row r="1171" spans="2:25" ht="15" hidden="1" customHeight="1">
      <c r="B1171" s="25">
        <v>1166</v>
      </c>
      <c r="C1171" s="26" t="s">
        <v>21</v>
      </c>
      <c r="D1171" s="26" t="s">
        <v>334</v>
      </c>
      <c r="E1171" s="26" t="s">
        <v>374</v>
      </c>
      <c r="F1171" s="26" t="s">
        <v>378</v>
      </c>
      <c r="G1171" s="27" t="s">
        <v>15</v>
      </c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9"/>
      <c r="S1171" s="29"/>
      <c r="T1171" s="29"/>
      <c r="U1171" s="29"/>
      <c r="V1171" s="29"/>
      <c r="W1171" s="29"/>
      <c r="X1171" s="29"/>
      <c r="Y1171" s="29"/>
    </row>
    <row r="1172" spans="2:25" ht="15" hidden="1" customHeight="1">
      <c r="B1172" s="25">
        <v>1167</v>
      </c>
      <c r="C1172" s="26" t="s">
        <v>21</v>
      </c>
      <c r="D1172" s="26" t="s">
        <v>334</v>
      </c>
      <c r="E1172" s="26" t="s">
        <v>374</v>
      </c>
      <c r="F1172" s="26" t="s">
        <v>378</v>
      </c>
      <c r="G1172" s="27" t="s">
        <v>16</v>
      </c>
      <c r="H1172" s="28">
        <v>730</v>
      </c>
      <c r="I1172" s="28">
        <v>455</v>
      </c>
      <c r="J1172" s="28">
        <v>188</v>
      </c>
      <c r="K1172" s="28">
        <v>267</v>
      </c>
      <c r="L1172" s="28">
        <v>275</v>
      </c>
      <c r="M1172" s="28">
        <v>787</v>
      </c>
      <c r="N1172" s="28">
        <v>586</v>
      </c>
      <c r="O1172" s="28">
        <v>511</v>
      </c>
      <c r="P1172" s="28">
        <v>75</v>
      </c>
      <c r="Q1172" s="28">
        <v>201</v>
      </c>
      <c r="R1172" s="29">
        <v>62.3287671</v>
      </c>
      <c r="S1172" s="29">
        <v>25.7534247</v>
      </c>
      <c r="T1172" s="29">
        <v>36.575342499999998</v>
      </c>
      <c r="U1172" s="29">
        <v>37.6712329</v>
      </c>
      <c r="V1172" s="29">
        <v>74.459974599999995</v>
      </c>
      <c r="W1172" s="29">
        <v>64.930114399999994</v>
      </c>
      <c r="X1172" s="29">
        <v>9.5298601999999999</v>
      </c>
      <c r="Y1172" s="29">
        <v>25.540025400000001</v>
      </c>
    </row>
    <row r="1173" spans="2:25" ht="15" hidden="1" customHeight="1">
      <c r="B1173" s="21">
        <v>1168</v>
      </c>
      <c r="C1173" s="22" t="s">
        <v>19</v>
      </c>
      <c r="D1173" s="35" t="s">
        <v>334</v>
      </c>
      <c r="E1173" s="35" t="s">
        <v>379</v>
      </c>
      <c r="F1173" s="35"/>
      <c r="G1173" s="22" t="s">
        <v>379</v>
      </c>
      <c r="H1173" s="23">
        <v>41546</v>
      </c>
      <c r="I1173" s="23">
        <v>36447</v>
      </c>
      <c r="J1173" s="23">
        <v>16633</v>
      </c>
      <c r="K1173" s="23">
        <v>19814</v>
      </c>
      <c r="L1173" s="23">
        <v>5099</v>
      </c>
      <c r="M1173" s="23">
        <v>51149</v>
      </c>
      <c r="N1173" s="23">
        <v>48319</v>
      </c>
      <c r="O1173" s="23">
        <v>38045</v>
      </c>
      <c r="P1173" s="23">
        <v>10274</v>
      </c>
      <c r="Q1173" s="23">
        <v>2830</v>
      </c>
      <c r="R1173" s="24">
        <v>87.726856999999995</v>
      </c>
      <c r="S1173" s="24">
        <v>40.035141799999998</v>
      </c>
      <c r="T1173" s="24">
        <v>47.691715199999997</v>
      </c>
      <c r="U1173" s="24">
        <v>12.273142999999999</v>
      </c>
      <c r="V1173" s="24">
        <v>94.467145000000002</v>
      </c>
      <c r="W1173" s="24">
        <v>74.380730799999995</v>
      </c>
      <c r="X1173" s="24">
        <v>20.0864142</v>
      </c>
      <c r="Y1173" s="24">
        <v>5.5328549999999996</v>
      </c>
    </row>
    <row r="1174" spans="2:25" ht="15" hidden="1" customHeight="1">
      <c r="B1174" s="25">
        <v>1169</v>
      </c>
      <c r="C1174" s="26" t="s">
        <v>19</v>
      </c>
      <c r="D1174" s="26" t="s">
        <v>334</v>
      </c>
      <c r="E1174" s="26" t="s">
        <v>379</v>
      </c>
      <c r="F1174" s="26"/>
      <c r="G1174" s="27" t="s">
        <v>15</v>
      </c>
      <c r="H1174" s="28">
        <v>34714</v>
      </c>
      <c r="I1174" s="28">
        <v>31286</v>
      </c>
      <c r="J1174" s="28">
        <v>14079</v>
      </c>
      <c r="K1174" s="28">
        <v>17207</v>
      </c>
      <c r="L1174" s="28">
        <v>3428</v>
      </c>
      <c r="M1174" s="28">
        <v>45332</v>
      </c>
      <c r="N1174" s="28">
        <v>43395</v>
      </c>
      <c r="O1174" s="28">
        <v>33821</v>
      </c>
      <c r="P1174" s="28">
        <v>9574</v>
      </c>
      <c r="Q1174" s="28">
        <v>1937</v>
      </c>
      <c r="R1174" s="29">
        <v>90.125021599999997</v>
      </c>
      <c r="S1174" s="29">
        <v>40.557123900000001</v>
      </c>
      <c r="T1174" s="29">
        <v>49.567897700000003</v>
      </c>
      <c r="U1174" s="29">
        <v>9.8749783999999998</v>
      </c>
      <c r="V1174" s="29">
        <v>95.727080200000003</v>
      </c>
      <c r="W1174" s="29">
        <v>74.607341399999996</v>
      </c>
      <c r="X1174" s="29">
        <v>21.1197388</v>
      </c>
      <c r="Y1174" s="29">
        <v>4.2729198000000004</v>
      </c>
    </row>
    <row r="1175" spans="2:25" ht="15" hidden="1" customHeight="1">
      <c r="B1175" s="25">
        <v>1170</v>
      </c>
      <c r="C1175" s="26" t="s">
        <v>19</v>
      </c>
      <c r="D1175" s="26" t="s">
        <v>334</v>
      </c>
      <c r="E1175" s="26" t="s">
        <v>379</v>
      </c>
      <c r="F1175" s="26"/>
      <c r="G1175" s="27" t="s">
        <v>16</v>
      </c>
      <c r="H1175" s="28">
        <v>6832</v>
      </c>
      <c r="I1175" s="28">
        <v>5161</v>
      </c>
      <c r="J1175" s="28">
        <v>2554</v>
      </c>
      <c r="K1175" s="28">
        <v>2607</v>
      </c>
      <c r="L1175" s="28">
        <v>1671</v>
      </c>
      <c r="M1175" s="28">
        <v>5817</v>
      </c>
      <c r="N1175" s="28">
        <v>4924</v>
      </c>
      <c r="O1175" s="28">
        <v>4224</v>
      </c>
      <c r="P1175" s="28">
        <v>700</v>
      </c>
      <c r="Q1175" s="28">
        <v>893</v>
      </c>
      <c r="R1175" s="29">
        <v>75.541569100000004</v>
      </c>
      <c r="S1175" s="29">
        <v>37.382904000000003</v>
      </c>
      <c r="T1175" s="29">
        <v>38.1586651</v>
      </c>
      <c r="U1175" s="29">
        <v>24.4584309</v>
      </c>
      <c r="V1175" s="29">
        <v>84.6484442</v>
      </c>
      <c r="W1175" s="29">
        <v>72.614749900000007</v>
      </c>
      <c r="X1175" s="29">
        <v>12.033694300000001</v>
      </c>
      <c r="Y1175" s="29">
        <v>15.3515558</v>
      </c>
    </row>
    <row r="1176" spans="2:25" ht="15" customHeight="1">
      <c r="B1176" s="30">
        <v>1171</v>
      </c>
      <c r="C1176" s="31" t="s">
        <v>21</v>
      </c>
      <c r="D1176" s="36" t="s">
        <v>334</v>
      </c>
      <c r="E1176" s="36" t="s">
        <v>379</v>
      </c>
      <c r="F1176" s="36" t="s">
        <v>380</v>
      </c>
      <c r="G1176" s="37" t="s">
        <v>380</v>
      </c>
      <c r="H1176" s="32">
        <v>26343</v>
      </c>
      <c r="I1176" s="32">
        <v>23643</v>
      </c>
      <c r="J1176" s="32">
        <v>10113</v>
      </c>
      <c r="K1176" s="32">
        <v>13530</v>
      </c>
      <c r="L1176" s="32">
        <v>2700</v>
      </c>
      <c r="M1176" s="32">
        <v>33384</v>
      </c>
      <c r="N1176" s="32">
        <v>32134</v>
      </c>
      <c r="O1176" s="32">
        <v>24676</v>
      </c>
      <c r="P1176" s="32">
        <v>7458</v>
      </c>
      <c r="Q1176" s="32">
        <v>1250</v>
      </c>
      <c r="R1176" s="33">
        <v>89.750597900000002</v>
      </c>
      <c r="S1176" s="33">
        <v>38.389704999999999</v>
      </c>
      <c r="T1176" s="33">
        <v>51.360892800000002</v>
      </c>
      <c r="U1176" s="33">
        <v>10.249402099999999</v>
      </c>
      <c r="V1176" s="33">
        <v>96.255691299999995</v>
      </c>
      <c r="W1176" s="33">
        <v>73.915648200000007</v>
      </c>
      <c r="X1176" s="33">
        <v>22.340043099999999</v>
      </c>
      <c r="Y1176" s="33">
        <v>3.7443086999999999</v>
      </c>
    </row>
    <row r="1177" spans="2:25" ht="15" hidden="1" customHeight="1">
      <c r="B1177" s="25">
        <v>1172</v>
      </c>
      <c r="C1177" s="26" t="s">
        <v>21</v>
      </c>
      <c r="D1177" s="26" t="s">
        <v>334</v>
      </c>
      <c r="E1177" s="26" t="s">
        <v>379</v>
      </c>
      <c r="F1177" s="26" t="s">
        <v>380</v>
      </c>
      <c r="G1177" s="27" t="s">
        <v>15</v>
      </c>
      <c r="H1177" s="28">
        <v>25783</v>
      </c>
      <c r="I1177" s="28">
        <v>23259</v>
      </c>
      <c r="J1177" s="28">
        <v>9938</v>
      </c>
      <c r="K1177" s="28">
        <v>13321</v>
      </c>
      <c r="L1177" s="28">
        <v>2524</v>
      </c>
      <c r="M1177" s="28">
        <v>33175</v>
      </c>
      <c r="N1177" s="28">
        <v>31956</v>
      </c>
      <c r="O1177" s="28">
        <v>24542</v>
      </c>
      <c r="P1177" s="28">
        <v>7414</v>
      </c>
      <c r="Q1177" s="28">
        <v>1219</v>
      </c>
      <c r="R1177" s="29">
        <v>90.210603899999995</v>
      </c>
      <c r="S1177" s="29">
        <v>38.544777600000003</v>
      </c>
      <c r="T1177" s="29">
        <v>51.665826299999999</v>
      </c>
      <c r="U1177" s="29">
        <v>9.7893960999999994</v>
      </c>
      <c r="V1177" s="29">
        <v>96.325546299999999</v>
      </c>
      <c r="W1177" s="29">
        <v>73.977392600000002</v>
      </c>
      <c r="X1177" s="29">
        <v>22.348153700000001</v>
      </c>
      <c r="Y1177" s="29">
        <v>3.6744536999999999</v>
      </c>
    </row>
    <row r="1178" spans="2:25" ht="15" hidden="1" customHeight="1">
      <c r="B1178" s="25">
        <v>1173</v>
      </c>
      <c r="C1178" s="26" t="s">
        <v>21</v>
      </c>
      <c r="D1178" s="26" t="s">
        <v>334</v>
      </c>
      <c r="E1178" s="26" t="s">
        <v>379</v>
      </c>
      <c r="F1178" s="26" t="s">
        <v>380</v>
      </c>
      <c r="G1178" s="27" t="s">
        <v>16</v>
      </c>
      <c r="H1178" s="28">
        <v>560</v>
      </c>
      <c r="I1178" s="28">
        <v>384</v>
      </c>
      <c r="J1178" s="28">
        <v>175</v>
      </c>
      <c r="K1178" s="28">
        <v>209</v>
      </c>
      <c r="L1178" s="28">
        <v>176</v>
      </c>
      <c r="M1178" s="28">
        <v>209</v>
      </c>
      <c r="N1178" s="28">
        <v>178</v>
      </c>
      <c r="O1178" s="28">
        <v>134</v>
      </c>
      <c r="P1178" s="28">
        <v>44</v>
      </c>
      <c r="Q1178" s="28">
        <v>31</v>
      </c>
      <c r="R1178" s="29">
        <v>68.571428600000004</v>
      </c>
      <c r="S1178" s="29">
        <v>31.25</v>
      </c>
      <c r="T1178" s="29">
        <v>37.321428599999997</v>
      </c>
      <c r="U1178" s="29">
        <v>31.428571399999999</v>
      </c>
      <c r="V1178" s="29">
        <v>85.167464100000004</v>
      </c>
      <c r="W1178" s="29">
        <v>64.114832500000006</v>
      </c>
      <c r="X1178" s="29">
        <v>21.052631600000002</v>
      </c>
      <c r="Y1178" s="29">
        <v>14.8325359</v>
      </c>
    </row>
    <row r="1179" spans="2:25" ht="15" customHeight="1">
      <c r="B1179" s="30">
        <v>1174</v>
      </c>
      <c r="C1179" s="31" t="s">
        <v>21</v>
      </c>
      <c r="D1179" s="36" t="s">
        <v>334</v>
      </c>
      <c r="E1179" s="36" t="s">
        <v>379</v>
      </c>
      <c r="F1179" s="36" t="s">
        <v>381</v>
      </c>
      <c r="G1179" s="37" t="s">
        <v>381</v>
      </c>
      <c r="H1179" s="32">
        <v>3236</v>
      </c>
      <c r="I1179" s="32">
        <v>2607</v>
      </c>
      <c r="J1179" s="32">
        <v>1324</v>
      </c>
      <c r="K1179" s="32">
        <v>1283</v>
      </c>
      <c r="L1179" s="32">
        <v>629</v>
      </c>
      <c r="M1179" s="32">
        <v>4358</v>
      </c>
      <c r="N1179" s="32">
        <v>3914</v>
      </c>
      <c r="O1179" s="32">
        <v>3236</v>
      </c>
      <c r="P1179" s="32">
        <v>678</v>
      </c>
      <c r="Q1179" s="32">
        <v>444</v>
      </c>
      <c r="R1179" s="33">
        <v>80.562422699999999</v>
      </c>
      <c r="S1179" s="33">
        <v>40.914709500000001</v>
      </c>
      <c r="T1179" s="33">
        <v>39.647713199999998</v>
      </c>
      <c r="U1179" s="33">
        <v>19.437577300000001</v>
      </c>
      <c r="V1179" s="33">
        <v>89.8118403</v>
      </c>
      <c r="W1179" s="33">
        <v>74.254245100000006</v>
      </c>
      <c r="X1179" s="33">
        <v>15.5575952</v>
      </c>
      <c r="Y1179" s="33">
        <v>10.1881597</v>
      </c>
    </row>
    <row r="1180" spans="2:25" ht="15" hidden="1" customHeight="1">
      <c r="B1180" s="25">
        <v>1175</v>
      </c>
      <c r="C1180" s="26" t="s">
        <v>21</v>
      </c>
      <c r="D1180" s="26" t="s">
        <v>334</v>
      </c>
      <c r="E1180" s="26" t="s">
        <v>379</v>
      </c>
      <c r="F1180" s="26" t="s">
        <v>381</v>
      </c>
      <c r="G1180" s="27" t="s">
        <v>15</v>
      </c>
      <c r="H1180" s="28">
        <v>1177</v>
      </c>
      <c r="I1180" s="28">
        <v>1086</v>
      </c>
      <c r="J1180" s="28">
        <v>516</v>
      </c>
      <c r="K1180" s="28">
        <v>570</v>
      </c>
      <c r="L1180" s="28">
        <v>91</v>
      </c>
      <c r="M1180" s="28">
        <v>1986</v>
      </c>
      <c r="N1180" s="28">
        <v>1882</v>
      </c>
      <c r="O1180" s="28">
        <v>1475</v>
      </c>
      <c r="P1180" s="28">
        <v>407</v>
      </c>
      <c r="Q1180" s="28">
        <v>104</v>
      </c>
      <c r="R1180" s="29">
        <v>92.268479200000002</v>
      </c>
      <c r="S1180" s="29">
        <v>43.840271899999998</v>
      </c>
      <c r="T1180" s="29">
        <v>48.428207299999997</v>
      </c>
      <c r="U1180" s="29">
        <v>7.7315208000000002</v>
      </c>
      <c r="V1180" s="29">
        <v>94.763343399999997</v>
      </c>
      <c r="W1180" s="29">
        <v>74.269889199999994</v>
      </c>
      <c r="X1180" s="29">
        <v>20.493454199999999</v>
      </c>
      <c r="Y1180" s="29">
        <v>5.2366565999999999</v>
      </c>
    </row>
    <row r="1181" spans="2:25" ht="15" hidden="1" customHeight="1">
      <c r="B1181" s="25">
        <v>1176</v>
      </c>
      <c r="C1181" s="26" t="s">
        <v>21</v>
      </c>
      <c r="D1181" s="26" t="s">
        <v>334</v>
      </c>
      <c r="E1181" s="26" t="s">
        <v>379</v>
      </c>
      <c r="F1181" s="26" t="s">
        <v>381</v>
      </c>
      <c r="G1181" s="27" t="s">
        <v>16</v>
      </c>
      <c r="H1181" s="28">
        <v>2059</v>
      </c>
      <c r="I1181" s="28">
        <v>1521</v>
      </c>
      <c r="J1181" s="28">
        <v>808</v>
      </c>
      <c r="K1181" s="28">
        <v>713</v>
      </c>
      <c r="L1181" s="28">
        <v>538</v>
      </c>
      <c r="M1181" s="28">
        <v>2372</v>
      </c>
      <c r="N1181" s="28">
        <v>2032</v>
      </c>
      <c r="O1181" s="28">
        <v>1761</v>
      </c>
      <c r="P1181" s="28">
        <v>271</v>
      </c>
      <c r="Q1181" s="28">
        <v>340</v>
      </c>
      <c r="R1181" s="29">
        <v>73.870811099999997</v>
      </c>
      <c r="S1181" s="29">
        <v>39.242350700000003</v>
      </c>
      <c r="T1181" s="29">
        <v>34.628460400000002</v>
      </c>
      <c r="U1181" s="29">
        <v>26.129188899999999</v>
      </c>
      <c r="V1181" s="29">
        <v>85.666104599999997</v>
      </c>
      <c r="W1181" s="29">
        <v>74.241146700000002</v>
      </c>
      <c r="X1181" s="29">
        <v>11.4249578</v>
      </c>
      <c r="Y1181" s="29">
        <v>14.333895399999999</v>
      </c>
    </row>
    <row r="1182" spans="2:25" ht="15" customHeight="1">
      <c r="B1182" s="30">
        <v>1177</v>
      </c>
      <c r="C1182" s="31" t="s">
        <v>21</v>
      </c>
      <c r="D1182" s="36" t="s">
        <v>334</v>
      </c>
      <c r="E1182" s="36" t="s">
        <v>379</v>
      </c>
      <c r="F1182" s="36" t="s">
        <v>382</v>
      </c>
      <c r="G1182" s="37" t="s">
        <v>382</v>
      </c>
      <c r="H1182" s="32">
        <v>5327</v>
      </c>
      <c r="I1182" s="32">
        <v>4421</v>
      </c>
      <c r="J1182" s="32">
        <v>2189</v>
      </c>
      <c r="K1182" s="32">
        <v>2232</v>
      </c>
      <c r="L1182" s="32">
        <v>906</v>
      </c>
      <c r="M1182" s="32">
        <v>6194</v>
      </c>
      <c r="N1182" s="32">
        <v>5774</v>
      </c>
      <c r="O1182" s="32">
        <v>4738</v>
      </c>
      <c r="P1182" s="32">
        <v>1036</v>
      </c>
      <c r="Q1182" s="32">
        <v>420</v>
      </c>
      <c r="R1182" s="33">
        <v>82.992303399999997</v>
      </c>
      <c r="S1182" s="33">
        <v>41.092547400000001</v>
      </c>
      <c r="T1182" s="33">
        <v>41.899755999999996</v>
      </c>
      <c r="U1182" s="33">
        <v>17.007696599999999</v>
      </c>
      <c r="V1182" s="33">
        <v>93.219244399999994</v>
      </c>
      <c r="W1182" s="33">
        <v>76.493380700000003</v>
      </c>
      <c r="X1182" s="33">
        <v>16.725863700000001</v>
      </c>
      <c r="Y1182" s="33">
        <v>6.7807556</v>
      </c>
    </row>
    <row r="1183" spans="2:25" ht="15" hidden="1" customHeight="1">
      <c r="B1183" s="25">
        <v>1178</v>
      </c>
      <c r="C1183" s="26" t="s">
        <v>21</v>
      </c>
      <c r="D1183" s="26" t="s">
        <v>334</v>
      </c>
      <c r="E1183" s="26" t="s">
        <v>379</v>
      </c>
      <c r="F1183" s="26" t="s">
        <v>382</v>
      </c>
      <c r="G1183" s="27" t="s">
        <v>15</v>
      </c>
      <c r="H1183" s="28">
        <v>4211</v>
      </c>
      <c r="I1183" s="28">
        <v>3739</v>
      </c>
      <c r="J1183" s="28">
        <v>1865</v>
      </c>
      <c r="K1183" s="28">
        <v>1874</v>
      </c>
      <c r="L1183" s="28">
        <v>472</v>
      </c>
      <c r="M1183" s="28">
        <v>4954</v>
      </c>
      <c r="N1183" s="28">
        <v>4779</v>
      </c>
      <c r="O1183" s="28">
        <v>3830</v>
      </c>
      <c r="P1183" s="28">
        <v>949</v>
      </c>
      <c r="Q1183" s="28">
        <v>175</v>
      </c>
      <c r="R1183" s="29">
        <v>88.791261000000006</v>
      </c>
      <c r="S1183" s="29">
        <v>44.288767499999999</v>
      </c>
      <c r="T1183" s="29">
        <v>44.5024935</v>
      </c>
      <c r="U1183" s="29">
        <v>11.208739</v>
      </c>
      <c r="V1183" s="29">
        <v>96.467500999999999</v>
      </c>
      <c r="W1183" s="29">
        <v>77.311263600000004</v>
      </c>
      <c r="X1183" s="29">
        <v>19.156237399999998</v>
      </c>
      <c r="Y1183" s="29">
        <v>3.5324990000000001</v>
      </c>
    </row>
    <row r="1184" spans="2:25" ht="15" hidden="1" customHeight="1">
      <c r="B1184" s="25">
        <v>1179</v>
      </c>
      <c r="C1184" s="26" t="s">
        <v>21</v>
      </c>
      <c r="D1184" s="26" t="s">
        <v>334</v>
      </c>
      <c r="E1184" s="26" t="s">
        <v>379</v>
      </c>
      <c r="F1184" s="26" t="s">
        <v>382</v>
      </c>
      <c r="G1184" s="27" t="s">
        <v>16</v>
      </c>
      <c r="H1184" s="28">
        <v>1116</v>
      </c>
      <c r="I1184" s="28">
        <v>682</v>
      </c>
      <c r="J1184" s="28">
        <v>324</v>
      </c>
      <c r="K1184" s="28">
        <v>358</v>
      </c>
      <c r="L1184" s="28">
        <v>434</v>
      </c>
      <c r="M1184" s="28">
        <v>1240</v>
      </c>
      <c r="N1184" s="28">
        <v>995</v>
      </c>
      <c r="O1184" s="28">
        <v>908</v>
      </c>
      <c r="P1184" s="28">
        <v>87</v>
      </c>
      <c r="Q1184" s="28">
        <v>245</v>
      </c>
      <c r="R1184" s="29">
        <v>61.111111100000002</v>
      </c>
      <c r="S1184" s="29">
        <v>29.0322581</v>
      </c>
      <c r="T1184" s="29">
        <v>32.078853000000002</v>
      </c>
      <c r="U1184" s="29">
        <v>38.888888899999998</v>
      </c>
      <c r="V1184" s="29">
        <v>80.241935499999997</v>
      </c>
      <c r="W1184" s="29">
        <v>73.225806500000004</v>
      </c>
      <c r="X1184" s="29">
        <v>7.0161290000000003</v>
      </c>
      <c r="Y1184" s="29">
        <v>19.7580645</v>
      </c>
    </row>
    <row r="1185" spans="2:25" ht="15" customHeight="1">
      <c r="B1185" s="30">
        <v>1180</v>
      </c>
      <c r="C1185" s="31" t="s">
        <v>21</v>
      </c>
      <c r="D1185" s="36" t="s">
        <v>334</v>
      </c>
      <c r="E1185" s="36" t="s">
        <v>379</v>
      </c>
      <c r="F1185" s="36" t="s">
        <v>383</v>
      </c>
      <c r="G1185" s="37" t="s">
        <v>383</v>
      </c>
      <c r="H1185" s="32">
        <v>3163</v>
      </c>
      <c r="I1185" s="32">
        <v>2593</v>
      </c>
      <c r="J1185" s="32">
        <v>1494</v>
      </c>
      <c r="K1185" s="32">
        <v>1099</v>
      </c>
      <c r="L1185" s="32">
        <v>570</v>
      </c>
      <c r="M1185" s="32">
        <v>3438</v>
      </c>
      <c r="N1185" s="32">
        <v>3011</v>
      </c>
      <c r="O1185" s="32">
        <v>2602</v>
      </c>
      <c r="P1185" s="32">
        <v>409</v>
      </c>
      <c r="Q1185" s="32">
        <v>427</v>
      </c>
      <c r="R1185" s="33">
        <v>81.979133700000006</v>
      </c>
      <c r="S1185" s="33">
        <v>47.233638999999997</v>
      </c>
      <c r="T1185" s="33">
        <v>34.745494800000003</v>
      </c>
      <c r="U1185" s="33">
        <v>18.020866300000002</v>
      </c>
      <c r="V1185" s="33">
        <v>87.579988400000005</v>
      </c>
      <c r="W1185" s="33">
        <v>75.683536899999993</v>
      </c>
      <c r="X1185" s="33">
        <v>11.8964514</v>
      </c>
      <c r="Y1185" s="33">
        <v>12.4200116</v>
      </c>
    </row>
    <row r="1186" spans="2:25" ht="15" hidden="1" customHeight="1">
      <c r="B1186" s="25">
        <v>1181</v>
      </c>
      <c r="C1186" s="26" t="s">
        <v>21</v>
      </c>
      <c r="D1186" s="26" t="s">
        <v>334</v>
      </c>
      <c r="E1186" s="26" t="s">
        <v>379</v>
      </c>
      <c r="F1186" s="26" t="s">
        <v>383</v>
      </c>
      <c r="G1186" s="27" t="s">
        <v>15</v>
      </c>
      <c r="H1186" s="28">
        <v>2113</v>
      </c>
      <c r="I1186" s="28">
        <v>1845</v>
      </c>
      <c r="J1186" s="28">
        <v>1132</v>
      </c>
      <c r="K1186" s="28">
        <v>713</v>
      </c>
      <c r="L1186" s="28">
        <v>268</v>
      </c>
      <c r="M1186" s="28">
        <v>2870</v>
      </c>
      <c r="N1186" s="28">
        <v>2576</v>
      </c>
      <c r="O1186" s="28">
        <v>2241</v>
      </c>
      <c r="P1186" s="28">
        <v>335</v>
      </c>
      <c r="Q1186" s="28">
        <v>294</v>
      </c>
      <c r="R1186" s="29">
        <v>87.316611499999993</v>
      </c>
      <c r="S1186" s="29">
        <v>53.573118800000003</v>
      </c>
      <c r="T1186" s="29">
        <v>33.743492699999997</v>
      </c>
      <c r="U1186" s="29">
        <v>12.6833885</v>
      </c>
      <c r="V1186" s="29">
        <v>89.756097600000004</v>
      </c>
      <c r="W1186" s="29">
        <v>78.083623700000004</v>
      </c>
      <c r="X1186" s="29">
        <v>11.6724739</v>
      </c>
      <c r="Y1186" s="29">
        <v>10.2439024</v>
      </c>
    </row>
    <row r="1187" spans="2:25" ht="15" hidden="1" customHeight="1">
      <c r="B1187" s="25">
        <v>1182</v>
      </c>
      <c r="C1187" s="26" t="s">
        <v>21</v>
      </c>
      <c r="D1187" s="26" t="s">
        <v>334</v>
      </c>
      <c r="E1187" s="26" t="s">
        <v>379</v>
      </c>
      <c r="F1187" s="26" t="s">
        <v>383</v>
      </c>
      <c r="G1187" s="27" t="s">
        <v>16</v>
      </c>
      <c r="H1187" s="28">
        <v>1050</v>
      </c>
      <c r="I1187" s="28">
        <v>748</v>
      </c>
      <c r="J1187" s="28">
        <v>362</v>
      </c>
      <c r="K1187" s="28">
        <v>386</v>
      </c>
      <c r="L1187" s="28">
        <v>302</v>
      </c>
      <c r="M1187" s="28">
        <v>568</v>
      </c>
      <c r="N1187" s="28">
        <v>435</v>
      </c>
      <c r="O1187" s="28">
        <v>361</v>
      </c>
      <c r="P1187" s="28">
        <v>74</v>
      </c>
      <c r="Q1187" s="28">
        <v>133</v>
      </c>
      <c r="R1187" s="29">
        <v>71.238095200000004</v>
      </c>
      <c r="S1187" s="29">
        <v>34.476190500000001</v>
      </c>
      <c r="T1187" s="29">
        <v>36.761904800000003</v>
      </c>
      <c r="U1187" s="29">
        <v>28.7619048</v>
      </c>
      <c r="V1187" s="29">
        <v>76.584507000000002</v>
      </c>
      <c r="W1187" s="29">
        <v>63.556337999999997</v>
      </c>
      <c r="X1187" s="29">
        <v>13.028169</v>
      </c>
      <c r="Y1187" s="29">
        <v>23.415493000000001</v>
      </c>
    </row>
    <row r="1188" spans="2:25" ht="15" customHeight="1">
      <c r="B1188" s="30">
        <v>1183</v>
      </c>
      <c r="C1188" s="31" t="s">
        <v>21</v>
      </c>
      <c r="D1188" s="36" t="s">
        <v>334</v>
      </c>
      <c r="E1188" s="36" t="s">
        <v>379</v>
      </c>
      <c r="F1188" s="36" t="s">
        <v>282</v>
      </c>
      <c r="G1188" s="37" t="s">
        <v>282</v>
      </c>
      <c r="H1188" s="32">
        <v>3477</v>
      </c>
      <c r="I1188" s="32">
        <v>3183</v>
      </c>
      <c r="J1188" s="32">
        <v>1513</v>
      </c>
      <c r="K1188" s="32">
        <v>1670</v>
      </c>
      <c r="L1188" s="32">
        <v>294</v>
      </c>
      <c r="M1188" s="32">
        <v>3775</v>
      </c>
      <c r="N1188" s="32">
        <v>3486</v>
      </c>
      <c r="O1188" s="32">
        <v>2793</v>
      </c>
      <c r="P1188" s="32">
        <v>693</v>
      </c>
      <c r="Q1188" s="32">
        <v>289</v>
      </c>
      <c r="R1188" s="33">
        <v>91.544434899999999</v>
      </c>
      <c r="S1188" s="33">
        <v>43.514524000000002</v>
      </c>
      <c r="T1188" s="33">
        <v>48.029910800000003</v>
      </c>
      <c r="U1188" s="33">
        <v>8.4555650999999994</v>
      </c>
      <c r="V1188" s="33">
        <v>92.344370900000001</v>
      </c>
      <c r="W1188" s="33">
        <v>73.986755000000002</v>
      </c>
      <c r="X1188" s="33">
        <v>18.357615899999999</v>
      </c>
      <c r="Y1188" s="33">
        <v>7.6556290999999996</v>
      </c>
    </row>
    <row r="1189" spans="2:25" ht="15" hidden="1" customHeight="1">
      <c r="B1189" s="25">
        <v>1184</v>
      </c>
      <c r="C1189" s="26" t="s">
        <v>21</v>
      </c>
      <c r="D1189" s="26" t="s">
        <v>334</v>
      </c>
      <c r="E1189" s="26" t="s">
        <v>379</v>
      </c>
      <c r="F1189" s="26" t="s">
        <v>282</v>
      </c>
      <c r="G1189" s="27" t="s">
        <v>15</v>
      </c>
      <c r="H1189" s="28">
        <v>1430</v>
      </c>
      <c r="I1189" s="28">
        <v>1357</v>
      </c>
      <c r="J1189" s="28">
        <v>628</v>
      </c>
      <c r="K1189" s="28">
        <v>729</v>
      </c>
      <c r="L1189" s="28">
        <v>73</v>
      </c>
      <c r="M1189" s="28">
        <v>2347</v>
      </c>
      <c r="N1189" s="28">
        <v>2202</v>
      </c>
      <c r="O1189" s="28">
        <v>1733</v>
      </c>
      <c r="P1189" s="28">
        <v>469</v>
      </c>
      <c r="Q1189" s="28">
        <v>145</v>
      </c>
      <c r="R1189" s="29">
        <v>94.895104900000007</v>
      </c>
      <c r="S1189" s="29">
        <v>43.916083899999997</v>
      </c>
      <c r="T1189" s="29">
        <v>50.979021000000003</v>
      </c>
      <c r="U1189" s="29">
        <v>5.1048951000000002</v>
      </c>
      <c r="V1189" s="29">
        <v>93.821900299999996</v>
      </c>
      <c r="W1189" s="29">
        <v>73.838943299999997</v>
      </c>
      <c r="X1189" s="29">
        <v>19.982956999999999</v>
      </c>
      <c r="Y1189" s="29">
        <v>6.1780996999999997</v>
      </c>
    </row>
    <row r="1190" spans="2:25" ht="15" hidden="1" customHeight="1">
      <c r="B1190" s="25">
        <v>1185</v>
      </c>
      <c r="C1190" s="26" t="s">
        <v>21</v>
      </c>
      <c r="D1190" s="26" t="s">
        <v>334</v>
      </c>
      <c r="E1190" s="26" t="s">
        <v>379</v>
      </c>
      <c r="F1190" s="26" t="s">
        <v>282</v>
      </c>
      <c r="G1190" s="27" t="s">
        <v>16</v>
      </c>
      <c r="H1190" s="28">
        <v>2047</v>
      </c>
      <c r="I1190" s="28">
        <v>1826</v>
      </c>
      <c r="J1190" s="28">
        <v>885</v>
      </c>
      <c r="K1190" s="28">
        <v>941</v>
      </c>
      <c r="L1190" s="28">
        <v>221</v>
      </c>
      <c r="M1190" s="28">
        <v>1428</v>
      </c>
      <c r="N1190" s="28">
        <v>1284</v>
      </c>
      <c r="O1190" s="28">
        <v>1060</v>
      </c>
      <c r="P1190" s="28">
        <v>224</v>
      </c>
      <c r="Q1190" s="28">
        <v>144</v>
      </c>
      <c r="R1190" s="29">
        <v>89.203712800000005</v>
      </c>
      <c r="S1190" s="29">
        <v>43.234000999999999</v>
      </c>
      <c r="T1190" s="29">
        <v>45.969711799999999</v>
      </c>
      <c r="U1190" s="29">
        <v>10.7962872</v>
      </c>
      <c r="V1190" s="29">
        <v>89.915966400000002</v>
      </c>
      <c r="W1190" s="29">
        <v>74.229691900000006</v>
      </c>
      <c r="X1190" s="29">
        <v>15.6862745</v>
      </c>
      <c r="Y1190" s="29">
        <v>10.0840336</v>
      </c>
    </row>
    <row r="1191" spans="2:25" ht="15" hidden="1" customHeight="1">
      <c r="B1191" s="21">
        <v>1186</v>
      </c>
      <c r="C1191" s="22" t="s">
        <v>19</v>
      </c>
      <c r="D1191" s="35" t="s">
        <v>334</v>
      </c>
      <c r="E1191" s="35" t="s">
        <v>384</v>
      </c>
      <c r="F1191" s="35"/>
      <c r="G1191" s="22" t="s">
        <v>384</v>
      </c>
      <c r="H1191" s="23">
        <v>28102</v>
      </c>
      <c r="I1191" s="23">
        <v>22734</v>
      </c>
      <c r="J1191" s="23">
        <v>12039</v>
      </c>
      <c r="K1191" s="23">
        <v>10695</v>
      </c>
      <c r="L1191" s="23">
        <v>5368</v>
      </c>
      <c r="M1191" s="23">
        <v>38255</v>
      </c>
      <c r="N1191" s="23">
        <v>33548</v>
      </c>
      <c r="O1191" s="23">
        <v>27452</v>
      </c>
      <c r="P1191" s="23">
        <v>6096</v>
      </c>
      <c r="Q1191" s="23">
        <v>4707</v>
      </c>
      <c r="R1191" s="24">
        <v>80.898156700000001</v>
      </c>
      <c r="S1191" s="24">
        <v>42.840367200000003</v>
      </c>
      <c r="T1191" s="24">
        <v>38.057789499999998</v>
      </c>
      <c r="U1191" s="24">
        <v>19.101843299999999</v>
      </c>
      <c r="V1191" s="24">
        <v>87.695725999999993</v>
      </c>
      <c r="W1191" s="24">
        <v>71.760554200000001</v>
      </c>
      <c r="X1191" s="24">
        <v>15.9351719</v>
      </c>
      <c r="Y1191" s="24">
        <v>12.304273999999999</v>
      </c>
    </row>
    <row r="1192" spans="2:25" ht="15" hidden="1" customHeight="1">
      <c r="B1192" s="25">
        <v>1187</v>
      </c>
      <c r="C1192" s="26" t="s">
        <v>19</v>
      </c>
      <c r="D1192" s="26" t="s">
        <v>334</v>
      </c>
      <c r="E1192" s="26" t="s">
        <v>384</v>
      </c>
      <c r="F1192" s="26"/>
      <c r="G1192" s="27" t="s">
        <v>15</v>
      </c>
      <c r="H1192" s="28">
        <v>12417</v>
      </c>
      <c r="I1192" s="28">
        <v>10967</v>
      </c>
      <c r="J1192" s="28">
        <v>5231</v>
      </c>
      <c r="K1192" s="28">
        <v>5736</v>
      </c>
      <c r="L1192" s="28">
        <v>1450</v>
      </c>
      <c r="M1192" s="28">
        <v>18864</v>
      </c>
      <c r="N1192" s="28">
        <v>17810</v>
      </c>
      <c r="O1192" s="28">
        <v>13680</v>
      </c>
      <c r="P1192" s="28">
        <v>4130</v>
      </c>
      <c r="Q1192" s="28">
        <v>1054</v>
      </c>
      <c r="R1192" s="29">
        <v>88.322461099999998</v>
      </c>
      <c r="S1192" s="29">
        <v>42.127728099999999</v>
      </c>
      <c r="T1192" s="29">
        <v>46.194732999999999</v>
      </c>
      <c r="U1192" s="29">
        <v>11.6775389</v>
      </c>
      <c r="V1192" s="29">
        <v>94.412637799999999</v>
      </c>
      <c r="W1192" s="29">
        <v>72.519084000000007</v>
      </c>
      <c r="X1192" s="29">
        <v>21.893553900000001</v>
      </c>
      <c r="Y1192" s="29">
        <v>5.5873622000000003</v>
      </c>
    </row>
    <row r="1193" spans="2:25" ht="15" hidden="1" customHeight="1">
      <c r="B1193" s="25">
        <v>1188</v>
      </c>
      <c r="C1193" s="26" t="s">
        <v>19</v>
      </c>
      <c r="D1193" s="26" t="s">
        <v>334</v>
      </c>
      <c r="E1193" s="26" t="s">
        <v>384</v>
      </c>
      <c r="F1193" s="26"/>
      <c r="G1193" s="27" t="s">
        <v>16</v>
      </c>
      <c r="H1193" s="28">
        <v>15685</v>
      </c>
      <c r="I1193" s="28">
        <v>11767</v>
      </c>
      <c r="J1193" s="28">
        <v>6808</v>
      </c>
      <c r="K1193" s="28">
        <v>4959</v>
      </c>
      <c r="L1193" s="28">
        <v>3918</v>
      </c>
      <c r="M1193" s="28">
        <v>19391</v>
      </c>
      <c r="N1193" s="28">
        <v>15738</v>
      </c>
      <c r="O1193" s="28">
        <v>13772</v>
      </c>
      <c r="P1193" s="28">
        <v>1966</v>
      </c>
      <c r="Q1193" s="28">
        <v>3653</v>
      </c>
      <c r="R1193" s="29">
        <v>75.020720400000002</v>
      </c>
      <c r="S1193" s="29">
        <v>43.404526599999997</v>
      </c>
      <c r="T1193" s="29">
        <v>31.616193800000001</v>
      </c>
      <c r="U1193" s="29">
        <v>24.979279600000002</v>
      </c>
      <c r="V1193" s="29">
        <v>81.161363499999993</v>
      </c>
      <c r="W1193" s="29">
        <v>71.022639400000003</v>
      </c>
      <c r="X1193" s="29">
        <v>10.1387242</v>
      </c>
      <c r="Y1193" s="29">
        <v>18.8386365</v>
      </c>
    </row>
    <row r="1194" spans="2:25" ht="15" customHeight="1">
      <c r="B1194" s="30">
        <v>1189</v>
      </c>
      <c r="C1194" s="31" t="s">
        <v>21</v>
      </c>
      <c r="D1194" s="36" t="s">
        <v>334</v>
      </c>
      <c r="E1194" s="36" t="s">
        <v>384</v>
      </c>
      <c r="F1194" s="36" t="s">
        <v>385</v>
      </c>
      <c r="G1194" s="37" t="s">
        <v>385</v>
      </c>
      <c r="H1194" s="32">
        <v>4261</v>
      </c>
      <c r="I1194" s="32">
        <v>3557</v>
      </c>
      <c r="J1194" s="32">
        <v>1837</v>
      </c>
      <c r="K1194" s="32">
        <v>1720</v>
      </c>
      <c r="L1194" s="32">
        <v>704</v>
      </c>
      <c r="M1194" s="32">
        <v>9407</v>
      </c>
      <c r="N1194" s="32">
        <v>7753</v>
      </c>
      <c r="O1194" s="32">
        <v>6336</v>
      </c>
      <c r="P1194" s="32">
        <v>1417</v>
      </c>
      <c r="Q1194" s="32">
        <v>1654</v>
      </c>
      <c r="R1194" s="33">
        <v>83.478056800000005</v>
      </c>
      <c r="S1194" s="33">
        <v>43.111945599999999</v>
      </c>
      <c r="T1194" s="33">
        <v>40.366111199999999</v>
      </c>
      <c r="U1194" s="33">
        <v>16.521943199999999</v>
      </c>
      <c r="V1194" s="33">
        <v>82.417348799999999</v>
      </c>
      <c r="W1194" s="33">
        <v>67.354097999999993</v>
      </c>
      <c r="X1194" s="33">
        <v>15.0632508</v>
      </c>
      <c r="Y1194" s="33">
        <v>17.582651200000001</v>
      </c>
    </row>
    <row r="1195" spans="2:25" ht="15" hidden="1" customHeight="1">
      <c r="B1195" s="25">
        <v>1190</v>
      </c>
      <c r="C1195" s="26" t="s">
        <v>21</v>
      </c>
      <c r="D1195" s="26" t="s">
        <v>334</v>
      </c>
      <c r="E1195" s="26" t="s">
        <v>384</v>
      </c>
      <c r="F1195" s="26" t="s">
        <v>385</v>
      </c>
      <c r="G1195" s="27" t="s">
        <v>15</v>
      </c>
      <c r="H1195" s="28">
        <v>2292</v>
      </c>
      <c r="I1195" s="28">
        <v>2108</v>
      </c>
      <c r="J1195" s="28">
        <v>1073</v>
      </c>
      <c r="K1195" s="28">
        <v>1035</v>
      </c>
      <c r="L1195" s="28">
        <v>184</v>
      </c>
      <c r="M1195" s="28">
        <v>4163</v>
      </c>
      <c r="N1195" s="28">
        <v>3983</v>
      </c>
      <c r="O1195" s="28">
        <v>3095</v>
      </c>
      <c r="P1195" s="28">
        <v>888</v>
      </c>
      <c r="Q1195" s="28">
        <v>180</v>
      </c>
      <c r="R1195" s="29">
        <v>91.972076799999996</v>
      </c>
      <c r="S1195" s="29">
        <v>46.8150087</v>
      </c>
      <c r="T1195" s="29">
        <v>45.157068099999996</v>
      </c>
      <c r="U1195" s="29">
        <v>8.0279232</v>
      </c>
      <c r="V1195" s="29">
        <v>95.676195100000001</v>
      </c>
      <c r="W1195" s="29">
        <v>74.345423999999994</v>
      </c>
      <c r="X1195" s="29">
        <v>21.3307711</v>
      </c>
      <c r="Y1195" s="29">
        <v>4.3238048999999998</v>
      </c>
    </row>
    <row r="1196" spans="2:25" ht="15" hidden="1" customHeight="1">
      <c r="B1196" s="25">
        <v>1191</v>
      </c>
      <c r="C1196" s="26" t="s">
        <v>21</v>
      </c>
      <c r="D1196" s="26" t="s">
        <v>334</v>
      </c>
      <c r="E1196" s="26" t="s">
        <v>384</v>
      </c>
      <c r="F1196" s="26" t="s">
        <v>385</v>
      </c>
      <c r="G1196" s="27" t="s">
        <v>16</v>
      </c>
      <c r="H1196" s="28">
        <v>1969</v>
      </c>
      <c r="I1196" s="28">
        <v>1449</v>
      </c>
      <c r="J1196" s="28">
        <v>764</v>
      </c>
      <c r="K1196" s="28">
        <v>685</v>
      </c>
      <c r="L1196" s="28">
        <v>520</v>
      </c>
      <c r="M1196" s="28">
        <v>5244</v>
      </c>
      <c r="N1196" s="28">
        <v>3770</v>
      </c>
      <c r="O1196" s="28">
        <v>3241</v>
      </c>
      <c r="P1196" s="28">
        <v>529</v>
      </c>
      <c r="Q1196" s="28">
        <v>1474</v>
      </c>
      <c r="R1196" s="29">
        <v>73.5906552</v>
      </c>
      <c r="S1196" s="29">
        <v>38.801422000000002</v>
      </c>
      <c r="T1196" s="29">
        <v>34.789233099999997</v>
      </c>
      <c r="U1196" s="29">
        <v>26.4093448</v>
      </c>
      <c r="V1196" s="29">
        <v>71.891685699999996</v>
      </c>
      <c r="W1196" s="29">
        <v>61.8039664</v>
      </c>
      <c r="X1196" s="29">
        <v>10.0877193</v>
      </c>
      <c r="Y1196" s="29">
        <v>28.1083143</v>
      </c>
    </row>
    <row r="1197" spans="2:25" ht="15" customHeight="1">
      <c r="B1197" s="30">
        <v>1192</v>
      </c>
      <c r="C1197" s="31" t="s">
        <v>21</v>
      </c>
      <c r="D1197" s="36" t="s">
        <v>334</v>
      </c>
      <c r="E1197" s="36" t="s">
        <v>384</v>
      </c>
      <c r="F1197" s="36" t="s">
        <v>386</v>
      </c>
      <c r="G1197" s="37" t="s">
        <v>386</v>
      </c>
      <c r="H1197" s="32">
        <v>3185</v>
      </c>
      <c r="I1197" s="32">
        <v>2724</v>
      </c>
      <c r="J1197" s="32">
        <v>1317</v>
      </c>
      <c r="K1197" s="32">
        <v>1407</v>
      </c>
      <c r="L1197" s="32">
        <v>461</v>
      </c>
      <c r="M1197" s="32">
        <v>3941</v>
      </c>
      <c r="N1197" s="32">
        <v>3632</v>
      </c>
      <c r="O1197" s="32">
        <v>2664</v>
      </c>
      <c r="P1197" s="32">
        <v>968</v>
      </c>
      <c r="Q1197" s="32">
        <v>309</v>
      </c>
      <c r="R1197" s="33">
        <v>85.525902700000003</v>
      </c>
      <c r="S1197" s="33">
        <v>41.350078500000002</v>
      </c>
      <c r="T1197" s="33">
        <v>44.175824200000001</v>
      </c>
      <c r="U1197" s="33">
        <v>14.4740973</v>
      </c>
      <c r="V1197" s="33">
        <v>92.159350399999994</v>
      </c>
      <c r="W1197" s="33">
        <v>67.597056600000002</v>
      </c>
      <c r="X1197" s="33">
        <v>24.562293799999999</v>
      </c>
      <c r="Y1197" s="33">
        <v>7.8406495999999999</v>
      </c>
    </row>
    <row r="1198" spans="2:25" ht="15" hidden="1" customHeight="1">
      <c r="B1198" s="25">
        <v>1193</v>
      </c>
      <c r="C1198" s="26" t="s">
        <v>21</v>
      </c>
      <c r="D1198" s="26" t="s">
        <v>334</v>
      </c>
      <c r="E1198" s="26" t="s">
        <v>384</v>
      </c>
      <c r="F1198" s="26" t="s">
        <v>386</v>
      </c>
      <c r="G1198" s="27" t="s">
        <v>15</v>
      </c>
      <c r="H1198" s="28">
        <v>1677</v>
      </c>
      <c r="I1198" s="28">
        <v>1560</v>
      </c>
      <c r="J1198" s="28">
        <v>694</v>
      </c>
      <c r="K1198" s="28">
        <v>866</v>
      </c>
      <c r="L1198" s="28">
        <v>117</v>
      </c>
      <c r="M1198" s="28">
        <v>2107</v>
      </c>
      <c r="N1198" s="28">
        <v>2013</v>
      </c>
      <c r="O1198" s="28">
        <v>1444</v>
      </c>
      <c r="P1198" s="28">
        <v>569</v>
      </c>
      <c r="Q1198" s="28">
        <v>94</v>
      </c>
      <c r="R1198" s="29">
        <v>93.023255800000001</v>
      </c>
      <c r="S1198" s="29">
        <v>41.383422799999998</v>
      </c>
      <c r="T1198" s="29">
        <v>51.639833000000003</v>
      </c>
      <c r="U1198" s="29">
        <v>6.9767441999999997</v>
      </c>
      <c r="V1198" s="29">
        <v>95.538680600000006</v>
      </c>
      <c r="W1198" s="29">
        <v>68.533459899999997</v>
      </c>
      <c r="X1198" s="29">
        <v>27.005220699999999</v>
      </c>
      <c r="Y1198" s="29">
        <v>4.4613193999999998</v>
      </c>
    </row>
    <row r="1199" spans="2:25" ht="15" hidden="1" customHeight="1">
      <c r="B1199" s="25">
        <v>1194</v>
      </c>
      <c r="C1199" s="26" t="s">
        <v>21</v>
      </c>
      <c r="D1199" s="26" t="s">
        <v>334</v>
      </c>
      <c r="E1199" s="26" t="s">
        <v>384</v>
      </c>
      <c r="F1199" s="26" t="s">
        <v>386</v>
      </c>
      <c r="G1199" s="27" t="s">
        <v>16</v>
      </c>
      <c r="H1199" s="28">
        <v>1508</v>
      </c>
      <c r="I1199" s="28">
        <v>1164</v>
      </c>
      <c r="J1199" s="28">
        <v>623</v>
      </c>
      <c r="K1199" s="28">
        <v>541</v>
      </c>
      <c r="L1199" s="28">
        <v>344</v>
      </c>
      <c r="M1199" s="28">
        <v>1834</v>
      </c>
      <c r="N1199" s="28">
        <v>1619</v>
      </c>
      <c r="O1199" s="28">
        <v>1220</v>
      </c>
      <c r="P1199" s="28">
        <v>399</v>
      </c>
      <c r="Q1199" s="28">
        <v>215</v>
      </c>
      <c r="R1199" s="29">
        <v>77.188328900000002</v>
      </c>
      <c r="S1199" s="29">
        <v>41.312997299999999</v>
      </c>
      <c r="T1199" s="29">
        <v>35.875331600000003</v>
      </c>
      <c r="U1199" s="29">
        <v>22.811671100000002</v>
      </c>
      <c r="V1199" s="29">
        <v>88.2769902</v>
      </c>
      <c r="W1199" s="29">
        <v>66.521265</v>
      </c>
      <c r="X1199" s="29">
        <v>21.755725200000001</v>
      </c>
      <c r="Y1199" s="29">
        <v>11.7230098</v>
      </c>
    </row>
    <row r="1200" spans="2:25" ht="15" customHeight="1">
      <c r="B1200" s="30">
        <v>1195</v>
      </c>
      <c r="C1200" s="31" t="s">
        <v>21</v>
      </c>
      <c r="D1200" s="36" t="s">
        <v>334</v>
      </c>
      <c r="E1200" s="36" t="s">
        <v>384</v>
      </c>
      <c r="F1200" s="36" t="s">
        <v>387</v>
      </c>
      <c r="G1200" s="37" t="s">
        <v>387</v>
      </c>
      <c r="H1200" s="32">
        <v>12767</v>
      </c>
      <c r="I1200" s="32">
        <v>9891</v>
      </c>
      <c r="J1200" s="32">
        <v>5712</v>
      </c>
      <c r="K1200" s="32">
        <v>4179</v>
      </c>
      <c r="L1200" s="32">
        <v>2876</v>
      </c>
      <c r="M1200" s="32">
        <v>14448</v>
      </c>
      <c r="N1200" s="32">
        <v>12576</v>
      </c>
      <c r="O1200" s="32">
        <v>10622</v>
      </c>
      <c r="P1200" s="32">
        <v>1954</v>
      </c>
      <c r="Q1200" s="32">
        <v>1872</v>
      </c>
      <c r="R1200" s="33">
        <v>77.473173000000003</v>
      </c>
      <c r="S1200" s="33">
        <v>44.740346199999998</v>
      </c>
      <c r="T1200" s="33">
        <v>32.732826799999998</v>
      </c>
      <c r="U1200" s="33">
        <v>22.526827000000001</v>
      </c>
      <c r="V1200" s="33">
        <v>87.043189400000003</v>
      </c>
      <c r="W1200" s="33">
        <v>73.518826099999998</v>
      </c>
      <c r="X1200" s="33">
        <v>13.5243632</v>
      </c>
      <c r="Y1200" s="33">
        <v>12.956810600000001</v>
      </c>
    </row>
    <row r="1201" spans="2:25" ht="15" hidden="1" customHeight="1">
      <c r="B1201" s="25">
        <v>1196</v>
      </c>
      <c r="C1201" s="26" t="s">
        <v>21</v>
      </c>
      <c r="D1201" s="26" t="s">
        <v>334</v>
      </c>
      <c r="E1201" s="26" t="s">
        <v>384</v>
      </c>
      <c r="F1201" s="26" t="s">
        <v>387</v>
      </c>
      <c r="G1201" s="27" t="s">
        <v>15</v>
      </c>
      <c r="H1201" s="28">
        <v>4926</v>
      </c>
      <c r="I1201" s="28">
        <v>4315</v>
      </c>
      <c r="J1201" s="28">
        <v>2125</v>
      </c>
      <c r="K1201" s="28">
        <v>2190</v>
      </c>
      <c r="L1201" s="28">
        <v>611</v>
      </c>
      <c r="M1201" s="28">
        <v>7582</v>
      </c>
      <c r="N1201" s="28">
        <v>7048</v>
      </c>
      <c r="O1201" s="28">
        <v>5670</v>
      </c>
      <c r="P1201" s="28">
        <v>1378</v>
      </c>
      <c r="Q1201" s="28">
        <v>534</v>
      </c>
      <c r="R1201" s="29">
        <v>87.5964271</v>
      </c>
      <c r="S1201" s="29">
        <v>43.138449000000001</v>
      </c>
      <c r="T1201" s="29">
        <v>44.457978099999998</v>
      </c>
      <c r="U1201" s="29">
        <v>12.4035729</v>
      </c>
      <c r="V1201" s="29">
        <v>92.957003400000005</v>
      </c>
      <c r="W1201" s="29">
        <v>74.782379300000002</v>
      </c>
      <c r="X1201" s="29">
        <v>18.174624099999999</v>
      </c>
      <c r="Y1201" s="29">
        <v>7.0429966000000004</v>
      </c>
    </row>
    <row r="1202" spans="2:25" ht="15" hidden="1" customHeight="1">
      <c r="B1202" s="25">
        <v>1197</v>
      </c>
      <c r="C1202" s="26" t="s">
        <v>21</v>
      </c>
      <c r="D1202" s="26" t="s">
        <v>334</v>
      </c>
      <c r="E1202" s="26" t="s">
        <v>384</v>
      </c>
      <c r="F1202" s="26" t="s">
        <v>387</v>
      </c>
      <c r="G1202" s="27" t="s">
        <v>16</v>
      </c>
      <c r="H1202" s="28">
        <v>7841</v>
      </c>
      <c r="I1202" s="28">
        <v>5576</v>
      </c>
      <c r="J1202" s="28">
        <v>3587</v>
      </c>
      <c r="K1202" s="28">
        <v>1989</v>
      </c>
      <c r="L1202" s="28">
        <v>2265</v>
      </c>
      <c r="M1202" s="28">
        <v>6866</v>
      </c>
      <c r="N1202" s="28">
        <v>5528</v>
      </c>
      <c r="O1202" s="28">
        <v>4952</v>
      </c>
      <c r="P1202" s="28">
        <v>576</v>
      </c>
      <c r="Q1202" s="28">
        <v>1338</v>
      </c>
      <c r="R1202" s="29">
        <v>71.113378400000002</v>
      </c>
      <c r="S1202" s="29">
        <v>45.746715999999999</v>
      </c>
      <c r="T1202" s="29">
        <v>25.366662399999999</v>
      </c>
      <c r="U1202" s="29">
        <v>28.886621600000002</v>
      </c>
      <c r="V1202" s="29">
        <v>80.512671100000006</v>
      </c>
      <c r="W1202" s="29">
        <v>72.123507099999998</v>
      </c>
      <c r="X1202" s="29">
        <v>8.3891639999999992</v>
      </c>
      <c r="Y1202" s="29">
        <v>19.487328900000001</v>
      </c>
    </row>
    <row r="1203" spans="2:25" ht="15" customHeight="1">
      <c r="B1203" s="30">
        <v>1198</v>
      </c>
      <c r="C1203" s="31" t="s">
        <v>21</v>
      </c>
      <c r="D1203" s="36" t="s">
        <v>334</v>
      </c>
      <c r="E1203" s="36" t="s">
        <v>384</v>
      </c>
      <c r="F1203" s="36" t="s">
        <v>388</v>
      </c>
      <c r="G1203" s="37" t="s">
        <v>388</v>
      </c>
      <c r="H1203" s="32">
        <v>1146</v>
      </c>
      <c r="I1203" s="32">
        <v>961</v>
      </c>
      <c r="J1203" s="32">
        <v>143</v>
      </c>
      <c r="K1203" s="32">
        <v>818</v>
      </c>
      <c r="L1203" s="32">
        <v>185</v>
      </c>
      <c r="M1203" s="32">
        <v>1475</v>
      </c>
      <c r="N1203" s="32">
        <v>1363</v>
      </c>
      <c r="O1203" s="32">
        <v>1242</v>
      </c>
      <c r="P1203" s="32">
        <v>121</v>
      </c>
      <c r="Q1203" s="32">
        <v>112</v>
      </c>
      <c r="R1203" s="33">
        <v>83.856893499999998</v>
      </c>
      <c r="S1203" s="33">
        <v>12.478185</v>
      </c>
      <c r="T1203" s="33">
        <v>71.378708599999996</v>
      </c>
      <c r="U1203" s="33">
        <v>16.143106499999998</v>
      </c>
      <c r="V1203" s="33">
        <v>92.406779700000001</v>
      </c>
      <c r="W1203" s="33">
        <v>84.203389799999997</v>
      </c>
      <c r="X1203" s="33">
        <v>8.2033898000000001</v>
      </c>
      <c r="Y1203" s="33">
        <v>7.5932202999999996</v>
      </c>
    </row>
    <row r="1204" spans="2:25" ht="15" hidden="1" customHeight="1">
      <c r="B1204" s="25">
        <v>1199</v>
      </c>
      <c r="C1204" s="26" t="s">
        <v>21</v>
      </c>
      <c r="D1204" s="26" t="s">
        <v>334</v>
      </c>
      <c r="E1204" s="26" t="s">
        <v>384</v>
      </c>
      <c r="F1204" s="26" t="s">
        <v>388</v>
      </c>
      <c r="G1204" s="27" t="s">
        <v>15</v>
      </c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9"/>
      <c r="S1204" s="29"/>
      <c r="T1204" s="29"/>
      <c r="U1204" s="29"/>
      <c r="V1204" s="29"/>
      <c r="W1204" s="29"/>
      <c r="X1204" s="29"/>
      <c r="Y1204" s="29"/>
    </row>
    <row r="1205" spans="2:25" ht="15" hidden="1" customHeight="1">
      <c r="B1205" s="25">
        <v>1200</v>
      </c>
      <c r="C1205" s="26" t="s">
        <v>21</v>
      </c>
      <c r="D1205" s="26" t="s">
        <v>334</v>
      </c>
      <c r="E1205" s="26" t="s">
        <v>384</v>
      </c>
      <c r="F1205" s="26" t="s">
        <v>388</v>
      </c>
      <c r="G1205" s="27" t="s">
        <v>16</v>
      </c>
      <c r="H1205" s="28">
        <v>1146</v>
      </c>
      <c r="I1205" s="28">
        <v>961</v>
      </c>
      <c r="J1205" s="28">
        <v>143</v>
      </c>
      <c r="K1205" s="28">
        <v>818</v>
      </c>
      <c r="L1205" s="28">
        <v>185</v>
      </c>
      <c r="M1205" s="28">
        <v>1475</v>
      </c>
      <c r="N1205" s="28">
        <v>1363</v>
      </c>
      <c r="O1205" s="28">
        <v>1242</v>
      </c>
      <c r="P1205" s="28">
        <v>121</v>
      </c>
      <c r="Q1205" s="28">
        <v>112</v>
      </c>
      <c r="R1205" s="29">
        <v>83.856893499999998</v>
      </c>
      <c r="S1205" s="29">
        <v>12.478185</v>
      </c>
      <c r="T1205" s="29">
        <v>71.378708599999996</v>
      </c>
      <c r="U1205" s="29">
        <v>16.143106499999998</v>
      </c>
      <c r="V1205" s="29">
        <v>92.406779700000001</v>
      </c>
      <c r="W1205" s="29">
        <v>84.203389799999997</v>
      </c>
      <c r="X1205" s="29">
        <v>8.2033898000000001</v>
      </c>
      <c r="Y1205" s="29">
        <v>7.5932202999999996</v>
      </c>
    </row>
    <row r="1206" spans="2:25" ht="15" customHeight="1">
      <c r="B1206" s="30">
        <v>1201</v>
      </c>
      <c r="C1206" s="31" t="s">
        <v>21</v>
      </c>
      <c r="D1206" s="36" t="s">
        <v>334</v>
      </c>
      <c r="E1206" s="36" t="s">
        <v>384</v>
      </c>
      <c r="F1206" s="36" t="s">
        <v>389</v>
      </c>
      <c r="G1206" s="37" t="s">
        <v>389</v>
      </c>
      <c r="H1206" s="32">
        <v>1685</v>
      </c>
      <c r="I1206" s="32">
        <v>1350</v>
      </c>
      <c r="J1206" s="32">
        <v>611</v>
      </c>
      <c r="K1206" s="32">
        <v>739</v>
      </c>
      <c r="L1206" s="32">
        <v>335</v>
      </c>
      <c r="M1206" s="32">
        <v>2433</v>
      </c>
      <c r="N1206" s="32">
        <v>2163</v>
      </c>
      <c r="O1206" s="32">
        <v>1683</v>
      </c>
      <c r="P1206" s="32">
        <v>480</v>
      </c>
      <c r="Q1206" s="32">
        <v>270</v>
      </c>
      <c r="R1206" s="33">
        <v>80.118694399999995</v>
      </c>
      <c r="S1206" s="33">
        <v>36.261127600000002</v>
      </c>
      <c r="T1206" s="33">
        <v>43.857566800000001</v>
      </c>
      <c r="U1206" s="33">
        <v>19.881305600000001</v>
      </c>
      <c r="V1206" s="33">
        <v>88.902589399999997</v>
      </c>
      <c r="W1206" s="33">
        <v>69.173859399999998</v>
      </c>
      <c r="X1206" s="33">
        <v>19.728729999999999</v>
      </c>
      <c r="Y1206" s="33">
        <v>11.0974106</v>
      </c>
    </row>
    <row r="1207" spans="2:25" ht="15" hidden="1" customHeight="1">
      <c r="B1207" s="25">
        <v>1202</v>
      </c>
      <c r="C1207" s="26" t="s">
        <v>21</v>
      </c>
      <c r="D1207" s="26" t="s">
        <v>334</v>
      </c>
      <c r="E1207" s="26" t="s">
        <v>384</v>
      </c>
      <c r="F1207" s="26" t="s">
        <v>389</v>
      </c>
      <c r="G1207" s="27" t="s">
        <v>15</v>
      </c>
      <c r="H1207" s="28">
        <v>1446</v>
      </c>
      <c r="I1207" s="28">
        <v>1237</v>
      </c>
      <c r="J1207" s="28">
        <v>568</v>
      </c>
      <c r="K1207" s="28">
        <v>669</v>
      </c>
      <c r="L1207" s="28">
        <v>209</v>
      </c>
      <c r="M1207" s="28">
        <v>1959</v>
      </c>
      <c r="N1207" s="28">
        <v>1848</v>
      </c>
      <c r="O1207" s="28">
        <v>1393</v>
      </c>
      <c r="P1207" s="28">
        <v>455</v>
      </c>
      <c r="Q1207" s="28">
        <v>111</v>
      </c>
      <c r="R1207" s="29">
        <v>85.546334700000003</v>
      </c>
      <c r="S1207" s="29">
        <v>39.280774600000001</v>
      </c>
      <c r="T1207" s="29">
        <v>46.265560200000003</v>
      </c>
      <c r="U1207" s="29">
        <v>14.453665300000001</v>
      </c>
      <c r="V1207" s="29">
        <v>94.333843799999997</v>
      </c>
      <c r="W1207" s="29">
        <v>71.107708000000002</v>
      </c>
      <c r="X1207" s="29">
        <v>23.226135800000002</v>
      </c>
      <c r="Y1207" s="29">
        <v>5.6661561999999996</v>
      </c>
    </row>
    <row r="1208" spans="2:25" ht="15" hidden="1" customHeight="1">
      <c r="B1208" s="25">
        <v>1203</v>
      </c>
      <c r="C1208" s="26" t="s">
        <v>21</v>
      </c>
      <c r="D1208" s="26" t="s">
        <v>334</v>
      </c>
      <c r="E1208" s="26" t="s">
        <v>384</v>
      </c>
      <c r="F1208" s="26" t="s">
        <v>389</v>
      </c>
      <c r="G1208" s="27" t="s">
        <v>16</v>
      </c>
      <c r="H1208" s="28">
        <v>239</v>
      </c>
      <c r="I1208" s="28">
        <v>113</v>
      </c>
      <c r="J1208" s="28">
        <v>43</v>
      </c>
      <c r="K1208" s="28">
        <v>70</v>
      </c>
      <c r="L1208" s="28">
        <v>126</v>
      </c>
      <c r="M1208" s="28">
        <v>474</v>
      </c>
      <c r="N1208" s="28">
        <v>315</v>
      </c>
      <c r="O1208" s="28">
        <v>290</v>
      </c>
      <c r="P1208" s="28">
        <v>25</v>
      </c>
      <c r="Q1208" s="28">
        <v>159</v>
      </c>
      <c r="R1208" s="29">
        <v>47.280334699999997</v>
      </c>
      <c r="S1208" s="29">
        <v>17.9916318</v>
      </c>
      <c r="T1208" s="29">
        <v>29.288702900000001</v>
      </c>
      <c r="U1208" s="29">
        <v>52.719665300000003</v>
      </c>
      <c r="V1208" s="29">
        <v>66.455696200000006</v>
      </c>
      <c r="W1208" s="29">
        <v>61.181434600000003</v>
      </c>
      <c r="X1208" s="29">
        <v>5.2742616</v>
      </c>
      <c r="Y1208" s="29">
        <v>33.544303800000002</v>
      </c>
    </row>
    <row r="1209" spans="2:25" ht="15" customHeight="1">
      <c r="B1209" s="30">
        <v>1204</v>
      </c>
      <c r="C1209" s="31" t="s">
        <v>21</v>
      </c>
      <c r="D1209" s="36" t="s">
        <v>334</v>
      </c>
      <c r="E1209" s="36" t="s">
        <v>384</v>
      </c>
      <c r="F1209" s="36" t="s">
        <v>390</v>
      </c>
      <c r="G1209" s="37" t="s">
        <v>390</v>
      </c>
      <c r="H1209" s="32">
        <v>5058</v>
      </c>
      <c r="I1209" s="32">
        <v>4251</v>
      </c>
      <c r="J1209" s="32">
        <v>2419</v>
      </c>
      <c r="K1209" s="32">
        <v>1832</v>
      </c>
      <c r="L1209" s="32">
        <v>807</v>
      </c>
      <c r="M1209" s="32">
        <v>6551</v>
      </c>
      <c r="N1209" s="32">
        <v>6061</v>
      </c>
      <c r="O1209" s="32">
        <v>4905</v>
      </c>
      <c r="P1209" s="32">
        <v>1156</v>
      </c>
      <c r="Q1209" s="32">
        <v>490</v>
      </c>
      <c r="R1209" s="33">
        <v>84.0450771</v>
      </c>
      <c r="S1209" s="33">
        <v>47.825227400000003</v>
      </c>
      <c r="T1209" s="33">
        <v>36.219849699999997</v>
      </c>
      <c r="U1209" s="33">
        <v>15.9549229</v>
      </c>
      <c r="V1209" s="33">
        <v>92.5202259</v>
      </c>
      <c r="W1209" s="33">
        <v>74.874065000000002</v>
      </c>
      <c r="X1209" s="33">
        <v>17.646160900000002</v>
      </c>
      <c r="Y1209" s="33">
        <v>7.4797741000000002</v>
      </c>
    </row>
    <row r="1210" spans="2:25" ht="15" hidden="1" customHeight="1">
      <c r="B1210" s="25">
        <v>1205</v>
      </c>
      <c r="C1210" s="26" t="s">
        <v>21</v>
      </c>
      <c r="D1210" s="26" t="s">
        <v>334</v>
      </c>
      <c r="E1210" s="26" t="s">
        <v>384</v>
      </c>
      <c r="F1210" s="26" t="s">
        <v>390</v>
      </c>
      <c r="G1210" s="27" t="s">
        <v>15</v>
      </c>
      <c r="H1210" s="28">
        <v>2076</v>
      </c>
      <c r="I1210" s="28">
        <v>1747</v>
      </c>
      <c r="J1210" s="28">
        <v>771</v>
      </c>
      <c r="K1210" s="28">
        <v>976</v>
      </c>
      <c r="L1210" s="28">
        <v>329</v>
      </c>
      <c r="M1210" s="28">
        <v>3053</v>
      </c>
      <c r="N1210" s="28">
        <v>2918</v>
      </c>
      <c r="O1210" s="28">
        <v>2078</v>
      </c>
      <c r="P1210" s="28">
        <v>840</v>
      </c>
      <c r="Q1210" s="28">
        <v>135</v>
      </c>
      <c r="R1210" s="29">
        <v>84.152215799999993</v>
      </c>
      <c r="S1210" s="29">
        <v>37.138728299999997</v>
      </c>
      <c r="T1210" s="29">
        <v>47.013487499999997</v>
      </c>
      <c r="U1210" s="29">
        <v>15.8477842</v>
      </c>
      <c r="V1210" s="29">
        <v>95.578119900000004</v>
      </c>
      <c r="W1210" s="29">
        <v>68.064199099999996</v>
      </c>
      <c r="X1210" s="29">
        <v>27.5139207</v>
      </c>
      <c r="Y1210" s="29">
        <v>4.4218801000000001</v>
      </c>
    </row>
    <row r="1211" spans="2:25" ht="15" hidden="1" customHeight="1">
      <c r="B1211" s="25">
        <v>1206</v>
      </c>
      <c r="C1211" s="26" t="s">
        <v>21</v>
      </c>
      <c r="D1211" s="26" t="s">
        <v>334</v>
      </c>
      <c r="E1211" s="26" t="s">
        <v>384</v>
      </c>
      <c r="F1211" s="26" t="s">
        <v>390</v>
      </c>
      <c r="G1211" s="27" t="s">
        <v>16</v>
      </c>
      <c r="H1211" s="28">
        <v>2982</v>
      </c>
      <c r="I1211" s="28">
        <v>2504</v>
      </c>
      <c r="J1211" s="28">
        <v>1648</v>
      </c>
      <c r="K1211" s="28">
        <v>856</v>
      </c>
      <c r="L1211" s="28">
        <v>478</v>
      </c>
      <c r="M1211" s="28">
        <v>3498</v>
      </c>
      <c r="N1211" s="28">
        <v>3143</v>
      </c>
      <c r="O1211" s="28">
        <v>2827</v>
      </c>
      <c r="P1211" s="28">
        <v>316</v>
      </c>
      <c r="Q1211" s="28">
        <v>355</v>
      </c>
      <c r="R1211" s="29">
        <v>83.970489599999993</v>
      </c>
      <c r="S1211" s="29">
        <v>55.264922900000002</v>
      </c>
      <c r="T1211" s="29">
        <v>28.705566699999999</v>
      </c>
      <c r="U1211" s="29">
        <v>16.029510399999999</v>
      </c>
      <c r="V1211" s="29">
        <v>89.851343600000007</v>
      </c>
      <c r="W1211" s="29">
        <v>80.817610099999996</v>
      </c>
      <c r="X1211" s="29">
        <v>9.0337335999999997</v>
      </c>
      <c r="Y1211" s="29">
        <v>10.1486564</v>
      </c>
    </row>
    <row r="1212" spans="2:25" ht="15" hidden="1" customHeight="1">
      <c r="B1212" s="21">
        <v>1207</v>
      </c>
      <c r="C1212" s="22" t="s">
        <v>19</v>
      </c>
      <c r="D1212" s="35" t="s">
        <v>334</v>
      </c>
      <c r="E1212" s="35" t="s">
        <v>391</v>
      </c>
      <c r="F1212" s="35"/>
      <c r="G1212" s="22" t="s">
        <v>391</v>
      </c>
      <c r="H1212" s="23">
        <v>3215</v>
      </c>
      <c r="I1212" s="23">
        <v>2798</v>
      </c>
      <c r="J1212" s="23">
        <v>1065</v>
      </c>
      <c r="K1212" s="23">
        <v>1733</v>
      </c>
      <c r="L1212" s="23">
        <v>417</v>
      </c>
      <c r="M1212" s="23">
        <v>4145</v>
      </c>
      <c r="N1212" s="23">
        <v>3832</v>
      </c>
      <c r="O1212" s="23">
        <v>3411</v>
      </c>
      <c r="P1212" s="23">
        <v>421</v>
      </c>
      <c r="Q1212" s="23">
        <v>313</v>
      </c>
      <c r="R1212" s="24">
        <v>87.029549000000003</v>
      </c>
      <c r="S1212" s="24">
        <v>33.125971999999997</v>
      </c>
      <c r="T1212" s="24">
        <v>53.903576999999999</v>
      </c>
      <c r="U1212" s="24">
        <v>12.970451000000001</v>
      </c>
      <c r="V1212" s="24">
        <v>92.448733399999995</v>
      </c>
      <c r="W1212" s="24">
        <v>82.291917999999995</v>
      </c>
      <c r="X1212" s="24">
        <v>10.156815399999999</v>
      </c>
      <c r="Y1212" s="24">
        <v>7.5512665999999999</v>
      </c>
    </row>
    <row r="1213" spans="2:25" ht="15" hidden="1" customHeight="1">
      <c r="B1213" s="25">
        <v>1208</v>
      </c>
      <c r="C1213" s="26" t="s">
        <v>19</v>
      </c>
      <c r="D1213" s="26" t="s">
        <v>334</v>
      </c>
      <c r="E1213" s="26" t="s">
        <v>391</v>
      </c>
      <c r="F1213" s="26"/>
      <c r="G1213" s="27" t="s">
        <v>15</v>
      </c>
      <c r="H1213" s="28">
        <v>1501</v>
      </c>
      <c r="I1213" s="28">
        <v>1400</v>
      </c>
      <c r="J1213" s="28">
        <v>691</v>
      </c>
      <c r="K1213" s="28">
        <v>709</v>
      </c>
      <c r="L1213" s="28">
        <v>101</v>
      </c>
      <c r="M1213" s="28">
        <v>2079</v>
      </c>
      <c r="N1213" s="28">
        <v>1978</v>
      </c>
      <c r="O1213" s="28">
        <v>1731</v>
      </c>
      <c r="P1213" s="28">
        <v>247</v>
      </c>
      <c r="Q1213" s="28">
        <v>101</v>
      </c>
      <c r="R1213" s="29">
        <v>93.271152599999994</v>
      </c>
      <c r="S1213" s="29">
        <v>46.035975999999998</v>
      </c>
      <c r="T1213" s="29">
        <v>47.235176500000001</v>
      </c>
      <c r="U1213" s="29">
        <v>6.7288474000000003</v>
      </c>
      <c r="V1213" s="29">
        <v>95.141895099999999</v>
      </c>
      <c r="W1213" s="29">
        <v>83.261183299999999</v>
      </c>
      <c r="X1213" s="29">
        <v>11.8807119</v>
      </c>
      <c r="Y1213" s="29">
        <v>4.8581048999999998</v>
      </c>
    </row>
    <row r="1214" spans="2:25" ht="15" hidden="1" customHeight="1">
      <c r="B1214" s="25">
        <v>1209</v>
      </c>
      <c r="C1214" s="26" t="s">
        <v>19</v>
      </c>
      <c r="D1214" s="26" t="s">
        <v>334</v>
      </c>
      <c r="E1214" s="26" t="s">
        <v>391</v>
      </c>
      <c r="F1214" s="26"/>
      <c r="G1214" s="27" t="s">
        <v>16</v>
      </c>
      <c r="H1214" s="28">
        <v>1714</v>
      </c>
      <c r="I1214" s="28">
        <v>1398</v>
      </c>
      <c r="J1214" s="28">
        <v>374</v>
      </c>
      <c r="K1214" s="28">
        <v>1024</v>
      </c>
      <c r="L1214" s="28">
        <v>316</v>
      </c>
      <c r="M1214" s="28">
        <v>2066</v>
      </c>
      <c r="N1214" s="28">
        <v>1854</v>
      </c>
      <c r="O1214" s="28">
        <v>1680</v>
      </c>
      <c r="P1214" s="28">
        <v>174</v>
      </c>
      <c r="Q1214" s="28">
        <v>212</v>
      </c>
      <c r="R1214" s="29">
        <v>81.563593900000001</v>
      </c>
      <c r="S1214" s="29">
        <v>21.8203034</v>
      </c>
      <c r="T1214" s="29">
        <v>59.743290500000001</v>
      </c>
      <c r="U1214" s="29">
        <v>18.436406099999999</v>
      </c>
      <c r="V1214" s="29">
        <v>89.738625400000004</v>
      </c>
      <c r="W1214" s="29">
        <v>81.3165537</v>
      </c>
      <c r="X1214" s="29">
        <v>8.4220716000000007</v>
      </c>
      <c r="Y1214" s="29">
        <v>10.2613746</v>
      </c>
    </row>
    <row r="1215" spans="2:25" ht="15" customHeight="1">
      <c r="B1215" s="30">
        <v>1210</v>
      </c>
      <c r="C1215" s="31" t="s">
        <v>21</v>
      </c>
      <c r="D1215" s="36" t="s">
        <v>334</v>
      </c>
      <c r="E1215" s="36" t="s">
        <v>391</v>
      </c>
      <c r="F1215" s="36" t="s">
        <v>392</v>
      </c>
      <c r="G1215" s="37" t="s">
        <v>392</v>
      </c>
      <c r="H1215" s="32">
        <v>3215</v>
      </c>
      <c r="I1215" s="32">
        <v>2798</v>
      </c>
      <c r="J1215" s="32">
        <v>1065</v>
      </c>
      <c r="K1215" s="32">
        <v>1733</v>
      </c>
      <c r="L1215" s="32">
        <v>417</v>
      </c>
      <c r="M1215" s="32">
        <v>4145</v>
      </c>
      <c r="N1215" s="32">
        <v>3832</v>
      </c>
      <c r="O1215" s="32">
        <v>3411</v>
      </c>
      <c r="P1215" s="32">
        <v>421</v>
      </c>
      <c r="Q1215" s="32">
        <v>313</v>
      </c>
      <c r="R1215" s="33">
        <v>87.029549000000003</v>
      </c>
      <c r="S1215" s="33">
        <v>33.125971999999997</v>
      </c>
      <c r="T1215" s="33">
        <v>53.903576999999999</v>
      </c>
      <c r="U1215" s="33">
        <v>12.970451000000001</v>
      </c>
      <c r="V1215" s="33">
        <v>92.448733399999995</v>
      </c>
      <c r="W1215" s="33">
        <v>82.291917999999995</v>
      </c>
      <c r="X1215" s="33">
        <v>10.156815399999999</v>
      </c>
      <c r="Y1215" s="33">
        <v>7.5512665999999999</v>
      </c>
    </row>
    <row r="1216" spans="2:25" ht="15" hidden="1" customHeight="1">
      <c r="B1216" s="25">
        <v>1211</v>
      </c>
      <c r="C1216" s="26" t="s">
        <v>21</v>
      </c>
      <c r="D1216" s="26" t="s">
        <v>334</v>
      </c>
      <c r="E1216" s="26" t="s">
        <v>391</v>
      </c>
      <c r="F1216" s="26" t="s">
        <v>392</v>
      </c>
      <c r="G1216" s="27" t="s">
        <v>15</v>
      </c>
      <c r="H1216" s="28">
        <v>1501</v>
      </c>
      <c r="I1216" s="28">
        <v>1400</v>
      </c>
      <c r="J1216" s="28">
        <v>691</v>
      </c>
      <c r="K1216" s="28">
        <v>709</v>
      </c>
      <c r="L1216" s="28">
        <v>101</v>
      </c>
      <c r="M1216" s="28">
        <v>2079</v>
      </c>
      <c r="N1216" s="28">
        <v>1978</v>
      </c>
      <c r="O1216" s="28">
        <v>1731</v>
      </c>
      <c r="P1216" s="28">
        <v>247</v>
      </c>
      <c r="Q1216" s="28">
        <v>101</v>
      </c>
      <c r="R1216" s="29">
        <v>93.271152599999994</v>
      </c>
      <c r="S1216" s="29">
        <v>46.035975999999998</v>
      </c>
      <c r="T1216" s="29">
        <v>47.235176500000001</v>
      </c>
      <c r="U1216" s="29">
        <v>6.7288474000000003</v>
      </c>
      <c r="V1216" s="29">
        <v>95.141895099999999</v>
      </c>
      <c r="W1216" s="29">
        <v>83.261183299999999</v>
      </c>
      <c r="X1216" s="29">
        <v>11.8807119</v>
      </c>
      <c r="Y1216" s="29">
        <v>4.8581048999999998</v>
      </c>
    </row>
    <row r="1217" spans="2:25" ht="15" hidden="1" customHeight="1">
      <c r="B1217" s="25">
        <v>1212</v>
      </c>
      <c r="C1217" s="26" t="s">
        <v>21</v>
      </c>
      <c r="D1217" s="26" t="s">
        <v>334</v>
      </c>
      <c r="E1217" s="26" t="s">
        <v>391</v>
      </c>
      <c r="F1217" s="26" t="s">
        <v>392</v>
      </c>
      <c r="G1217" s="27" t="s">
        <v>16</v>
      </c>
      <c r="H1217" s="28">
        <v>1714</v>
      </c>
      <c r="I1217" s="28">
        <v>1398</v>
      </c>
      <c r="J1217" s="28">
        <v>374</v>
      </c>
      <c r="K1217" s="28">
        <v>1024</v>
      </c>
      <c r="L1217" s="28">
        <v>316</v>
      </c>
      <c r="M1217" s="28">
        <v>2066</v>
      </c>
      <c r="N1217" s="28">
        <v>1854</v>
      </c>
      <c r="O1217" s="28">
        <v>1680</v>
      </c>
      <c r="P1217" s="28">
        <v>174</v>
      </c>
      <c r="Q1217" s="28">
        <v>212</v>
      </c>
      <c r="R1217" s="29">
        <v>81.563593900000001</v>
      </c>
      <c r="S1217" s="29">
        <v>21.8203034</v>
      </c>
      <c r="T1217" s="29">
        <v>59.743290500000001</v>
      </c>
      <c r="U1217" s="29">
        <v>18.436406099999999</v>
      </c>
      <c r="V1217" s="29">
        <v>89.738625400000004</v>
      </c>
      <c r="W1217" s="29">
        <v>81.3165537</v>
      </c>
      <c r="X1217" s="29">
        <v>8.4220716000000007</v>
      </c>
      <c r="Y1217" s="29">
        <v>10.2613746</v>
      </c>
    </row>
    <row r="1218" spans="2:25" ht="15" hidden="1" customHeight="1">
      <c r="B1218" s="21">
        <v>1213</v>
      </c>
      <c r="C1218" s="22" t="s">
        <v>19</v>
      </c>
      <c r="D1218" s="35" t="s">
        <v>334</v>
      </c>
      <c r="E1218" s="35" t="s">
        <v>393</v>
      </c>
      <c r="F1218" s="35"/>
      <c r="G1218" s="22" t="s">
        <v>393</v>
      </c>
      <c r="H1218" s="23">
        <v>6422</v>
      </c>
      <c r="I1218" s="23">
        <v>4278</v>
      </c>
      <c r="J1218" s="23">
        <v>2439</v>
      </c>
      <c r="K1218" s="23">
        <v>1839</v>
      </c>
      <c r="L1218" s="23">
        <v>2144</v>
      </c>
      <c r="M1218" s="23">
        <v>7743</v>
      </c>
      <c r="N1218" s="23">
        <v>5998</v>
      </c>
      <c r="O1218" s="23">
        <v>4841</v>
      </c>
      <c r="P1218" s="23">
        <v>1157</v>
      </c>
      <c r="Q1218" s="23">
        <v>1745</v>
      </c>
      <c r="R1218" s="24">
        <v>66.614761799999997</v>
      </c>
      <c r="S1218" s="24">
        <v>37.978822800000003</v>
      </c>
      <c r="T1218" s="24">
        <v>28.635939</v>
      </c>
      <c r="U1218" s="24">
        <v>33.385238200000003</v>
      </c>
      <c r="V1218" s="24">
        <v>77.463515400000006</v>
      </c>
      <c r="W1218" s="24">
        <v>62.520986700000002</v>
      </c>
      <c r="X1218" s="24">
        <v>14.9425287</v>
      </c>
      <c r="Y1218" s="24">
        <v>22.536484600000001</v>
      </c>
    </row>
    <row r="1219" spans="2:25" ht="15" hidden="1" customHeight="1">
      <c r="B1219" s="25">
        <v>1214</v>
      </c>
      <c r="C1219" s="26" t="s">
        <v>19</v>
      </c>
      <c r="D1219" s="26" t="s">
        <v>334</v>
      </c>
      <c r="E1219" s="26" t="s">
        <v>393</v>
      </c>
      <c r="F1219" s="26"/>
      <c r="G1219" s="27" t="s">
        <v>15</v>
      </c>
      <c r="H1219" s="28">
        <v>2423</v>
      </c>
      <c r="I1219" s="28">
        <v>2144</v>
      </c>
      <c r="J1219" s="28">
        <v>1012</v>
      </c>
      <c r="K1219" s="28">
        <v>1132</v>
      </c>
      <c r="L1219" s="28">
        <v>279</v>
      </c>
      <c r="M1219" s="28">
        <v>3217</v>
      </c>
      <c r="N1219" s="28">
        <v>3081</v>
      </c>
      <c r="O1219" s="28">
        <v>2314</v>
      </c>
      <c r="P1219" s="28">
        <v>767</v>
      </c>
      <c r="Q1219" s="28">
        <v>136</v>
      </c>
      <c r="R1219" s="29">
        <v>88.485348700000003</v>
      </c>
      <c r="S1219" s="29">
        <v>41.766405300000002</v>
      </c>
      <c r="T1219" s="29">
        <v>46.718943500000002</v>
      </c>
      <c r="U1219" s="29">
        <v>11.514651300000001</v>
      </c>
      <c r="V1219" s="29">
        <v>95.772458799999995</v>
      </c>
      <c r="W1219" s="29">
        <v>71.930369900000002</v>
      </c>
      <c r="X1219" s="29">
        <v>23.8420889</v>
      </c>
      <c r="Y1219" s="29">
        <v>4.2275412000000001</v>
      </c>
    </row>
    <row r="1220" spans="2:25" ht="15" hidden="1" customHeight="1">
      <c r="B1220" s="25">
        <v>1215</v>
      </c>
      <c r="C1220" s="26" t="s">
        <v>19</v>
      </c>
      <c r="D1220" s="26" t="s">
        <v>334</v>
      </c>
      <c r="E1220" s="26" t="s">
        <v>393</v>
      </c>
      <c r="F1220" s="26"/>
      <c r="G1220" s="27" t="s">
        <v>16</v>
      </c>
      <c r="H1220" s="28">
        <v>3999</v>
      </c>
      <c r="I1220" s="28">
        <v>2134</v>
      </c>
      <c r="J1220" s="28">
        <v>1427</v>
      </c>
      <c r="K1220" s="28">
        <v>707</v>
      </c>
      <c r="L1220" s="28">
        <v>1865</v>
      </c>
      <c r="M1220" s="28">
        <v>4526</v>
      </c>
      <c r="N1220" s="28">
        <v>2917</v>
      </c>
      <c r="O1220" s="28">
        <v>2527</v>
      </c>
      <c r="P1220" s="28">
        <v>390</v>
      </c>
      <c r="Q1220" s="28">
        <v>1609</v>
      </c>
      <c r="R1220" s="29">
        <v>53.363340800000003</v>
      </c>
      <c r="S1220" s="29">
        <v>35.683920999999998</v>
      </c>
      <c r="T1220" s="29">
        <v>17.679419899999999</v>
      </c>
      <c r="U1220" s="29">
        <v>46.636659199999997</v>
      </c>
      <c r="V1220" s="29">
        <v>64.449845300000007</v>
      </c>
      <c r="W1220" s="29">
        <v>55.832965100000003</v>
      </c>
      <c r="X1220" s="29">
        <v>8.6168802000000007</v>
      </c>
      <c r="Y1220" s="29">
        <v>35.5501547</v>
      </c>
    </row>
    <row r="1221" spans="2:25" ht="15" customHeight="1">
      <c r="B1221" s="30">
        <v>1216</v>
      </c>
      <c r="C1221" s="31" t="s">
        <v>21</v>
      </c>
      <c r="D1221" s="36" t="s">
        <v>334</v>
      </c>
      <c r="E1221" s="36" t="s">
        <v>393</v>
      </c>
      <c r="F1221" s="36" t="s">
        <v>394</v>
      </c>
      <c r="G1221" s="37" t="s">
        <v>394</v>
      </c>
      <c r="H1221" s="32">
        <v>4639</v>
      </c>
      <c r="I1221" s="32">
        <v>3133</v>
      </c>
      <c r="J1221" s="32">
        <v>1803</v>
      </c>
      <c r="K1221" s="32">
        <v>1330</v>
      </c>
      <c r="L1221" s="32">
        <v>1506</v>
      </c>
      <c r="M1221" s="32">
        <v>5754</v>
      </c>
      <c r="N1221" s="32">
        <v>4337</v>
      </c>
      <c r="O1221" s="32">
        <v>3530</v>
      </c>
      <c r="P1221" s="32">
        <v>807</v>
      </c>
      <c r="Q1221" s="32">
        <v>1417</v>
      </c>
      <c r="R1221" s="33">
        <v>67.536106899999993</v>
      </c>
      <c r="S1221" s="33">
        <v>38.866134899999999</v>
      </c>
      <c r="T1221" s="33">
        <v>28.669972000000001</v>
      </c>
      <c r="U1221" s="33">
        <v>32.4638931</v>
      </c>
      <c r="V1221" s="33">
        <v>75.373653099999999</v>
      </c>
      <c r="W1221" s="33">
        <v>61.348627</v>
      </c>
      <c r="X1221" s="33">
        <v>14.0250261</v>
      </c>
      <c r="Y1221" s="33">
        <v>24.626346900000001</v>
      </c>
    </row>
    <row r="1222" spans="2:25" ht="15" hidden="1" customHeight="1">
      <c r="B1222" s="25">
        <v>1217</v>
      </c>
      <c r="C1222" s="26" t="s">
        <v>21</v>
      </c>
      <c r="D1222" s="26" t="s">
        <v>334</v>
      </c>
      <c r="E1222" s="26" t="s">
        <v>393</v>
      </c>
      <c r="F1222" s="26" t="s">
        <v>394</v>
      </c>
      <c r="G1222" s="27" t="s">
        <v>15</v>
      </c>
      <c r="H1222" s="28">
        <v>1507</v>
      </c>
      <c r="I1222" s="28">
        <v>1388</v>
      </c>
      <c r="J1222" s="28">
        <v>657</v>
      </c>
      <c r="K1222" s="28">
        <v>731</v>
      </c>
      <c r="L1222" s="28">
        <v>119</v>
      </c>
      <c r="M1222" s="28">
        <v>2031</v>
      </c>
      <c r="N1222" s="28">
        <v>1961</v>
      </c>
      <c r="O1222" s="28">
        <v>1480</v>
      </c>
      <c r="P1222" s="28">
        <v>481</v>
      </c>
      <c r="Q1222" s="28">
        <v>70</v>
      </c>
      <c r="R1222" s="29">
        <v>92.103516900000002</v>
      </c>
      <c r="S1222" s="29">
        <v>43.596549400000001</v>
      </c>
      <c r="T1222" s="29">
        <v>48.506967500000002</v>
      </c>
      <c r="U1222" s="29">
        <v>7.8964831000000002</v>
      </c>
      <c r="V1222" s="29">
        <v>96.553421999999998</v>
      </c>
      <c r="W1222" s="29">
        <v>72.870507099999998</v>
      </c>
      <c r="X1222" s="29">
        <v>23.682914799999999</v>
      </c>
      <c r="Y1222" s="29">
        <v>3.4465780000000001</v>
      </c>
    </row>
    <row r="1223" spans="2:25" ht="15" hidden="1" customHeight="1">
      <c r="B1223" s="25">
        <v>1218</v>
      </c>
      <c r="C1223" s="26" t="s">
        <v>21</v>
      </c>
      <c r="D1223" s="26" t="s">
        <v>334</v>
      </c>
      <c r="E1223" s="26" t="s">
        <v>393</v>
      </c>
      <c r="F1223" s="26" t="s">
        <v>394</v>
      </c>
      <c r="G1223" s="27" t="s">
        <v>16</v>
      </c>
      <c r="H1223" s="28">
        <v>3132</v>
      </c>
      <c r="I1223" s="28">
        <v>1745</v>
      </c>
      <c r="J1223" s="28">
        <v>1146</v>
      </c>
      <c r="K1223" s="28">
        <v>599</v>
      </c>
      <c r="L1223" s="28">
        <v>1387</v>
      </c>
      <c r="M1223" s="28">
        <v>3723</v>
      </c>
      <c r="N1223" s="28">
        <v>2376</v>
      </c>
      <c r="O1223" s="28">
        <v>2050</v>
      </c>
      <c r="P1223" s="28">
        <v>326</v>
      </c>
      <c r="Q1223" s="28">
        <v>1347</v>
      </c>
      <c r="R1223" s="29">
        <v>55.715198000000001</v>
      </c>
      <c r="S1223" s="29">
        <v>36.590038300000003</v>
      </c>
      <c r="T1223" s="29">
        <v>19.1251596</v>
      </c>
      <c r="U1223" s="29">
        <v>44.284801999999999</v>
      </c>
      <c r="V1223" s="29">
        <v>63.819500400000003</v>
      </c>
      <c r="W1223" s="29">
        <v>55.063121099999996</v>
      </c>
      <c r="X1223" s="29">
        <v>8.7563793000000008</v>
      </c>
      <c r="Y1223" s="29">
        <v>36.180499599999997</v>
      </c>
    </row>
    <row r="1224" spans="2:25" ht="15" customHeight="1">
      <c r="B1224" s="30">
        <v>1219</v>
      </c>
      <c r="C1224" s="31" t="s">
        <v>21</v>
      </c>
      <c r="D1224" s="36" t="s">
        <v>334</v>
      </c>
      <c r="E1224" s="36" t="s">
        <v>393</v>
      </c>
      <c r="F1224" s="36" t="s">
        <v>395</v>
      </c>
      <c r="G1224" s="37" t="s">
        <v>395</v>
      </c>
      <c r="H1224" s="32">
        <v>1783</v>
      </c>
      <c r="I1224" s="32">
        <v>1145</v>
      </c>
      <c r="J1224" s="32">
        <v>636</v>
      </c>
      <c r="K1224" s="32">
        <v>509</v>
      </c>
      <c r="L1224" s="32">
        <v>638</v>
      </c>
      <c r="M1224" s="32">
        <v>1989</v>
      </c>
      <c r="N1224" s="32">
        <v>1661</v>
      </c>
      <c r="O1224" s="32">
        <v>1311</v>
      </c>
      <c r="P1224" s="32">
        <v>350</v>
      </c>
      <c r="Q1224" s="32">
        <v>328</v>
      </c>
      <c r="R1224" s="33">
        <v>64.217610800000003</v>
      </c>
      <c r="S1224" s="33">
        <v>35.6702187</v>
      </c>
      <c r="T1224" s="33">
        <v>28.547391999999999</v>
      </c>
      <c r="U1224" s="33">
        <v>35.782389199999997</v>
      </c>
      <c r="V1224" s="33">
        <v>83.509301199999996</v>
      </c>
      <c r="W1224" s="33">
        <v>65.912518899999995</v>
      </c>
      <c r="X1224" s="33">
        <v>17.596782300000001</v>
      </c>
      <c r="Y1224" s="33">
        <v>16.490698800000001</v>
      </c>
    </row>
    <row r="1225" spans="2:25" ht="15" hidden="1" customHeight="1">
      <c r="B1225" s="25">
        <v>1220</v>
      </c>
      <c r="C1225" s="26" t="s">
        <v>21</v>
      </c>
      <c r="D1225" s="26" t="s">
        <v>334</v>
      </c>
      <c r="E1225" s="26" t="s">
        <v>393</v>
      </c>
      <c r="F1225" s="26" t="s">
        <v>395</v>
      </c>
      <c r="G1225" s="27" t="s">
        <v>15</v>
      </c>
      <c r="H1225" s="28">
        <v>916</v>
      </c>
      <c r="I1225" s="28">
        <v>756</v>
      </c>
      <c r="J1225" s="28">
        <v>355</v>
      </c>
      <c r="K1225" s="28">
        <v>401</v>
      </c>
      <c r="L1225" s="28">
        <v>160</v>
      </c>
      <c r="M1225" s="28">
        <v>1186</v>
      </c>
      <c r="N1225" s="28">
        <v>1120</v>
      </c>
      <c r="O1225" s="28">
        <v>834</v>
      </c>
      <c r="P1225" s="28">
        <v>286</v>
      </c>
      <c r="Q1225" s="28">
        <v>66</v>
      </c>
      <c r="R1225" s="29">
        <v>82.532751099999999</v>
      </c>
      <c r="S1225" s="29">
        <v>38.755458500000003</v>
      </c>
      <c r="T1225" s="29">
        <v>43.777292600000003</v>
      </c>
      <c r="U1225" s="29">
        <v>17.467248900000001</v>
      </c>
      <c r="V1225" s="29">
        <v>94.435075900000001</v>
      </c>
      <c r="W1225" s="29">
        <v>70.320404699999997</v>
      </c>
      <c r="X1225" s="29">
        <v>24.1146712</v>
      </c>
      <c r="Y1225" s="29">
        <v>5.5649240999999998</v>
      </c>
    </row>
    <row r="1226" spans="2:25" ht="15" hidden="1" customHeight="1">
      <c r="B1226" s="25">
        <v>1221</v>
      </c>
      <c r="C1226" s="26" t="s">
        <v>21</v>
      </c>
      <c r="D1226" s="26" t="s">
        <v>334</v>
      </c>
      <c r="E1226" s="26" t="s">
        <v>393</v>
      </c>
      <c r="F1226" s="26" t="s">
        <v>395</v>
      </c>
      <c r="G1226" s="27" t="s">
        <v>16</v>
      </c>
      <c r="H1226" s="28">
        <v>867</v>
      </c>
      <c r="I1226" s="28">
        <v>389</v>
      </c>
      <c r="J1226" s="28">
        <v>281</v>
      </c>
      <c r="K1226" s="28">
        <v>108</v>
      </c>
      <c r="L1226" s="28">
        <v>478</v>
      </c>
      <c r="M1226" s="28">
        <v>803</v>
      </c>
      <c r="N1226" s="28">
        <v>541</v>
      </c>
      <c r="O1226" s="28">
        <v>477</v>
      </c>
      <c r="P1226" s="28">
        <v>64</v>
      </c>
      <c r="Q1226" s="28">
        <v>262</v>
      </c>
      <c r="R1226" s="29">
        <v>44.867358699999997</v>
      </c>
      <c r="S1226" s="29">
        <v>32.410611299999999</v>
      </c>
      <c r="T1226" s="29">
        <v>12.456747399999999</v>
      </c>
      <c r="U1226" s="29">
        <v>55.132641300000003</v>
      </c>
      <c r="V1226" s="29">
        <v>67.372353700000005</v>
      </c>
      <c r="W1226" s="29">
        <v>59.402241600000004</v>
      </c>
      <c r="X1226" s="29">
        <v>7.9701120999999997</v>
      </c>
      <c r="Y1226" s="29">
        <v>32.627646300000002</v>
      </c>
    </row>
    <row r="1227" spans="2:25" ht="15" hidden="1" customHeight="1">
      <c r="B1227" s="21">
        <v>1222</v>
      </c>
      <c r="C1227" s="22" t="s">
        <v>19</v>
      </c>
      <c r="D1227" s="35" t="s">
        <v>334</v>
      </c>
      <c r="E1227" s="35" t="s">
        <v>396</v>
      </c>
      <c r="F1227" s="35"/>
      <c r="G1227" s="22" t="s">
        <v>396</v>
      </c>
      <c r="H1227" s="23">
        <v>9927</v>
      </c>
      <c r="I1227" s="23">
        <v>8841</v>
      </c>
      <c r="J1227" s="23">
        <v>4879</v>
      </c>
      <c r="K1227" s="23">
        <v>3962</v>
      </c>
      <c r="L1227" s="23">
        <v>1086</v>
      </c>
      <c r="M1227" s="23">
        <v>12246</v>
      </c>
      <c r="N1227" s="23">
        <v>11337</v>
      </c>
      <c r="O1227" s="23">
        <v>9716</v>
      </c>
      <c r="P1227" s="23">
        <v>1621</v>
      </c>
      <c r="Q1227" s="23">
        <v>909</v>
      </c>
      <c r="R1227" s="24">
        <v>89.060139000000007</v>
      </c>
      <c r="S1227" s="24">
        <v>49.148786100000002</v>
      </c>
      <c r="T1227" s="24">
        <v>39.911352899999997</v>
      </c>
      <c r="U1227" s="24">
        <v>10.939861000000001</v>
      </c>
      <c r="V1227" s="24">
        <v>92.577168099999994</v>
      </c>
      <c r="W1227" s="24">
        <v>79.340192700000003</v>
      </c>
      <c r="X1227" s="24">
        <v>13.236975299999999</v>
      </c>
      <c r="Y1227" s="24">
        <v>7.4228319000000003</v>
      </c>
    </row>
    <row r="1228" spans="2:25" ht="15" hidden="1" customHeight="1">
      <c r="B1228" s="25">
        <v>1223</v>
      </c>
      <c r="C1228" s="26" t="s">
        <v>19</v>
      </c>
      <c r="D1228" s="26" t="s">
        <v>334</v>
      </c>
      <c r="E1228" s="26" t="s">
        <v>396</v>
      </c>
      <c r="F1228" s="26"/>
      <c r="G1228" s="27" t="s">
        <v>15</v>
      </c>
      <c r="H1228" s="28">
        <v>8064</v>
      </c>
      <c r="I1228" s="28">
        <v>7510</v>
      </c>
      <c r="J1228" s="28">
        <v>4181</v>
      </c>
      <c r="K1228" s="28">
        <v>3329</v>
      </c>
      <c r="L1228" s="28">
        <v>554</v>
      </c>
      <c r="M1228" s="28">
        <v>9184</v>
      </c>
      <c r="N1228" s="28">
        <v>8871</v>
      </c>
      <c r="O1228" s="28">
        <v>7457</v>
      </c>
      <c r="P1228" s="28">
        <v>1414</v>
      </c>
      <c r="Q1228" s="28">
        <v>313</v>
      </c>
      <c r="R1228" s="29">
        <v>93.129960299999993</v>
      </c>
      <c r="S1228" s="29">
        <v>51.847718299999997</v>
      </c>
      <c r="T1228" s="29">
        <v>41.282242099999998</v>
      </c>
      <c r="U1228" s="29">
        <v>6.8700397000000004</v>
      </c>
      <c r="V1228" s="29">
        <v>96.591898999999998</v>
      </c>
      <c r="W1228" s="29">
        <v>81.195557500000007</v>
      </c>
      <c r="X1228" s="29">
        <v>15.3963415</v>
      </c>
      <c r="Y1228" s="29">
        <v>3.4081009999999998</v>
      </c>
    </row>
    <row r="1229" spans="2:25" ht="15" hidden="1" customHeight="1">
      <c r="B1229" s="25">
        <v>1224</v>
      </c>
      <c r="C1229" s="26" t="s">
        <v>19</v>
      </c>
      <c r="D1229" s="26" t="s">
        <v>334</v>
      </c>
      <c r="E1229" s="26" t="s">
        <v>396</v>
      </c>
      <c r="F1229" s="26"/>
      <c r="G1229" s="27" t="s">
        <v>16</v>
      </c>
      <c r="H1229" s="28">
        <v>1863</v>
      </c>
      <c r="I1229" s="28">
        <v>1331</v>
      </c>
      <c r="J1229" s="28">
        <v>698</v>
      </c>
      <c r="K1229" s="28">
        <v>633</v>
      </c>
      <c r="L1229" s="28">
        <v>532</v>
      </c>
      <c r="M1229" s="28">
        <v>3062</v>
      </c>
      <c r="N1229" s="28">
        <v>2466</v>
      </c>
      <c r="O1229" s="28">
        <v>2259</v>
      </c>
      <c r="P1229" s="28">
        <v>207</v>
      </c>
      <c r="Q1229" s="28">
        <v>596</v>
      </c>
      <c r="R1229" s="29">
        <v>71.443907699999997</v>
      </c>
      <c r="S1229" s="29">
        <v>37.466451999999997</v>
      </c>
      <c r="T1229" s="29">
        <v>33.9774557</v>
      </c>
      <c r="U1229" s="29">
        <v>28.5560923</v>
      </c>
      <c r="V1229" s="29">
        <v>80.535597600000003</v>
      </c>
      <c r="W1229" s="29">
        <v>73.775310300000001</v>
      </c>
      <c r="X1229" s="29">
        <v>6.7602874000000002</v>
      </c>
      <c r="Y1229" s="29">
        <v>19.464402400000001</v>
      </c>
    </row>
    <row r="1230" spans="2:25" ht="15" customHeight="1">
      <c r="B1230" s="30">
        <v>1225</v>
      </c>
      <c r="C1230" s="31" t="s">
        <v>21</v>
      </c>
      <c r="D1230" s="36" t="s">
        <v>334</v>
      </c>
      <c r="E1230" s="36" t="s">
        <v>396</v>
      </c>
      <c r="F1230" s="36" t="s">
        <v>397</v>
      </c>
      <c r="G1230" s="37" t="s">
        <v>397</v>
      </c>
      <c r="H1230" s="32">
        <v>4554</v>
      </c>
      <c r="I1230" s="32">
        <v>4015</v>
      </c>
      <c r="J1230" s="32">
        <v>2297</v>
      </c>
      <c r="K1230" s="32">
        <v>1718</v>
      </c>
      <c r="L1230" s="32">
        <v>539</v>
      </c>
      <c r="M1230" s="32">
        <v>4859</v>
      </c>
      <c r="N1230" s="32">
        <v>4521</v>
      </c>
      <c r="O1230" s="32">
        <v>4000</v>
      </c>
      <c r="P1230" s="32">
        <v>521</v>
      </c>
      <c r="Q1230" s="32">
        <v>338</v>
      </c>
      <c r="R1230" s="33">
        <v>88.164251199999995</v>
      </c>
      <c r="S1230" s="33">
        <v>50.439174399999999</v>
      </c>
      <c r="T1230" s="33">
        <v>37.725076899999998</v>
      </c>
      <c r="U1230" s="33">
        <v>11.835748799999999</v>
      </c>
      <c r="V1230" s="33">
        <v>93.043836200000001</v>
      </c>
      <c r="W1230" s="33">
        <v>82.3214653</v>
      </c>
      <c r="X1230" s="33">
        <v>10.7223709</v>
      </c>
      <c r="Y1230" s="33">
        <v>6.9561637999999997</v>
      </c>
    </row>
    <row r="1231" spans="2:25" ht="15" hidden="1" customHeight="1">
      <c r="B1231" s="25">
        <v>1226</v>
      </c>
      <c r="C1231" s="26" t="s">
        <v>21</v>
      </c>
      <c r="D1231" s="26" t="s">
        <v>334</v>
      </c>
      <c r="E1231" s="26" t="s">
        <v>396</v>
      </c>
      <c r="F1231" s="26" t="s">
        <v>397</v>
      </c>
      <c r="G1231" s="27" t="s">
        <v>15</v>
      </c>
      <c r="H1231" s="28">
        <v>3590</v>
      </c>
      <c r="I1231" s="28">
        <v>3336</v>
      </c>
      <c r="J1231" s="28">
        <v>1922</v>
      </c>
      <c r="K1231" s="28">
        <v>1414</v>
      </c>
      <c r="L1231" s="28">
        <v>254</v>
      </c>
      <c r="M1231" s="28">
        <v>3361</v>
      </c>
      <c r="N1231" s="28">
        <v>3228</v>
      </c>
      <c r="O1231" s="28">
        <v>2848</v>
      </c>
      <c r="P1231" s="28">
        <v>380</v>
      </c>
      <c r="Q1231" s="28">
        <v>133</v>
      </c>
      <c r="R1231" s="29">
        <v>92.924791099999993</v>
      </c>
      <c r="S1231" s="29">
        <v>53.5376045</v>
      </c>
      <c r="T1231" s="29">
        <v>39.3871866</v>
      </c>
      <c r="U1231" s="29">
        <v>7.0752088999999998</v>
      </c>
      <c r="V1231" s="29">
        <v>96.042844400000007</v>
      </c>
      <c r="W1231" s="29">
        <v>84.736685499999993</v>
      </c>
      <c r="X1231" s="29">
        <v>11.3061589</v>
      </c>
      <c r="Y1231" s="29">
        <v>3.9571556000000001</v>
      </c>
    </row>
    <row r="1232" spans="2:25" ht="15" hidden="1" customHeight="1">
      <c r="B1232" s="25">
        <v>1227</v>
      </c>
      <c r="C1232" s="26" t="s">
        <v>21</v>
      </c>
      <c r="D1232" s="26" t="s">
        <v>334</v>
      </c>
      <c r="E1232" s="26" t="s">
        <v>396</v>
      </c>
      <c r="F1232" s="26" t="s">
        <v>397</v>
      </c>
      <c r="G1232" s="27" t="s">
        <v>16</v>
      </c>
      <c r="H1232" s="28">
        <v>964</v>
      </c>
      <c r="I1232" s="28">
        <v>679</v>
      </c>
      <c r="J1232" s="28">
        <v>375</v>
      </c>
      <c r="K1232" s="28">
        <v>304</v>
      </c>
      <c r="L1232" s="28">
        <v>285</v>
      </c>
      <c r="M1232" s="28">
        <v>1498</v>
      </c>
      <c r="N1232" s="28">
        <v>1293</v>
      </c>
      <c r="O1232" s="28">
        <v>1152</v>
      </c>
      <c r="P1232" s="28">
        <v>141</v>
      </c>
      <c r="Q1232" s="28">
        <v>205</v>
      </c>
      <c r="R1232" s="29">
        <v>70.435684600000002</v>
      </c>
      <c r="S1232" s="29">
        <v>38.900414900000001</v>
      </c>
      <c r="T1232" s="29">
        <v>31.535269700000001</v>
      </c>
      <c r="U1232" s="29">
        <v>29.564315400000002</v>
      </c>
      <c r="V1232" s="29">
        <v>86.315086800000003</v>
      </c>
      <c r="W1232" s="29">
        <v>76.902536699999999</v>
      </c>
      <c r="X1232" s="29">
        <v>9.4125501000000007</v>
      </c>
      <c r="Y1232" s="29">
        <v>13.6849132</v>
      </c>
    </row>
    <row r="1233" spans="2:25" ht="15" customHeight="1">
      <c r="B1233" s="30">
        <v>1228</v>
      </c>
      <c r="C1233" s="31" t="s">
        <v>21</v>
      </c>
      <c r="D1233" s="36" t="s">
        <v>334</v>
      </c>
      <c r="E1233" s="36" t="s">
        <v>396</v>
      </c>
      <c r="F1233" s="36" t="s">
        <v>398</v>
      </c>
      <c r="G1233" s="37" t="s">
        <v>398</v>
      </c>
      <c r="H1233" s="32">
        <v>3881</v>
      </c>
      <c r="I1233" s="32">
        <v>3583</v>
      </c>
      <c r="J1233" s="32">
        <v>1936</v>
      </c>
      <c r="K1233" s="32">
        <v>1647</v>
      </c>
      <c r="L1233" s="32">
        <v>298</v>
      </c>
      <c r="M1233" s="32">
        <v>4954</v>
      </c>
      <c r="N1233" s="32">
        <v>4802</v>
      </c>
      <c r="O1233" s="32">
        <v>3886</v>
      </c>
      <c r="P1233" s="32">
        <v>916</v>
      </c>
      <c r="Q1233" s="32">
        <v>152</v>
      </c>
      <c r="R1233" s="33">
        <v>92.321566599999997</v>
      </c>
      <c r="S1233" s="33">
        <v>49.884050500000001</v>
      </c>
      <c r="T1233" s="33">
        <v>42.437516100000003</v>
      </c>
      <c r="U1233" s="33">
        <v>7.6784334000000003</v>
      </c>
      <c r="V1233" s="33">
        <v>96.931772300000006</v>
      </c>
      <c r="W1233" s="33">
        <v>78.441663300000002</v>
      </c>
      <c r="X1233" s="33">
        <v>18.490109</v>
      </c>
      <c r="Y1233" s="33">
        <v>3.0682277</v>
      </c>
    </row>
    <row r="1234" spans="2:25" ht="15" hidden="1" customHeight="1">
      <c r="B1234" s="25">
        <v>1229</v>
      </c>
      <c r="C1234" s="26" t="s">
        <v>21</v>
      </c>
      <c r="D1234" s="26" t="s">
        <v>334</v>
      </c>
      <c r="E1234" s="26" t="s">
        <v>396</v>
      </c>
      <c r="F1234" s="26" t="s">
        <v>398</v>
      </c>
      <c r="G1234" s="27" t="s">
        <v>15</v>
      </c>
      <c r="H1234" s="28">
        <v>3817</v>
      </c>
      <c r="I1234" s="28">
        <v>3547</v>
      </c>
      <c r="J1234" s="28">
        <v>1915</v>
      </c>
      <c r="K1234" s="28">
        <v>1632</v>
      </c>
      <c r="L1234" s="28">
        <v>270</v>
      </c>
      <c r="M1234" s="28">
        <v>4821</v>
      </c>
      <c r="N1234" s="28">
        <v>4681</v>
      </c>
      <c r="O1234" s="28">
        <v>3773</v>
      </c>
      <c r="P1234" s="28">
        <v>908</v>
      </c>
      <c r="Q1234" s="28">
        <v>140</v>
      </c>
      <c r="R1234" s="29">
        <v>92.926382000000004</v>
      </c>
      <c r="S1234" s="29">
        <v>50.170290799999997</v>
      </c>
      <c r="T1234" s="29">
        <v>42.7560912</v>
      </c>
      <c r="U1234" s="29">
        <v>7.0736179999999997</v>
      </c>
      <c r="V1234" s="29">
        <v>97.096038199999995</v>
      </c>
      <c r="W1234" s="29">
        <v>78.261771400000001</v>
      </c>
      <c r="X1234" s="29">
        <v>18.834266700000001</v>
      </c>
      <c r="Y1234" s="29">
        <v>2.9039617999999998</v>
      </c>
    </row>
    <row r="1235" spans="2:25" ht="15" hidden="1" customHeight="1">
      <c r="B1235" s="25">
        <v>1230</v>
      </c>
      <c r="C1235" s="26" t="s">
        <v>21</v>
      </c>
      <c r="D1235" s="26" t="s">
        <v>334</v>
      </c>
      <c r="E1235" s="26" t="s">
        <v>396</v>
      </c>
      <c r="F1235" s="26" t="s">
        <v>398</v>
      </c>
      <c r="G1235" s="27" t="s">
        <v>16</v>
      </c>
      <c r="H1235" s="28">
        <v>64</v>
      </c>
      <c r="I1235" s="28">
        <v>36</v>
      </c>
      <c r="J1235" s="28">
        <v>21</v>
      </c>
      <c r="K1235" s="28">
        <v>15</v>
      </c>
      <c r="L1235" s="28">
        <v>28</v>
      </c>
      <c r="M1235" s="28">
        <v>133</v>
      </c>
      <c r="N1235" s="28">
        <v>121</v>
      </c>
      <c r="O1235" s="28">
        <v>113</v>
      </c>
      <c r="P1235" s="28">
        <v>8</v>
      </c>
      <c r="Q1235" s="28">
        <v>12</v>
      </c>
      <c r="R1235" s="29">
        <v>56.25</v>
      </c>
      <c r="S1235" s="29">
        <v>32.8125</v>
      </c>
      <c r="T1235" s="29">
        <v>23.4375</v>
      </c>
      <c r="U1235" s="29">
        <v>43.75</v>
      </c>
      <c r="V1235" s="29">
        <v>90.977443600000001</v>
      </c>
      <c r="W1235" s="29">
        <v>84.962406000000001</v>
      </c>
      <c r="X1235" s="29">
        <v>6.0150376000000003</v>
      </c>
      <c r="Y1235" s="29">
        <v>9.0225563999999991</v>
      </c>
    </row>
    <row r="1236" spans="2:25" ht="15" customHeight="1">
      <c r="B1236" s="30">
        <v>1231</v>
      </c>
      <c r="C1236" s="31" t="s">
        <v>21</v>
      </c>
      <c r="D1236" s="36" t="s">
        <v>334</v>
      </c>
      <c r="E1236" s="36" t="s">
        <v>396</v>
      </c>
      <c r="F1236" s="36" t="s">
        <v>399</v>
      </c>
      <c r="G1236" s="37" t="s">
        <v>399</v>
      </c>
      <c r="H1236" s="32">
        <v>1492</v>
      </c>
      <c r="I1236" s="32">
        <v>1243</v>
      </c>
      <c r="J1236" s="32">
        <v>646</v>
      </c>
      <c r="K1236" s="32">
        <v>597</v>
      </c>
      <c r="L1236" s="32">
        <v>249</v>
      </c>
      <c r="M1236" s="32">
        <v>2433</v>
      </c>
      <c r="N1236" s="32">
        <v>2014</v>
      </c>
      <c r="O1236" s="32">
        <v>1830</v>
      </c>
      <c r="P1236" s="32">
        <v>184</v>
      </c>
      <c r="Q1236" s="32">
        <v>419</v>
      </c>
      <c r="R1236" s="33">
        <v>83.310991999999999</v>
      </c>
      <c r="S1236" s="33">
        <v>43.297587100000001</v>
      </c>
      <c r="T1236" s="33">
        <v>40.013404800000004</v>
      </c>
      <c r="U1236" s="33">
        <v>16.689008000000001</v>
      </c>
      <c r="V1236" s="33">
        <v>82.7784628</v>
      </c>
      <c r="W1236" s="33">
        <v>75.215783000000002</v>
      </c>
      <c r="X1236" s="33">
        <v>7.5626797999999997</v>
      </c>
      <c r="Y1236" s="33">
        <v>17.2215372</v>
      </c>
    </row>
    <row r="1237" spans="2:25" ht="15" hidden="1" customHeight="1">
      <c r="B1237" s="25">
        <v>1232</v>
      </c>
      <c r="C1237" s="26" t="s">
        <v>21</v>
      </c>
      <c r="D1237" s="26" t="s">
        <v>334</v>
      </c>
      <c r="E1237" s="26" t="s">
        <v>396</v>
      </c>
      <c r="F1237" s="26" t="s">
        <v>399</v>
      </c>
      <c r="G1237" s="27" t="s">
        <v>15</v>
      </c>
      <c r="H1237" s="28">
        <v>657</v>
      </c>
      <c r="I1237" s="28">
        <v>627</v>
      </c>
      <c r="J1237" s="28">
        <v>344</v>
      </c>
      <c r="K1237" s="28">
        <v>283</v>
      </c>
      <c r="L1237" s="28">
        <v>30</v>
      </c>
      <c r="M1237" s="28">
        <v>1002</v>
      </c>
      <c r="N1237" s="28">
        <v>962</v>
      </c>
      <c r="O1237" s="28">
        <v>836</v>
      </c>
      <c r="P1237" s="28">
        <v>126</v>
      </c>
      <c r="Q1237" s="28">
        <v>40</v>
      </c>
      <c r="R1237" s="29">
        <v>95.433790000000002</v>
      </c>
      <c r="S1237" s="29">
        <v>52.359208500000001</v>
      </c>
      <c r="T1237" s="29">
        <v>43.0745814</v>
      </c>
      <c r="U1237" s="29">
        <v>4.5662099999999999</v>
      </c>
      <c r="V1237" s="29">
        <v>96.007983999999993</v>
      </c>
      <c r="W1237" s="29">
        <v>83.433133699999999</v>
      </c>
      <c r="X1237" s="29">
        <v>12.5748503</v>
      </c>
      <c r="Y1237" s="29">
        <v>3.992016</v>
      </c>
    </row>
    <row r="1238" spans="2:25" ht="15" hidden="1" customHeight="1">
      <c r="B1238" s="25">
        <v>1233</v>
      </c>
      <c r="C1238" s="26" t="s">
        <v>21</v>
      </c>
      <c r="D1238" s="26" t="s">
        <v>334</v>
      </c>
      <c r="E1238" s="26" t="s">
        <v>396</v>
      </c>
      <c r="F1238" s="26" t="s">
        <v>399</v>
      </c>
      <c r="G1238" s="27" t="s">
        <v>16</v>
      </c>
      <c r="H1238" s="28">
        <v>835</v>
      </c>
      <c r="I1238" s="28">
        <v>616</v>
      </c>
      <c r="J1238" s="28">
        <v>302</v>
      </c>
      <c r="K1238" s="28">
        <v>314</v>
      </c>
      <c r="L1238" s="28">
        <v>219</v>
      </c>
      <c r="M1238" s="28">
        <v>1431</v>
      </c>
      <c r="N1238" s="28">
        <v>1052</v>
      </c>
      <c r="O1238" s="28">
        <v>994</v>
      </c>
      <c r="P1238" s="28">
        <v>58</v>
      </c>
      <c r="Q1238" s="28">
        <v>379</v>
      </c>
      <c r="R1238" s="29">
        <v>73.772455100000002</v>
      </c>
      <c r="S1238" s="29">
        <v>36.167664700000003</v>
      </c>
      <c r="T1238" s="29">
        <v>37.604790399999999</v>
      </c>
      <c r="U1238" s="29">
        <v>26.227544900000002</v>
      </c>
      <c r="V1238" s="29">
        <v>73.515024499999996</v>
      </c>
      <c r="W1238" s="29">
        <v>69.461914699999994</v>
      </c>
      <c r="X1238" s="29">
        <v>4.0531097000000003</v>
      </c>
      <c r="Y1238" s="29">
        <v>26.484975500000001</v>
      </c>
    </row>
    <row r="1239" spans="2:25" ht="15" hidden="1" customHeight="1">
      <c r="B1239" s="21">
        <v>1234</v>
      </c>
      <c r="C1239" s="22" t="s">
        <v>19</v>
      </c>
      <c r="D1239" s="35" t="s">
        <v>334</v>
      </c>
      <c r="E1239" s="35" t="s">
        <v>400</v>
      </c>
      <c r="F1239" s="35"/>
      <c r="G1239" s="22" t="s">
        <v>400</v>
      </c>
      <c r="H1239" s="23">
        <v>11164</v>
      </c>
      <c r="I1239" s="23">
        <v>8468</v>
      </c>
      <c r="J1239" s="23">
        <v>4351</v>
      </c>
      <c r="K1239" s="23">
        <v>4117</v>
      </c>
      <c r="L1239" s="23">
        <v>2696</v>
      </c>
      <c r="M1239" s="23">
        <v>18897</v>
      </c>
      <c r="N1239" s="23">
        <v>14883</v>
      </c>
      <c r="O1239" s="23">
        <v>12745</v>
      </c>
      <c r="P1239" s="23">
        <v>2138</v>
      </c>
      <c r="Q1239" s="23">
        <v>4014</v>
      </c>
      <c r="R1239" s="24">
        <v>75.850949499999999</v>
      </c>
      <c r="S1239" s="24">
        <v>38.973486200000004</v>
      </c>
      <c r="T1239" s="24">
        <v>36.877463300000002</v>
      </c>
      <c r="U1239" s="24">
        <v>24.149050500000001</v>
      </c>
      <c r="V1239" s="24">
        <v>78.758533099999994</v>
      </c>
      <c r="W1239" s="24">
        <v>67.444567899999996</v>
      </c>
      <c r="X1239" s="24">
        <v>11.3139652</v>
      </c>
      <c r="Y1239" s="24">
        <v>21.241466899999999</v>
      </c>
    </row>
    <row r="1240" spans="2:25" ht="15" hidden="1" customHeight="1">
      <c r="B1240" s="25">
        <v>1235</v>
      </c>
      <c r="C1240" s="26" t="s">
        <v>19</v>
      </c>
      <c r="D1240" s="26" t="s">
        <v>334</v>
      </c>
      <c r="E1240" s="26" t="s">
        <v>400</v>
      </c>
      <c r="F1240" s="26"/>
      <c r="G1240" s="27" t="s">
        <v>15</v>
      </c>
      <c r="H1240" s="28">
        <v>6119</v>
      </c>
      <c r="I1240" s="28">
        <v>5532</v>
      </c>
      <c r="J1240" s="28">
        <v>2654</v>
      </c>
      <c r="K1240" s="28">
        <v>2878</v>
      </c>
      <c r="L1240" s="28">
        <v>587</v>
      </c>
      <c r="M1240" s="28">
        <v>8236</v>
      </c>
      <c r="N1240" s="28">
        <v>7803</v>
      </c>
      <c r="O1240" s="28">
        <v>6485</v>
      </c>
      <c r="P1240" s="28">
        <v>1318</v>
      </c>
      <c r="Q1240" s="28">
        <v>433</v>
      </c>
      <c r="R1240" s="29">
        <v>90.406929199999993</v>
      </c>
      <c r="S1240" s="29">
        <v>43.373100200000003</v>
      </c>
      <c r="T1240" s="29">
        <v>47.033829099999998</v>
      </c>
      <c r="U1240" s="29">
        <v>9.5930707999999996</v>
      </c>
      <c r="V1240" s="29">
        <v>94.742593499999998</v>
      </c>
      <c r="W1240" s="29">
        <v>78.739679499999994</v>
      </c>
      <c r="X1240" s="29">
        <v>16.002914000000001</v>
      </c>
      <c r="Y1240" s="29">
        <v>5.2574065000000001</v>
      </c>
    </row>
    <row r="1241" spans="2:25" ht="15" hidden="1" customHeight="1">
      <c r="B1241" s="25">
        <v>1236</v>
      </c>
      <c r="C1241" s="26" t="s">
        <v>19</v>
      </c>
      <c r="D1241" s="26" t="s">
        <v>334</v>
      </c>
      <c r="E1241" s="26" t="s">
        <v>400</v>
      </c>
      <c r="F1241" s="26"/>
      <c r="G1241" s="27" t="s">
        <v>16</v>
      </c>
      <c r="H1241" s="28">
        <v>5045</v>
      </c>
      <c r="I1241" s="28">
        <v>2936</v>
      </c>
      <c r="J1241" s="28">
        <v>1697</v>
      </c>
      <c r="K1241" s="28">
        <v>1239</v>
      </c>
      <c r="L1241" s="28">
        <v>2109</v>
      </c>
      <c r="M1241" s="28">
        <v>10661</v>
      </c>
      <c r="N1241" s="28">
        <v>7080</v>
      </c>
      <c r="O1241" s="28">
        <v>6260</v>
      </c>
      <c r="P1241" s="28">
        <v>820</v>
      </c>
      <c r="Q1241" s="28">
        <v>3581</v>
      </c>
      <c r="R1241" s="29">
        <v>58.196233900000003</v>
      </c>
      <c r="S1241" s="29">
        <v>33.637264600000002</v>
      </c>
      <c r="T1241" s="29">
        <v>24.558969300000001</v>
      </c>
      <c r="U1241" s="29">
        <v>41.803766099999997</v>
      </c>
      <c r="V1241" s="29">
        <v>66.410280499999999</v>
      </c>
      <c r="W1241" s="29">
        <v>58.718694300000003</v>
      </c>
      <c r="X1241" s="29">
        <v>7.6915861999999997</v>
      </c>
      <c r="Y1241" s="29">
        <v>33.589719500000001</v>
      </c>
    </row>
    <row r="1242" spans="2:25" ht="15" customHeight="1">
      <c r="B1242" s="30">
        <v>1237</v>
      </c>
      <c r="C1242" s="31" t="s">
        <v>21</v>
      </c>
      <c r="D1242" s="36" t="s">
        <v>334</v>
      </c>
      <c r="E1242" s="36" t="s">
        <v>400</v>
      </c>
      <c r="F1242" s="36" t="s">
        <v>401</v>
      </c>
      <c r="G1242" s="37" t="s">
        <v>401</v>
      </c>
      <c r="H1242" s="32">
        <v>5521</v>
      </c>
      <c r="I1242" s="32">
        <v>4699</v>
      </c>
      <c r="J1242" s="32">
        <v>2213</v>
      </c>
      <c r="K1242" s="32">
        <v>2486</v>
      </c>
      <c r="L1242" s="32">
        <v>822</v>
      </c>
      <c r="M1242" s="32">
        <v>10803</v>
      </c>
      <c r="N1242" s="32">
        <v>8719</v>
      </c>
      <c r="O1242" s="32">
        <v>7385</v>
      </c>
      <c r="P1242" s="32">
        <v>1334</v>
      </c>
      <c r="Q1242" s="32">
        <v>2084</v>
      </c>
      <c r="R1242" s="33">
        <v>85.111392899999998</v>
      </c>
      <c r="S1242" s="33">
        <v>40.083318200000001</v>
      </c>
      <c r="T1242" s="33">
        <v>45.028074599999997</v>
      </c>
      <c r="U1242" s="33">
        <v>14.8886071</v>
      </c>
      <c r="V1242" s="33">
        <v>80.709062299999999</v>
      </c>
      <c r="W1242" s="33">
        <v>68.360640599999996</v>
      </c>
      <c r="X1242" s="33">
        <v>12.348421699999999</v>
      </c>
      <c r="Y1242" s="33">
        <v>19.290937700000001</v>
      </c>
    </row>
    <row r="1243" spans="2:25" ht="15" hidden="1" customHeight="1">
      <c r="B1243" s="25">
        <v>1238</v>
      </c>
      <c r="C1243" s="26" t="s">
        <v>21</v>
      </c>
      <c r="D1243" s="26" t="s">
        <v>334</v>
      </c>
      <c r="E1243" s="26" t="s">
        <v>400</v>
      </c>
      <c r="F1243" s="26" t="s">
        <v>401</v>
      </c>
      <c r="G1243" s="27" t="s">
        <v>15</v>
      </c>
      <c r="H1243" s="28">
        <v>4016</v>
      </c>
      <c r="I1243" s="28">
        <v>3681</v>
      </c>
      <c r="J1243" s="28">
        <v>1657</v>
      </c>
      <c r="K1243" s="28">
        <v>2024</v>
      </c>
      <c r="L1243" s="28">
        <v>335</v>
      </c>
      <c r="M1243" s="28">
        <v>6193</v>
      </c>
      <c r="N1243" s="28">
        <v>5874</v>
      </c>
      <c r="O1243" s="28">
        <v>4811</v>
      </c>
      <c r="P1243" s="28">
        <v>1063</v>
      </c>
      <c r="Q1243" s="28">
        <v>319</v>
      </c>
      <c r="R1243" s="29">
        <v>91.6583665</v>
      </c>
      <c r="S1243" s="29">
        <v>41.259960200000002</v>
      </c>
      <c r="T1243" s="29">
        <v>50.398406399999999</v>
      </c>
      <c r="U1243" s="29">
        <v>8.3416335000000004</v>
      </c>
      <c r="V1243" s="29">
        <v>94.849023099999997</v>
      </c>
      <c r="W1243" s="29">
        <v>77.684482500000001</v>
      </c>
      <c r="X1243" s="29">
        <v>17.164540599999999</v>
      </c>
      <c r="Y1243" s="29">
        <v>5.1509768999999999</v>
      </c>
    </row>
    <row r="1244" spans="2:25" ht="15" hidden="1" customHeight="1">
      <c r="B1244" s="25">
        <v>1239</v>
      </c>
      <c r="C1244" s="26" t="s">
        <v>21</v>
      </c>
      <c r="D1244" s="26" t="s">
        <v>334</v>
      </c>
      <c r="E1244" s="26" t="s">
        <v>400</v>
      </c>
      <c r="F1244" s="26" t="s">
        <v>401</v>
      </c>
      <c r="G1244" s="27" t="s">
        <v>16</v>
      </c>
      <c r="H1244" s="28">
        <v>1505</v>
      </c>
      <c r="I1244" s="28">
        <v>1018</v>
      </c>
      <c r="J1244" s="28">
        <v>556</v>
      </c>
      <c r="K1244" s="28">
        <v>462</v>
      </c>
      <c r="L1244" s="28">
        <v>487</v>
      </c>
      <c r="M1244" s="28">
        <v>4610</v>
      </c>
      <c r="N1244" s="28">
        <v>2845</v>
      </c>
      <c r="O1244" s="28">
        <v>2574</v>
      </c>
      <c r="P1244" s="28">
        <v>271</v>
      </c>
      <c r="Q1244" s="28">
        <v>1765</v>
      </c>
      <c r="R1244" s="29">
        <v>67.641195999999994</v>
      </c>
      <c r="S1244" s="29">
        <v>36.943521599999997</v>
      </c>
      <c r="T1244" s="29">
        <v>30.6976744</v>
      </c>
      <c r="U1244" s="29">
        <v>32.358803999999999</v>
      </c>
      <c r="V1244" s="29">
        <v>61.713665900000002</v>
      </c>
      <c r="W1244" s="29">
        <v>55.835141</v>
      </c>
      <c r="X1244" s="29">
        <v>5.8785249000000004</v>
      </c>
      <c r="Y1244" s="29">
        <v>38.286334099999998</v>
      </c>
    </row>
    <row r="1245" spans="2:25" ht="15" customHeight="1">
      <c r="B1245" s="30">
        <v>1240</v>
      </c>
      <c r="C1245" s="31" t="s">
        <v>21</v>
      </c>
      <c r="D1245" s="36" t="s">
        <v>334</v>
      </c>
      <c r="E1245" s="36" t="s">
        <v>400</v>
      </c>
      <c r="F1245" s="36" t="s">
        <v>402</v>
      </c>
      <c r="G1245" s="37" t="s">
        <v>402</v>
      </c>
      <c r="H1245" s="32">
        <v>1182</v>
      </c>
      <c r="I1245" s="32">
        <v>1065</v>
      </c>
      <c r="J1245" s="32">
        <v>630</v>
      </c>
      <c r="K1245" s="32">
        <v>435</v>
      </c>
      <c r="L1245" s="32">
        <v>117</v>
      </c>
      <c r="M1245" s="32">
        <v>1640</v>
      </c>
      <c r="N1245" s="32">
        <v>1429</v>
      </c>
      <c r="O1245" s="32">
        <v>1246</v>
      </c>
      <c r="P1245" s="32">
        <v>183</v>
      </c>
      <c r="Q1245" s="32">
        <v>211</v>
      </c>
      <c r="R1245" s="33">
        <v>90.101522799999998</v>
      </c>
      <c r="S1245" s="33">
        <v>53.299492399999998</v>
      </c>
      <c r="T1245" s="33">
        <v>36.802030500000001</v>
      </c>
      <c r="U1245" s="33">
        <v>9.8984772000000003</v>
      </c>
      <c r="V1245" s="33">
        <v>87.134146299999998</v>
      </c>
      <c r="W1245" s="33">
        <v>75.975609800000001</v>
      </c>
      <c r="X1245" s="33">
        <v>11.1585366</v>
      </c>
      <c r="Y1245" s="33">
        <v>12.865853700000001</v>
      </c>
    </row>
    <row r="1246" spans="2:25" ht="15" hidden="1" customHeight="1">
      <c r="B1246" s="25">
        <v>1241</v>
      </c>
      <c r="C1246" s="26" t="s">
        <v>21</v>
      </c>
      <c r="D1246" s="26" t="s">
        <v>334</v>
      </c>
      <c r="E1246" s="26" t="s">
        <v>400</v>
      </c>
      <c r="F1246" s="26" t="s">
        <v>402</v>
      </c>
      <c r="G1246" s="27" t="s">
        <v>15</v>
      </c>
      <c r="H1246" s="28">
        <v>1053</v>
      </c>
      <c r="I1246" s="28">
        <v>981</v>
      </c>
      <c r="J1246" s="28">
        <v>587</v>
      </c>
      <c r="K1246" s="28">
        <v>394</v>
      </c>
      <c r="L1246" s="28">
        <v>72</v>
      </c>
      <c r="M1246" s="28">
        <v>1265</v>
      </c>
      <c r="N1246" s="28">
        <v>1204</v>
      </c>
      <c r="O1246" s="28">
        <v>1088</v>
      </c>
      <c r="P1246" s="28">
        <v>116</v>
      </c>
      <c r="Q1246" s="28">
        <v>61</v>
      </c>
      <c r="R1246" s="29">
        <v>93.162393199999997</v>
      </c>
      <c r="S1246" s="29">
        <v>55.7454891</v>
      </c>
      <c r="T1246" s="29">
        <v>37.416904099999996</v>
      </c>
      <c r="U1246" s="29">
        <v>6.8376067999999997</v>
      </c>
      <c r="V1246" s="29">
        <v>95.177865600000004</v>
      </c>
      <c r="W1246" s="29">
        <v>86.007905100000002</v>
      </c>
      <c r="X1246" s="29">
        <v>9.1699605000000002</v>
      </c>
      <c r="Y1246" s="29">
        <v>4.8221344000000004</v>
      </c>
    </row>
    <row r="1247" spans="2:25" ht="15" hidden="1" customHeight="1">
      <c r="B1247" s="25">
        <v>1242</v>
      </c>
      <c r="C1247" s="26" t="s">
        <v>21</v>
      </c>
      <c r="D1247" s="26" t="s">
        <v>334</v>
      </c>
      <c r="E1247" s="26" t="s">
        <v>400</v>
      </c>
      <c r="F1247" s="26" t="s">
        <v>402</v>
      </c>
      <c r="G1247" s="27" t="s">
        <v>16</v>
      </c>
      <c r="H1247" s="28">
        <v>129</v>
      </c>
      <c r="I1247" s="28">
        <v>84</v>
      </c>
      <c r="J1247" s="28">
        <v>43</v>
      </c>
      <c r="K1247" s="28">
        <v>41</v>
      </c>
      <c r="L1247" s="28">
        <v>45</v>
      </c>
      <c r="M1247" s="28">
        <v>375</v>
      </c>
      <c r="N1247" s="28">
        <v>225</v>
      </c>
      <c r="O1247" s="28">
        <v>158</v>
      </c>
      <c r="P1247" s="28">
        <v>67</v>
      </c>
      <c r="Q1247" s="28">
        <v>150</v>
      </c>
      <c r="R1247" s="29">
        <v>65.1162791</v>
      </c>
      <c r="S1247" s="29">
        <v>33.3333333</v>
      </c>
      <c r="T1247" s="29">
        <v>31.782945699999999</v>
      </c>
      <c r="U1247" s="29">
        <v>34.8837209</v>
      </c>
      <c r="V1247" s="29">
        <v>60</v>
      </c>
      <c r="W1247" s="29">
        <v>42.133333299999997</v>
      </c>
      <c r="X1247" s="29">
        <v>17.8666667</v>
      </c>
      <c r="Y1247" s="29">
        <v>40</v>
      </c>
    </row>
    <row r="1248" spans="2:25" ht="15" customHeight="1">
      <c r="B1248" s="30">
        <v>1243</v>
      </c>
      <c r="C1248" s="31" t="s">
        <v>21</v>
      </c>
      <c r="D1248" s="36" t="s">
        <v>334</v>
      </c>
      <c r="E1248" s="36" t="s">
        <v>400</v>
      </c>
      <c r="F1248" s="36" t="s">
        <v>332</v>
      </c>
      <c r="G1248" s="37" t="s">
        <v>332</v>
      </c>
      <c r="H1248" s="32">
        <v>4461</v>
      </c>
      <c r="I1248" s="32">
        <v>2704</v>
      </c>
      <c r="J1248" s="32">
        <v>1508</v>
      </c>
      <c r="K1248" s="32">
        <v>1196</v>
      </c>
      <c r="L1248" s="32">
        <v>1757</v>
      </c>
      <c r="M1248" s="32">
        <v>6454</v>
      </c>
      <c r="N1248" s="32">
        <v>4735</v>
      </c>
      <c r="O1248" s="32">
        <v>4114</v>
      </c>
      <c r="P1248" s="32">
        <v>621</v>
      </c>
      <c r="Q1248" s="32">
        <v>1719</v>
      </c>
      <c r="R1248" s="33">
        <v>60.614212100000003</v>
      </c>
      <c r="S1248" s="33">
        <v>33.804079799999997</v>
      </c>
      <c r="T1248" s="33">
        <v>26.810132299999999</v>
      </c>
      <c r="U1248" s="33">
        <v>39.385787899999997</v>
      </c>
      <c r="V1248" s="33">
        <v>73.365354800000006</v>
      </c>
      <c r="W1248" s="33">
        <v>63.743414899999998</v>
      </c>
      <c r="X1248" s="33">
        <v>9.6219398999999992</v>
      </c>
      <c r="Y1248" s="33">
        <v>26.634645200000001</v>
      </c>
    </row>
    <row r="1249" spans="2:25" ht="15" hidden="1" customHeight="1">
      <c r="B1249" s="25">
        <v>1244</v>
      </c>
      <c r="C1249" s="26" t="s">
        <v>21</v>
      </c>
      <c r="D1249" s="26" t="s">
        <v>334</v>
      </c>
      <c r="E1249" s="26" t="s">
        <v>400</v>
      </c>
      <c r="F1249" s="26" t="s">
        <v>332</v>
      </c>
      <c r="G1249" s="27" t="s">
        <v>15</v>
      </c>
      <c r="H1249" s="28">
        <v>1050</v>
      </c>
      <c r="I1249" s="28">
        <v>870</v>
      </c>
      <c r="J1249" s="28">
        <v>410</v>
      </c>
      <c r="K1249" s="28">
        <v>460</v>
      </c>
      <c r="L1249" s="28">
        <v>180</v>
      </c>
      <c r="M1249" s="28">
        <v>778</v>
      </c>
      <c r="N1249" s="28">
        <v>725</v>
      </c>
      <c r="O1249" s="28">
        <v>586</v>
      </c>
      <c r="P1249" s="28">
        <v>139</v>
      </c>
      <c r="Q1249" s="28">
        <v>53</v>
      </c>
      <c r="R1249" s="29">
        <v>82.857142899999999</v>
      </c>
      <c r="S1249" s="29">
        <v>39.047618999999997</v>
      </c>
      <c r="T1249" s="29">
        <v>43.809523800000001</v>
      </c>
      <c r="U1249" s="29">
        <v>17.142857100000001</v>
      </c>
      <c r="V1249" s="29">
        <v>93.187660699999995</v>
      </c>
      <c r="W1249" s="29">
        <v>75.321336799999997</v>
      </c>
      <c r="X1249" s="29">
        <v>17.866323900000001</v>
      </c>
      <c r="Y1249" s="29">
        <v>6.8123392999999997</v>
      </c>
    </row>
    <row r="1250" spans="2:25" ht="15" hidden="1" customHeight="1">
      <c r="B1250" s="25">
        <v>1245</v>
      </c>
      <c r="C1250" s="26" t="s">
        <v>21</v>
      </c>
      <c r="D1250" s="26" t="s">
        <v>334</v>
      </c>
      <c r="E1250" s="26" t="s">
        <v>400</v>
      </c>
      <c r="F1250" s="26" t="s">
        <v>332</v>
      </c>
      <c r="G1250" s="27" t="s">
        <v>16</v>
      </c>
      <c r="H1250" s="28">
        <v>3411</v>
      </c>
      <c r="I1250" s="28">
        <v>1834</v>
      </c>
      <c r="J1250" s="28">
        <v>1098</v>
      </c>
      <c r="K1250" s="28">
        <v>736</v>
      </c>
      <c r="L1250" s="28">
        <v>1577</v>
      </c>
      <c r="M1250" s="28">
        <v>5676</v>
      </c>
      <c r="N1250" s="28">
        <v>4010</v>
      </c>
      <c r="O1250" s="28">
        <v>3528</v>
      </c>
      <c r="P1250" s="28">
        <v>482</v>
      </c>
      <c r="Q1250" s="28">
        <v>1666</v>
      </c>
      <c r="R1250" s="29">
        <v>53.767223700000002</v>
      </c>
      <c r="S1250" s="29">
        <v>32.189973600000002</v>
      </c>
      <c r="T1250" s="29">
        <v>21.577250100000001</v>
      </c>
      <c r="U1250" s="29">
        <v>46.232776299999998</v>
      </c>
      <c r="V1250" s="29">
        <v>70.6483439</v>
      </c>
      <c r="W1250" s="29">
        <v>62.1564482</v>
      </c>
      <c r="X1250" s="29">
        <v>8.4918957000000006</v>
      </c>
      <c r="Y1250" s="29">
        <v>29.3516561</v>
      </c>
    </row>
    <row r="1251" spans="2:25" ht="15" hidden="1" customHeight="1">
      <c r="B1251" s="13">
        <v>1246</v>
      </c>
      <c r="C1251" s="14" t="s">
        <v>17</v>
      </c>
      <c r="D1251" s="14" t="s">
        <v>403</v>
      </c>
      <c r="E1251" s="14"/>
      <c r="F1251" s="14"/>
      <c r="G1251" s="14" t="s">
        <v>403</v>
      </c>
      <c r="H1251" s="15">
        <v>93890</v>
      </c>
      <c r="I1251" s="15">
        <v>80752</v>
      </c>
      <c r="J1251" s="15">
        <v>38944</v>
      </c>
      <c r="K1251" s="15">
        <v>41808</v>
      </c>
      <c r="L1251" s="15">
        <v>13138</v>
      </c>
      <c r="M1251" s="15">
        <v>126668</v>
      </c>
      <c r="N1251" s="15">
        <v>113980</v>
      </c>
      <c r="O1251" s="15">
        <v>97950</v>
      </c>
      <c r="P1251" s="15">
        <v>16030</v>
      </c>
      <c r="Q1251" s="15">
        <v>12688</v>
      </c>
      <c r="R1251" s="16">
        <v>86.007029500000002</v>
      </c>
      <c r="S1251" s="16">
        <v>41.478325699999999</v>
      </c>
      <c r="T1251" s="16">
        <v>44.528703800000002</v>
      </c>
      <c r="U1251" s="16">
        <v>13.9929705</v>
      </c>
      <c r="V1251" s="16">
        <v>89.983263300000004</v>
      </c>
      <c r="W1251" s="16">
        <v>77.328133399999999</v>
      </c>
      <c r="X1251" s="16">
        <v>12.6551299</v>
      </c>
      <c r="Y1251" s="16">
        <v>10.016736699999999</v>
      </c>
    </row>
    <row r="1252" spans="2:25" ht="15" hidden="1" customHeight="1">
      <c r="B1252" s="17">
        <v>1247</v>
      </c>
      <c r="C1252" s="18" t="s">
        <v>17</v>
      </c>
      <c r="D1252" s="34" t="s">
        <v>403</v>
      </c>
      <c r="E1252" s="34"/>
      <c r="F1252" s="34"/>
      <c r="G1252" s="18" t="s">
        <v>15</v>
      </c>
      <c r="H1252" s="19">
        <v>68598</v>
      </c>
      <c r="I1252" s="19">
        <v>63322</v>
      </c>
      <c r="J1252" s="19">
        <v>31641</v>
      </c>
      <c r="K1252" s="19">
        <v>31681</v>
      </c>
      <c r="L1252" s="19">
        <v>5276</v>
      </c>
      <c r="M1252" s="19">
        <v>89529</v>
      </c>
      <c r="N1252" s="19">
        <v>85648</v>
      </c>
      <c r="O1252" s="19">
        <v>72851</v>
      </c>
      <c r="P1252" s="19">
        <v>12797</v>
      </c>
      <c r="Q1252" s="19">
        <v>3881</v>
      </c>
      <c r="R1252" s="20">
        <v>92.308813700000002</v>
      </c>
      <c r="S1252" s="20">
        <v>46.125251499999997</v>
      </c>
      <c r="T1252" s="20">
        <v>46.183562199999997</v>
      </c>
      <c r="U1252" s="20">
        <v>7.6911863</v>
      </c>
      <c r="V1252" s="20">
        <v>95.665091799999999</v>
      </c>
      <c r="W1252" s="20">
        <v>81.371399199999999</v>
      </c>
      <c r="X1252" s="20">
        <v>14.293692500000001</v>
      </c>
      <c r="Y1252" s="20">
        <v>4.3349082000000001</v>
      </c>
    </row>
    <row r="1253" spans="2:25" ht="15" hidden="1" customHeight="1">
      <c r="B1253" s="17">
        <v>1248</v>
      </c>
      <c r="C1253" s="18" t="s">
        <v>17</v>
      </c>
      <c r="D1253" s="34" t="s">
        <v>403</v>
      </c>
      <c r="E1253" s="34"/>
      <c r="F1253" s="34"/>
      <c r="G1253" s="18" t="s">
        <v>16</v>
      </c>
      <c r="H1253" s="19">
        <v>25292</v>
      </c>
      <c r="I1253" s="19">
        <v>17430</v>
      </c>
      <c r="J1253" s="19">
        <v>7303</v>
      </c>
      <c r="K1253" s="19">
        <v>10127</v>
      </c>
      <c r="L1253" s="19">
        <v>7862</v>
      </c>
      <c r="M1253" s="19">
        <v>37139</v>
      </c>
      <c r="N1253" s="19">
        <v>28332</v>
      </c>
      <c r="O1253" s="19">
        <v>25099</v>
      </c>
      <c r="P1253" s="19">
        <v>3233</v>
      </c>
      <c r="Q1253" s="19">
        <v>8807</v>
      </c>
      <c r="R1253" s="20">
        <v>68.915071999999995</v>
      </c>
      <c r="S1253" s="20">
        <v>28.874742999999999</v>
      </c>
      <c r="T1253" s="20">
        <v>40.040329</v>
      </c>
      <c r="U1253" s="20">
        <v>31.084928000000001</v>
      </c>
      <c r="V1253" s="20">
        <v>76.286383599999994</v>
      </c>
      <c r="W1253" s="20">
        <v>67.581248799999997</v>
      </c>
      <c r="X1253" s="20">
        <v>8.7051347999999997</v>
      </c>
      <c r="Y1253" s="20">
        <v>23.713616399999999</v>
      </c>
    </row>
    <row r="1254" spans="2:25" ht="15" hidden="1" customHeight="1">
      <c r="B1254" s="21">
        <v>1249</v>
      </c>
      <c r="C1254" s="22" t="s">
        <v>19</v>
      </c>
      <c r="D1254" s="35" t="s">
        <v>403</v>
      </c>
      <c r="E1254" s="35" t="s">
        <v>163</v>
      </c>
      <c r="F1254" s="35"/>
      <c r="G1254" s="22" t="s">
        <v>163</v>
      </c>
      <c r="H1254" s="23">
        <v>25954</v>
      </c>
      <c r="I1254" s="23">
        <v>23506</v>
      </c>
      <c r="J1254" s="23">
        <v>11540</v>
      </c>
      <c r="K1254" s="23">
        <v>11966</v>
      </c>
      <c r="L1254" s="23">
        <v>2448</v>
      </c>
      <c r="M1254" s="23">
        <v>34516</v>
      </c>
      <c r="N1254" s="23">
        <v>32819</v>
      </c>
      <c r="O1254" s="23">
        <v>26905</v>
      </c>
      <c r="P1254" s="23">
        <v>5914</v>
      </c>
      <c r="Q1254" s="23">
        <v>1697</v>
      </c>
      <c r="R1254" s="24">
        <v>90.567927900000001</v>
      </c>
      <c r="S1254" s="24">
        <v>44.463281199999997</v>
      </c>
      <c r="T1254" s="24">
        <v>46.104646700000004</v>
      </c>
      <c r="U1254" s="24">
        <v>9.4320720999999992</v>
      </c>
      <c r="V1254" s="24">
        <v>95.083439600000005</v>
      </c>
      <c r="W1254" s="24">
        <v>77.949356800000004</v>
      </c>
      <c r="X1254" s="24">
        <v>17.1340827</v>
      </c>
      <c r="Y1254" s="24">
        <v>4.9165603999999998</v>
      </c>
    </row>
    <row r="1255" spans="2:25" ht="15" hidden="1" customHeight="1">
      <c r="B1255" s="25">
        <v>1250</v>
      </c>
      <c r="C1255" s="26" t="s">
        <v>19</v>
      </c>
      <c r="D1255" s="26" t="s">
        <v>403</v>
      </c>
      <c r="E1255" s="26" t="s">
        <v>163</v>
      </c>
      <c r="F1255" s="26"/>
      <c r="G1255" s="27" t="s">
        <v>15</v>
      </c>
      <c r="H1255" s="28">
        <v>23580</v>
      </c>
      <c r="I1255" s="28">
        <v>21553</v>
      </c>
      <c r="J1255" s="28">
        <v>10699</v>
      </c>
      <c r="K1255" s="28">
        <v>10854</v>
      </c>
      <c r="L1255" s="28">
        <v>2027</v>
      </c>
      <c r="M1255" s="28">
        <v>31030</v>
      </c>
      <c r="N1255" s="28">
        <v>29799</v>
      </c>
      <c r="O1255" s="28">
        <v>24185</v>
      </c>
      <c r="P1255" s="28">
        <v>5614</v>
      </c>
      <c r="Q1255" s="28">
        <v>1231</v>
      </c>
      <c r="R1255" s="29">
        <v>91.403732000000005</v>
      </c>
      <c r="S1255" s="29">
        <v>45.373197599999997</v>
      </c>
      <c r="T1255" s="29">
        <v>46.030534400000001</v>
      </c>
      <c r="U1255" s="29">
        <v>8.5962680000000002</v>
      </c>
      <c r="V1255" s="29">
        <v>96.032871400000005</v>
      </c>
      <c r="W1255" s="29">
        <v>77.9407025</v>
      </c>
      <c r="X1255" s="29">
        <v>18.092168900000001</v>
      </c>
      <c r="Y1255" s="29">
        <v>3.9671286000000001</v>
      </c>
    </row>
    <row r="1256" spans="2:25" ht="15" hidden="1" customHeight="1">
      <c r="B1256" s="25">
        <v>1251</v>
      </c>
      <c r="C1256" s="26" t="s">
        <v>19</v>
      </c>
      <c r="D1256" s="26" t="s">
        <v>403</v>
      </c>
      <c r="E1256" s="26" t="s">
        <v>163</v>
      </c>
      <c r="F1256" s="26"/>
      <c r="G1256" s="27" t="s">
        <v>16</v>
      </c>
      <c r="H1256" s="28">
        <v>2374</v>
      </c>
      <c r="I1256" s="28">
        <v>1953</v>
      </c>
      <c r="J1256" s="28">
        <v>841</v>
      </c>
      <c r="K1256" s="28">
        <v>1112</v>
      </c>
      <c r="L1256" s="28">
        <v>421</v>
      </c>
      <c r="M1256" s="28">
        <v>3486</v>
      </c>
      <c r="N1256" s="28">
        <v>3020</v>
      </c>
      <c r="O1256" s="28">
        <v>2720</v>
      </c>
      <c r="P1256" s="28">
        <v>300</v>
      </c>
      <c r="Q1256" s="28">
        <v>466</v>
      </c>
      <c r="R1256" s="29">
        <v>82.266217400000002</v>
      </c>
      <c r="S1256" s="29">
        <v>35.4254423</v>
      </c>
      <c r="T1256" s="29">
        <v>46.840775100000002</v>
      </c>
      <c r="U1256" s="29">
        <v>17.733782600000001</v>
      </c>
      <c r="V1256" s="29">
        <v>86.632243299999999</v>
      </c>
      <c r="W1256" s="29">
        <v>78.0263913</v>
      </c>
      <c r="X1256" s="29">
        <v>8.6058520000000005</v>
      </c>
      <c r="Y1256" s="29">
        <v>13.367756699999999</v>
      </c>
    </row>
    <row r="1257" spans="2:25" ht="15" customHeight="1">
      <c r="B1257" s="30">
        <v>1252</v>
      </c>
      <c r="C1257" s="31" t="s">
        <v>21</v>
      </c>
      <c r="D1257" s="36" t="s">
        <v>403</v>
      </c>
      <c r="E1257" s="36" t="s">
        <v>163</v>
      </c>
      <c r="F1257" s="36" t="s">
        <v>404</v>
      </c>
      <c r="G1257" s="37" t="s">
        <v>404</v>
      </c>
      <c r="H1257" s="32">
        <v>24724</v>
      </c>
      <c r="I1257" s="32">
        <v>22463</v>
      </c>
      <c r="J1257" s="32">
        <v>11175</v>
      </c>
      <c r="K1257" s="32">
        <v>11288</v>
      </c>
      <c r="L1257" s="32">
        <v>2261</v>
      </c>
      <c r="M1257" s="32">
        <v>32445</v>
      </c>
      <c r="N1257" s="32">
        <v>31082</v>
      </c>
      <c r="O1257" s="32">
        <v>25344</v>
      </c>
      <c r="P1257" s="32">
        <v>5738</v>
      </c>
      <c r="Q1257" s="32">
        <v>1363</v>
      </c>
      <c r="R1257" s="33">
        <v>90.855039599999998</v>
      </c>
      <c r="S1257" s="33">
        <v>45.198996899999997</v>
      </c>
      <c r="T1257" s="33">
        <v>45.6560427</v>
      </c>
      <c r="U1257" s="33">
        <v>9.1449604000000004</v>
      </c>
      <c r="V1257" s="33">
        <v>95.799044499999994</v>
      </c>
      <c r="W1257" s="33">
        <v>78.113730899999993</v>
      </c>
      <c r="X1257" s="33">
        <v>17.685313600000001</v>
      </c>
      <c r="Y1257" s="33">
        <v>4.2009555000000001</v>
      </c>
    </row>
    <row r="1258" spans="2:25" ht="15" hidden="1" customHeight="1">
      <c r="B1258" s="25">
        <v>1253</v>
      </c>
      <c r="C1258" s="26" t="s">
        <v>21</v>
      </c>
      <c r="D1258" s="26" t="s">
        <v>403</v>
      </c>
      <c r="E1258" s="26" t="s">
        <v>163</v>
      </c>
      <c r="F1258" s="26" t="s">
        <v>404</v>
      </c>
      <c r="G1258" s="27" t="s">
        <v>15</v>
      </c>
      <c r="H1258" s="28">
        <v>23580</v>
      </c>
      <c r="I1258" s="28">
        <v>21553</v>
      </c>
      <c r="J1258" s="28">
        <v>10699</v>
      </c>
      <c r="K1258" s="28">
        <v>10854</v>
      </c>
      <c r="L1258" s="28">
        <v>2027</v>
      </c>
      <c r="M1258" s="28">
        <v>31030</v>
      </c>
      <c r="N1258" s="28">
        <v>29799</v>
      </c>
      <c r="O1258" s="28">
        <v>24185</v>
      </c>
      <c r="P1258" s="28">
        <v>5614</v>
      </c>
      <c r="Q1258" s="28">
        <v>1231</v>
      </c>
      <c r="R1258" s="29">
        <v>91.403732000000005</v>
      </c>
      <c r="S1258" s="29">
        <v>45.373197599999997</v>
      </c>
      <c r="T1258" s="29">
        <v>46.030534400000001</v>
      </c>
      <c r="U1258" s="29">
        <v>8.5962680000000002</v>
      </c>
      <c r="V1258" s="29">
        <v>96.032871400000005</v>
      </c>
      <c r="W1258" s="29">
        <v>77.9407025</v>
      </c>
      <c r="X1258" s="29">
        <v>18.092168900000001</v>
      </c>
      <c r="Y1258" s="29">
        <v>3.9671286000000001</v>
      </c>
    </row>
    <row r="1259" spans="2:25" ht="15" hidden="1" customHeight="1">
      <c r="B1259" s="25">
        <v>1254</v>
      </c>
      <c r="C1259" s="26" t="s">
        <v>21</v>
      </c>
      <c r="D1259" s="26" t="s">
        <v>403</v>
      </c>
      <c r="E1259" s="26" t="s">
        <v>163</v>
      </c>
      <c r="F1259" s="26" t="s">
        <v>404</v>
      </c>
      <c r="G1259" s="27" t="s">
        <v>16</v>
      </c>
      <c r="H1259" s="28">
        <v>1144</v>
      </c>
      <c r="I1259" s="28">
        <v>910</v>
      </c>
      <c r="J1259" s="28">
        <v>476</v>
      </c>
      <c r="K1259" s="28">
        <v>434</v>
      </c>
      <c r="L1259" s="28">
        <v>234</v>
      </c>
      <c r="M1259" s="28">
        <v>1415</v>
      </c>
      <c r="N1259" s="28">
        <v>1283</v>
      </c>
      <c r="O1259" s="28">
        <v>1159</v>
      </c>
      <c r="P1259" s="28">
        <v>124</v>
      </c>
      <c r="Q1259" s="28">
        <v>132</v>
      </c>
      <c r="R1259" s="29">
        <v>79.545454500000005</v>
      </c>
      <c r="S1259" s="29">
        <v>41.608391599999997</v>
      </c>
      <c r="T1259" s="29">
        <v>37.937062900000001</v>
      </c>
      <c r="U1259" s="29">
        <v>20.454545499999998</v>
      </c>
      <c r="V1259" s="29">
        <v>90.671378099999998</v>
      </c>
      <c r="W1259" s="29">
        <v>81.908127199999996</v>
      </c>
      <c r="X1259" s="29">
        <v>8.7632508999999992</v>
      </c>
      <c r="Y1259" s="29">
        <v>9.3286218999999999</v>
      </c>
    </row>
    <row r="1260" spans="2:25" ht="15" customHeight="1">
      <c r="B1260" s="30">
        <v>1255</v>
      </c>
      <c r="C1260" s="31" t="s">
        <v>21</v>
      </c>
      <c r="D1260" s="36" t="s">
        <v>403</v>
      </c>
      <c r="E1260" s="36" t="s">
        <v>163</v>
      </c>
      <c r="F1260" s="36" t="s">
        <v>386</v>
      </c>
      <c r="G1260" s="37" t="s">
        <v>386</v>
      </c>
      <c r="H1260" s="32">
        <v>1230</v>
      </c>
      <c r="I1260" s="32">
        <v>1043</v>
      </c>
      <c r="J1260" s="32">
        <v>365</v>
      </c>
      <c r="K1260" s="32">
        <v>678</v>
      </c>
      <c r="L1260" s="32">
        <v>187</v>
      </c>
      <c r="M1260" s="32">
        <v>2071</v>
      </c>
      <c r="N1260" s="32">
        <v>1737</v>
      </c>
      <c r="O1260" s="32">
        <v>1561</v>
      </c>
      <c r="P1260" s="32">
        <v>176</v>
      </c>
      <c r="Q1260" s="32">
        <v>334</v>
      </c>
      <c r="R1260" s="33">
        <v>84.796747999999994</v>
      </c>
      <c r="S1260" s="33">
        <v>29.674796700000002</v>
      </c>
      <c r="T1260" s="33">
        <v>55.121951199999998</v>
      </c>
      <c r="U1260" s="33">
        <v>15.203252000000001</v>
      </c>
      <c r="V1260" s="33">
        <v>83.872525400000001</v>
      </c>
      <c r="W1260" s="33">
        <v>75.374215399999997</v>
      </c>
      <c r="X1260" s="33">
        <v>8.49831</v>
      </c>
      <c r="Y1260" s="33">
        <v>16.127474599999999</v>
      </c>
    </row>
    <row r="1261" spans="2:25" ht="15" hidden="1" customHeight="1">
      <c r="B1261" s="25">
        <v>1256</v>
      </c>
      <c r="C1261" s="26" t="s">
        <v>21</v>
      </c>
      <c r="D1261" s="26" t="s">
        <v>403</v>
      </c>
      <c r="E1261" s="26" t="s">
        <v>163</v>
      </c>
      <c r="F1261" s="26" t="s">
        <v>386</v>
      </c>
      <c r="G1261" s="27" t="s">
        <v>15</v>
      </c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9"/>
      <c r="S1261" s="29"/>
      <c r="T1261" s="29"/>
      <c r="U1261" s="29"/>
      <c r="V1261" s="29"/>
      <c r="W1261" s="29"/>
      <c r="X1261" s="29"/>
      <c r="Y1261" s="29"/>
    </row>
    <row r="1262" spans="2:25" ht="15" hidden="1" customHeight="1">
      <c r="B1262" s="25">
        <v>1257</v>
      </c>
      <c r="C1262" s="26" t="s">
        <v>21</v>
      </c>
      <c r="D1262" s="26" t="s">
        <v>403</v>
      </c>
      <c r="E1262" s="26" t="s">
        <v>163</v>
      </c>
      <c r="F1262" s="26" t="s">
        <v>386</v>
      </c>
      <c r="G1262" s="27" t="s">
        <v>16</v>
      </c>
      <c r="H1262" s="28">
        <v>1230</v>
      </c>
      <c r="I1262" s="28">
        <v>1043</v>
      </c>
      <c r="J1262" s="28">
        <v>365</v>
      </c>
      <c r="K1262" s="28">
        <v>678</v>
      </c>
      <c r="L1262" s="28">
        <v>187</v>
      </c>
      <c r="M1262" s="28">
        <v>2071</v>
      </c>
      <c r="N1262" s="28">
        <v>1737</v>
      </c>
      <c r="O1262" s="28">
        <v>1561</v>
      </c>
      <c r="P1262" s="28">
        <v>176</v>
      </c>
      <c r="Q1262" s="28">
        <v>334</v>
      </c>
      <c r="R1262" s="29">
        <v>84.796747999999994</v>
      </c>
      <c r="S1262" s="29">
        <v>29.674796700000002</v>
      </c>
      <c r="T1262" s="29">
        <v>55.121951199999998</v>
      </c>
      <c r="U1262" s="29">
        <v>15.203252000000001</v>
      </c>
      <c r="V1262" s="29">
        <v>83.872525400000001</v>
      </c>
      <c r="W1262" s="29">
        <v>75.374215399999997</v>
      </c>
      <c r="X1262" s="29">
        <v>8.49831</v>
      </c>
      <c r="Y1262" s="29">
        <v>16.127474599999999</v>
      </c>
    </row>
    <row r="1263" spans="2:25" ht="15" hidden="1" customHeight="1">
      <c r="B1263" s="21">
        <v>1258</v>
      </c>
      <c r="C1263" s="22" t="s">
        <v>19</v>
      </c>
      <c r="D1263" s="35" t="s">
        <v>403</v>
      </c>
      <c r="E1263" s="35" t="s">
        <v>405</v>
      </c>
      <c r="F1263" s="35"/>
      <c r="G1263" s="22" t="s">
        <v>405</v>
      </c>
      <c r="H1263" s="23">
        <v>28849</v>
      </c>
      <c r="I1263" s="23">
        <v>26672</v>
      </c>
      <c r="J1263" s="23">
        <v>14213</v>
      </c>
      <c r="K1263" s="23">
        <v>12459</v>
      </c>
      <c r="L1263" s="23">
        <v>2177</v>
      </c>
      <c r="M1263" s="23">
        <v>38333</v>
      </c>
      <c r="N1263" s="23">
        <v>36607</v>
      </c>
      <c r="O1263" s="23">
        <v>32558</v>
      </c>
      <c r="P1263" s="23">
        <v>4049</v>
      </c>
      <c r="Q1263" s="23">
        <v>1726</v>
      </c>
      <c r="R1263" s="24">
        <v>92.453811200000004</v>
      </c>
      <c r="S1263" s="24">
        <v>49.266872300000003</v>
      </c>
      <c r="T1263" s="24">
        <v>43.186938900000001</v>
      </c>
      <c r="U1263" s="24">
        <v>7.5461888000000004</v>
      </c>
      <c r="V1263" s="24">
        <v>95.497352199999995</v>
      </c>
      <c r="W1263" s="24">
        <v>84.934651599999995</v>
      </c>
      <c r="X1263" s="24">
        <v>10.5627005</v>
      </c>
      <c r="Y1263" s="24">
        <v>4.5026478000000001</v>
      </c>
    </row>
    <row r="1264" spans="2:25" ht="15" hidden="1" customHeight="1">
      <c r="B1264" s="25">
        <v>1259</v>
      </c>
      <c r="C1264" s="26" t="s">
        <v>19</v>
      </c>
      <c r="D1264" s="26" t="s">
        <v>403</v>
      </c>
      <c r="E1264" s="26" t="s">
        <v>405</v>
      </c>
      <c r="F1264" s="26"/>
      <c r="G1264" s="27" t="s">
        <v>15</v>
      </c>
      <c r="H1264" s="28">
        <v>25042</v>
      </c>
      <c r="I1264" s="28">
        <v>23597</v>
      </c>
      <c r="J1264" s="28">
        <v>12721</v>
      </c>
      <c r="K1264" s="28">
        <v>10876</v>
      </c>
      <c r="L1264" s="28">
        <v>1445</v>
      </c>
      <c r="M1264" s="28">
        <v>32914</v>
      </c>
      <c r="N1264" s="28">
        <v>31784</v>
      </c>
      <c r="O1264" s="28">
        <v>28099</v>
      </c>
      <c r="P1264" s="28">
        <v>3685</v>
      </c>
      <c r="Q1264" s="28">
        <v>1130</v>
      </c>
      <c r="R1264" s="29">
        <v>94.229694100000003</v>
      </c>
      <c r="S1264" s="29">
        <v>50.7986583</v>
      </c>
      <c r="T1264" s="29">
        <v>43.431035899999998</v>
      </c>
      <c r="U1264" s="29">
        <v>5.7703059000000003</v>
      </c>
      <c r="V1264" s="29">
        <v>96.566810500000003</v>
      </c>
      <c r="W1264" s="29">
        <v>85.370966800000005</v>
      </c>
      <c r="X1264" s="29">
        <v>11.195843699999999</v>
      </c>
      <c r="Y1264" s="29">
        <v>3.4331895000000001</v>
      </c>
    </row>
    <row r="1265" spans="2:25" ht="15" hidden="1" customHeight="1">
      <c r="B1265" s="25">
        <v>1260</v>
      </c>
      <c r="C1265" s="26" t="s">
        <v>19</v>
      </c>
      <c r="D1265" s="26" t="s">
        <v>403</v>
      </c>
      <c r="E1265" s="26" t="s">
        <v>405</v>
      </c>
      <c r="F1265" s="26"/>
      <c r="G1265" s="27" t="s">
        <v>16</v>
      </c>
      <c r="H1265" s="28">
        <v>3807</v>
      </c>
      <c r="I1265" s="28">
        <v>3075</v>
      </c>
      <c r="J1265" s="28">
        <v>1492</v>
      </c>
      <c r="K1265" s="28">
        <v>1583</v>
      </c>
      <c r="L1265" s="28">
        <v>732</v>
      </c>
      <c r="M1265" s="28">
        <v>5419</v>
      </c>
      <c r="N1265" s="28">
        <v>4823</v>
      </c>
      <c r="O1265" s="28">
        <v>4459</v>
      </c>
      <c r="P1265" s="28">
        <v>364</v>
      </c>
      <c r="Q1265" s="28">
        <v>596</v>
      </c>
      <c r="R1265" s="29">
        <v>80.772261599999993</v>
      </c>
      <c r="S1265" s="29">
        <v>39.190964000000001</v>
      </c>
      <c r="T1265" s="29">
        <v>41.581297599999999</v>
      </c>
      <c r="U1265" s="29">
        <v>19.2277384</v>
      </c>
      <c r="V1265" s="29">
        <v>89.001660799999996</v>
      </c>
      <c r="W1265" s="29">
        <v>82.284554299999996</v>
      </c>
      <c r="X1265" s="29">
        <v>6.7171064999999999</v>
      </c>
      <c r="Y1265" s="29">
        <v>10.9983392</v>
      </c>
    </row>
    <row r="1266" spans="2:25" ht="15" customHeight="1">
      <c r="B1266" s="30">
        <v>1261</v>
      </c>
      <c r="C1266" s="31" t="s">
        <v>21</v>
      </c>
      <c r="D1266" s="36" t="s">
        <v>403</v>
      </c>
      <c r="E1266" s="36" t="s">
        <v>405</v>
      </c>
      <c r="F1266" s="36" t="s">
        <v>406</v>
      </c>
      <c r="G1266" s="37" t="s">
        <v>406</v>
      </c>
      <c r="H1266" s="32">
        <v>19588</v>
      </c>
      <c r="I1266" s="32">
        <v>18043</v>
      </c>
      <c r="J1266" s="32">
        <v>9657</v>
      </c>
      <c r="K1266" s="32">
        <v>8386</v>
      </c>
      <c r="L1266" s="32">
        <v>1545</v>
      </c>
      <c r="M1266" s="32">
        <v>27442</v>
      </c>
      <c r="N1266" s="32">
        <v>26233</v>
      </c>
      <c r="O1266" s="32">
        <v>23306</v>
      </c>
      <c r="P1266" s="32">
        <v>2927</v>
      </c>
      <c r="Q1266" s="32">
        <v>1209</v>
      </c>
      <c r="R1266" s="33">
        <v>92.1125179</v>
      </c>
      <c r="S1266" s="33">
        <v>49.300592199999997</v>
      </c>
      <c r="T1266" s="33">
        <v>42.811925700000003</v>
      </c>
      <c r="U1266" s="33">
        <v>7.8874820999999997</v>
      </c>
      <c r="V1266" s="33">
        <v>95.594344399999997</v>
      </c>
      <c r="W1266" s="33">
        <v>84.928212200000004</v>
      </c>
      <c r="X1266" s="33">
        <v>10.6661322</v>
      </c>
      <c r="Y1266" s="33">
        <v>4.4056556000000002</v>
      </c>
    </row>
    <row r="1267" spans="2:25" ht="15" hidden="1" customHeight="1">
      <c r="B1267" s="25">
        <v>1262</v>
      </c>
      <c r="C1267" s="26" t="s">
        <v>21</v>
      </c>
      <c r="D1267" s="26" t="s">
        <v>403</v>
      </c>
      <c r="E1267" s="26" t="s">
        <v>405</v>
      </c>
      <c r="F1267" s="26" t="s">
        <v>406</v>
      </c>
      <c r="G1267" s="27" t="s">
        <v>15</v>
      </c>
      <c r="H1267" s="28">
        <v>17142</v>
      </c>
      <c r="I1267" s="28">
        <v>16081</v>
      </c>
      <c r="J1267" s="28">
        <v>8803</v>
      </c>
      <c r="K1267" s="28">
        <v>7278</v>
      </c>
      <c r="L1267" s="28">
        <v>1061</v>
      </c>
      <c r="M1267" s="28">
        <v>23889</v>
      </c>
      <c r="N1267" s="28">
        <v>23089</v>
      </c>
      <c r="O1267" s="28">
        <v>20413</v>
      </c>
      <c r="P1267" s="28">
        <v>2676</v>
      </c>
      <c r="Q1267" s="28">
        <v>800</v>
      </c>
      <c r="R1267" s="29">
        <v>93.810523900000007</v>
      </c>
      <c r="S1267" s="29">
        <v>51.353400999999998</v>
      </c>
      <c r="T1267" s="29">
        <v>42.457122900000002</v>
      </c>
      <c r="U1267" s="29">
        <v>6.1894761000000003</v>
      </c>
      <c r="V1267" s="29">
        <v>96.651178400000006</v>
      </c>
      <c r="W1267" s="29">
        <v>85.449370000000002</v>
      </c>
      <c r="X1267" s="29">
        <v>11.201808400000001</v>
      </c>
      <c r="Y1267" s="29">
        <v>3.3488216</v>
      </c>
    </row>
    <row r="1268" spans="2:25" ht="15" hidden="1" customHeight="1">
      <c r="B1268" s="25">
        <v>1263</v>
      </c>
      <c r="C1268" s="26" t="s">
        <v>21</v>
      </c>
      <c r="D1268" s="26" t="s">
        <v>403</v>
      </c>
      <c r="E1268" s="26" t="s">
        <v>405</v>
      </c>
      <c r="F1268" s="26" t="s">
        <v>406</v>
      </c>
      <c r="G1268" s="27" t="s">
        <v>16</v>
      </c>
      <c r="H1268" s="28">
        <v>2446</v>
      </c>
      <c r="I1268" s="28">
        <v>1962</v>
      </c>
      <c r="J1268" s="28">
        <v>854</v>
      </c>
      <c r="K1268" s="28">
        <v>1108</v>
      </c>
      <c r="L1268" s="28">
        <v>484</v>
      </c>
      <c r="M1268" s="28">
        <v>3553</v>
      </c>
      <c r="N1268" s="28">
        <v>3144</v>
      </c>
      <c r="O1268" s="28">
        <v>2893</v>
      </c>
      <c r="P1268" s="28">
        <v>251</v>
      </c>
      <c r="Q1268" s="28">
        <v>409</v>
      </c>
      <c r="R1268" s="29">
        <v>80.212592000000001</v>
      </c>
      <c r="S1268" s="29">
        <v>34.914145499999997</v>
      </c>
      <c r="T1268" s="29">
        <v>45.298446400000003</v>
      </c>
      <c r="U1268" s="29">
        <v>19.787407999999999</v>
      </c>
      <c r="V1268" s="29">
        <v>88.488601200000005</v>
      </c>
      <c r="W1268" s="29">
        <v>81.424148599999995</v>
      </c>
      <c r="X1268" s="29">
        <v>7.0644526000000001</v>
      </c>
      <c r="Y1268" s="29">
        <v>11.5113988</v>
      </c>
    </row>
    <row r="1269" spans="2:25" ht="15" customHeight="1">
      <c r="B1269" s="30">
        <v>1264</v>
      </c>
      <c r="C1269" s="31" t="s">
        <v>21</v>
      </c>
      <c r="D1269" s="36" t="s">
        <v>403</v>
      </c>
      <c r="E1269" s="36" t="s">
        <v>405</v>
      </c>
      <c r="F1269" s="36" t="s">
        <v>407</v>
      </c>
      <c r="G1269" s="37" t="s">
        <v>407</v>
      </c>
      <c r="H1269" s="32">
        <v>9261</v>
      </c>
      <c r="I1269" s="32">
        <v>8629</v>
      </c>
      <c r="J1269" s="32">
        <v>4556</v>
      </c>
      <c r="K1269" s="32">
        <v>4073</v>
      </c>
      <c r="L1269" s="32">
        <v>632</v>
      </c>
      <c r="M1269" s="32">
        <v>10891</v>
      </c>
      <c r="N1269" s="32">
        <v>10374</v>
      </c>
      <c r="O1269" s="32">
        <v>9252</v>
      </c>
      <c r="P1269" s="32">
        <v>1122</v>
      </c>
      <c r="Q1269" s="32">
        <v>517</v>
      </c>
      <c r="R1269" s="33">
        <v>93.175683000000006</v>
      </c>
      <c r="S1269" s="33">
        <v>49.195551199999997</v>
      </c>
      <c r="T1269" s="33">
        <v>43.980131700000001</v>
      </c>
      <c r="U1269" s="33">
        <v>6.8243169999999997</v>
      </c>
      <c r="V1269" s="33">
        <v>95.252961200000001</v>
      </c>
      <c r="W1269" s="33">
        <v>84.950876899999997</v>
      </c>
      <c r="X1269" s="33">
        <v>10.302084300000001</v>
      </c>
      <c r="Y1269" s="33">
        <v>4.7470388000000003</v>
      </c>
    </row>
    <row r="1270" spans="2:25" ht="15" hidden="1" customHeight="1">
      <c r="B1270" s="25">
        <v>1265</v>
      </c>
      <c r="C1270" s="26" t="s">
        <v>21</v>
      </c>
      <c r="D1270" s="26" t="s">
        <v>403</v>
      </c>
      <c r="E1270" s="26" t="s">
        <v>405</v>
      </c>
      <c r="F1270" s="26" t="s">
        <v>407</v>
      </c>
      <c r="G1270" s="27" t="s">
        <v>15</v>
      </c>
      <c r="H1270" s="28">
        <v>7900</v>
      </c>
      <c r="I1270" s="28">
        <v>7516</v>
      </c>
      <c r="J1270" s="28">
        <v>3918</v>
      </c>
      <c r="K1270" s="28">
        <v>3598</v>
      </c>
      <c r="L1270" s="28">
        <v>384</v>
      </c>
      <c r="M1270" s="28">
        <v>9025</v>
      </c>
      <c r="N1270" s="28">
        <v>8695</v>
      </c>
      <c r="O1270" s="28">
        <v>7686</v>
      </c>
      <c r="P1270" s="28">
        <v>1009</v>
      </c>
      <c r="Q1270" s="28">
        <v>330</v>
      </c>
      <c r="R1270" s="29">
        <v>95.1392405</v>
      </c>
      <c r="S1270" s="29">
        <v>49.594936699999998</v>
      </c>
      <c r="T1270" s="29">
        <v>45.544303800000002</v>
      </c>
      <c r="U1270" s="29">
        <v>4.8607595000000003</v>
      </c>
      <c r="V1270" s="29">
        <v>96.343490299999999</v>
      </c>
      <c r="W1270" s="29">
        <v>85.163434899999999</v>
      </c>
      <c r="X1270" s="29">
        <v>11.180055400000001</v>
      </c>
      <c r="Y1270" s="29">
        <v>3.6565097</v>
      </c>
    </row>
    <row r="1271" spans="2:25" ht="15" hidden="1" customHeight="1">
      <c r="B1271" s="25">
        <v>1266</v>
      </c>
      <c r="C1271" s="26" t="s">
        <v>21</v>
      </c>
      <c r="D1271" s="26" t="s">
        <v>403</v>
      </c>
      <c r="E1271" s="26" t="s">
        <v>405</v>
      </c>
      <c r="F1271" s="26" t="s">
        <v>407</v>
      </c>
      <c r="G1271" s="27" t="s">
        <v>16</v>
      </c>
      <c r="H1271" s="28">
        <v>1361</v>
      </c>
      <c r="I1271" s="28">
        <v>1113</v>
      </c>
      <c r="J1271" s="28">
        <v>638</v>
      </c>
      <c r="K1271" s="28">
        <v>475</v>
      </c>
      <c r="L1271" s="28">
        <v>248</v>
      </c>
      <c r="M1271" s="28">
        <v>1866</v>
      </c>
      <c r="N1271" s="28">
        <v>1679</v>
      </c>
      <c r="O1271" s="28">
        <v>1566</v>
      </c>
      <c r="P1271" s="28">
        <v>113</v>
      </c>
      <c r="Q1271" s="28">
        <v>187</v>
      </c>
      <c r="R1271" s="29">
        <v>81.778104299999995</v>
      </c>
      <c r="S1271" s="29">
        <v>46.877296100000002</v>
      </c>
      <c r="T1271" s="29">
        <v>34.9008082</v>
      </c>
      <c r="U1271" s="29">
        <v>18.221895700000001</v>
      </c>
      <c r="V1271" s="29">
        <v>89.978563800000003</v>
      </c>
      <c r="W1271" s="29">
        <v>83.9228296</v>
      </c>
      <c r="X1271" s="29">
        <v>6.0557341999999998</v>
      </c>
      <c r="Y1271" s="29">
        <v>10.0214362</v>
      </c>
    </row>
    <row r="1272" spans="2:25" ht="15" hidden="1" customHeight="1">
      <c r="B1272" s="21">
        <v>1267</v>
      </c>
      <c r="C1272" s="22" t="s">
        <v>19</v>
      </c>
      <c r="D1272" s="35" t="s">
        <v>403</v>
      </c>
      <c r="E1272" s="35" t="s">
        <v>408</v>
      </c>
      <c r="F1272" s="35"/>
      <c r="G1272" s="22" t="s">
        <v>408</v>
      </c>
      <c r="H1272" s="23">
        <v>19207</v>
      </c>
      <c r="I1272" s="23">
        <v>13828</v>
      </c>
      <c r="J1272" s="23">
        <v>6868</v>
      </c>
      <c r="K1272" s="23">
        <v>6960</v>
      </c>
      <c r="L1272" s="23">
        <v>5379</v>
      </c>
      <c r="M1272" s="23">
        <v>26098</v>
      </c>
      <c r="N1272" s="23">
        <v>20794</v>
      </c>
      <c r="O1272" s="23">
        <v>17883</v>
      </c>
      <c r="P1272" s="23">
        <v>2911</v>
      </c>
      <c r="Q1272" s="23">
        <v>5304</v>
      </c>
      <c r="R1272" s="24">
        <v>71.994585299999997</v>
      </c>
      <c r="S1272" s="24">
        <v>35.757796599999999</v>
      </c>
      <c r="T1272" s="24">
        <v>36.236788699999998</v>
      </c>
      <c r="U1272" s="24">
        <v>28.005414699999999</v>
      </c>
      <c r="V1272" s="24">
        <v>79.676603600000007</v>
      </c>
      <c r="W1272" s="24">
        <v>68.522492099999994</v>
      </c>
      <c r="X1272" s="24">
        <v>11.1541114</v>
      </c>
      <c r="Y1272" s="24">
        <v>20.3233964</v>
      </c>
    </row>
    <row r="1273" spans="2:25" ht="15" hidden="1" customHeight="1">
      <c r="B1273" s="25">
        <v>1268</v>
      </c>
      <c r="C1273" s="26" t="s">
        <v>19</v>
      </c>
      <c r="D1273" s="26" t="s">
        <v>403</v>
      </c>
      <c r="E1273" s="26" t="s">
        <v>408</v>
      </c>
      <c r="F1273" s="26"/>
      <c r="G1273" s="27" t="s">
        <v>15</v>
      </c>
      <c r="H1273" s="28">
        <v>10944</v>
      </c>
      <c r="I1273" s="28">
        <v>9862</v>
      </c>
      <c r="J1273" s="28">
        <v>4914</v>
      </c>
      <c r="K1273" s="28">
        <v>4948</v>
      </c>
      <c r="L1273" s="28">
        <v>1082</v>
      </c>
      <c r="M1273" s="28">
        <v>13929</v>
      </c>
      <c r="N1273" s="28">
        <v>12841</v>
      </c>
      <c r="O1273" s="28">
        <v>10767</v>
      </c>
      <c r="P1273" s="28">
        <v>2074</v>
      </c>
      <c r="Q1273" s="28">
        <v>1088</v>
      </c>
      <c r="R1273" s="29">
        <v>90.113304099999993</v>
      </c>
      <c r="S1273" s="29">
        <v>44.901315799999999</v>
      </c>
      <c r="T1273" s="29">
        <v>45.211988300000002</v>
      </c>
      <c r="U1273" s="29">
        <v>9.8866958999999994</v>
      </c>
      <c r="V1273" s="29">
        <v>92.188958299999996</v>
      </c>
      <c r="W1273" s="29">
        <v>77.299160000000001</v>
      </c>
      <c r="X1273" s="29">
        <v>14.889798300000001</v>
      </c>
      <c r="Y1273" s="29">
        <v>7.8110416999999996</v>
      </c>
    </row>
    <row r="1274" spans="2:25" ht="15" hidden="1" customHeight="1">
      <c r="B1274" s="25">
        <v>1269</v>
      </c>
      <c r="C1274" s="26" t="s">
        <v>19</v>
      </c>
      <c r="D1274" s="26" t="s">
        <v>403</v>
      </c>
      <c r="E1274" s="26" t="s">
        <v>408</v>
      </c>
      <c r="F1274" s="26"/>
      <c r="G1274" s="27" t="s">
        <v>16</v>
      </c>
      <c r="H1274" s="28">
        <v>8263</v>
      </c>
      <c r="I1274" s="28">
        <v>3966</v>
      </c>
      <c r="J1274" s="28">
        <v>1954</v>
      </c>
      <c r="K1274" s="28">
        <v>2012</v>
      </c>
      <c r="L1274" s="28">
        <v>4297</v>
      </c>
      <c r="M1274" s="28">
        <v>12169</v>
      </c>
      <c r="N1274" s="28">
        <v>7953</v>
      </c>
      <c r="O1274" s="28">
        <v>7116</v>
      </c>
      <c r="P1274" s="28">
        <v>837</v>
      </c>
      <c r="Q1274" s="28">
        <v>4216</v>
      </c>
      <c r="R1274" s="29">
        <v>47.9970955</v>
      </c>
      <c r="S1274" s="29">
        <v>23.647585599999999</v>
      </c>
      <c r="T1274" s="29">
        <v>24.349509900000001</v>
      </c>
      <c r="U1274" s="29">
        <v>52.0029045</v>
      </c>
      <c r="V1274" s="29">
        <v>65.354589500000003</v>
      </c>
      <c r="W1274" s="29">
        <v>58.476456599999999</v>
      </c>
      <c r="X1274" s="29">
        <v>6.8781330000000001</v>
      </c>
      <c r="Y1274" s="29">
        <v>34.645410499999997</v>
      </c>
    </row>
    <row r="1275" spans="2:25" ht="15" customHeight="1">
      <c r="B1275" s="30">
        <v>1270</v>
      </c>
      <c r="C1275" s="31" t="s">
        <v>21</v>
      </c>
      <c r="D1275" s="36" t="s">
        <v>403</v>
      </c>
      <c r="E1275" s="36" t="s">
        <v>408</v>
      </c>
      <c r="F1275" s="36" t="s">
        <v>409</v>
      </c>
      <c r="G1275" s="37" t="s">
        <v>409</v>
      </c>
      <c r="H1275" s="32">
        <v>2962</v>
      </c>
      <c r="I1275" s="32">
        <v>2497</v>
      </c>
      <c r="J1275" s="32">
        <v>1307</v>
      </c>
      <c r="K1275" s="32">
        <v>1190</v>
      </c>
      <c r="L1275" s="32">
        <v>465</v>
      </c>
      <c r="M1275" s="32">
        <v>3417</v>
      </c>
      <c r="N1275" s="32">
        <v>3176</v>
      </c>
      <c r="O1275" s="32">
        <v>2710</v>
      </c>
      <c r="P1275" s="32">
        <v>466</v>
      </c>
      <c r="Q1275" s="32">
        <v>241</v>
      </c>
      <c r="R1275" s="33">
        <v>84.301147900000004</v>
      </c>
      <c r="S1275" s="33">
        <v>44.125590799999998</v>
      </c>
      <c r="T1275" s="33">
        <v>40.175557099999999</v>
      </c>
      <c r="U1275" s="33">
        <v>15.6988521</v>
      </c>
      <c r="V1275" s="33">
        <v>92.947029599999993</v>
      </c>
      <c r="W1275" s="33">
        <v>79.309335700000005</v>
      </c>
      <c r="X1275" s="33">
        <v>13.6376939</v>
      </c>
      <c r="Y1275" s="33">
        <v>7.0529704000000004</v>
      </c>
    </row>
    <row r="1276" spans="2:25" ht="15" hidden="1" customHeight="1">
      <c r="B1276" s="25">
        <v>1271</v>
      </c>
      <c r="C1276" s="26" t="s">
        <v>21</v>
      </c>
      <c r="D1276" s="26" t="s">
        <v>403</v>
      </c>
      <c r="E1276" s="26" t="s">
        <v>408</v>
      </c>
      <c r="F1276" s="26" t="s">
        <v>409</v>
      </c>
      <c r="G1276" s="27" t="s">
        <v>15</v>
      </c>
      <c r="H1276" s="28">
        <v>1569</v>
      </c>
      <c r="I1276" s="28">
        <v>1508</v>
      </c>
      <c r="J1276" s="28">
        <v>786</v>
      </c>
      <c r="K1276" s="28">
        <v>722</v>
      </c>
      <c r="L1276" s="28">
        <v>61</v>
      </c>
      <c r="M1276" s="28">
        <v>1884</v>
      </c>
      <c r="N1276" s="28">
        <v>1815</v>
      </c>
      <c r="O1276" s="28">
        <v>1558</v>
      </c>
      <c r="P1276" s="28">
        <v>257</v>
      </c>
      <c r="Q1276" s="28">
        <v>69</v>
      </c>
      <c r="R1276" s="29">
        <v>96.112173400000003</v>
      </c>
      <c r="S1276" s="29">
        <v>50.095602300000003</v>
      </c>
      <c r="T1276" s="29">
        <v>46.0165711</v>
      </c>
      <c r="U1276" s="29">
        <v>3.8878265999999999</v>
      </c>
      <c r="V1276" s="29">
        <v>96.337579599999998</v>
      </c>
      <c r="W1276" s="29">
        <v>82.696390699999995</v>
      </c>
      <c r="X1276" s="29">
        <v>13.641189000000001</v>
      </c>
      <c r="Y1276" s="29">
        <v>3.6624203999999998</v>
      </c>
    </row>
    <row r="1277" spans="2:25" ht="15" hidden="1" customHeight="1">
      <c r="B1277" s="25">
        <v>1272</v>
      </c>
      <c r="C1277" s="26" t="s">
        <v>21</v>
      </c>
      <c r="D1277" s="26" t="s">
        <v>403</v>
      </c>
      <c r="E1277" s="26" t="s">
        <v>408</v>
      </c>
      <c r="F1277" s="26" t="s">
        <v>409</v>
      </c>
      <c r="G1277" s="27" t="s">
        <v>16</v>
      </c>
      <c r="H1277" s="28">
        <v>1393</v>
      </c>
      <c r="I1277" s="28">
        <v>989</v>
      </c>
      <c r="J1277" s="28">
        <v>521</v>
      </c>
      <c r="K1277" s="28">
        <v>468</v>
      </c>
      <c r="L1277" s="28">
        <v>404</v>
      </c>
      <c r="M1277" s="28">
        <v>1533</v>
      </c>
      <c r="N1277" s="28">
        <v>1361</v>
      </c>
      <c r="O1277" s="28">
        <v>1152</v>
      </c>
      <c r="P1277" s="28">
        <v>209</v>
      </c>
      <c r="Q1277" s="28">
        <v>172</v>
      </c>
      <c r="R1277" s="29">
        <v>70.9978464</v>
      </c>
      <c r="S1277" s="29">
        <v>37.4012922</v>
      </c>
      <c r="T1277" s="29">
        <v>33.5965542</v>
      </c>
      <c r="U1277" s="29">
        <v>29.0021536</v>
      </c>
      <c r="V1277" s="29">
        <v>88.780169599999994</v>
      </c>
      <c r="W1277" s="29">
        <v>75.146771000000001</v>
      </c>
      <c r="X1277" s="29">
        <v>13.6333986</v>
      </c>
      <c r="Y1277" s="29">
        <v>11.219830399999999</v>
      </c>
    </row>
    <row r="1278" spans="2:25" ht="15" customHeight="1">
      <c r="B1278" s="30">
        <v>1273</v>
      </c>
      <c r="C1278" s="31" t="s">
        <v>21</v>
      </c>
      <c r="D1278" s="36" t="s">
        <v>403</v>
      </c>
      <c r="E1278" s="36" t="s">
        <v>408</v>
      </c>
      <c r="F1278" s="36" t="s">
        <v>410</v>
      </c>
      <c r="G1278" s="37" t="s">
        <v>410</v>
      </c>
      <c r="H1278" s="32">
        <v>9412</v>
      </c>
      <c r="I1278" s="32">
        <v>5856</v>
      </c>
      <c r="J1278" s="32">
        <v>2930</v>
      </c>
      <c r="K1278" s="32">
        <v>2926</v>
      </c>
      <c r="L1278" s="32">
        <v>3556</v>
      </c>
      <c r="M1278" s="32">
        <v>13051</v>
      </c>
      <c r="N1278" s="32">
        <v>9481</v>
      </c>
      <c r="O1278" s="32">
        <v>8189</v>
      </c>
      <c r="P1278" s="32">
        <v>1292</v>
      </c>
      <c r="Q1278" s="32">
        <v>3570</v>
      </c>
      <c r="R1278" s="33">
        <v>62.218444499999997</v>
      </c>
      <c r="S1278" s="33">
        <v>31.130471700000001</v>
      </c>
      <c r="T1278" s="33">
        <v>31.087972799999999</v>
      </c>
      <c r="U1278" s="33">
        <v>37.781555500000003</v>
      </c>
      <c r="V1278" s="33">
        <v>72.645774299999999</v>
      </c>
      <c r="W1278" s="33">
        <v>62.746149699999997</v>
      </c>
      <c r="X1278" s="33">
        <v>9.8996244999999998</v>
      </c>
      <c r="Y1278" s="33">
        <v>27.354225700000001</v>
      </c>
    </row>
    <row r="1279" spans="2:25" ht="15" hidden="1" customHeight="1">
      <c r="B1279" s="25">
        <v>1274</v>
      </c>
      <c r="C1279" s="26" t="s">
        <v>21</v>
      </c>
      <c r="D1279" s="26" t="s">
        <v>403</v>
      </c>
      <c r="E1279" s="26" t="s">
        <v>408</v>
      </c>
      <c r="F1279" s="26" t="s">
        <v>410</v>
      </c>
      <c r="G1279" s="27" t="s">
        <v>15</v>
      </c>
      <c r="H1279" s="28">
        <v>5175</v>
      </c>
      <c r="I1279" s="28">
        <v>4391</v>
      </c>
      <c r="J1279" s="28">
        <v>2296</v>
      </c>
      <c r="K1279" s="28">
        <v>2095</v>
      </c>
      <c r="L1279" s="28">
        <v>784</v>
      </c>
      <c r="M1279" s="28">
        <v>6406</v>
      </c>
      <c r="N1279" s="28">
        <v>5760</v>
      </c>
      <c r="O1279" s="28">
        <v>4821</v>
      </c>
      <c r="P1279" s="28">
        <v>939</v>
      </c>
      <c r="Q1279" s="28">
        <v>646</v>
      </c>
      <c r="R1279" s="29">
        <v>84.850241499999996</v>
      </c>
      <c r="S1279" s="29">
        <v>44.3671498</v>
      </c>
      <c r="T1279" s="29">
        <v>40.483091799999997</v>
      </c>
      <c r="U1279" s="29">
        <v>15.149758500000001</v>
      </c>
      <c r="V1279" s="29">
        <v>89.915704000000005</v>
      </c>
      <c r="W1279" s="29">
        <v>75.257570999999999</v>
      </c>
      <c r="X1279" s="29">
        <v>14.658132999999999</v>
      </c>
      <c r="Y1279" s="29">
        <v>10.084296</v>
      </c>
    </row>
    <row r="1280" spans="2:25" ht="15" hidden="1" customHeight="1">
      <c r="B1280" s="25">
        <v>1275</v>
      </c>
      <c r="C1280" s="26" t="s">
        <v>21</v>
      </c>
      <c r="D1280" s="26" t="s">
        <v>403</v>
      </c>
      <c r="E1280" s="26" t="s">
        <v>408</v>
      </c>
      <c r="F1280" s="26" t="s">
        <v>410</v>
      </c>
      <c r="G1280" s="27" t="s">
        <v>16</v>
      </c>
      <c r="H1280" s="28">
        <v>4237</v>
      </c>
      <c r="I1280" s="28">
        <v>1465</v>
      </c>
      <c r="J1280" s="28">
        <v>634</v>
      </c>
      <c r="K1280" s="28">
        <v>831</v>
      </c>
      <c r="L1280" s="28">
        <v>2772</v>
      </c>
      <c r="M1280" s="28">
        <v>6645</v>
      </c>
      <c r="N1280" s="28">
        <v>3721</v>
      </c>
      <c r="O1280" s="28">
        <v>3368</v>
      </c>
      <c r="P1280" s="28">
        <v>353</v>
      </c>
      <c r="Q1280" s="28">
        <v>2924</v>
      </c>
      <c r="R1280" s="29">
        <v>34.576351199999998</v>
      </c>
      <c r="S1280" s="29">
        <v>14.9634175</v>
      </c>
      <c r="T1280" s="29">
        <v>19.612933699999999</v>
      </c>
      <c r="U1280" s="29">
        <v>65.423648799999995</v>
      </c>
      <c r="V1280" s="29">
        <v>55.996990199999999</v>
      </c>
      <c r="W1280" s="29">
        <v>50.684725399999998</v>
      </c>
      <c r="X1280" s="29">
        <v>5.3122648999999997</v>
      </c>
      <c r="Y1280" s="29">
        <v>44.003009800000001</v>
      </c>
    </row>
    <row r="1281" spans="2:25" ht="15" customHeight="1">
      <c r="B1281" s="30">
        <v>1276</v>
      </c>
      <c r="C1281" s="31" t="s">
        <v>21</v>
      </c>
      <c r="D1281" s="36" t="s">
        <v>403</v>
      </c>
      <c r="E1281" s="36" t="s">
        <v>408</v>
      </c>
      <c r="F1281" s="36" t="s">
        <v>358</v>
      </c>
      <c r="G1281" s="37" t="s">
        <v>358</v>
      </c>
      <c r="H1281" s="32">
        <v>1976</v>
      </c>
      <c r="I1281" s="32">
        <v>1832</v>
      </c>
      <c r="J1281" s="32">
        <v>784</v>
      </c>
      <c r="K1281" s="32">
        <v>1048</v>
      </c>
      <c r="L1281" s="32">
        <v>144</v>
      </c>
      <c r="M1281" s="32">
        <v>2755</v>
      </c>
      <c r="N1281" s="32">
        <v>2636</v>
      </c>
      <c r="O1281" s="32">
        <v>2264</v>
      </c>
      <c r="P1281" s="32">
        <v>372</v>
      </c>
      <c r="Q1281" s="32">
        <v>119</v>
      </c>
      <c r="R1281" s="33">
        <v>92.7125506</v>
      </c>
      <c r="S1281" s="33">
        <v>39.676113399999998</v>
      </c>
      <c r="T1281" s="33">
        <v>53.036437200000002</v>
      </c>
      <c r="U1281" s="33">
        <v>7.2874493999999999</v>
      </c>
      <c r="V1281" s="33">
        <v>95.680580800000001</v>
      </c>
      <c r="W1281" s="33">
        <v>82.177858400000005</v>
      </c>
      <c r="X1281" s="33">
        <v>13.5027223</v>
      </c>
      <c r="Y1281" s="33">
        <v>4.3194191999999996</v>
      </c>
    </row>
    <row r="1282" spans="2:25" ht="15" hidden="1" customHeight="1">
      <c r="B1282" s="25">
        <v>1277</v>
      </c>
      <c r="C1282" s="26" t="s">
        <v>21</v>
      </c>
      <c r="D1282" s="26" t="s">
        <v>403</v>
      </c>
      <c r="E1282" s="26" t="s">
        <v>408</v>
      </c>
      <c r="F1282" s="26" t="s">
        <v>358</v>
      </c>
      <c r="G1282" s="27" t="s">
        <v>15</v>
      </c>
      <c r="H1282" s="28">
        <v>1055</v>
      </c>
      <c r="I1282" s="28">
        <v>1009</v>
      </c>
      <c r="J1282" s="28">
        <v>425</v>
      </c>
      <c r="K1282" s="28">
        <v>584</v>
      </c>
      <c r="L1282" s="28">
        <v>46</v>
      </c>
      <c r="M1282" s="28">
        <v>1374</v>
      </c>
      <c r="N1282" s="28">
        <v>1330</v>
      </c>
      <c r="O1282" s="28">
        <v>1122</v>
      </c>
      <c r="P1282" s="28">
        <v>208</v>
      </c>
      <c r="Q1282" s="28">
        <v>44</v>
      </c>
      <c r="R1282" s="29">
        <v>95.639810400000002</v>
      </c>
      <c r="S1282" s="29">
        <v>40.284360200000002</v>
      </c>
      <c r="T1282" s="29">
        <v>55.3554502</v>
      </c>
      <c r="U1282" s="29">
        <v>4.3601896</v>
      </c>
      <c r="V1282" s="29">
        <v>96.797670999999994</v>
      </c>
      <c r="W1282" s="29">
        <v>81.6593886</v>
      </c>
      <c r="X1282" s="29">
        <v>15.1382824</v>
      </c>
      <c r="Y1282" s="29">
        <v>3.2023290000000002</v>
      </c>
    </row>
    <row r="1283" spans="2:25" ht="15" hidden="1" customHeight="1">
      <c r="B1283" s="25">
        <v>1278</v>
      </c>
      <c r="C1283" s="26" t="s">
        <v>21</v>
      </c>
      <c r="D1283" s="26" t="s">
        <v>403</v>
      </c>
      <c r="E1283" s="26" t="s">
        <v>408</v>
      </c>
      <c r="F1283" s="26" t="s">
        <v>358</v>
      </c>
      <c r="G1283" s="27" t="s">
        <v>16</v>
      </c>
      <c r="H1283" s="28">
        <v>921</v>
      </c>
      <c r="I1283" s="28">
        <v>823</v>
      </c>
      <c r="J1283" s="28">
        <v>359</v>
      </c>
      <c r="K1283" s="28">
        <v>464</v>
      </c>
      <c r="L1283" s="28">
        <v>98</v>
      </c>
      <c r="M1283" s="28">
        <v>1381</v>
      </c>
      <c r="N1283" s="28">
        <v>1306</v>
      </c>
      <c r="O1283" s="28">
        <v>1142</v>
      </c>
      <c r="P1283" s="28">
        <v>164</v>
      </c>
      <c r="Q1283" s="28">
        <v>75</v>
      </c>
      <c r="R1283" s="29">
        <v>89.359392</v>
      </c>
      <c r="S1283" s="29">
        <v>38.979370199999998</v>
      </c>
      <c r="T1283" s="29">
        <v>50.3800217</v>
      </c>
      <c r="U1283" s="29">
        <v>10.640608</v>
      </c>
      <c r="V1283" s="29">
        <v>94.569152799999998</v>
      </c>
      <c r="W1283" s="29">
        <v>82.693700199999995</v>
      </c>
      <c r="X1283" s="29">
        <v>11.875452599999999</v>
      </c>
      <c r="Y1283" s="29">
        <v>5.4308471999999997</v>
      </c>
    </row>
    <row r="1284" spans="2:25" ht="15" customHeight="1">
      <c r="B1284" s="30">
        <v>1279</v>
      </c>
      <c r="C1284" s="31" t="s">
        <v>21</v>
      </c>
      <c r="D1284" s="36" t="s">
        <v>403</v>
      </c>
      <c r="E1284" s="36" t="s">
        <v>408</v>
      </c>
      <c r="F1284" s="36" t="s">
        <v>411</v>
      </c>
      <c r="G1284" s="37" t="s">
        <v>411</v>
      </c>
      <c r="H1284" s="32">
        <v>4857</v>
      </c>
      <c r="I1284" s="32">
        <v>3643</v>
      </c>
      <c r="J1284" s="32">
        <v>1847</v>
      </c>
      <c r="K1284" s="32">
        <v>1796</v>
      </c>
      <c r="L1284" s="32">
        <v>1214</v>
      </c>
      <c r="M1284" s="32">
        <v>6875</v>
      </c>
      <c r="N1284" s="32">
        <v>5501</v>
      </c>
      <c r="O1284" s="32">
        <v>4720</v>
      </c>
      <c r="P1284" s="32">
        <v>781</v>
      </c>
      <c r="Q1284" s="32">
        <v>1374</v>
      </c>
      <c r="R1284" s="33">
        <v>75.005147199999996</v>
      </c>
      <c r="S1284" s="33">
        <v>38.027588999999999</v>
      </c>
      <c r="T1284" s="33">
        <v>36.977558199999997</v>
      </c>
      <c r="U1284" s="33">
        <v>24.9948528</v>
      </c>
      <c r="V1284" s="33">
        <v>80.014545499999997</v>
      </c>
      <c r="W1284" s="33">
        <v>68.654545499999998</v>
      </c>
      <c r="X1284" s="33">
        <v>11.36</v>
      </c>
      <c r="Y1284" s="33">
        <v>19.985454499999999</v>
      </c>
    </row>
    <row r="1285" spans="2:25" ht="15" hidden="1" customHeight="1">
      <c r="B1285" s="25">
        <v>1280</v>
      </c>
      <c r="C1285" s="26" t="s">
        <v>21</v>
      </c>
      <c r="D1285" s="26" t="s">
        <v>403</v>
      </c>
      <c r="E1285" s="26" t="s">
        <v>408</v>
      </c>
      <c r="F1285" s="26" t="s">
        <v>411</v>
      </c>
      <c r="G1285" s="27" t="s">
        <v>15</v>
      </c>
      <c r="H1285" s="28">
        <v>3145</v>
      </c>
      <c r="I1285" s="28">
        <v>2954</v>
      </c>
      <c r="J1285" s="28">
        <v>1407</v>
      </c>
      <c r="K1285" s="28">
        <v>1547</v>
      </c>
      <c r="L1285" s="28">
        <v>191</v>
      </c>
      <c r="M1285" s="28">
        <v>4265</v>
      </c>
      <c r="N1285" s="28">
        <v>3936</v>
      </c>
      <c r="O1285" s="28">
        <v>3266</v>
      </c>
      <c r="P1285" s="28">
        <v>670</v>
      </c>
      <c r="Q1285" s="28">
        <v>329</v>
      </c>
      <c r="R1285" s="29">
        <v>93.926867999999999</v>
      </c>
      <c r="S1285" s="29">
        <v>44.737678899999999</v>
      </c>
      <c r="T1285" s="29">
        <v>49.189189200000001</v>
      </c>
      <c r="U1285" s="29">
        <v>6.0731320000000002</v>
      </c>
      <c r="V1285" s="29">
        <v>92.286049199999994</v>
      </c>
      <c r="W1285" s="29">
        <v>76.576787800000005</v>
      </c>
      <c r="X1285" s="29">
        <v>15.709261400000001</v>
      </c>
      <c r="Y1285" s="29">
        <v>7.7139508000000001</v>
      </c>
    </row>
    <row r="1286" spans="2:25" ht="15" hidden="1" customHeight="1">
      <c r="B1286" s="25">
        <v>1281</v>
      </c>
      <c r="C1286" s="26" t="s">
        <v>21</v>
      </c>
      <c r="D1286" s="26" t="s">
        <v>403</v>
      </c>
      <c r="E1286" s="26" t="s">
        <v>408</v>
      </c>
      <c r="F1286" s="26" t="s">
        <v>411</v>
      </c>
      <c r="G1286" s="27" t="s">
        <v>16</v>
      </c>
      <c r="H1286" s="28">
        <v>1712</v>
      </c>
      <c r="I1286" s="28">
        <v>689</v>
      </c>
      <c r="J1286" s="28">
        <v>440</v>
      </c>
      <c r="K1286" s="28">
        <v>249</v>
      </c>
      <c r="L1286" s="28">
        <v>1023</v>
      </c>
      <c r="M1286" s="28">
        <v>2610</v>
      </c>
      <c r="N1286" s="28">
        <v>1565</v>
      </c>
      <c r="O1286" s="28">
        <v>1454</v>
      </c>
      <c r="P1286" s="28">
        <v>111</v>
      </c>
      <c r="Q1286" s="28">
        <v>1045</v>
      </c>
      <c r="R1286" s="29">
        <v>40.245327099999997</v>
      </c>
      <c r="S1286" s="29">
        <v>25.7009346</v>
      </c>
      <c r="T1286" s="29">
        <v>14.544392500000001</v>
      </c>
      <c r="U1286" s="29">
        <v>59.754672900000003</v>
      </c>
      <c r="V1286" s="29">
        <v>59.961685799999998</v>
      </c>
      <c r="W1286" s="29">
        <v>55.708812299999998</v>
      </c>
      <c r="X1286" s="29">
        <v>4.2528736</v>
      </c>
      <c r="Y1286" s="29">
        <v>40.038314200000002</v>
      </c>
    </row>
    <row r="1287" spans="2:25" ht="15" hidden="1" customHeight="1">
      <c r="B1287" s="21">
        <v>1282</v>
      </c>
      <c r="C1287" s="22" t="s">
        <v>19</v>
      </c>
      <c r="D1287" s="35" t="s">
        <v>403</v>
      </c>
      <c r="E1287" s="35" t="s">
        <v>412</v>
      </c>
      <c r="F1287" s="35"/>
      <c r="G1287" s="22" t="s">
        <v>412</v>
      </c>
      <c r="H1287" s="23">
        <v>4368</v>
      </c>
      <c r="I1287" s="23">
        <v>3784</v>
      </c>
      <c r="J1287" s="23">
        <v>1422</v>
      </c>
      <c r="K1287" s="23">
        <v>2362</v>
      </c>
      <c r="L1287" s="23">
        <v>584</v>
      </c>
      <c r="M1287" s="23">
        <v>5750</v>
      </c>
      <c r="N1287" s="23">
        <v>5226</v>
      </c>
      <c r="O1287" s="23">
        <v>4344</v>
      </c>
      <c r="P1287" s="23">
        <v>882</v>
      </c>
      <c r="Q1287" s="23">
        <v>524</v>
      </c>
      <c r="R1287" s="24">
        <v>86.630036599999997</v>
      </c>
      <c r="S1287" s="24">
        <v>32.554945099999998</v>
      </c>
      <c r="T1287" s="24">
        <v>54.0750916</v>
      </c>
      <c r="U1287" s="24">
        <v>13.3699634</v>
      </c>
      <c r="V1287" s="24">
        <v>90.886956499999997</v>
      </c>
      <c r="W1287" s="24">
        <v>75.547826099999995</v>
      </c>
      <c r="X1287" s="24">
        <v>15.3391304</v>
      </c>
      <c r="Y1287" s="24">
        <v>9.1130434999999999</v>
      </c>
    </row>
    <row r="1288" spans="2:25" ht="15" hidden="1" customHeight="1">
      <c r="B1288" s="25">
        <v>1283</v>
      </c>
      <c r="C1288" s="26" t="s">
        <v>19</v>
      </c>
      <c r="D1288" s="26" t="s">
        <v>403</v>
      </c>
      <c r="E1288" s="26" t="s">
        <v>412</v>
      </c>
      <c r="F1288" s="26"/>
      <c r="G1288" s="27" t="s">
        <v>15</v>
      </c>
      <c r="H1288" s="28">
        <v>2407</v>
      </c>
      <c r="I1288" s="28">
        <v>2178</v>
      </c>
      <c r="J1288" s="28">
        <v>1040</v>
      </c>
      <c r="K1288" s="28">
        <v>1138</v>
      </c>
      <c r="L1288" s="28">
        <v>229</v>
      </c>
      <c r="M1288" s="28">
        <v>3213</v>
      </c>
      <c r="N1288" s="28">
        <v>3092</v>
      </c>
      <c r="O1288" s="28">
        <v>2654</v>
      </c>
      <c r="P1288" s="28">
        <v>438</v>
      </c>
      <c r="Q1288" s="28">
        <v>121</v>
      </c>
      <c r="R1288" s="29">
        <v>90.486082300000007</v>
      </c>
      <c r="S1288" s="29">
        <v>43.207312000000002</v>
      </c>
      <c r="T1288" s="29">
        <v>47.278770299999998</v>
      </c>
      <c r="U1288" s="29">
        <v>9.5139177000000004</v>
      </c>
      <c r="V1288" s="29">
        <v>96.234049200000001</v>
      </c>
      <c r="W1288" s="29">
        <v>82.601929699999999</v>
      </c>
      <c r="X1288" s="29">
        <v>13.6321195</v>
      </c>
      <c r="Y1288" s="29">
        <v>3.7659508000000002</v>
      </c>
    </row>
    <row r="1289" spans="2:25" ht="15" hidden="1" customHeight="1">
      <c r="B1289" s="25">
        <v>1284</v>
      </c>
      <c r="C1289" s="26" t="s">
        <v>19</v>
      </c>
      <c r="D1289" s="26" t="s">
        <v>403</v>
      </c>
      <c r="E1289" s="26" t="s">
        <v>412</v>
      </c>
      <c r="F1289" s="26"/>
      <c r="G1289" s="27" t="s">
        <v>16</v>
      </c>
      <c r="H1289" s="28">
        <v>1961</v>
      </c>
      <c r="I1289" s="28">
        <v>1606</v>
      </c>
      <c r="J1289" s="28">
        <v>382</v>
      </c>
      <c r="K1289" s="28">
        <v>1224</v>
      </c>
      <c r="L1289" s="28">
        <v>355</v>
      </c>
      <c r="M1289" s="28">
        <v>2537</v>
      </c>
      <c r="N1289" s="28">
        <v>2134</v>
      </c>
      <c r="O1289" s="28">
        <v>1690</v>
      </c>
      <c r="P1289" s="28">
        <v>444</v>
      </c>
      <c r="Q1289" s="28">
        <v>403</v>
      </c>
      <c r="R1289" s="29">
        <v>81.896991299999996</v>
      </c>
      <c r="S1289" s="29">
        <v>19.479857200000001</v>
      </c>
      <c r="T1289" s="29">
        <v>62.417134099999998</v>
      </c>
      <c r="U1289" s="29">
        <v>18.1030087</v>
      </c>
      <c r="V1289" s="29">
        <v>84.115096600000001</v>
      </c>
      <c r="W1289" s="29">
        <v>66.614111199999996</v>
      </c>
      <c r="X1289" s="29">
        <v>17.500985400000001</v>
      </c>
      <c r="Y1289" s="29">
        <v>15.884903400000001</v>
      </c>
    </row>
    <row r="1290" spans="2:25" ht="15" customHeight="1">
      <c r="B1290" s="30">
        <v>1285</v>
      </c>
      <c r="C1290" s="31" t="s">
        <v>21</v>
      </c>
      <c r="D1290" s="36" t="s">
        <v>403</v>
      </c>
      <c r="E1290" s="36" t="s">
        <v>412</v>
      </c>
      <c r="F1290" s="36" t="s">
        <v>413</v>
      </c>
      <c r="G1290" s="37" t="s">
        <v>413</v>
      </c>
      <c r="H1290" s="32">
        <v>3430</v>
      </c>
      <c r="I1290" s="32">
        <v>3016</v>
      </c>
      <c r="J1290" s="32">
        <v>1362</v>
      </c>
      <c r="K1290" s="32">
        <v>1654</v>
      </c>
      <c r="L1290" s="32">
        <v>414</v>
      </c>
      <c r="M1290" s="32">
        <v>4295</v>
      </c>
      <c r="N1290" s="32">
        <v>3893</v>
      </c>
      <c r="O1290" s="32">
        <v>3300</v>
      </c>
      <c r="P1290" s="32">
        <v>593</v>
      </c>
      <c r="Q1290" s="32">
        <v>402</v>
      </c>
      <c r="R1290" s="33">
        <v>87.930029200000007</v>
      </c>
      <c r="S1290" s="33">
        <v>39.708454799999998</v>
      </c>
      <c r="T1290" s="33">
        <v>48.2215743</v>
      </c>
      <c r="U1290" s="33">
        <v>12.0699708</v>
      </c>
      <c r="V1290" s="33">
        <v>90.640279399999997</v>
      </c>
      <c r="W1290" s="33">
        <v>76.833527399999994</v>
      </c>
      <c r="X1290" s="33">
        <v>13.806751999999999</v>
      </c>
      <c r="Y1290" s="33">
        <v>9.3597205999999993</v>
      </c>
    </row>
    <row r="1291" spans="2:25" ht="15" hidden="1" customHeight="1">
      <c r="B1291" s="25">
        <v>1286</v>
      </c>
      <c r="C1291" s="26" t="s">
        <v>21</v>
      </c>
      <c r="D1291" s="26" t="s">
        <v>403</v>
      </c>
      <c r="E1291" s="26" t="s">
        <v>412</v>
      </c>
      <c r="F1291" s="26" t="s">
        <v>413</v>
      </c>
      <c r="G1291" s="27" t="s">
        <v>15</v>
      </c>
      <c r="H1291" s="28">
        <v>2407</v>
      </c>
      <c r="I1291" s="28">
        <v>2178</v>
      </c>
      <c r="J1291" s="28">
        <v>1040</v>
      </c>
      <c r="K1291" s="28">
        <v>1138</v>
      </c>
      <c r="L1291" s="28">
        <v>229</v>
      </c>
      <c r="M1291" s="28">
        <v>2971</v>
      </c>
      <c r="N1291" s="28">
        <v>2861</v>
      </c>
      <c r="O1291" s="28">
        <v>2443</v>
      </c>
      <c r="P1291" s="28">
        <v>418</v>
      </c>
      <c r="Q1291" s="28">
        <v>110</v>
      </c>
      <c r="R1291" s="29">
        <v>90.486082300000007</v>
      </c>
      <c r="S1291" s="29">
        <v>43.207312000000002</v>
      </c>
      <c r="T1291" s="29">
        <v>47.278770299999998</v>
      </c>
      <c r="U1291" s="29">
        <v>9.5139177000000004</v>
      </c>
      <c r="V1291" s="29">
        <v>96.297542899999996</v>
      </c>
      <c r="W1291" s="29">
        <v>82.228206</v>
      </c>
      <c r="X1291" s="29">
        <v>14.0693369</v>
      </c>
      <c r="Y1291" s="29">
        <v>3.7024571000000002</v>
      </c>
    </row>
    <row r="1292" spans="2:25" ht="15" hidden="1" customHeight="1">
      <c r="B1292" s="25">
        <v>1287</v>
      </c>
      <c r="C1292" s="26" t="s">
        <v>21</v>
      </c>
      <c r="D1292" s="26" t="s">
        <v>403</v>
      </c>
      <c r="E1292" s="26" t="s">
        <v>412</v>
      </c>
      <c r="F1292" s="26" t="s">
        <v>413</v>
      </c>
      <c r="G1292" s="27" t="s">
        <v>16</v>
      </c>
      <c r="H1292" s="28">
        <v>1023</v>
      </c>
      <c r="I1292" s="28">
        <v>838</v>
      </c>
      <c r="J1292" s="28">
        <v>322</v>
      </c>
      <c r="K1292" s="28">
        <v>516</v>
      </c>
      <c r="L1292" s="28">
        <v>185</v>
      </c>
      <c r="M1292" s="28">
        <v>1324</v>
      </c>
      <c r="N1292" s="28">
        <v>1032</v>
      </c>
      <c r="O1292" s="28">
        <v>857</v>
      </c>
      <c r="P1292" s="28">
        <v>175</v>
      </c>
      <c r="Q1292" s="28">
        <v>292</v>
      </c>
      <c r="R1292" s="29">
        <v>81.915933499999994</v>
      </c>
      <c r="S1292" s="29">
        <v>31.476050799999999</v>
      </c>
      <c r="T1292" s="29">
        <v>50.439882699999998</v>
      </c>
      <c r="U1292" s="29">
        <v>18.084066499999999</v>
      </c>
      <c r="V1292" s="29">
        <v>77.945619300000004</v>
      </c>
      <c r="W1292" s="29">
        <v>64.728096699999995</v>
      </c>
      <c r="X1292" s="29">
        <v>13.2175227</v>
      </c>
      <c r="Y1292" s="29">
        <v>22.054380699999999</v>
      </c>
    </row>
    <row r="1293" spans="2:25" ht="15" customHeight="1">
      <c r="B1293" s="30">
        <v>1288</v>
      </c>
      <c r="C1293" s="31" t="s">
        <v>21</v>
      </c>
      <c r="D1293" s="36" t="s">
        <v>403</v>
      </c>
      <c r="E1293" s="36" t="s">
        <v>412</v>
      </c>
      <c r="F1293" s="36" t="s">
        <v>414</v>
      </c>
      <c r="G1293" s="37" t="s">
        <v>414</v>
      </c>
      <c r="H1293" s="32">
        <v>938</v>
      </c>
      <c r="I1293" s="32">
        <v>768</v>
      </c>
      <c r="J1293" s="32">
        <v>60</v>
      </c>
      <c r="K1293" s="32">
        <v>708</v>
      </c>
      <c r="L1293" s="32">
        <v>170</v>
      </c>
      <c r="M1293" s="32">
        <v>1455</v>
      </c>
      <c r="N1293" s="32">
        <v>1333</v>
      </c>
      <c r="O1293" s="32">
        <v>1044</v>
      </c>
      <c r="P1293" s="32">
        <v>289</v>
      </c>
      <c r="Q1293" s="32">
        <v>122</v>
      </c>
      <c r="R1293" s="33">
        <v>81.876332599999998</v>
      </c>
      <c r="S1293" s="33">
        <v>6.3965885</v>
      </c>
      <c r="T1293" s="33">
        <v>75.479744100000005</v>
      </c>
      <c r="U1293" s="33">
        <v>18.123667399999999</v>
      </c>
      <c r="V1293" s="33">
        <v>91.615120300000001</v>
      </c>
      <c r="W1293" s="33">
        <v>71.752577299999999</v>
      </c>
      <c r="X1293" s="33">
        <v>19.862542999999999</v>
      </c>
      <c r="Y1293" s="33">
        <v>8.3848797000000008</v>
      </c>
    </row>
    <row r="1294" spans="2:25" ht="15" hidden="1" customHeight="1">
      <c r="B1294" s="25">
        <v>1289</v>
      </c>
      <c r="C1294" s="26" t="s">
        <v>21</v>
      </c>
      <c r="D1294" s="26" t="s">
        <v>403</v>
      </c>
      <c r="E1294" s="26" t="s">
        <v>412</v>
      </c>
      <c r="F1294" s="26" t="s">
        <v>414</v>
      </c>
      <c r="G1294" s="27" t="s">
        <v>15</v>
      </c>
      <c r="H1294" s="28"/>
      <c r="I1294" s="28"/>
      <c r="J1294" s="28"/>
      <c r="K1294" s="28"/>
      <c r="L1294" s="28"/>
      <c r="M1294" s="28">
        <v>242</v>
      </c>
      <c r="N1294" s="28">
        <v>231</v>
      </c>
      <c r="O1294" s="28">
        <v>211</v>
      </c>
      <c r="P1294" s="28">
        <v>20</v>
      </c>
      <c r="Q1294" s="28">
        <v>11</v>
      </c>
      <c r="R1294" s="29"/>
      <c r="S1294" s="29"/>
      <c r="T1294" s="29"/>
      <c r="U1294" s="29"/>
      <c r="V1294" s="29">
        <v>95.454545499999995</v>
      </c>
      <c r="W1294" s="29">
        <v>87.190082599999997</v>
      </c>
      <c r="X1294" s="29">
        <v>8.2644628000000004</v>
      </c>
      <c r="Y1294" s="29">
        <v>4.5454545</v>
      </c>
    </row>
    <row r="1295" spans="2:25" ht="15" hidden="1" customHeight="1">
      <c r="B1295" s="25">
        <v>1290</v>
      </c>
      <c r="C1295" s="26" t="s">
        <v>21</v>
      </c>
      <c r="D1295" s="26" t="s">
        <v>403</v>
      </c>
      <c r="E1295" s="26" t="s">
        <v>412</v>
      </c>
      <c r="F1295" s="26" t="s">
        <v>414</v>
      </c>
      <c r="G1295" s="27" t="s">
        <v>16</v>
      </c>
      <c r="H1295" s="28">
        <v>938</v>
      </c>
      <c r="I1295" s="28">
        <v>768</v>
      </c>
      <c r="J1295" s="28">
        <v>60</v>
      </c>
      <c r="K1295" s="28">
        <v>708</v>
      </c>
      <c r="L1295" s="28">
        <v>170</v>
      </c>
      <c r="M1295" s="28">
        <v>1213</v>
      </c>
      <c r="N1295" s="28">
        <v>1102</v>
      </c>
      <c r="O1295" s="28">
        <v>833</v>
      </c>
      <c r="P1295" s="28">
        <v>269</v>
      </c>
      <c r="Q1295" s="28">
        <v>111</v>
      </c>
      <c r="R1295" s="29">
        <v>81.876332599999998</v>
      </c>
      <c r="S1295" s="29">
        <v>6.3965885</v>
      </c>
      <c r="T1295" s="29">
        <v>75.479744100000005</v>
      </c>
      <c r="U1295" s="29">
        <v>18.123667399999999</v>
      </c>
      <c r="V1295" s="29">
        <v>90.849134399999997</v>
      </c>
      <c r="W1295" s="29">
        <v>68.672712300000001</v>
      </c>
      <c r="X1295" s="29">
        <v>22.1764221</v>
      </c>
      <c r="Y1295" s="29">
        <v>9.1508655999999995</v>
      </c>
    </row>
    <row r="1296" spans="2:25" ht="15" hidden="1" customHeight="1">
      <c r="B1296" s="21">
        <v>1291</v>
      </c>
      <c r="C1296" s="22" t="s">
        <v>19</v>
      </c>
      <c r="D1296" s="35" t="s">
        <v>403</v>
      </c>
      <c r="E1296" s="35" t="s">
        <v>415</v>
      </c>
      <c r="F1296" s="35"/>
      <c r="G1296" s="22" t="s">
        <v>415</v>
      </c>
      <c r="H1296" s="23">
        <v>4005</v>
      </c>
      <c r="I1296" s="23">
        <v>3143</v>
      </c>
      <c r="J1296" s="23">
        <v>1589</v>
      </c>
      <c r="K1296" s="23">
        <v>1554</v>
      </c>
      <c r="L1296" s="23">
        <v>862</v>
      </c>
      <c r="M1296" s="23">
        <v>5391</v>
      </c>
      <c r="N1296" s="23">
        <v>4706</v>
      </c>
      <c r="O1296" s="23">
        <v>4006</v>
      </c>
      <c r="P1296" s="23">
        <v>700</v>
      </c>
      <c r="Q1296" s="23">
        <v>685</v>
      </c>
      <c r="R1296" s="24">
        <v>78.476903899999996</v>
      </c>
      <c r="S1296" s="24">
        <v>39.675405699999999</v>
      </c>
      <c r="T1296" s="24">
        <v>38.801498100000003</v>
      </c>
      <c r="U1296" s="24">
        <v>21.5230961</v>
      </c>
      <c r="V1296" s="24">
        <v>87.293637500000003</v>
      </c>
      <c r="W1296" s="24">
        <v>74.309033600000006</v>
      </c>
      <c r="X1296" s="24">
        <v>12.984603999999999</v>
      </c>
      <c r="Y1296" s="24">
        <v>12.706362499999999</v>
      </c>
    </row>
    <row r="1297" spans="2:25" ht="15" hidden="1" customHeight="1">
      <c r="B1297" s="25">
        <v>1292</v>
      </c>
      <c r="C1297" s="26" t="s">
        <v>19</v>
      </c>
      <c r="D1297" s="26" t="s">
        <v>403</v>
      </c>
      <c r="E1297" s="26" t="s">
        <v>415</v>
      </c>
      <c r="F1297" s="26"/>
      <c r="G1297" s="27" t="s">
        <v>15</v>
      </c>
      <c r="H1297" s="28">
        <v>2154</v>
      </c>
      <c r="I1297" s="28">
        <v>1920</v>
      </c>
      <c r="J1297" s="28">
        <v>1041</v>
      </c>
      <c r="K1297" s="28">
        <v>879</v>
      </c>
      <c r="L1297" s="28">
        <v>234</v>
      </c>
      <c r="M1297" s="28">
        <v>2611</v>
      </c>
      <c r="N1297" s="28">
        <v>2515</v>
      </c>
      <c r="O1297" s="28">
        <v>2095</v>
      </c>
      <c r="P1297" s="28">
        <v>420</v>
      </c>
      <c r="Q1297" s="28">
        <v>96</v>
      </c>
      <c r="R1297" s="29">
        <v>89.136490300000006</v>
      </c>
      <c r="S1297" s="29">
        <v>48.328690799999997</v>
      </c>
      <c r="T1297" s="29">
        <v>40.8077994</v>
      </c>
      <c r="U1297" s="29">
        <v>10.8635097</v>
      </c>
      <c r="V1297" s="29">
        <v>96.323247800000004</v>
      </c>
      <c r="W1297" s="29">
        <v>80.237456899999998</v>
      </c>
      <c r="X1297" s="29">
        <v>16.085790899999999</v>
      </c>
      <c r="Y1297" s="29">
        <v>3.6767522000000001</v>
      </c>
    </row>
    <row r="1298" spans="2:25" ht="15" hidden="1" customHeight="1">
      <c r="B1298" s="25">
        <v>1293</v>
      </c>
      <c r="C1298" s="26" t="s">
        <v>19</v>
      </c>
      <c r="D1298" s="26" t="s">
        <v>403</v>
      </c>
      <c r="E1298" s="26" t="s">
        <v>415</v>
      </c>
      <c r="F1298" s="26"/>
      <c r="G1298" s="27" t="s">
        <v>16</v>
      </c>
      <c r="H1298" s="28">
        <v>1851</v>
      </c>
      <c r="I1298" s="28">
        <v>1223</v>
      </c>
      <c r="J1298" s="28">
        <v>548</v>
      </c>
      <c r="K1298" s="28">
        <v>675</v>
      </c>
      <c r="L1298" s="28">
        <v>628</v>
      </c>
      <c r="M1298" s="28">
        <v>2780</v>
      </c>
      <c r="N1298" s="28">
        <v>2191</v>
      </c>
      <c r="O1298" s="28">
        <v>1911</v>
      </c>
      <c r="P1298" s="28">
        <v>280</v>
      </c>
      <c r="Q1298" s="28">
        <v>589</v>
      </c>
      <c r="R1298" s="29">
        <v>66.072393300000002</v>
      </c>
      <c r="S1298" s="29">
        <v>29.6056186</v>
      </c>
      <c r="T1298" s="29">
        <v>36.466774700000002</v>
      </c>
      <c r="U1298" s="29">
        <v>33.927606699999998</v>
      </c>
      <c r="V1298" s="29">
        <v>78.812949599999996</v>
      </c>
      <c r="W1298" s="29">
        <v>68.741007199999999</v>
      </c>
      <c r="X1298" s="29">
        <v>10.071942399999999</v>
      </c>
      <c r="Y1298" s="29">
        <v>21.1870504</v>
      </c>
    </row>
    <row r="1299" spans="2:25" ht="15" customHeight="1">
      <c r="B1299" s="30">
        <v>1294</v>
      </c>
      <c r="C1299" s="31" t="s">
        <v>21</v>
      </c>
      <c r="D1299" s="36" t="s">
        <v>403</v>
      </c>
      <c r="E1299" s="36" t="s">
        <v>415</v>
      </c>
      <c r="F1299" s="36" t="s">
        <v>344</v>
      </c>
      <c r="G1299" s="37" t="s">
        <v>344</v>
      </c>
      <c r="H1299" s="32">
        <v>4005</v>
      </c>
      <c r="I1299" s="32">
        <v>3143</v>
      </c>
      <c r="J1299" s="32">
        <v>1589</v>
      </c>
      <c r="K1299" s="32">
        <v>1554</v>
      </c>
      <c r="L1299" s="32">
        <v>862</v>
      </c>
      <c r="M1299" s="32">
        <v>5391</v>
      </c>
      <c r="N1299" s="32">
        <v>4706</v>
      </c>
      <c r="O1299" s="32">
        <v>4006</v>
      </c>
      <c r="P1299" s="32">
        <v>700</v>
      </c>
      <c r="Q1299" s="32">
        <v>685</v>
      </c>
      <c r="R1299" s="33">
        <v>78.476903899999996</v>
      </c>
      <c r="S1299" s="33">
        <v>39.675405699999999</v>
      </c>
      <c r="T1299" s="33">
        <v>38.801498100000003</v>
      </c>
      <c r="U1299" s="33">
        <v>21.5230961</v>
      </c>
      <c r="V1299" s="33">
        <v>87.293637500000003</v>
      </c>
      <c r="W1299" s="33">
        <v>74.309033600000006</v>
      </c>
      <c r="X1299" s="33">
        <v>12.984603999999999</v>
      </c>
      <c r="Y1299" s="33">
        <v>12.706362499999999</v>
      </c>
    </row>
    <row r="1300" spans="2:25" ht="15" hidden="1" customHeight="1">
      <c r="B1300" s="25">
        <v>1295</v>
      </c>
      <c r="C1300" s="26" t="s">
        <v>21</v>
      </c>
      <c r="D1300" s="26" t="s">
        <v>403</v>
      </c>
      <c r="E1300" s="26" t="s">
        <v>415</v>
      </c>
      <c r="F1300" s="26" t="s">
        <v>344</v>
      </c>
      <c r="G1300" s="27" t="s">
        <v>15</v>
      </c>
      <c r="H1300" s="28">
        <v>2154</v>
      </c>
      <c r="I1300" s="28">
        <v>1920</v>
      </c>
      <c r="J1300" s="28">
        <v>1041</v>
      </c>
      <c r="K1300" s="28">
        <v>879</v>
      </c>
      <c r="L1300" s="28">
        <v>234</v>
      </c>
      <c r="M1300" s="28">
        <v>2611</v>
      </c>
      <c r="N1300" s="28">
        <v>2515</v>
      </c>
      <c r="O1300" s="28">
        <v>2095</v>
      </c>
      <c r="P1300" s="28">
        <v>420</v>
      </c>
      <c r="Q1300" s="28">
        <v>96</v>
      </c>
      <c r="R1300" s="29">
        <v>89.136490300000006</v>
      </c>
      <c r="S1300" s="29">
        <v>48.328690799999997</v>
      </c>
      <c r="T1300" s="29">
        <v>40.8077994</v>
      </c>
      <c r="U1300" s="29">
        <v>10.8635097</v>
      </c>
      <c r="V1300" s="29">
        <v>96.323247800000004</v>
      </c>
      <c r="W1300" s="29">
        <v>80.237456899999998</v>
      </c>
      <c r="X1300" s="29">
        <v>16.085790899999999</v>
      </c>
      <c r="Y1300" s="29">
        <v>3.6767522000000001</v>
      </c>
    </row>
    <row r="1301" spans="2:25" ht="15" hidden="1" customHeight="1">
      <c r="B1301" s="25">
        <v>1296</v>
      </c>
      <c r="C1301" s="26" t="s">
        <v>21</v>
      </c>
      <c r="D1301" s="26" t="s">
        <v>403</v>
      </c>
      <c r="E1301" s="26" t="s">
        <v>415</v>
      </c>
      <c r="F1301" s="26" t="s">
        <v>344</v>
      </c>
      <c r="G1301" s="27" t="s">
        <v>16</v>
      </c>
      <c r="H1301" s="28">
        <v>1851</v>
      </c>
      <c r="I1301" s="28">
        <v>1223</v>
      </c>
      <c r="J1301" s="28">
        <v>548</v>
      </c>
      <c r="K1301" s="28">
        <v>675</v>
      </c>
      <c r="L1301" s="28">
        <v>628</v>
      </c>
      <c r="M1301" s="28">
        <v>2780</v>
      </c>
      <c r="N1301" s="28">
        <v>2191</v>
      </c>
      <c r="O1301" s="28">
        <v>1911</v>
      </c>
      <c r="P1301" s="28">
        <v>280</v>
      </c>
      <c r="Q1301" s="28">
        <v>589</v>
      </c>
      <c r="R1301" s="29">
        <v>66.072393300000002</v>
      </c>
      <c r="S1301" s="29">
        <v>29.6056186</v>
      </c>
      <c r="T1301" s="29">
        <v>36.466774700000002</v>
      </c>
      <c r="U1301" s="29">
        <v>33.927606699999998</v>
      </c>
      <c r="V1301" s="29">
        <v>78.812949599999996</v>
      </c>
      <c r="W1301" s="29">
        <v>68.741007199999999</v>
      </c>
      <c r="X1301" s="29">
        <v>10.071942399999999</v>
      </c>
      <c r="Y1301" s="29">
        <v>21.1870504</v>
      </c>
    </row>
    <row r="1302" spans="2:25" ht="15" hidden="1" customHeight="1">
      <c r="B1302" s="21">
        <v>1297</v>
      </c>
      <c r="C1302" s="22" t="s">
        <v>19</v>
      </c>
      <c r="D1302" s="35" t="s">
        <v>403</v>
      </c>
      <c r="E1302" s="35" t="s">
        <v>416</v>
      </c>
      <c r="F1302" s="35"/>
      <c r="G1302" s="22" t="s">
        <v>416</v>
      </c>
      <c r="H1302" s="23">
        <v>3860</v>
      </c>
      <c r="I1302" s="23">
        <v>3031</v>
      </c>
      <c r="J1302" s="23">
        <v>1405</v>
      </c>
      <c r="K1302" s="23">
        <v>1626</v>
      </c>
      <c r="L1302" s="23">
        <v>829</v>
      </c>
      <c r="M1302" s="23">
        <v>6323</v>
      </c>
      <c r="N1302" s="23">
        <v>4678</v>
      </c>
      <c r="O1302" s="23">
        <v>4130</v>
      </c>
      <c r="P1302" s="23">
        <v>548</v>
      </c>
      <c r="Q1302" s="23">
        <v>1645</v>
      </c>
      <c r="R1302" s="24">
        <v>78.523316100000002</v>
      </c>
      <c r="S1302" s="24">
        <v>36.398963700000003</v>
      </c>
      <c r="T1302" s="24">
        <v>42.124352299999998</v>
      </c>
      <c r="U1302" s="24">
        <v>21.476683900000001</v>
      </c>
      <c r="V1302" s="24">
        <v>73.983868400000006</v>
      </c>
      <c r="W1302" s="24">
        <v>65.317096300000003</v>
      </c>
      <c r="X1302" s="24">
        <v>8.6667720999999993</v>
      </c>
      <c r="Y1302" s="24">
        <v>26.016131600000001</v>
      </c>
    </row>
    <row r="1303" spans="2:25" ht="15" hidden="1" customHeight="1">
      <c r="B1303" s="25">
        <v>1298</v>
      </c>
      <c r="C1303" s="26" t="s">
        <v>19</v>
      </c>
      <c r="D1303" s="26" t="s">
        <v>403</v>
      </c>
      <c r="E1303" s="26" t="s">
        <v>416</v>
      </c>
      <c r="F1303" s="26"/>
      <c r="G1303" s="27" t="s">
        <v>15</v>
      </c>
      <c r="H1303" s="28">
        <v>550</v>
      </c>
      <c r="I1303" s="28">
        <v>499</v>
      </c>
      <c r="J1303" s="28">
        <v>245</v>
      </c>
      <c r="K1303" s="28">
        <v>254</v>
      </c>
      <c r="L1303" s="28">
        <v>51</v>
      </c>
      <c r="M1303" s="28">
        <v>696</v>
      </c>
      <c r="N1303" s="28">
        <v>631</v>
      </c>
      <c r="O1303" s="28">
        <v>551</v>
      </c>
      <c r="P1303" s="28">
        <v>80</v>
      </c>
      <c r="Q1303" s="28">
        <v>65</v>
      </c>
      <c r="R1303" s="29">
        <v>90.7272727</v>
      </c>
      <c r="S1303" s="29">
        <v>44.545454499999998</v>
      </c>
      <c r="T1303" s="29">
        <v>46.181818200000002</v>
      </c>
      <c r="U1303" s="29">
        <v>9.2727272999999997</v>
      </c>
      <c r="V1303" s="29">
        <v>90.660919500000006</v>
      </c>
      <c r="W1303" s="29">
        <v>79.166666699999993</v>
      </c>
      <c r="X1303" s="29">
        <v>11.494252899999999</v>
      </c>
      <c r="Y1303" s="29">
        <v>9.3390804999999997</v>
      </c>
    </row>
    <row r="1304" spans="2:25" ht="15" hidden="1" customHeight="1">
      <c r="B1304" s="25">
        <v>1299</v>
      </c>
      <c r="C1304" s="26" t="s">
        <v>19</v>
      </c>
      <c r="D1304" s="26" t="s">
        <v>403</v>
      </c>
      <c r="E1304" s="26" t="s">
        <v>416</v>
      </c>
      <c r="F1304" s="26"/>
      <c r="G1304" s="27" t="s">
        <v>16</v>
      </c>
      <c r="H1304" s="28">
        <v>3310</v>
      </c>
      <c r="I1304" s="28">
        <v>2532</v>
      </c>
      <c r="J1304" s="28">
        <v>1160</v>
      </c>
      <c r="K1304" s="28">
        <v>1372</v>
      </c>
      <c r="L1304" s="28">
        <v>778</v>
      </c>
      <c r="M1304" s="28">
        <v>5627</v>
      </c>
      <c r="N1304" s="28">
        <v>4047</v>
      </c>
      <c r="O1304" s="28">
        <v>3579</v>
      </c>
      <c r="P1304" s="28">
        <v>468</v>
      </c>
      <c r="Q1304" s="28">
        <v>1580</v>
      </c>
      <c r="R1304" s="29">
        <v>76.495468299999999</v>
      </c>
      <c r="S1304" s="29">
        <v>35.0453172</v>
      </c>
      <c r="T1304" s="29">
        <v>41.450151099999999</v>
      </c>
      <c r="U1304" s="29">
        <v>23.504531700000001</v>
      </c>
      <c r="V1304" s="29">
        <v>71.921094699999998</v>
      </c>
      <c r="W1304" s="29">
        <v>63.604051900000002</v>
      </c>
      <c r="X1304" s="29">
        <v>8.3170427999999994</v>
      </c>
      <c r="Y1304" s="29">
        <v>28.078905299999999</v>
      </c>
    </row>
    <row r="1305" spans="2:25" ht="15" customHeight="1">
      <c r="B1305" s="30">
        <v>1300</v>
      </c>
      <c r="C1305" s="31" t="s">
        <v>21</v>
      </c>
      <c r="D1305" s="36" t="s">
        <v>403</v>
      </c>
      <c r="E1305" s="36" t="s">
        <v>416</v>
      </c>
      <c r="F1305" s="36" t="s">
        <v>417</v>
      </c>
      <c r="G1305" s="37" t="s">
        <v>417</v>
      </c>
      <c r="H1305" s="32">
        <v>864</v>
      </c>
      <c r="I1305" s="32">
        <v>721</v>
      </c>
      <c r="J1305" s="32">
        <v>350</v>
      </c>
      <c r="K1305" s="32">
        <v>371</v>
      </c>
      <c r="L1305" s="32">
        <v>143</v>
      </c>
      <c r="M1305" s="32">
        <v>1053</v>
      </c>
      <c r="N1305" s="32">
        <v>925</v>
      </c>
      <c r="O1305" s="32">
        <v>793</v>
      </c>
      <c r="P1305" s="32">
        <v>132</v>
      </c>
      <c r="Q1305" s="32">
        <v>128</v>
      </c>
      <c r="R1305" s="33">
        <v>83.449074100000004</v>
      </c>
      <c r="S1305" s="33">
        <v>40.509259299999997</v>
      </c>
      <c r="T1305" s="33">
        <v>42.939814800000001</v>
      </c>
      <c r="U1305" s="33">
        <v>16.550925899999999</v>
      </c>
      <c r="V1305" s="33">
        <v>87.844254500000005</v>
      </c>
      <c r="W1305" s="33">
        <v>75.308642000000006</v>
      </c>
      <c r="X1305" s="33">
        <v>12.535612499999999</v>
      </c>
      <c r="Y1305" s="33">
        <v>12.1557455</v>
      </c>
    </row>
    <row r="1306" spans="2:25" ht="15" hidden="1" customHeight="1">
      <c r="B1306" s="25">
        <v>1301</v>
      </c>
      <c r="C1306" s="26" t="s">
        <v>21</v>
      </c>
      <c r="D1306" s="26" t="s">
        <v>403</v>
      </c>
      <c r="E1306" s="26" t="s">
        <v>416</v>
      </c>
      <c r="F1306" s="26" t="s">
        <v>417</v>
      </c>
      <c r="G1306" s="27" t="s">
        <v>15</v>
      </c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9"/>
      <c r="S1306" s="29"/>
      <c r="T1306" s="29"/>
      <c r="U1306" s="29"/>
      <c r="V1306" s="29"/>
      <c r="W1306" s="29"/>
      <c r="X1306" s="29"/>
      <c r="Y1306" s="29"/>
    </row>
    <row r="1307" spans="2:25" ht="15" hidden="1" customHeight="1">
      <c r="B1307" s="25">
        <v>1302</v>
      </c>
      <c r="C1307" s="26" t="s">
        <v>21</v>
      </c>
      <c r="D1307" s="26" t="s">
        <v>403</v>
      </c>
      <c r="E1307" s="26" t="s">
        <v>416</v>
      </c>
      <c r="F1307" s="26" t="s">
        <v>417</v>
      </c>
      <c r="G1307" s="27" t="s">
        <v>16</v>
      </c>
      <c r="H1307" s="28">
        <v>864</v>
      </c>
      <c r="I1307" s="28">
        <v>721</v>
      </c>
      <c r="J1307" s="28">
        <v>350</v>
      </c>
      <c r="K1307" s="28">
        <v>371</v>
      </c>
      <c r="L1307" s="28">
        <v>143</v>
      </c>
      <c r="M1307" s="28">
        <v>1053</v>
      </c>
      <c r="N1307" s="28">
        <v>925</v>
      </c>
      <c r="O1307" s="28">
        <v>793</v>
      </c>
      <c r="P1307" s="28">
        <v>132</v>
      </c>
      <c r="Q1307" s="28">
        <v>128</v>
      </c>
      <c r="R1307" s="29">
        <v>83.449074100000004</v>
      </c>
      <c r="S1307" s="29">
        <v>40.509259299999997</v>
      </c>
      <c r="T1307" s="29">
        <v>42.939814800000001</v>
      </c>
      <c r="U1307" s="29">
        <v>16.550925899999999</v>
      </c>
      <c r="V1307" s="29">
        <v>87.844254500000005</v>
      </c>
      <c r="W1307" s="29">
        <v>75.308642000000006</v>
      </c>
      <c r="X1307" s="29">
        <v>12.535612499999999</v>
      </c>
      <c r="Y1307" s="29">
        <v>12.1557455</v>
      </c>
    </row>
    <row r="1308" spans="2:25" ht="15" customHeight="1">
      <c r="B1308" s="30">
        <v>1303</v>
      </c>
      <c r="C1308" s="31" t="s">
        <v>21</v>
      </c>
      <c r="D1308" s="36" t="s">
        <v>403</v>
      </c>
      <c r="E1308" s="36" t="s">
        <v>416</v>
      </c>
      <c r="F1308" s="36" t="s">
        <v>418</v>
      </c>
      <c r="G1308" s="37" t="s">
        <v>418</v>
      </c>
      <c r="H1308" s="32">
        <v>2996</v>
      </c>
      <c r="I1308" s="32">
        <v>2310</v>
      </c>
      <c r="J1308" s="32">
        <v>1055</v>
      </c>
      <c r="K1308" s="32">
        <v>1255</v>
      </c>
      <c r="L1308" s="32">
        <v>686</v>
      </c>
      <c r="M1308" s="32">
        <v>5270</v>
      </c>
      <c r="N1308" s="32">
        <v>3753</v>
      </c>
      <c r="O1308" s="32">
        <v>3337</v>
      </c>
      <c r="P1308" s="32">
        <v>416</v>
      </c>
      <c r="Q1308" s="32">
        <v>1517</v>
      </c>
      <c r="R1308" s="33">
        <v>77.102803699999996</v>
      </c>
      <c r="S1308" s="33">
        <v>35.213618199999999</v>
      </c>
      <c r="T1308" s="33">
        <v>41.889185599999998</v>
      </c>
      <c r="U1308" s="33">
        <v>22.897196300000001</v>
      </c>
      <c r="V1308" s="33">
        <v>71.214421299999998</v>
      </c>
      <c r="W1308" s="33">
        <v>63.320683099999997</v>
      </c>
      <c r="X1308" s="33">
        <v>7.8937381000000002</v>
      </c>
      <c r="Y1308" s="33">
        <v>28.785578699999999</v>
      </c>
    </row>
    <row r="1309" spans="2:25" ht="15" hidden="1" customHeight="1">
      <c r="B1309" s="25">
        <v>1304</v>
      </c>
      <c r="C1309" s="26" t="s">
        <v>21</v>
      </c>
      <c r="D1309" s="26" t="s">
        <v>403</v>
      </c>
      <c r="E1309" s="26" t="s">
        <v>416</v>
      </c>
      <c r="F1309" s="26" t="s">
        <v>418</v>
      </c>
      <c r="G1309" s="27" t="s">
        <v>15</v>
      </c>
      <c r="H1309" s="28">
        <v>550</v>
      </c>
      <c r="I1309" s="28">
        <v>499</v>
      </c>
      <c r="J1309" s="28">
        <v>245</v>
      </c>
      <c r="K1309" s="28">
        <v>254</v>
      </c>
      <c r="L1309" s="28">
        <v>51</v>
      </c>
      <c r="M1309" s="28">
        <v>696</v>
      </c>
      <c r="N1309" s="28">
        <v>631</v>
      </c>
      <c r="O1309" s="28">
        <v>551</v>
      </c>
      <c r="P1309" s="28">
        <v>80</v>
      </c>
      <c r="Q1309" s="28">
        <v>65</v>
      </c>
      <c r="R1309" s="29">
        <v>90.7272727</v>
      </c>
      <c r="S1309" s="29">
        <v>44.545454499999998</v>
      </c>
      <c r="T1309" s="29">
        <v>46.181818200000002</v>
      </c>
      <c r="U1309" s="29">
        <v>9.2727272999999997</v>
      </c>
      <c r="V1309" s="29">
        <v>90.660919500000006</v>
      </c>
      <c r="W1309" s="29">
        <v>79.166666699999993</v>
      </c>
      <c r="X1309" s="29">
        <v>11.494252899999999</v>
      </c>
      <c r="Y1309" s="29">
        <v>9.3390804999999997</v>
      </c>
    </row>
    <row r="1310" spans="2:25" ht="15" hidden="1" customHeight="1">
      <c r="B1310" s="25">
        <v>1305</v>
      </c>
      <c r="C1310" s="26" t="s">
        <v>21</v>
      </c>
      <c r="D1310" s="26" t="s">
        <v>403</v>
      </c>
      <c r="E1310" s="26" t="s">
        <v>416</v>
      </c>
      <c r="F1310" s="26" t="s">
        <v>418</v>
      </c>
      <c r="G1310" s="27" t="s">
        <v>16</v>
      </c>
      <c r="H1310" s="28">
        <v>2446</v>
      </c>
      <c r="I1310" s="28">
        <v>1811</v>
      </c>
      <c r="J1310" s="28">
        <v>810</v>
      </c>
      <c r="K1310" s="28">
        <v>1001</v>
      </c>
      <c r="L1310" s="28">
        <v>635</v>
      </c>
      <c r="M1310" s="28">
        <v>4574</v>
      </c>
      <c r="N1310" s="28">
        <v>3122</v>
      </c>
      <c r="O1310" s="28">
        <v>2786</v>
      </c>
      <c r="P1310" s="28">
        <v>336</v>
      </c>
      <c r="Q1310" s="28">
        <v>1452</v>
      </c>
      <c r="R1310" s="29">
        <v>74.039247799999998</v>
      </c>
      <c r="S1310" s="29">
        <v>33.115290299999998</v>
      </c>
      <c r="T1310" s="29">
        <v>40.9239575</v>
      </c>
      <c r="U1310" s="29">
        <v>25.960752200000002</v>
      </c>
      <c r="V1310" s="29">
        <v>68.255356399999997</v>
      </c>
      <c r="W1310" s="29">
        <v>60.909488400000001</v>
      </c>
      <c r="X1310" s="29">
        <v>7.3458679</v>
      </c>
      <c r="Y1310" s="29">
        <v>31.7446436</v>
      </c>
    </row>
    <row r="1311" spans="2:25" ht="15" hidden="1" customHeight="1">
      <c r="B1311" s="21">
        <v>1306</v>
      </c>
      <c r="C1311" s="22" t="s">
        <v>19</v>
      </c>
      <c r="D1311" s="35" t="s">
        <v>403</v>
      </c>
      <c r="E1311" s="35" t="s">
        <v>419</v>
      </c>
      <c r="F1311" s="35"/>
      <c r="G1311" s="22" t="s">
        <v>419</v>
      </c>
      <c r="H1311" s="23">
        <v>2609</v>
      </c>
      <c r="I1311" s="23">
        <v>2420</v>
      </c>
      <c r="J1311" s="23">
        <v>595</v>
      </c>
      <c r="K1311" s="23">
        <v>1825</v>
      </c>
      <c r="L1311" s="23">
        <v>189</v>
      </c>
      <c r="M1311" s="23">
        <v>3294</v>
      </c>
      <c r="N1311" s="23">
        <v>2948</v>
      </c>
      <c r="O1311" s="23">
        <v>2561</v>
      </c>
      <c r="P1311" s="23">
        <v>387</v>
      </c>
      <c r="Q1311" s="23">
        <v>346</v>
      </c>
      <c r="R1311" s="24">
        <v>92.755845199999996</v>
      </c>
      <c r="S1311" s="24">
        <v>22.805672699999999</v>
      </c>
      <c r="T1311" s="24">
        <v>69.950172499999994</v>
      </c>
      <c r="U1311" s="24">
        <v>7.2441547999999996</v>
      </c>
      <c r="V1311" s="24">
        <v>89.496053399999994</v>
      </c>
      <c r="W1311" s="24">
        <v>77.747419600000001</v>
      </c>
      <c r="X1311" s="24">
        <v>11.7486339</v>
      </c>
      <c r="Y1311" s="24">
        <v>10.503946600000001</v>
      </c>
    </row>
    <row r="1312" spans="2:25" ht="15" hidden="1" customHeight="1">
      <c r="B1312" s="25">
        <v>1307</v>
      </c>
      <c r="C1312" s="26" t="s">
        <v>19</v>
      </c>
      <c r="D1312" s="26" t="s">
        <v>403</v>
      </c>
      <c r="E1312" s="26" t="s">
        <v>419</v>
      </c>
      <c r="F1312" s="26"/>
      <c r="G1312" s="27" t="s">
        <v>15</v>
      </c>
      <c r="H1312" s="28">
        <v>1547</v>
      </c>
      <c r="I1312" s="28">
        <v>1485</v>
      </c>
      <c r="J1312" s="28">
        <v>396</v>
      </c>
      <c r="K1312" s="28">
        <v>1089</v>
      </c>
      <c r="L1312" s="28">
        <v>62</v>
      </c>
      <c r="M1312" s="28">
        <v>1894</v>
      </c>
      <c r="N1312" s="28">
        <v>1861</v>
      </c>
      <c r="O1312" s="28">
        <v>1700</v>
      </c>
      <c r="P1312" s="28">
        <v>161</v>
      </c>
      <c r="Q1312" s="28">
        <v>33</v>
      </c>
      <c r="R1312" s="29">
        <v>95.992243099999996</v>
      </c>
      <c r="S1312" s="29">
        <v>25.597931500000001</v>
      </c>
      <c r="T1312" s="29">
        <v>70.394311599999995</v>
      </c>
      <c r="U1312" s="29">
        <v>4.0077569000000004</v>
      </c>
      <c r="V1312" s="29">
        <v>98.257655799999995</v>
      </c>
      <c r="W1312" s="29">
        <v>89.757127800000006</v>
      </c>
      <c r="X1312" s="29">
        <v>8.5005279999999992</v>
      </c>
      <c r="Y1312" s="29">
        <v>1.7423442</v>
      </c>
    </row>
    <row r="1313" spans="2:25" ht="15" hidden="1" customHeight="1">
      <c r="B1313" s="25">
        <v>1308</v>
      </c>
      <c r="C1313" s="26" t="s">
        <v>19</v>
      </c>
      <c r="D1313" s="26" t="s">
        <v>403</v>
      </c>
      <c r="E1313" s="26" t="s">
        <v>419</v>
      </c>
      <c r="F1313" s="26"/>
      <c r="G1313" s="27" t="s">
        <v>16</v>
      </c>
      <c r="H1313" s="28">
        <v>1062</v>
      </c>
      <c r="I1313" s="28">
        <v>935</v>
      </c>
      <c r="J1313" s="28">
        <v>199</v>
      </c>
      <c r="K1313" s="28">
        <v>736</v>
      </c>
      <c r="L1313" s="28">
        <v>127</v>
      </c>
      <c r="M1313" s="28">
        <v>1400</v>
      </c>
      <c r="N1313" s="28">
        <v>1087</v>
      </c>
      <c r="O1313" s="28">
        <v>861</v>
      </c>
      <c r="P1313" s="28">
        <v>226</v>
      </c>
      <c r="Q1313" s="28">
        <v>313</v>
      </c>
      <c r="R1313" s="29">
        <v>88.041431299999999</v>
      </c>
      <c r="S1313" s="29">
        <v>18.738229799999999</v>
      </c>
      <c r="T1313" s="29">
        <v>69.3032015</v>
      </c>
      <c r="U1313" s="29">
        <v>11.958568700000001</v>
      </c>
      <c r="V1313" s="29">
        <v>77.642857100000001</v>
      </c>
      <c r="W1313" s="29">
        <v>61.5</v>
      </c>
      <c r="X1313" s="29">
        <v>16.142857100000001</v>
      </c>
      <c r="Y1313" s="29">
        <v>22.357142899999999</v>
      </c>
    </row>
    <row r="1314" spans="2:25" ht="15" customHeight="1">
      <c r="B1314" s="30">
        <v>1309</v>
      </c>
      <c r="C1314" s="31" t="s">
        <v>21</v>
      </c>
      <c r="D1314" s="36" t="s">
        <v>403</v>
      </c>
      <c r="E1314" s="36" t="s">
        <v>419</v>
      </c>
      <c r="F1314" s="36" t="s">
        <v>420</v>
      </c>
      <c r="G1314" s="37" t="s">
        <v>420</v>
      </c>
      <c r="H1314" s="32">
        <v>1254</v>
      </c>
      <c r="I1314" s="32">
        <v>1183</v>
      </c>
      <c r="J1314" s="32">
        <v>318</v>
      </c>
      <c r="K1314" s="32">
        <v>865</v>
      </c>
      <c r="L1314" s="32">
        <v>71</v>
      </c>
      <c r="M1314" s="32">
        <v>1485</v>
      </c>
      <c r="N1314" s="32">
        <v>1432</v>
      </c>
      <c r="O1314" s="32">
        <v>1287</v>
      </c>
      <c r="P1314" s="32">
        <v>145</v>
      </c>
      <c r="Q1314" s="32">
        <v>53</v>
      </c>
      <c r="R1314" s="33">
        <v>94.338117999999994</v>
      </c>
      <c r="S1314" s="33">
        <v>25.358851699999999</v>
      </c>
      <c r="T1314" s="33">
        <v>68.979266300000006</v>
      </c>
      <c r="U1314" s="33">
        <v>5.6618820000000003</v>
      </c>
      <c r="V1314" s="33">
        <v>96.430976400000006</v>
      </c>
      <c r="W1314" s="33">
        <v>86.666666699999993</v>
      </c>
      <c r="X1314" s="33">
        <v>9.7643097999999995</v>
      </c>
      <c r="Y1314" s="33">
        <v>3.5690236</v>
      </c>
    </row>
    <row r="1315" spans="2:25" ht="15" hidden="1" customHeight="1">
      <c r="B1315" s="25">
        <v>1310</v>
      </c>
      <c r="C1315" s="26" t="s">
        <v>21</v>
      </c>
      <c r="D1315" s="26" t="s">
        <v>403</v>
      </c>
      <c r="E1315" s="26" t="s">
        <v>419</v>
      </c>
      <c r="F1315" s="26" t="s">
        <v>420</v>
      </c>
      <c r="G1315" s="27" t="s">
        <v>15</v>
      </c>
      <c r="H1315" s="28">
        <v>785</v>
      </c>
      <c r="I1315" s="28">
        <v>758</v>
      </c>
      <c r="J1315" s="28">
        <v>238</v>
      </c>
      <c r="K1315" s="28">
        <v>520</v>
      </c>
      <c r="L1315" s="28">
        <v>27</v>
      </c>
      <c r="M1315" s="28">
        <v>1027</v>
      </c>
      <c r="N1315" s="28">
        <v>1012</v>
      </c>
      <c r="O1315" s="28">
        <v>938</v>
      </c>
      <c r="P1315" s="28">
        <v>74</v>
      </c>
      <c r="Q1315" s="28">
        <v>15</v>
      </c>
      <c r="R1315" s="29">
        <v>96.560509600000003</v>
      </c>
      <c r="S1315" s="29">
        <v>30.318471299999999</v>
      </c>
      <c r="T1315" s="29">
        <v>66.242038199999996</v>
      </c>
      <c r="U1315" s="29">
        <v>3.4394903999999999</v>
      </c>
      <c r="V1315" s="29">
        <v>98.5394352</v>
      </c>
      <c r="W1315" s="29">
        <v>91.333982500000005</v>
      </c>
      <c r="X1315" s="29">
        <v>7.2054527999999998</v>
      </c>
      <c r="Y1315" s="29">
        <v>1.4605648</v>
      </c>
    </row>
    <row r="1316" spans="2:25" ht="15" hidden="1" customHeight="1">
      <c r="B1316" s="25">
        <v>1311</v>
      </c>
      <c r="C1316" s="26" t="s">
        <v>21</v>
      </c>
      <c r="D1316" s="26" t="s">
        <v>403</v>
      </c>
      <c r="E1316" s="26" t="s">
        <v>419</v>
      </c>
      <c r="F1316" s="26" t="s">
        <v>420</v>
      </c>
      <c r="G1316" s="27" t="s">
        <v>16</v>
      </c>
      <c r="H1316" s="28">
        <v>469</v>
      </c>
      <c r="I1316" s="28">
        <v>425</v>
      </c>
      <c r="J1316" s="28">
        <v>80</v>
      </c>
      <c r="K1316" s="28">
        <v>345</v>
      </c>
      <c r="L1316" s="28">
        <v>44</v>
      </c>
      <c r="M1316" s="28">
        <v>458</v>
      </c>
      <c r="N1316" s="28">
        <v>420</v>
      </c>
      <c r="O1316" s="28">
        <v>349</v>
      </c>
      <c r="P1316" s="28">
        <v>71</v>
      </c>
      <c r="Q1316" s="28">
        <v>38</v>
      </c>
      <c r="R1316" s="29">
        <v>90.618336900000003</v>
      </c>
      <c r="S1316" s="29">
        <v>17.057569300000001</v>
      </c>
      <c r="T1316" s="29">
        <v>73.560767600000005</v>
      </c>
      <c r="U1316" s="29">
        <v>9.3816631000000008</v>
      </c>
      <c r="V1316" s="29">
        <v>91.703056799999999</v>
      </c>
      <c r="W1316" s="29">
        <v>76.200873400000006</v>
      </c>
      <c r="X1316" s="29">
        <v>15.5021834</v>
      </c>
      <c r="Y1316" s="29">
        <v>8.2969431999999994</v>
      </c>
    </row>
    <row r="1317" spans="2:25" ht="15" customHeight="1">
      <c r="B1317" s="30">
        <v>1312</v>
      </c>
      <c r="C1317" s="31" t="s">
        <v>21</v>
      </c>
      <c r="D1317" s="36" t="s">
        <v>403</v>
      </c>
      <c r="E1317" s="36" t="s">
        <v>419</v>
      </c>
      <c r="F1317" s="36" t="s">
        <v>389</v>
      </c>
      <c r="G1317" s="37" t="s">
        <v>389</v>
      </c>
      <c r="H1317" s="32">
        <v>1160</v>
      </c>
      <c r="I1317" s="32">
        <v>1068</v>
      </c>
      <c r="J1317" s="32">
        <v>210</v>
      </c>
      <c r="K1317" s="32">
        <v>858</v>
      </c>
      <c r="L1317" s="32">
        <v>92</v>
      </c>
      <c r="M1317" s="32">
        <v>1504</v>
      </c>
      <c r="N1317" s="32">
        <v>1243</v>
      </c>
      <c r="O1317" s="32">
        <v>1061</v>
      </c>
      <c r="P1317" s="32">
        <v>182</v>
      </c>
      <c r="Q1317" s="32">
        <v>261</v>
      </c>
      <c r="R1317" s="33">
        <v>92.068965500000004</v>
      </c>
      <c r="S1317" s="33">
        <v>18.1034483</v>
      </c>
      <c r="T1317" s="33">
        <v>73.965517199999994</v>
      </c>
      <c r="U1317" s="33">
        <v>7.9310345</v>
      </c>
      <c r="V1317" s="33">
        <v>82.646276599999993</v>
      </c>
      <c r="W1317" s="33">
        <v>70.545212800000002</v>
      </c>
      <c r="X1317" s="33">
        <v>12.1010638</v>
      </c>
      <c r="Y1317" s="33">
        <v>17.3537234</v>
      </c>
    </row>
    <row r="1318" spans="2:25" ht="15" hidden="1" customHeight="1">
      <c r="B1318" s="25">
        <v>1313</v>
      </c>
      <c r="C1318" s="26" t="s">
        <v>21</v>
      </c>
      <c r="D1318" s="26" t="s">
        <v>403</v>
      </c>
      <c r="E1318" s="26" t="s">
        <v>419</v>
      </c>
      <c r="F1318" s="26" t="s">
        <v>389</v>
      </c>
      <c r="G1318" s="27" t="s">
        <v>15</v>
      </c>
      <c r="H1318" s="28">
        <v>762</v>
      </c>
      <c r="I1318" s="28">
        <v>727</v>
      </c>
      <c r="J1318" s="28">
        <v>158</v>
      </c>
      <c r="K1318" s="28">
        <v>569</v>
      </c>
      <c r="L1318" s="28">
        <v>35</v>
      </c>
      <c r="M1318" s="28">
        <v>867</v>
      </c>
      <c r="N1318" s="28">
        <v>849</v>
      </c>
      <c r="O1318" s="28">
        <v>762</v>
      </c>
      <c r="P1318" s="28">
        <v>87</v>
      </c>
      <c r="Q1318" s="28">
        <v>18</v>
      </c>
      <c r="R1318" s="29">
        <v>95.406824099999994</v>
      </c>
      <c r="S1318" s="29">
        <v>20.734908099999998</v>
      </c>
      <c r="T1318" s="29">
        <v>74.671915999999996</v>
      </c>
      <c r="U1318" s="29">
        <v>4.5931759000000003</v>
      </c>
      <c r="V1318" s="29">
        <v>97.9238754</v>
      </c>
      <c r="W1318" s="29">
        <v>87.889273399999993</v>
      </c>
      <c r="X1318" s="29">
        <v>10.034602100000001</v>
      </c>
      <c r="Y1318" s="29">
        <v>2.0761246</v>
      </c>
    </row>
    <row r="1319" spans="2:25" ht="15" hidden="1" customHeight="1">
      <c r="B1319" s="25">
        <v>1314</v>
      </c>
      <c r="C1319" s="26" t="s">
        <v>21</v>
      </c>
      <c r="D1319" s="26" t="s">
        <v>403</v>
      </c>
      <c r="E1319" s="26" t="s">
        <v>419</v>
      </c>
      <c r="F1319" s="26" t="s">
        <v>389</v>
      </c>
      <c r="G1319" s="27" t="s">
        <v>16</v>
      </c>
      <c r="H1319" s="28">
        <v>398</v>
      </c>
      <c r="I1319" s="28">
        <v>341</v>
      </c>
      <c r="J1319" s="28">
        <v>52</v>
      </c>
      <c r="K1319" s="28">
        <v>289</v>
      </c>
      <c r="L1319" s="28">
        <v>57</v>
      </c>
      <c r="M1319" s="28">
        <v>637</v>
      </c>
      <c r="N1319" s="28">
        <v>394</v>
      </c>
      <c r="O1319" s="28">
        <v>299</v>
      </c>
      <c r="P1319" s="28">
        <v>95</v>
      </c>
      <c r="Q1319" s="28">
        <v>243</v>
      </c>
      <c r="R1319" s="29">
        <v>85.678392000000002</v>
      </c>
      <c r="S1319" s="29">
        <v>13.065326600000001</v>
      </c>
      <c r="T1319" s="29">
        <v>72.613065300000002</v>
      </c>
      <c r="U1319" s="29">
        <v>14.321607999999999</v>
      </c>
      <c r="V1319" s="29">
        <v>61.852433300000001</v>
      </c>
      <c r="W1319" s="29">
        <v>46.938775499999998</v>
      </c>
      <c r="X1319" s="29">
        <v>14.913657799999999</v>
      </c>
      <c r="Y1319" s="29">
        <v>38.147566699999999</v>
      </c>
    </row>
    <row r="1320" spans="2:25" ht="15" customHeight="1">
      <c r="B1320" s="30">
        <v>1315</v>
      </c>
      <c r="C1320" s="31" t="s">
        <v>21</v>
      </c>
      <c r="D1320" s="36" t="s">
        <v>403</v>
      </c>
      <c r="E1320" s="36" t="s">
        <v>419</v>
      </c>
      <c r="F1320" s="36" t="s">
        <v>421</v>
      </c>
      <c r="G1320" s="37" t="s">
        <v>421</v>
      </c>
      <c r="H1320" s="32">
        <v>195</v>
      </c>
      <c r="I1320" s="32">
        <v>169</v>
      </c>
      <c r="J1320" s="32">
        <v>67</v>
      </c>
      <c r="K1320" s="32">
        <v>102</v>
      </c>
      <c r="L1320" s="32">
        <v>26</v>
      </c>
      <c r="M1320" s="32">
        <v>305</v>
      </c>
      <c r="N1320" s="32">
        <v>273</v>
      </c>
      <c r="O1320" s="32">
        <v>213</v>
      </c>
      <c r="P1320" s="32">
        <v>60</v>
      </c>
      <c r="Q1320" s="32">
        <v>32</v>
      </c>
      <c r="R1320" s="33">
        <v>86.666666699999993</v>
      </c>
      <c r="S1320" s="33">
        <v>34.358974400000001</v>
      </c>
      <c r="T1320" s="33">
        <v>52.307692299999999</v>
      </c>
      <c r="U1320" s="33">
        <v>13.3333333</v>
      </c>
      <c r="V1320" s="33">
        <v>89.508196699999999</v>
      </c>
      <c r="W1320" s="33">
        <v>69.836065599999998</v>
      </c>
      <c r="X1320" s="33">
        <v>19.672131100000001</v>
      </c>
      <c r="Y1320" s="33">
        <v>10.491803300000001</v>
      </c>
    </row>
    <row r="1321" spans="2:25" ht="15" hidden="1" customHeight="1">
      <c r="B1321" s="25">
        <v>1316</v>
      </c>
      <c r="C1321" s="26" t="s">
        <v>21</v>
      </c>
      <c r="D1321" s="26" t="s">
        <v>403</v>
      </c>
      <c r="E1321" s="26" t="s">
        <v>419</v>
      </c>
      <c r="F1321" s="26" t="s">
        <v>421</v>
      </c>
      <c r="G1321" s="27" t="s">
        <v>15</v>
      </c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9"/>
      <c r="S1321" s="29"/>
      <c r="T1321" s="29"/>
      <c r="U1321" s="29"/>
      <c r="V1321" s="29"/>
      <c r="W1321" s="29"/>
      <c r="X1321" s="29"/>
      <c r="Y1321" s="29"/>
    </row>
    <row r="1322" spans="2:25" ht="15" hidden="1" customHeight="1">
      <c r="B1322" s="25">
        <v>1317</v>
      </c>
      <c r="C1322" s="26" t="s">
        <v>21</v>
      </c>
      <c r="D1322" s="26" t="s">
        <v>403</v>
      </c>
      <c r="E1322" s="26" t="s">
        <v>419</v>
      </c>
      <c r="F1322" s="26" t="s">
        <v>421</v>
      </c>
      <c r="G1322" s="27" t="s">
        <v>16</v>
      </c>
      <c r="H1322" s="28">
        <v>195</v>
      </c>
      <c r="I1322" s="28">
        <v>169</v>
      </c>
      <c r="J1322" s="28">
        <v>67</v>
      </c>
      <c r="K1322" s="28">
        <v>102</v>
      </c>
      <c r="L1322" s="28">
        <v>26</v>
      </c>
      <c r="M1322" s="28">
        <v>305</v>
      </c>
      <c r="N1322" s="28">
        <v>273</v>
      </c>
      <c r="O1322" s="28">
        <v>213</v>
      </c>
      <c r="P1322" s="28">
        <v>60</v>
      </c>
      <c r="Q1322" s="28">
        <v>32</v>
      </c>
      <c r="R1322" s="29">
        <v>86.666666699999993</v>
      </c>
      <c r="S1322" s="29">
        <v>34.358974400000001</v>
      </c>
      <c r="T1322" s="29">
        <v>52.307692299999999</v>
      </c>
      <c r="U1322" s="29">
        <v>13.3333333</v>
      </c>
      <c r="V1322" s="29">
        <v>89.508196699999999</v>
      </c>
      <c r="W1322" s="29">
        <v>69.836065599999998</v>
      </c>
      <c r="X1322" s="29">
        <v>19.672131100000001</v>
      </c>
      <c r="Y1322" s="29">
        <v>10.491803300000001</v>
      </c>
    </row>
    <row r="1323" spans="2:25" ht="15" hidden="1" customHeight="1">
      <c r="B1323" s="21">
        <v>1318</v>
      </c>
      <c r="C1323" s="22" t="s">
        <v>19</v>
      </c>
      <c r="D1323" s="35" t="s">
        <v>403</v>
      </c>
      <c r="E1323" s="35" t="s">
        <v>422</v>
      </c>
      <c r="F1323" s="35"/>
      <c r="G1323" s="22" t="s">
        <v>422</v>
      </c>
      <c r="H1323" s="23">
        <v>4407</v>
      </c>
      <c r="I1323" s="23">
        <v>3919</v>
      </c>
      <c r="J1323" s="23">
        <v>1054</v>
      </c>
      <c r="K1323" s="23">
        <v>2865</v>
      </c>
      <c r="L1323" s="23">
        <v>488</v>
      </c>
      <c r="M1323" s="23">
        <v>6041</v>
      </c>
      <c r="N1323" s="23">
        <v>5565</v>
      </c>
      <c r="O1323" s="23">
        <v>4972</v>
      </c>
      <c r="P1323" s="23">
        <v>593</v>
      </c>
      <c r="Q1323" s="23">
        <v>476</v>
      </c>
      <c r="R1323" s="24">
        <v>88.926707500000006</v>
      </c>
      <c r="S1323" s="24">
        <v>23.916496500000001</v>
      </c>
      <c r="T1323" s="24">
        <v>65.010210999999998</v>
      </c>
      <c r="U1323" s="24">
        <v>11.073292500000001</v>
      </c>
      <c r="V1323" s="24">
        <v>92.120509799999994</v>
      </c>
      <c r="W1323" s="24">
        <v>82.304254299999997</v>
      </c>
      <c r="X1323" s="24">
        <v>9.8162555999999999</v>
      </c>
      <c r="Y1323" s="24">
        <v>7.8794902000000002</v>
      </c>
    </row>
    <row r="1324" spans="2:25" ht="15" hidden="1" customHeight="1">
      <c r="B1324" s="25">
        <v>1319</v>
      </c>
      <c r="C1324" s="26" t="s">
        <v>19</v>
      </c>
      <c r="D1324" s="26" t="s">
        <v>403</v>
      </c>
      <c r="E1324" s="26" t="s">
        <v>422</v>
      </c>
      <c r="F1324" s="26"/>
      <c r="G1324" s="27" t="s">
        <v>15</v>
      </c>
      <c r="H1324" s="28">
        <v>2374</v>
      </c>
      <c r="I1324" s="28">
        <v>2228</v>
      </c>
      <c r="J1324" s="28">
        <v>585</v>
      </c>
      <c r="K1324" s="28">
        <v>1643</v>
      </c>
      <c r="L1324" s="28">
        <v>146</v>
      </c>
      <c r="M1324" s="28">
        <v>3242</v>
      </c>
      <c r="N1324" s="28">
        <v>3125</v>
      </c>
      <c r="O1324" s="28">
        <v>2800</v>
      </c>
      <c r="P1324" s="28">
        <v>325</v>
      </c>
      <c r="Q1324" s="28">
        <v>117</v>
      </c>
      <c r="R1324" s="29">
        <v>93.850042099999996</v>
      </c>
      <c r="S1324" s="29">
        <v>24.641954500000001</v>
      </c>
      <c r="T1324" s="29">
        <v>69.208087599999999</v>
      </c>
      <c r="U1324" s="29">
        <v>6.1499579000000004</v>
      </c>
      <c r="V1324" s="29">
        <v>96.391116600000004</v>
      </c>
      <c r="W1324" s="29">
        <v>86.366440499999996</v>
      </c>
      <c r="X1324" s="29">
        <v>10.024676100000001</v>
      </c>
      <c r="Y1324" s="29">
        <v>3.6088833999999999</v>
      </c>
    </row>
    <row r="1325" spans="2:25" ht="15" hidden="1" customHeight="1">
      <c r="B1325" s="25">
        <v>1320</v>
      </c>
      <c r="C1325" s="26" t="s">
        <v>19</v>
      </c>
      <c r="D1325" s="26" t="s">
        <v>403</v>
      </c>
      <c r="E1325" s="26" t="s">
        <v>422</v>
      </c>
      <c r="F1325" s="26"/>
      <c r="G1325" s="27" t="s">
        <v>16</v>
      </c>
      <c r="H1325" s="28">
        <v>2033</v>
      </c>
      <c r="I1325" s="28">
        <v>1691</v>
      </c>
      <c r="J1325" s="28">
        <v>469</v>
      </c>
      <c r="K1325" s="28">
        <v>1222</v>
      </c>
      <c r="L1325" s="28">
        <v>342</v>
      </c>
      <c r="M1325" s="28">
        <v>2799</v>
      </c>
      <c r="N1325" s="28">
        <v>2440</v>
      </c>
      <c r="O1325" s="28">
        <v>2172</v>
      </c>
      <c r="P1325" s="28">
        <v>268</v>
      </c>
      <c r="Q1325" s="28">
        <v>359</v>
      </c>
      <c r="R1325" s="29">
        <v>83.177570099999997</v>
      </c>
      <c r="S1325" s="29">
        <v>23.069355600000002</v>
      </c>
      <c r="T1325" s="29">
        <v>60.108214500000003</v>
      </c>
      <c r="U1325" s="29">
        <v>16.822429899999999</v>
      </c>
      <c r="V1325" s="29">
        <v>87.173990700000004</v>
      </c>
      <c r="W1325" s="29">
        <v>77.599142599999993</v>
      </c>
      <c r="X1325" s="29">
        <v>9.5748481999999999</v>
      </c>
      <c r="Y1325" s="29">
        <v>12.826009300000001</v>
      </c>
    </row>
    <row r="1326" spans="2:25" ht="15" customHeight="1">
      <c r="B1326" s="30">
        <v>1321</v>
      </c>
      <c r="C1326" s="31" t="s">
        <v>21</v>
      </c>
      <c r="D1326" s="36" t="s">
        <v>403</v>
      </c>
      <c r="E1326" s="36" t="s">
        <v>422</v>
      </c>
      <c r="F1326" s="36" t="s">
        <v>423</v>
      </c>
      <c r="G1326" s="37" t="s">
        <v>423</v>
      </c>
      <c r="H1326" s="32">
        <v>2232</v>
      </c>
      <c r="I1326" s="32">
        <v>2090</v>
      </c>
      <c r="J1326" s="32">
        <v>487</v>
      </c>
      <c r="K1326" s="32">
        <v>1603</v>
      </c>
      <c r="L1326" s="32">
        <v>142</v>
      </c>
      <c r="M1326" s="32">
        <v>2959</v>
      </c>
      <c r="N1326" s="32">
        <v>2829</v>
      </c>
      <c r="O1326" s="32">
        <v>2532</v>
      </c>
      <c r="P1326" s="32">
        <v>297</v>
      </c>
      <c r="Q1326" s="32">
        <v>130</v>
      </c>
      <c r="R1326" s="33">
        <v>93.637992800000006</v>
      </c>
      <c r="S1326" s="33">
        <v>21.8189964</v>
      </c>
      <c r="T1326" s="33">
        <v>71.818996400000003</v>
      </c>
      <c r="U1326" s="33">
        <v>6.3620071999999999</v>
      </c>
      <c r="V1326" s="33">
        <v>95.606623900000002</v>
      </c>
      <c r="W1326" s="33">
        <v>85.5694491</v>
      </c>
      <c r="X1326" s="33">
        <v>10.0371747</v>
      </c>
      <c r="Y1326" s="33">
        <v>4.3933761000000002</v>
      </c>
    </row>
    <row r="1327" spans="2:25" ht="15" hidden="1" customHeight="1">
      <c r="B1327" s="25">
        <v>1322</v>
      </c>
      <c r="C1327" s="26" t="s">
        <v>21</v>
      </c>
      <c r="D1327" s="26" t="s">
        <v>403</v>
      </c>
      <c r="E1327" s="26" t="s">
        <v>422</v>
      </c>
      <c r="F1327" s="26" t="s">
        <v>423</v>
      </c>
      <c r="G1327" s="27" t="s">
        <v>15</v>
      </c>
      <c r="H1327" s="28">
        <v>1513</v>
      </c>
      <c r="I1327" s="28">
        <v>1451</v>
      </c>
      <c r="J1327" s="28">
        <v>378</v>
      </c>
      <c r="K1327" s="28">
        <v>1073</v>
      </c>
      <c r="L1327" s="28">
        <v>62</v>
      </c>
      <c r="M1327" s="28">
        <v>2118</v>
      </c>
      <c r="N1327" s="28">
        <v>2048</v>
      </c>
      <c r="O1327" s="28">
        <v>1822</v>
      </c>
      <c r="P1327" s="28">
        <v>226</v>
      </c>
      <c r="Q1327" s="28">
        <v>70</v>
      </c>
      <c r="R1327" s="29">
        <v>95.902181100000007</v>
      </c>
      <c r="S1327" s="29">
        <v>24.983476499999998</v>
      </c>
      <c r="T1327" s="29">
        <v>70.918704599999998</v>
      </c>
      <c r="U1327" s="29">
        <v>4.0978189</v>
      </c>
      <c r="V1327" s="29">
        <v>96.694995300000002</v>
      </c>
      <c r="W1327" s="29">
        <v>86.024551500000001</v>
      </c>
      <c r="X1327" s="29">
        <v>10.670443799999999</v>
      </c>
      <c r="Y1327" s="29">
        <v>3.3050047</v>
      </c>
    </row>
    <row r="1328" spans="2:25" ht="15" hidden="1" customHeight="1">
      <c r="B1328" s="25">
        <v>1323</v>
      </c>
      <c r="C1328" s="26" t="s">
        <v>21</v>
      </c>
      <c r="D1328" s="26" t="s">
        <v>403</v>
      </c>
      <c r="E1328" s="26" t="s">
        <v>422</v>
      </c>
      <c r="F1328" s="26" t="s">
        <v>423</v>
      </c>
      <c r="G1328" s="27" t="s">
        <v>16</v>
      </c>
      <c r="H1328" s="28">
        <v>719</v>
      </c>
      <c r="I1328" s="28">
        <v>639</v>
      </c>
      <c r="J1328" s="28">
        <v>109</v>
      </c>
      <c r="K1328" s="28">
        <v>530</v>
      </c>
      <c r="L1328" s="28">
        <v>80</v>
      </c>
      <c r="M1328" s="28">
        <v>841</v>
      </c>
      <c r="N1328" s="28">
        <v>781</v>
      </c>
      <c r="O1328" s="28">
        <v>710</v>
      </c>
      <c r="P1328" s="28">
        <v>71</v>
      </c>
      <c r="Q1328" s="28">
        <v>60</v>
      </c>
      <c r="R1328" s="29">
        <v>88.873435299999997</v>
      </c>
      <c r="S1328" s="29">
        <v>15.159944400000001</v>
      </c>
      <c r="T1328" s="29">
        <v>73.713491000000005</v>
      </c>
      <c r="U1328" s="29">
        <v>11.126564699999999</v>
      </c>
      <c r="V1328" s="29">
        <v>92.865636100000003</v>
      </c>
      <c r="W1328" s="29">
        <v>84.423305600000006</v>
      </c>
      <c r="X1328" s="29">
        <v>8.4423306</v>
      </c>
      <c r="Y1328" s="29">
        <v>7.1343639000000003</v>
      </c>
    </row>
    <row r="1329" spans="2:25" ht="15" customHeight="1">
      <c r="B1329" s="30">
        <v>1324</v>
      </c>
      <c r="C1329" s="31" t="s">
        <v>21</v>
      </c>
      <c r="D1329" s="36" t="s">
        <v>403</v>
      </c>
      <c r="E1329" s="36" t="s">
        <v>422</v>
      </c>
      <c r="F1329" s="36" t="s">
        <v>424</v>
      </c>
      <c r="G1329" s="37" t="s">
        <v>424</v>
      </c>
      <c r="H1329" s="32">
        <v>1356</v>
      </c>
      <c r="I1329" s="32">
        <v>1130</v>
      </c>
      <c r="J1329" s="32">
        <v>360</v>
      </c>
      <c r="K1329" s="32">
        <v>770</v>
      </c>
      <c r="L1329" s="32">
        <v>226</v>
      </c>
      <c r="M1329" s="32">
        <v>2064</v>
      </c>
      <c r="N1329" s="32">
        <v>1764</v>
      </c>
      <c r="O1329" s="32">
        <v>1562</v>
      </c>
      <c r="P1329" s="32">
        <v>202</v>
      </c>
      <c r="Q1329" s="32">
        <v>300</v>
      </c>
      <c r="R1329" s="33">
        <v>83.333333300000007</v>
      </c>
      <c r="S1329" s="33">
        <v>26.5486726</v>
      </c>
      <c r="T1329" s="33">
        <v>56.784660799999997</v>
      </c>
      <c r="U1329" s="33">
        <v>16.6666667</v>
      </c>
      <c r="V1329" s="33">
        <v>85.465116300000005</v>
      </c>
      <c r="W1329" s="33">
        <v>75.678294600000001</v>
      </c>
      <c r="X1329" s="33">
        <v>9.7868217000000008</v>
      </c>
      <c r="Y1329" s="33">
        <v>14.5348837</v>
      </c>
    </row>
    <row r="1330" spans="2:25" ht="15" hidden="1" customHeight="1">
      <c r="B1330" s="25">
        <v>1325</v>
      </c>
      <c r="C1330" s="26" t="s">
        <v>21</v>
      </c>
      <c r="D1330" s="26" t="s">
        <v>403</v>
      </c>
      <c r="E1330" s="26" t="s">
        <v>422</v>
      </c>
      <c r="F1330" s="26" t="s">
        <v>424</v>
      </c>
      <c r="G1330" s="27" t="s">
        <v>15</v>
      </c>
      <c r="H1330" s="28">
        <v>449</v>
      </c>
      <c r="I1330" s="28">
        <v>413</v>
      </c>
      <c r="J1330" s="28">
        <v>84</v>
      </c>
      <c r="K1330" s="28">
        <v>329</v>
      </c>
      <c r="L1330" s="28">
        <v>36</v>
      </c>
      <c r="M1330" s="28">
        <v>586</v>
      </c>
      <c r="N1330" s="28">
        <v>562</v>
      </c>
      <c r="O1330" s="28">
        <v>506</v>
      </c>
      <c r="P1330" s="28">
        <v>56</v>
      </c>
      <c r="Q1330" s="28">
        <v>24</v>
      </c>
      <c r="R1330" s="29">
        <v>91.982182600000002</v>
      </c>
      <c r="S1330" s="29">
        <v>18.708240499999999</v>
      </c>
      <c r="T1330" s="29">
        <v>73.273942099999999</v>
      </c>
      <c r="U1330" s="29">
        <v>8.0178174000000002</v>
      </c>
      <c r="V1330" s="29">
        <v>95.904436899999993</v>
      </c>
      <c r="W1330" s="29">
        <v>86.348122900000007</v>
      </c>
      <c r="X1330" s="29">
        <v>9.5563140000000004</v>
      </c>
      <c r="Y1330" s="29">
        <v>4.0955630999999997</v>
      </c>
    </row>
    <row r="1331" spans="2:25" ht="15" hidden="1" customHeight="1">
      <c r="B1331" s="25">
        <v>1326</v>
      </c>
      <c r="C1331" s="26" t="s">
        <v>21</v>
      </c>
      <c r="D1331" s="26" t="s">
        <v>403</v>
      </c>
      <c r="E1331" s="26" t="s">
        <v>422</v>
      </c>
      <c r="F1331" s="26" t="s">
        <v>424</v>
      </c>
      <c r="G1331" s="27" t="s">
        <v>16</v>
      </c>
      <c r="H1331" s="28">
        <v>907</v>
      </c>
      <c r="I1331" s="28">
        <v>717</v>
      </c>
      <c r="J1331" s="28">
        <v>276</v>
      </c>
      <c r="K1331" s="28">
        <v>441</v>
      </c>
      <c r="L1331" s="28">
        <v>190</v>
      </c>
      <c r="M1331" s="28">
        <v>1478</v>
      </c>
      <c r="N1331" s="28">
        <v>1202</v>
      </c>
      <c r="O1331" s="28">
        <v>1056</v>
      </c>
      <c r="P1331" s="28">
        <v>146</v>
      </c>
      <c r="Q1331" s="28">
        <v>276</v>
      </c>
      <c r="R1331" s="29">
        <v>79.051819199999997</v>
      </c>
      <c r="S1331" s="29">
        <v>30.429988999999999</v>
      </c>
      <c r="T1331" s="29">
        <v>48.621830199999998</v>
      </c>
      <c r="U1331" s="29">
        <v>20.948180799999999</v>
      </c>
      <c r="V1331" s="29">
        <v>81.326116400000004</v>
      </c>
      <c r="W1331" s="29">
        <v>71.447902600000006</v>
      </c>
      <c r="X1331" s="29">
        <v>9.8782137999999993</v>
      </c>
      <c r="Y1331" s="29">
        <v>18.6738836</v>
      </c>
    </row>
    <row r="1332" spans="2:25" ht="15" customHeight="1">
      <c r="B1332" s="30">
        <v>1327</v>
      </c>
      <c r="C1332" s="31" t="s">
        <v>21</v>
      </c>
      <c r="D1332" s="36" t="s">
        <v>403</v>
      </c>
      <c r="E1332" s="36" t="s">
        <v>422</v>
      </c>
      <c r="F1332" s="36" t="s">
        <v>425</v>
      </c>
      <c r="G1332" s="37" t="s">
        <v>425</v>
      </c>
      <c r="H1332" s="32">
        <v>819</v>
      </c>
      <c r="I1332" s="32">
        <v>699</v>
      </c>
      <c r="J1332" s="32">
        <v>207</v>
      </c>
      <c r="K1332" s="32">
        <v>492</v>
      </c>
      <c r="L1332" s="32">
        <v>120</v>
      </c>
      <c r="M1332" s="32">
        <v>1018</v>
      </c>
      <c r="N1332" s="32">
        <v>972</v>
      </c>
      <c r="O1332" s="32">
        <v>878</v>
      </c>
      <c r="P1332" s="32">
        <v>94</v>
      </c>
      <c r="Q1332" s="32">
        <v>46</v>
      </c>
      <c r="R1332" s="33">
        <v>85.347985300000005</v>
      </c>
      <c r="S1332" s="33">
        <v>25.2747253</v>
      </c>
      <c r="T1332" s="33">
        <v>60.073260099999999</v>
      </c>
      <c r="U1332" s="33">
        <v>14.652014700000001</v>
      </c>
      <c r="V1332" s="33">
        <v>95.481335999999999</v>
      </c>
      <c r="W1332" s="33">
        <v>86.247544199999993</v>
      </c>
      <c r="X1332" s="33">
        <v>9.2337916999999994</v>
      </c>
      <c r="Y1332" s="33">
        <v>4.5186640000000002</v>
      </c>
    </row>
    <row r="1333" spans="2:25" ht="15" hidden="1" customHeight="1">
      <c r="B1333" s="25">
        <v>1328</v>
      </c>
      <c r="C1333" s="26" t="s">
        <v>21</v>
      </c>
      <c r="D1333" s="26" t="s">
        <v>403</v>
      </c>
      <c r="E1333" s="26" t="s">
        <v>422</v>
      </c>
      <c r="F1333" s="26" t="s">
        <v>425</v>
      </c>
      <c r="G1333" s="27" t="s">
        <v>15</v>
      </c>
      <c r="H1333" s="28">
        <v>412</v>
      </c>
      <c r="I1333" s="28">
        <v>364</v>
      </c>
      <c r="J1333" s="28">
        <v>123</v>
      </c>
      <c r="K1333" s="28">
        <v>241</v>
      </c>
      <c r="L1333" s="28">
        <v>48</v>
      </c>
      <c r="M1333" s="28">
        <v>538</v>
      </c>
      <c r="N1333" s="28">
        <v>515</v>
      </c>
      <c r="O1333" s="28">
        <v>472</v>
      </c>
      <c r="P1333" s="28">
        <v>43</v>
      </c>
      <c r="Q1333" s="28">
        <v>23</v>
      </c>
      <c r="R1333" s="29">
        <v>88.349514600000006</v>
      </c>
      <c r="S1333" s="29">
        <v>29.854368900000001</v>
      </c>
      <c r="T1333" s="29">
        <v>58.495145600000001</v>
      </c>
      <c r="U1333" s="29">
        <v>11.650485400000001</v>
      </c>
      <c r="V1333" s="29">
        <v>95.724907099999996</v>
      </c>
      <c r="W1333" s="29">
        <v>87.732342000000003</v>
      </c>
      <c r="X1333" s="29">
        <v>7.9925651000000002</v>
      </c>
      <c r="Y1333" s="29">
        <v>4.2750928999999998</v>
      </c>
    </row>
    <row r="1334" spans="2:25" ht="15" hidden="1" customHeight="1">
      <c r="B1334" s="25">
        <v>1329</v>
      </c>
      <c r="C1334" s="26" t="s">
        <v>21</v>
      </c>
      <c r="D1334" s="26" t="s">
        <v>403</v>
      </c>
      <c r="E1334" s="26" t="s">
        <v>422</v>
      </c>
      <c r="F1334" s="26" t="s">
        <v>425</v>
      </c>
      <c r="G1334" s="27" t="s">
        <v>16</v>
      </c>
      <c r="H1334" s="28">
        <v>407</v>
      </c>
      <c r="I1334" s="28">
        <v>335</v>
      </c>
      <c r="J1334" s="28">
        <v>84</v>
      </c>
      <c r="K1334" s="28">
        <v>251</v>
      </c>
      <c r="L1334" s="28">
        <v>72</v>
      </c>
      <c r="M1334" s="28">
        <v>480</v>
      </c>
      <c r="N1334" s="28">
        <v>457</v>
      </c>
      <c r="O1334" s="28">
        <v>406</v>
      </c>
      <c r="P1334" s="28">
        <v>51</v>
      </c>
      <c r="Q1334" s="28">
        <v>23</v>
      </c>
      <c r="R1334" s="29">
        <v>82.309582300000002</v>
      </c>
      <c r="S1334" s="29">
        <v>20.638820599999999</v>
      </c>
      <c r="T1334" s="29">
        <v>61.6707617</v>
      </c>
      <c r="U1334" s="29">
        <v>17.690417700000001</v>
      </c>
      <c r="V1334" s="29">
        <v>95.208333300000007</v>
      </c>
      <c r="W1334" s="29">
        <v>84.583333300000007</v>
      </c>
      <c r="X1334" s="29">
        <v>10.625</v>
      </c>
      <c r="Y1334" s="29">
        <v>4.7916667000000004</v>
      </c>
    </row>
    <row r="1335" spans="2:25" ht="15" hidden="1" customHeight="1">
      <c r="B1335" s="21">
        <v>1330</v>
      </c>
      <c r="C1335" s="22" t="s">
        <v>19</v>
      </c>
      <c r="D1335" s="35" t="s">
        <v>403</v>
      </c>
      <c r="E1335" s="35" t="s">
        <v>426</v>
      </c>
      <c r="F1335" s="35"/>
      <c r="G1335" s="22" t="s">
        <v>426</v>
      </c>
      <c r="H1335" s="23">
        <v>631</v>
      </c>
      <c r="I1335" s="23">
        <v>449</v>
      </c>
      <c r="J1335" s="23">
        <v>258</v>
      </c>
      <c r="K1335" s="23">
        <v>191</v>
      </c>
      <c r="L1335" s="23">
        <v>182</v>
      </c>
      <c r="M1335" s="23">
        <v>922</v>
      </c>
      <c r="N1335" s="23">
        <v>637</v>
      </c>
      <c r="O1335" s="23">
        <v>591</v>
      </c>
      <c r="P1335" s="23">
        <v>46</v>
      </c>
      <c r="Q1335" s="23">
        <v>285</v>
      </c>
      <c r="R1335" s="24">
        <v>71.156893800000006</v>
      </c>
      <c r="S1335" s="24">
        <v>40.887480199999999</v>
      </c>
      <c r="T1335" s="24">
        <v>30.2694136</v>
      </c>
      <c r="U1335" s="24">
        <v>28.843106200000001</v>
      </c>
      <c r="V1335" s="24">
        <v>69.088937099999995</v>
      </c>
      <c r="W1335" s="24">
        <v>64.099783099999996</v>
      </c>
      <c r="X1335" s="24">
        <v>4.9891540000000001</v>
      </c>
      <c r="Y1335" s="24">
        <v>30.911062900000001</v>
      </c>
    </row>
    <row r="1336" spans="2:25" ht="15" hidden="1" customHeight="1">
      <c r="B1336" s="25">
        <v>1331</v>
      </c>
      <c r="C1336" s="26" t="s">
        <v>19</v>
      </c>
      <c r="D1336" s="26" t="s">
        <v>403</v>
      </c>
      <c r="E1336" s="26" t="s">
        <v>426</v>
      </c>
      <c r="F1336" s="26"/>
      <c r="G1336" s="27" t="s">
        <v>15</v>
      </c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9"/>
      <c r="S1336" s="29"/>
      <c r="T1336" s="29"/>
      <c r="U1336" s="29"/>
      <c r="V1336" s="29"/>
      <c r="W1336" s="29"/>
      <c r="X1336" s="29"/>
      <c r="Y1336" s="29"/>
    </row>
    <row r="1337" spans="2:25" ht="15" hidden="1" customHeight="1">
      <c r="B1337" s="25">
        <v>1332</v>
      </c>
      <c r="C1337" s="26" t="s">
        <v>19</v>
      </c>
      <c r="D1337" s="26" t="s">
        <v>403</v>
      </c>
      <c r="E1337" s="26" t="s">
        <v>426</v>
      </c>
      <c r="F1337" s="26"/>
      <c r="G1337" s="27" t="s">
        <v>16</v>
      </c>
      <c r="H1337" s="28">
        <v>631</v>
      </c>
      <c r="I1337" s="28">
        <v>449</v>
      </c>
      <c r="J1337" s="28">
        <v>258</v>
      </c>
      <c r="K1337" s="28">
        <v>191</v>
      </c>
      <c r="L1337" s="28">
        <v>182</v>
      </c>
      <c r="M1337" s="28">
        <v>922</v>
      </c>
      <c r="N1337" s="28">
        <v>637</v>
      </c>
      <c r="O1337" s="28">
        <v>591</v>
      </c>
      <c r="P1337" s="28">
        <v>46</v>
      </c>
      <c r="Q1337" s="28">
        <v>285</v>
      </c>
      <c r="R1337" s="29">
        <v>71.156893800000006</v>
      </c>
      <c r="S1337" s="29">
        <v>40.887480199999999</v>
      </c>
      <c r="T1337" s="29">
        <v>30.2694136</v>
      </c>
      <c r="U1337" s="29">
        <v>28.843106200000001</v>
      </c>
      <c r="V1337" s="29">
        <v>69.088937099999995</v>
      </c>
      <c r="W1337" s="29">
        <v>64.099783099999996</v>
      </c>
      <c r="X1337" s="29">
        <v>4.9891540000000001</v>
      </c>
      <c r="Y1337" s="29">
        <v>30.911062900000001</v>
      </c>
    </row>
    <row r="1338" spans="2:25" ht="15" customHeight="1">
      <c r="B1338" s="30">
        <v>1333</v>
      </c>
      <c r="C1338" s="31" t="s">
        <v>21</v>
      </c>
      <c r="D1338" s="36" t="s">
        <v>403</v>
      </c>
      <c r="E1338" s="36" t="s">
        <v>426</v>
      </c>
      <c r="F1338" s="36" t="s">
        <v>427</v>
      </c>
      <c r="G1338" s="37" t="s">
        <v>427</v>
      </c>
      <c r="H1338" s="32">
        <v>631</v>
      </c>
      <c r="I1338" s="32">
        <v>449</v>
      </c>
      <c r="J1338" s="32">
        <v>258</v>
      </c>
      <c r="K1338" s="32">
        <v>191</v>
      </c>
      <c r="L1338" s="32">
        <v>182</v>
      </c>
      <c r="M1338" s="32">
        <v>922</v>
      </c>
      <c r="N1338" s="32">
        <v>637</v>
      </c>
      <c r="O1338" s="32">
        <v>591</v>
      </c>
      <c r="P1338" s="32">
        <v>46</v>
      </c>
      <c r="Q1338" s="32">
        <v>285</v>
      </c>
      <c r="R1338" s="33">
        <v>71.156893800000006</v>
      </c>
      <c r="S1338" s="33">
        <v>40.887480199999999</v>
      </c>
      <c r="T1338" s="33">
        <v>30.2694136</v>
      </c>
      <c r="U1338" s="33">
        <v>28.843106200000001</v>
      </c>
      <c r="V1338" s="33">
        <v>69.088937099999995</v>
      </c>
      <c r="W1338" s="33">
        <v>64.099783099999996</v>
      </c>
      <c r="X1338" s="33">
        <v>4.9891540000000001</v>
      </c>
      <c r="Y1338" s="33">
        <v>30.911062900000001</v>
      </c>
    </row>
    <row r="1339" spans="2:25" ht="15" hidden="1" customHeight="1">
      <c r="B1339" s="25">
        <v>1334</v>
      </c>
      <c r="C1339" s="26" t="s">
        <v>21</v>
      </c>
      <c r="D1339" s="26" t="s">
        <v>403</v>
      </c>
      <c r="E1339" s="26" t="s">
        <v>426</v>
      </c>
      <c r="F1339" s="26" t="s">
        <v>427</v>
      </c>
      <c r="G1339" s="27" t="s">
        <v>15</v>
      </c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9"/>
      <c r="S1339" s="29"/>
      <c r="T1339" s="29"/>
      <c r="U1339" s="29"/>
      <c r="V1339" s="29"/>
      <c r="W1339" s="29"/>
      <c r="X1339" s="29"/>
      <c r="Y1339" s="29"/>
    </row>
    <row r="1340" spans="2:25" ht="15" hidden="1" customHeight="1">
      <c r="B1340" s="25">
        <v>1335</v>
      </c>
      <c r="C1340" s="26" t="s">
        <v>21</v>
      </c>
      <c r="D1340" s="26" t="s">
        <v>403</v>
      </c>
      <c r="E1340" s="26" t="s">
        <v>426</v>
      </c>
      <c r="F1340" s="26" t="s">
        <v>427</v>
      </c>
      <c r="G1340" s="27" t="s">
        <v>16</v>
      </c>
      <c r="H1340" s="28">
        <v>631</v>
      </c>
      <c r="I1340" s="28">
        <v>449</v>
      </c>
      <c r="J1340" s="28">
        <v>258</v>
      </c>
      <c r="K1340" s="28">
        <v>191</v>
      </c>
      <c r="L1340" s="28">
        <v>182</v>
      </c>
      <c r="M1340" s="28">
        <v>922</v>
      </c>
      <c r="N1340" s="28">
        <v>637</v>
      </c>
      <c r="O1340" s="28">
        <v>591</v>
      </c>
      <c r="P1340" s="28">
        <v>46</v>
      </c>
      <c r="Q1340" s="28">
        <v>285</v>
      </c>
      <c r="R1340" s="29">
        <v>71.156893800000006</v>
      </c>
      <c r="S1340" s="29">
        <v>40.887480199999999</v>
      </c>
      <c r="T1340" s="29">
        <v>30.2694136</v>
      </c>
      <c r="U1340" s="29">
        <v>28.843106200000001</v>
      </c>
      <c r="V1340" s="29">
        <v>69.088937099999995</v>
      </c>
      <c r="W1340" s="29">
        <v>64.099783099999996</v>
      </c>
      <c r="X1340" s="29">
        <v>4.9891540000000001</v>
      </c>
      <c r="Y1340" s="29">
        <v>30.911062900000001</v>
      </c>
    </row>
    <row r="1341" spans="2:25" ht="15" hidden="1" customHeight="1">
      <c r="B1341" s="13">
        <v>1336</v>
      </c>
      <c r="C1341" s="14" t="s">
        <v>17</v>
      </c>
      <c r="D1341" s="14" t="s">
        <v>428</v>
      </c>
      <c r="E1341" s="14"/>
      <c r="F1341" s="14"/>
      <c r="G1341" s="14" t="s">
        <v>428</v>
      </c>
      <c r="H1341" s="15">
        <v>25365</v>
      </c>
      <c r="I1341" s="15">
        <v>21320</v>
      </c>
      <c r="J1341" s="15">
        <v>12566</v>
      </c>
      <c r="K1341" s="15">
        <v>8754</v>
      </c>
      <c r="L1341" s="15">
        <v>4045</v>
      </c>
      <c r="M1341" s="15">
        <v>34943</v>
      </c>
      <c r="N1341" s="15">
        <v>32784</v>
      </c>
      <c r="O1341" s="15">
        <v>28047</v>
      </c>
      <c r="P1341" s="15">
        <v>4737</v>
      </c>
      <c r="Q1341" s="15">
        <v>2159</v>
      </c>
      <c r="R1341" s="16">
        <v>84.052828700000006</v>
      </c>
      <c r="S1341" s="16">
        <v>49.540705699999997</v>
      </c>
      <c r="T1341" s="16">
        <v>34.512123000000003</v>
      </c>
      <c r="U1341" s="16">
        <v>15.947171300000001</v>
      </c>
      <c r="V1341" s="16">
        <v>93.8213662</v>
      </c>
      <c r="W1341" s="16">
        <v>80.265002999999993</v>
      </c>
      <c r="X1341" s="16">
        <v>13.5563632</v>
      </c>
      <c r="Y1341" s="16">
        <v>6.1786338000000001</v>
      </c>
    </row>
    <row r="1342" spans="2:25" ht="15" hidden="1" customHeight="1">
      <c r="B1342" s="17">
        <v>1337</v>
      </c>
      <c r="C1342" s="18" t="s">
        <v>17</v>
      </c>
      <c r="D1342" s="34" t="s">
        <v>428</v>
      </c>
      <c r="E1342" s="34"/>
      <c r="F1342" s="34"/>
      <c r="G1342" s="18" t="s">
        <v>15</v>
      </c>
      <c r="H1342" s="19">
        <v>13544</v>
      </c>
      <c r="I1342" s="19">
        <v>12407</v>
      </c>
      <c r="J1342" s="19">
        <v>7212</v>
      </c>
      <c r="K1342" s="19">
        <v>5195</v>
      </c>
      <c r="L1342" s="19">
        <v>1137</v>
      </c>
      <c r="M1342" s="19">
        <v>19138</v>
      </c>
      <c r="N1342" s="19">
        <v>18450</v>
      </c>
      <c r="O1342" s="19">
        <v>15653</v>
      </c>
      <c r="P1342" s="19">
        <v>2797</v>
      </c>
      <c r="Q1342" s="19">
        <v>688</v>
      </c>
      <c r="R1342" s="20">
        <v>91.605138800000006</v>
      </c>
      <c r="S1342" s="20">
        <v>53.248671000000002</v>
      </c>
      <c r="T1342" s="20">
        <v>38.356467799999997</v>
      </c>
      <c r="U1342" s="20">
        <v>8.3948611999999994</v>
      </c>
      <c r="V1342" s="20">
        <v>96.405057999999997</v>
      </c>
      <c r="W1342" s="20">
        <v>81.7901557</v>
      </c>
      <c r="X1342" s="20">
        <v>14.614902300000001</v>
      </c>
      <c r="Y1342" s="20">
        <v>3.5949420000000001</v>
      </c>
    </row>
    <row r="1343" spans="2:25" ht="15" hidden="1" customHeight="1">
      <c r="B1343" s="17">
        <v>1338</v>
      </c>
      <c r="C1343" s="18" t="s">
        <v>17</v>
      </c>
      <c r="D1343" s="34" t="s">
        <v>428</v>
      </c>
      <c r="E1343" s="34"/>
      <c r="F1343" s="34"/>
      <c r="G1343" s="18" t="s">
        <v>16</v>
      </c>
      <c r="H1343" s="19">
        <v>11821</v>
      </c>
      <c r="I1343" s="19">
        <v>8913</v>
      </c>
      <c r="J1343" s="19">
        <v>5354</v>
      </c>
      <c r="K1343" s="19">
        <v>3559</v>
      </c>
      <c r="L1343" s="19">
        <v>2908</v>
      </c>
      <c r="M1343" s="19">
        <v>15805</v>
      </c>
      <c r="N1343" s="19">
        <v>14334</v>
      </c>
      <c r="O1343" s="19">
        <v>12394</v>
      </c>
      <c r="P1343" s="19">
        <v>1940</v>
      </c>
      <c r="Q1343" s="19">
        <v>1471</v>
      </c>
      <c r="R1343" s="20">
        <v>75.399712399999999</v>
      </c>
      <c r="S1343" s="20">
        <v>45.2922765</v>
      </c>
      <c r="T1343" s="20">
        <v>30.107435899999999</v>
      </c>
      <c r="U1343" s="20">
        <v>24.600287600000001</v>
      </c>
      <c r="V1343" s="20">
        <v>90.692818700000004</v>
      </c>
      <c r="W1343" s="20">
        <v>78.418222099999994</v>
      </c>
      <c r="X1343" s="20">
        <v>12.274596600000001</v>
      </c>
      <c r="Y1343" s="20">
        <v>9.3071812999999999</v>
      </c>
    </row>
    <row r="1344" spans="2:25" ht="15" hidden="1" customHeight="1">
      <c r="B1344" s="21">
        <v>1339</v>
      </c>
      <c r="C1344" s="22" t="s">
        <v>19</v>
      </c>
      <c r="D1344" s="35" t="s">
        <v>428</v>
      </c>
      <c r="E1344" s="35" t="s">
        <v>429</v>
      </c>
      <c r="F1344" s="35"/>
      <c r="G1344" s="22" t="s">
        <v>429</v>
      </c>
      <c r="H1344" s="23">
        <v>15448</v>
      </c>
      <c r="I1344" s="23">
        <v>13784</v>
      </c>
      <c r="J1344" s="23">
        <v>8354</v>
      </c>
      <c r="K1344" s="23">
        <v>5430</v>
      </c>
      <c r="L1344" s="23">
        <v>1664</v>
      </c>
      <c r="M1344" s="23">
        <v>19831</v>
      </c>
      <c r="N1344" s="23">
        <v>18919</v>
      </c>
      <c r="O1344" s="23">
        <v>16346</v>
      </c>
      <c r="P1344" s="23">
        <v>2573</v>
      </c>
      <c r="Q1344" s="23">
        <v>912</v>
      </c>
      <c r="R1344" s="24">
        <v>89.228379099999998</v>
      </c>
      <c r="S1344" s="24">
        <v>54.078197799999998</v>
      </c>
      <c r="T1344" s="24">
        <v>35.1501813</v>
      </c>
      <c r="U1344" s="24">
        <v>10.7716209</v>
      </c>
      <c r="V1344" s="24">
        <v>95.401139599999993</v>
      </c>
      <c r="W1344" s="24">
        <v>82.426503999999994</v>
      </c>
      <c r="X1344" s="24">
        <v>12.9746357</v>
      </c>
      <c r="Y1344" s="24">
        <v>4.5988604000000004</v>
      </c>
    </row>
    <row r="1345" spans="2:25" ht="15" hidden="1" customHeight="1">
      <c r="B1345" s="25">
        <v>1340</v>
      </c>
      <c r="C1345" s="26" t="s">
        <v>19</v>
      </c>
      <c r="D1345" s="26" t="s">
        <v>428</v>
      </c>
      <c r="E1345" s="26" t="s">
        <v>429</v>
      </c>
      <c r="F1345" s="26"/>
      <c r="G1345" s="27" t="s">
        <v>15</v>
      </c>
      <c r="H1345" s="28">
        <v>12588</v>
      </c>
      <c r="I1345" s="28">
        <v>11524</v>
      </c>
      <c r="J1345" s="28">
        <v>6870</v>
      </c>
      <c r="K1345" s="28">
        <v>4654</v>
      </c>
      <c r="L1345" s="28">
        <v>1064</v>
      </c>
      <c r="M1345" s="28">
        <v>16656</v>
      </c>
      <c r="N1345" s="28">
        <v>16124</v>
      </c>
      <c r="O1345" s="28">
        <v>13811</v>
      </c>
      <c r="P1345" s="28">
        <v>2313</v>
      </c>
      <c r="Q1345" s="28">
        <v>532</v>
      </c>
      <c r="R1345" s="29">
        <v>91.547505599999994</v>
      </c>
      <c r="S1345" s="29">
        <v>54.5757865</v>
      </c>
      <c r="T1345" s="29">
        <v>36.971719100000001</v>
      </c>
      <c r="U1345" s="29">
        <v>8.4524944000000009</v>
      </c>
      <c r="V1345" s="29">
        <v>96.805955800000007</v>
      </c>
      <c r="W1345" s="29">
        <v>82.919068199999998</v>
      </c>
      <c r="X1345" s="29">
        <v>13.8868876</v>
      </c>
      <c r="Y1345" s="29">
        <v>3.1940442</v>
      </c>
    </row>
    <row r="1346" spans="2:25" ht="15" hidden="1" customHeight="1">
      <c r="B1346" s="25">
        <v>1341</v>
      </c>
      <c r="C1346" s="26" t="s">
        <v>19</v>
      </c>
      <c r="D1346" s="26" t="s">
        <v>428</v>
      </c>
      <c r="E1346" s="26" t="s">
        <v>429</v>
      </c>
      <c r="F1346" s="26"/>
      <c r="G1346" s="27" t="s">
        <v>16</v>
      </c>
      <c r="H1346" s="28">
        <v>2860</v>
      </c>
      <c r="I1346" s="28">
        <v>2260</v>
      </c>
      <c r="J1346" s="28">
        <v>1484</v>
      </c>
      <c r="K1346" s="28">
        <v>776</v>
      </c>
      <c r="L1346" s="28">
        <v>600</v>
      </c>
      <c r="M1346" s="28">
        <v>3175</v>
      </c>
      <c r="N1346" s="28">
        <v>2795</v>
      </c>
      <c r="O1346" s="28">
        <v>2535</v>
      </c>
      <c r="P1346" s="28">
        <v>260</v>
      </c>
      <c r="Q1346" s="28">
        <v>380</v>
      </c>
      <c r="R1346" s="29">
        <v>79.020978999999997</v>
      </c>
      <c r="S1346" s="29">
        <v>51.888111899999998</v>
      </c>
      <c r="T1346" s="29">
        <v>27.132867099999999</v>
      </c>
      <c r="U1346" s="29">
        <v>20.979020999999999</v>
      </c>
      <c r="V1346" s="29">
        <v>88.031496099999998</v>
      </c>
      <c r="W1346" s="29">
        <v>79.842519699999997</v>
      </c>
      <c r="X1346" s="29">
        <v>8.1889763999999996</v>
      </c>
      <c r="Y1346" s="29">
        <v>11.9685039</v>
      </c>
    </row>
    <row r="1347" spans="2:25" ht="15" customHeight="1">
      <c r="B1347" s="30">
        <v>1342</v>
      </c>
      <c r="C1347" s="31" t="s">
        <v>21</v>
      </c>
      <c r="D1347" s="36" t="s">
        <v>428</v>
      </c>
      <c r="E1347" s="36" t="s">
        <v>429</v>
      </c>
      <c r="F1347" s="36" t="s">
        <v>430</v>
      </c>
      <c r="G1347" s="37" t="s">
        <v>430</v>
      </c>
      <c r="H1347" s="32">
        <v>12304</v>
      </c>
      <c r="I1347" s="32">
        <v>11205</v>
      </c>
      <c r="J1347" s="32">
        <v>6717</v>
      </c>
      <c r="K1347" s="32">
        <v>4488</v>
      </c>
      <c r="L1347" s="32">
        <v>1099</v>
      </c>
      <c r="M1347" s="32">
        <v>15564</v>
      </c>
      <c r="N1347" s="32">
        <v>15079</v>
      </c>
      <c r="O1347" s="32">
        <v>12842</v>
      </c>
      <c r="P1347" s="32">
        <v>2237</v>
      </c>
      <c r="Q1347" s="32">
        <v>485</v>
      </c>
      <c r="R1347" s="33">
        <v>91.067945399999999</v>
      </c>
      <c r="S1347" s="33">
        <v>54.592002600000001</v>
      </c>
      <c r="T1347" s="33">
        <v>36.475942799999999</v>
      </c>
      <c r="U1347" s="33">
        <v>8.9320546000000007</v>
      </c>
      <c r="V1347" s="33">
        <v>96.883834500000006</v>
      </c>
      <c r="W1347" s="33">
        <v>82.510922600000001</v>
      </c>
      <c r="X1347" s="33">
        <v>14.372911800000001</v>
      </c>
      <c r="Y1347" s="33">
        <v>3.1161655000000001</v>
      </c>
    </row>
    <row r="1348" spans="2:25" ht="15" hidden="1" customHeight="1">
      <c r="B1348" s="25">
        <v>1343</v>
      </c>
      <c r="C1348" s="26" t="s">
        <v>21</v>
      </c>
      <c r="D1348" s="26" t="s">
        <v>428</v>
      </c>
      <c r="E1348" s="26" t="s">
        <v>429</v>
      </c>
      <c r="F1348" s="26" t="s">
        <v>430</v>
      </c>
      <c r="G1348" s="27" t="s">
        <v>15</v>
      </c>
      <c r="H1348" s="28">
        <v>11775</v>
      </c>
      <c r="I1348" s="28">
        <v>10740</v>
      </c>
      <c r="J1348" s="28">
        <v>6359</v>
      </c>
      <c r="K1348" s="28">
        <v>4381</v>
      </c>
      <c r="L1348" s="28">
        <v>1035</v>
      </c>
      <c r="M1348" s="28">
        <v>14979</v>
      </c>
      <c r="N1348" s="28">
        <v>14523</v>
      </c>
      <c r="O1348" s="28">
        <v>12314</v>
      </c>
      <c r="P1348" s="28">
        <v>2209</v>
      </c>
      <c r="Q1348" s="28">
        <v>456</v>
      </c>
      <c r="R1348" s="29">
        <v>91.210191100000003</v>
      </c>
      <c r="S1348" s="29">
        <v>54.004246299999998</v>
      </c>
      <c r="T1348" s="29">
        <v>37.205944799999997</v>
      </c>
      <c r="U1348" s="29">
        <v>8.7898089000000006</v>
      </c>
      <c r="V1348" s="29">
        <v>96.955737999999997</v>
      </c>
      <c r="W1348" s="29">
        <v>82.208425099999999</v>
      </c>
      <c r="X1348" s="29">
        <v>14.747312900000001</v>
      </c>
      <c r="Y1348" s="29">
        <v>3.0442619999999998</v>
      </c>
    </row>
    <row r="1349" spans="2:25" ht="15" hidden="1" customHeight="1">
      <c r="B1349" s="25">
        <v>1344</v>
      </c>
      <c r="C1349" s="26" t="s">
        <v>21</v>
      </c>
      <c r="D1349" s="26" t="s">
        <v>428</v>
      </c>
      <c r="E1349" s="26" t="s">
        <v>429</v>
      </c>
      <c r="F1349" s="26" t="s">
        <v>430</v>
      </c>
      <c r="G1349" s="27" t="s">
        <v>16</v>
      </c>
      <c r="H1349" s="28">
        <v>529</v>
      </c>
      <c r="I1349" s="28">
        <v>465</v>
      </c>
      <c r="J1349" s="28">
        <v>358</v>
      </c>
      <c r="K1349" s="28">
        <v>107</v>
      </c>
      <c r="L1349" s="28">
        <v>64</v>
      </c>
      <c r="M1349" s="28">
        <v>585</v>
      </c>
      <c r="N1349" s="28">
        <v>556</v>
      </c>
      <c r="O1349" s="28">
        <v>528</v>
      </c>
      <c r="P1349" s="28">
        <v>28</v>
      </c>
      <c r="Q1349" s="28">
        <v>29</v>
      </c>
      <c r="R1349" s="29">
        <v>87.901701299999999</v>
      </c>
      <c r="S1349" s="29">
        <v>67.674858200000003</v>
      </c>
      <c r="T1349" s="29">
        <v>20.2268431</v>
      </c>
      <c r="U1349" s="29">
        <v>12.098298700000001</v>
      </c>
      <c r="V1349" s="29">
        <v>95.042734999999993</v>
      </c>
      <c r="W1349" s="29">
        <v>90.256410299999999</v>
      </c>
      <c r="X1349" s="29">
        <v>4.7863248</v>
      </c>
      <c r="Y1349" s="29">
        <v>4.9572649999999996</v>
      </c>
    </row>
    <row r="1350" spans="2:25" ht="15" customHeight="1">
      <c r="B1350" s="30">
        <v>1345</v>
      </c>
      <c r="C1350" s="31" t="s">
        <v>21</v>
      </c>
      <c r="D1350" s="36" t="s">
        <v>428</v>
      </c>
      <c r="E1350" s="36" t="s">
        <v>429</v>
      </c>
      <c r="F1350" s="36" t="s">
        <v>431</v>
      </c>
      <c r="G1350" s="37" t="s">
        <v>431</v>
      </c>
      <c r="H1350" s="32">
        <v>1655</v>
      </c>
      <c r="I1350" s="32">
        <v>1522</v>
      </c>
      <c r="J1350" s="32">
        <v>997</v>
      </c>
      <c r="K1350" s="32">
        <v>525</v>
      </c>
      <c r="L1350" s="32">
        <v>133</v>
      </c>
      <c r="M1350" s="32">
        <v>2230</v>
      </c>
      <c r="N1350" s="32">
        <v>2096</v>
      </c>
      <c r="O1350" s="32">
        <v>1960</v>
      </c>
      <c r="P1350" s="32">
        <v>136</v>
      </c>
      <c r="Q1350" s="32">
        <v>134</v>
      </c>
      <c r="R1350" s="33">
        <v>91.963746200000003</v>
      </c>
      <c r="S1350" s="33">
        <v>60.241691799999998</v>
      </c>
      <c r="T1350" s="33">
        <v>31.722054400000001</v>
      </c>
      <c r="U1350" s="33">
        <v>8.0362538000000008</v>
      </c>
      <c r="V1350" s="33">
        <v>93.991031399999997</v>
      </c>
      <c r="W1350" s="33">
        <v>87.8923767</v>
      </c>
      <c r="X1350" s="33">
        <v>6.0986547</v>
      </c>
      <c r="Y1350" s="33">
        <v>6.0089686000000002</v>
      </c>
    </row>
    <row r="1351" spans="2:25" ht="15" hidden="1" customHeight="1">
      <c r="B1351" s="25">
        <v>1346</v>
      </c>
      <c r="C1351" s="26" t="s">
        <v>21</v>
      </c>
      <c r="D1351" s="26" t="s">
        <v>428</v>
      </c>
      <c r="E1351" s="26" t="s">
        <v>429</v>
      </c>
      <c r="F1351" s="26" t="s">
        <v>431</v>
      </c>
      <c r="G1351" s="27" t="s">
        <v>15</v>
      </c>
      <c r="H1351" s="28">
        <v>813</v>
      </c>
      <c r="I1351" s="28">
        <v>784</v>
      </c>
      <c r="J1351" s="28">
        <v>511</v>
      </c>
      <c r="K1351" s="28">
        <v>273</v>
      </c>
      <c r="L1351" s="28">
        <v>29</v>
      </c>
      <c r="M1351" s="28">
        <v>1677</v>
      </c>
      <c r="N1351" s="28">
        <v>1601</v>
      </c>
      <c r="O1351" s="28">
        <v>1497</v>
      </c>
      <c r="P1351" s="28">
        <v>104</v>
      </c>
      <c r="Q1351" s="28">
        <v>76</v>
      </c>
      <c r="R1351" s="29">
        <v>96.432964299999995</v>
      </c>
      <c r="S1351" s="29">
        <v>62.853628499999999</v>
      </c>
      <c r="T1351" s="29">
        <v>33.579335800000003</v>
      </c>
      <c r="U1351" s="29">
        <v>3.5670356999999999</v>
      </c>
      <c r="V1351" s="29">
        <v>95.468097799999995</v>
      </c>
      <c r="W1351" s="29">
        <v>89.266547399999993</v>
      </c>
      <c r="X1351" s="29">
        <v>6.2015504000000004</v>
      </c>
      <c r="Y1351" s="29">
        <v>4.5319022000000002</v>
      </c>
    </row>
    <row r="1352" spans="2:25" ht="15" hidden="1" customHeight="1">
      <c r="B1352" s="25">
        <v>1347</v>
      </c>
      <c r="C1352" s="26" t="s">
        <v>21</v>
      </c>
      <c r="D1352" s="26" t="s">
        <v>428</v>
      </c>
      <c r="E1352" s="26" t="s">
        <v>429</v>
      </c>
      <c r="F1352" s="26" t="s">
        <v>431</v>
      </c>
      <c r="G1352" s="27" t="s">
        <v>16</v>
      </c>
      <c r="H1352" s="28">
        <v>842</v>
      </c>
      <c r="I1352" s="28">
        <v>738</v>
      </c>
      <c r="J1352" s="28">
        <v>486</v>
      </c>
      <c r="K1352" s="28">
        <v>252</v>
      </c>
      <c r="L1352" s="28">
        <v>104</v>
      </c>
      <c r="M1352" s="28">
        <v>553</v>
      </c>
      <c r="N1352" s="28">
        <v>495</v>
      </c>
      <c r="O1352" s="28">
        <v>463</v>
      </c>
      <c r="P1352" s="28">
        <v>32</v>
      </c>
      <c r="Q1352" s="28">
        <v>58</v>
      </c>
      <c r="R1352" s="29">
        <v>87.648456100000004</v>
      </c>
      <c r="S1352" s="29">
        <v>57.719715000000001</v>
      </c>
      <c r="T1352" s="29">
        <v>29.9287411</v>
      </c>
      <c r="U1352" s="29">
        <v>12.351543899999999</v>
      </c>
      <c r="V1352" s="29">
        <v>89.511754100000005</v>
      </c>
      <c r="W1352" s="29">
        <v>83.725135600000002</v>
      </c>
      <c r="X1352" s="29">
        <v>5.7866184000000001</v>
      </c>
      <c r="Y1352" s="29">
        <v>10.488245900000001</v>
      </c>
    </row>
    <row r="1353" spans="2:25" ht="15" customHeight="1">
      <c r="B1353" s="30">
        <v>1348</v>
      </c>
      <c r="C1353" s="31" t="s">
        <v>21</v>
      </c>
      <c r="D1353" s="36" t="s">
        <v>428</v>
      </c>
      <c r="E1353" s="36" t="s">
        <v>429</v>
      </c>
      <c r="F1353" s="36" t="s">
        <v>432</v>
      </c>
      <c r="G1353" s="37" t="s">
        <v>432</v>
      </c>
      <c r="H1353" s="32">
        <v>545</v>
      </c>
      <c r="I1353" s="32">
        <v>381</v>
      </c>
      <c r="J1353" s="32">
        <v>213</v>
      </c>
      <c r="K1353" s="32">
        <v>168</v>
      </c>
      <c r="L1353" s="32">
        <v>164</v>
      </c>
      <c r="M1353" s="32">
        <v>802</v>
      </c>
      <c r="N1353" s="32">
        <v>680</v>
      </c>
      <c r="O1353" s="32">
        <v>617</v>
      </c>
      <c r="P1353" s="32">
        <v>63</v>
      </c>
      <c r="Q1353" s="32">
        <v>122</v>
      </c>
      <c r="R1353" s="33">
        <v>69.908256899999998</v>
      </c>
      <c r="S1353" s="33">
        <v>39.082568799999997</v>
      </c>
      <c r="T1353" s="33">
        <v>30.825688100000001</v>
      </c>
      <c r="U1353" s="33">
        <v>30.091743099999999</v>
      </c>
      <c r="V1353" s="33">
        <v>84.788029899999998</v>
      </c>
      <c r="W1353" s="33">
        <v>76.932668300000003</v>
      </c>
      <c r="X1353" s="33">
        <v>7.8553616000000002</v>
      </c>
      <c r="Y1353" s="33">
        <v>15.2119701</v>
      </c>
    </row>
    <row r="1354" spans="2:25" ht="15" hidden="1" customHeight="1">
      <c r="B1354" s="25">
        <v>1349</v>
      </c>
      <c r="C1354" s="26" t="s">
        <v>21</v>
      </c>
      <c r="D1354" s="26" t="s">
        <v>428</v>
      </c>
      <c r="E1354" s="26" t="s">
        <v>429</v>
      </c>
      <c r="F1354" s="26" t="s">
        <v>432</v>
      </c>
      <c r="G1354" s="27" t="s">
        <v>15</v>
      </c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9"/>
      <c r="S1354" s="29"/>
      <c r="T1354" s="29"/>
      <c r="U1354" s="29"/>
      <c r="V1354" s="29"/>
      <c r="W1354" s="29"/>
      <c r="X1354" s="29"/>
      <c r="Y1354" s="29"/>
    </row>
    <row r="1355" spans="2:25" ht="15" hidden="1" customHeight="1">
      <c r="B1355" s="25">
        <v>1350</v>
      </c>
      <c r="C1355" s="26" t="s">
        <v>21</v>
      </c>
      <c r="D1355" s="26" t="s">
        <v>428</v>
      </c>
      <c r="E1355" s="26" t="s">
        <v>429</v>
      </c>
      <c r="F1355" s="26" t="s">
        <v>432</v>
      </c>
      <c r="G1355" s="27" t="s">
        <v>16</v>
      </c>
      <c r="H1355" s="28">
        <v>545</v>
      </c>
      <c r="I1355" s="28">
        <v>381</v>
      </c>
      <c r="J1355" s="28">
        <v>213</v>
      </c>
      <c r="K1355" s="28">
        <v>168</v>
      </c>
      <c r="L1355" s="28">
        <v>164</v>
      </c>
      <c r="M1355" s="28">
        <v>802</v>
      </c>
      <c r="N1355" s="28">
        <v>680</v>
      </c>
      <c r="O1355" s="28">
        <v>617</v>
      </c>
      <c r="P1355" s="28">
        <v>63</v>
      </c>
      <c r="Q1355" s="28">
        <v>122</v>
      </c>
      <c r="R1355" s="29">
        <v>69.908256899999998</v>
      </c>
      <c r="S1355" s="29">
        <v>39.082568799999997</v>
      </c>
      <c r="T1355" s="29">
        <v>30.825688100000001</v>
      </c>
      <c r="U1355" s="29">
        <v>30.091743099999999</v>
      </c>
      <c r="V1355" s="29">
        <v>84.788029899999998</v>
      </c>
      <c r="W1355" s="29">
        <v>76.932668300000003</v>
      </c>
      <c r="X1355" s="29">
        <v>7.8553616000000002</v>
      </c>
      <c r="Y1355" s="29">
        <v>15.2119701</v>
      </c>
    </row>
    <row r="1356" spans="2:25" ht="15" customHeight="1">
      <c r="B1356" s="30">
        <v>1351</v>
      </c>
      <c r="C1356" s="31" t="s">
        <v>21</v>
      </c>
      <c r="D1356" s="36" t="s">
        <v>428</v>
      </c>
      <c r="E1356" s="36" t="s">
        <v>429</v>
      </c>
      <c r="F1356" s="36" t="s">
        <v>433</v>
      </c>
      <c r="G1356" s="37" t="s">
        <v>433</v>
      </c>
      <c r="H1356" s="32">
        <v>944</v>
      </c>
      <c r="I1356" s="32">
        <v>676</v>
      </c>
      <c r="J1356" s="32">
        <v>427</v>
      </c>
      <c r="K1356" s="32">
        <v>249</v>
      </c>
      <c r="L1356" s="32">
        <v>268</v>
      </c>
      <c r="M1356" s="32">
        <v>1235</v>
      </c>
      <c r="N1356" s="32">
        <v>1064</v>
      </c>
      <c r="O1356" s="32">
        <v>927</v>
      </c>
      <c r="P1356" s="32">
        <v>137</v>
      </c>
      <c r="Q1356" s="32">
        <v>171</v>
      </c>
      <c r="R1356" s="33">
        <v>71.610169499999998</v>
      </c>
      <c r="S1356" s="33">
        <v>45.233050800000001</v>
      </c>
      <c r="T1356" s="33">
        <v>26.377118599999999</v>
      </c>
      <c r="U1356" s="33">
        <v>28.389830499999999</v>
      </c>
      <c r="V1356" s="33">
        <v>86.153846200000004</v>
      </c>
      <c r="W1356" s="33">
        <v>75.060728699999999</v>
      </c>
      <c r="X1356" s="33">
        <v>11.093117400000001</v>
      </c>
      <c r="Y1356" s="33">
        <v>13.8461538</v>
      </c>
    </row>
    <row r="1357" spans="2:25" ht="15" hidden="1" customHeight="1">
      <c r="B1357" s="25">
        <v>1352</v>
      </c>
      <c r="C1357" s="26" t="s">
        <v>21</v>
      </c>
      <c r="D1357" s="26" t="s">
        <v>428</v>
      </c>
      <c r="E1357" s="26" t="s">
        <v>429</v>
      </c>
      <c r="F1357" s="26" t="s">
        <v>433</v>
      </c>
      <c r="G1357" s="27" t="s">
        <v>15</v>
      </c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9"/>
      <c r="S1357" s="29"/>
      <c r="T1357" s="29"/>
      <c r="U1357" s="29"/>
      <c r="V1357" s="29"/>
      <c r="W1357" s="29"/>
      <c r="X1357" s="29"/>
      <c r="Y1357" s="29"/>
    </row>
    <row r="1358" spans="2:25" ht="15" hidden="1" customHeight="1">
      <c r="B1358" s="25">
        <v>1353</v>
      </c>
      <c r="C1358" s="26" t="s">
        <v>21</v>
      </c>
      <c r="D1358" s="26" t="s">
        <v>428</v>
      </c>
      <c r="E1358" s="26" t="s">
        <v>429</v>
      </c>
      <c r="F1358" s="26" t="s">
        <v>433</v>
      </c>
      <c r="G1358" s="27" t="s">
        <v>16</v>
      </c>
      <c r="H1358" s="28">
        <v>944</v>
      </c>
      <c r="I1358" s="28">
        <v>676</v>
      </c>
      <c r="J1358" s="28">
        <v>427</v>
      </c>
      <c r="K1358" s="28">
        <v>249</v>
      </c>
      <c r="L1358" s="28">
        <v>268</v>
      </c>
      <c r="M1358" s="28">
        <v>1235</v>
      </c>
      <c r="N1358" s="28">
        <v>1064</v>
      </c>
      <c r="O1358" s="28">
        <v>927</v>
      </c>
      <c r="P1358" s="28">
        <v>137</v>
      </c>
      <c r="Q1358" s="28">
        <v>171</v>
      </c>
      <c r="R1358" s="29">
        <v>71.610169499999998</v>
      </c>
      <c r="S1358" s="29">
        <v>45.233050800000001</v>
      </c>
      <c r="T1358" s="29">
        <v>26.377118599999999</v>
      </c>
      <c r="U1358" s="29">
        <v>28.389830499999999</v>
      </c>
      <c r="V1358" s="29">
        <v>86.153846200000004</v>
      </c>
      <c r="W1358" s="29">
        <v>75.060728699999999</v>
      </c>
      <c r="X1358" s="29">
        <v>11.093117400000001</v>
      </c>
      <c r="Y1358" s="29">
        <v>13.8461538</v>
      </c>
    </row>
    <row r="1359" spans="2:25" ht="15" hidden="1" customHeight="1">
      <c r="B1359" s="21">
        <v>1354</v>
      </c>
      <c r="C1359" s="22" t="s">
        <v>19</v>
      </c>
      <c r="D1359" s="35" t="s">
        <v>428</v>
      </c>
      <c r="E1359" s="35" t="s">
        <v>434</v>
      </c>
      <c r="F1359" s="35"/>
      <c r="G1359" s="22" t="s">
        <v>434</v>
      </c>
      <c r="H1359" s="23">
        <v>3420</v>
      </c>
      <c r="I1359" s="23">
        <v>2735</v>
      </c>
      <c r="J1359" s="23">
        <v>1337</v>
      </c>
      <c r="K1359" s="23">
        <v>1398</v>
      </c>
      <c r="L1359" s="23">
        <v>685</v>
      </c>
      <c r="M1359" s="23">
        <v>5115</v>
      </c>
      <c r="N1359" s="23">
        <v>4733</v>
      </c>
      <c r="O1359" s="23">
        <v>3887</v>
      </c>
      <c r="P1359" s="23">
        <v>846</v>
      </c>
      <c r="Q1359" s="23">
        <v>382</v>
      </c>
      <c r="R1359" s="24">
        <v>79.970760200000001</v>
      </c>
      <c r="S1359" s="24">
        <v>39.093567299999997</v>
      </c>
      <c r="T1359" s="24">
        <v>40.877192999999998</v>
      </c>
      <c r="U1359" s="24">
        <v>20.029239799999999</v>
      </c>
      <c r="V1359" s="24">
        <v>92.531769299999993</v>
      </c>
      <c r="W1359" s="24">
        <v>75.992179899999996</v>
      </c>
      <c r="X1359" s="24">
        <v>16.539589400000001</v>
      </c>
      <c r="Y1359" s="24">
        <v>7.4682307000000003</v>
      </c>
    </row>
    <row r="1360" spans="2:25" ht="15" hidden="1" customHeight="1">
      <c r="B1360" s="25">
        <v>1355</v>
      </c>
      <c r="C1360" s="26" t="s">
        <v>19</v>
      </c>
      <c r="D1360" s="26" t="s">
        <v>428</v>
      </c>
      <c r="E1360" s="26" t="s">
        <v>434</v>
      </c>
      <c r="F1360" s="26"/>
      <c r="G1360" s="27" t="s">
        <v>15</v>
      </c>
      <c r="H1360" s="28">
        <v>579</v>
      </c>
      <c r="I1360" s="28">
        <v>540</v>
      </c>
      <c r="J1360" s="28">
        <v>181</v>
      </c>
      <c r="K1360" s="28">
        <v>359</v>
      </c>
      <c r="L1360" s="28">
        <v>39</v>
      </c>
      <c r="M1360" s="28">
        <v>984</v>
      </c>
      <c r="N1360" s="28">
        <v>950</v>
      </c>
      <c r="O1360" s="28">
        <v>694</v>
      </c>
      <c r="P1360" s="28">
        <v>256</v>
      </c>
      <c r="Q1360" s="28">
        <v>34</v>
      </c>
      <c r="R1360" s="29">
        <v>93.264248699999996</v>
      </c>
      <c r="S1360" s="29">
        <v>31.260794499999999</v>
      </c>
      <c r="T1360" s="29">
        <v>62.0034542</v>
      </c>
      <c r="U1360" s="29">
        <v>6.7357513000000004</v>
      </c>
      <c r="V1360" s="29">
        <v>96.544715400000001</v>
      </c>
      <c r="W1360" s="29">
        <v>70.528455300000005</v>
      </c>
      <c r="X1360" s="29">
        <v>26.016260200000001</v>
      </c>
      <c r="Y1360" s="29">
        <v>3.4552846000000002</v>
      </c>
    </row>
    <row r="1361" spans="2:25" ht="15" hidden="1" customHeight="1">
      <c r="B1361" s="25">
        <v>1356</v>
      </c>
      <c r="C1361" s="26" t="s">
        <v>19</v>
      </c>
      <c r="D1361" s="26" t="s">
        <v>428</v>
      </c>
      <c r="E1361" s="26" t="s">
        <v>434</v>
      </c>
      <c r="F1361" s="26"/>
      <c r="G1361" s="27" t="s">
        <v>16</v>
      </c>
      <c r="H1361" s="28">
        <v>2841</v>
      </c>
      <c r="I1361" s="28">
        <v>2195</v>
      </c>
      <c r="J1361" s="28">
        <v>1156</v>
      </c>
      <c r="K1361" s="28">
        <v>1039</v>
      </c>
      <c r="L1361" s="28">
        <v>646</v>
      </c>
      <c r="M1361" s="28">
        <v>4131</v>
      </c>
      <c r="N1361" s="28">
        <v>3783</v>
      </c>
      <c r="O1361" s="28">
        <v>3193</v>
      </c>
      <c r="P1361" s="28">
        <v>590</v>
      </c>
      <c r="Q1361" s="28">
        <v>348</v>
      </c>
      <c r="R1361" s="29">
        <v>77.261527599999994</v>
      </c>
      <c r="S1361" s="29">
        <v>40.689897899999998</v>
      </c>
      <c r="T1361" s="29">
        <v>36.571629700000003</v>
      </c>
      <c r="U1361" s="29">
        <v>22.738472399999999</v>
      </c>
      <c r="V1361" s="29">
        <v>91.575889599999996</v>
      </c>
      <c r="W1361" s="29">
        <v>77.293633499999999</v>
      </c>
      <c r="X1361" s="29">
        <v>14.2822561</v>
      </c>
      <c r="Y1361" s="29">
        <v>8.4241104</v>
      </c>
    </row>
    <row r="1362" spans="2:25" ht="15" customHeight="1">
      <c r="B1362" s="30">
        <v>1357</v>
      </c>
      <c r="C1362" s="31" t="s">
        <v>21</v>
      </c>
      <c r="D1362" s="36" t="s">
        <v>428</v>
      </c>
      <c r="E1362" s="36" t="s">
        <v>434</v>
      </c>
      <c r="F1362" s="36" t="s">
        <v>435</v>
      </c>
      <c r="G1362" s="37" t="s">
        <v>435</v>
      </c>
      <c r="H1362" s="32">
        <v>1382</v>
      </c>
      <c r="I1362" s="32">
        <v>1218</v>
      </c>
      <c r="J1362" s="32">
        <v>509</v>
      </c>
      <c r="K1362" s="32">
        <v>709</v>
      </c>
      <c r="L1362" s="32">
        <v>164</v>
      </c>
      <c r="M1362" s="32">
        <v>1989</v>
      </c>
      <c r="N1362" s="32">
        <v>1908</v>
      </c>
      <c r="O1362" s="32">
        <v>1449</v>
      </c>
      <c r="P1362" s="32">
        <v>459</v>
      </c>
      <c r="Q1362" s="32">
        <v>81</v>
      </c>
      <c r="R1362" s="33">
        <v>88.133140400000002</v>
      </c>
      <c r="S1362" s="33">
        <v>36.830680200000003</v>
      </c>
      <c r="T1362" s="33">
        <v>51.302460199999999</v>
      </c>
      <c r="U1362" s="33">
        <v>11.8668596</v>
      </c>
      <c r="V1362" s="33">
        <v>95.927601800000005</v>
      </c>
      <c r="W1362" s="33">
        <v>72.850678700000003</v>
      </c>
      <c r="X1362" s="33">
        <v>23.076923099999998</v>
      </c>
      <c r="Y1362" s="33">
        <v>4.0723982000000003</v>
      </c>
    </row>
    <row r="1363" spans="2:25" ht="15" hidden="1" customHeight="1">
      <c r="B1363" s="25">
        <v>1358</v>
      </c>
      <c r="C1363" s="26" t="s">
        <v>21</v>
      </c>
      <c r="D1363" s="26" t="s">
        <v>428</v>
      </c>
      <c r="E1363" s="26" t="s">
        <v>434</v>
      </c>
      <c r="F1363" s="26" t="s">
        <v>435</v>
      </c>
      <c r="G1363" s="27" t="s">
        <v>15</v>
      </c>
      <c r="H1363" s="28">
        <v>579</v>
      </c>
      <c r="I1363" s="28">
        <v>540</v>
      </c>
      <c r="J1363" s="28">
        <v>181</v>
      </c>
      <c r="K1363" s="28">
        <v>359</v>
      </c>
      <c r="L1363" s="28">
        <v>39</v>
      </c>
      <c r="M1363" s="28">
        <v>984</v>
      </c>
      <c r="N1363" s="28">
        <v>950</v>
      </c>
      <c r="O1363" s="28">
        <v>694</v>
      </c>
      <c r="P1363" s="28">
        <v>256</v>
      </c>
      <c r="Q1363" s="28">
        <v>34</v>
      </c>
      <c r="R1363" s="29">
        <v>93.264248699999996</v>
      </c>
      <c r="S1363" s="29">
        <v>31.260794499999999</v>
      </c>
      <c r="T1363" s="29">
        <v>62.0034542</v>
      </c>
      <c r="U1363" s="29">
        <v>6.7357513000000004</v>
      </c>
      <c r="V1363" s="29">
        <v>96.544715400000001</v>
      </c>
      <c r="W1363" s="29">
        <v>70.528455300000005</v>
      </c>
      <c r="X1363" s="29">
        <v>26.016260200000001</v>
      </c>
      <c r="Y1363" s="29">
        <v>3.4552846000000002</v>
      </c>
    </row>
    <row r="1364" spans="2:25" ht="15" hidden="1" customHeight="1">
      <c r="B1364" s="25">
        <v>1359</v>
      </c>
      <c r="C1364" s="26" t="s">
        <v>21</v>
      </c>
      <c r="D1364" s="26" t="s">
        <v>428</v>
      </c>
      <c r="E1364" s="26" t="s">
        <v>434</v>
      </c>
      <c r="F1364" s="26" t="s">
        <v>435</v>
      </c>
      <c r="G1364" s="27" t="s">
        <v>16</v>
      </c>
      <c r="H1364" s="28">
        <v>803</v>
      </c>
      <c r="I1364" s="28">
        <v>678</v>
      </c>
      <c r="J1364" s="28">
        <v>328</v>
      </c>
      <c r="K1364" s="28">
        <v>350</v>
      </c>
      <c r="L1364" s="28">
        <v>125</v>
      </c>
      <c r="M1364" s="28">
        <v>1005</v>
      </c>
      <c r="N1364" s="28">
        <v>958</v>
      </c>
      <c r="O1364" s="28">
        <v>755</v>
      </c>
      <c r="P1364" s="28">
        <v>203</v>
      </c>
      <c r="Q1364" s="28">
        <v>47</v>
      </c>
      <c r="R1364" s="29">
        <v>84.433374799999996</v>
      </c>
      <c r="S1364" s="29">
        <v>40.846824400000003</v>
      </c>
      <c r="T1364" s="29">
        <v>43.5865504</v>
      </c>
      <c r="U1364" s="29">
        <v>15.566625200000001</v>
      </c>
      <c r="V1364" s="29">
        <v>95.323383100000001</v>
      </c>
      <c r="W1364" s="29">
        <v>75.124378100000001</v>
      </c>
      <c r="X1364" s="29">
        <v>20.199005</v>
      </c>
      <c r="Y1364" s="29">
        <v>4.6766169</v>
      </c>
    </row>
    <row r="1365" spans="2:25" ht="15" customHeight="1">
      <c r="B1365" s="30">
        <v>1360</v>
      </c>
      <c r="C1365" s="31" t="s">
        <v>21</v>
      </c>
      <c r="D1365" s="36" t="s">
        <v>428</v>
      </c>
      <c r="E1365" s="36" t="s">
        <v>434</v>
      </c>
      <c r="F1365" s="36" t="s">
        <v>282</v>
      </c>
      <c r="G1365" s="37" t="s">
        <v>282</v>
      </c>
      <c r="H1365" s="32">
        <v>611</v>
      </c>
      <c r="I1365" s="32">
        <v>384</v>
      </c>
      <c r="J1365" s="32">
        <v>195</v>
      </c>
      <c r="K1365" s="32">
        <v>189</v>
      </c>
      <c r="L1365" s="32">
        <v>227</v>
      </c>
      <c r="M1365" s="32">
        <v>612</v>
      </c>
      <c r="N1365" s="32">
        <v>567</v>
      </c>
      <c r="O1365" s="32">
        <v>501</v>
      </c>
      <c r="P1365" s="32">
        <v>66</v>
      </c>
      <c r="Q1365" s="32">
        <v>45</v>
      </c>
      <c r="R1365" s="33">
        <v>62.847790500000002</v>
      </c>
      <c r="S1365" s="33">
        <v>31.914893599999999</v>
      </c>
      <c r="T1365" s="33">
        <v>30.932896899999999</v>
      </c>
      <c r="U1365" s="33">
        <v>37.152209499999998</v>
      </c>
      <c r="V1365" s="33">
        <v>92.647058799999996</v>
      </c>
      <c r="W1365" s="33">
        <v>81.862745099999998</v>
      </c>
      <c r="X1365" s="33">
        <v>10.7843137</v>
      </c>
      <c r="Y1365" s="33">
        <v>7.3529412000000001</v>
      </c>
    </row>
    <row r="1366" spans="2:25" ht="15" hidden="1" customHeight="1">
      <c r="B1366" s="25">
        <v>1361</v>
      </c>
      <c r="C1366" s="26" t="s">
        <v>21</v>
      </c>
      <c r="D1366" s="26" t="s">
        <v>428</v>
      </c>
      <c r="E1366" s="26" t="s">
        <v>434</v>
      </c>
      <c r="F1366" s="26" t="s">
        <v>282</v>
      </c>
      <c r="G1366" s="27" t="s">
        <v>15</v>
      </c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9"/>
      <c r="S1366" s="29"/>
      <c r="T1366" s="29"/>
      <c r="U1366" s="29"/>
      <c r="V1366" s="29"/>
      <c r="W1366" s="29"/>
      <c r="X1366" s="29"/>
      <c r="Y1366" s="29"/>
    </row>
    <row r="1367" spans="2:25" ht="15" hidden="1" customHeight="1">
      <c r="B1367" s="25">
        <v>1362</v>
      </c>
      <c r="C1367" s="26" t="s">
        <v>21</v>
      </c>
      <c r="D1367" s="26" t="s">
        <v>428</v>
      </c>
      <c r="E1367" s="26" t="s">
        <v>434</v>
      </c>
      <c r="F1367" s="26" t="s">
        <v>282</v>
      </c>
      <c r="G1367" s="27" t="s">
        <v>16</v>
      </c>
      <c r="H1367" s="28">
        <v>611</v>
      </c>
      <c r="I1367" s="28">
        <v>384</v>
      </c>
      <c r="J1367" s="28">
        <v>195</v>
      </c>
      <c r="K1367" s="28">
        <v>189</v>
      </c>
      <c r="L1367" s="28">
        <v>227</v>
      </c>
      <c r="M1367" s="28">
        <v>612</v>
      </c>
      <c r="N1367" s="28">
        <v>567</v>
      </c>
      <c r="O1367" s="28">
        <v>501</v>
      </c>
      <c r="P1367" s="28">
        <v>66</v>
      </c>
      <c r="Q1367" s="28">
        <v>45</v>
      </c>
      <c r="R1367" s="29">
        <v>62.847790500000002</v>
      </c>
      <c r="S1367" s="29">
        <v>31.914893599999999</v>
      </c>
      <c r="T1367" s="29">
        <v>30.932896899999999</v>
      </c>
      <c r="U1367" s="29">
        <v>37.152209499999998</v>
      </c>
      <c r="V1367" s="29">
        <v>92.647058799999996</v>
      </c>
      <c r="W1367" s="29">
        <v>81.862745099999998</v>
      </c>
      <c r="X1367" s="29">
        <v>10.7843137</v>
      </c>
      <c r="Y1367" s="29">
        <v>7.3529412000000001</v>
      </c>
    </row>
    <row r="1368" spans="2:25" ht="15" customHeight="1">
      <c r="B1368" s="30">
        <v>1363</v>
      </c>
      <c r="C1368" s="31" t="s">
        <v>21</v>
      </c>
      <c r="D1368" s="36" t="s">
        <v>428</v>
      </c>
      <c r="E1368" s="36" t="s">
        <v>434</v>
      </c>
      <c r="F1368" s="36" t="s">
        <v>436</v>
      </c>
      <c r="G1368" s="37" t="s">
        <v>436</v>
      </c>
      <c r="H1368" s="32">
        <v>1427</v>
      </c>
      <c r="I1368" s="32">
        <v>1133</v>
      </c>
      <c r="J1368" s="32">
        <v>633</v>
      </c>
      <c r="K1368" s="32">
        <v>500</v>
      </c>
      <c r="L1368" s="32">
        <v>294</v>
      </c>
      <c r="M1368" s="32">
        <v>2514</v>
      </c>
      <c r="N1368" s="32">
        <v>2258</v>
      </c>
      <c r="O1368" s="32">
        <v>1937</v>
      </c>
      <c r="P1368" s="32">
        <v>321</v>
      </c>
      <c r="Q1368" s="32">
        <v>256</v>
      </c>
      <c r="R1368" s="33">
        <v>79.397337100000001</v>
      </c>
      <c r="S1368" s="33">
        <v>44.358794699999997</v>
      </c>
      <c r="T1368" s="33">
        <v>35.038542399999997</v>
      </c>
      <c r="U1368" s="33">
        <v>20.602662899999999</v>
      </c>
      <c r="V1368" s="33">
        <v>89.817024700000005</v>
      </c>
      <c r="W1368" s="33">
        <v>77.048528200000007</v>
      </c>
      <c r="X1368" s="33">
        <v>12.7684964</v>
      </c>
      <c r="Y1368" s="33">
        <v>10.182975300000001</v>
      </c>
    </row>
    <row r="1369" spans="2:25" ht="15" hidden="1" customHeight="1">
      <c r="B1369" s="25">
        <v>1364</v>
      </c>
      <c r="C1369" s="26" t="s">
        <v>21</v>
      </c>
      <c r="D1369" s="26" t="s">
        <v>428</v>
      </c>
      <c r="E1369" s="26" t="s">
        <v>434</v>
      </c>
      <c r="F1369" s="26" t="s">
        <v>436</v>
      </c>
      <c r="G1369" s="27" t="s">
        <v>15</v>
      </c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9"/>
      <c r="S1369" s="29"/>
      <c r="T1369" s="29"/>
      <c r="U1369" s="29"/>
      <c r="V1369" s="29"/>
      <c r="W1369" s="29"/>
      <c r="X1369" s="29"/>
      <c r="Y1369" s="29"/>
    </row>
    <row r="1370" spans="2:25" ht="15" hidden="1" customHeight="1">
      <c r="B1370" s="25">
        <v>1365</v>
      </c>
      <c r="C1370" s="26" t="s">
        <v>21</v>
      </c>
      <c r="D1370" s="26" t="s">
        <v>428</v>
      </c>
      <c r="E1370" s="26" t="s">
        <v>434</v>
      </c>
      <c r="F1370" s="26" t="s">
        <v>436</v>
      </c>
      <c r="G1370" s="27" t="s">
        <v>16</v>
      </c>
      <c r="H1370" s="28">
        <v>1427</v>
      </c>
      <c r="I1370" s="28">
        <v>1133</v>
      </c>
      <c r="J1370" s="28">
        <v>633</v>
      </c>
      <c r="K1370" s="28">
        <v>500</v>
      </c>
      <c r="L1370" s="28">
        <v>294</v>
      </c>
      <c r="M1370" s="28">
        <v>2514</v>
      </c>
      <c r="N1370" s="28">
        <v>2258</v>
      </c>
      <c r="O1370" s="28">
        <v>1937</v>
      </c>
      <c r="P1370" s="28">
        <v>321</v>
      </c>
      <c r="Q1370" s="28">
        <v>256</v>
      </c>
      <c r="R1370" s="29">
        <v>79.397337100000001</v>
      </c>
      <c r="S1370" s="29">
        <v>44.358794699999997</v>
      </c>
      <c r="T1370" s="29">
        <v>35.038542399999997</v>
      </c>
      <c r="U1370" s="29">
        <v>20.602662899999999</v>
      </c>
      <c r="V1370" s="29">
        <v>89.817024700000005</v>
      </c>
      <c r="W1370" s="29">
        <v>77.048528200000007</v>
      </c>
      <c r="X1370" s="29">
        <v>12.7684964</v>
      </c>
      <c r="Y1370" s="29">
        <v>10.182975300000001</v>
      </c>
    </row>
    <row r="1371" spans="2:25" ht="15" hidden="1" customHeight="1">
      <c r="B1371" s="21">
        <v>1366</v>
      </c>
      <c r="C1371" s="22" t="s">
        <v>19</v>
      </c>
      <c r="D1371" s="35" t="s">
        <v>428</v>
      </c>
      <c r="E1371" s="35" t="s">
        <v>437</v>
      </c>
      <c r="F1371" s="35"/>
      <c r="G1371" s="22" t="s">
        <v>437</v>
      </c>
      <c r="H1371" s="23">
        <v>4021</v>
      </c>
      <c r="I1371" s="23">
        <v>2930</v>
      </c>
      <c r="J1371" s="23">
        <v>1929</v>
      </c>
      <c r="K1371" s="23">
        <v>1001</v>
      </c>
      <c r="L1371" s="23">
        <v>1091</v>
      </c>
      <c r="M1371" s="23">
        <v>6690</v>
      </c>
      <c r="N1371" s="23">
        <v>6079</v>
      </c>
      <c r="O1371" s="23">
        <v>5215</v>
      </c>
      <c r="P1371" s="23">
        <v>864</v>
      </c>
      <c r="Q1371" s="23">
        <v>611</v>
      </c>
      <c r="R1371" s="24">
        <v>72.867445900000007</v>
      </c>
      <c r="S1371" s="24">
        <v>47.973140999999998</v>
      </c>
      <c r="T1371" s="24">
        <v>24.894304900000002</v>
      </c>
      <c r="U1371" s="24">
        <v>27.1325541</v>
      </c>
      <c r="V1371" s="24">
        <v>90.8669656</v>
      </c>
      <c r="W1371" s="24">
        <v>77.952167399999993</v>
      </c>
      <c r="X1371" s="24">
        <v>12.9147982</v>
      </c>
      <c r="Y1371" s="24">
        <v>9.1330343999999997</v>
      </c>
    </row>
    <row r="1372" spans="2:25" ht="15" hidden="1" customHeight="1">
      <c r="B1372" s="25">
        <v>1367</v>
      </c>
      <c r="C1372" s="26" t="s">
        <v>19</v>
      </c>
      <c r="D1372" s="26" t="s">
        <v>428</v>
      </c>
      <c r="E1372" s="26" t="s">
        <v>437</v>
      </c>
      <c r="F1372" s="26"/>
      <c r="G1372" s="27" t="s">
        <v>15</v>
      </c>
      <c r="H1372" s="28">
        <v>377</v>
      </c>
      <c r="I1372" s="28">
        <v>343</v>
      </c>
      <c r="J1372" s="28">
        <v>161</v>
      </c>
      <c r="K1372" s="28">
        <v>182</v>
      </c>
      <c r="L1372" s="28">
        <v>34</v>
      </c>
      <c r="M1372" s="28">
        <v>1498</v>
      </c>
      <c r="N1372" s="28">
        <v>1376</v>
      </c>
      <c r="O1372" s="28">
        <v>1148</v>
      </c>
      <c r="P1372" s="28">
        <v>228</v>
      </c>
      <c r="Q1372" s="28">
        <v>122</v>
      </c>
      <c r="R1372" s="29">
        <v>90.981432400000003</v>
      </c>
      <c r="S1372" s="29">
        <v>42.705570299999998</v>
      </c>
      <c r="T1372" s="29">
        <v>48.275862099999998</v>
      </c>
      <c r="U1372" s="29">
        <v>9.0185676000000008</v>
      </c>
      <c r="V1372" s="29">
        <v>91.8558077</v>
      </c>
      <c r="W1372" s="29">
        <v>76.635514000000001</v>
      </c>
      <c r="X1372" s="29">
        <v>15.220293699999999</v>
      </c>
      <c r="Y1372" s="29">
        <v>8.1441923000000003</v>
      </c>
    </row>
    <row r="1373" spans="2:25" ht="15" hidden="1" customHeight="1">
      <c r="B1373" s="25">
        <v>1368</v>
      </c>
      <c r="C1373" s="26" t="s">
        <v>19</v>
      </c>
      <c r="D1373" s="26" t="s">
        <v>428</v>
      </c>
      <c r="E1373" s="26" t="s">
        <v>437</v>
      </c>
      <c r="F1373" s="26"/>
      <c r="G1373" s="27" t="s">
        <v>16</v>
      </c>
      <c r="H1373" s="28">
        <v>3644</v>
      </c>
      <c r="I1373" s="28">
        <v>2587</v>
      </c>
      <c r="J1373" s="28">
        <v>1768</v>
      </c>
      <c r="K1373" s="28">
        <v>819</v>
      </c>
      <c r="L1373" s="28">
        <v>1057</v>
      </c>
      <c r="M1373" s="28">
        <v>5192</v>
      </c>
      <c r="N1373" s="28">
        <v>4703</v>
      </c>
      <c r="O1373" s="28">
        <v>4067</v>
      </c>
      <c r="P1373" s="28">
        <v>636</v>
      </c>
      <c r="Q1373" s="28">
        <v>489</v>
      </c>
      <c r="R1373" s="29">
        <v>70.993413799999999</v>
      </c>
      <c r="S1373" s="29">
        <v>48.518112000000002</v>
      </c>
      <c r="T1373" s="29">
        <v>22.475301900000002</v>
      </c>
      <c r="U1373" s="29">
        <v>29.006586200000001</v>
      </c>
      <c r="V1373" s="29">
        <v>90.581664099999998</v>
      </c>
      <c r="W1373" s="29">
        <v>78.332049299999994</v>
      </c>
      <c r="X1373" s="29">
        <v>12.2496148</v>
      </c>
      <c r="Y1373" s="29">
        <v>9.4183359000000006</v>
      </c>
    </row>
    <row r="1374" spans="2:25" ht="15" customHeight="1">
      <c r="B1374" s="30">
        <v>1369</v>
      </c>
      <c r="C1374" s="31" t="s">
        <v>21</v>
      </c>
      <c r="D1374" s="36" t="s">
        <v>428</v>
      </c>
      <c r="E1374" s="36" t="s">
        <v>437</v>
      </c>
      <c r="F1374" s="36" t="s">
        <v>438</v>
      </c>
      <c r="G1374" s="37" t="s">
        <v>438</v>
      </c>
      <c r="H1374" s="32">
        <v>1026</v>
      </c>
      <c r="I1374" s="32">
        <v>869</v>
      </c>
      <c r="J1374" s="32">
        <v>582</v>
      </c>
      <c r="K1374" s="32">
        <v>287</v>
      </c>
      <c r="L1374" s="32">
        <v>157</v>
      </c>
      <c r="M1374" s="32">
        <v>1965</v>
      </c>
      <c r="N1374" s="32">
        <v>1677</v>
      </c>
      <c r="O1374" s="32">
        <v>1416</v>
      </c>
      <c r="P1374" s="32">
        <v>261</v>
      </c>
      <c r="Q1374" s="32">
        <v>288</v>
      </c>
      <c r="R1374" s="33">
        <v>84.697855799999999</v>
      </c>
      <c r="S1374" s="33">
        <v>56.725146199999998</v>
      </c>
      <c r="T1374" s="33">
        <v>27.972709600000002</v>
      </c>
      <c r="U1374" s="33">
        <v>15.302144200000001</v>
      </c>
      <c r="V1374" s="33">
        <v>85.343511500000005</v>
      </c>
      <c r="W1374" s="33">
        <v>72.061068700000007</v>
      </c>
      <c r="X1374" s="33">
        <v>13.282442700000001</v>
      </c>
      <c r="Y1374" s="33">
        <v>14.6564885</v>
      </c>
    </row>
    <row r="1375" spans="2:25" ht="15" hidden="1" customHeight="1">
      <c r="B1375" s="25">
        <v>1370</v>
      </c>
      <c r="C1375" s="26" t="s">
        <v>21</v>
      </c>
      <c r="D1375" s="26" t="s">
        <v>428</v>
      </c>
      <c r="E1375" s="26" t="s">
        <v>437</v>
      </c>
      <c r="F1375" s="26" t="s">
        <v>438</v>
      </c>
      <c r="G1375" s="27" t="s">
        <v>15</v>
      </c>
      <c r="H1375" s="28"/>
      <c r="I1375" s="28"/>
      <c r="J1375" s="28"/>
      <c r="K1375" s="28"/>
      <c r="L1375" s="28"/>
      <c r="M1375" s="28">
        <v>343</v>
      </c>
      <c r="N1375" s="28">
        <v>307</v>
      </c>
      <c r="O1375" s="28">
        <v>252</v>
      </c>
      <c r="P1375" s="28">
        <v>55</v>
      </c>
      <c r="Q1375" s="28">
        <v>36</v>
      </c>
      <c r="R1375" s="29"/>
      <c r="S1375" s="29"/>
      <c r="T1375" s="29"/>
      <c r="U1375" s="29"/>
      <c r="V1375" s="29">
        <v>89.504373200000003</v>
      </c>
      <c r="W1375" s="29">
        <v>73.469387800000007</v>
      </c>
      <c r="X1375" s="29">
        <v>16.0349854</v>
      </c>
      <c r="Y1375" s="29">
        <v>10.4956268</v>
      </c>
    </row>
    <row r="1376" spans="2:25" ht="15" hidden="1" customHeight="1">
      <c r="B1376" s="25">
        <v>1371</v>
      </c>
      <c r="C1376" s="26" t="s">
        <v>21</v>
      </c>
      <c r="D1376" s="26" t="s">
        <v>428</v>
      </c>
      <c r="E1376" s="26" t="s">
        <v>437</v>
      </c>
      <c r="F1376" s="26" t="s">
        <v>438</v>
      </c>
      <c r="G1376" s="27" t="s">
        <v>16</v>
      </c>
      <c r="H1376" s="28">
        <v>1026</v>
      </c>
      <c r="I1376" s="28">
        <v>869</v>
      </c>
      <c r="J1376" s="28">
        <v>582</v>
      </c>
      <c r="K1376" s="28">
        <v>287</v>
      </c>
      <c r="L1376" s="28">
        <v>157</v>
      </c>
      <c r="M1376" s="28">
        <v>1622</v>
      </c>
      <c r="N1376" s="28">
        <v>1370</v>
      </c>
      <c r="O1376" s="28">
        <v>1164</v>
      </c>
      <c r="P1376" s="28">
        <v>206</v>
      </c>
      <c r="Q1376" s="28">
        <v>252</v>
      </c>
      <c r="R1376" s="29">
        <v>84.697855799999999</v>
      </c>
      <c r="S1376" s="29">
        <v>56.725146199999998</v>
      </c>
      <c r="T1376" s="29">
        <v>27.972709600000002</v>
      </c>
      <c r="U1376" s="29">
        <v>15.302144200000001</v>
      </c>
      <c r="V1376" s="29">
        <v>84.463625199999996</v>
      </c>
      <c r="W1376" s="29">
        <v>71.763255200000003</v>
      </c>
      <c r="X1376" s="29">
        <v>12.7003699</v>
      </c>
      <c r="Y1376" s="29">
        <v>15.536374800000001</v>
      </c>
    </row>
    <row r="1377" spans="2:25" ht="15" customHeight="1">
      <c r="B1377" s="30">
        <v>1372</v>
      </c>
      <c r="C1377" s="31" t="s">
        <v>21</v>
      </c>
      <c r="D1377" s="36" t="s">
        <v>428</v>
      </c>
      <c r="E1377" s="36" t="s">
        <v>437</v>
      </c>
      <c r="F1377" s="36" t="s">
        <v>331</v>
      </c>
      <c r="G1377" s="37" t="s">
        <v>331</v>
      </c>
      <c r="H1377" s="32">
        <v>1342</v>
      </c>
      <c r="I1377" s="32">
        <v>1056</v>
      </c>
      <c r="J1377" s="32">
        <v>777</v>
      </c>
      <c r="K1377" s="32">
        <v>279</v>
      </c>
      <c r="L1377" s="32">
        <v>286</v>
      </c>
      <c r="M1377" s="32">
        <v>1850</v>
      </c>
      <c r="N1377" s="32">
        <v>1742</v>
      </c>
      <c r="O1377" s="32">
        <v>1521</v>
      </c>
      <c r="P1377" s="32">
        <v>221</v>
      </c>
      <c r="Q1377" s="32">
        <v>108</v>
      </c>
      <c r="R1377" s="33">
        <v>78.688524599999994</v>
      </c>
      <c r="S1377" s="33">
        <v>57.898658699999999</v>
      </c>
      <c r="T1377" s="33">
        <v>20.789865899999999</v>
      </c>
      <c r="U1377" s="33">
        <v>21.311475399999999</v>
      </c>
      <c r="V1377" s="33">
        <v>94.162162199999997</v>
      </c>
      <c r="W1377" s="33">
        <v>82.216216200000005</v>
      </c>
      <c r="X1377" s="33">
        <v>11.9459459</v>
      </c>
      <c r="Y1377" s="33">
        <v>5.8378378</v>
      </c>
    </row>
    <row r="1378" spans="2:25" ht="15" hidden="1" customHeight="1">
      <c r="B1378" s="25">
        <v>1373</v>
      </c>
      <c r="C1378" s="26" t="s">
        <v>21</v>
      </c>
      <c r="D1378" s="26" t="s">
        <v>428</v>
      </c>
      <c r="E1378" s="26" t="s">
        <v>437</v>
      </c>
      <c r="F1378" s="26" t="s">
        <v>331</v>
      </c>
      <c r="G1378" s="27" t="s">
        <v>15</v>
      </c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9"/>
      <c r="S1378" s="29"/>
      <c r="T1378" s="29"/>
      <c r="U1378" s="29"/>
      <c r="V1378" s="29"/>
      <c r="W1378" s="29"/>
      <c r="X1378" s="29"/>
      <c r="Y1378" s="29"/>
    </row>
    <row r="1379" spans="2:25" ht="15" hidden="1" customHeight="1">
      <c r="B1379" s="25">
        <v>1374</v>
      </c>
      <c r="C1379" s="26" t="s">
        <v>21</v>
      </c>
      <c r="D1379" s="26" t="s">
        <v>428</v>
      </c>
      <c r="E1379" s="26" t="s">
        <v>437</v>
      </c>
      <c r="F1379" s="26" t="s">
        <v>331</v>
      </c>
      <c r="G1379" s="27" t="s">
        <v>16</v>
      </c>
      <c r="H1379" s="28">
        <v>1342</v>
      </c>
      <c r="I1379" s="28">
        <v>1056</v>
      </c>
      <c r="J1379" s="28">
        <v>777</v>
      </c>
      <c r="K1379" s="28">
        <v>279</v>
      </c>
      <c r="L1379" s="28">
        <v>286</v>
      </c>
      <c r="M1379" s="28">
        <v>1850</v>
      </c>
      <c r="N1379" s="28">
        <v>1742</v>
      </c>
      <c r="O1379" s="28">
        <v>1521</v>
      </c>
      <c r="P1379" s="28">
        <v>221</v>
      </c>
      <c r="Q1379" s="28">
        <v>108</v>
      </c>
      <c r="R1379" s="29">
        <v>78.688524599999994</v>
      </c>
      <c r="S1379" s="29">
        <v>57.898658699999999</v>
      </c>
      <c r="T1379" s="29">
        <v>20.789865899999999</v>
      </c>
      <c r="U1379" s="29">
        <v>21.311475399999999</v>
      </c>
      <c r="V1379" s="29">
        <v>94.162162199999997</v>
      </c>
      <c r="W1379" s="29">
        <v>82.216216200000005</v>
      </c>
      <c r="X1379" s="29">
        <v>11.9459459</v>
      </c>
      <c r="Y1379" s="29">
        <v>5.8378378</v>
      </c>
    </row>
    <row r="1380" spans="2:25" ht="15" customHeight="1">
      <c r="B1380" s="30">
        <v>1375</v>
      </c>
      <c r="C1380" s="31" t="s">
        <v>21</v>
      </c>
      <c r="D1380" s="36" t="s">
        <v>428</v>
      </c>
      <c r="E1380" s="36" t="s">
        <v>437</v>
      </c>
      <c r="F1380" s="36" t="s">
        <v>439</v>
      </c>
      <c r="G1380" s="37" t="s">
        <v>439</v>
      </c>
      <c r="H1380" s="32">
        <v>1653</v>
      </c>
      <c r="I1380" s="32">
        <v>1005</v>
      </c>
      <c r="J1380" s="32">
        <v>570</v>
      </c>
      <c r="K1380" s="32">
        <v>435</v>
      </c>
      <c r="L1380" s="32">
        <v>648</v>
      </c>
      <c r="M1380" s="32">
        <v>2875</v>
      </c>
      <c r="N1380" s="32">
        <v>2660</v>
      </c>
      <c r="O1380" s="32">
        <v>2278</v>
      </c>
      <c r="P1380" s="32">
        <v>382</v>
      </c>
      <c r="Q1380" s="32">
        <v>215</v>
      </c>
      <c r="R1380" s="33">
        <v>60.798548099999998</v>
      </c>
      <c r="S1380" s="33">
        <v>34.482758599999997</v>
      </c>
      <c r="T1380" s="33">
        <v>26.315789500000001</v>
      </c>
      <c r="U1380" s="33">
        <v>39.201451900000002</v>
      </c>
      <c r="V1380" s="33">
        <v>92.521739100000005</v>
      </c>
      <c r="W1380" s="33">
        <v>79.234782600000003</v>
      </c>
      <c r="X1380" s="33">
        <v>13.286956500000001</v>
      </c>
      <c r="Y1380" s="33">
        <v>7.4782609000000004</v>
      </c>
    </row>
    <row r="1381" spans="2:25" ht="15" hidden="1" customHeight="1">
      <c r="B1381" s="25">
        <v>1376</v>
      </c>
      <c r="C1381" s="26" t="s">
        <v>21</v>
      </c>
      <c r="D1381" s="26" t="s">
        <v>428</v>
      </c>
      <c r="E1381" s="26" t="s">
        <v>437</v>
      </c>
      <c r="F1381" s="26" t="s">
        <v>439</v>
      </c>
      <c r="G1381" s="27" t="s">
        <v>15</v>
      </c>
      <c r="H1381" s="28">
        <v>377</v>
      </c>
      <c r="I1381" s="28">
        <v>343</v>
      </c>
      <c r="J1381" s="28">
        <v>161</v>
      </c>
      <c r="K1381" s="28">
        <v>182</v>
      </c>
      <c r="L1381" s="28">
        <v>34</v>
      </c>
      <c r="M1381" s="28">
        <v>1155</v>
      </c>
      <c r="N1381" s="28">
        <v>1069</v>
      </c>
      <c r="O1381" s="28">
        <v>896</v>
      </c>
      <c r="P1381" s="28">
        <v>173</v>
      </c>
      <c r="Q1381" s="28">
        <v>86</v>
      </c>
      <c r="R1381" s="29">
        <v>90.981432400000003</v>
      </c>
      <c r="S1381" s="29">
        <v>42.705570299999998</v>
      </c>
      <c r="T1381" s="29">
        <v>48.275862099999998</v>
      </c>
      <c r="U1381" s="29">
        <v>9.0185676000000008</v>
      </c>
      <c r="V1381" s="29">
        <v>92.554112599999996</v>
      </c>
      <c r="W1381" s="29">
        <v>77.575757600000003</v>
      </c>
      <c r="X1381" s="29">
        <v>14.978355000000001</v>
      </c>
      <c r="Y1381" s="29">
        <v>7.4458874000000002</v>
      </c>
    </row>
    <row r="1382" spans="2:25" ht="15" hidden="1" customHeight="1">
      <c r="B1382" s="25">
        <v>1377</v>
      </c>
      <c r="C1382" s="26" t="s">
        <v>21</v>
      </c>
      <c r="D1382" s="26" t="s">
        <v>428</v>
      </c>
      <c r="E1382" s="26" t="s">
        <v>437</v>
      </c>
      <c r="F1382" s="26" t="s">
        <v>439</v>
      </c>
      <c r="G1382" s="27" t="s">
        <v>16</v>
      </c>
      <c r="H1382" s="28">
        <v>1276</v>
      </c>
      <c r="I1382" s="28">
        <v>662</v>
      </c>
      <c r="J1382" s="28">
        <v>409</v>
      </c>
      <c r="K1382" s="28">
        <v>253</v>
      </c>
      <c r="L1382" s="28">
        <v>614</v>
      </c>
      <c r="M1382" s="28">
        <v>1720</v>
      </c>
      <c r="N1382" s="28">
        <v>1591</v>
      </c>
      <c r="O1382" s="28">
        <v>1382</v>
      </c>
      <c r="P1382" s="28">
        <v>209</v>
      </c>
      <c r="Q1382" s="28">
        <v>129</v>
      </c>
      <c r="R1382" s="29">
        <v>51.880877699999999</v>
      </c>
      <c r="S1382" s="29">
        <v>32.0532915</v>
      </c>
      <c r="T1382" s="29">
        <v>19.827586199999999</v>
      </c>
      <c r="U1382" s="29">
        <v>48.119122300000001</v>
      </c>
      <c r="V1382" s="29">
        <v>92.5</v>
      </c>
      <c r="W1382" s="29">
        <v>80.348837200000006</v>
      </c>
      <c r="X1382" s="29">
        <v>12.1511628</v>
      </c>
      <c r="Y1382" s="29">
        <v>7.5</v>
      </c>
    </row>
    <row r="1383" spans="2:25" ht="15" hidden="1" customHeight="1">
      <c r="B1383" s="21">
        <v>1378</v>
      </c>
      <c r="C1383" s="22" t="s">
        <v>19</v>
      </c>
      <c r="D1383" s="35" t="s">
        <v>428</v>
      </c>
      <c r="E1383" s="35" t="s">
        <v>440</v>
      </c>
      <c r="F1383" s="35"/>
      <c r="G1383" s="22" t="s">
        <v>440</v>
      </c>
      <c r="H1383" s="23">
        <v>955</v>
      </c>
      <c r="I1383" s="23">
        <v>735</v>
      </c>
      <c r="J1383" s="23">
        <v>344</v>
      </c>
      <c r="K1383" s="23">
        <v>391</v>
      </c>
      <c r="L1383" s="23">
        <v>220</v>
      </c>
      <c r="M1383" s="23">
        <v>1509</v>
      </c>
      <c r="N1383" s="23">
        <v>1360</v>
      </c>
      <c r="O1383" s="23">
        <v>1146</v>
      </c>
      <c r="P1383" s="23">
        <v>214</v>
      </c>
      <c r="Q1383" s="23">
        <v>149</v>
      </c>
      <c r="R1383" s="24">
        <v>76.963350800000001</v>
      </c>
      <c r="S1383" s="24">
        <v>36.020942400000003</v>
      </c>
      <c r="T1383" s="24">
        <v>40.942408399999998</v>
      </c>
      <c r="U1383" s="24">
        <v>23.036649199999999</v>
      </c>
      <c r="V1383" s="24">
        <v>90.125911200000004</v>
      </c>
      <c r="W1383" s="24">
        <v>75.944333999999998</v>
      </c>
      <c r="X1383" s="24">
        <v>14.1815772</v>
      </c>
      <c r="Y1383" s="24">
        <v>9.8740888000000009</v>
      </c>
    </row>
    <row r="1384" spans="2:25" ht="15" hidden="1" customHeight="1">
      <c r="B1384" s="25">
        <v>1379</v>
      </c>
      <c r="C1384" s="26" t="s">
        <v>19</v>
      </c>
      <c r="D1384" s="26" t="s">
        <v>428</v>
      </c>
      <c r="E1384" s="26" t="s">
        <v>440</v>
      </c>
      <c r="F1384" s="26"/>
      <c r="G1384" s="27" t="s">
        <v>15</v>
      </c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9"/>
      <c r="S1384" s="29"/>
      <c r="T1384" s="29"/>
      <c r="U1384" s="29"/>
      <c r="V1384" s="29"/>
      <c r="W1384" s="29"/>
      <c r="X1384" s="29"/>
      <c r="Y1384" s="29"/>
    </row>
    <row r="1385" spans="2:25" ht="15" hidden="1" customHeight="1">
      <c r="B1385" s="25">
        <v>1380</v>
      </c>
      <c r="C1385" s="26" t="s">
        <v>19</v>
      </c>
      <c r="D1385" s="26" t="s">
        <v>428</v>
      </c>
      <c r="E1385" s="26" t="s">
        <v>440</v>
      </c>
      <c r="F1385" s="26"/>
      <c r="G1385" s="27" t="s">
        <v>16</v>
      </c>
      <c r="H1385" s="28">
        <v>955</v>
      </c>
      <c r="I1385" s="28">
        <v>735</v>
      </c>
      <c r="J1385" s="28">
        <v>344</v>
      </c>
      <c r="K1385" s="28">
        <v>391</v>
      </c>
      <c r="L1385" s="28">
        <v>220</v>
      </c>
      <c r="M1385" s="28">
        <v>1509</v>
      </c>
      <c r="N1385" s="28">
        <v>1360</v>
      </c>
      <c r="O1385" s="28">
        <v>1146</v>
      </c>
      <c r="P1385" s="28">
        <v>214</v>
      </c>
      <c r="Q1385" s="28">
        <v>149</v>
      </c>
      <c r="R1385" s="29">
        <v>76.963350800000001</v>
      </c>
      <c r="S1385" s="29">
        <v>36.020942400000003</v>
      </c>
      <c r="T1385" s="29">
        <v>40.942408399999998</v>
      </c>
      <c r="U1385" s="29">
        <v>23.036649199999999</v>
      </c>
      <c r="V1385" s="29">
        <v>90.125911200000004</v>
      </c>
      <c r="W1385" s="29">
        <v>75.944333999999998</v>
      </c>
      <c r="X1385" s="29">
        <v>14.1815772</v>
      </c>
      <c r="Y1385" s="29">
        <v>9.8740888000000009</v>
      </c>
    </row>
    <row r="1386" spans="2:25" ht="15" customHeight="1">
      <c r="B1386" s="30">
        <v>1381</v>
      </c>
      <c r="C1386" s="31" t="s">
        <v>21</v>
      </c>
      <c r="D1386" s="36" t="s">
        <v>428</v>
      </c>
      <c r="E1386" s="36" t="s">
        <v>440</v>
      </c>
      <c r="F1386" s="36" t="s">
        <v>358</v>
      </c>
      <c r="G1386" s="37" t="s">
        <v>358</v>
      </c>
      <c r="H1386" s="32">
        <v>611</v>
      </c>
      <c r="I1386" s="32">
        <v>464</v>
      </c>
      <c r="J1386" s="32">
        <v>220</v>
      </c>
      <c r="K1386" s="32">
        <v>244</v>
      </c>
      <c r="L1386" s="32">
        <v>147</v>
      </c>
      <c r="M1386" s="32">
        <v>860</v>
      </c>
      <c r="N1386" s="32">
        <v>786</v>
      </c>
      <c r="O1386" s="32">
        <v>667</v>
      </c>
      <c r="P1386" s="32">
        <v>119</v>
      </c>
      <c r="Q1386" s="32">
        <v>74</v>
      </c>
      <c r="R1386" s="33">
        <v>75.941080200000002</v>
      </c>
      <c r="S1386" s="33">
        <v>36.0065466</v>
      </c>
      <c r="T1386" s="33">
        <v>39.934533600000002</v>
      </c>
      <c r="U1386" s="33">
        <v>24.058919800000002</v>
      </c>
      <c r="V1386" s="33">
        <v>91.395348799999994</v>
      </c>
      <c r="W1386" s="33">
        <v>77.558139499999996</v>
      </c>
      <c r="X1386" s="33">
        <v>13.8372093</v>
      </c>
      <c r="Y1386" s="33">
        <v>8.6046511999999993</v>
      </c>
    </row>
    <row r="1387" spans="2:25" ht="15" hidden="1" customHeight="1">
      <c r="B1387" s="25">
        <v>1382</v>
      </c>
      <c r="C1387" s="26" t="s">
        <v>21</v>
      </c>
      <c r="D1387" s="26" t="s">
        <v>428</v>
      </c>
      <c r="E1387" s="26" t="s">
        <v>440</v>
      </c>
      <c r="F1387" s="26" t="s">
        <v>358</v>
      </c>
      <c r="G1387" s="27" t="s">
        <v>15</v>
      </c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9"/>
      <c r="S1387" s="29"/>
      <c r="T1387" s="29"/>
      <c r="U1387" s="29"/>
      <c r="V1387" s="29"/>
      <c r="W1387" s="29"/>
      <c r="X1387" s="29"/>
      <c r="Y1387" s="29"/>
    </row>
    <row r="1388" spans="2:25" ht="15" hidden="1" customHeight="1">
      <c r="B1388" s="25">
        <v>1383</v>
      </c>
      <c r="C1388" s="26" t="s">
        <v>21</v>
      </c>
      <c r="D1388" s="26" t="s">
        <v>428</v>
      </c>
      <c r="E1388" s="26" t="s">
        <v>440</v>
      </c>
      <c r="F1388" s="26" t="s">
        <v>358</v>
      </c>
      <c r="G1388" s="27" t="s">
        <v>16</v>
      </c>
      <c r="H1388" s="28">
        <v>611</v>
      </c>
      <c r="I1388" s="28">
        <v>464</v>
      </c>
      <c r="J1388" s="28">
        <v>220</v>
      </c>
      <c r="K1388" s="28">
        <v>244</v>
      </c>
      <c r="L1388" s="28">
        <v>147</v>
      </c>
      <c r="M1388" s="28">
        <v>860</v>
      </c>
      <c r="N1388" s="28">
        <v>786</v>
      </c>
      <c r="O1388" s="28">
        <v>667</v>
      </c>
      <c r="P1388" s="28">
        <v>119</v>
      </c>
      <c r="Q1388" s="28">
        <v>74</v>
      </c>
      <c r="R1388" s="29">
        <v>75.941080200000002</v>
      </c>
      <c r="S1388" s="29">
        <v>36.0065466</v>
      </c>
      <c r="T1388" s="29">
        <v>39.934533600000002</v>
      </c>
      <c r="U1388" s="29">
        <v>24.058919800000002</v>
      </c>
      <c r="V1388" s="29">
        <v>91.395348799999994</v>
      </c>
      <c r="W1388" s="29">
        <v>77.558139499999996</v>
      </c>
      <c r="X1388" s="29">
        <v>13.8372093</v>
      </c>
      <c r="Y1388" s="29">
        <v>8.6046511999999993</v>
      </c>
    </row>
    <row r="1389" spans="2:25" ht="15" customHeight="1">
      <c r="B1389" s="30">
        <v>1384</v>
      </c>
      <c r="C1389" s="31" t="s">
        <v>21</v>
      </c>
      <c r="D1389" s="36" t="s">
        <v>428</v>
      </c>
      <c r="E1389" s="36" t="s">
        <v>440</v>
      </c>
      <c r="F1389" s="36" t="s">
        <v>101</v>
      </c>
      <c r="G1389" s="37" t="s">
        <v>101</v>
      </c>
      <c r="H1389" s="32">
        <v>344</v>
      </c>
      <c r="I1389" s="32">
        <v>271</v>
      </c>
      <c r="J1389" s="32">
        <v>124</v>
      </c>
      <c r="K1389" s="32">
        <v>147</v>
      </c>
      <c r="L1389" s="32">
        <v>73</v>
      </c>
      <c r="M1389" s="32">
        <v>649</v>
      </c>
      <c r="N1389" s="32">
        <v>574</v>
      </c>
      <c r="O1389" s="32">
        <v>479</v>
      </c>
      <c r="P1389" s="32">
        <v>95</v>
      </c>
      <c r="Q1389" s="32">
        <v>75</v>
      </c>
      <c r="R1389" s="33">
        <v>78.779069800000002</v>
      </c>
      <c r="S1389" s="33">
        <v>36.046511600000002</v>
      </c>
      <c r="T1389" s="33">
        <v>42.732558099999999</v>
      </c>
      <c r="U1389" s="33">
        <v>21.220930200000002</v>
      </c>
      <c r="V1389" s="33">
        <v>88.443759600000007</v>
      </c>
      <c r="W1389" s="33">
        <v>73.805855199999996</v>
      </c>
      <c r="X1389" s="33">
        <v>14.637904499999999</v>
      </c>
      <c r="Y1389" s="33">
        <v>11.5562404</v>
      </c>
    </row>
    <row r="1390" spans="2:25" ht="15" hidden="1" customHeight="1">
      <c r="B1390" s="25">
        <v>1385</v>
      </c>
      <c r="C1390" s="26" t="s">
        <v>21</v>
      </c>
      <c r="D1390" s="26" t="s">
        <v>428</v>
      </c>
      <c r="E1390" s="26" t="s">
        <v>440</v>
      </c>
      <c r="F1390" s="26" t="s">
        <v>101</v>
      </c>
      <c r="G1390" s="27" t="s">
        <v>15</v>
      </c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9"/>
      <c r="S1390" s="29"/>
      <c r="T1390" s="29"/>
      <c r="U1390" s="29"/>
      <c r="V1390" s="29"/>
      <c r="W1390" s="29"/>
      <c r="X1390" s="29"/>
      <c r="Y1390" s="29"/>
    </row>
    <row r="1391" spans="2:25" ht="15" hidden="1" customHeight="1">
      <c r="B1391" s="25">
        <v>1386</v>
      </c>
      <c r="C1391" s="26" t="s">
        <v>21</v>
      </c>
      <c r="D1391" s="26" t="s">
        <v>428</v>
      </c>
      <c r="E1391" s="26" t="s">
        <v>440</v>
      </c>
      <c r="F1391" s="26" t="s">
        <v>101</v>
      </c>
      <c r="G1391" s="27" t="s">
        <v>16</v>
      </c>
      <c r="H1391" s="28">
        <v>344</v>
      </c>
      <c r="I1391" s="28">
        <v>271</v>
      </c>
      <c r="J1391" s="28">
        <v>124</v>
      </c>
      <c r="K1391" s="28">
        <v>147</v>
      </c>
      <c r="L1391" s="28">
        <v>73</v>
      </c>
      <c r="M1391" s="28">
        <v>649</v>
      </c>
      <c r="N1391" s="28">
        <v>574</v>
      </c>
      <c r="O1391" s="28">
        <v>479</v>
      </c>
      <c r="P1391" s="28">
        <v>95</v>
      </c>
      <c r="Q1391" s="28">
        <v>75</v>
      </c>
      <c r="R1391" s="29">
        <v>78.779069800000002</v>
      </c>
      <c r="S1391" s="29">
        <v>36.046511600000002</v>
      </c>
      <c r="T1391" s="29">
        <v>42.732558099999999</v>
      </c>
      <c r="U1391" s="29">
        <v>21.220930200000002</v>
      </c>
      <c r="V1391" s="29">
        <v>88.443759600000007</v>
      </c>
      <c r="W1391" s="29">
        <v>73.805855199999996</v>
      </c>
      <c r="X1391" s="29">
        <v>14.637904499999999</v>
      </c>
      <c r="Y1391" s="29">
        <v>11.5562404</v>
      </c>
    </row>
    <row r="1392" spans="2:25" ht="15" hidden="1" customHeight="1">
      <c r="B1392" s="21">
        <v>1387</v>
      </c>
      <c r="C1392" s="22" t="s">
        <v>19</v>
      </c>
      <c r="D1392" s="35" t="s">
        <v>428</v>
      </c>
      <c r="E1392" s="35" t="s">
        <v>441</v>
      </c>
      <c r="F1392" s="35"/>
      <c r="G1392" s="22" t="s">
        <v>441</v>
      </c>
      <c r="H1392" s="23">
        <v>1521</v>
      </c>
      <c r="I1392" s="23">
        <v>1136</v>
      </c>
      <c r="J1392" s="23">
        <v>602</v>
      </c>
      <c r="K1392" s="23">
        <v>534</v>
      </c>
      <c r="L1392" s="23">
        <v>385</v>
      </c>
      <c r="M1392" s="23">
        <v>1798</v>
      </c>
      <c r="N1392" s="23">
        <v>1693</v>
      </c>
      <c r="O1392" s="23">
        <v>1453</v>
      </c>
      <c r="P1392" s="23">
        <v>240</v>
      </c>
      <c r="Q1392" s="23">
        <v>105</v>
      </c>
      <c r="R1392" s="24">
        <v>74.687705500000007</v>
      </c>
      <c r="S1392" s="24">
        <v>39.579224199999999</v>
      </c>
      <c r="T1392" s="24">
        <v>35.108481300000001</v>
      </c>
      <c r="U1392" s="24">
        <v>25.3122945</v>
      </c>
      <c r="V1392" s="24">
        <v>94.160178000000002</v>
      </c>
      <c r="W1392" s="24">
        <v>80.812013300000004</v>
      </c>
      <c r="X1392" s="24">
        <v>13.3481646</v>
      </c>
      <c r="Y1392" s="24">
        <v>5.8398219999999998</v>
      </c>
    </row>
    <row r="1393" spans="1:25" ht="15" hidden="1" customHeight="1">
      <c r="B1393" s="25">
        <v>1388</v>
      </c>
      <c r="C1393" s="26" t="s">
        <v>19</v>
      </c>
      <c r="D1393" s="26" t="s">
        <v>428</v>
      </c>
      <c r="E1393" s="26" t="s">
        <v>441</v>
      </c>
      <c r="F1393" s="26"/>
      <c r="G1393" s="27" t="s">
        <v>15</v>
      </c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9"/>
      <c r="S1393" s="29"/>
      <c r="T1393" s="29"/>
      <c r="U1393" s="29"/>
      <c r="V1393" s="29"/>
      <c r="W1393" s="29"/>
      <c r="X1393" s="29"/>
      <c r="Y1393" s="29"/>
    </row>
    <row r="1394" spans="1:25" ht="15" hidden="1" customHeight="1">
      <c r="B1394" s="25">
        <v>1389</v>
      </c>
      <c r="C1394" s="26" t="s">
        <v>19</v>
      </c>
      <c r="D1394" s="26" t="s">
        <v>428</v>
      </c>
      <c r="E1394" s="26" t="s">
        <v>441</v>
      </c>
      <c r="F1394" s="26"/>
      <c r="G1394" s="27" t="s">
        <v>16</v>
      </c>
      <c r="H1394" s="28">
        <v>1521</v>
      </c>
      <c r="I1394" s="28">
        <v>1136</v>
      </c>
      <c r="J1394" s="28">
        <v>602</v>
      </c>
      <c r="K1394" s="28">
        <v>534</v>
      </c>
      <c r="L1394" s="28">
        <v>385</v>
      </c>
      <c r="M1394" s="28">
        <v>1798</v>
      </c>
      <c r="N1394" s="28">
        <v>1693</v>
      </c>
      <c r="O1394" s="28">
        <v>1453</v>
      </c>
      <c r="P1394" s="28">
        <v>240</v>
      </c>
      <c r="Q1394" s="28">
        <v>105</v>
      </c>
      <c r="R1394" s="29">
        <v>74.687705500000007</v>
      </c>
      <c r="S1394" s="29">
        <v>39.579224199999999</v>
      </c>
      <c r="T1394" s="29">
        <v>35.108481300000001</v>
      </c>
      <c r="U1394" s="29">
        <v>25.3122945</v>
      </c>
      <c r="V1394" s="29">
        <v>94.160178000000002</v>
      </c>
      <c r="W1394" s="29">
        <v>80.812013300000004</v>
      </c>
      <c r="X1394" s="29">
        <v>13.3481646</v>
      </c>
      <c r="Y1394" s="29">
        <v>5.8398219999999998</v>
      </c>
    </row>
    <row r="1395" spans="1:25" ht="15" customHeight="1">
      <c r="B1395" s="30">
        <v>1390</v>
      </c>
      <c r="C1395" s="31" t="s">
        <v>21</v>
      </c>
      <c r="D1395" s="36" t="s">
        <v>428</v>
      </c>
      <c r="E1395" s="36" t="s">
        <v>441</v>
      </c>
      <c r="F1395" s="36" t="s">
        <v>442</v>
      </c>
      <c r="G1395" s="37" t="s">
        <v>442</v>
      </c>
      <c r="H1395" s="32">
        <v>466</v>
      </c>
      <c r="I1395" s="32">
        <v>321</v>
      </c>
      <c r="J1395" s="32">
        <v>182</v>
      </c>
      <c r="K1395" s="32">
        <v>139</v>
      </c>
      <c r="L1395" s="32">
        <v>145</v>
      </c>
      <c r="M1395" s="32">
        <v>489</v>
      </c>
      <c r="N1395" s="32">
        <v>451</v>
      </c>
      <c r="O1395" s="32">
        <v>408</v>
      </c>
      <c r="P1395" s="32">
        <v>43</v>
      </c>
      <c r="Q1395" s="32">
        <v>38</v>
      </c>
      <c r="R1395" s="33">
        <v>68.884120199999998</v>
      </c>
      <c r="S1395" s="33">
        <v>39.055793999999999</v>
      </c>
      <c r="T1395" s="33">
        <v>29.828326199999999</v>
      </c>
      <c r="U1395" s="33">
        <v>31.115879799999998</v>
      </c>
      <c r="V1395" s="33">
        <v>92.229038900000006</v>
      </c>
      <c r="W1395" s="33">
        <v>83.435582800000006</v>
      </c>
      <c r="X1395" s="33">
        <v>8.7934560000000008</v>
      </c>
      <c r="Y1395" s="33">
        <v>7.7709611000000001</v>
      </c>
    </row>
    <row r="1396" spans="1:25" ht="15" hidden="1" customHeight="1">
      <c r="B1396" s="25">
        <v>1391</v>
      </c>
      <c r="C1396" s="26" t="s">
        <v>21</v>
      </c>
      <c r="D1396" s="26" t="s">
        <v>428</v>
      </c>
      <c r="E1396" s="26" t="s">
        <v>441</v>
      </c>
      <c r="F1396" s="26" t="s">
        <v>442</v>
      </c>
      <c r="G1396" s="27" t="s">
        <v>15</v>
      </c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9"/>
      <c r="S1396" s="29"/>
      <c r="T1396" s="29"/>
      <c r="U1396" s="29"/>
      <c r="V1396" s="29"/>
      <c r="W1396" s="29"/>
      <c r="X1396" s="29"/>
      <c r="Y1396" s="29"/>
    </row>
    <row r="1397" spans="1:25" ht="15" hidden="1" customHeight="1">
      <c r="B1397" s="25">
        <v>1392</v>
      </c>
      <c r="C1397" s="26" t="s">
        <v>21</v>
      </c>
      <c r="D1397" s="26" t="s">
        <v>428</v>
      </c>
      <c r="E1397" s="26" t="s">
        <v>441</v>
      </c>
      <c r="F1397" s="26" t="s">
        <v>442</v>
      </c>
      <c r="G1397" s="27" t="s">
        <v>16</v>
      </c>
      <c r="H1397" s="28">
        <v>466</v>
      </c>
      <c r="I1397" s="28">
        <v>321</v>
      </c>
      <c r="J1397" s="28">
        <v>182</v>
      </c>
      <c r="K1397" s="28">
        <v>139</v>
      </c>
      <c r="L1397" s="28">
        <v>145</v>
      </c>
      <c r="M1397" s="28">
        <v>489</v>
      </c>
      <c r="N1397" s="28">
        <v>451</v>
      </c>
      <c r="O1397" s="28">
        <v>408</v>
      </c>
      <c r="P1397" s="28">
        <v>43</v>
      </c>
      <c r="Q1397" s="28">
        <v>38</v>
      </c>
      <c r="R1397" s="29">
        <v>68.884120199999998</v>
      </c>
      <c r="S1397" s="29">
        <v>39.055793999999999</v>
      </c>
      <c r="T1397" s="29">
        <v>29.828326199999999</v>
      </c>
      <c r="U1397" s="29">
        <v>31.115879799999998</v>
      </c>
      <c r="V1397" s="29">
        <v>92.229038900000006</v>
      </c>
      <c r="W1397" s="29">
        <v>83.435582800000006</v>
      </c>
      <c r="X1397" s="29">
        <v>8.7934560000000008</v>
      </c>
      <c r="Y1397" s="29">
        <v>7.7709611000000001</v>
      </c>
    </row>
    <row r="1398" spans="1:25" ht="15" customHeight="1">
      <c r="B1398" s="30">
        <v>1393</v>
      </c>
      <c r="C1398" s="31" t="s">
        <v>21</v>
      </c>
      <c r="D1398" s="36" t="s">
        <v>428</v>
      </c>
      <c r="E1398" s="36" t="s">
        <v>441</v>
      </c>
      <c r="F1398" s="36" t="s">
        <v>443</v>
      </c>
      <c r="G1398" s="37" t="s">
        <v>443</v>
      </c>
      <c r="H1398" s="32">
        <v>589</v>
      </c>
      <c r="I1398" s="32">
        <v>449</v>
      </c>
      <c r="J1398" s="32">
        <v>219</v>
      </c>
      <c r="K1398" s="32">
        <v>230</v>
      </c>
      <c r="L1398" s="32">
        <v>140</v>
      </c>
      <c r="M1398" s="32">
        <v>708</v>
      </c>
      <c r="N1398" s="32">
        <v>677</v>
      </c>
      <c r="O1398" s="32">
        <v>554</v>
      </c>
      <c r="P1398" s="32">
        <v>123</v>
      </c>
      <c r="Q1398" s="32">
        <v>31</v>
      </c>
      <c r="R1398" s="33">
        <v>76.230899800000003</v>
      </c>
      <c r="S1398" s="33">
        <v>37.181663800000003</v>
      </c>
      <c r="T1398" s="33">
        <v>39.049236000000001</v>
      </c>
      <c r="U1398" s="33">
        <v>23.7691002</v>
      </c>
      <c r="V1398" s="33">
        <v>95.621468899999996</v>
      </c>
      <c r="W1398" s="33">
        <v>78.248587599999993</v>
      </c>
      <c r="X1398" s="33">
        <v>17.372881400000001</v>
      </c>
      <c r="Y1398" s="33">
        <v>4.3785311</v>
      </c>
    </row>
    <row r="1399" spans="1:25" ht="15" hidden="1" customHeight="1">
      <c r="B1399" s="25">
        <v>1394</v>
      </c>
      <c r="C1399" s="26" t="s">
        <v>21</v>
      </c>
      <c r="D1399" s="26" t="s">
        <v>428</v>
      </c>
      <c r="E1399" s="26" t="s">
        <v>441</v>
      </c>
      <c r="F1399" s="26" t="s">
        <v>443</v>
      </c>
      <c r="G1399" s="27" t="s">
        <v>15</v>
      </c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9"/>
      <c r="S1399" s="29"/>
      <c r="T1399" s="29"/>
      <c r="U1399" s="29"/>
      <c r="V1399" s="29"/>
      <c r="W1399" s="29"/>
      <c r="X1399" s="29"/>
      <c r="Y1399" s="29"/>
    </row>
    <row r="1400" spans="1:25" ht="15" hidden="1" customHeight="1">
      <c r="B1400" s="25">
        <v>1395</v>
      </c>
      <c r="C1400" s="26" t="s">
        <v>21</v>
      </c>
      <c r="D1400" s="26" t="s">
        <v>428</v>
      </c>
      <c r="E1400" s="26" t="s">
        <v>441</v>
      </c>
      <c r="F1400" s="26" t="s">
        <v>443</v>
      </c>
      <c r="G1400" s="27" t="s">
        <v>16</v>
      </c>
      <c r="H1400" s="28">
        <v>589</v>
      </c>
      <c r="I1400" s="28">
        <v>449</v>
      </c>
      <c r="J1400" s="28">
        <v>219</v>
      </c>
      <c r="K1400" s="28">
        <v>230</v>
      </c>
      <c r="L1400" s="28">
        <v>140</v>
      </c>
      <c r="M1400" s="28">
        <v>708</v>
      </c>
      <c r="N1400" s="28">
        <v>677</v>
      </c>
      <c r="O1400" s="28">
        <v>554</v>
      </c>
      <c r="P1400" s="28">
        <v>123</v>
      </c>
      <c r="Q1400" s="28">
        <v>31</v>
      </c>
      <c r="R1400" s="29">
        <v>76.230899800000003</v>
      </c>
      <c r="S1400" s="29">
        <v>37.181663800000003</v>
      </c>
      <c r="T1400" s="29">
        <v>39.049236000000001</v>
      </c>
      <c r="U1400" s="29">
        <v>23.7691002</v>
      </c>
      <c r="V1400" s="29">
        <v>95.621468899999996</v>
      </c>
      <c r="W1400" s="29">
        <v>78.248587599999993</v>
      </c>
      <c r="X1400" s="29">
        <v>17.372881400000001</v>
      </c>
      <c r="Y1400" s="29">
        <v>4.3785311</v>
      </c>
    </row>
    <row r="1401" spans="1:25" ht="15" customHeight="1">
      <c r="B1401" s="30">
        <v>1396</v>
      </c>
      <c r="C1401" s="31" t="s">
        <v>21</v>
      </c>
      <c r="D1401" s="36" t="s">
        <v>428</v>
      </c>
      <c r="E1401" s="36" t="s">
        <v>441</v>
      </c>
      <c r="F1401" s="36" t="s">
        <v>444</v>
      </c>
      <c r="G1401" s="37" t="s">
        <v>444</v>
      </c>
      <c r="H1401" s="32">
        <v>466</v>
      </c>
      <c r="I1401" s="32">
        <v>366</v>
      </c>
      <c r="J1401" s="32">
        <v>201</v>
      </c>
      <c r="K1401" s="32">
        <v>165</v>
      </c>
      <c r="L1401" s="32">
        <v>100</v>
      </c>
      <c r="M1401" s="32">
        <v>601</v>
      </c>
      <c r="N1401" s="32">
        <v>565</v>
      </c>
      <c r="O1401" s="32">
        <v>491</v>
      </c>
      <c r="P1401" s="32">
        <v>74</v>
      </c>
      <c r="Q1401" s="32">
        <v>36</v>
      </c>
      <c r="R1401" s="33">
        <v>78.540772500000003</v>
      </c>
      <c r="S1401" s="33">
        <v>43.1330472</v>
      </c>
      <c r="T1401" s="33">
        <v>35.407725300000003</v>
      </c>
      <c r="U1401" s="33">
        <v>21.459227500000001</v>
      </c>
      <c r="V1401" s="33">
        <v>94.009983399999996</v>
      </c>
      <c r="W1401" s="33">
        <v>81.697171400000002</v>
      </c>
      <c r="X1401" s="33">
        <v>12.312811999999999</v>
      </c>
      <c r="Y1401" s="33">
        <v>5.9900165999999997</v>
      </c>
    </row>
    <row r="1402" spans="1:25" ht="15" hidden="1" customHeight="1">
      <c r="B1402" s="25">
        <v>1397</v>
      </c>
      <c r="C1402" s="26" t="s">
        <v>21</v>
      </c>
      <c r="D1402" s="26" t="s">
        <v>428</v>
      </c>
      <c r="E1402" s="26" t="s">
        <v>441</v>
      </c>
      <c r="F1402" s="26" t="s">
        <v>444</v>
      </c>
      <c r="G1402" s="27" t="s">
        <v>15</v>
      </c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9"/>
      <c r="S1402" s="29"/>
      <c r="T1402" s="29"/>
      <c r="U1402" s="29"/>
      <c r="V1402" s="29"/>
      <c r="W1402" s="29"/>
      <c r="X1402" s="29"/>
      <c r="Y1402" s="29"/>
    </row>
    <row r="1403" spans="1:25" ht="15" hidden="1" customHeight="1">
      <c r="B1403" s="38">
        <v>1398</v>
      </c>
      <c r="C1403" s="39" t="s">
        <v>21</v>
      </c>
      <c r="D1403" s="39" t="s">
        <v>428</v>
      </c>
      <c r="E1403" s="39" t="s">
        <v>441</v>
      </c>
      <c r="F1403" s="39" t="s">
        <v>444</v>
      </c>
      <c r="G1403" s="40" t="s">
        <v>16</v>
      </c>
      <c r="H1403" s="41">
        <v>466</v>
      </c>
      <c r="I1403" s="41">
        <v>366</v>
      </c>
      <c r="J1403" s="41">
        <v>201</v>
      </c>
      <c r="K1403" s="41">
        <v>165</v>
      </c>
      <c r="L1403" s="41">
        <v>100</v>
      </c>
      <c r="M1403" s="41">
        <v>601</v>
      </c>
      <c r="N1403" s="41">
        <v>565</v>
      </c>
      <c r="O1403" s="41">
        <v>491</v>
      </c>
      <c r="P1403" s="41">
        <v>74</v>
      </c>
      <c r="Q1403" s="41">
        <v>36</v>
      </c>
      <c r="R1403" s="42">
        <v>78.540772500000003</v>
      </c>
      <c r="S1403" s="42">
        <v>43.1330472</v>
      </c>
      <c r="T1403" s="42">
        <v>35.407725300000003</v>
      </c>
      <c r="U1403" s="42">
        <v>21.459227500000001</v>
      </c>
      <c r="V1403" s="42">
        <v>94.009983399999996</v>
      </c>
      <c r="W1403" s="42">
        <v>81.697171400000002</v>
      </c>
      <c r="X1403" s="42">
        <v>12.312811999999999</v>
      </c>
      <c r="Y1403" s="42">
        <v>5.9900165999999997</v>
      </c>
    </row>
    <row r="1404" spans="1:25" ht="12" hidden="1" customHeight="1">
      <c r="A1404" s="43"/>
      <c r="B1404" s="44" t="s">
        <v>445</v>
      </c>
    </row>
    <row r="1405" spans="1:25" ht="12" hidden="1" customHeight="1">
      <c r="A1405" s="43"/>
      <c r="B1405" s="45" t="s">
        <v>446</v>
      </c>
    </row>
    <row r="1406" spans="1:25" ht="12" hidden="1" customHeight="1">
      <c r="A1406" s="43"/>
      <c r="B1406" s="45" t="s">
        <v>447</v>
      </c>
    </row>
    <row r="1407" spans="1:25" ht="12" customHeight="1">
      <c r="A1407" s="43"/>
      <c r="R1407" s="46"/>
      <c r="S1407" s="46"/>
      <c r="T1407" s="46"/>
      <c r="U1407" s="46"/>
      <c r="V1407" s="46"/>
      <c r="W1407" s="46"/>
      <c r="X1407" s="46"/>
      <c r="Y1407" s="46"/>
    </row>
    <row r="1408" spans="1:25" ht="15" customHeight="1">
      <c r="A1408" s="43"/>
      <c r="R1408" s="46"/>
      <c r="S1408" s="46"/>
      <c r="T1408" s="46"/>
      <c r="U1408" s="46"/>
      <c r="V1408" s="46"/>
      <c r="W1408" s="46"/>
      <c r="X1408" s="46"/>
      <c r="Y1408" s="46"/>
    </row>
    <row r="1409" spans="1:25" ht="15" customHeight="1">
      <c r="A1409" s="43"/>
      <c r="R1409" s="46"/>
      <c r="S1409" s="46"/>
      <c r="T1409" s="46"/>
      <c r="U1409" s="46"/>
      <c r="V1409" s="46"/>
      <c r="W1409" s="46"/>
      <c r="X1409" s="46"/>
      <c r="Y1409" s="46"/>
    </row>
    <row r="1410" spans="1:25" ht="12.75" customHeight="1">
      <c r="A1410" s="43"/>
    </row>
    <row r="1411" spans="1:25" ht="12.75" customHeight="1">
      <c r="A1411" s="43"/>
    </row>
    <row r="1412" spans="1:25" ht="12.75" customHeight="1">
      <c r="A1412" s="43"/>
    </row>
    <row r="1413" spans="1:25" ht="12.75" customHeight="1">
      <c r="A1413" s="43"/>
    </row>
    <row r="1414" spans="1:25" ht="12.75" customHeight="1">
      <c r="A1414" s="43"/>
    </row>
    <row r="1415" spans="1:25" ht="12.75" customHeight="1">
      <c r="A1415" s="43"/>
    </row>
    <row r="1416" spans="1:25" ht="12.75" customHeight="1">
      <c r="A1416" s="43"/>
    </row>
    <row r="1417" spans="1:25" ht="12.75" customHeight="1">
      <c r="A1417" s="43"/>
    </row>
    <row r="1418" spans="1:25" ht="12.75" customHeight="1">
      <c r="A1418" s="43"/>
    </row>
    <row r="1419" spans="1:25" ht="12.75" customHeight="1">
      <c r="A1419" s="43"/>
    </row>
    <row r="1420" spans="1:25" ht="12.75" customHeight="1">
      <c r="A1420" s="43"/>
    </row>
    <row r="1421" spans="1:25" ht="12.75" customHeight="1">
      <c r="A1421" s="43"/>
    </row>
    <row r="1422" spans="1:25" ht="12.75" customHeight="1">
      <c r="A1422" s="43"/>
    </row>
    <row r="1423" spans="1:25" ht="12.75" customHeight="1">
      <c r="A1423" s="43"/>
    </row>
    <row r="1424" spans="1:25" ht="12.75" customHeight="1">
      <c r="A1424" s="43"/>
    </row>
    <row r="1425" spans="1:1" ht="12.75" customHeight="1">
      <c r="A1425" s="43"/>
    </row>
    <row r="1426" spans="1:1" ht="12.75" customHeight="1">
      <c r="A1426" s="43"/>
    </row>
  </sheetData>
  <autoFilter ref="A5:Y1406" xr:uid="{00000000-0009-0000-0000-000000000000}">
    <filterColumn colId="2">
      <filters>
        <filter val="Municipio/TIOC"/>
      </filters>
    </filterColumn>
    <filterColumn colId="6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6">
    <mergeCell ref="H3:Q3"/>
    <mergeCell ref="R3:Y3"/>
    <mergeCell ref="H4:L4"/>
    <mergeCell ref="M4:Q4"/>
    <mergeCell ref="R4:U4"/>
    <mergeCell ref="V4:Y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3"/>
  <sheetViews>
    <sheetView workbookViewId="0">
      <selection activeCell="H3" sqref="H3"/>
    </sheetView>
  </sheetViews>
  <sheetFormatPr baseColWidth="10" defaultColWidth="14.42578125" defaultRowHeight="15" customHeight="1"/>
  <cols>
    <col min="8" max="8" width="9.85546875" customWidth="1"/>
    <col min="9" max="9" width="10.42578125" customWidth="1"/>
  </cols>
  <sheetData>
    <row r="1" spans="1:28">
      <c r="A1" s="47"/>
      <c r="B1" s="96" t="s">
        <v>448</v>
      </c>
      <c r="C1" s="97"/>
      <c r="D1" s="97"/>
      <c r="E1" s="97"/>
      <c r="F1" s="49" t="s">
        <v>449</v>
      </c>
      <c r="G1" s="50" t="s">
        <v>450</v>
      </c>
      <c r="H1" s="51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spans="1:28">
      <c r="A2" s="48" t="s">
        <v>451</v>
      </c>
      <c r="B2" s="48" t="s">
        <v>452</v>
      </c>
      <c r="C2" s="48" t="s">
        <v>453</v>
      </c>
      <c r="D2" s="48" t="s">
        <v>454</v>
      </c>
      <c r="E2" s="48" t="s">
        <v>455</v>
      </c>
      <c r="F2" s="49" t="s">
        <v>456</v>
      </c>
      <c r="G2" s="50" t="s">
        <v>9</v>
      </c>
      <c r="H2" s="53" t="s">
        <v>457</v>
      </c>
      <c r="I2" s="54" t="s">
        <v>458</v>
      </c>
      <c r="J2" s="52"/>
      <c r="K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</row>
    <row r="3" spans="1:28">
      <c r="A3" s="55" t="s">
        <v>22</v>
      </c>
      <c r="B3" s="55">
        <v>12393</v>
      </c>
      <c r="C3" s="55">
        <v>56877</v>
      </c>
      <c r="D3" s="55">
        <v>17.899999999999999</v>
      </c>
      <c r="E3" s="55">
        <f t="shared" ref="E3:E157" si="0">100-D3</f>
        <v>82.1</v>
      </c>
      <c r="F3" s="55">
        <v>82</v>
      </c>
      <c r="G3" s="56">
        <v>81.873936700000002</v>
      </c>
      <c r="H3" s="57">
        <f t="shared" ref="H3:H257" si="1">(ABS(E3-G3))/((E3+G3)/2)*100</f>
        <v>0.27573077105977994</v>
      </c>
      <c r="I3" s="57">
        <f t="shared" ref="I3:I257" si="2">E3-G3</f>
        <v>0.22606329999999275</v>
      </c>
    </row>
    <row r="4" spans="1:28">
      <c r="A4" s="55" t="s">
        <v>23</v>
      </c>
      <c r="B4" s="55">
        <v>1058</v>
      </c>
      <c r="C4" s="55">
        <v>1544</v>
      </c>
      <c r="D4" s="55">
        <v>40.700000000000003</v>
      </c>
      <c r="E4" s="55">
        <f t="shared" si="0"/>
        <v>59.3</v>
      </c>
      <c r="F4" s="55">
        <v>59.4</v>
      </c>
      <c r="G4" s="56">
        <v>59.4104308</v>
      </c>
      <c r="H4" s="57">
        <f>(ABS(E4-G4))/((E4+G4)/2)*100</f>
        <v>0.18605071054969696</v>
      </c>
      <c r="I4" s="57">
        <f t="shared" si="2"/>
        <v>-0.11043080000000316</v>
      </c>
    </row>
    <row r="5" spans="1:28">
      <c r="A5" s="55" t="s">
        <v>24</v>
      </c>
      <c r="B5" s="55">
        <v>4520</v>
      </c>
      <c r="C5" s="55">
        <v>290</v>
      </c>
      <c r="D5" s="55">
        <v>94</v>
      </c>
      <c r="E5" s="55">
        <f t="shared" si="0"/>
        <v>6</v>
      </c>
      <c r="F5" s="55">
        <v>6.1</v>
      </c>
      <c r="G5" s="56">
        <v>5.7725321999999997</v>
      </c>
      <c r="H5" s="57">
        <f t="shared" si="1"/>
        <v>3.8643818701978208</v>
      </c>
      <c r="I5" s="57">
        <f t="shared" si="2"/>
        <v>0.22746780000000033</v>
      </c>
    </row>
    <row r="6" spans="1:28">
      <c r="A6" s="55" t="s">
        <v>25</v>
      </c>
      <c r="B6" s="55">
        <v>1933</v>
      </c>
      <c r="C6" s="55">
        <v>556</v>
      </c>
      <c r="D6" s="55">
        <v>77.7</v>
      </c>
      <c r="E6" s="55">
        <f t="shared" si="0"/>
        <v>22.299999999999997</v>
      </c>
      <c r="F6" s="55">
        <v>22.3</v>
      </c>
      <c r="G6" s="56">
        <v>22.340425499999998</v>
      </c>
      <c r="H6" s="57">
        <f t="shared" si="1"/>
        <v>0.18111610517691568</v>
      </c>
      <c r="I6" s="57">
        <f t="shared" si="2"/>
        <v>-4.0425500000001335E-2</v>
      </c>
    </row>
    <row r="7" spans="1:28">
      <c r="A7" s="55" t="s">
        <v>26</v>
      </c>
      <c r="B7" s="55">
        <v>2720</v>
      </c>
      <c r="C7" s="55">
        <v>654</v>
      </c>
      <c r="D7" s="55">
        <v>80.599999999999994</v>
      </c>
      <c r="E7" s="55">
        <f t="shared" si="0"/>
        <v>19.400000000000006</v>
      </c>
      <c r="F7" s="55">
        <v>19.3</v>
      </c>
      <c r="G7" s="56">
        <v>19.3387946</v>
      </c>
      <c r="H7" s="57">
        <f t="shared" si="1"/>
        <v>0.31599021410958267</v>
      </c>
      <c r="I7" s="57">
        <f t="shared" si="2"/>
        <v>6.1205400000005739E-2</v>
      </c>
    </row>
    <row r="8" spans="1:28">
      <c r="A8" s="55" t="s">
        <v>459</v>
      </c>
      <c r="B8" s="55">
        <v>1719</v>
      </c>
      <c r="C8" s="55">
        <v>834</v>
      </c>
      <c r="D8" s="55">
        <v>67.3</v>
      </c>
      <c r="E8" s="55">
        <f t="shared" si="0"/>
        <v>32.700000000000003</v>
      </c>
      <c r="F8" s="55">
        <v>32.799999999999997</v>
      </c>
      <c r="G8" s="56">
        <v>32.7919567</v>
      </c>
      <c r="H8" s="57">
        <f t="shared" si="1"/>
        <v>0.28081830085249909</v>
      </c>
      <c r="I8" s="57">
        <f t="shared" si="2"/>
        <v>-9.1956699999997227E-2</v>
      </c>
    </row>
    <row r="9" spans="1:28">
      <c r="A9" s="55" t="s">
        <v>28</v>
      </c>
      <c r="B9" s="55">
        <v>2104</v>
      </c>
      <c r="C9" s="55">
        <v>561</v>
      </c>
      <c r="D9" s="55">
        <v>78.900000000000006</v>
      </c>
      <c r="E9" s="55">
        <f t="shared" si="0"/>
        <v>21.099999999999994</v>
      </c>
      <c r="F9" s="55">
        <v>20.8</v>
      </c>
      <c r="G9" s="56">
        <v>20.831799799999999</v>
      </c>
      <c r="H9" s="57">
        <f t="shared" si="1"/>
        <v>1.2792210269018573</v>
      </c>
      <c r="I9" s="57">
        <f t="shared" si="2"/>
        <v>0.26820019999999545</v>
      </c>
    </row>
    <row r="10" spans="1:28">
      <c r="A10" s="55" t="s">
        <v>29</v>
      </c>
      <c r="B10" s="55">
        <v>1231</v>
      </c>
      <c r="C10" s="55">
        <v>697</v>
      </c>
      <c r="D10" s="55">
        <v>63.8</v>
      </c>
      <c r="E10" s="55">
        <f t="shared" si="0"/>
        <v>36.200000000000003</v>
      </c>
      <c r="F10" s="55">
        <v>36.1</v>
      </c>
      <c r="G10" s="56">
        <v>36.074672</v>
      </c>
      <c r="H10" s="57">
        <f t="shared" si="1"/>
        <v>0.34681029060914509</v>
      </c>
      <c r="I10" s="57">
        <f t="shared" si="2"/>
        <v>0.12532800000000321</v>
      </c>
    </row>
    <row r="11" spans="1:28">
      <c r="A11" s="55" t="s">
        <v>30</v>
      </c>
      <c r="B11" s="55">
        <v>815</v>
      </c>
      <c r="C11" s="55">
        <v>997</v>
      </c>
      <c r="D11" s="55">
        <v>45</v>
      </c>
      <c r="E11" s="55">
        <f t="shared" si="0"/>
        <v>55</v>
      </c>
      <c r="F11" s="55">
        <v>54.9</v>
      </c>
      <c r="G11" s="56">
        <v>54.888039300000003</v>
      </c>
      <c r="H11" s="57">
        <f t="shared" si="1"/>
        <v>0.20377231355332293</v>
      </c>
      <c r="I11" s="57">
        <f t="shared" si="2"/>
        <v>0.11196069999999736</v>
      </c>
    </row>
    <row r="12" spans="1:28">
      <c r="A12" s="55" t="s">
        <v>32</v>
      </c>
      <c r="B12" s="55">
        <v>1700</v>
      </c>
      <c r="C12" s="55">
        <v>1070</v>
      </c>
      <c r="D12" s="55">
        <v>61.4</v>
      </c>
      <c r="E12" s="55">
        <f t="shared" si="0"/>
        <v>38.6</v>
      </c>
      <c r="F12" s="55">
        <v>38.799999999999997</v>
      </c>
      <c r="G12" s="56">
        <v>38.754448400000001</v>
      </c>
      <c r="H12" s="57">
        <f t="shared" si="1"/>
        <v>0.39932648527553777</v>
      </c>
      <c r="I12" s="57">
        <f t="shared" si="2"/>
        <v>-0.15444839999999971</v>
      </c>
    </row>
    <row r="13" spans="1:28">
      <c r="A13" s="55" t="s">
        <v>31</v>
      </c>
      <c r="B13" s="55">
        <v>1194</v>
      </c>
      <c r="C13" s="55">
        <v>876</v>
      </c>
      <c r="D13" s="55">
        <v>57.7</v>
      </c>
      <c r="E13" s="55">
        <f t="shared" si="0"/>
        <v>42.3</v>
      </c>
      <c r="F13" s="55">
        <v>42.4</v>
      </c>
      <c r="G13" s="56">
        <v>42.356838600000003</v>
      </c>
      <c r="H13" s="57">
        <f t="shared" si="1"/>
        <v>0.13427999660740006</v>
      </c>
      <c r="I13" s="57">
        <f t="shared" si="2"/>
        <v>-5.6838600000006068E-2</v>
      </c>
    </row>
    <row r="14" spans="1:28">
      <c r="A14" s="55" t="s">
        <v>33</v>
      </c>
      <c r="B14" s="55">
        <v>1326</v>
      </c>
      <c r="C14" s="55">
        <v>645</v>
      </c>
      <c r="D14" s="55">
        <v>67.3</v>
      </c>
      <c r="E14" s="55">
        <f t="shared" si="0"/>
        <v>32.700000000000003</v>
      </c>
      <c r="F14" s="55">
        <v>32.700000000000003</v>
      </c>
      <c r="G14" s="56">
        <v>32.736318400000002</v>
      </c>
      <c r="H14" s="57">
        <f t="shared" si="1"/>
        <v>0.11100379999373244</v>
      </c>
      <c r="I14" s="57">
        <f t="shared" si="2"/>
        <v>-3.6318399999998974E-2</v>
      </c>
    </row>
    <row r="15" spans="1:28">
      <c r="A15" s="55" t="s">
        <v>460</v>
      </c>
      <c r="B15" s="55">
        <v>789</v>
      </c>
      <c r="C15" s="55">
        <v>266</v>
      </c>
      <c r="D15" s="55">
        <v>74.8</v>
      </c>
      <c r="E15" s="55">
        <f t="shared" si="0"/>
        <v>25.200000000000003</v>
      </c>
      <c r="F15" s="55">
        <v>25.1</v>
      </c>
      <c r="G15" s="56">
        <v>25.093283599999999</v>
      </c>
      <c r="H15" s="57">
        <f t="shared" si="1"/>
        <v>0.42437634754078124</v>
      </c>
      <c r="I15" s="57">
        <f t="shared" si="2"/>
        <v>0.10671640000000338</v>
      </c>
    </row>
    <row r="16" spans="1:28">
      <c r="A16" s="55" t="s">
        <v>35</v>
      </c>
      <c r="B16" s="55">
        <v>736</v>
      </c>
      <c r="C16" s="55">
        <v>460</v>
      </c>
      <c r="D16" s="55">
        <v>61.5</v>
      </c>
      <c r="E16" s="55">
        <f t="shared" si="0"/>
        <v>38.5</v>
      </c>
      <c r="F16" s="55">
        <v>38.4</v>
      </c>
      <c r="G16" s="56">
        <v>38.366336599999997</v>
      </c>
      <c r="H16" s="57">
        <f t="shared" si="1"/>
        <v>0.34778137195627251</v>
      </c>
      <c r="I16" s="57">
        <f t="shared" si="2"/>
        <v>0.13366340000000321</v>
      </c>
    </row>
    <row r="17" spans="1:9">
      <c r="A17" s="55" t="s">
        <v>37</v>
      </c>
      <c r="B17" s="55">
        <v>2689</v>
      </c>
      <c r="C17" s="55">
        <v>3316</v>
      </c>
      <c r="D17" s="55">
        <v>44.8</v>
      </c>
      <c r="E17" s="55">
        <f t="shared" si="0"/>
        <v>55.2</v>
      </c>
      <c r="F17" s="55">
        <v>55.2</v>
      </c>
      <c r="G17" s="56">
        <v>55.206448399999999</v>
      </c>
      <c r="H17" s="57">
        <f t="shared" si="1"/>
        <v>1.168120176574119E-2</v>
      </c>
      <c r="I17" s="57">
        <f t="shared" si="2"/>
        <v>-6.4483999999964681E-3</v>
      </c>
    </row>
    <row r="18" spans="1:9">
      <c r="A18" s="55" t="s">
        <v>38</v>
      </c>
      <c r="B18" s="55">
        <v>1377</v>
      </c>
      <c r="C18" s="55">
        <v>666</v>
      </c>
      <c r="D18" s="55">
        <v>67.400000000000006</v>
      </c>
      <c r="E18" s="55">
        <f t="shared" si="0"/>
        <v>32.599999999999994</v>
      </c>
      <c r="F18" s="55">
        <v>32.700000000000003</v>
      </c>
      <c r="G18" s="56">
        <v>32.659932699999999</v>
      </c>
      <c r="H18" s="57">
        <f t="shared" si="1"/>
        <v>0.18367380265473215</v>
      </c>
      <c r="I18" s="57">
        <f t="shared" si="2"/>
        <v>-5.9932700000004502E-2</v>
      </c>
    </row>
    <row r="19" spans="1:9">
      <c r="A19" s="55" t="s">
        <v>40</v>
      </c>
      <c r="B19" s="55">
        <v>3209</v>
      </c>
      <c r="C19" s="55">
        <v>1120</v>
      </c>
      <c r="D19" s="55">
        <v>74.099999999999994</v>
      </c>
      <c r="E19" s="55">
        <f t="shared" si="0"/>
        <v>25.900000000000006</v>
      </c>
      <c r="F19" s="55">
        <v>26</v>
      </c>
      <c r="G19" s="56">
        <v>25.991792100000001</v>
      </c>
      <c r="H19" s="57">
        <f t="shared" si="1"/>
        <v>0.35378273243330788</v>
      </c>
      <c r="I19" s="57">
        <f t="shared" si="2"/>
        <v>-9.1792099999995713E-2</v>
      </c>
    </row>
    <row r="20" spans="1:9">
      <c r="A20" s="55" t="s">
        <v>39</v>
      </c>
      <c r="B20" s="55">
        <v>2015</v>
      </c>
      <c r="C20" s="55">
        <v>895</v>
      </c>
      <c r="D20" s="55">
        <v>69.2</v>
      </c>
      <c r="E20" s="55">
        <f t="shared" si="0"/>
        <v>30.799999999999997</v>
      </c>
      <c r="F20" s="55">
        <v>30.7</v>
      </c>
      <c r="G20" s="56">
        <v>30.7457627</v>
      </c>
      <c r="H20" s="57">
        <f t="shared" si="1"/>
        <v>0.17625031397976954</v>
      </c>
      <c r="I20" s="57">
        <f t="shared" si="2"/>
        <v>5.4237299999996935E-2</v>
      </c>
    </row>
    <row r="21" spans="1:9">
      <c r="A21" s="55" t="s">
        <v>42</v>
      </c>
      <c r="B21" s="55">
        <v>2274</v>
      </c>
      <c r="C21" s="55">
        <v>2007</v>
      </c>
      <c r="D21" s="55">
        <v>53.1</v>
      </c>
      <c r="E21" s="55">
        <f t="shared" si="0"/>
        <v>46.9</v>
      </c>
      <c r="F21" s="55">
        <v>46.7</v>
      </c>
      <c r="G21" s="56">
        <v>46.728323699999997</v>
      </c>
      <c r="H21" s="57">
        <f t="shared" si="1"/>
        <v>0.36671873043477643</v>
      </c>
      <c r="I21" s="57">
        <f t="shared" si="2"/>
        <v>0.17167630000000145</v>
      </c>
    </row>
    <row r="22" spans="1:9">
      <c r="A22" s="55" t="s">
        <v>43</v>
      </c>
      <c r="B22" s="55">
        <v>6034</v>
      </c>
      <c r="C22" s="55">
        <v>1795</v>
      </c>
      <c r="D22" s="55">
        <v>77.099999999999994</v>
      </c>
      <c r="E22" s="55">
        <f t="shared" si="0"/>
        <v>22.900000000000006</v>
      </c>
      <c r="F22" s="55">
        <v>22.9</v>
      </c>
      <c r="G22" s="56">
        <v>22.8771229</v>
      </c>
      <c r="H22" s="57">
        <f t="shared" si="1"/>
        <v>9.9949924987556879E-2</v>
      </c>
      <c r="I22" s="57">
        <f t="shared" si="2"/>
        <v>2.2877100000005868E-2</v>
      </c>
    </row>
    <row r="23" spans="1:9">
      <c r="A23" s="55" t="s">
        <v>44</v>
      </c>
      <c r="B23" s="55">
        <v>2284</v>
      </c>
      <c r="C23" s="55">
        <v>464</v>
      </c>
      <c r="D23" s="55">
        <v>83.1</v>
      </c>
      <c r="E23" s="55">
        <f t="shared" si="0"/>
        <v>16.900000000000006</v>
      </c>
      <c r="F23" s="55">
        <v>16.899999999999999</v>
      </c>
      <c r="G23" s="56">
        <v>16.912558499999999</v>
      </c>
      <c r="H23" s="57">
        <f t="shared" si="1"/>
        <v>7.4283050778270424E-2</v>
      </c>
      <c r="I23" s="57">
        <f t="shared" si="2"/>
        <v>-1.25584999999937E-2</v>
      </c>
    </row>
    <row r="24" spans="1:9">
      <c r="A24" s="55" t="s">
        <v>45</v>
      </c>
      <c r="B24" s="55">
        <v>2706</v>
      </c>
      <c r="C24" s="55">
        <v>728</v>
      </c>
      <c r="D24" s="55">
        <v>78.8</v>
      </c>
      <c r="E24" s="55">
        <f t="shared" si="0"/>
        <v>21.200000000000003</v>
      </c>
      <c r="F24" s="55">
        <v>21.3</v>
      </c>
      <c r="G24" s="56">
        <v>21.2661871</v>
      </c>
      <c r="H24" s="57">
        <f t="shared" si="1"/>
        <v>0.31171670696094561</v>
      </c>
      <c r="I24" s="57">
        <f t="shared" si="2"/>
        <v>-6.6187099999996946E-2</v>
      </c>
    </row>
    <row r="25" spans="1:9">
      <c r="A25" s="55" t="s">
        <v>47</v>
      </c>
      <c r="B25" s="55">
        <v>1668</v>
      </c>
      <c r="C25" s="55">
        <v>1460</v>
      </c>
      <c r="D25" s="55">
        <v>53.3</v>
      </c>
      <c r="E25" s="55">
        <f t="shared" si="0"/>
        <v>46.7</v>
      </c>
      <c r="F25" s="55">
        <v>46.8</v>
      </c>
      <c r="G25" s="56">
        <v>46.777221500000003</v>
      </c>
      <c r="H25" s="57">
        <f t="shared" si="1"/>
        <v>0.16521993007676264</v>
      </c>
      <c r="I25" s="57">
        <f t="shared" si="2"/>
        <v>-7.7221500000000276E-2</v>
      </c>
    </row>
    <row r="26" spans="1:9">
      <c r="A26" s="55" t="s">
        <v>49</v>
      </c>
      <c r="B26" s="55">
        <v>647</v>
      </c>
      <c r="C26" s="55">
        <v>316</v>
      </c>
      <c r="D26" s="55">
        <v>67.2</v>
      </c>
      <c r="E26" s="55">
        <f t="shared" si="0"/>
        <v>32.799999999999997</v>
      </c>
      <c r="F26" s="55">
        <v>32.799999999999997</v>
      </c>
      <c r="G26" s="56">
        <v>32.8497409</v>
      </c>
      <c r="H26" s="57">
        <f t="shared" si="1"/>
        <v>0.15153418526287987</v>
      </c>
      <c r="I26" s="57">
        <f t="shared" si="2"/>
        <v>-4.9740900000003307E-2</v>
      </c>
    </row>
    <row r="27" spans="1:9">
      <c r="A27" s="55" t="s">
        <v>50</v>
      </c>
      <c r="B27" s="55">
        <v>2662</v>
      </c>
      <c r="C27" s="55">
        <v>1634</v>
      </c>
      <c r="D27" s="55">
        <v>62</v>
      </c>
      <c r="E27" s="55">
        <f t="shared" si="0"/>
        <v>38</v>
      </c>
      <c r="F27" s="55">
        <v>38.1</v>
      </c>
      <c r="G27" s="56">
        <v>38.072233699999998</v>
      </c>
      <c r="H27" s="57">
        <f t="shared" si="1"/>
        <v>0.18990818722337105</v>
      </c>
      <c r="I27" s="57">
        <f t="shared" si="2"/>
        <v>-7.223369999999818E-2</v>
      </c>
    </row>
    <row r="28" spans="1:9">
      <c r="A28" s="55" t="s">
        <v>51</v>
      </c>
      <c r="B28" s="55">
        <v>509</v>
      </c>
      <c r="C28" s="55">
        <v>547</v>
      </c>
      <c r="D28" s="55">
        <v>48.2</v>
      </c>
      <c r="E28" s="55">
        <f t="shared" si="0"/>
        <v>51.8</v>
      </c>
      <c r="F28" s="55">
        <v>51.8</v>
      </c>
      <c r="G28" s="56">
        <v>51.789077200000001</v>
      </c>
      <c r="H28" s="57">
        <f t="shared" si="1"/>
        <v>2.1088709920462353E-2</v>
      </c>
      <c r="I28" s="57">
        <f t="shared" si="2"/>
        <v>1.0922799999995902E-2</v>
      </c>
    </row>
    <row r="29" spans="1:9">
      <c r="A29" s="55" t="s">
        <v>461</v>
      </c>
      <c r="B29" s="55">
        <v>1164</v>
      </c>
      <c r="C29" s="55">
        <v>1333</v>
      </c>
      <c r="D29" s="55">
        <v>46.6</v>
      </c>
      <c r="E29" s="55">
        <f t="shared" si="0"/>
        <v>53.4</v>
      </c>
      <c r="F29" s="55">
        <v>53.3</v>
      </c>
      <c r="G29" s="56">
        <v>53.278041100000003</v>
      </c>
      <c r="H29" s="57">
        <f t="shared" si="1"/>
        <v>0.22864855548982449</v>
      </c>
      <c r="I29" s="57">
        <f t="shared" si="2"/>
        <v>0.12195889999999565</v>
      </c>
    </row>
    <row r="30" spans="1:9">
      <c r="A30" s="55" t="s">
        <v>462</v>
      </c>
      <c r="B30" s="55">
        <v>345</v>
      </c>
      <c r="C30" s="55">
        <v>256</v>
      </c>
      <c r="D30" s="55">
        <v>57.4</v>
      </c>
      <c r="E30" s="55">
        <f t="shared" si="0"/>
        <v>42.6</v>
      </c>
      <c r="F30" s="55">
        <v>42.6</v>
      </c>
      <c r="G30" s="56">
        <v>42.620232199999997</v>
      </c>
      <c r="H30" s="57">
        <f t="shared" si="1"/>
        <v>4.748215177943451E-2</v>
      </c>
      <c r="I30" s="57">
        <f t="shared" si="2"/>
        <v>-2.023219999999526E-2</v>
      </c>
    </row>
    <row r="31" spans="1:9">
      <c r="A31" s="55" t="s">
        <v>55</v>
      </c>
      <c r="B31" s="55">
        <v>557</v>
      </c>
      <c r="C31" s="55">
        <v>1175</v>
      </c>
      <c r="D31" s="55">
        <v>32.200000000000003</v>
      </c>
      <c r="E31" s="55">
        <f t="shared" si="0"/>
        <v>67.8</v>
      </c>
      <c r="F31" s="55">
        <v>67.7</v>
      </c>
      <c r="G31" s="56">
        <v>67.732724200000007</v>
      </c>
      <c r="H31" s="57">
        <f t="shared" si="1"/>
        <v>9.9276097927042506E-2</v>
      </c>
      <c r="I31" s="57">
        <f t="shared" si="2"/>
        <v>6.7275799999990227E-2</v>
      </c>
    </row>
    <row r="32" spans="1:9">
      <c r="A32" s="55" t="s">
        <v>56</v>
      </c>
      <c r="B32" s="55">
        <v>14979</v>
      </c>
      <c r="C32" s="55">
        <v>210596</v>
      </c>
      <c r="D32" s="55">
        <v>6.6</v>
      </c>
      <c r="E32" s="55">
        <f t="shared" si="0"/>
        <v>93.4</v>
      </c>
      <c r="F32" s="55">
        <v>93.3</v>
      </c>
      <c r="G32" s="56">
        <v>93.332096899999996</v>
      </c>
      <c r="H32" s="57">
        <f t="shared" si="1"/>
        <v>7.2727828934918831E-2</v>
      </c>
      <c r="I32" s="57">
        <f t="shared" si="2"/>
        <v>6.7903100000009431E-2</v>
      </c>
    </row>
    <row r="33" spans="1:9">
      <c r="A33" s="55" t="s">
        <v>59</v>
      </c>
      <c r="B33" s="55">
        <v>3799</v>
      </c>
      <c r="C33" s="55">
        <v>1031</v>
      </c>
      <c r="D33" s="55">
        <v>78.7</v>
      </c>
      <c r="E33" s="55">
        <f t="shared" si="0"/>
        <v>21.299999999999997</v>
      </c>
      <c r="F33" s="55">
        <v>21.3</v>
      </c>
      <c r="G33" s="56">
        <v>21.327014200000001</v>
      </c>
      <c r="H33" s="57">
        <f t="shared" si="1"/>
        <v>0.12674685528410076</v>
      </c>
      <c r="I33" s="57">
        <f t="shared" si="2"/>
        <v>-2.7014200000003541E-2</v>
      </c>
    </row>
    <row r="34" spans="1:9">
      <c r="A34" s="55" t="s">
        <v>60</v>
      </c>
      <c r="B34" s="55">
        <v>2756</v>
      </c>
      <c r="C34" s="55">
        <v>2063</v>
      </c>
      <c r="D34" s="55">
        <v>57.2</v>
      </c>
      <c r="E34" s="55">
        <f t="shared" si="0"/>
        <v>42.8</v>
      </c>
      <c r="F34" s="55">
        <v>42.8</v>
      </c>
      <c r="G34" s="56">
        <v>43.357083000000003</v>
      </c>
      <c r="H34" s="57">
        <f t="shared" si="1"/>
        <v>1.2931798073990173</v>
      </c>
      <c r="I34" s="57">
        <f t="shared" si="2"/>
        <v>-0.55708300000000577</v>
      </c>
    </row>
    <row r="35" spans="1:9">
      <c r="A35" s="55" t="s">
        <v>61</v>
      </c>
      <c r="B35" s="55">
        <v>4664</v>
      </c>
      <c r="C35" s="55">
        <v>2358</v>
      </c>
      <c r="D35" s="55">
        <v>66.400000000000006</v>
      </c>
      <c r="E35" s="55">
        <f t="shared" si="0"/>
        <v>33.599999999999994</v>
      </c>
      <c r="F35" s="55">
        <v>33.5</v>
      </c>
      <c r="G35" s="56">
        <v>33.212138199999998</v>
      </c>
      <c r="H35" s="57">
        <f t="shared" si="1"/>
        <v>1.1610518999974051</v>
      </c>
      <c r="I35" s="57">
        <f t="shared" si="2"/>
        <v>0.38786179999999604</v>
      </c>
    </row>
    <row r="36" spans="1:9">
      <c r="A36" s="55" t="s">
        <v>62</v>
      </c>
      <c r="B36" s="55">
        <v>54313</v>
      </c>
      <c r="C36" s="55">
        <v>200458</v>
      </c>
      <c r="D36" s="55">
        <v>21.3</v>
      </c>
      <c r="E36" s="55">
        <f t="shared" si="0"/>
        <v>78.7</v>
      </c>
      <c r="F36" s="55">
        <v>78.599999999999994</v>
      </c>
      <c r="G36" s="56">
        <v>78.618426200000002</v>
      </c>
      <c r="H36" s="57">
        <f t="shared" si="1"/>
        <v>0.10370533442318536</v>
      </c>
      <c r="I36" s="57">
        <f t="shared" si="2"/>
        <v>8.1573800000001029E-2</v>
      </c>
    </row>
    <row r="37" spans="1:9">
      <c r="A37" s="55" t="s">
        <v>64</v>
      </c>
      <c r="B37" s="55">
        <v>8122</v>
      </c>
      <c r="C37" s="55">
        <v>8008</v>
      </c>
      <c r="D37" s="55">
        <v>50.4</v>
      </c>
      <c r="E37" s="55">
        <f t="shared" si="0"/>
        <v>49.6</v>
      </c>
      <c r="F37" s="55">
        <v>49.6</v>
      </c>
      <c r="G37" s="56">
        <v>49.636430900000001</v>
      </c>
      <c r="H37" s="57">
        <f t="shared" si="1"/>
        <v>7.342243099554914E-2</v>
      </c>
      <c r="I37" s="57">
        <f t="shared" si="2"/>
        <v>-3.6430899999999156E-2</v>
      </c>
    </row>
    <row r="38" spans="1:9">
      <c r="A38" s="55" t="s">
        <v>463</v>
      </c>
      <c r="B38" s="55">
        <v>3312</v>
      </c>
      <c r="C38" s="55">
        <v>1688</v>
      </c>
      <c r="D38" s="55">
        <v>66.2</v>
      </c>
      <c r="E38" s="55">
        <f t="shared" si="0"/>
        <v>33.799999999999997</v>
      </c>
      <c r="F38" s="55">
        <v>33.700000000000003</v>
      </c>
      <c r="G38" s="56">
        <v>33.7378158</v>
      </c>
      <c r="H38" s="57">
        <f t="shared" si="1"/>
        <v>0.18414631644038817</v>
      </c>
      <c r="I38" s="57">
        <f t="shared" si="2"/>
        <v>6.2184199999997247E-2</v>
      </c>
    </row>
    <row r="39" spans="1:9">
      <c r="A39" s="55" t="s">
        <v>69</v>
      </c>
      <c r="B39" s="55">
        <v>1313</v>
      </c>
      <c r="C39" s="55">
        <v>702</v>
      </c>
      <c r="D39" s="55">
        <v>65.2</v>
      </c>
      <c r="E39" s="55">
        <f t="shared" si="0"/>
        <v>34.799999999999997</v>
      </c>
      <c r="F39" s="55">
        <v>34.799999999999997</v>
      </c>
      <c r="G39" s="56">
        <v>34.842519699999997</v>
      </c>
      <c r="H39" s="57">
        <f t="shared" si="1"/>
        <v>0.12210844806638932</v>
      </c>
      <c r="I39" s="57">
        <f t="shared" si="2"/>
        <v>-4.2519699999999716E-2</v>
      </c>
    </row>
    <row r="40" spans="1:9">
      <c r="A40" s="55" t="s">
        <v>66</v>
      </c>
      <c r="B40" s="55">
        <v>1649</v>
      </c>
      <c r="C40" s="55">
        <v>1633</v>
      </c>
      <c r="D40" s="55">
        <v>50.2</v>
      </c>
      <c r="E40" s="55">
        <f t="shared" si="0"/>
        <v>49.8</v>
      </c>
      <c r="F40" s="55">
        <v>49.8</v>
      </c>
      <c r="G40" s="56">
        <v>49.802851099999998</v>
      </c>
      <c r="H40" s="57">
        <f t="shared" si="1"/>
        <v>5.724936522426281E-3</v>
      </c>
      <c r="I40" s="57">
        <f t="shared" si="2"/>
        <v>-2.8511000000008835E-3</v>
      </c>
    </row>
    <row r="41" spans="1:9">
      <c r="A41" s="55" t="s">
        <v>67</v>
      </c>
      <c r="B41" s="55">
        <v>2151</v>
      </c>
      <c r="C41" s="55">
        <v>1616</v>
      </c>
      <c r="D41" s="55">
        <v>57.1</v>
      </c>
      <c r="E41" s="55">
        <f t="shared" si="0"/>
        <v>42.9</v>
      </c>
      <c r="F41" s="55">
        <v>43</v>
      </c>
      <c r="G41" s="56">
        <v>43.007637600000002</v>
      </c>
      <c r="H41" s="57">
        <f t="shared" si="1"/>
        <v>0.25058912806142369</v>
      </c>
      <c r="I41" s="57">
        <f t="shared" si="2"/>
        <v>-0.10763760000000389</v>
      </c>
    </row>
    <row r="42" spans="1:9">
      <c r="A42" s="55" t="s">
        <v>68</v>
      </c>
      <c r="B42" s="55">
        <v>685</v>
      </c>
      <c r="C42" s="55">
        <v>961</v>
      </c>
      <c r="D42" s="55">
        <v>41.6</v>
      </c>
      <c r="E42" s="55">
        <f t="shared" si="0"/>
        <v>58.4</v>
      </c>
      <c r="F42" s="55">
        <v>58.1</v>
      </c>
      <c r="G42" s="56">
        <v>58.122743700000001</v>
      </c>
      <c r="H42" s="57">
        <f t="shared" si="1"/>
        <v>0.47588357636655554</v>
      </c>
      <c r="I42" s="57">
        <f t="shared" si="2"/>
        <v>0.27725629999999768</v>
      </c>
    </row>
    <row r="43" spans="1:9">
      <c r="A43" s="55" t="s">
        <v>464</v>
      </c>
      <c r="B43" s="55">
        <v>3036</v>
      </c>
      <c r="C43" s="55">
        <v>650</v>
      </c>
      <c r="D43" s="55">
        <v>82.4</v>
      </c>
      <c r="E43" s="55">
        <f t="shared" si="0"/>
        <v>17.599999999999994</v>
      </c>
      <c r="F43" s="55">
        <v>17.600000000000001</v>
      </c>
      <c r="G43" s="56">
        <v>17.6470588</v>
      </c>
      <c r="H43" s="57">
        <f t="shared" si="1"/>
        <v>0.26702256359617521</v>
      </c>
      <c r="I43" s="57">
        <f t="shared" si="2"/>
        <v>-4.7058800000005618E-2</v>
      </c>
    </row>
    <row r="44" spans="1:9">
      <c r="A44" s="55" t="s">
        <v>72</v>
      </c>
      <c r="B44" s="55">
        <v>2703</v>
      </c>
      <c r="C44" s="55">
        <v>1533</v>
      </c>
      <c r="D44" s="55">
        <v>63.8</v>
      </c>
      <c r="E44" s="55">
        <f t="shared" si="0"/>
        <v>36.200000000000003</v>
      </c>
      <c r="F44" s="55">
        <v>36.200000000000003</v>
      </c>
      <c r="G44" s="56">
        <v>36.191145499999998</v>
      </c>
      <c r="H44" s="57">
        <f t="shared" si="1"/>
        <v>2.4462936561779693E-2</v>
      </c>
      <c r="I44" s="57">
        <f t="shared" si="2"/>
        <v>8.8545000000053165E-3</v>
      </c>
    </row>
    <row r="45" spans="1:9">
      <c r="A45" s="55" t="s">
        <v>73</v>
      </c>
      <c r="B45" s="55">
        <v>2225</v>
      </c>
      <c r="C45" s="55">
        <v>1287</v>
      </c>
      <c r="D45" s="55">
        <v>63.4</v>
      </c>
      <c r="E45" s="55">
        <f t="shared" si="0"/>
        <v>36.6</v>
      </c>
      <c r="F45" s="55">
        <v>36.6</v>
      </c>
      <c r="G45" s="56">
        <v>36.597792200000001</v>
      </c>
      <c r="H45" s="57">
        <f t="shared" si="1"/>
        <v>6.0324223822716848E-3</v>
      </c>
      <c r="I45" s="57">
        <f t="shared" si="2"/>
        <v>2.2078000000007592E-3</v>
      </c>
    </row>
    <row r="46" spans="1:9">
      <c r="A46" s="55" t="s">
        <v>74</v>
      </c>
      <c r="B46" s="55">
        <v>971</v>
      </c>
      <c r="C46" s="55">
        <v>328</v>
      </c>
      <c r="D46" s="55">
        <v>74.7</v>
      </c>
      <c r="E46" s="55">
        <f t="shared" si="0"/>
        <v>25.299999999999997</v>
      </c>
      <c r="F46" s="55">
        <v>25.2</v>
      </c>
      <c r="G46" s="56">
        <v>25.171624699999999</v>
      </c>
      <c r="H46" s="57">
        <f t="shared" si="1"/>
        <v>0.50870286329418812</v>
      </c>
      <c r="I46" s="57">
        <f t="shared" si="2"/>
        <v>0.1283752999999983</v>
      </c>
    </row>
    <row r="47" spans="1:9">
      <c r="A47" s="55" t="s">
        <v>75</v>
      </c>
      <c r="B47" s="55">
        <v>879</v>
      </c>
      <c r="C47" s="55">
        <v>270</v>
      </c>
      <c r="D47" s="55">
        <v>76.5</v>
      </c>
      <c r="E47" s="55">
        <f t="shared" si="0"/>
        <v>23.5</v>
      </c>
      <c r="F47" s="55">
        <v>23.5</v>
      </c>
      <c r="G47" s="56">
        <v>23.468507299999999</v>
      </c>
      <c r="H47" s="57">
        <f t="shared" si="1"/>
        <v>0.13410134496652887</v>
      </c>
      <c r="I47" s="57">
        <f t="shared" si="2"/>
        <v>3.149270000000115E-2</v>
      </c>
    </row>
    <row r="48" spans="1:9">
      <c r="A48" s="55" t="s">
        <v>465</v>
      </c>
      <c r="B48" s="55">
        <v>891</v>
      </c>
      <c r="C48" s="55">
        <v>176</v>
      </c>
      <c r="D48" s="55">
        <v>83.5</v>
      </c>
      <c r="E48" s="55">
        <f t="shared" si="0"/>
        <v>16.5</v>
      </c>
      <c r="F48" s="55">
        <v>16.399999999999999</v>
      </c>
      <c r="G48" s="56">
        <v>16.448598100000002</v>
      </c>
      <c r="H48" s="57">
        <f t="shared" si="1"/>
        <v>0.31201266799875371</v>
      </c>
      <c r="I48" s="57">
        <f t="shared" si="2"/>
        <v>5.1401899999998335E-2</v>
      </c>
    </row>
    <row r="49" spans="1:9">
      <c r="A49" s="55" t="s">
        <v>77</v>
      </c>
      <c r="B49" s="55">
        <v>159</v>
      </c>
      <c r="C49" s="55">
        <v>130</v>
      </c>
      <c r="D49" s="55">
        <v>55</v>
      </c>
      <c r="E49" s="55">
        <f t="shared" si="0"/>
        <v>45</v>
      </c>
      <c r="F49" s="55">
        <v>45</v>
      </c>
      <c r="G49" s="56">
        <v>44.982698999999997</v>
      </c>
      <c r="H49" s="57">
        <f t="shared" si="1"/>
        <v>3.8454058818580987E-2</v>
      </c>
      <c r="I49" s="57">
        <f t="shared" si="2"/>
        <v>1.7301000000003341E-2</v>
      </c>
    </row>
    <row r="50" spans="1:9">
      <c r="A50" s="55" t="s">
        <v>466</v>
      </c>
      <c r="B50" s="55">
        <v>2449</v>
      </c>
      <c r="C50" s="55">
        <v>320</v>
      </c>
      <c r="D50" s="55">
        <v>88.4</v>
      </c>
      <c r="E50" s="55">
        <f t="shared" si="0"/>
        <v>11.599999999999994</v>
      </c>
      <c r="F50" s="55">
        <v>11.6</v>
      </c>
      <c r="G50" s="56">
        <v>11.577060899999999</v>
      </c>
      <c r="H50" s="57">
        <f t="shared" si="1"/>
        <v>0.19794658260569184</v>
      </c>
      <c r="I50" s="57">
        <f t="shared" si="2"/>
        <v>2.2939099999994994E-2</v>
      </c>
    </row>
    <row r="51" spans="1:9">
      <c r="A51" s="55" t="s">
        <v>80</v>
      </c>
      <c r="B51" s="55">
        <v>4193</v>
      </c>
      <c r="C51" s="55">
        <v>789</v>
      </c>
      <c r="D51" s="55">
        <v>84.2</v>
      </c>
      <c r="E51" s="55">
        <f t="shared" si="0"/>
        <v>15.799999999999997</v>
      </c>
      <c r="F51" s="55">
        <v>15.8</v>
      </c>
      <c r="G51" s="56">
        <v>15.7852724</v>
      </c>
      <c r="H51" s="57">
        <f t="shared" si="1"/>
        <v>9.3256121482725954E-2</v>
      </c>
      <c r="I51" s="57">
        <f t="shared" si="2"/>
        <v>1.4727599999996954E-2</v>
      </c>
    </row>
    <row r="52" spans="1:9">
      <c r="A52" s="55" t="s">
        <v>81</v>
      </c>
      <c r="B52" s="55">
        <v>4751</v>
      </c>
      <c r="C52" s="55">
        <v>1794</v>
      </c>
      <c r="D52" s="55">
        <v>72.599999999999994</v>
      </c>
      <c r="E52" s="55">
        <f t="shared" si="0"/>
        <v>27.400000000000006</v>
      </c>
      <c r="F52" s="55">
        <v>27.4</v>
      </c>
      <c r="G52" s="56">
        <v>27.4144717</v>
      </c>
      <c r="H52" s="57">
        <f t="shared" si="1"/>
        <v>5.2802479167173337E-2</v>
      </c>
      <c r="I52" s="57">
        <f t="shared" si="2"/>
        <v>-1.4471699999994314E-2</v>
      </c>
    </row>
    <row r="53" spans="1:9">
      <c r="A53" s="55" t="s">
        <v>467</v>
      </c>
      <c r="B53" s="55">
        <v>4125</v>
      </c>
      <c r="C53" s="55">
        <v>1195</v>
      </c>
      <c r="D53" s="55">
        <v>77.5</v>
      </c>
      <c r="E53" s="55">
        <f t="shared" si="0"/>
        <v>22.5</v>
      </c>
      <c r="F53" s="55">
        <v>22.5</v>
      </c>
      <c r="G53" s="56">
        <v>22.4611932</v>
      </c>
      <c r="H53" s="57">
        <f t="shared" si="1"/>
        <v>0.17262353259788354</v>
      </c>
      <c r="I53" s="57">
        <f t="shared" si="2"/>
        <v>3.8806799999999697E-2</v>
      </c>
    </row>
    <row r="54" spans="1:9">
      <c r="A54" s="55" t="s">
        <v>83</v>
      </c>
      <c r="B54" s="55">
        <v>1639</v>
      </c>
      <c r="C54" s="55">
        <v>436</v>
      </c>
      <c r="D54" s="55">
        <v>79</v>
      </c>
      <c r="E54" s="55">
        <f t="shared" si="0"/>
        <v>21</v>
      </c>
      <c r="F54" s="55">
        <v>21.1</v>
      </c>
      <c r="G54" s="56">
        <v>21.1100569</v>
      </c>
      <c r="H54" s="57">
        <f t="shared" si="1"/>
        <v>0.52271076366082991</v>
      </c>
      <c r="I54" s="57">
        <f t="shared" si="2"/>
        <v>-0.11005690000000001</v>
      </c>
    </row>
    <row r="55" spans="1:9">
      <c r="A55" s="55" t="s">
        <v>84</v>
      </c>
      <c r="B55" s="55">
        <v>2647</v>
      </c>
      <c r="C55" s="55">
        <v>365</v>
      </c>
      <c r="D55" s="55">
        <v>87.9</v>
      </c>
      <c r="E55" s="55">
        <f t="shared" si="0"/>
        <v>12.099999999999994</v>
      </c>
      <c r="F55" s="55">
        <v>12.2</v>
      </c>
      <c r="G55" s="56">
        <v>12.2233234</v>
      </c>
      <c r="H55" s="57">
        <f t="shared" si="1"/>
        <v>1.0140341266029926</v>
      </c>
      <c r="I55" s="57">
        <f t="shared" si="2"/>
        <v>-0.12332340000000563</v>
      </c>
    </row>
    <row r="56" spans="1:9">
      <c r="A56" s="55" t="s">
        <v>86</v>
      </c>
      <c r="B56" s="55">
        <v>2802</v>
      </c>
      <c r="C56" s="55">
        <v>1099</v>
      </c>
      <c r="D56" s="55">
        <v>71.8</v>
      </c>
      <c r="E56" s="55">
        <f t="shared" si="0"/>
        <v>28.200000000000003</v>
      </c>
      <c r="F56" s="55">
        <v>28.1</v>
      </c>
      <c r="G56" s="56">
        <v>28.110716100000001</v>
      </c>
      <c r="H56" s="57">
        <f t="shared" si="1"/>
        <v>0.31711157727579181</v>
      </c>
      <c r="I56" s="57">
        <f t="shared" si="2"/>
        <v>8.9283900000001637E-2</v>
      </c>
    </row>
    <row r="57" spans="1:9">
      <c r="A57" s="55" t="s">
        <v>87</v>
      </c>
      <c r="B57" s="55">
        <v>1773</v>
      </c>
      <c r="C57" s="55">
        <v>945</v>
      </c>
      <c r="D57" s="55">
        <v>65.2</v>
      </c>
      <c r="E57" s="55">
        <f t="shared" si="0"/>
        <v>34.799999999999997</v>
      </c>
      <c r="F57" s="55">
        <v>34.700000000000003</v>
      </c>
      <c r="G57" s="56">
        <v>34.728794999999998</v>
      </c>
      <c r="H57" s="57">
        <f t="shared" si="1"/>
        <v>0.20482161383639416</v>
      </c>
      <c r="I57" s="57">
        <f t="shared" si="2"/>
        <v>7.1204999999999075E-2</v>
      </c>
    </row>
    <row r="58" spans="1:9">
      <c r="A58" s="55" t="s">
        <v>88</v>
      </c>
      <c r="B58" s="55">
        <v>1437</v>
      </c>
      <c r="C58" s="55">
        <v>460</v>
      </c>
      <c r="D58" s="55">
        <v>75.8</v>
      </c>
      <c r="E58" s="55">
        <f t="shared" si="0"/>
        <v>24.200000000000003</v>
      </c>
      <c r="F58" s="55">
        <v>24.1</v>
      </c>
      <c r="G58" s="56">
        <v>24.1486068</v>
      </c>
      <c r="H58" s="57">
        <f t="shared" si="1"/>
        <v>0.21259433684448276</v>
      </c>
      <c r="I58" s="57">
        <f t="shared" si="2"/>
        <v>5.1393200000003247E-2</v>
      </c>
    </row>
    <row r="59" spans="1:9">
      <c r="A59" s="55" t="s">
        <v>90</v>
      </c>
      <c r="B59" s="55">
        <v>5507</v>
      </c>
      <c r="C59" s="55">
        <v>3180</v>
      </c>
      <c r="D59" s="55">
        <v>63.4</v>
      </c>
      <c r="E59" s="55">
        <f t="shared" si="0"/>
        <v>36.6</v>
      </c>
      <c r="F59" s="55">
        <v>36.6</v>
      </c>
      <c r="G59" s="56">
        <v>36.569800600000001</v>
      </c>
      <c r="H59" s="57">
        <f t="shared" si="1"/>
        <v>8.25460770765057E-2</v>
      </c>
      <c r="I59" s="57">
        <f t="shared" si="2"/>
        <v>3.0199400000000765E-2</v>
      </c>
    </row>
    <row r="60" spans="1:9">
      <c r="A60" s="55" t="s">
        <v>91</v>
      </c>
      <c r="B60" s="55">
        <v>2646</v>
      </c>
      <c r="C60" s="55">
        <v>1998</v>
      </c>
      <c r="D60" s="55">
        <v>57</v>
      </c>
      <c r="E60" s="55">
        <f t="shared" si="0"/>
        <v>43</v>
      </c>
      <c r="F60" s="55">
        <v>43</v>
      </c>
      <c r="G60" s="56">
        <v>43.0036317</v>
      </c>
      <c r="H60" s="57">
        <f t="shared" si="1"/>
        <v>8.4454573096816848E-3</v>
      </c>
      <c r="I60" s="57">
        <f t="shared" si="2"/>
        <v>-3.6316999999996824E-3</v>
      </c>
    </row>
    <row r="61" spans="1:9">
      <c r="A61" s="55" t="s">
        <v>92</v>
      </c>
      <c r="B61" s="55">
        <v>1686</v>
      </c>
      <c r="C61" s="55">
        <v>1242</v>
      </c>
      <c r="D61" s="55">
        <v>57.6</v>
      </c>
      <c r="E61" s="55">
        <f t="shared" si="0"/>
        <v>42.4</v>
      </c>
      <c r="F61" s="55">
        <v>42.2</v>
      </c>
      <c r="G61" s="56">
        <v>42.214765100000001</v>
      </c>
      <c r="H61" s="57">
        <f t="shared" si="1"/>
        <v>0.43783115105521347</v>
      </c>
      <c r="I61" s="57">
        <f t="shared" si="2"/>
        <v>0.18523489999999754</v>
      </c>
    </row>
    <row r="62" spans="1:9">
      <c r="A62" s="55" t="s">
        <v>93</v>
      </c>
      <c r="B62" s="55">
        <v>647</v>
      </c>
      <c r="C62" s="55">
        <v>365</v>
      </c>
      <c r="D62" s="55">
        <v>63.9</v>
      </c>
      <c r="E62" s="55">
        <f t="shared" si="0"/>
        <v>36.1</v>
      </c>
      <c r="F62" s="55">
        <v>35.9</v>
      </c>
      <c r="G62" s="56">
        <v>35.929892899999999</v>
      </c>
      <c r="H62" s="57">
        <f t="shared" si="1"/>
        <v>0.4723236232939137</v>
      </c>
      <c r="I62" s="57">
        <f t="shared" si="2"/>
        <v>0.17010710000000273</v>
      </c>
    </row>
    <row r="63" spans="1:9">
      <c r="A63" s="55" t="s">
        <v>94</v>
      </c>
      <c r="B63" s="55">
        <v>705</v>
      </c>
      <c r="C63" s="55">
        <v>284</v>
      </c>
      <c r="D63" s="55">
        <v>71.3</v>
      </c>
      <c r="E63" s="55">
        <f t="shared" si="0"/>
        <v>28.700000000000003</v>
      </c>
      <c r="F63" s="55">
        <v>28.7</v>
      </c>
      <c r="G63" s="56">
        <v>28.6720322</v>
      </c>
      <c r="H63" s="57">
        <f t="shared" si="1"/>
        <v>9.7496284958170046E-2</v>
      </c>
      <c r="I63" s="57">
        <f t="shared" si="2"/>
        <v>2.7967800000002541E-2</v>
      </c>
    </row>
    <row r="64" spans="1:9">
      <c r="A64" s="55" t="s">
        <v>95</v>
      </c>
      <c r="B64" s="55">
        <v>1739</v>
      </c>
      <c r="C64" s="55">
        <v>1684</v>
      </c>
      <c r="D64" s="55">
        <v>50.8</v>
      </c>
      <c r="E64" s="55">
        <f t="shared" si="0"/>
        <v>49.2</v>
      </c>
      <c r="F64" s="55">
        <v>49.1</v>
      </c>
      <c r="G64" s="56">
        <v>49.117732099999998</v>
      </c>
      <c r="H64" s="57">
        <f t="shared" si="1"/>
        <v>0.16735109373013102</v>
      </c>
      <c r="I64" s="57">
        <f t="shared" si="2"/>
        <v>8.2267900000005056E-2</v>
      </c>
    </row>
    <row r="65" spans="1:9">
      <c r="A65" s="55" t="s">
        <v>96</v>
      </c>
      <c r="B65" s="55">
        <v>2121</v>
      </c>
      <c r="C65" s="55">
        <v>1900</v>
      </c>
      <c r="D65" s="55">
        <v>52.7</v>
      </c>
      <c r="E65" s="55">
        <f t="shared" si="0"/>
        <v>47.3</v>
      </c>
      <c r="F65" s="55">
        <v>47.2</v>
      </c>
      <c r="G65" s="56">
        <v>47.160493799999998</v>
      </c>
      <c r="H65" s="57">
        <f t="shared" si="1"/>
        <v>0.29537469980915892</v>
      </c>
      <c r="I65" s="57">
        <f t="shared" si="2"/>
        <v>0.13950619999999958</v>
      </c>
    </row>
    <row r="66" spans="1:9">
      <c r="A66" s="55" t="s">
        <v>97</v>
      </c>
      <c r="B66" s="55">
        <v>2108</v>
      </c>
      <c r="C66" s="55">
        <v>1326</v>
      </c>
      <c r="D66" s="55">
        <v>61.4</v>
      </c>
      <c r="E66" s="55">
        <f t="shared" si="0"/>
        <v>38.6</v>
      </c>
      <c r="F66" s="55">
        <v>38.700000000000003</v>
      </c>
      <c r="G66" s="56">
        <v>38.686549999999997</v>
      </c>
      <c r="H66" s="57">
        <f t="shared" si="1"/>
        <v>0.22397170012116069</v>
      </c>
      <c r="I66" s="57">
        <f t="shared" si="2"/>
        <v>-8.6549999999995464E-2</v>
      </c>
    </row>
    <row r="67" spans="1:9">
      <c r="A67" s="55" t="s">
        <v>99</v>
      </c>
      <c r="B67" s="55">
        <v>2871</v>
      </c>
      <c r="C67" s="55">
        <v>1704</v>
      </c>
      <c r="D67" s="55">
        <v>62.8</v>
      </c>
      <c r="E67" s="55">
        <f t="shared" si="0"/>
        <v>37.200000000000003</v>
      </c>
      <c r="F67" s="55">
        <v>37.1</v>
      </c>
      <c r="G67" s="56">
        <v>37.102702700000002</v>
      </c>
      <c r="H67" s="57">
        <f t="shared" si="1"/>
        <v>0.26189437655543324</v>
      </c>
      <c r="I67" s="57">
        <f t="shared" si="2"/>
        <v>9.729730000000103E-2</v>
      </c>
    </row>
    <row r="68" spans="1:9">
      <c r="A68" s="55" t="s">
        <v>100</v>
      </c>
      <c r="B68" s="55">
        <v>1397</v>
      </c>
      <c r="C68" s="55">
        <v>784</v>
      </c>
      <c r="D68" s="55">
        <v>64.099999999999994</v>
      </c>
      <c r="E68" s="55">
        <f t="shared" si="0"/>
        <v>35.900000000000006</v>
      </c>
      <c r="F68" s="55">
        <v>35.700000000000003</v>
      </c>
      <c r="G68" s="56">
        <v>35.650224199999997</v>
      </c>
      <c r="H68" s="57">
        <f t="shared" si="1"/>
        <v>0.69818313720953784</v>
      </c>
      <c r="I68" s="57">
        <f t="shared" si="2"/>
        <v>0.24977580000000899</v>
      </c>
    </row>
    <row r="69" spans="1:9">
      <c r="A69" s="55" t="s">
        <v>102</v>
      </c>
      <c r="B69" s="55">
        <v>11875</v>
      </c>
      <c r="C69" s="55">
        <v>14185</v>
      </c>
      <c r="D69" s="55">
        <v>45.6</v>
      </c>
      <c r="E69" s="55">
        <f t="shared" si="0"/>
        <v>54.4</v>
      </c>
      <c r="F69" s="55">
        <v>54.3</v>
      </c>
      <c r="G69" s="56">
        <v>54.324139000000002</v>
      </c>
      <c r="H69" s="57">
        <f t="shared" si="1"/>
        <v>0.1395476675147479</v>
      </c>
      <c r="I69" s="57">
        <f t="shared" si="2"/>
        <v>7.5860999999996181E-2</v>
      </c>
    </row>
    <row r="70" spans="1:9">
      <c r="A70" s="55" t="s">
        <v>468</v>
      </c>
      <c r="B70" s="55">
        <v>1799</v>
      </c>
      <c r="C70" s="55">
        <v>918</v>
      </c>
      <c r="D70" s="55">
        <v>66.2</v>
      </c>
      <c r="E70" s="55">
        <f t="shared" si="0"/>
        <v>33.799999999999997</v>
      </c>
      <c r="F70" s="55">
        <v>33.799999999999997</v>
      </c>
      <c r="G70" s="56">
        <v>33.7605273</v>
      </c>
      <c r="H70" s="57">
        <f t="shared" si="1"/>
        <v>0.11685136744040031</v>
      </c>
      <c r="I70" s="57">
        <f t="shared" si="2"/>
        <v>3.9472699999997474E-2</v>
      </c>
    </row>
    <row r="71" spans="1:9">
      <c r="A71" s="55" t="s">
        <v>104</v>
      </c>
      <c r="B71" s="55">
        <v>2093</v>
      </c>
      <c r="C71" s="55">
        <v>1479</v>
      </c>
      <c r="D71" s="55">
        <v>58.6</v>
      </c>
      <c r="E71" s="55">
        <f t="shared" si="0"/>
        <v>41.4</v>
      </c>
      <c r="F71" s="55">
        <v>41.3</v>
      </c>
      <c r="G71" s="56">
        <v>41.3188648</v>
      </c>
      <c r="H71" s="57">
        <f t="shared" si="1"/>
        <v>0.19617097066351061</v>
      </c>
      <c r="I71" s="57">
        <f t="shared" si="2"/>
        <v>8.113519999999852E-2</v>
      </c>
    </row>
    <row r="72" spans="1:9">
      <c r="A72" s="55" t="s">
        <v>105</v>
      </c>
      <c r="B72" s="55">
        <v>1410</v>
      </c>
      <c r="C72" s="55">
        <v>830</v>
      </c>
      <c r="D72" s="55">
        <v>62.9</v>
      </c>
      <c r="E72" s="55">
        <f t="shared" si="0"/>
        <v>37.1</v>
      </c>
      <c r="F72" s="55">
        <v>37</v>
      </c>
      <c r="G72" s="56">
        <v>36.977777799999998</v>
      </c>
      <c r="H72" s="57">
        <f t="shared" si="1"/>
        <v>0.32998344072897673</v>
      </c>
      <c r="I72" s="57">
        <f t="shared" si="2"/>
        <v>0.12222220000000306</v>
      </c>
    </row>
    <row r="73" spans="1:9">
      <c r="A73" s="55" t="s">
        <v>469</v>
      </c>
      <c r="B73" s="55">
        <v>1095</v>
      </c>
      <c r="C73" s="55">
        <v>1280</v>
      </c>
      <c r="D73" s="55">
        <v>46.1</v>
      </c>
      <c r="E73" s="55">
        <f t="shared" si="0"/>
        <v>53.9</v>
      </c>
      <c r="F73" s="55">
        <v>53.9</v>
      </c>
      <c r="G73" s="56">
        <v>53.868674200000001</v>
      </c>
      <c r="H73" s="57">
        <f t="shared" si="1"/>
        <v>5.8135260979201381E-2</v>
      </c>
      <c r="I73" s="57">
        <f t="shared" si="2"/>
        <v>3.1325799999997628E-2</v>
      </c>
    </row>
    <row r="74" spans="1:9">
      <c r="A74" s="55" t="s">
        <v>470</v>
      </c>
      <c r="B74" s="55">
        <v>1840</v>
      </c>
      <c r="C74" s="55">
        <v>3067</v>
      </c>
      <c r="D74" s="55">
        <v>37.5</v>
      </c>
      <c r="E74" s="55">
        <f t="shared" si="0"/>
        <v>62.5</v>
      </c>
      <c r="F74" s="55">
        <v>62.2</v>
      </c>
      <c r="G74" s="56">
        <v>62.170324100000002</v>
      </c>
      <c r="H74" s="57">
        <f t="shared" si="1"/>
        <v>0.52887630216724213</v>
      </c>
      <c r="I74" s="57">
        <f t="shared" si="2"/>
        <v>0.32967589999999802</v>
      </c>
    </row>
    <row r="75" spans="1:9">
      <c r="A75" s="55" t="s">
        <v>108</v>
      </c>
      <c r="B75" s="55">
        <v>1273</v>
      </c>
      <c r="C75" s="55">
        <v>539</v>
      </c>
      <c r="D75" s="55">
        <v>70.3</v>
      </c>
      <c r="E75" s="55">
        <f t="shared" si="0"/>
        <v>29.700000000000003</v>
      </c>
      <c r="F75" s="55">
        <v>29.6</v>
      </c>
      <c r="G75" s="56">
        <v>29.6316658</v>
      </c>
      <c r="H75" s="57">
        <f t="shared" si="1"/>
        <v>0.23034647377118628</v>
      </c>
      <c r="I75" s="57">
        <f t="shared" si="2"/>
        <v>6.8334200000002454E-2</v>
      </c>
    </row>
    <row r="76" spans="1:9">
      <c r="A76" s="55" t="s">
        <v>110</v>
      </c>
      <c r="B76" s="55">
        <v>2491</v>
      </c>
      <c r="C76" s="55">
        <v>1405</v>
      </c>
      <c r="D76" s="55">
        <v>63.9</v>
      </c>
      <c r="E76" s="55">
        <f t="shared" si="0"/>
        <v>36.1</v>
      </c>
      <c r="F76" s="55">
        <v>36.1</v>
      </c>
      <c r="G76" s="56">
        <v>36.084845399999999</v>
      </c>
      <c r="H76" s="57">
        <f t="shared" si="1"/>
        <v>4.1988314627608693E-2</v>
      </c>
      <c r="I76" s="57">
        <f t="shared" si="2"/>
        <v>1.5154600000002461E-2</v>
      </c>
    </row>
    <row r="77" spans="1:9">
      <c r="A77" s="55" t="s">
        <v>111</v>
      </c>
      <c r="B77" s="55">
        <v>3963</v>
      </c>
      <c r="C77" s="55">
        <v>624</v>
      </c>
      <c r="D77" s="55">
        <v>86.4</v>
      </c>
      <c r="E77" s="55">
        <f t="shared" si="0"/>
        <v>13.599999999999994</v>
      </c>
      <c r="F77" s="55">
        <v>13.6</v>
      </c>
      <c r="G77" s="56">
        <v>13.559688599999999</v>
      </c>
      <c r="H77" s="57">
        <f t="shared" si="1"/>
        <v>0.29684729154070566</v>
      </c>
      <c r="I77" s="57">
        <f t="shared" si="2"/>
        <v>4.031139999999489E-2</v>
      </c>
    </row>
    <row r="78" spans="1:9">
      <c r="A78" s="55" t="s">
        <v>112</v>
      </c>
      <c r="B78" s="55">
        <v>1989</v>
      </c>
      <c r="C78" s="55">
        <v>302</v>
      </c>
      <c r="D78" s="55">
        <v>86.8</v>
      </c>
      <c r="E78" s="55">
        <f t="shared" si="0"/>
        <v>13.200000000000003</v>
      </c>
      <c r="F78" s="55">
        <v>13.1</v>
      </c>
      <c r="G78" s="56">
        <v>13.0962706</v>
      </c>
      <c r="H78" s="57">
        <f t="shared" si="1"/>
        <v>0.78892860191362957</v>
      </c>
      <c r="I78" s="57">
        <f t="shared" si="2"/>
        <v>0.10372940000000241</v>
      </c>
    </row>
    <row r="79" spans="1:9">
      <c r="A79" s="55" t="s">
        <v>113</v>
      </c>
      <c r="B79" s="55">
        <v>885</v>
      </c>
      <c r="C79" s="55">
        <v>343</v>
      </c>
      <c r="D79" s="55">
        <v>72.099999999999994</v>
      </c>
      <c r="E79" s="55">
        <f t="shared" si="0"/>
        <v>27.900000000000006</v>
      </c>
      <c r="F79" s="55">
        <v>27.9</v>
      </c>
      <c r="G79" s="56">
        <v>27.876823300000002</v>
      </c>
      <c r="H79" s="57">
        <f t="shared" si="1"/>
        <v>8.3105127286817154E-2</v>
      </c>
      <c r="I79" s="57">
        <f t="shared" si="2"/>
        <v>2.3176700000004047E-2</v>
      </c>
    </row>
    <row r="80" spans="1:9">
      <c r="A80" s="55" t="s">
        <v>114</v>
      </c>
      <c r="B80" s="55">
        <v>2506</v>
      </c>
      <c r="C80" s="55">
        <v>553</v>
      </c>
      <c r="D80" s="55">
        <v>81.900000000000006</v>
      </c>
      <c r="E80" s="55">
        <f t="shared" si="0"/>
        <v>18.099999999999994</v>
      </c>
      <c r="F80" s="55">
        <v>18</v>
      </c>
      <c r="G80" s="56">
        <v>18.045602599999999</v>
      </c>
      <c r="H80" s="57">
        <f t="shared" si="1"/>
        <v>0.30099041701961066</v>
      </c>
      <c r="I80" s="57">
        <f t="shared" si="2"/>
        <v>5.4397399999995599E-2</v>
      </c>
    </row>
    <row r="81" spans="1:9">
      <c r="A81" s="55" t="s">
        <v>115</v>
      </c>
      <c r="B81" s="55">
        <v>3969</v>
      </c>
      <c r="C81" s="55">
        <v>890</v>
      </c>
      <c r="D81" s="55">
        <v>81.7</v>
      </c>
      <c r="E81" s="55">
        <f t="shared" si="0"/>
        <v>18.299999999999997</v>
      </c>
      <c r="F81" s="55">
        <v>18.2</v>
      </c>
      <c r="G81" s="56">
        <v>18.246832900000001</v>
      </c>
      <c r="H81" s="57">
        <f t="shared" si="1"/>
        <v>0.29095325521351006</v>
      </c>
      <c r="I81" s="57">
        <f t="shared" si="2"/>
        <v>5.3167099999996026E-2</v>
      </c>
    </row>
    <row r="82" spans="1:9">
      <c r="A82" s="55" t="s">
        <v>116</v>
      </c>
      <c r="B82" s="55">
        <v>2323</v>
      </c>
      <c r="C82" s="55">
        <v>1024</v>
      </c>
      <c r="D82" s="55">
        <v>69.400000000000006</v>
      </c>
      <c r="E82" s="55">
        <f t="shared" si="0"/>
        <v>30.599999999999994</v>
      </c>
      <c r="F82" s="55">
        <v>30.9</v>
      </c>
      <c r="G82" s="56">
        <v>30.882787100000002</v>
      </c>
      <c r="H82" s="57">
        <f t="shared" si="1"/>
        <v>0.91989030861617305</v>
      </c>
      <c r="I82" s="57">
        <f t="shared" si="2"/>
        <v>-0.28278710000000729</v>
      </c>
    </row>
    <row r="83" spans="1:9">
      <c r="A83" s="55" t="s">
        <v>117</v>
      </c>
      <c r="B83" s="55">
        <v>1846</v>
      </c>
      <c r="C83" s="55">
        <v>1164</v>
      </c>
      <c r="D83" s="55">
        <v>61.3</v>
      </c>
      <c r="E83" s="55">
        <f t="shared" si="0"/>
        <v>38.700000000000003</v>
      </c>
      <c r="F83" s="55">
        <v>38.700000000000003</v>
      </c>
      <c r="G83" s="56">
        <v>38.688307399999999</v>
      </c>
      <c r="H83" s="57">
        <f t="shared" si="1"/>
        <v>3.0218001640913251E-2</v>
      </c>
      <c r="I83" s="57">
        <f t="shared" si="2"/>
        <v>1.1692600000003495E-2</v>
      </c>
    </row>
    <row r="84" spans="1:9">
      <c r="A84" s="55" t="s">
        <v>118</v>
      </c>
      <c r="B84" s="55">
        <v>4812</v>
      </c>
      <c r="C84" s="55">
        <v>976</v>
      </c>
      <c r="D84" s="55">
        <v>83.1</v>
      </c>
      <c r="E84" s="55">
        <f t="shared" si="0"/>
        <v>16.900000000000006</v>
      </c>
      <c r="F84" s="55">
        <v>16.899999999999999</v>
      </c>
      <c r="G84" s="56">
        <v>16.9468268</v>
      </c>
      <c r="H84" s="57">
        <f t="shared" si="1"/>
        <v>0.27669831666461864</v>
      </c>
      <c r="I84" s="57">
        <f t="shared" si="2"/>
        <v>-4.6826799999994506E-2</v>
      </c>
    </row>
    <row r="85" spans="1:9">
      <c r="A85" s="55" t="s">
        <v>119</v>
      </c>
      <c r="B85" s="55">
        <v>1451</v>
      </c>
      <c r="C85" s="55">
        <v>241</v>
      </c>
      <c r="D85" s="55">
        <v>85.8</v>
      </c>
      <c r="E85" s="55">
        <f t="shared" si="0"/>
        <v>14.200000000000003</v>
      </c>
      <c r="F85" s="55">
        <v>14.2</v>
      </c>
      <c r="G85" s="56">
        <v>14.2182891</v>
      </c>
      <c r="H85" s="57">
        <f t="shared" si="1"/>
        <v>0.12871358958760784</v>
      </c>
      <c r="I85" s="57">
        <f t="shared" si="2"/>
        <v>-1.8289099999996949E-2</v>
      </c>
    </row>
    <row r="86" spans="1:9">
      <c r="A86" s="55" t="s">
        <v>120</v>
      </c>
      <c r="B86" s="55">
        <v>648</v>
      </c>
      <c r="C86" s="55">
        <v>372</v>
      </c>
      <c r="D86" s="55">
        <v>63.5</v>
      </c>
      <c r="E86" s="55">
        <f t="shared" si="0"/>
        <v>36.5</v>
      </c>
      <c r="F86" s="55">
        <v>36.5</v>
      </c>
      <c r="G86" s="56">
        <v>36.532811000000002</v>
      </c>
      <c r="H86" s="57">
        <f t="shared" si="1"/>
        <v>8.9852764944245017E-2</v>
      </c>
      <c r="I86" s="57">
        <f t="shared" si="2"/>
        <v>-3.2811000000002366E-2</v>
      </c>
    </row>
    <row r="87" spans="1:9">
      <c r="A87" s="55" t="s">
        <v>122</v>
      </c>
      <c r="B87" s="55">
        <v>3443</v>
      </c>
      <c r="C87" s="55">
        <v>2606</v>
      </c>
      <c r="D87" s="55">
        <v>56.9</v>
      </c>
      <c r="E87" s="55">
        <f t="shared" si="0"/>
        <v>43.1</v>
      </c>
      <c r="F87" s="55">
        <v>43.1</v>
      </c>
      <c r="G87" s="56">
        <v>43.132094100000003</v>
      </c>
      <c r="H87" s="57">
        <f t="shared" si="1"/>
        <v>7.4436554823274076E-2</v>
      </c>
      <c r="I87" s="57">
        <f t="shared" si="2"/>
        <v>-3.2094100000001902E-2</v>
      </c>
    </row>
    <row r="88" spans="1:9">
      <c r="A88" s="55" t="s">
        <v>123</v>
      </c>
      <c r="B88" s="55">
        <v>3684</v>
      </c>
      <c r="C88" s="55">
        <v>2755</v>
      </c>
      <c r="D88" s="55">
        <v>57.2</v>
      </c>
      <c r="E88" s="55">
        <f t="shared" si="0"/>
        <v>42.8</v>
      </c>
      <c r="F88" s="55">
        <v>42.8</v>
      </c>
      <c r="G88" s="56">
        <v>42.821972600000002</v>
      </c>
      <c r="H88" s="57">
        <f t="shared" si="1"/>
        <v>5.1324675974599353E-2</v>
      </c>
      <c r="I88" s="57">
        <f t="shared" si="2"/>
        <v>-2.1972600000005116E-2</v>
      </c>
    </row>
    <row r="89" spans="1:9">
      <c r="A89" s="55" t="s">
        <v>124</v>
      </c>
      <c r="B89" s="55">
        <v>815</v>
      </c>
      <c r="C89" s="55">
        <v>1480</v>
      </c>
      <c r="D89" s="55">
        <v>35.5</v>
      </c>
      <c r="E89" s="55">
        <f t="shared" si="0"/>
        <v>64.5</v>
      </c>
      <c r="F89" s="55">
        <v>64.5</v>
      </c>
      <c r="G89" s="56">
        <v>64.514731400000002</v>
      </c>
      <c r="H89" s="57">
        <f t="shared" si="1"/>
        <v>2.2836771956419047E-2</v>
      </c>
      <c r="I89" s="57">
        <f t="shared" si="2"/>
        <v>-1.4731400000002282E-2</v>
      </c>
    </row>
    <row r="90" spans="1:9">
      <c r="A90" s="55" t="s">
        <v>125</v>
      </c>
      <c r="B90" s="55">
        <v>4178</v>
      </c>
      <c r="C90" s="55">
        <v>4907</v>
      </c>
      <c r="D90" s="55">
        <v>46</v>
      </c>
      <c r="E90" s="55">
        <f t="shared" si="0"/>
        <v>54</v>
      </c>
      <c r="F90" s="55">
        <v>54.3</v>
      </c>
      <c r="G90" s="56">
        <v>54.272117700000003</v>
      </c>
      <c r="H90" s="57">
        <f t="shared" si="1"/>
        <v>0.50265517250523417</v>
      </c>
      <c r="I90" s="57">
        <f t="shared" si="2"/>
        <v>-0.27211770000000257</v>
      </c>
    </row>
    <row r="91" spans="1:9">
      <c r="A91" s="55" t="s">
        <v>126</v>
      </c>
      <c r="B91" s="55">
        <v>9505</v>
      </c>
      <c r="C91" s="55">
        <v>3981</v>
      </c>
      <c r="D91" s="55">
        <v>70.5</v>
      </c>
      <c r="E91" s="55">
        <f t="shared" si="0"/>
        <v>29.5</v>
      </c>
      <c r="F91" s="55">
        <v>29.5</v>
      </c>
      <c r="G91" s="56">
        <v>29.52779</v>
      </c>
      <c r="H91" s="57">
        <f t="shared" si="1"/>
        <v>9.4159039327067942E-2</v>
      </c>
      <c r="I91" s="57">
        <f t="shared" si="2"/>
        <v>-2.7789999999999537E-2</v>
      </c>
    </row>
    <row r="92" spans="1:9">
      <c r="A92" s="55" t="s">
        <v>128</v>
      </c>
      <c r="B92" s="55">
        <v>6165</v>
      </c>
      <c r="C92" s="55">
        <v>4292</v>
      </c>
      <c r="D92" s="55">
        <v>59</v>
      </c>
      <c r="E92" s="55">
        <f t="shared" si="0"/>
        <v>41</v>
      </c>
      <c r="F92" s="55">
        <v>41</v>
      </c>
      <c r="G92" s="56">
        <v>40.454995099999998</v>
      </c>
      <c r="H92" s="57">
        <f t="shared" si="1"/>
        <v>1.3381742871162536</v>
      </c>
      <c r="I92" s="57">
        <f t="shared" si="2"/>
        <v>0.54500490000000212</v>
      </c>
    </row>
    <row r="93" spans="1:9">
      <c r="A93" s="55" t="s">
        <v>129</v>
      </c>
      <c r="B93" s="55">
        <v>5066</v>
      </c>
      <c r="C93" s="55">
        <v>2642</v>
      </c>
      <c r="D93" s="55">
        <v>65.7</v>
      </c>
      <c r="E93" s="55">
        <f t="shared" si="0"/>
        <v>34.299999999999997</v>
      </c>
      <c r="F93" s="55">
        <v>34.1</v>
      </c>
      <c r="G93" s="56">
        <v>34.132199499999999</v>
      </c>
      <c r="H93" s="57">
        <f t="shared" si="1"/>
        <v>0.49041387307739093</v>
      </c>
      <c r="I93" s="57">
        <f t="shared" si="2"/>
        <v>0.16780049999999846</v>
      </c>
    </row>
    <row r="94" spans="1:9">
      <c r="A94" s="55" t="s">
        <v>130</v>
      </c>
      <c r="B94" s="55">
        <v>3096</v>
      </c>
      <c r="C94" s="55">
        <v>2922</v>
      </c>
      <c r="D94" s="55">
        <v>51.4</v>
      </c>
      <c r="E94" s="55">
        <f t="shared" si="0"/>
        <v>48.6</v>
      </c>
      <c r="F94" s="55">
        <v>48.4</v>
      </c>
      <c r="G94" s="56">
        <v>48.399867999999998</v>
      </c>
      <c r="H94" s="57">
        <f t="shared" si="1"/>
        <v>0.41264386050505458</v>
      </c>
      <c r="I94" s="57">
        <f t="shared" si="2"/>
        <v>0.20013200000000353</v>
      </c>
    </row>
    <row r="95" spans="1:9">
      <c r="A95" s="55" t="s">
        <v>131</v>
      </c>
      <c r="B95" s="55">
        <v>2071</v>
      </c>
      <c r="C95" s="55">
        <v>814</v>
      </c>
      <c r="D95" s="55">
        <v>71.8</v>
      </c>
      <c r="E95" s="55">
        <f t="shared" si="0"/>
        <v>28.200000000000003</v>
      </c>
      <c r="F95" s="55">
        <v>28.2</v>
      </c>
      <c r="G95" s="56">
        <v>27.555366299999999</v>
      </c>
      <c r="H95" s="57">
        <f t="shared" si="1"/>
        <v>2.3123646844375711</v>
      </c>
      <c r="I95" s="57">
        <f t="shared" si="2"/>
        <v>0.64463370000000353</v>
      </c>
    </row>
    <row r="96" spans="1:9">
      <c r="A96" s="55" t="s">
        <v>471</v>
      </c>
      <c r="B96" s="55">
        <v>7375</v>
      </c>
      <c r="C96" s="55">
        <v>1968</v>
      </c>
      <c r="D96" s="55">
        <v>78.900000000000006</v>
      </c>
      <c r="E96" s="55">
        <f t="shared" si="0"/>
        <v>21.099999999999994</v>
      </c>
      <c r="F96" s="55">
        <v>21</v>
      </c>
      <c r="G96" s="56">
        <v>20.987261100000001</v>
      </c>
      <c r="H96" s="57">
        <f t="shared" si="1"/>
        <v>0.53573882953382779</v>
      </c>
      <c r="I96" s="57">
        <f t="shared" si="2"/>
        <v>0.11273889999999298</v>
      </c>
    </row>
    <row r="97" spans="1:9">
      <c r="A97" s="55" t="s">
        <v>134</v>
      </c>
      <c r="B97" s="55">
        <v>2073</v>
      </c>
      <c r="C97" s="55">
        <v>1153</v>
      </c>
      <c r="D97" s="55">
        <v>64.3</v>
      </c>
      <c r="E97" s="55">
        <f t="shared" si="0"/>
        <v>35.700000000000003</v>
      </c>
      <c r="F97" s="55">
        <v>35.700000000000003</v>
      </c>
      <c r="G97" s="56">
        <v>35.734071999999998</v>
      </c>
      <c r="H97" s="57">
        <f t="shared" si="1"/>
        <v>9.5394253879282631E-2</v>
      </c>
      <c r="I97" s="57">
        <f t="shared" si="2"/>
        <v>-3.4071999999994773E-2</v>
      </c>
    </row>
    <row r="98" spans="1:9">
      <c r="A98" s="55" t="s">
        <v>135</v>
      </c>
      <c r="B98" s="55">
        <v>2242</v>
      </c>
      <c r="C98" s="55">
        <v>566</v>
      </c>
      <c r="D98" s="55">
        <v>79.8</v>
      </c>
      <c r="E98" s="55">
        <f t="shared" si="0"/>
        <v>20.200000000000003</v>
      </c>
      <c r="F98" s="55">
        <v>20.2</v>
      </c>
      <c r="G98" s="56">
        <v>20.226709199999998</v>
      </c>
      <c r="H98" s="57">
        <f t="shared" si="1"/>
        <v>0.13213640451345737</v>
      </c>
      <c r="I98" s="57">
        <f t="shared" si="2"/>
        <v>-2.6709199999995548E-2</v>
      </c>
    </row>
    <row r="99" spans="1:9">
      <c r="A99" s="55" t="s">
        <v>136</v>
      </c>
      <c r="B99" s="55">
        <v>2759</v>
      </c>
      <c r="C99" s="55">
        <v>1026</v>
      </c>
      <c r="D99" s="55">
        <v>72.900000000000006</v>
      </c>
      <c r="E99" s="55">
        <f t="shared" si="0"/>
        <v>27.099999999999994</v>
      </c>
      <c r="F99" s="55">
        <v>27</v>
      </c>
      <c r="G99" s="56">
        <v>27.018552400000001</v>
      </c>
      <c r="H99" s="57">
        <f t="shared" si="1"/>
        <v>0.30099696458249509</v>
      </c>
      <c r="I99" s="57">
        <f t="shared" si="2"/>
        <v>8.1447599999993514E-2</v>
      </c>
    </row>
    <row r="100" spans="1:9">
      <c r="A100" s="55" t="s">
        <v>137</v>
      </c>
      <c r="B100" s="55">
        <v>3381</v>
      </c>
      <c r="C100" s="55">
        <v>4069</v>
      </c>
      <c r="D100" s="55">
        <v>45.4</v>
      </c>
      <c r="E100" s="55">
        <f t="shared" si="0"/>
        <v>54.6</v>
      </c>
      <c r="F100" s="55">
        <v>54.6</v>
      </c>
      <c r="G100" s="56">
        <v>54.555155399999997</v>
      </c>
      <c r="H100" s="57">
        <f t="shared" si="1"/>
        <v>8.2166710011398469E-2</v>
      </c>
      <c r="I100" s="57">
        <f t="shared" si="2"/>
        <v>4.4844600000004675E-2</v>
      </c>
    </row>
    <row r="101" spans="1:9">
      <c r="A101" s="55" t="s">
        <v>138</v>
      </c>
      <c r="B101" s="55">
        <v>2267</v>
      </c>
      <c r="C101" s="55">
        <v>897</v>
      </c>
      <c r="D101" s="55">
        <v>71.599999999999994</v>
      </c>
      <c r="E101" s="55">
        <f t="shared" si="0"/>
        <v>28.400000000000006</v>
      </c>
      <c r="F101" s="55">
        <v>28.3</v>
      </c>
      <c r="G101" s="56">
        <v>28.3125</v>
      </c>
      <c r="H101" s="57">
        <f t="shared" si="1"/>
        <v>0.30857394754244893</v>
      </c>
      <c r="I101" s="57">
        <f t="shared" si="2"/>
        <v>8.7500000000005684E-2</v>
      </c>
    </row>
    <row r="102" spans="1:9">
      <c r="A102" s="55" t="s">
        <v>139</v>
      </c>
      <c r="B102" s="55">
        <v>638</v>
      </c>
      <c r="C102" s="55">
        <v>625</v>
      </c>
      <c r="D102" s="55">
        <v>50.5</v>
      </c>
      <c r="E102" s="55">
        <f t="shared" si="0"/>
        <v>49.5</v>
      </c>
      <c r="F102" s="55">
        <v>49.5</v>
      </c>
      <c r="G102" s="56">
        <v>49.528301900000002</v>
      </c>
      <c r="H102" s="57">
        <f t="shared" si="1"/>
        <v>5.7159215006194974E-2</v>
      </c>
      <c r="I102" s="57">
        <f t="shared" si="2"/>
        <v>-2.8301900000002433E-2</v>
      </c>
    </row>
    <row r="103" spans="1:9">
      <c r="A103" s="55" t="s">
        <v>141</v>
      </c>
      <c r="B103" s="55">
        <v>3625</v>
      </c>
      <c r="C103" s="55">
        <v>3333</v>
      </c>
      <c r="D103" s="55">
        <v>52.1</v>
      </c>
      <c r="E103" s="55">
        <f t="shared" si="0"/>
        <v>47.9</v>
      </c>
      <c r="F103" s="55">
        <v>47.9</v>
      </c>
      <c r="G103" s="56">
        <v>47.941681000000003</v>
      </c>
      <c r="H103" s="57">
        <f t="shared" si="1"/>
        <v>8.69788583946145E-2</v>
      </c>
      <c r="I103" s="57">
        <f t="shared" si="2"/>
        <v>-4.1681000000004076E-2</v>
      </c>
    </row>
    <row r="104" spans="1:9">
      <c r="A104" s="55" t="s">
        <v>142</v>
      </c>
      <c r="B104" s="55">
        <v>2759</v>
      </c>
      <c r="C104" s="55">
        <v>2594</v>
      </c>
      <c r="D104" s="55">
        <v>51.5</v>
      </c>
      <c r="E104" s="55">
        <f t="shared" si="0"/>
        <v>48.5</v>
      </c>
      <c r="F104" s="55">
        <v>48.4</v>
      </c>
      <c r="G104" s="56">
        <v>48.438661699999997</v>
      </c>
      <c r="H104" s="57">
        <f t="shared" si="1"/>
        <v>0.12655074647064729</v>
      </c>
      <c r="I104" s="57">
        <f t="shared" si="2"/>
        <v>6.1338300000002732E-2</v>
      </c>
    </row>
    <row r="105" spans="1:9">
      <c r="A105" s="55" t="s">
        <v>144</v>
      </c>
      <c r="B105" s="55">
        <v>569</v>
      </c>
      <c r="C105" s="55">
        <v>1678</v>
      </c>
      <c r="D105" s="55">
        <v>25.3</v>
      </c>
      <c r="E105" s="55">
        <f t="shared" si="0"/>
        <v>74.7</v>
      </c>
      <c r="F105" s="55">
        <v>74.599999999999994</v>
      </c>
      <c r="G105" s="56">
        <v>74.625550700000005</v>
      </c>
      <c r="H105" s="57">
        <f t="shared" si="1"/>
        <v>9.97140806124584E-2</v>
      </c>
      <c r="I105" s="57">
        <f t="shared" si="2"/>
        <v>7.444929999999772E-2</v>
      </c>
    </row>
    <row r="106" spans="1:9">
      <c r="A106" s="55" t="s">
        <v>145</v>
      </c>
      <c r="B106" s="55">
        <v>450</v>
      </c>
      <c r="C106" s="55">
        <v>1551</v>
      </c>
      <c r="D106" s="55">
        <v>22.5</v>
      </c>
      <c r="E106" s="55">
        <f t="shared" si="0"/>
        <v>77.5</v>
      </c>
      <c r="F106" s="55">
        <v>77.599999999999994</v>
      </c>
      <c r="G106" s="56">
        <v>77.556109699999993</v>
      </c>
      <c r="H106" s="57">
        <f t="shared" si="1"/>
        <v>7.2373413867474673E-2</v>
      </c>
      <c r="I106" s="57">
        <f t="shared" si="2"/>
        <v>-5.6109699999993268E-2</v>
      </c>
    </row>
    <row r="107" spans="1:9">
      <c r="A107" s="55" t="s">
        <v>147</v>
      </c>
      <c r="B107" s="55">
        <v>3031</v>
      </c>
      <c r="C107" s="55">
        <v>490</v>
      </c>
      <c r="D107" s="55">
        <v>86.1</v>
      </c>
      <c r="E107" s="55">
        <f t="shared" si="0"/>
        <v>13.900000000000006</v>
      </c>
      <c r="F107" s="55">
        <v>13.9</v>
      </c>
      <c r="G107" s="56">
        <v>13.943662</v>
      </c>
      <c r="H107" s="57">
        <f t="shared" si="1"/>
        <v>0.31362254002360818</v>
      </c>
      <c r="I107" s="57">
        <f t="shared" si="2"/>
        <v>-4.3661999999994094E-2</v>
      </c>
    </row>
    <row r="108" spans="1:9">
      <c r="A108" s="55" t="s">
        <v>148</v>
      </c>
      <c r="B108" s="55">
        <v>743</v>
      </c>
      <c r="C108" s="55">
        <v>226</v>
      </c>
      <c r="D108" s="55">
        <v>76.7</v>
      </c>
      <c r="E108" s="55">
        <f t="shared" si="0"/>
        <v>23.299999999999997</v>
      </c>
      <c r="F108" s="55">
        <v>23.3</v>
      </c>
      <c r="G108" s="56">
        <v>23.319755600000001</v>
      </c>
      <c r="H108" s="57">
        <f t="shared" si="1"/>
        <v>8.4752053054535648E-2</v>
      </c>
      <c r="I108" s="57">
        <f t="shared" si="2"/>
        <v>-1.9755600000003426E-2</v>
      </c>
    </row>
    <row r="109" spans="1:9">
      <c r="A109" s="55" t="s">
        <v>150</v>
      </c>
      <c r="B109" s="55">
        <v>2118</v>
      </c>
      <c r="C109" s="55">
        <v>2990</v>
      </c>
      <c r="D109" s="55">
        <v>41.5</v>
      </c>
      <c r="E109" s="55">
        <f t="shared" si="0"/>
        <v>58.5</v>
      </c>
      <c r="F109" s="55">
        <v>58.5</v>
      </c>
      <c r="G109" s="56">
        <v>58.514774500000001</v>
      </c>
      <c r="H109" s="57">
        <f t="shared" si="1"/>
        <v>2.5252366742802155E-2</v>
      </c>
      <c r="I109" s="57">
        <f t="shared" si="2"/>
        <v>-1.4774500000001467E-2</v>
      </c>
    </row>
    <row r="110" spans="1:9">
      <c r="A110" s="55" t="s">
        <v>151</v>
      </c>
      <c r="B110" s="55">
        <v>1969</v>
      </c>
      <c r="C110" s="55">
        <v>491</v>
      </c>
      <c r="D110" s="55">
        <v>80</v>
      </c>
      <c r="E110" s="55">
        <f t="shared" si="0"/>
        <v>20</v>
      </c>
      <c r="F110" s="55">
        <v>19.899999999999999</v>
      </c>
      <c r="G110" s="56">
        <v>19.902715799999999</v>
      </c>
      <c r="H110" s="57">
        <f t="shared" si="1"/>
        <v>0.48760691120678412</v>
      </c>
      <c r="I110" s="57">
        <f t="shared" si="2"/>
        <v>9.7284200000000709E-2</v>
      </c>
    </row>
    <row r="111" spans="1:9">
      <c r="A111" s="55" t="s">
        <v>152</v>
      </c>
      <c r="B111" s="55">
        <v>1092</v>
      </c>
      <c r="C111" s="55">
        <v>197</v>
      </c>
      <c r="D111" s="55">
        <v>84.7</v>
      </c>
      <c r="E111" s="55">
        <f t="shared" si="0"/>
        <v>15.299999999999997</v>
      </c>
      <c r="F111" s="55">
        <v>15.3</v>
      </c>
      <c r="G111" s="56">
        <v>15.289575299999999</v>
      </c>
      <c r="H111" s="57">
        <f t="shared" si="1"/>
        <v>6.8158514119664532E-2</v>
      </c>
      <c r="I111" s="57">
        <f t="shared" si="2"/>
        <v>1.0424699999997955E-2</v>
      </c>
    </row>
    <row r="112" spans="1:9">
      <c r="A112" s="55" t="s">
        <v>472</v>
      </c>
      <c r="B112" s="55">
        <v>2369</v>
      </c>
      <c r="C112" s="55">
        <v>440</v>
      </c>
      <c r="D112" s="55">
        <v>84.3</v>
      </c>
      <c r="E112" s="55">
        <f t="shared" si="0"/>
        <v>15.700000000000003</v>
      </c>
      <c r="F112" s="55">
        <v>15.7</v>
      </c>
      <c r="G112" s="56">
        <v>15.7001414</v>
      </c>
      <c r="H112" s="57">
        <f t="shared" si="1"/>
        <v>9.0063288693884404E-4</v>
      </c>
      <c r="I112" s="57">
        <f t="shared" si="2"/>
        <v>-1.413999999968496E-4</v>
      </c>
    </row>
    <row r="113" spans="1:9">
      <c r="A113" s="55" t="s">
        <v>155</v>
      </c>
      <c r="B113" s="55">
        <v>1330</v>
      </c>
      <c r="C113" s="55">
        <v>1086</v>
      </c>
      <c r="D113" s="55">
        <v>55</v>
      </c>
      <c r="E113" s="55">
        <f t="shared" si="0"/>
        <v>45</v>
      </c>
      <c r="F113" s="55">
        <v>44.9</v>
      </c>
      <c r="G113" s="56">
        <v>44.8744339</v>
      </c>
      <c r="H113" s="57">
        <f t="shared" si="1"/>
        <v>0.27942562651290392</v>
      </c>
      <c r="I113" s="57">
        <f t="shared" si="2"/>
        <v>0.12556610000000035</v>
      </c>
    </row>
    <row r="114" spans="1:9">
      <c r="A114" s="55" t="s">
        <v>156</v>
      </c>
      <c r="B114" s="55">
        <v>730</v>
      </c>
      <c r="C114" s="55">
        <v>35</v>
      </c>
      <c r="D114" s="55">
        <v>95.4</v>
      </c>
      <c r="E114" s="55">
        <f t="shared" si="0"/>
        <v>4.5999999999999943</v>
      </c>
      <c r="F114" s="55">
        <v>4.5999999999999996</v>
      </c>
      <c r="G114" s="56">
        <v>4.5513653999999999</v>
      </c>
      <c r="H114" s="57">
        <f t="shared" si="1"/>
        <v>1.0628927569648667</v>
      </c>
      <c r="I114" s="57">
        <f t="shared" si="2"/>
        <v>4.8634599999994421E-2</v>
      </c>
    </row>
    <row r="115" spans="1:9">
      <c r="A115" s="55" t="s">
        <v>158</v>
      </c>
      <c r="B115" s="55">
        <v>742</v>
      </c>
      <c r="C115" s="55">
        <v>1073</v>
      </c>
      <c r="D115" s="55">
        <v>40.9</v>
      </c>
      <c r="E115" s="55">
        <f t="shared" si="0"/>
        <v>59.1</v>
      </c>
      <c r="F115" s="55">
        <v>59</v>
      </c>
      <c r="G115" s="56">
        <v>59.016393399999998</v>
      </c>
      <c r="H115" s="57">
        <f t="shared" si="1"/>
        <v>0.14156646269560597</v>
      </c>
      <c r="I115" s="57">
        <f t="shared" si="2"/>
        <v>8.3606600000003084E-2</v>
      </c>
    </row>
    <row r="116" spans="1:9">
      <c r="A116" s="55" t="s">
        <v>159</v>
      </c>
      <c r="B116" s="55">
        <v>321</v>
      </c>
      <c r="C116" s="55">
        <v>414</v>
      </c>
      <c r="D116" s="55">
        <v>43.7</v>
      </c>
      <c r="E116" s="55">
        <f t="shared" si="0"/>
        <v>56.3</v>
      </c>
      <c r="F116" s="55">
        <v>56.4</v>
      </c>
      <c r="G116" s="56">
        <v>56.385869599999999</v>
      </c>
      <c r="H116" s="57">
        <f t="shared" si="1"/>
        <v>0.15240526661384052</v>
      </c>
      <c r="I116" s="57">
        <f t="shared" si="2"/>
        <v>-8.5869600000002322E-2</v>
      </c>
    </row>
    <row r="117" spans="1:9">
      <c r="A117" s="55" t="s">
        <v>160</v>
      </c>
      <c r="B117" s="55">
        <v>6634</v>
      </c>
      <c r="C117" s="55">
        <v>10139</v>
      </c>
      <c r="D117" s="55">
        <v>39.6</v>
      </c>
      <c r="E117" s="55">
        <f t="shared" si="0"/>
        <v>60.4</v>
      </c>
      <c r="F117" s="55">
        <v>60.4</v>
      </c>
      <c r="G117" s="56">
        <v>60.384231200000002</v>
      </c>
      <c r="H117" s="57">
        <f t="shared" si="1"/>
        <v>2.6110693164715818E-2</v>
      </c>
      <c r="I117" s="57">
        <f t="shared" si="2"/>
        <v>1.5768799999996475E-2</v>
      </c>
    </row>
    <row r="118" spans="1:9">
      <c r="A118" s="55" t="s">
        <v>161</v>
      </c>
      <c r="B118" s="55">
        <v>2490</v>
      </c>
      <c r="C118" s="55">
        <v>1669</v>
      </c>
      <c r="D118" s="55">
        <v>59.9</v>
      </c>
      <c r="E118" s="55">
        <f t="shared" si="0"/>
        <v>40.1</v>
      </c>
      <c r="F118" s="55">
        <v>39.9</v>
      </c>
      <c r="G118" s="56">
        <v>39.904988099999997</v>
      </c>
      <c r="H118" s="57">
        <f t="shared" si="1"/>
        <v>0.4874993538059269</v>
      </c>
      <c r="I118" s="57">
        <f t="shared" si="2"/>
        <v>0.19501190000000435</v>
      </c>
    </row>
    <row r="119" spans="1:9">
      <c r="A119" s="55" t="s">
        <v>162</v>
      </c>
      <c r="B119" s="55">
        <v>22840</v>
      </c>
      <c r="C119" s="55">
        <v>153456</v>
      </c>
      <c r="D119" s="55">
        <v>13</v>
      </c>
      <c r="E119" s="55">
        <f t="shared" si="0"/>
        <v>87</v>
      </c>
      <c r="F119" s="55">
        <v>87</v>
      </c>
      <c r="G119" s="56">
        <v>86.964414599999998</v>
      </c>
      <c r="H119" s="57">
        <f t="shared" si="1"/>
        <v>4.0911125510150408E-2</v>
      </c>
      <c r="I119" s="57">
        <f t="shared" si="2"/>
        <v>3.558540000000221E-2</v>
      </c>
    </row>
    <row r="120" spans="1:9">
      <c r="A120" s="55" t="s">
        <v>165</v>
      </c>
      <c r="B120" s="55">
        <v>3516</v>
      </c>
      <c r="C120" s="55">
        <v>2897</v>
      </c>
      <c r="D120" s="55">
        <v>54.8</v>
      </c>
      <c r="E120" s="55">
        <f t="shared" si="0"/>
        <v>45.2</v>
      </c>
      <c r="F120" s="55">
        <v>45.1</v>
      </c>
      <c r="G120" s="56">
        <v>45.083859099999998</v>
      </c>
      <c r="H120" s="57">
        <f t="shared" si="1"/>
        <v>0.25727943213274734</v>
      </c>
      <c r="I120" s="57">
        <f t="shared" si="2"/>
        <v>0.11614090000000488</v>
      </c>
    </row>
    <row r="121" spans="1:9">
      <c r="A121" s="55" t="s">
        <v>166</v>
      </c>
      <c r="B121" s="55">
        <v>908</v>
      </c>
      <c r="C121" s="55">
        <v>619</v>
      </c>
      <c r="D121" s="55">
        <v>59.5</v>
      </c>
      <c r="E121" s="55">
        <f t="shared" si="0"/>
        <v>40.5</v>
      </c>
      <c r="F121" s="55">
        <v>40.5</v>
      </c>
      <c r="G121" s="56">
        <v>40.533506799999998</v>
      </c>
      <c r="H121" s="57">
        <f t="shared" si="1"/>
        <v>8.2698630043733568E-2</v>
      </c>
      <c r="I121" s="57">
        <f t="shared" si="2"/>
        <v>-3.3506799999997838E-2</v>
      </c>
    </row>
    <row r="122" spans="1:9">
      <c r="A122" s="55" t="s">
        <v>167</v>
      </c>
      <c r="B122" s="55">
        <v>675</v>
      </c>
      <c r="C122" s="55">
        <v>750</v>
      </c>
      <c r="D122" s="55">
        <v>47.4</v>
      </c>
      <c r="E122" s="55">
        <f t="shared" si="0"/>
        <v>52.6</v>
      </c>
      <c r="F122" s="55">
        <v>52.5</v>
      </c>
      <c r="G122" s="56">
        <v>52.510460299999998</v>
      </c>
      <c r="H122" s="57">
        <f t="shared" si="1"/>
        <v>0.17037257708594225</v>
      </c>
      <c r="I122" s="57">
        <f t="shared" si="2"/>
        <v>8.9539700000003108E-2</v>
      </c>
    </row>
    <row r="123" spans="1:9">
      <c r="A123" s="55" t="s">
        <v>473</v>
      </c>
      <c r="B123" s="55">
        <v>6159</v>
      </c>
      <c r="C123" s="55">
        <v>1112</v>
      </c>
      <c r="D123" s="55">
        <v>84.7</v>
      </c>
      <c r="E123" s="55">
        <f t="shared" si="0"/>
        <v>15.299999999999997</v>
      </c>
      <c r="F123" s="55">
        <v>15.4</v>
      </c>
      <c r="G123" s="56">
        <v>15.366816399999999</v>
      </c>
      <c r="H123" s="57">
        <f t="shared" si="1"/>
        <v>0.43575700280386609</v>
      </c>
      <c r="I123" s="57">
        <f t="shared" si="2"/>
        <v>-6.6816400000002218E-2</v>
      </c>
    </row>
    <row r="124" spans="1:9">
      <c r="A124" s="55" t="s">
        <v>169</v>
      </c>
      <c r="B124" s="55">
        <v>2723</v>
      </c>
      <c r="C124" s="55">
        <v>1176</v>
      </c>
      <c r="D124" s="55">
        <v>69.8</v>
      </c>
      <c r="E124" s="55">
        <f t="shared" si="0"/>
        <v>30.200000000000003</v>
      </c>
      <c r="F124" s="55">
        <v>30</v>
      </c>
      <c r="G124" s="56">
        <v>30.005081300000001</v>
      </c>
      <c r="H124" s="57">
        <f t="shared" si="1"/>
        <v>0.64751577704456087</v>
      </c>
      <c r="I124" s="57">
        <f t="shared" si="2"/>
        <v>0.19491870000000233</v>
      </c>
    </row>
    <row r="125" spans="1:9">
      <c r="A125" s="55" t="s">
        <v>170</v>
      </c>
      <c r="B125" s="55">
        <v>3523</v>
      </c>
      <c r="C125" s="55">
        <v>1338</v>
      </c>
      <c r="D125" s="55">
        <v>72.5</v>
      </c>
      <c r="E125" s="55">
        <f t="shared" si="0"/>
        <v>27.5</v>
      </c>
      <c r="F125" s="55">
        <v>27.4</v>
      </c>
      <c r="G125" s="56">
        <v>27.398374</v>
      </c>
      <c r="H125" s="57">
        <f t="shared" si="1"/>
        <v>0.37023318759859647</v>
      </c>
      <c r="I125" s="57">
        <f t="shared" si="2"/>
        <v>0.10162599999999955</v>
      </c>
    </row>
    <row r="126" spans="1:9">
      <c r="A126" s="55" t="s">
        <v>172</v>
      </c>
      <c r="B126" s="55">
        <v>1387</v>
      </c>
      <c r="C126" s="55">
        <v>1176</v>
      </c>
      <c r="D126" s="55">
        <v>54.1</v>
      </c>
      <c r="E126" s="55">
        <f t="shared" si="0"/>
        <v>45.9</v>
      </c>
      <c r="F126" s="55">
        <v>46</v>
      </c>
      <c r="G126" s="56">
        <v>45.969918999999997</v>
      </c>
      <c r="H126" s="57">
        <f t="shared" si="1"/>
        <v>0.15221304374938815</v>
      </c>
      <c r="I126" s="57">
        <f t="shared" si="2"/>
        <v>-6.9918999999998732E-2</v>
      </c>
    </row>
    <row r="127" spans="1:9">
      <c r="A127" s="55" t="s">
        <v>173</v>
      </c>
      <c r="B127" s="55">
        <v>2049</v>
      </c>
      <c r="C127" s="55">
        <v>528</v>
      </c>
      <c r="D127" s="55">
        <v>79.5</v>
      </c>
      <c r="E127" s="55">
        <f t="shared" si="0"/>
        <v>20.5</v>
      </c>
      <c r="F127" s="55">
        <v>20.6</v>
      </c>
      <c r="G127" s="56">
        <v>20.561456799999998</v>
      </c>
      <c r="H127" s="57">
        <f t="shared" si="1"/>
        <v>0.29934057283617088</v>
      </c>
      <c r="I127" s="57">
        <f t="shared" si="2"/>
        <v>-6.1456799999998424E-2</v>
      </c>
    </row>
    <row r="128" spans="1:9">
      <c r="A128" s="55" t="s">
        <v>174</v>
      </c>
      <c r="B128" s="55">
        <v>2764</v>
      </c>
      <c r="C128" s="55">
        <v>2720</v>
      </c>
      <c r="D128" s="55">
        <v>50.4</v>
      </c>
      <c r="E128" s="55">
        <f t="shared" si="0"/>
        <v>49.6</v>
      </c>
      <c r="F128" s="55">
        <v>49.5</v>
      </c>
      <c r="G128" s="56">
        <v>49.493853899999998</v>
      </c>
      <c r="H128" s="57">
        <f t="shared" si="1"/>
        <v>0.21423346821715181</v>
      </c>
      <c r="I128" s="57">
        <f t="shared" si="2"/>
        <v>0.10614610000000368</v>
      </c>
    </row>
    <row r="129" spans="1:9">
      <c r="A129" s="55" t="s">
        <v>175</v>
      </c>
      <c r="B129" s="55">
        <v>1044</v>
      </c>
      <c r="C129" s="55">
        <v>410</v>
      </c>
      <c r="D129" s="55">
        <v>71.8</v>
      </c>
      <c r="E129" s="55">
        <f t="shared" si="0"/>
        <v>28.200000000000003</v>
      </c>
      <c r="F129" s="55">
        <v>28.2</v>
      </c>
      <c r="G129" s="56">
        <v>28.241683600000002</v>
      </c>
      <c r="H129" s="57">
        <f t="shared" si="1"/>
        <v>0.1477050199119111</v>
      </c>
      <c r="I129" s="57">
        <f t="shared" si="2"/>
        <v>-4.1683599999998933E-2</v>
      </c>
    </row>
    <row r="130" spans="1:9">
      <c r="A130" s="55" t="s">
        <v>176</v>
      </c>
      <c r="B130" s="55">
        <v>1364</v>
      </c>
      <c r="C130" s="55">
        <v>1726</v>
      </c>
      <c r="D130" s="55">
        <v>44.1</v>
      </c>
      <c r="E130" s="55">
        <f t="shared" si="0"/>
        <v>55.9</v>
      </c>
      <c r="F130" s="55">
        <v>55.6</v>
      </c>
      <c r="G130" s="56">
        <v>55.597964400000002</v>
      </c>
      <c r="H130" s="57">
        <f t="shared" si="1"/>
        <v>0.54177778334399151</v>
      </c>
      <c r="I130" s="57">
        <f t="shared" si="2"/>
        <v>0.30203559999999641</v>
      </c>
    </row>
    <row r="131" spans="1:9">
      <c r="A131" s="55" t="s">
        <v>177</v>
      </c>
      <c r="B131" s="55">
        <v>2312</v>
      </c>
      <c r="C131" s="55">
        <v>817</v>
      </c>
      <c r="D131" s="55">
        <v>73.900000000000006</v>
      </c>
      <c r="E131" s="55">
        <f t="shared" si="0"/>
        <v>26.099999999999994</v>
      </c>
      <c r="F131" s="55">
        <v>26.1</v>
      </c>
      <c r="G131" s="56">
        <v>26.0774516</v>
      </c>
      <c r="H131" s="57">
        <f t="shared" si="1"/>
        <v>8.642967147132373E-2</v>
      </c>
      <c r="I131" s="57">
        <f t="shared" si="2"/>
        <v>2.2548399999994473E-2</v>
      </c>
    </row>
    <row r="132" spans="1:9">
      <c r="A132" s="55" t="s">
        <v>178</v>
      </c>
      <c r="B132" s="55">
        <v>2715</v>
      </c>
      <c r="C132" s="55">
        <v>518</v>
      </c>
      <c r="D132" s="55">
        <v>84</v>
      </c>
      <c r="E132" s="55">
        <f t="shared" si="0"/>
        <v>16</v>
      </c>
      <c r="F132" s="55">
        <v>16.100000000000001</v>
      </c>
      <c r="G132" s="56">
        <v>16.076294300000001</v>
      </c>
      <c r="H132" s="57">
        <f t="shared" si="1"/>
        <v>0.4757052001483893</v>
      </c>
      <c r="I132" s="57">
        <f t="shared" si="2"/>
        <v>-7.6294300000000703E-2</v>
      </c>
    </row>
    <row r="133" spans="1:9">
      <c r="A133" s="55" t="s">
        <v>179</v>
      </c>
      <c r="B133" s="55">
        <v>1969</v>
      </c>
      <c r="C133" s="55">
        <v>1275</v>
      </c>
      <c r="D133" s="55">
        <v>60.7</v>
      </c>
      <c r="E133" s="55">
        <f t="shared" si="0"/>
        <v>39.299999999999997</v>
      </c>
      <c r="F133" s="55">
        <v>39</v>
      </c>
      <c r="G133" s="56">
        <v>39.047048199999999</v>
      </c>
      <c r="H133" s="57">
        <f t="shared" si="1"/>
        <v>0.64572132789043157</v>
      </c>
      <c r="I133" s="57">
        <f t="shared" si="2"/>
        <v>0.25295179999999817</v>
      </c>
    </row>
    <row r="134" spans="1:9">
      <c r="A134" s="55" t="s">
        <v>180</v>
      </c>
      <c r="B134" s="55">
        <v>2594</v>
      </c>
      <c r="C134" s="55">
        <v>3271</v>
      </c>
      <c r="D134" s="55">
        <v>44.2</v>
      </c>
      <c r="E134" s="55">
        <f t="shared" si="0"/>
        <v>55.8</v>
      </c>
      <c r="F134" s="55">
        <v>55.6</v>
      </c>
      <c r="G134" s="56">
        <v>55.634278000000002</v>
      </c>
      <c r="H134" s="57">
        <f t="shared" si="1"/>
        <v>0.29743451112950231</v>
      </c>
      <c r="I134" s="57">
        <f t="shared" si="2"/>
        <v>0.16572199999999526</v>
      </c>
    </row>
    <row r="135" spans="1:9">
      <c r="A135" s="55" t="s">
        <v>474</v>
      </c>
      <c r="B135" s="55">
        <v>1200</v>
      </c>
      <c r="C135" s="55">
        <v>1172</v>
      </c>
      <c r="D135" s="55">
        <v>50.6</v>
      </c>
      <c r="E135" s="55">
        <f t="shared" si="0"/>
        <v>49.4</v>
      </c>
      <c r="F135" s="55">
        <v>49.3</v>
      </c>
      <c r="G135" s="56">
        <v>49.271743700000002</v>
      </c>
      <c r="H135" s="57">
        <f t="shared" si="1"/>
        <v>0.25996560958716847</v>
      </c>
      <c r="I135" s="57">
        <f t="shared" si="2"/>
        <v>0.12825629999999677</v>
      </c>
    </row>
    <row r="136" spans="1:9">
      <c r="A136" s="55" t="s">
        <v>182</v>
      </c>
      <c r="B136" s="55">
        <v>770</v>
      </c>
      <c r="C136" s="55">
        <v>302</v>
      </c>
      <c r="D136" s="55">
        <v>71.8</v>
      </c>
      <c r="E136" s="55">
        <f t="shared" si="0"/>
        <v>28.200000000000003</v>
      </c>
      <c r="F136" s="55">
        <v>28.3</v>
      </c>
      <c r="G136" s="56">
        <v>28.254847600000002</v>
      </c>
      <c r="H136" s="57">
        <f t="shared" si="1"/>
        <v>0.19430607762369961</v>
      </c>
      <c r="I136" s="57">
        <f t="shared" si="2"/>
        <v>-5.4847599999998664E-2</v>
      </c>
    </row>
    <row r="137" spans="1:9">
      <c r="A137" s="55" t="s">
        <v>184</v>
      </c>
      <c r="B137" s="55">
        <v>1315</v>
      </c>
      <c r="C137" s="55">
        <v>4588</v>
      </c>
      <c r="D137" s="55">
        <v>22.3</v>
      </c>
      <c r="E137" s="55">
        <f t="shared" si="0"/>
        <v>77.7</v>
      </c>
      <c r="F137" s="55">
        <v>77.8</v>
      </c>
      <c r="G137" s="56">
        <v>77.768456400000005</v>
      </c>
      <c r="H137" s="57">
        <f t="shared" si="1"/>
        <v>8.8064680881468238E-2</v>
      </c>
      <c r="I137" s="57">
        <f t="shared" si="2"/>
        <v>-6.8456400000002304E-2</v>
      </c>
    </row>
    <row r="138" spans="1:9">
      <c r="A138" s="55" t="s">
        <v>475</v>
      </c>
      <c r="B138" s="55">
        <v>1117</v>
      </c>
      <c r="C138" s="55">
        <v>930</v>
      </c>
      <c r="D138" s="55">
        <v>54.6</v>
      </c>
      <c r="E138" s="55">
        <f t="shared" si="0"/>
        <v>45.4</v>
      </c>
      <c r="F138" s="55">
        <v>45.4</v>
      </c>
      <c r="G138" s="56">
        <v>45.414847199999997</v>
      </c>
      <c r="H138" s="57">
        <f t="shared" si="1"/>
        <v>3.2697737116268347E-2</v>
      </c>
      <c r="I138" s="57">
        <f t="shared" si="2"/>
        <v>-1.4847199999998395E-2</v>
      </c>
    </row>
    <row r="139" spans="1:9">
      <c r="A139" s="55" t="s">
        <v>186</v>
      </c>
      <c r="B139" s="55">
        <v>383</v>
      </c>
      <c r="C139" s="55">
        <v>1074</v>
      </c>
      <c r="D139" s="55">
        <v>26.3</v>
      </c>
      <c r="E139" s="55">
        <f t="shared" si="0"/>
        <v>73.7</v>
      </c>
      <c r="F139" s="55">
        <v>73.599999999999994</v>
      </c>
      <c r="G139" s="56">
        <v>73.605442199999999</v>
      </c>
      <c r="H139" s="57">
        <f t="shared" si="1"/>
        <v>0.12838330829844116</v>
      </c>
      <c r="I139" s="57">
        <f t="shared" si="2"/>
        <v>9.4557800000004022E-2</v>
      </c>
    </row>
    <row r="140" spans="1:9">
      <c r="A140" s="55" t="s">
        <v>187</v>
      </c>
      <c r="B140" s="55">
        <v>3849</v>
      </c>
      <c r="C140" s="55">
        <v>31855</v>
      </c>
      <c r="D140" s="55">
        <v>10.8</v>
      </c>
      <c r="E140" s="55">
        <f t="shared" si="0"/>
        <v>89.2</v>
      </c>
      <c r="F140" s="55">
        <v>89.2</v>
      </c>
      <c r="G140" s="56">
        <v>89.187609600000002</v>
      </c>
      <c r="H140" s="57">
        <f t="shared" si="1"/>
        <v>1.3891547768125954E-2</v>
      </c>
      <c r="I140" s="57">
        <f t="shared" si="2"/>
        <v>1.2390400000001023E-2</v>
      </c>
    </row>
    <row r="141" spans="1:9">
      <c r="A141" s="55" t="s">
        <v>476</v>
      </c>
      <c r="B141" s="55">
        <v>3845</v>
      </c>
      <c r="C141" s="55">
        <v>7645</v>
      </c>
      <c r="D141" s="55">
        <v>33.5</v>
      </c>
      <c r="E141" s="55">
        <f t="shared" si="0"/>
        <v>66.5</v>
      </c>
      <c r="F141" s="55">
        <v>66.5</v>
      </c>
      <c r="G141" s="56">
        <v>66.500043099999999</v>
      </c>
      <c r="H141" s="57">
        <f t="shared" si="1"/>
        <v>6.4812009070973684E-5</v>
      </c>
      <c r="I141" s="57">
        <f t="shared" si="2"/>
        <v>-4.3099999999185457E-5</v>
      </c>
    </row>
    <row r="142" spans="1:9">
      <c r="A142" s="55" t="s">
        <v>189</v>
      </c>
      <c r="B142" s="55">
        <v>2068</v>
      </c>
      <c r="C142" s="55">
        <v>11696</v>
      </c>
      <c r="D142" s="55">
        <v>15</v>
      </c>
      <c r="E142" s="55">
        <f t="shared" si="0"/>
        <v>85</v>
      </c>
      <c r="F142" s="55">
        <v>84.9</v>
      </c>
      <c r="G142" s="56">
        <v>84.917370300000002</v>
      </c>
      <c r="H142" s="57">
        <f t="shared" si="1"/>
        <v>9.725868503509702E-2</v>
      </c>
      <c r="I142" s="57">
        <f t="shared" si="2"/>
        <v>8.2629699999998252E-2</v>
      </c>
    </row>
    <row r="143" spans="1:9">
      <c r="A143" s="55" t="s">
        <v>190</v>
      </c>
      <c r="B143" s="55">
        <v>3850</v>
      </c>
      <c r="C143" s="55">
        <v>10339</v>
      </c>
      <c r="D143" s="55">
        <v>27.1</v>
      </c>
      <c r="E143" s="55">
        <f t="shared" si="0"/>
        <v>72.900000000000006</v>
      </c>
      <c r="F143" s="55">
        <v>72.8</v>
      </c>
      <c r="G143" s="56">
        <v>72.778088299999993</v>
      </c>
      <c r="H143" s="57">
        <f t="shared" si="1"/>
        <v>0.16737136164081923</v>
      </c>
      <c r="I143" s="57">
        <f t="shared" si="2"/>
        <v>0.1219117000000125</v>
      </c>
    </row>
    <row r="144" spans="1:9">
      <c r="A144" s="55" t="s">
        <v>191</v>
      </c>
      <c r="B144" s="55">
        <v>689</v>
      </c>
      <c r="C144" s="55">
        <v>12760</v>
      </c>
      <c r="D144" s="55">
        <v>5.0999999999999996</v>
      </c>
      <c r="E144" s="55">
        <f t="shared" si="0"/>
        <v>94.9</v>
      </c>
      <c r="F144" s="55">
        <v>94.9</v>
      </c>
      <c r="G144" s="56">
        <v>94.857185099999995</v>
      </c>
      <c r="H144" s="57">
        <f t="shared" si="1"/>
        <v>4.5125985587789394E-2</v>
      </c>
      <c r="I144" s="57">
        <f t="shared" si="2"/>
        <v>4.2814900000010425E-2</v>
      </c>
    </row>
    <row r="145" spans="1:9">
      <c r="A145" s="55" t="s">
        <v>193</v>
      </c>
      <c r="B145" s="55">
        <v>10152</v>
      </c>
      <c r="C145" s="55">
        <v>36958</v>
      </c>
      <c r="D145" s="55">
        <v>21.5</v>
      </c>
      <c r="E145" s="55">
        <f t="shared" si="0"/>
        <v>78.5</v>
      </c>
      <c r="F145" s="55">
        <v>78.400000000000006</v>
      </c>
      <c r="G145" s="56">
        <v>78.389010400000004</v>
      </c>
      <c r="H145" s="57">
        <f t="shared" si="1"/>
        <v>0.14148804905712675</v>
      </c>
      <c r="I145" s="57">
        <f t="shared" si="2"/>
        <v>0.11098959999999636</v>
      </c>
    </row>
    <row r="146" spans="1:9">
      <c r="A146" s="55" t="s">
        <v>194</v>
      </c>
      <c r="B146" s="55">
        <v>2340</v>
      </c>
      <c r="C146" s="55">
        <v>3566</v>
      </c>
      <c r="D146" s="55">
        <v>39.6</v>
      </c>
      <c r="E146" s="55">
        <f t="shared" si="0"/>
        <v>60.4</v>
      </c>
      <c r="F146" s="55">
        <v>60.3</v>
      </c>
      <c r="G146" s="56">
        <v>60.312188599999999</v>
      </c>
      <c r="H146" s="57">
        <f t="shared" si="1"/>
        <v>0.14548887070712868</v>
      </c>
      <c r="I146" s="57">
        <f t="shared" si="2"/>
        <v>8.7811399999999651E-2</v>
      </c>
    </row>
    <row r="147" spans="1:9">
      <c r="A147" s="55" t="s">
        <v>195</v>
      </c>
      <c r="B147" s="55">
        <v>10207</v>
      </c>
      <c r="C147" s="55">
        <v>15840</v>
      </c>
      <c r="D147" s="55">
        <v>39.200000000000003</v>
      </c>
      <c r="E147" s="55">
        <f t="shared" si="0"/>
        <v>60.8</v>
      </c>
      <c r="F147" s="55">
        <v>60.9</v>
      </c>
      <c r="G147" s="56">
        <v>60.9017774</v>
      </c>
      <c r="H147" s="57">
        <f t="shared" si="1"/>
        <v>0.16725704780052478</v>
      </c>
      <c r="I147" s="57">
        <f t="shared" si="2"/>
        <v>-0.10177740000000313</v>
      </c>
    </row>
    <row r="148" spans="1:9">
      <c r="A148" s="55" t="s">
        <v>196</v>
      </c>
      <c r="B148" s="55">
        <v>7053</v>
      </c>
      <c r="C148" s="55">
        <v>954</v>
      </c>
      <c r="D148" s="55">
        <v>88.1</v>
      </c>
      <c r="E148" s="55">
        <f t="shared" si="0"/>
        <v>11.900000000000006</v>
      </c>
      <c r="F148" s="55">
        <v>11.9</v>
      </c>
      <c r="G148" s="56">
        <v>11.8575126</v>
      </c>
      <c r="H148" s="57">
        <f t="shared" si="1"/>
        <v>0.35767549166747309</v>
      </c>
      <c r="I148" s="57">
        <f t="shared" si="2"/>
        <v>4.2487400000005948E-2</v>
      </c>
    </row>
    <row r="149" spans="1:9">
      <c r="A149" s="55" t="s">
        <v>198</v>
      </c>
      <c r="B149" s="55">
        <v>3341</v>
      </c>
      <c r="C149" s="55">
        <v>1281</v>
      </c>
      <c r="D149" s="55">
        <v>72.3</v>
      </c>
      <c r="E149" s="55">
        <f t="shared" si="0"/>
        <v>27.700000000000003</v>
      </c>
      <c r="F149" s="55">
        <v>28</v>
      </c>
      <c r="G149" s="56">
        <v>27.955170200000001</v>
      </c>
      <c r="H149" s="57">
        <f t="shared" si="1"/>
        <v>0.91696853709378645</v>
      </c>
      <c r="I149" s="57">
        <f t="shared" si="2"/>
        <v>-0.25517019999999846</v>
      </c>
    </row>
    <row r="150" spans="1:9">
      <c r="A150" s="55" t="s">
        <v>199</v>
      </c>
      <c r="B150" s="55">
        <v>2171</v>
      </c>
      <c r="C150" s="55">
        <v>790</v>
      </c>
      <c r="D150" s="55">
        <v>73.3</v>
      </c>
      <c r="E150" s="55">
        <f t="shared" si="0"/>
        <v>26.700000000000003</v>
      </c>
      <c r="F150" s="55">
        <v>26.7</v>
      </c>
      <c r="G150" s="56">
        <v>26.739926700000002</v>
      </c>
      <c r="H150" s="57">
        <f t="shared" si="1"/>
        <v>0.14942647741318388</v>
      </c>
      <c r="I150" s="57">
        <f t="shared" si="2"/>
        <v>-3.992669999999876E-2</v>
      </c>
    </row>
    <row r="151" spans="1:9">
      <c r="A151" s="55" t="s">
        <v>200</v>
      </c>
      <c r="B151" s="55">
        <v>2308</v>
      </c>
      <c r="C151" s="55">
        <v>1185</v>
      </c>
      <c r="D151" s="55">
        <v>66.099999999999994</v>
      </c>
      <c r="E151" s="55">
        <f t="shared" si="0"/>
        <v>33.900000000000006</v>
      </c>
      <c r="F151" s="55">
        <v>33.9</v>
      </c>
      <c r="G151" s="56">
        <v>33.860045100000001</v>
      </c>
      <c r="H151" s="57">
        <f t="shared" si="1"/>
        <v>0.11793055905154645</v>
      </c>
      <c r="I151" s="57">
        <f t="shared" si="2"/>
        <v>3.9954900000005011E-2</v>
      </c>
    </row>
    <row r="152" spans="1:9">
      <c r="A152" s="55" t="s">
        <v>201</v>
      </c>
      <c r="B152" s="55">
        <v>2469</v>
      </c>
      <c r="C152" s="55">
        <v>4658</v>
      </c>
      <c r="D152" s="55">
        <v>34.6</v>
      </c>
      <c r="E152" s="55">
        <f t="shared" si="0"/>
        <v>65.400000000000006</v>
      </c>
      <c r="F152" s="55">
        <v>65.400000000000006</v>
      </c>
      <c r="G152" s="56">
        <v>65.399972500000004</v>
      </c>
      <c r="H152" s="57">
        <f t="shared" si="1"/>
        <v>4.2048938506655184E-5</v>
      </c>
      <c r="I152" s="57">
        <f t="shared" si="2"/>
        <v>2.7500000001623448E-5</v>
      </c>
    </row>
    <row r="153" spans="1:9">
      <c r="A153" s="55" t="s">
        <v>202</v>
      </c>
      <c r="B153" s="55">
        <v>6871</v>
      </c>
      <c r="C153" s="55">
        <v>9731</v>
      </c>
      <c r="D153" s="55">
        <v>41.4</v>
      </c>
      <c r="E153" s="55">
        <f t="shared" si="0"/>
        <v>58.6</v>
      </c>
      <c r="F153" s="55">
        <v>58.9</v>
      </c>
      <c r="G153" s="56">
        <v>58.881481899999997</v>
      </c>
      <c r="H153" s="57">
        <f t="shared" si="1"/>
        <v>0.47919364898647182</v>
      </c>
      <c r="I153" s="57">
        <f t="shared" si="2"/>
        <v>-0.28148189999999573</v>
      </c>
    </row>
    <row r="154" spans="1:9">
      <c r="A154" s="55" t="s">
        <v>477</v>
      </c>
      <c r="B154" s="55">
        <v>5744</v>
      </c>
      <c r="C154" s="55">
        <v>6357</v>
      </c>
      <c r="D154" s="55">
        <v>47.5</v>
      </c>
      <c r="E154" s="55">
        <f t="shared" si="0"/>
        <v>52.5</v>
      </c>
      <c r="F154" s="55">
        <v>52.9</v>
      </c>
      <c r="G154" s="56">
        <v>52.945891799999998</v>
      </c>
      <c r="H154" s="57">
        <f t="shared" si="1"/>
        <v>0.84572626280353247</v>
      </c>
      <c r="I154" s="57">
        <f t="shared" si="2"/>
        <v>-0.44589179999999828</v>
      </c>
    </row>
    <row r="155" spans="1:9">
      <c r="A155" s="58" t="s">
        <v>204</v>
      </c>
      <c r="B155" s="58">
        <v>6336</v>
      </c>
      <c r="C155" s="58">
        <v>1428</v>
      </c>
      <c r="D155" s="58">
        <v>81.599999999999994</v>
      </c>
      <c r="E155" s="58">
        <f t="shared" si="0"/>
        <v>18.400000000000006</v>
      </c>
      <c r="F155" s="58">
        <v>18.399999999999999</v>
      </c>
      <c r="G155" s="59">
        <v>22.837837799999999</v>
      </c>
      <c r="H155" s="60">
        <f t="shared" si="1"/>
        <v>21.523135240616291</v>
      </c>
      <c r="I155" s="60">
        <f t="shared" si="2"/>
        <v>-4.4378377999999934</v>
      </c>
    </row>
    <row r="156" spans="1:9">
      <c r="A156" s="55" t="s">
        <v>205</v>
      </c>
      <c r="B156" s="55">
        <v>1191</v>
      </c>
      <c r="C156" s="55">
        <v>320</v>
      </c>
      <c r="D156" s="55">
        <v>78.8</v>
      </c>
      <c r="E156" s="55">
        <f t="shared" si="0"/>
        <v>21.200000000000003</v>
      </c>
      <c r="F156" s="55">
        <v>20.9</v>
      </c>
      <c r="G156" s="56">
        <v>20.909090899999999</v>
      </c>
      <c r="H156" s="57">
        <f t="shared" si="1"/>
        <v>1.3816926168786225</v>
      </c>
      <c r="I156" s="57">
        <f t="shared" si="2"/>
        <v>0.29090910000000392</v>
      </c>
    </row>
    <row r="157" spans="1:9">
      <c r="A157" s="55" t="s">
        <v>206</v>
      </c>
      <c r="B157" s="55">
        <v>977</v>
      </c>
      <c r="C157" s="55">
        <v>130</v>
      </c>
      <c r="D157" s="55">
        <v>88.3</v>
      </c>
      <c r="E157" s="55">
        <f t="shared" si="0"/>
        <v>11.700000000000003</v>
      </c>
      <c r="F157" s="55">
        <v>11.6</v>
      </c>
      <c r="G157" s="56">
        <v>11.5864528</v>
      </c>
      <c r="H157" s="57">
        <f t="shared" si="1"/>
        <v>0.97522109507380894</v>
      </c>
      <c r="I157" s="57">
        <f t="shared" si="2"/>
        <v>0.11354720000000285</v>
      </c>
    </row>
    <row r="158" spans="1:9">
      <c r="A158" s="55" t="s">
        <v>207</v>
      </c>
      <c r="B158" s="55"/>
      <c r="C158" s="55"/>
      <c r="D158" s="55"/>
      <c r="E158" s="55"/>
      <c r="F158" s="55"/>
      <c r="G158" s="56">
        <v>5.1732798000000004</v>
      </c>
      <c r="H158" s="57">
        <f t="shared" si="1"/>
        <v>200</v>
      </c>
      <c r="I158" s="57">
        <f t="shared" si="2"/>
        <v>-5.1732798000000004</v>
      </c>
    </row>
    <row r="159" spans="1:9">
      <c r="A159" s="55" t="s">
        <v>208</v>
      </c>
      <c r="B159" s="55">
        <v>1964</v>
      </c>
      <c r="C159" s="55">
        <v>6725</v>
      </c>
      <c r="D159" s="55">
        <v>22.6</v>
      </c>
      <c r="E159" s="55">
        <f t="shared" ref="E159:E216" si="3">100-D159</f>
        <v>77.400000000000006</v>
      </c>
      <c r="F159" s="55">
        <v>77.400000000000006</v>
      </c>
      <c r="G159" s="56">
        <v>77.424863400000007</v>
      </c>
      <c r="H159" s="57">
        <f t="shared" si="1"/>
        <v>3.211809712470378E-2</v>
      </c>
      <c r="I159" s="57">
        <f t="shared" si="2"/>
        <v>-2.4863400000000979E-2</v>
      </c>
    </row>
    <row r="160" spans="1:9">
      <c r="A160" s="55" t="s">
        <v>209</v>
      </c>
      <c r="B160" s="55">
        <v>1871</v>
      </c>
      <c r="C160" s="55">
        <v>1132</v>
      </c>
      <c r="D160" s="55">
        <v>62.3</v>
      </c>
      <c r="E160" s="55">
        <f t="shared" si="3"/>
        <v>37.700000000000003</v>
      </c>
      <c r="F160" s="55">
        <v>37.6</v>
      </c>
      <c r="G160" s="56">
        <v>37.606837599999999</v>
      </c>
      <c r="H160" s="57">
        <f t="shared" si="1"/>
        <v>0.24742082649877256</v>
      </c>
      <c r="I160" s="57">
        <f t="shared" si="2"/>
        <v>9.3162400000004197E-2</v>
      </c>
    </row>
    <row r="161" spans="1:9">
      <c r="A161" s="55" t="s">
        <v>210</v>
      </c>
      <c r="B161" s="55">
        <v>1124</v>
      </c>
      <c r="C161" s="55">
        <v>2754</v>
      </c>
      <c r="D161" s="55">
        <v>29</v>
      </c>
      <c r="E161" s="55">
        <f t="shared" si="3"/>
        <v>71</v>
      </c>
      <c r="F161" s="55">
        <v>71.099999999999994</v>
      </c>
      <c r="G161" s="56">
        <v>71.126401599999994</v>
      </c>
      <c r="H161" s="57">
        <f t="shared" si="1"/>
        <v>0.17787208931910944</v>
      </c>
      <c r="I161" s="57">
        <f t="shared" si="2"/>
        <v>-0.12640159999999412</v>
      </c>
    </row>
    <row r="162" spans="1:9">
      <c r="A162" s="55" t="s">
        <v>211</v>
      </c>
      <c r="B162" s="55">
        <v>271</v>
      </c>
      <c r="C162" s="55">
        <v>84</v>
      </c>
      <c r="D162" s="55">
        <v>76.3</v>
      </c>
      <c r="E162" s="55">
        <f t="shared" si="3"/>
        <v>23.700000000000003</v>
      </c>
      <c r="F162" s="55">
        <v>23.7</v>
      </c>
      <c r="G162" s="56">
        <v>23.676880199999999</v>
      </c>
      <c r="H162" s="57">
        <f t="shared" si="1"/>
        <v>9.7599503818756997E-2</v>
      </c>
      <c r="I162" s="57">
        <f t="shared" si="2"/>
        <v>2.3119800000003465E-2</v>
      </c>
    </row>
    <row r="163" spans="1:9">
      <c r="A163" s="55" t="s">
        <v>478</v>
      </c>
      <c r="B163" s="55">
        <v>460</v>
      </c>
      <c r="C163" s="55">
        <v>240</v>
      </c>
      <c r="D163" s="55">
        <v>65.7</v>
      </c>
      <c r="E163" s="55">
        <f t="shared" si="3"/>
        <v>34.299999999999997</v>
      </c>
      <c r="F163" s="55">
        <v>34.200000000000003</v>
      </c>
      <c r="G163" s="56">
        <v>34.236804599999999</v>
      </c>
      <c r="H163" s="57">
        <f t="shared" si="1"/>
        <v>0.1844130328772226</v>
      </c>
      <c r="I163" s="57">
        <f t="shared" si="2"/>
        <v>6.3195399999997903E-2</v>
      </c>
    </row>
    <row r="164" spans="1:9">
      <c r="A164" s="55" t="s">
        <v>213</v>
      </c>
      <c r="B164" s="55">
        <v>2203</v>
      </c>
      <c r="C164" s="55">
        <v>140</v>
      </c>
      <c r="D164" s="55">
        <v>94</v>
      </c>
      <c r="E164" s="55">
        <f t="shared" si="3"/>
        <v>6</v>
      </c>
      <c r="F164" s="55">
        <v>5.9</v>
      </c>
      <c r="G164" s="56">
        <v>5.9171598000000003</v>
      </c>
      <c r="H164" s="57">
        <f t="shared" si="1"/>
        <v>1.3902675031679896</v>
      </c>
      <c r="I164" s="57">
        <f t="shared" si="2"/>
        <v>8.2840199999999697E-2</v>
      </c>
    </row>
    <row r="165" spans="1:9">
      <c r="A165" s="55" t="s">
        <v>214</v>
      </c>
      <c r="B165" s="55">
        <v>3425</v>
      </c>
      <c r="C165" s="55">
        <v>2926</v>
      </c>
      <c r="D165" s="55">
        <v>53.9</v>
      </c>
      <c r="E165" s="55">
        <f t="shared" si="3"/>
        <v>46.1</v>
      </c>
      <c r="F165" s="55">
        <v>45.9</v>
      </c>
      <c r="G165" s="56">
        <v>45.889778300000003</v>
      </c>
      <c r="H165" s="57">
        <f t="shared" si="1"/>
        <v>0.45705447688854389</v>
      </c>
      <c r="I165" s="57">
        <f t="shared" si="2"/>
        <v>0.21022169999999818</v>
      </c>
    </row>
    <row r="166" spans="1:9">
      <c r="A166" s="55" t="s">
        <v>215</v>
      </c>
      <c r="B166" s="55">
        <v>2019</v>
      </c>
      <c r="C166" s="55">
        <v>5450</v>
      </c>
      <c r="D166" s="55">
        <v>27</v>
      </c>
      <c r="E166" s="55">
        <f t="shared" si="3"/>
        <v>73</v>
      </c>
      <c r="F166" s="55">
        <v>73.099999999999994</v>
      </c>
      <c r="G166" s="56">
        <v>73.1047169</v>
      </c>
      <c r="H166" s="57">
        <f t="shared" si="1"/>
        <v>0.14334499559199332</v>
      </c>
      <c r="I166" s="57">
        <f t="shared" si="2"/>
        <v>-0.10471689999999967</v>
      </c>
    </row>
    <row r="167" spans="1:9">
      <c r="A167" s="55" t="s">
        <v>216</v>
      </c>
      <c r="B167" s="55">
        <v>20411</v>
      </c>
      <c r="C167" s="55">
        <v>55386</v>
      </c>
      <c r="D167" s="55">
        <v>26.9</v>
      </c>
      <c r="E167" s="55">
        <f t="shared" si="3"/>
        <v>73.099999999999994</v>
      </c>
      <c r="F167" s="55">
        <v>72.8</v>
      </c>
      <c r="G167" s="56">
        <v>72.837704000000002</v>
      </c>
      <c r="H167" s="57">
        <f t="shared" si="1"/>
        <v>0.35946296647231357</v>
      </c>
      <c r="I167" s="57">
        <f t="shared" si="2"/>
        <v>0.26229599999999209</v>
      </c>
    </row>
    <row r="168" spans="1:9">
      <c r="A168" s="55" t="s">
        <v>217</v>
      </c>
      <c r="B168" s="55">
        <v>4899</v>
      </c>
      <c r="C168" s="55">
        <v>1718</v>
      </c>
      <c r="D168" s="55">
        <v>74</v>
      </c>
      <c r="E168" s="55">
        <f t="shared" si="3"/>
        <v>26</v>
      </c>
      <c r="F168" s="55">
        <v>26</v>
      </c>
      <c r="G168" s="56">
        <v>26.0239163</v>
      </c>
      <c r="H168" s="57">
        <f t="shared" si="1"/>
        <v>9.1943481771285959E-2</v>
      </c>
      <c r="I168" s="57">
        <f t="shared" si="2"/>
        <v>-2.3916299999999779E-2</v>
      </c>
    </row>
    <row r="169" spans="1:9">
      <c r="A169" s="55" t="s">
        <v>218</v>
      </c>
      <c r="B169" s="55">
        <v>3147</v>
      </c>
      <c r="C169" s="55">
        <v>76</v>
      </c>
      <c r="D169" s="55">
        <v>97.6</v>
      </c>
      <c r="E169" s="55">
        <f t="shared" si="3"/>
        <v>2.4000000000000057</v>
      </c>
      <c r="F169" s="55">
        <v>2.2999999999999998</v>
      </c>
      <c r="G169" s="56">
        <v>2.3305734</v>
      </c>
      <c r="H169" s="57">
        <f t="shared" si="1"/>
        <v>2.9352297968785592</v>
      </c>
      <c r="I169" s="57">
        <f t="shared" si="2"/>
        <v>6.9426600000005667E-2</v>
      </c>
    </row>
    <row r="170" spans="1:9">
      <c r="A170" s="55" t="s">
        <v>479</v>
      </c>
      <c r="B170" s="55">
        <v>3105</v>
      </c>
      <c r="C170" s="55">
        <v>326</v>
      </c>
      <c r="D170" s="55">
        <v>90.5</v>
      </c>
      <c r="E170" s="55">
        <f t="shared" si="3"/>
        <v>9.5</v>
      </c>
      <c r="F170" s="55">
        <v>9.5</v>
      </c>
      <c r="G170" s="56">
        <v>9.5375723000000008</v>
      </c>
      <c r="H170" s="57">
        <f t="shared" si="1"/>
        <v>0.39471734534135722</v>
      </c>
      <c r="I170" s="57">
        <f t="shared" si="2"/>
        <v>-3.757230000000078E-2</v>
      </c>
    </row>
    <row r="171" spans="1:9">
      <c r="A171" s="55" t="s">
        <v>221</v>
      </c>
      <c r="B171" s="55">
        <v>6844</v>
      </c>
      <c r="C171" s="55">
        <v>2655</v>
      </c>
      <c r="D171" s="55">
        <v>72</v>
      </c>
      <c r="E171" s="55">
        <f t="shared" si="3"/>
        <v>28</v>
      </c>
      <c r="F171" s="55">
        <v>27.9</v>
      </c>
      <c r="G171" s="56">
        <v>27.620784</v>
      </c>
      <c r="H171" s="57">
        <f t="shared" si="1"/>
        <v>1.3635766083412257</v>
      </c>
      <c r="I171" s="57">
        <f t="shared" si="2"/>
        <v>0.37921599999999955</v>
      </c>
    </row>
    <row r="172" spans="1:9">
      <c r="A172" s="55" t="s">
        <v>480</v>
      </c>
      <c r="B172" s="55">
        <v>1174</v>
      </c>
      <c r="C172" s="55">
        <v>346</v>
      </c>
      <c r="D172" s="55">
        <v>77.2</v>
      </c>
      <c r="E172" s="55">
        <f t="shared" si="3"/>
        <v>22.799999999999997</v>
      </c>
      <c r="F172" s="55">
        <v>22.6</v>
      </c>
      <c r="G172" s="56">
        <v>22.636655900000001</v>
      </c>
      <c r="H172" s="57">
        <f t="shared" si="1"/>
        <v>0.71899701579929087</v>
      </c>
      <c r="I172" s="57">
        <f t="shared" si="2"/>
        <v>0.16334409999999622</v>
      </c>
    </row>
    <row r="173" spans="1:9">
      <c r="A173" s="55" t="s">
        <v>224</v>
      </c>
      <c r="B173" s="55">
        <v>2956</v>
      </c>
      <c r="C173" s="55">
        <v>140</v>
      </c>
      <c r="D173" s="55">
        <v>95.5</v>
      </c>
      <c r="E173" s="55">
        <f t="shared" si="3"/>
        <v>4.5</v>
      </c>
      <c r="F173" s="55">
        <v>4.5999999999999996</v>
      </c>
      <c r="G173" s="56">
        <v>4.6027743000000001</v>
      </c>
      <c r="H173" s="57">
        <f t="shared" si="1"/>
        <v>2.2580874052869815</v>
      </c>
      <c r="I173" s="57">
        <f t="shared" si="2"/>
        <v>-0.1027743000000001</v>
      </c>
    </row>
    <row r="174" spans="1:9">
      <c r="A174" s="55" t="s">
        <v>481</v>
      </c>
      <c r="B174" s="55">
        <v>405</v>
      </c>
      <c r="C174" s="55">
        <v>87</v>
      </c>
      <c r="D174" s="55">
        <v>82.3</v>
      </c>
      <c r="E174" s="55">
        <f t="shared" si="3"/>
        <v>17.700000000000003</v>
      </c>
      <c r="F174" s="55">
        <v>18</v>
      </c>
      <c r="G174" s="56">
        <v>18.023255800000001</v>
      </c>
      <c r="H174" s="57">
        <f t="shared" si="1"/>
        <v>1.8097779318311646</v>
      </c>
      <c r="I174" s="57">
        <f t="shared" si="2"/>
        <v>-0.32325579999999832</v>
      </c>
    </row>
    <row r="175" spans="1:9">
      <c r="A175" s="55" t="s">
        <v>227</v>
      </c>
      <c r="B175" s="55">
        <v>850</v>
      </c>
      <c r="C175" s="55">
        <v>484</v>
      </c>
      <c r="D175" s="55">
        <v>63.7</v>
      </c>
      <c r="E175" s="55">
        <f t="shared" si="3"/>
        <v>36.299999999999997</v>
      </c>
      <c r="F175" s="55">
        <v>36.4</v>
      </c>
      <c r="G175" s="56">
        <v>36.383763799999997</v>
      </c>
      <c r="H175" s="57">
        <f t="shared" si="1"/>
        <v>0.23048833913028549</v>
      </c>
      <c r="I175" s="57">
        <f t="shared" si="2"/>
        <v>-8.3763799999999833E-2</v>
      </c>
    </row>
    <row r="176" spans="1:9">
      <c r="A176" s="55" t="s">
        <v>228</v>
      </c>
      <c r="B176" s="55">
        <v>1062</v>
      </c>
      <c r="C176" s="55">
        <v>455</v>
      </c>
      <c r="D176" s="55">
        <v>70</v>
      </c>
      <c r="E176" s="55">
        <f t="shared" si="3"/>
        <v>30</v>
      </c>
      <c r="F176" s="55">
        <v>30.5</v>
      </c>
      <c r="G176" s="56">
        <v>30.5269923</v>
      </c>
      <c r="H176" s="57">
        <f t="shared" si="1"/>
        <v>1.7413463976137462</v>
      </c>
      <c r="I176" s="57">
        <f t="shared" si="2"/>
        <v>-0.52699229999999986</v>
      </c>
    </row>
    <row r="177" spans="1:9">
      <c r="A177" s="55" t="s">
        <v>230</v>
      </c>
      <c r="B177" s="55">
        <v>88</v>
      </c>
      <c r="C177" s="55">
        <v>240</v>
      </c>
      <c r="D177" s="55">
        <v>26.8</v>
      </c>
      <c r="E177" s="55">
        <f t="shared" si="3"/>
        <v>73.2</v>
      </c>
      <c r="F177" s="55">
        <v>71.099999999999994</v>
      </c>
      <c r="G177" s="56">
        <v>71.0601719</v>
      </c>
      <c r="H177" s="57">
        <f t="shared" si="1"/>
        <v>2.9666235272245682</v>
      </c>
      <c r="I177" s="57">
        <f t="shared" si="2"/>
        <v>2.1398281000000026</v>
      </c>
    </row>
    <row r="178" spans="1:9">
      <c r="A178" s="55" t="s">
        <v>231</v>
      </c>
      <c r="B178" s="55">
        <v>1020</v>
      </c>
      <c r="C178" s="55">
        <v>57</v>
      </c>
      <c r="D178" s="55">
        <v>94.7</v>
      </c>
      <c r="E178" s="55">
        <f t="shared" si="3"/>
        <v>5.2999999999999972</v>
      </c>
      <c r="F178" s="55">
        <v>5.3</v>
      </c>
      <c r="G178" s="56">
        <v>5.2680221999999999</v>
      </c>
      <c r="H178" s="57">
        <f t="shared" si="1"/>
        <v>0.60518040925382022</v>
      </c>
      <c r="I178" s="57">
        <f t="shared" si="2"/>
        <v>3.1977799999997281E-2</v>
      </c>
    </row>
    <row r="179" spans="1:9">
      <c r="A179" s="55" t="s">
        <v>232</v>
      </c>
      <c r="B179" s="55">
        <v>548</v>
      </c>
      <c r="C179" s="55">
        <v>35</v>
      </c>
      <c r="D179" s="55">
        <v>94</v>
      </c>
      <c r="E179" s="55">
        <f t="shared" si="3"/>
        <v>6</v>
      </c>
      <c r="F179" s="55">
        <v>6</v>
      </c>
      <c r="G179" s="56">
        <v>5.9931507000000002</v>
      </c>
      <c r="H179" s="57">
        <f t="shared" si="1"/>
        <v>0.11422019403124545</v>
      </c>
      <c r="I179" s="57">
        <f t="shared" si="2"/>
        <v>6.8492999999998361E-3</v>
      </c>
    </row>
    <row r="180" spans="1:9">
      <c r="A180" s="55" t="s">
        <v>482</v>
      </c>
      <c r="B180" s="55">
        <v>166</v>
      </c>
      <c r="C180" s="55">
        <v>2</v>
      </c>
      <c r="D180" s="55">
        <v>98.8</v>
      </c>
      <c r="E180" s="55">
        <f t="shared" si="3"/>
        <v>1.2000000000000028</v>
      </c>
      <c r="F180" s="55">
        <v>1.2</v>
      </c>
      <c r="G180" s="56">
        <v>1.183432</v>
      </c>
      <c r="H180" s="57">
        <f t="shared" si="1"/>
        <v>1.3902641233316315</v>
      </c>
      <c r="I180" s="57">
        <f t="shared" si="2"/>
        <v>1.6568000000002803E-2</v>
      </c>
    </row>
    <row r="181" spans="1:9">
      <c r="A181" s="55" t="s">
        <v>234</v>
      </c>
      <c r="B181" s="55">
        <v>629</v>
      </c>
      <c r="C181" s="55">
        <v>88</v>
      </c>
      <c r="D181" s="55">
        <v>87.7</v>
      </c>
      <c r="E181" s="55">
        <f t="shared" si="3"/>
        <v>12.299999999999997</v>
      </c>
      <c r="F181" s="55">
        <v>12.2</v>
      </c>
      <c r="G181" s="56">
        <v>12.2392211</v>
      </c>
      <c r="H181" s="57">
        <f t="shared" si="1"/>
        <v>0.49536128104732058</v>
      </c>
      <c r="I181" s="57">
        <f t="shared" si="2"/>
        <v>6.0778899999997194E-2</v>
      </c>
    </row>
    <row r="182" spans="1:9">
      <c r="A182" s="55" t="s">
        <v>235</v>
      </c>
      <c r="B182" s="55">
        <v>2034</v>
      </c>
      <c r="C182" s="55">
        <v>764</v>
      </c>
      <c r="D182" s="55">
        <v>72.7</v>
      </c>
      <c r="E182" s="55">
        <f t="shared" si="3"/>
        <v>27.299999999999997</v>
      </c>
      <c r="F182" s="55">
        <v>27.4</v>
      </c>
      <c r="G182" s="56">
        <v>27.4040155</v>
      </c>
      <c r="H182" s="57">
        <f t="shared" si="1"/>
        <v>0.38028469774765516</v>
      </c>
      <c r="I182" s="57">
        <f t="shared" si="2"/>
        <v>-0.1040155000000027</v>
      </c>
    </row>
    <row r="183" spans="1:9">
      <c r="A183" s="55" t="s">
        <v>236</v>
      </c>
      <c r="B183" s="55">
        <v>1805</v>
      </c>
      <c r="C183" s="55">
        <v>344</v>
      </c>
      <c r="D183" s="55">
        <v>84</v>
      </c>
      <c r="E183" s="55">
        <f t="shared" si="3"/>
        <v>16</v>
      </c>
      <c r="F183" s="55">
        <v>15.9</v>
      </c>
      <c r="G183" s="56">
        <v>15.881006899999999</v>
      </c>
      <c r="H183" s="57">
        <f t="shared" si="1"/>
        <v>0.74648269656753441</v>
      </c>
      <c r="I183" s="57">
        <f t="shared" si="2"/>
        <v>0.11899310000000085</v>
      </c>
    </row>
    <row r="184" spans="1:9">
      <c r="A184" s="55" t="s">
        <v>237</v>
      </c>
      <c r="B184" s="55">
        <v>772</v>
      </c>
      <c r="C184" s="55">
        <v>357</v>
      </c>
      <c r="D184" s="55">
        <v>68.400000000000006</v>
      </c>
      <c r="E184" s="55">
        <f t="shared" si="3"/>
        <v>31.599999999999994</v>
      </c>
      <c r="F184" s="55">
        <v>31.3</v>
      </c>
      <c r="G184" s="56">
        <v>31.347150299999999</v>
      </c>
      <c r="H184" s="57">
        <f t="shared" si="1"/>
        <v>0.80337139582947958</v>
      </c>
      <c r="I184" s="57">
        <f t="shared" si="2"/>
        <v>0.25284969999999518</v>
      </c>
    </row>
    <row r="185" spans="1:9">
      <c r="A185" s="55" t="s">
        <v>239</v>
      </c>
      <c r="B185" s="55">
        <v>3798</v>
      </c>
      <c r="C185" s="55">
        <v>3339</v>
      </c>
      <c r="D185" s="55">
        <v>53.2</v>
      </c>
      <c r="E185" s="55">
        <f t="shared" si="3"/>
        <v>46.8</v>
      </c>
      <c r="F185" s="55">
        <v>46.7</v>
      </c>
      <c r="G185" s="56">
        <v>46.724161899999999</v>
      </c>
      <c r="H185" s="57">
        <f t="shared" si="1"/>
        <v>0.16217862520080725</v>
      </c>
      <c r="I185" s="57">
        <f t="shared" si="2"/>
        <v>7.5838099999998576E-2</v>
      </c>
    </row>
    <row r="186" spans="1:9">
      <c r="A186" s="55" t="s">
        <v>240</v>
      </c>
      <c r="B186" s="55">
        <v>923</v>
      </c>
      <c r="C186" s="55">
        <v>615</v>
      </c>
      <c r="D186" s="55">
        <v>60</v>
      </c>
      <c r="E186" s="55">
        <f t="shared" si="3"/>
        <v>40</v>
      </c>
      <c r="F186" s="55">
        <v>39.9</v>
      </c>
      <c r="G186" s="56">
        <v>39.858793300000002</v>
      </c>
      <c r="H186" s="57">
        <f t="shared" si="1"/>
        <v>0.35364095590459643</v>
      </c>
      <c r="I186" s="57">
        <f t="shared" si="2"/>
        <v>0.14120669999999791</v>
      </c>
    </row>
    <row r="187" spans="1:9">
      <c r="A187" s="55" t="s">
        <v>483</v>
      </c>
      <c r="B187" s="55">
        <v>3275</v>
      </c>
      <c r="C187" s="55">
        <v>591</v>
      </c>
      <c r="D187" s="55">
        <v>84.7</v>
      </c>
      <c r="E187" s="55">
        <f t="shared" si="3"/>
        <v>15.299999999999997</v>
      </c>
      <c r="F187" s="55">
        <v>15.3</v>
      </c>
      <c r="G187" s="56">
        <v>15.2533741</v>
      </c>
      <c r="H187" s="57">
        <f t="shared" si="1"/>
        <v>0.3052094989403929</v>
      </c>
      <c r="I187" s="57">
        <f t="shared" si="2"/>
        <v>4.6625899999996889E-2</v>
      </c>
    </row>
    <row r="188" spans="1:9">
      <c r="A188" s="55" t="s">
        <v>243</v>
      </c>
      <c r="B188" s="55">
        <v>837</v>
      </c>
      <c r="C188" s="55">
        <v>182</v>
      </c>
      <c r="D188" s="55">
        <v>82.1</v>
      </c>
      <c r="E188" s="55">
        <f t="shared" si="3"/>
        <v>17.900000000000006</v>
      </c>
      <c r="F188" s="55">
        <v>17.8</v>
      </c>
      <c r="G188" s="56">
        <v>17.7884615</v>
      </c>
      <c r="H188" s="57">
        <f t="shared" si="1"/>
        <v>0.62506757261029766</v>
      </c>
      <c r="I188" s="57">
        <f t="shared" si="2"/>
        <v>0.11153850000000531</v>
      </c>
    </row>
    <row r="189" spans="1:9">
      <c r="A189" s="55" t="s">
        <v>244</v>
      </c>
      <c r="B189" s="55">
        <v>1959</v>
      </c>
      <c r="C189" s="55">
        <v>241</v>
      </c>
      <c r="D189" s="55">
        <v>89</v>
      </c>
      <c r="E189" s="55">
        <f t="shared" si="3"/>
        <v>11</v>
      </c>
      <c r="F189" s="55">
        <v>11.3</v>
      </c>
      <c r="G189" s="56">
        <v>11.3484646</v>
      </c>
      <c r="H189" s="57">
        <f t="shared" si="1"/>
        <v>3.1184656864525699</v>
      </c>
      <c r="I189" s="57">
        <f t="shared" si="2"/>
        <v>-0.34846459999999979</v>
      </c>
    </row>
    <row r="190" spans="1:9">
      <c r="A190" s="55" t="s">
        <v>245</v>
      </c>
      <c r="B190" s="55">
        <v>235</v>
      </c>
      <c r="C190" s="55">
        <v>13</v>
      </c>
      <c r="D190" s="55">
        <v>94.8</v>
      </c>
      <c r="E190" s="55">
        <f t="shared" si="3"/>
        <v>5.2000000000000028</v>
      </c>
      <c r="F190" s="55">
        <v>5.0999999999999996</v>
      </c>
      <c r="G190" s="56">
        <v>5.1383399000000001</v>
      </c>
      <c r="H190" s="57">
        <f t="shared" si="1"/>
        <v>1.1928433500237841</v>
      </c>
      <c r="I190" s="57">
        <f t="shared" si="2"/>
        <v>6.1660100000002771E-2</v>
      </c>
    </row>
    <row r="191" spans="1:9">
      <c r="A191" s="55" t="s">
        <v>484</v>
      </c>
      <c r="B191" s="55">
        <v>356</v>
      </c>
      <c r="C191" s="55">
        <v>192</v>
      </c>
      <c r="D191" s="55">
        <v>65</v>
      </c>
      <c r="E191" s="55">
        <f t="shared" si="3"/>
        <v>35</v>
      </c>
      <c r="F191" s="55">
        <v>35.6</v>
      </c>
      <c r="G191" s="56">
        <v>35.593220299999999</v>
      </c>
      <c r="H191" s="57">
        <f t="shared" si="1"/>
        <v>1.6806721593914842</v>
      </c>
      <c r="I191" s="57">
        <f t="shared" si="2"/>
        <v>-0.5932202999999987</v>
      </c>
    </row>
    <row r="192" spans="1:9">
      <c r="A192" s="55" t="s">
        <v>248</v>
      </c>
      <c r="B192" s="55">
        <v>3987</v>
      </c>
      <c r="C192" s="55">
        <v>253</v>
      </c>
      <c r="D192" s="55">
        <v>94</v>
      </c>
      <c r="E192" s="55">
        <f t="shared" si="3"/>
        <v>6</v>
      </c>
      <c r="F192" s="55">
        <v>6.1</v>
      </c>
      <c r="G192" s="56">
        <v>6.0955899000000002</v>
      </c>
      <c r="H192" s="57">
        <f t="shared" si="1"/>
        <v>1.5805744207647157</v>
      </c>
      <c r="I192" s="57">
        <f t="shared" si="2"/>
        <v>-9.5589900000000227E-2</v>
      </c>
    </row>
    <row r="193" spans="1:9">
      <c r="A193" s="55" t="s">
        <v>250</v>
      </c>
      <c r="B193" s="55">
        <v>1500</v>
      </c>
      <c r="C193" s="55">
        <v>351</v>
      </c>
      <c r="D193" s="55">
        <v>81</v>
      </c>
      <c r="E193" s="55">
        <f t="shared" si="3"/>
        <v>19</v>
      </c>
      <c r="F193" s="55">
        <v>19.100000000000001</v>
      </c>
      <c r="G193" s="56">
        <v>19.0727081</v>
      </c>
      <c r="H193" s="57">
        <f t="shared" si="1"/>
        <v>0.38194341105984964</v>
      </c>
      <c r="I193" s="57">
        <f t="shared" si="2"/>
        <v>-7.2708099999999831E-2</v>
      </c>
    </row>
    <row r="194" spans="1:9">
      <c r="A194" s="55" t="s">
        <v>485</v>
      </c>
      <c r="B194" s="55">
        <v>1796</v>
      </c>
      <c r="C194" s="55">
        <v>110</v>
      </c>
      <c r="D194" s="55">
        <v>94.2</v>
      </c>
      <c r="E194" s="55">
        <f t="shared" si="3"/>
        <v>5.7999999999999972</v>
      </c>
      <c r="F194" s="55">
        <v>6</v>
      </c>
      <c r="G194" s="56">
        <v>5.9738955999999996</v>
      </c>
      <c r="H194" s="57">
        <f t="shared" si="1"/>
        <v>2.9539178179905474</v>
      </c>
      <c r="I194" s="57">
        <f t="shared" si="2"/>
        <v>-0.17389560000000248</v>
      </c>
    </row>
    <row r="195" spans="1:9">
      <c r="A195" s="55" t="s">
        <v>253</v>
      </c>
      <c r="B195" s="55">
        <v>686</v>
      </c>
      <c r="C195" s="55">
        <v>18</v>
      </c>
      <c r="D195" s="55">
        <v>97.4</v>
      </c>
      <c r="E195" s="55">
        <f t="shared" si="3"/>
        <v>2.5999999999999943</v>
      </c>
      <c r="F195" s="55">
        <v>2.6</v>
      </c>
      <c r="G195" s="56">
        <v>2.6098900999999999</v>
      </c>
      <c r="H195" s="57">
        <f t="shared" si="1"/>
        <v>0.37966635802953219</v>
      </c>
      <c r="I195" s="57">
        <f t="shared" si="2"/>
        <v>-9.8901000000055639E-3</v>
      </c>
    </row>
    <row r="196" spans="1:9">
      <c r="A196" s="55" t="s">
        <v>254</v>
      </c>
      <c r="B196" s="55">
        <v>1576</v>
      </c>
      <c r="C196" s="55">
        <v>232</v>
      </c>
      <c r="D196" s="55">
        <v>87.2</v>
      </c>
      <c r="E196" s="55">
        <f t="shared" si="3"/>
        <v>12.799999999999997</v>
      </c>
      <c r="F196" s="55">
        <v>12.7</v>
      </c>
      <c r="G196" s="56">
        <v>12.672322400000001</v>
      </c>
      <c r="H196" s="57">
        <f t="shared" si="1"/>
        <v>1.0024810301552767</v>
      </c>
      <c r="I196" s="57">
        <f t="shared" si="2"/>
        <v>0.12767759999999662</v>
      </c>
    </row>
    <row r="197" spans="1:9">
      <c r="A197" s="55" t="s">
        <v>486</v>
      </c>
      <c r="B197" s="55">
        <v>3504</v>
      </c>
      <c r="C197" s="55">
        <v>939</v>
      </c>
      <c r="D197" s="55">
        <v>78.900000000000006</v>
      </c>
      <c r="E197" s="55">
        <f t="shared" si="3"/>
        <v>21.099999999999994</v>
      </c>
      <c r="F197" s="55">
        <v>21.2</v>
      </c>
      <c r="G197" s="56">
        <v>21.571362199999999</v>
      </c>
      <c r="H197" s="57">
        <f t="shared" si="1"/>
        <v>2.2092671791949741</v>
      </c>
      <c r="I197" s="57">
        <f t="shared" si="2"/>
        <v>-0.47136220000000506</v>
      </c>
    </row>
    <row r="198" spans="1:9">
      <c r="A198" s="55" t="s">
        <v>258</v>
      </c>
      <c r="B198" s="55">
        <v>153</v>
      </c>
      <c r="C198" s="55">
        <v>28</v>
      </c>
      <c r="D198" s="55">
        <v>84.5</v>
      </c>
      <c r="E198" s="55">
        <f t="shared" si="3"/>
        <v>15.5</v>
      </c>
      <c r="F198" s="55">
        <v>15.5</v>
      </c>
      <c r="G198" s="56">
        <v>15.469613300000001</v>
      </c>
      <c r="H198" s="57">
        <f t="shared" si="1"/>
        <v>0.19623557908615749</v>
      </c>
      <c r="I198" s="57">
        <f t="shared" si="2"/>
        <v>3.0386699999999323E-2</v>
      </c>
    </row>
    <row r="199" spans="1:9">
      <c r="A199" s="55" t="s">
        <v>259</v>
      </c>
      <c r="B199" s="55">
        <v>162</v>
      </c>
      <c r="C199" s="55">
        <v>27</v>
      </c>
      <c r="D199" s="55">
        <v>85.7</v>
      </c>
      <c r="E199" s="55">
        <f t="shared" si="3"/>
        <v>14.299999999999997</v>
      </c>
      <c r="F199" s="55">
        <v>14</v>
      </c>
      <c r="G199" s="56">
        <v>13.9896373</v>
      </c>
      <c r="H199" s="57">
        <f t="shared" si="1"/>
        <v>2.1941794213105528</v>
      </c>
      <c r="I199" s="57">
        <f t="shared" si="2"/>
        <v>0.3103626999999971</v>
      </c>
    </row>
    <row r="200" spans="1:9">
      <c r="A200" s="55" t="s">
        <v>223</v>
      </c>
      <c r="B200" s="55">
        <v>233</v>
      </c>
      <c r="C200" s="55">
        <v>11</v>
      </c>
      <c r="D200" s="55">
        <v>95.5</v>
      </c>
      <c r="E200" s="55">
        <f t="shared" si="3"/>
        <v>4.5</v>
      </c>
      <c r="F200" s="55">
        <v>4.5</v>
      </c>
      <c r="G200" s="56">
        <v>4.4897958999999998</v>
      </c>
      <c r="H200" s="57">
        <f t="shared" si="1"/>
        <v>0.22701516504952374</v>
      </c>
      <c r="I200" s="57">
        <f t="shared" si="2"/>
        <v>1.020410000000016E-2</v>
      </c>
    </row>
    <row r="201" spans="1:9">
      <c r="A201" s="55" t="s">
        <v>487</v>
      </c>
      <c r="B201" s="55">
        <v>2035</v>
      </c>
      <c r="C201" s="55">
        <v>156</v>
      </c>
      <c r="D201" s="55">
        <v>92.9</v>
      </c>
      <c r="E201" s="55">
        <f t="shared" si="3"/>
        <v>7.0999999999999943</v>
      </c>
      <c r="F201" s="55">
        <v>7</v>
      </c>
      <c r="G201" s="56">
        <v>6.9653948999999997</v>
      </c>
      <c r="H201" s="57">
        <f t="shared" si="1"/>
        <v>1.9139896313895126</v>
      </c>
      <c r="I201" s="57">
        <f t="shared" si="2"/>
        <v>0.13460509999999459</v>
      </c>
    </row>
    <row r="202" spans="1:9">
      <c r="A202" s="55" t="s">
        <v>262</v>
      </c>
      <c r="B202" s="55">
        <v>9458</v>
      </c>
      <c r="C202" s="55">
        <v>41731</v>
      </c>
      <c r="D202" s="55">
        <v>18.5</v>
      </c>
      <c r="E202" s="55">
        <f t="shared" si="3"/>
        <v>81.5</v>
      </c>
      <c r="F202" s="55">
        <v>81.400000000000006</v>
      </c>
      <c r="G202" s="56">
        <v>81.428516099999996</v>
      </c>
      <c r="H202" s="57">
        <f t="shared" si="1"/>
        <v>8.7748789114521414E-2</v>
      </c>
      <c r="I202" s="57">
        <f t="shared" si="2"/>
        <v>7.1483900000004041E-2</v>
      </c>
    </row>
    <row r="203" spans="1:9">
      <c r="A203" s="55" t="s">
        <v>264</v>
      </c>
      <c r="B203" s="55">
        <v>6641</v>
      </c>
      <c r="C203" s="55">
        <v>808</v>
      </c>
      <c r="D203" s="55">
        <v>89.2</v>
      </c>
      <c r="E203" s="55">
        <f t="shared" si="3"/>
        <v>10.799999999999997</v>
      </c>
      <c r="F203" s="55">
        <v>10.8</v>
      </c>
      <c r="G203" s="56">
        <v>10.8283632</v>
      </c>
      <c r="H203" s="57">
        <f t="shared" si="1"/>
        <v>0.26227782229958968</v>
      </c>
      <c r="I203" s="57">
        <f t="shared" si="2"/>
        <v>-2.8363200000002919E-2</v>
      </c>
    </row>
    <row r="204" spans="1:9">
      <c r="A204" s="55" t="s">
        <v>265</v>
      </c>
      <c r="B204" s="55">
        <v>2022</v>
      </c>
      <c r="C204" s="55">
        <v>880</v>
      </c>
      <c r="D204" s="55">
        <v>69.7</v>
      </c>
      <c r="E204" s="55">
        <f t="shared" si="3"/>
        <v>30.299999999999997</v>
      </c>
      <c r="F204" s="55">
        <v>30.3</v>
      </c>
      <c r="G204" s="56">
        <v>30.315500700000001</v>
      </c>
      <c r="H204" s="57">
        <f t="shared" si="1"/>
        <v>5.1144343677768322E-2</v>
      </c>
      <c r="I204" s="57">
        <f t="shared" si="2"/>
        <v>-1.5500700000004031E-2</v>
      </c>
    </row>
    <row r="205" spans="1:9">
      <c r="A205" s="55" t="s">
        <v>266</v>
      </c>
      <c r="B205" s="55">
        <v>968</v>
      </c>
      <c r="C205" s="55">
        <v>113</v>
      </c>
      <c r="D205" s="55">
        <v>89.5</v>
      </c>
      <c r="E205" s="55">
        <f t="shared" si="3"/>
        <v>10.5</v>
      </c>
      <c r="F205" s="55">
        <v>10.3</v>
      </c>
      <c r="G205" s="56">
        <v>10.3448276</v>
      </c>
      <c r="H205" s="57">
        <f t="shared" si="1"/>
        <v>1.488833613572315</v>
      </c>
      <c r="I205" s="57">
        <f t="shared" si="2"/>
        <v>0.15517239999999966</v>
      </c>
    </row>
    <row r="206" spans="1:9">
      <c r="A206" s="55" t="s">
        <v>268</v>
      </c>
      <c r="B206" s="55">
        <v>4091</v>
      </c>
      <c r="C206" s="55">
        <v>2465</v>
      </c>
      <c r="D206" s="55">
        <v>62.4</v>
      </c>
      <c r="E206" s="55">
        <f t="shared" si="3"/>
        <v>37.6</v>
      </c>
      <c r="F206" s="55">
        <v>37.5</v>
      </c>
      <c r="G206" s="56">
        <v>37.4924471</v>
      </c>
      <c r="H206" s="57">
        <f t="shared" si="1"/>
        <v>0.28645464132171483</v>
      </c>
      <c r="I206" s="57">
        <f t="shared" si="2"/>
        <v>0.10755290000000173</v>
      </c>
    </row>
    <row r="207" spans="1:9">
      <c r="A207" s="55" t="s">
        <v>269</v>
      </c>
      <c r="B207" s="55">
        <v>3675</v>
      </c>
      <c r="C207" s="55">
        <v>954</v>
      </c>
      <c r="D207" s="55">
        <v>79.400000000000006</v>
      </c>
      <c r="E207" s="55">
        <f t="shared" si="3"/>
        <v>20.599999999999994</v>
      </c>
      <c r="F207" s="55">
        <v>20.7</v>
      </c>
      <c r="G207" s="56">
        <v>20.677094499999999</v>
      </c>
      <c r="H207" s="57">
        <f t="shared" si="1"/>
        <v>0.37354615645248362</v>
      </c>
      <c r="I207" s="57">
        <f t="shared" si="2"/>
        <v>-7.7094500000004729E-2</v>
      </c>
    </row>
    <row r="208" spans="1:9">
      <c r="A208" s="55" t="s">
        <v>270</v>
      </c>
      <c r="B208" s="55">
        <v>5320</v>
      </c>
      <c r="C208" s="55">
        <v>6922</v>
      </c>
      <c r="D208" s="55">
        <v>43.5</v>
      </c>
      <c r="E208" s="55">
        <f t="shared" si="3"/>
        <v>56.5</v>
      </c>
      <c r="F208" s="55">
        <v>56.2</v>
      </c>
      <c r="G208" s="56">
        <v>56.185026999999998</v>
      </c>
      <c r="H208" s="57">
        <f t="shared" si="1"/>
        <v>0.55903256783175281</v>
      </c>
      <c r="I208" s="57">
        <f t="shared" si="2"/>
        <v>0.31497300000000195</v>
      </c>
    </row>
    <row r="209" spans="1:9">
      <c r="A209" s="55" t="s">
        <v>488</v>
      </c>
      <c r="B209" s="55">
        <v>2112</v>
      </c>
      <c r="C209" s="55">
        <v>142</v>
      </c>
      <c r="D209" s="55">
        <v>93.7</v>
      </c>
      <c r="E209" s="55">
        <f t="shared" si="3"/>
        <v>6.2999999999999972</v>
      </c>
      <c r="F209" s="55">
        <v>6.3</v>
      </c>
      <c r="G209" s="56">
        <v>6.3464080999999997</v>
      </c>
      <c r="H209" s="57">
        <f t="shared" si="1"/>
        <v>0.73393329762942761</v>
      </c>
      <c r="I209" s="57">
        <f t="shared" si="2"/>
        <v>-4.6408100000002506E-2</v>
      </c>
    </row>
    <row r="210" spans="1:9">
      <c r="A210" s="55" t="s">
        <v>273</v>
      </c>
      <c r="B210" s="55">
        <v>6941</v>
      </c>
      <c r="C210" s="55">
        <v>2651</v>
      </c>
      <c r="D210" s="55">
        <v>72.400000000000006</v>
      </c>
      <c r="E210" s="55">
        <f t="shared" si="3"/>
        <v>27.599999999999994</v>
      </c>
      <c r="F210" s="55">
        <v>27.6</v>
      </c>
      <c r="G210" s="56">
        <v>27.6206152</v>
      </c>
      <c r="H210" s="57">
        <f t="shared" si="1"/>
        <v>7.4664868999884934E-2</v>
      </c>
      <c r="I210" s="57">
        <f t="shared" si="2"/>
        <v>-2.0615200000005274E-2</v>
      </c>
    </row>
    <row r="211" spans="1:9">
      <c r="A211" s="55" t="s">
        <v>274</v>
      </c>
      <c r="B211" s="55">
        <v>2360</v>
      </c>
      <c r="C211" s="55">
        <v>833</v>
      </c>
      <c r="D211" s="55">
        <v>73.900000000000006</v>
      </c>
      <c r="E211" s="55">
        <f t="shared" si="3"/>
        <v>26.099999999999994</v>
      </c>
      <c r="F211" s="55">
        <v>26</v>
      </c>
      <c r="G211" s="56">
        <v>26.039726900000002</v>
      </c>
      <c r="H211" s="57">
        <f t="shared" si="1"/>
        <v>0.23119837246402131</v>
      </c>
      <c r="I211" s="57">
        <f t="shared" si="2"/>
        <v>6.0273099999992752E-2</v>
      </c>
    </row>
    <row r="212" spans="1:9">
      <c r="A212" s="55" t="s">
        <v>275</v>
      </c>
      <c r="B212" s="55">
        <v>3751</v>
      </c>
      <c r="C212" s="55">
        <v>95</v>
      </c>
      <c r="D212" s="55">
        <v>97.5</v>
      </c>
      <c r="E212" s="55">
        <f t="shared" si="3"/>
        <v>2.5</v>
      </c>
      <c r="F212" s="55">
        <v>2.5</v>
      </c>
      <c r="G212" s="56">
        <v>2.4634334</v>
      </c>
      <c r="H212" s="57">
        <f t="shared" si="1"/>
        <v>1.4734397362922209</v>
      </c>
      <c r="I212" s="57">
        <f t="shared" si="2"/>
        <v>3.6566600000000005E-2</v>
      </c>
    </row>
    <row r="213" spans="1:9">
      <c r="A213" s="58" t="s">
        <v>276</v>
      </c>
      <c r="B213" s="58">
        <v>8412</v>
      </c>
      <c r="C213" s="58">
        <v>2124</v>
      </c>
      <c r="D213" s="58">
        <v>79.8</v>
      </c>
      <c r="E213" s="58">
        <f t="shared" si="3"/>
        <v>20.200000000000003</v>
      </c>
      <c r="F213" s="58">
        <v>20.2</v>
      </c>
      <c r="G213" s="59">
        <v>22.958469399999998</v>
      </c>
      <c r="H213" s="60">
        <f t="shared" si="1"/>
        <v>12.782980667984464</v>
      </c>
      <c r="I213" s="60">
        <f t="shared" si="2"/>
        <v>-2.7584693999999956</v>
      </c>
    </row>
    <row r="214" spans="1:9">
      <c r="A214" s="55" t="s">
        <v>277</v>
      </c>
      <c r="B214" s="55">
        <v>4657</v>
      </c>
      <c r="C214" s="55">
        <v>1786</v>
      </c>
      <c r="D214" s="55">
        <v>72.3</v>
      </c>
      <c r="E214" s="55">
        <f t="shared" si="3"/>
        <v>27.700000000000003</v>
      </c>
      <c r="F214" s="55">
        <v>27.7</v>
      </c>
      <c r="G214" s="56">
        <v>27.210172</v>
      </c>
      <c r="H214" s="57">
        <f t="shared" si="1"/>
        <v>1.784106595040361</v>
      </c>
      <c r="I214" s="57">
        <f t="shared" si="2"/>
        <v>0.48982800000000282</v>
      </c>
    </row>
    <row r="215" spans="1:9">
      <c r="A215" s="55" t="s">
        <v>278</v>
      </c>
      <c r="B215" s="55">
        <v>7449</v>
      </c>
      <c r="C215" s="55">
        <v>888</v>
      </c>
      <c r="D215" s="55">
        <v>89.3</v>
      </c>
      <c r="E215" s="55">
        <f t="shared" si="3"/>
        <v>10.700000000000003</v>
      </c>
      <c r="F215" s="55">
        <v>10.6</v>
      </c>
      <c r="G215" s="56">
        <v>10.644855400000001</v>
      </c>
      <c r="H215" s="57">
        <f t="shared" si="1"/>
        <v>0.51670155610425894</v>
      </c>
      <c r="I215" s="57">
        <f t="shared" si="2"/>
        <v>5.5144600000001986E-2</v>
      </c>
    </row>
    <row r="216" spans="1:9">
      <c r="A216" s="55" t="s">
        <v>279</v>
      </c>
      <c r="B216" s="55">
        <v>4212</v>
      </c>
      <c r="C216" s="55">
        <v>809</v>
      </c>
      <c r="D216" s="55">
        <v>83.9</v>
      </c>
      <c r="E216" s="55">
        <f t="shared" si="3"/>
        <v>16.099999999999994</v>
      </c>
      <c r="F216" s="55">
        <v>16.100000000000001</v>
      </c>
      <c r="G216" s="56">
        <v>16.1005301</v>
      </c>
      <c r="H216" s="57">
        <f t="shared" si="1"/>
        <v>3.292492380465333E-3</v>
      </c>
      <c r="I216" s="57">
        <f t="shared" si="2"/>
        <v>-5.3010000000597302E-4</v>
      </c>
    </row>
    <row r="217" spans="1:9">
      <c r="A217" s="55" t="s">
        <v>280</v>
      </c>
      <c r="B217" s="55"/>
      <c r="C217" s="55"/>
      <c r="D217" s="55"/>
      <c r="E217" s="55"/>
      <c r="F217" s="55"/>
      <c r="G217" s="56">
        <v>18.353237</v>
      </c>
      <c r="H217" s="57">
        <f t="shared" si="1"/>
        <v>200</v>
      </c>
      <c r="I217" s="57">
        <f t="shared" si="2"/>
        <v>-18.353237</v>
      </c>
    </row>
    <row r="218" spans="1:9">
      <c r="A218" s="55" t="s">
        <v>489</v>
      </c>
      <c r="B218" s="55">
        <v>7550</v>
      </c>
      <c r="C218" s="55">
        <v>623</v>
      </c>
      <c r="D218" s="55">
        <v>92.4</v>
      </c>
      <c r="E218" s="55">
        <f t="shared" ref="E218:E236" si="4">100-D218</f>
        <v>7.5999999999999943</v>
      </c>
      <c r="F218" s="55">
        <v>7.7</v>
      </c>
      <c r="G218" s="56">
        <v>7.6718618000000003</v>
      </c>
      <c r="H218" s="57">
        <f t="shared" si="1"/>
        <v>0.94110071111311377</v>
      </c>
      <c r="I218" s="57">
        <f t="shared" si="2"/>
        <v>-7.1861800000005971E-2</v>
      </c>
    </row>
    <row r="219" spans="1:9">
      <c r="A219" s="55" t="s">
        <v>283</v>
      </c>
      <c r="B219" s="55">
        <v>2720</v>
      </c>
      <c r="C219" s="55">
        <v>713</v>
      </c>
      <c r="D219" s="55">
        <v>79.2</v>
      </c>
      <c r="E219" s="55">
        <f t="shared" si="4"/>
        <v>20.799999999999997</v>
      </c>
      <c r="F219" s="55">
        <v>20.5</v>
      </c>
      <c r="G219" s="56">
        <v>20.53546</v>
      </c>
      <c r="H219" s="57">
        <f t="shared" si="1"/>
        <v>1.2799664017286692</v>
      </c>
      <c r="I219" s="57">
        <f t="shared" si="2"/>
        <v>0.26453999999999667</v>
      </c>
    </row>
    <row r="220" spans="1:9">
      <c r="A220" s="55" t="s">
        <v>285</v>
      </c>
      <c r="B220" s="55">
        <v>6821</v>
      </c>
      <c r="C220" s="55">
        <v>2571</v>
      </c>
      <c r="D220" s="55">
        <v>72.599999999999994</v>
      </c>
      <c r="E220" s="55">
        <f t="shared" si="4"/>
        <v>27.400000000000006</v>
      </c>
      <c r="F220" s="55">
        <v>27.3</v>
      </c>
      <c r="G220" s="56">
        <v>27.346637099999999</v>
      </c>
      <c r="H220" s="57">
        <f t="shared" si="1"/>
        <v>0.19494494210679791</v>
      </c>
      <c r="I220" s="57">
        <f t="shared" si="2"/>
        <v>5.3362900000006874E-2</v>
      </c>
    </row>
    <row r="221" spans="1:9">
      <c r="A221" s="55" t="s">
        <v>286</v>
      </c>
      <c r="B221" s="55">
        <v>2154</v>
      </c>
      <c r="C221" s="55">
        <v>932</v>
      </c>
      <c r="D221" s="55">
        <v>69.8</v>
      </c>
      <c r="E221" s="55">
        <f t="shared" si="4"/>
        <v>30.200000000000003</v>
      </c>
      <c r="F221" s="55">
        <v>30.2</v>
      </c>
      <c r="G221" s="56">
        <v>30.2496799</v>
      </c>
      <c r="H221" s="57">
        <f t="shared" si="1"/>
        <v>0.16436778517994249</v>
      </c>
      <c r="I221" s="57">
        <f t="shared" si="2"/>
        <v>-4.9679899999997446E-2</v>
      </c>
    </row>
    <row r="222" spans="1:9">
      <c r="A222" s="55" t="s">
        <v>490</v>
      </c>
      <c r="B222" s="55">
        <v>4690</v>
      </c>
      <c r="C222" s="55">
        <v>870</v>
      </c>
      <c r="D222" s="55">
        <v>84.4</v>
      </c>
      <c r="E222" s="55">
        <f t="shared" si="4"/>
        <v>15.599999999999994</v>
      </c>
      <c r="F222" s="55">
        <v>15.6</v>
      </c>
      <c r="G222" s="56">
        <v>15.610537600000001</v>
      </c>
      <c r="H222" s="57">
        <f t="shared" si="1"/>
        <v>6.752591150500635E-2</v>
      </c>
      <c r="I222" s="57">
        <f t="shared" si="2"/>
        <v>-1.0537600000006364E-2</v>
      </c>
    </row>
    <row r="223" spans="1:9">
      <c r="A223" s="55" t="s">
        <v>289</v>
      </c>
      <c r="B223" s="55">
        <v>2339</v>
      </c>
      <c r="C223" s="55">
        <v>387</v>
      </c>
      <c r="D223" s="55">
        <v>85.8</v>
      </c>
      <c r="E223" s="55">
        <f t="shared" si="4"/>
        <v>14.200000000000003</v>
      </c>
      <c r="F223" s="55">
        <v>14.2</v>
      </c>
      <c r="G223" s="56">
        <v>14.155417699999999</v>
      </c>
      <c r="H223" s="57">
        <f t="shared" si="1"/>
        <v>0.31445348801900119</v>
      </c>
      <c r="I223" s="57">
        <f t="shared" si="2"/>
        <v>4.4582300000003627E-2</v>
      </c>
    </row>
    <row r="224" spans="1:9">
      <c r="A224" s="55" t="s">
        <v>291</v>
      </c>
      <c r="B224" s="55">
        <v>4746</v>
      </c>
      <c r="C224" s="55">
        <v>8418</v>
      </c>
      <c r="D224" s="55">
        <v>36.1</v>
      </c>
      <c r="E224" s="55">
        <f t="shared" si="4"/>
        <v>63.9</v>
      </c>
      <c r="F224" s="55">
        <v>63.9</v>
      </c>
      <c r="G224" s="56">
        <v>63.878669600000002</v>
      </c>
      <c r="H224" s="57">
        <f t="shared" si="1"/>
        <v>3.3386480023261299E-2</v>
      </c>
      <c r="I224" s="57">
        <f t="shared" si="2"/>
        <v>2.133039999999653E-2</v>
      </c>
    </row>
    <row r="225" spans="1:9">
      <c r="A225" s="55" t="s">
        <v>292</v>
      </c>
      <c r="B225" s="55">
        <v>2726</v>
      </c>
      <c r="C225" s="55">
        <v>795</v>
      </c>
      <c r="D225" s="55">
        <v>77.400000000000006</v>
      </c>
      <c r="E225" s="55">
        <f t="shared" si="4"/>
        <v>22.599999999999994</v>
      </c>
      <c r="F225" s="55">
        <v>22.5</v>
      </c>
      <c r="G225" s="56">
        <v>22.4552573</v>
      </c>
      <c r="H225" s="57">
        <f t="shared" si="1"/>
        <v>0.64251192279838465</v>
      </c>
      <c r="I225" s="57">
        <f t="shared" si="2"/>
        <v>0.14474269999999478</v>
      </c>
    </row>
    <row r="226" spans="1:9">
      <c r="A226" s="55" t="s">
        <v>491</v>
      </c>
      <c r="B226" s="55">
        <v>2305</v>
      </c>
      <c r="C226" s="55">
        <v>963</v>
      </c>
      <c r="D226" s="55">
        <v>70.5</v>
      </c>
      <c r="E226" s="55">
        <f t="shared" si="4"/>
        <v>29.5</v>
      </c>
      <c r="F226" s="55">
        <v>29.6</v>
      </c>
      <c r="G226" s="56">
        <v>29.5736317</v>
      </c>
      <c r="H226" s="57">
        <f t="shared" si="1"/>
        <v>0.24928787305284286</v>
      </c>
      <c r="I226" s="57">
        <f t="shared" si="2"/>
        <v>-7.3631699999999967E-2</v>
      </c>
    </row>
    <row r="227" spans="1:9">
      <c r="A227" s="55" t="s">
        <v>295</v>
      </c>
      <c r="B227" s="55">
        <v>272</v>
      </c>
      <c r="C227" s="55">
        <v>100</v>
      </c>
      <c r="D227" s="55">
        <v>73.099999999999994</v>
      </c>
      <c r="E227" s="55">
        <f t="shared" si="4"/>
        <v>26.900000000000006</v>
      </c>
      <c r="F227" s="55">
        <v>26.9</v>
      </c>
      <c r="G227" s="56">
        <v>26.881720399999999</v>
      </c>
      <c r="H227" s="57">
        <f t="shared" si="1"/>
        <v>6.7976999858140347E-2</v>
      </c>
      <c r="I227" s="57">
        <f t="shared" si="2"/>
        <v>1.8279600000006724E-2</v>
      </c>
    </row>
    <row r="228" spans="1:9">
      <c r="A228" s="55" t="s">
        <v>492</v>
      </c>
      <c r="B228" s="55">
        <v>693</v>
      </c>
      <c r="C228" s="55">
        <v>152</v>
      </c>
      <c r="D228" s="55">
        <v>82</v>
      </c>
      <c r="E228" s="55">
        <f t="shared" si="4"/>
        <v>18</v>
      </c>
      <c r="F228" s="55">
        <v>18.100000000000001</v>
      </c>
      <c r="G228" s="56">
        <v>18.140068899999999</v>
      </c>
      <c r="H228" s="57">
        <f t="shared" si="1"/>
        <v>0.77514462071210533</v>
      </c>
      <c r="I228" s="57">
        <f t="shared" si="2"/>
        <v>-0.14006889999999927</v>
      </c>
    </row>
    <row r="229" spans="1:9">
      <c r="A229" s="55" t="s">
        <v>298</v>
      </c>
      <c r="B229" s="55">
        <v>251</v>
      </c>
      <c r="C229" s="55">
        <v>105</v>
      </c>
      <c r="D229" s="55">
        <v>70.5</v>
      </c>
      <c r="E229" s="55">
        <f t="shared" si="4"/>
        <v>29.5</v>
      </c>
      <c r="F229" s="55">
        <v>29.3</v>
      </c>
      <c r="G229" s="56">
        <v>29.3296089</v>
      </c>
      <c r="H229" s="57">
        <f t="shared" si="1"/>
        <v>0.57926987170570776</v>
      </c>
      <c r="I229" s="57">
        <f t="shared" si="2"/>
        <v>0.1703910999999998</v>
      </c>
    </row>
    <row r="230" spans="1:9">
      <c r="A230" s="55" t="s">
        <v>299</v>
      </c>
      <c r="B230" s="55">
        <v>494</v>
      </c>
      <c r="C230" s="55">
        <v>207</v>
      </c>
      <c r="D230" s="55">
        <v>70.5</v>
      </c>
      <c r="E230" s="55">
        <f t="shared" si="4"/>
        <v>29.5</v>
      </c>
      <c r="F230" s="55">
        <v>29.4</v>
      </c>
      <c r="G230" s="56">
        <v>29.370629399999999</v>
      </c>
      <c r="H230" s="57">
        <f t="shared" si="1"/>
        <v>0.43950812593147326</v>
      </c>
      <c r="I230" s="57">
        <f t="shared" si="2"/>
        <v>0.12937060000000145</v>
      </c>
    </row>
    <row r="231" spans="1:9">
      <c r="A231" s="55" t="s">
        <v>301</v>
      </c>
      <c r="B231" s="55">
        <v>4918</v>
      </c>
      <c r="C231" s="55">
        <v>2033</v>
      </c>
      <c r="D231" s="55">
        <v>70.8</v>
      </c>
      <c r="E231" s="55">
        <f t="shared" si="4"/>
        <v>29.200000000000003</v>
      </c>
      <c r="F231" s="55">
        <v>29.3</v>
      </c>
      <c r="G231" s="56">
        <v>29.297479899999999</v>
      </c>
      <c r="H231" s="57">
        <f t="shared" si="1"/>
        <v>0.33327897258697525</v>
      </c>
      <c r="I231" s="57">
        <f t="shared" si="2"/>
        <v>-9.7479899999996178E-2</v>
      </c>
    </row>
    <row r="232" spans="1:9">
      <c r="A232" s="55" t="s">
        <v>493</v>
      </c>
      <c r="B232" s="55">
        <v>2525</v>
      </c>
      <c r="C232" s="55">
        <v>988</v>
      </c>
      <c r="D232" s="55">
        <v>71.900000000000006</v>
      </c>
      <c r="E232" s="55">
        <f t="shared" si="4"/>
        <v>28.099999999999994</v>
      </c>
      <c r="F232" s="55">
        <v>28</v>
      </c>
      <c r="G232" s="56">
        <v>28.0270957</v>
      </c>
      <c r="H232" s="57">
        <f t="shared" si="1"/>
        <v>0.25978290553164696</v>
      </c>
      <c r="I232" s="57">
        <f t="shared" si="2"/>
        <v>7.2904299999994038E-2</v>
      </c>
    </row>
    <row r="233" spans="1:9">
      <c r="A233" s="55" t="s">
        <v>303</v>
      </c>
      <c r="B233" s="55">
        <v>3531</v>
      </c>
      <c r="C233" s="55">
        <v>253</v>
      </c>
      <c r="D233" s="55">
        <v>93.3</v>
      </c>
      <c r="E233" s="55">
        <f t="shared" si="4"/>
        <v>6.7000000000000028</v>
      </c>
      <c r="F233" s="55">
        <v>6.7</v>
      </c>
      <c r="G233" s="56">
        <v>6.6649241999999997</v>
      </c>
      <c r="H233" s="57">
        <f t="shared" si="1"/>
        <v>0.5248933622833879</v>
      </c>
      <c r="I233" s="57">
        <f t="shared" si="2"/>
        <v>3.5075800000003099E-2</v>
      </c>
    </row>
    <row r="234" spans="1:9">
      <c r="A234" s="55" t="s">
        <v>305</v>
      </c>
      <c r="B234" s="55">
        <v>5661</v>
      </c>
      <c r="C234" s="55">
        <v>3830</v>
      </c>
      <c r="D234" s="55">
        <v>59.6</v>
      </c>
      <c r="E234" s="55">
        <f t="shared" si="4"/>
        <v>40.4</v>
      </c>
      <c r="F234" s="55">
        <v>40.299999999999997</v>
      </c>
      <c r="G234" s="56">
        <v>40.262582100000003</v>
      </c>
      <c r="H234" s="57">
        <f t="shared" si="1"/>
        <v>0.34072278973076792</v>
      </c>
      <c r="I234" s="57">
        <f t="shared" si="2"/>
        <v>0.13741789999999554</v>
      </c>
    </row>
    <row r="235" spans="1:9">
      <c r="A235" s="58" t="s">
        <v>306</v>
      </c>
      <c r="B235" s="58">
        <v>4724</v>
      </c>
      <c r="C235" s="58">
        <v>415</v>
      </c>
      <c r="D235" s="58">
        <v>91.9</v>
      </c>
      <c r="E235" s="58">
        <f t="shared" si="4"/>
        <v>8.0999999999999943</v>
      </c>
      <c r="F235" s="58">
        <v>8.1</v>
      </c>
      <c r="G235" s="59">
        <v>6.8573285999999998</v>
      </c>
      <c r="H235" s="60">
        <f t="shared" si="1"/>
        <v>16.616221161310783</v>
      </c>
      <c r="I235" s="60">
        <f t="shared" si="2"/>
        <v>1.2426713999999945</v>
      </c>
    </row>
    <row r="236" spans="1:9">
      <c r="A236" s="55" t="s">
        <v>307</v>
      </c>
      <c r="B236" s="55">
        <v>1256</v>
      </c>
      <c r="C236" s="55">
        <v>1881</v>
      </c>
      <c r="D236" s="55">
        <v>40</v>
      </c>
      <c r="E236" s="55">
        <f t="shared" si="4"/>
        <v>60</v>
      </c>
      <c r="F236" s="55">
        <v>59.8</v>
      </c>
      <c r="G236" s="56">
        <v>59.822560199999998</v>
      </c>
      <c r="H236" s="57">
        <f t="shared" si="1"/>
        <v>0.29617093759944874</v>
      </c>
      <c r="I236" s="57">
        <f t="shared" si="2"/>
        <v>0.17743980000000192</v>
      </c>
    </row>
    <row r="237" spans="1:9">
      <c r="A237" s="55" t="s">
        <v>308</v>
      </c>
      <c r="B237" s="55"/>
      <c r="C237" s="55"/>
      <c r="D237" s="55"/>
      <c r="E237" s="55"/>
      <c r="F237" s="55"/>
      <c r="G237" s="56">
        <v>9.9111733999999991</v>
      </c>
      <c r="H237" s="57">
        <f t="shared" si="1"/>
        <v>200</v>
      </c>
      <c r="I237" s="57">
        <f t="shared" si="2"/>
        <v>-9.9111733999999991</v>
      </c>
    </row>
    <row r="238" spans="1:9">
      <c r="A238" s="55" t="s">
        <v>310</v>
      </c>
      <c r="B238" s="55">
        <v>1037</v>
      </c>
      <c r="C238" s="55">
        <v>247</v>
      </c>
      <c r="D238" s="55">
        <v>80.8</v>
      </c>
      <c r="E238" s="55">
        <f t="shared" ref="E238:E329" si="5">100-D238</f>
        <v>19.200000000000003</v>
      </c>
      <c r="F238" s="55">
        <v>19.100000000000001</v>
      </c>
      <c r="G238" s="56">
        <v>19.106317399999998</v>
      </c>
      <c r="H238" s="57">
        <f t="shared" si="1"/>
        <v>0.48912349898716501</v>
      </c>
      <c r="I238" s="57">
        <f t="shared" si="2"/>
        <v>9.3682600000004612E-2</v>
      </c>
    </row>
    <row r="239" spans="1:9">
      <c r="A239" s="55" t="s">
        <v>311</v>
      </c>
      <c r="B239" s="55">
        <v>1471</v>
      </c>
      <c r="C239" s="55">
        <v>218</v>
      </c>
      <c r="D239" s="55">
        <v>87.1</v>
      </c>
      <c r="E239" s="55">
        <f t="shared" si="5"/>
        <v>12.900000000000006</v>
      </c>
      <c r="F239" s="55">
        <v>12.9</v>
      </c>
      <c r="G239" s="56">
        <v>12.9144852</v>
      </c>
      <c r="H239" s="57">
        <f t="shared" si="1"/>
        <v>0.11222536407577849</v>
      </c>
      <c r="I239" s="57">
        <f t="shared" si="2"/>
        <v>-1.4485199999993981E-2</v>
      </c>
    </row>
    <row r="240" spans="1:9">
      <c r="A240" s="55" t="s">
        <v>313</v>
      </c>
      <c r="B240" s="55">
        <v>1136</v>
      </c>
      <c r="C240" s="55">
        <v>347</v>
      </c>
      <c r="D240" s="55">
        <v>76.599999999999994</v>
      </c>
      <c r="E240" s="55">
        <f t="shared" si="5"/>
        <v>23.400000000000006</v>
      </c>
      <c r="F240" s="55">
        <v>24</v>
      </c>
      <c r="G240" s="56">
        <v>24.002659600000001</v>
      </c>
      <c r="H240" s="57">
        <f t="shared" si="1"/>
        <v>2.5427248390088031</v>
      </c>
      <c r="I240" s="57">
        <f t="shared" si="2"/>
        <v>-0.60265959999999552</v>
      </c>
    </row>
    <row r="241" spans="1:9">
      <c r="A241" s="55" t="s">
        <v>314</v>
      </c>
      <c r="B241" s="55">
        <v>614</v>
      </c>
      <c r="C241" s="55">
        <v>54</v>
      </c>
      <c r="D241" s="55">
        <v>91.9</v>
      </c>
      <c r="E241" s="55">
        <f t="shared" si="5"/>
        <v>8.0999999999999943</v>
      </c>
      <c r="F241" s="55">
        <v>8</v>
      </c>
      <c r="G241" s="56">
        <v>7.9528718999999999</v>
      </c>
      <c r="H241" s="57">
        <f t="shared" si="1"/>
        <v>1.8330439676653061</v>
      </c>
      <c r="I241" s="57">
        <f t="shared" si="2"/>
        <v>0.14712809999999443</v>
      </c>
    </row>
    <row r="242" spans="1:9">
      <c r="A242" s="55" t="s">
        <v>316</v>
      </c>
      <c r="B242" s="55">
        <v>3105</v>
      </c>
      <c r="C242" s="55">
        <v>8897</v>
      </c>
      <c r="D242" s="55">
        <v>25.9</v>
      </c>
      <c r="E242" s="55">
        <f t="shared" si="5"/>
        <v>74.099999999999994</v>
      </c>
      <c r="F242" s="55">
        <v>74.099999999999994</v>
      </c>
      <c r="G242" s="56">
        <v>74.0682458</v>
      </c>
      <c r="H242" s="57">
        <f t="shared" si="1"/>
        <v>4.2862355329301771E-2</v>
      </c>
      <c r="I242" s="57">
        <f t="shared" si="2"/>
        <v>3.1754199999994626E-2</v>
      </c>
    </row>
    <row r="243" spans="1:9">
      <c r="A243" s="55" t="s">
        <v>318</v>
      </c>
      <c r="B243" s="55">
        <v>359</v>
      </c>
      <c r="C243" s="55">
        <v>125</v>
      </c>
      <c r="D243" s="55">
        <v>74.2</v>
      </c>
      <c r="E243" s="55">
        <f t="shared" si="5"/>
        <v>25.799999999999997</v>
      </c>
      <c r="F243" s="55">
        <v>25.8</v>
      </c>
      <c r="G243" s="56">
        <v>25.766871200000001</v>
      </c>
      <c r="H243" s="57">
        <f t="shared" si="1"/>
        <v>0.12848869527688747</v>
      </c>
      <c r="I243" s="57">
        <f t="shared" si="2"/>
        <v>3.3128799999996517E-2</v>
      </c>
    </row>
    <row r="244" spans="1:9">
      <c r="A244" s="55" t="s">
        <v>319</v>
      </c>
      <c r="B244" s="55">
        <v>6954</v>
      </c>
      <c r="C244" s="55">
        <v>47732</v>
      </c>
      <c r="D244" s="55">
        <v>12.7</v>
      </c>
      <c r="E244" s="55">
        <f t="shared" si="5"/>
        <v>87.3</v>
      </c>
      <c r="F244" s="55">
        <v>87.3</v>
      </c>
      <c r="G244" s="56">
        <v>87.251938999999993</v>
      </c>
      <c r="H244" s="57">
        <f t="shared" si="1"/>
        <v>5.5067850034028122E-2</v>
      </c>
      <c r="I244" s="57">
        <f t="shared" si="2"/>
        <v>4.8061000000004128E-2</v>
      </c>
    </row>
    <row r="245" spans="1:9">
      <c r="A245" s="55" t="s">
        <v>321</v>
      </c>
      <c r="B245" s="55">
        <v>2423</v>
      </c>
      <c r="C245" s="55">
        <v>2579</v>
      </c>
      <c r="D245" s="55">
        <v>48.4</v>
      </c>
      <c r="E245" s="55">
        <f t="shared" si="5"/>
        <v>51.6</v>
      </c>
      <c r="F245" s="55">
        <v>51.7</v>
      </c>
      <c r="G245" s="56">
        <v>51.728880199999999</v>
      </c>
      <c r="H245" s="57">
        <f t="shared" si="1"/>
        <v>0.24945629866604818</v>
      </c>
      <c r="I245" s="57">
        <f t="shared" si="2"/>
        <v>-0.12888019999999756</v>
      </c>
    </row>
    <row r="246" spans="1:9">
      <c r="A246" s="55" t="s">
        <v>322</v>
      </c>
      <c r="B246" s="55">
        <v>923</v>
      </c>
      <c r="C246" s="55">
        <v>8050</v>
      </c>
      <c r="D246" s="55">
        <v>10.3</v>
      </c>
      <c r="E246" s="55">
        <f t="shared" si="5"/>
        <v>89.7</v>
      </c>
      <c r="F246" s="55">
        <v>89.6</v>
      </c>
      <c r="G246" s="56">
        <v>89.613848200000007</v>
      </c>
      <c r="H246" s="57">
        <f t="shared" si="1"/>
        <v>9.6090514887512316E-2</v>
      </c>
      <c r="I246" s="57">
        <f t="shared" si="2"/>
        <v>8.6151799999996115E-2</v>
      </c>
    </row>
    <row r="247" spans="1:9">
      <c r="A247" s="55" t="s">
        <v>324</v>
      </c>
      <c r="B247" s="55">
        <v>3042</v>
      </c>
      <c r="C247" s="55">
        <v>18949</v>
      </c>
      <c r="D247" s="55">
        <v>13.8</v>
      </c>
      <c r="E247" s="55">
        <f t="shared" si="5"/>
        <v>86.2</v>
      </c>
      <c r="F247" s="55">
        <v>86.1</v>
      </c>
      <c r="G247" s="56">
        <v>86.145993300000001</v>
      </c>
      <c r="H247" s="57">
        <f t="shared" si="1"/>
        <v>6.2672417229907462E-2</v>
      </c>
      <c r="I247" s="57">
        <f t="shared" si="2"/>
        <v>5.4006700000002184E-2</v>
      </c>
    </row>
    <row r="248" spans="1:9">
      <c r="A248" s="55" t="s">
        <v>325</v>
      </c>
      <c r="B248" s="55">
        <v>634</v>
      </c>
      <c r="C248" s="55">
        <v>3344</v>
      </c>
      <c r="D248" s="55">
        <v>15.9</v>
      </c>
      <c r="E248" s="55">
        <f t="shared" si="5"/>
        <v>84.1</v>
      </c>
      <c r="F248" s="55">
        <v>84</v>
      </c>
      <c r="G248" s="56">
        <v>84.030037500000006</v>
      </c>
      <c r="H248" s="57">
        <f t="shared" si="1"/>
        <v>8.3224272164916846E-2</v>
      </c>
      <c r="I248" s="57">
        <f t="shared" si="2"/>
        <v>6.9962499999988381E-2</v>
      </c>
    </row>
    <row r="249" spans="1:9">
      <c r="A249" s="55" t="s">
        <v>494</v>
      </c>
      <c r="B249" s="55">
        <v>1700</v>
      </c>
      <c r="C249" s="55">
        <v>8488</v>
      </c>
      <c r="D249" s="55">
        <v>16.7</v>
      </c>
      <c r="E249" s="55">
        <f t="shared" si="5"/>
        <v>83.3</v>
      </c>
      <c r="F249" s="55">
        <v>83.3</v>
      </c>
      <c r="G249" s="56">
        <v>83.283117899999993</v>
      </c>
      <c r="H249" s="57">
        <f t="shared" si="1"/>
        <v>2.026868053957066E-2</v>
      </c>
      <c r="I249" s="57">
        <f t="shared" si="2"/>
        <v>1.6882100000003675E-2</v>
      </c>
    </row>
    <row r="250" spans="1:9">
      <c r="A250" s="55" t="s">
        <v>328</v>
      </c>
      <c r="B250" s="55">
        <v>1570</v>
      </c>
      <c r="C250" s="55">
        <v>2569</v>
      </c>
      <c r="D250" s="55">
        <v>37.9</v>
      </c>
      <c r="E250" s="55">
        <f t="shared" si="5"/>
        <v>62.1</v>
      </c>
      <c r="F250" s="55">
        <v>62</v>
      </c>
      <c r="G250" s="56">
        <v>62.037481999999997</v>
      </c>
      <c r="H250" s="57">
        <f t="shared" si="1"/>
        <v>0.10072380878485079</v>
      </c>
      <c r="I250" s="57">
        <f t="shared" si="2"/>
        <v>6.2518000000004292E-2</v>
      </c>
    </row>
    <row r="251" spans="1:9">
      <c r="A251" s="55" t="s">
        <v>329</v>
      </c>
      <c r="B251" s="55">
        <v>383</v>
      </c>
      <c r="C251" s="55">
        <v>1089</v>
      </c>
      <c r="D251" s="55">
        <v>26</v>
      </c>
      <c r="E251" s="55">
        <f t="shared" si="5"/>
        <v>74</v>
      </c>
      <c r="F251" s="55">
        <v>73.900000000000006</v>
      </c>
      <c r="G251" s="56">
        <v>73.854447399999998</v>
      </c>
      <c r="H251" s="57">
        <f t="shared" si="1"/>
        <v>0.19688633322774438</v>
      </c>
      <c r="I251" s="57">
        <f t="shared" si="2"/>
        <v>0.14555260000000203</v>
      </c>
    </row>
    <row r="252" spans="1:9">
      <c r="A252" s="55" t="s">
        <v>495</v>
      </c>
      <c r="B252" s="55">
        <v>2280</v>
      </c>
      <c r="C252" s="55">
        <v>4130</v>
      </c>
      <c r="D252" s="55">
        <v>35.6</v>
      </c>
      <c r="E252" s="55">
        <f t="shared" si="5"/>
        <v>64.400000000000006</v>
      </c>
      <c r="F252" s="55">
        <v>64.2</v>
      </c>
      <c r="G252" s="56">
        <v>64.235040100000006</v>
      </c>
      <c r="H252" s="57">
        <f t="shared" si="1"/>
        <v>0.25647739507331868</v>
      </c>
      <c r="I252" s="57">
        <f t="shared" si="2"/>
        <v>0.16495989999999949</v>
      </c>
    </row>
    <row r="253" spans="1:9">
      <c r="A253" s="55" t="s">
        <v>332</v>
      </c>
      <c r="B253" s="55">
        <v>713</v>
      </c>
      <c r="C253" s="55">
        <v>2512</v>
      </c>
      <c r="D253" s="55">
        <v>22.1</v>
      </c>
      <c r="E253" s="55">
        <f t="shared" si="5"/>
        <v>77.900000000000006</v>
      </c>
      <c r="F253" s="55">
        <v>77.900000000000006</v>
      </c>
      <c r="G253" s="56">
        <v>77.897325499999994</v>
      </c>
      <c r="H253" s="57">
        <f t="shared" si="1"/>
        <v>3.4333066905078589E-3</v>
      </c>
      <c r="I253" s="57">
        <f t="shared" si="2"/>
        <v>2.6745000000119035E-3</v>
      </c>
    </row>
    <row r="254" spans="1:9">
      <c r="A254" s="55" t="s">
        <v>203</v>
      </c>
      <c r="B254" s="55">
        <v>2123</v>
      </c>
      <c r="C254" s="55">
        <v>3228</v>
      </c>
      <c r="D254" s="55">
        <v>39.700000000000003</v>
      </c>
      <c r="E254" s="55">
        <f t="shared" si="5"/>
        <v>60.3</v>
      </c>
      <c r="F254" s="55">
        <v>60.3</v>
      </c>
      <c r="G254" s="56">
        <v>60.332410000000003</v>
      </c>
      <c r="H254" s="57">
        <f t="shared" si="1"/>
        <v>5.3733486713903544E-2</v>
      </c>
      <c r="I254" s="57">
        <f t="shared" si="2"/>
        <v>-3.2410000000005823E-2</v>
      </c>
    </row>
    <row r="255" spans="1:9">
      <c r="A255" s="55" t="s">
        <v>336</v>
      </c>
      <c r="B255" s="55">
        <v>12470</v>
      </c>
      <c r="C255" s="55">
        <v>348031</v>
      </c>
      <c r="D255" s="55">
        <v>3.5</v>
      </c>
      <c r="E255" s="55">
        <f t="shared" si="5"/>
        <v>96.5</v>
      </c>
      <c r="F255" s="55">
        <v>96.5</v>
      </c>
      <c r="G255" s="56">
        <v>96.587236200000007</v>
      </c>
      <c r="H255" s="57">
        <f t="shared" si="1"/>
        <v>9.0359364727399472E-2</v>
      </c>
      <c r="I255" s="57">
        <f t="shared" si="2"/>
        <v>-8.7236200000006647E-2</v>
      </c>
    </row>
    <row r="256" spans="1:9">
      <c r="A256" s="55" t="s">
        <v>337</v>
      </c>
      <c r="B256" s="55">
        <v>2170</v>
      </c>
      <c r="C256" s="55">
        <v>8022</v>
      </c>
      <c r="D256" s="55">
        <v>21.3</v>
      </c>
      <c r="E256" s="55">
        <f t="shared" si="5"/>
        <v>78.7</v>
      </c>
      <c r="F256" s="55">
        <v>78.7</v>
      </c>
      <c r="G256" s="56">
        <v>80.271357600000002</v>
      </c>
      <c r="H256" s="57">
        <f t="shared" si="1"/>
        <v>1.976906561940311</v>
      </c>
      <c r="I256" s="57">
        <f t="shared" si="2"/>
        <v>-1.5713575999999989</v>
      </c>
    </row>
    <row r="257" spans="1:9">
      <c r="A257" s="55" t="s">
        <v>338</v>
      </c>
      <c r="B257" s="55">
        <v>944</v>
      </c>
      <c r="C257" s="55">
        <v>2644</v>
      </c>
      <c r="D257" s="55">
        <v>26.3</v>
      </c>
      <c r="E257" s="55">
        <f t="shared" si="5"/>
        <v>73.7</v>
      </c>
      <c r="F257" s="55">
        <v>73.7</v>
      </c>
      <c r="G257" s="56">
        <v>73.660960799999998</v>
      </c>
      <c r="H257" s="57">
        <f t="shared" si="1"/>
        <v>5.2984453668145234E-2</v>
      </c>
      <c r="I257" s="57">
        <f t="shared" si="2"/>
        <v>3.9039200000004826E-2</v>
      </c>
    </row>
    <row r="258" spans="1:9">
      <c r="A258" s="55" t="s">
        <v>339</v>
      </c>
      <c r="B258" s="55">
        <v>1755</v>
      </c>
      <c r="C258" s="55">
        <v>19411</v>
      </c>
      <c r="D258" s="55">
        <v>8.3000000000000007</v>
      </c>
      <c r="E258" s="55">
        <f t="shared" si="5"/>
        <v>91.7</v>
      </c>
      <c r="F258" s="55">
        <v>91.7</v>
      </c>
      <c r="G258" s="56">
        <v>91.714366100000007</v>
      </c>
      <c r="H258" s="57">
        <f t="shared" ref="H258:H345" si="6">(ABS(E258-G258))/((E258+G258)/2)*100</f>
        <v>1.5665185127506448E-2</v>
      </c>
      <c r="I258" s="57">
        <f t="shared" ref="I258:I345" si="7">E258-G258</f>
        <v>-1.4366100000003712E-2</v>
      </c>
    </row>
    <row r="259" spans="1:9">
      <c r="A259" s="55" t="s">
        <v>340</v>
      </c>
      <c r="B259" s="55">
        <v>2540</v>
      </c>
      <c r="C259" s="55">
        <v>9614</v>
      </c>
      <c r="D259" s="55">
        <v>20.9</v>
      </c>
      <c r="E259" s="55">
        <f t="shared" si="5"/>
        <v>79.099999999999994</v>
      </c>
      <c r="F259" s="55">
        <v>79</v>
      </c>
      <c r="G259" s="56">
        <v>79.043727000000004</v>
      </c>
      <c r="H259" s="57">
        <f t="shared" si="6"/>
        <v>7.1166907556175468E-2</v>
      </c>
      <c r="I259" s="57">
        <f t="shared" si="7"/>
        <v>5.6272999999990247E-2</v>
      </c>
    </row>
    <row r="260" spans="1:9">
      <c r="A260" s="55" t="s">
        <v>341</v>
      </c>
      <c r="B260" s="55">
        <v>4012</v>
      </c>
      <c r="C260" s="55">
        <v>19043</v>
      </c>
      <c r="D260" s="55">
        <v>17.399999999999999</v>
      </c>
      <c r="E260" s="55">
        <f t="shared" si="5"/>
        <v>82.6</v>
      </c>
      <c r="F260" s="55">
        <v>82.6</v>
      </c>
      <c r="G260" s="56">
        <v>82.599707100000003</v>
      </c>
      <c r="H260" s="57">
        <f t="shared" si="6"/>
        <v>3.5460111295916032E-4</v>
      </c>
      <c r="I260" s="57">
        <f t="shared" si="7"/>
        <v>2.9289999999093652E-4</v>
      </c>
    </row>
    <row r="261" spans="1:9">
      <c r="A261" s="55" t="s">
        <v>342</v>
      </c>
      <c r="B261" s="55">
        <v>272</v>
      </c>
      <c r="C261" s="55">
        <v>2270</v>
      </c>
      <c r="D261" s="55">
        <v>10.7</v>
      </c>
      <c r="E261" s="55">
        <f t="shared" si="5"/>
        <v>89.3</v>
      </c>
      <c r="F261" s="55">
        <v>89.2</v>
      </c>
      <c r="G261" s="56">
        <v>89.21875</v>
      </c>
      <c r="H261" s="57">
        <f t="shared" si="6"/>
        <v>9.1026852921608684E-2</v>
      </c>
      <c r="I261" s="57">
        <f t="shared" si="7"/>
        <v>8.1249999999997158E-2</v>
      </c>
    </row>
    <row r="262" spans="1:9">
      <c r="A262" s="55" t="s">
        <v>496</v>
      </c>
      <c r="B262" s="55">
        <v>806</v>
      </c>
      <c r="C262" s="55">
        <v>9914</v>
      </c>
      <c r="D262" s="55">
        <v>7.5</v>
      </c>
      <c r="E262" s="55">
        <f t="shared" si="5"/>
        <v>92.5</v>
      </c>
      <c r="F262" s="55">
        <v>92.5</v>
      </c>
      <c r="G262" s="56">
        <v>92.452655899999996</v>
      </c>
      <c r="H262" s="57">
        <f t="shared" si="6"/>
        <v>5.1195912564350111E-2</v>
      </c>
      <c r="I262" s="57">
        <f t="shared" si="7"/>
        <v>4.7344100000003664E-2</v>
      </c>
    </row>
    <row r="263" spans="1:9">
      <c r="A263" s="55" t="s">
        <v>497</v>
      </c>
      <c r="B263" s="55">
        <v>373</v>
      </c>
      <c r="C263" s="55">
        <v>2183</v>
      </c>
      <c r="D263" s="55">
        <v>14.6</v>
      </c>
      <c r="E263" s="55">
        <f t="shared" si="5"/>
        <v>85.4</v>
      </c>
      <c r="F263" s="55">
        <v>85.4</v>
      </c>
      <c r="G263" s="56">
        <v>85.437645200000006</v>
      </c>
      <c r="H263" s="57">
        <f t="shared" si="6"/>
        <v>4.4071316899654905E-2</v>
      </c>
      <c r="I263" s="57">
        <f t="shared" si="7"/>
        <v>-3.7645200000000045E-2</v>
      </c>
    </row>
    <row r="264" spans="1:9">
      <c r="A264" s="55" t="s">
        <v>346</v>
      </c>
      <c r="B264" s="55">
        <v>151</v>
      </c>
      <c r="C264" s="55">
        <v>973</v>
      </c>
      <c r="D264" s="55">
        <v>13.4</v>
      </c>
      <c r="E264" s="55">
        <f t="shared" si="5"/>
        <v>86.6</v>
      </c>
      <c r="F264" s="55">
        <v>86.7</v>
      </c>
      <c r="G264" s="56">
        <v>86.654960500000001</v>
      </c>
      <c r="H264" s="57">
        <f t="shared" si="6"/>
        <v>6.3444648097111284E-2</v>
      </c>
      <c r="I264" s="57">
        <f t="shared" si="7"/>
        <v>-5.4960500000007073E-2</v>
      </c>
    </row>
    <row r="265" spans="1:9">
      <c r="A265" s="55" t="s">
        <v>348</v>
      </c>
      <c r="B265" s="55">
        <v>656</v>
      </c>
      <c r="C265" s="55">
        <v>2479</v>
      </c>
      <c r="D265" s="55">
        <v>20.9</v>
      </c>
      <c r="E265" s="55">
        <f t="shared" si="5"/>
        <v>79.099999999999994</v>
      </c>
      <c r="F265" s="55">
        <v>79</v>
      </c>
      <c r="G265" s="56">
        <v>79.028697600000001</v>
      </c>
      <c r="H265" s="57">
        <f t="shared" si="6"/>
        <v>9.0182744918773455E-2</v>
      </c>
      <c r="I265" s="57">
        <f t="shared" si="7"/>
        <v>7.1302399999993327E-2</v>
      </c>
    </row>
    <row r="266" spans="1:9">
      <c r="A266" s="55" t="s">
        <v>349</v>
      </c>
      <c r="B266" s="55">
        <v>1023</v>
      </c>
      <c r="C266" s="55">
        <v>3507</v>
      </c>
      <c r="D266" s="55">
        <v>22.6</v>
      </c>
      <c r="E266" s="55">
        <f t="shared" si="5"/>
        <v>77.400000000000006</v>
      </c>
      <c r="F266" s="55">
        <v>77.3</v>
      </c>
      <c r="G266" s="56">
        <v>77.279685099999995</v>
      </c>
      <c r="H266" s="57">
        <f t="shared" si="6"/>
        <v>0.15556651789435405</v>
      </c>
      <c r="I266" s="57">
        <f t="shared" si="7"/>
        <v>0.12031490000001099</v>
      </c>
    </row>
    <row r="267" spans="1:9">
      <c r="A267" s="55" t="s">
        <v>350</v>
      </c>
      <c r="B267" s="55">
        <v>5561</v>
      </c>
      <c r="C267" s="55">
        <v>9058</v>
      </c>
      <c r="D267" s="55">
        <v>38</v>
      </c>
      <c r="E267" s="55">
        <f t="shared" si="5"/>
        <v>62</v>
      </c>
      <c r="F267" s="55">
        <v>62.1</v>
      </c>
      <c r="G267" s="56">
        <v>62.071066000000002</v>
      </c>
      <c r="H267" s="57">
        <f t="shared" si="6"/>
        <v>0.11455692659238029</v>
      </c>
      <c r="I267" s="57">
        <f t="shared" si="7"/>
        <v>-7.106600000000185E-2</v>
      </c>
    </row>
    <row r="268" spans="1:9">
      <c r="A268" s="55" t="s">
        <v>498</v>
      </c>
      <c r="B268" s="55">
        <v>475</v>
      </c>
      <c r="C268" s="55">
        <v>1565</v>
      </c>
      <c r="D268" s="55">
        <v>23.3</v>
      </c>
      <c r="E268" s="55">
        <f t="shared" si="5"/>
        <v>76.7</v>
      </c>
      <c r="F268" s="55">
        <v>76.7</v>
      </c>
      <c r="G268" s="56">
        <v>76.739659399999994</v>
      </c>
      <c r="H268" s="57">
        <f t="shared" si="6"/>
        <v>5.1693806092990846E-2</v>
      </c>
      <c r="I268" s="57">
        <f t="shared" si="7"/>
        <v>-3.9659399999990796E-2</v>
      </c>
    </row>
    <row r="269" spans="1:9">
      <c r="A269" s="55" t="s">
        <v>499</v>
      </c>
      <c r="B269" s="55">
        <v>408</v>
      </c>
      <c r="C269" s="55">
        <v>4111</v>
      </c>
      <c r="D269" s="55">
        <v>9</v>
      </c>
      <c r="E269" s="55">
        <f t="shared" si="5"/>
        <v>91</v>
      </c>
      <c r="F269" s="55">
        <v>91</v>
      </c>
      <c r="G269" s="56">
        <v>90.954883899999999</v>
      </c>
      <c r="H269" s="57">
        <f t="shared" si="6"/>
        <v>4.9590424871251641E-2</v>
      </c>
      <c r="I269" s="57">
        <f t="shared" si="7"/>
        <v>4.5116100000001325E-2</v>
      </c>
    </row>
    <row r="270" spans="1:9">
      <c r="A270" s="55" t="s">
        <v>354</v>
      </c>
      <c r="B270" s="55">
        <v>664</v>
      </c>
      <c r="C270" s="55">
        <v>6460</v>
      </c>
      <c r="D270" s="55">
        <v>9.3000000000000007</v>
      </c>
      <c r="E270" s="55">
        <f t="shared" si="5"/>
        <v>90.7</v>
      </c>
      <c r="F270" s="55">
        <v>90.7</v>
      </c>
      <c r="G270" s="56">
        <v>90.657198600000001</v>
      </c>
      <c r="H270" s="57">
        <f t="shared" si="6"/>
        <v>4.7201214322244028E-2</v>
      </c>
      <c r="I270" s="57">
        <f t="shared" si="7"/>
        <v>4.2801400000001877E-2</v>
      </c>
    </row>
    <row r="271" spans="1:9">
      <c r="A271" s="55" t="s">
        <v>355</v>
      </c>
      <c r="B271" s="55">
        <v>440</v>
      </c>
      <c r="C271" s="55">
        <v>3280</v>
      </c>
      <c r="D271" s="55">
        <v>11.8</v>
      </c>
      <c r="E271" s="55">
        <f t="shared" si="5"/>
        <v>88.2</v>
      </c>
      <c r="F271" s="55">
        <v>88.2</v>
      </c>
      <c r="G271" s="56">
        <v>88.150520400000005</v>
      </c>
      <c r="H271" s="57">
        <f t="shared" si="6"/>
        <v>5.6115059811298371E-2</v>
      </c>
      <c r="I271" s="57">
        <f t="shared" si="7"/>
        <v>4.9479599999997959E-2</v>
      </c>
    </row>
    <row r="272" spans="1:9">
      <c r="A272" s="55" t="s">
        <v>357</v>
      </c>
      <c r="B272" s="55">
        <v>484</v>
      </c>
      <c r="C272" s="55">
        <v>3590</v>
      </c>
      <c r="D272" s="55">
        <v>11.9</v>
      </c>
      <c r="E272" s="55">
        <f t="shared" si="5"/>
        <v>88.1</v>
      </c>
      <c r="F272" s="55">
        <v>88.2</v>
      </c>
      <c r="G272" s="56">
        <v>88.176741899999996</v>
      </c>
      <c r="H272" s="57">
        <f t="shared" si="6"/>
        <v>8.7069796245198033E-2</v>
      </c>
      <c r="I272" s="57">
        <f t="shared" si="7"/>
        <v>-7.6741900000001806E-2</v>
      </c>
    </row>
    <row r="273" spans="1:9">
      <c r="A273" s="55" t="s">
        <v>500</v>
      </c>
      <c r="B273" s="55">
        <v>1694</v>
      </c>
      <c r="C273" s="55">
        <v>3227</v>
      </c>
      <c r="D273" s="55">
        <v>34.4</v>
      </c>
      <c r="E273" s="55">
        <f t="shared" si="5"/>
        <v>65.599999999999994</v>
      </c>
      <c r="F273" s="55">
        <v>65.8</v>
      </c>
      <c r="G273" s="56">
        <v>65.809562099999994</v>
      </c>
      <c r="H273" s="57">
        <f t="shared" si="6"/>
        <v>0.31894497881444417</v>
      </c>
      <c r="I273" s="57">
        <f t="shared" si="7"/>
        <v>-0.20956209999999942</v>
      </c>
    </row>
    <row r="274" spans="1:9">
      <c r="A274" s="55" t="s">
        <v>501</v>
      </c>
      <c r="B274" s="55">
        <v>197</v>
      </c>
      <c r="C274" s="55">
        <v>1148</v>
      </c>
      <c r="D274" s="55">
        <v>14.6</v>
      </c>
      <c r="E274" s="55">
        <f t="shared" si="5"/>
        <v>85.4</v>
      </c>
      <c r="F274" s="55">
        <v>85.2</v>
      </c>
      <c r="G274" s="56">
        <v>85.155096</v>
      </c>
      <c r="H274" s="57">
        <f t="shared" si="6"/>
        <v>0.28718461745640878</v>
      </c>
      <c r="I274" s="57">
        <f t="shared" si="7"/>
        <v>0.24490400000000534</v>
      </c>
    </row>
    <row r="275" spans="1:9">
      <c r="A275" s="55" t="s">
        <v>361</v>
      </c>
      <c r="B275" s="55">
        <v>448</v>
      </c>
      <c r="C275" s="55">
        <v>619</v>
      </c>
      <c r="D275" s="55">
        <v>42</v>
      </c>
      <c r="E275" s="55">
        <f t="shared" si="5"/>
        <v>58</v>
      </c>
      <c r="F275" s="55">
        <v>58</v>
      </c>
      <c r="G275" s="56">
        <v>57.983193300000003</v>
      </c>
      <c r="H275" s="57">
        <f t="shared" si="6"/>
        <v>2.8981267926508295E-2</v>
      </c>
      <c r="I275" s="57">
        <f t="shared" si="7"/>
        <v>1.6806699999996511E-2</v>
      </c>
    </row>
    <row r="276" spans="1:9">
      <c r="A276" s="55" t="s">
        <v>502</v>
      </c>
      <c r="B276" s="55">
        <v>1908</v>
      </c>
      <c r="C276" s="55">
        <v>4292</v>
      </c>
      <c r="D276" s="55">
        <v>30.8</v>
      </c>
      <c r="E276" s="55">
        <f t="shared" si="5"/>
        <v>69.2</v>
      </c>
      <c r="F276" s="55">
        <v>69.099999999999994</v>
      </c>
      <c r="G276" s="56">
        <v>69.072984599999998</v>
      </c>
      <c r="H276" s="57">
        <f t="shared" si="6"/>
        <v>0.18371687046090532</v>
      </c>
      <c r="I276" s="57">
        <f t="shared" si="7"/>
        <v>0.12701540000000477</v>
      </c>
    </row>
    <row r="277" spans="1:9">
      <c r="A277" s="55" t="s">
        <v>363</v>
      </c>
      <c r="B277" s="55">
        <v>1299</v>
      </c>
      <c r="C277" s="55">
        <v>4268</v>
      </c>
      <c r="D277" s="55">
        <v>23.3</v>
      </c>
      <c r="E277" s="55">
        <f t="shared" si="5"/>
        <v>76.7</v>
      </c>
      <c r="F277" s="55">
        <v>76.7</v>
      </c>
      <c r="G277" s="56">
        <v>76.652451999999997</v>
      </c>
      <c r="H277" s="57">
        <f t="shared" si="6"/>
        <v>6.2011398422251687E-2</v>
      </c>
      <c r="I277" s="57">
        <f t="shared" si="7"/>
        <v>4.7548000000006141E-2</v>
      </c>
    </row>
    <row r="278" spans="1:9">
      <c r="A278" s="55" t="s">
        <v>364</v>
      </c>
      <c r="B278" s="55">
        <v>354</v>
      </c>
      <c r="C278" s="55">
        <v>760</v>
      </c>
      <c r="D278" s="55">
        <v>31.8</v>
      </c>
      <c r="E278" s="55">
        <f t="shared" si="5"/>
        <v>68.2</v>
      </c>
      <c r="F278" s="55">
        <v>68.3</v>
      </c>
      <c r="G278" s="56">
        <v>68.3079678</v>
      </c>
      <c r="H278" s="57">
        <f t="shared" si="6"/>
        <v>0.1581853451341135</v>
      </c>
      <c r="I278" s="57">
        <f t="shared" si="7"/>
        <v>-0.10796779999999728</v>
      </c>
    </row>
    <row r="279" spans="1:9">
      <c r="A279" s="55" t="s">
        <v>503</v>
      </c>
      <c r="B279" s="55">
        <v>1111</v>
      </c>
      <c r="C279" s="55">
        <v>1259</v>
      </c>
      <c r="D279" s="55">
        <v>46.9</v>
      </c>
      <c r="E279" s="55">
        <f t="shared" si="5"/>
        <v>53.1</v>
      </c>
      <c r="F279" s="55">
        <v>53.2</v>
      </c>
      <c r="G279" s="56">
        <v>53.179916300000002</v>
      </c>
      <c r="H279" s="57">
        <f t="shared" si="6"/>
        <v>0.15038833823394857</v>
      </c>
      <c r="I279" s="57">
        <f t="shared" si="7"/>
        <v>-7.9916300000000717E-2</v>
      </c>
    </row>
    <row r="280" spans="1:9">
      <c r="A280" s="55" t="s">
        <v>366</v>
      </c>
      <c r="B280" s="55">
        <v>800</v>
      </c>
      <c r="C280" s="55">
        <v>7530</v>
      </c>
      <c r="D280" s="55">
        <v>9.6</v>
      </c>
      <c r="E280" s="55">
        <f t="shared" si="5"/>
        <v>90.4</v>
      </c>
      <c r="F280" s="55">
        <v>90.4</v>
      </c>
      <c r="G280" s="56">
        <v>90.398853599999995</v>
      </c>
      <c r="H280" s="57">
        <f t="shared" si="6"/>
        <v>1.2681496338982506E-3</v>
      </c>
      <c r="I280" s="57">
        <f t="shared" si="7"/>
        <v>1.1464000000103169E-3</v>
      </c>
    </row>
    <row r="281" spans="1:9">
      <c r="A281" s="55" t="s">
        <v>367</v>
      </c>
      <c r="B281" s="55">
        <v>229</v>
      </c>
      <c r="C281" s="55">
        <v>783</v>
      </c>
      <c r="D281" s="55">
        <v>22.6</v>
      </c>
      <c r="E281" s="55">
        <f t="shared" si="5"/>
        <v>77.400000000000006</v>
      </c>
      <c r="F281" s="55">
        <v>77.3</v>
      </c>
      <c r="G281" s="56">
        <v>77.295162899999994</v>
      </c>
      <c r="H281" s="57">
        <f t="shared" si="6"/>
        <v>0.13554024319142</v>
      </c>
      <c r="I281" s="57">
        <f t="shared" si="7"/>
        <v>0.10483710000001167</v>
      </c>
    </row>
    <row r="282" spans="1:9">
      <c r="A282" s="55" t="s">
        <v>369</v>
      </c>
      <c r="B282" s="55">
        <v>1757</v>
      </c>
      <c r="C282" s="55">
        <v>3432</v>
      </c>
      <c r="D282" s="55">
        <v>33.9</v>
      </c>
      <c r="E282" s="55">
        <f t="shared" si="5"/>
        <v>66.099999999999994</v>
      </c>
      <c r="F282" s="55">
        <v>66.400000000000006</v>
      </c>
      <c r="G282" s="56">
        <v>66.350710899999996</v>
      </c>
      <c r="H282" s="57">
        <f t="shared" si="6"/>
        <v>0.37857237352132844</v>
      </c>
      <c r="I282" s="57">
        <f t="shared" si="7"/>
        <v>-0.2507109000000014</v>
      </c>
    </row>
    <row r="283" spans="1:9">
      <c r="A283" s="55" t="s">
        <v>370</v>
      </c>
      <c r="B283" s="55">
        <v>188</v>
      </c>
      <c r="C283" s="55">
        <v>380</v>
      </c>
      <c r="D283" s="55">
        <v>33.1</v>
      </c>
      <c r="E283" s="55">
        <f t="shared" si="5"/>
        <v>66.900000000000006</v>
      </c>
      <c r="F283" s="55">
        <v>66.8</v>
      </c>
      <c r="G283" s="56">
        <v>66.840277799999996</v>
      </c>
      <c r="H283" s="57">
        <f t="shared" si="6"/>
        <v>8.931071623661628E-2</v>
      </c>
      <c r="I283" s="57">
        <f t="shared" si="7"/>
        <v>5.9722200000010162E-2</v>
      </c>
    </row>
    <row r="284" spans="1:9">
      <c r="A284" s="55" t="s">
        <v>504</v>
      </c>
      <c r="B284" s="55">
        <v>387</v>
      </c>
      <c r="C284" s="55">
        <v>477</v>
      </c>
      <c r="D284" s="55">
        <v>44.8</v>
      </c>
      <c r="E284" s="55">
        <f t="shared" si="5"/>
        <v>55.2</v>
      </c>
      <c r="F284" s="55">
        <v>55.3</v>
      </c>
      <c r="G284" s="56">
        <v>55.287356299999999</v>
      </c>
      <c r="H284" s="57">
        <f t="shared" si="6"/>
        <v>0.15812904376642448</v>
      </c>
      <c r="I284" s="57">
        <f t="shared" si="7"/>
        <v>-8.7356299999996168E-2</v>
      </c>
    </row>
    <row r="285" spans="1:9">
      <c r="A285" s="55" t="s">
        <v>505</v>
      </c>
      <c r="B285" s="55">
        <v>349</v>
      </c>
      <c r="C285" s="55">
        <v>242</v>
      </c>
      <c r="D285" s="55">
        <v>59.1</v>
      </c>
      <c r="E285" s="55">
        <f t="shared" si="5"/>
        <v>40.9</v>
      </c>
      <c r="F285" s="55">
        <v>40.799999999999997</v>
      </c>
      <c r="G285" s="56">
        <v>40.8333333</v>
      </c>
      <c r="H285" s="57">
        <f t="shared" si="6"/>
        <v>0.16313221866359137</v>
      </c>
      <c r="I285" s="57">
        <f t="shared" si="7"/>
        <v>6.6666699999998968E-2</v>
      </c>
    </row>
    <row r="286" spans="1:9">
      <c r="A286" s="55" t="s">
        <v>506</v>
      </c>
      <c r="B286" s="55">
        <v>442</v>
      </c>
      <c r="C286" s="55">
        <v>191</v>
      </c>
      <c r="D286" s="55">
        <v>69.8</v>
      </c>
      <c r="E286" s="55">
        <f t="shared" si="5"/>
        <v>30.200000000000003</v>
      </c>
      <c r="F286" s="55">
        <v>30.1</v>
      </c>
      <c r="G286" s="56">
        <v>30.078740199999999</v>
      </c>
      <c r="H286" s="57">
        <f t="shared" si="6"/>
        <v>0.40233023980817778</v>
      </c>
      <c r="I286" s="57">
        <f t="shared" si="7"/>
        <v>0.12125980000000425</v>
      </c>
    </row>
    <row r="287" spans="1:9">
      <c r="A287" s="55" t="s">
        <v>375</v>
      </c>
      <c r="B287" s="55">
        <v>958</v>
      </c>
      <c r="C287" s="55">
        <v>2067</v>
      </c>
      <c r="D287" s="55">
        <v>31.7</v>
      </c>
      <c r="E287" s="55">
        <f t="shared" si="5"/>
        <v>68.3</v>
      </c>
      <c r="F287" s="55">
        <v>68.5</v>
      </c>
      <c r="G287" s="56">
        <v>68.538238100000001</v>
      </c>
      <c r="H287" s="57">
        <f t="shared" si="6"/>
        <v>0.34820398641190015</v>
      </c>
      <c r="I287" s="57">
        <f t="shared" si="7"/>
        <v>-0.23823810000000378</v>
      </c>
    </row>
    <row r="288" spans="1:9">
      <c r="A288" s="55" t="s">
        <v>507</v>
      </c>
      <c r="B288" s="55">
        <v>712</v>
      </c>
      <c r="C288" s="55">
        <v>1976</v>
      </c>
      <c r="D288" s="55">
        <v>26.5</v>
      </c>
      <c r="E288" s="55">
        <f t="shared" si="5"/>
        <v>73.5</v>
      </c>
      <c r="F288" s="55">
        <v>73.3</v>
      </c>
      <c r="G288" s="56">
        <v>73.323507699999993</v>
      </c>
      <c r="H288" s="57">
        <f t="shared" si="6"/>
        <v>0.24041422625677633</v>
      </c>
      <c r="I288" s="57">
        <f t="shared" si="7"/>
        <v>0.17649230000000671</v>
      </c>
    </row>
    <row r="289" spans="1:9">
      <c r="A289" s="55" t="s">
        <v>377</v>
      </c>
      <c r="B289" s="55">
        <v>569</v>
      </c>
      <c r="C289" s="55">
        <v>2359</v>
      </c>
      <c r="D289" s="55">
        <v>19.399999999999999</v>
      </c>
      <c r="E289" s="55">
        <f t="shared" si="5"/>
        <v>80.599999999999994</v>
      </c>
      <c r="F289" s="55">
        <v>80.599999999999994</v>
      </c>
      <c r="G289" s="56">
        <v>80.634277999999995</v>
      </c>
      <c r="H289" s="57">
        <f t="shared" si="6"/>
        <v>4.2519494520886526E-2</v>
      </c>
      <c r="I289" s="57">
        <f t="shared" si="7"/>
        <v>-3.4278000000000475E-2</v>
      </c>
    </row>
    <row r="290" spans="1:9">
      <c r="A290" s="55" t="s">
        <v>378</v>
      </c>
      <c r="B290" s="55">
        <v>274</v>
      </c>
      <c r="C290" s="55">
        <v>446</v>
      </c>
      <c r="D290" s="55">
        <v>38.1</v>
      </c>
      <c r="E290" s="55">
        <f t="shared" si="5"/>
        <v>61.9</v>
      </c>
      <c r="F290" s="55">
        <v>62.3</v>
      </c>
      <c r="G290" s="56">
        <v>62.3287671</v>
      </c>
      <c r="H290" s="57">
        <f t="shared" si="6"/>
        <v>0.69028633223874558</v>
      </c>
      <c r="I290" s="57">
        <f t="shared" si="7"/>
        <v>-0.42876710000000173</v>
      </c>
    </row>
    <row r="291" spans="1:9">
      <c r="A291" s="55" t="s">
        <v>380</v>
      </c>
      <c r="B291" s="55">
        <v>2677</v>
      </c>
      <c r="C291" s="55">
        <v>23475</v>
      </c>
      <c r="D291" s="55">
        <v>10.199999999999999</v>
      </c>
      <c r="E291" s="55">
        <f t="shared" si="5"/>
        <v>89.8</v>
      </c>
      <c r="F291" s="55">
        <v>89.8</v>
      </c>
      <c r="G291" s="56">
        <v>89.750597900000002</v>
      </c>
      <c r="H291" s="57">
        <f t="shared" si="6"/>
        <v>5.502861096292086E-2</v>
      </c>
      <c r="I291" s="57">
        <f t="shared" si="7"/>
        <v>4.9402099999994675E-2</v>
      </c>
    </row>
    <row r="292" spans="1:9">
      <c r="A292" s="55" t="s">
        <v>508</v>
      </c>
      <c r="B292" s="55">
        <v>622</v>
      </c>
      <c r="C292" s="55">
        <v>2586</v>
      </c>
      <c r="D292" s="55">
        <v>19.399999999999999</v>
      </c>
      <c r="E292" s="55">
        <f t="shared" si="5"/>
        <v>80.599999999999994</v>
      </c>
      <c r="F292" s="55">
        <v>80.599999999999994</v>
      </c>
      <c r="G292" s="56">
        <v>80.562422699999999</v>
      </c>
      <c r="H292" s="57">
        <f t="shared" si="6"/>
        <v>4.6632830867707309E-2</v>
      </c>
      <c r="I292" s="57">
        <f t="shared" si="7"/>
        <v>3.7577299999995262E-2</v>
      </c>
    </row>
    <row r="293" spans="1:9">
      <c r="A293" s="55" t="s">
        <v>382</v>
      </c>
      <c r="B293" s="55">
        <v>897</v>
      </c>
      <c r="C293" s="55">
        <v>4389</v>
      </c>
      <c r="D293" s="55">
        <v>17</v>
      </c>
      <c r="E293" s="55">
        <f t="shared" si="5"/>
        <v>83</v>
      </c>
      <c r="F293" s="55">
        <v>83</v>
      </c>
      <c r="G293" s="56">
        <v>82.992303399999997</v>
      </c>
      <c r="H293" s="57">
        <f t="shared" si="6"/>
        <v>9.2734420118935693E-3</v>
      </c>
      <c r="I293" s="57">
        <f t="shared" si="7"/>
        <v>7.6966000000027179E-3</v>
      </c>
    </row>
    <row r="294" spans="1:9">
      <c r="A294" s="55" t="s">
        <v>383</v>
      </c>
      <c r="B294" s="55">
        <v>561</v>
      </c>
      <c r="C294" s="55">
        <v>2568</v>
      </c>
      <c r="D294" s="55">
        <v>17.899999999999999</v>
      </c>
      <c r="E294" s="55">
        <f t="shared" si="5"/>
        <v>82.1</v>
      </c>
      <c r="F294" s="55">
        <v>82</v>
      </c>
      <c r="G294" s="56">
        <v>81.979133700000006</v>
      </c>
      <c r="H294" s="57">
        <f t="shared" si="6"/>
        <v>0.14732683830593477</v>
      </c>
      <c r="I294" s="57">
        <f t="shared" si="7"/>
        <v>0.12086629999998877</v>
      </c>
    </row>
    <row r="295" spans="1:9">
      <c r="A295" s="55" t="s">
        <v>282</v>
      </c>
      <c r="B295" s="55">
        <v>292</v>
      </c>
      <c r="C295" s="55">
        <v>3160</v>
      </c>
      <c r="D295" s="55">
        <v>8.5</v>
      </c>
      <c r="E295" s="55">
        <f t="shared" si="5"/>
        <v>91.5</v>
      </c>
      <c r="F295" s="55">
        <v>91.5</v>
      </c>
      <c r="G295" s="56">
        <v>91.544434899999999</v>
      </c>
      <c r="H295" s="57">
        <f t="shared" si="6"/>
        <v>4.855094340811214E-2</v>
      </c>
      <c r="I295" s="57">
        <f t="shared" si="7"/>
        <v>-4.4434899999998834E-2</v>
      </c>
    </row>
    <row r="296" spans="1:9">
      <c r="A296" s="55" t="s">
        <v>385</v>
      </c>
      <c r="B296" s="55">
        <v>698</v>
      </c>
      <c r="C296" s="55">
        <v>3528</v>
      </c>
      <c r="D296" s="55">
        <v>16.5</v>
      </c>
      <c r="E296" s="55">
        <f t="shared" si="5"/>
        <v>83.5</v>
      </c>
      <c r="F296" s="55">
        <v>83.5</v>
      </c>
      <c r="G296" s="56">
        <v>83.478056800000005</v>
      </c>
      <c r="H296" s="57">
        <f t="shared" si="6"/>
        <v>2.6282734894056452E-2</v>
      </c>
      <c r="I296" s="57">
        <f t="shared" si="7"/>
        <v>2.19431999999955E-2</v>
      </c>
    </row>
    <row r="297" spans="1:9">
      <c r="A297" s="55" t="s">
        <v>386</v>
      </c>
      <c r="B297" s="55">
        <v>460</v>
      </c>
      <c r="C297" s="55">
        <v>2710</v>
      </c>
      <c r="D297" s="55">
        <v>14.5</v>
      </c>
      <c r="E297" s="55">
        <f t="shared" si="5"/>
        <v>85.5</v>
      </c>
      <c r="F297" s="55">
        <v>85.5</v>
      </c>
      <c r="G297" s="56">
        <v>85.525902700000003</v>
      </c>
      <c r="H297" s="57">
        <f t="shared" si="6"/>
        <v>3.029096714716906E-2</v>
      </c>
      <c r="I297" s="57">
        <f t="shared" si="7"/>
        <v>-2.5902700000003165E-2</v>
      </c>
    </row>
    <row r="298" spans="1:9">
      <c r="A298" s="55" t="s">
        <v>389</v>
      </c>
      <c r="B298" s="55">
        <v>335</v>
      </c>
      <c r="C298" s="55">
        <v>1334</v>
      </c>
      <c r="D298" s="55">
        <v>20.100000000000001</v>
      </c>
      <c r="E298" s="55">
        <f t="shared" si="5"/>
        <v>79.900000000000006</v>
      </c>
      <c r="F298" s="55">
        <v>80.099999999999994</v>
      </c>
      <c r="G298" s="56">
        <v>80.118694399999995</v>
      </c>
      <c r="H298" s="57">
        <f t="shared" si="6"/>
        <v>0.2733360634143378</v>
      </c>
      <c r="I298" s="57">
        <f t="shared" si="7"/>
        <v>-0.21869439999998974</v>
      </c>
    </row>
    <row r="299" spans="1:9">
      <c r="A299" s="55" t="s">
        <v>387</v>
      </c>
      <c r="B299" s="55">
        <v>2850</v>
      </c>
      <c r="C299" s="55">
        <v>9790</v>
      </c>
      <c r="D299" s="55">
        <v>22.5</v>
      </c>
      <c r="E299" s="55">
        <f t="shared" si="5"/>
        <v>77.5</v>
      </c>
      <c r="F299" s="55">
        <v>77.5</v>
      </c>
      <c r="G299" s="56">
        <v>77.473173000000003</v>
      </c>
      <c r="H299" s="57">
        <f t="shared" si="6"/>
        <v>3.4621476066696098E-2</v>
      </c>
      <c r="I299" s="57">
        <f t="shared" si="7"/>
        <v>2.682699999999727E-2</v>
      </c>
    </row>
    <row r="300" spans="1:9">
      <c r="A300" s="55" t="s">
        <v>509</v>
      </c>
      <c r="B300" s="55">
        <v>184</v>
      </c>
      <c r="C300" s="55">
        <v>956</v>
      </c>
      <c r="D300" s="55">
        <v>16.100000000000001</v>
      </c>
      <c r="E300" s="55">
        <f t="shared" si="5"/>
        <v>83.9</v>
      </c>
      <c r="F300" s="55">
        <v>83.9</v>
      </c>
      <c r="G300" s="56">
        <v>83.856893499999998</v>
      </c>
      <c r="H300" s="57">
        <f t="shared" si="6"/>
        <v>5.1391628803626466E-2</v>
      </c>
      <c r="I300" s="57">
        <f t="shared" si="7"/>
        <v>4.3106500000007486E-2</v>
      </c>
    </row>
    <row r="301" spans="1:9">
      <c r="A301" s="55" t="s">
        <v>390</v>
      </c>
      <c r="B301" s="55">
        <v>802</v>
      </c>
      <c r="C301" s="55">
        <v>4228</v>
      </c>
      <c r="D301" s="55">
        <v>15.9</v>
      </c>
      <c r="E301" s="55">
        <f t="shared" si="5"/>
        <v>84.1</v>
      </c>
      <c r="F301" s="55">
        <v>84</v>
      </c>
      <c r="G301" s="56">
        <v>84.0450771</v>
      </c>
      <c r="H301" s="57">
        <f t="shared" si="6"/>
        <v>6.532799050349837E-2</v>
      </c>
      <c r="I301" s="57">
        <f t="shared" si="7"/>
        <v>5.4922899999994002E-2</v>
      </c>
    </row>
    <row r="302" spans="1:9">
      <c r="A302" s="55" t="s">
        <v>392</v>
      </c>
      <c r="B302" s="55">
        <v>416</v>
      </c>
      <c r="C302" s="55">
        <v>2774</v>
      </c>
      <c r="D302" s="55">
        <v>13</v>
      </c>
      <c r="E302" s="55">
        <f t="shared" si="5"/>
        <v>87</v>
      </c>
      <c r="F302" s="55">
        <v>87</v>
      </c>
      <c r="G302" s="56">
        <v>87.029549000000003</v>
      </c>
      <c r="H302" s="57">
        <f t="shared" si="6"/>
        <v>3.3958600904037205E-2</v>
      </c>
      <c r="I302" s="57">
        <f t="shared" si="7"/>
        <v>-2.9549000000002934E-2</v>
      </c>
    </row>
    <row r="303" spans="1:9">
      <c r="A303" s="55" t="s">
        <v>394</v>
      </c>
      <c r="B303" s="55">
        <v>1495</v>
      </c>
      <c r="C303" s="55">
        <v>3091</v>
      </c>
      <c r="D303" s="55">
        <v>32.6</v>
      </c>
      <c r="E303" s="55">
        <f t="shared" si="5"/>
        <v>67.400000000000006</v>
      </c>
      <c r="F303" s="55">
        <v>67.5</v>
      </c>
      <c r="G303" s="56">
        <v>67.536106899999993</v>
      </c>
      <c r="H303" s="57">
        <f t="shared" si="6"/>
        <v>0.20173532959692533</v>
      </c>
      <c r="I303" s="57">
        <f t="shared" si="7"/>
        <v>-0.13610689999998726</v>
      </c>
    </row>
    <row r="304" spans="1:9">
      <c r="A304" s="55" t="s">
        <v>395</v>
      </c>
      <c r="B304" s="55">
        <v>629</v>
      </c>
      <c r="C304" s="55">
        <v>1135</v>
      </c>
      <c r="D304" s="55">
        <v>35.700000000000003</v>
      </c>
      <c r="E304" s="55">
        <f t="shared" si="5"/>
        <v>64.3</v>
      </c>
      <c r="F304" s="55">
        <v>64.2</v>
      </c>
      <c r="G304" s="56">
        <v>64.217610800000003</v>
      </c>
      <c r="H304" s="57">
        <f t="shared" si="6"/>
        <v>0.12821464620628378</v>
      </c>
      <c r="I304" s="57">
        <f t="shared" si="7"/>
        <v>8.2389199999994389E-2</v>
      </c>
    </row>
    <row r="305" spans="1:9">
      <c r="A305" s="55" t="s">
        <v>510</v>
      </c>
      <c r="B305" s="55">
        <v>535</v>
      </c>
      <c r="C305" s="55">
        <v>3984</v>
      </c>
      <c r="D305" s="55">
        <v>11.8</v>
      </c>
      <c r="E305" s="55">
        <f t="shared" si="5"/>
        <v>88.2</v>
      </c>
      <c r="F305" s="55">
        <v>88.2</v>
      </c>
      <c r="G305" s="56">
        <v>88.164251199999995</v>
      </c>
      <c r="H305" s="57">
        <f t="shared" si="6"/>
        <v>4.0539734959629349E-2</v>
      </c>
      <c r="I305" s="57">
        <f t="shared" si="7"/>
        <v>3.5748800000007463E-2</v>
      </c>
    </row>
    <row r="306" spans="1:9">
      <c r="A306" s="55" t="s">
        <v>398</v>
      </c>
      <c r="B306" s="55">
        <v>294</v>
      </c>
      <c r="C306" s="55">
        <v>3560</v>
      </c>
      <c r="D306" s="55">
        <v>7.6</v>
      </c>
      <c r="E306" s="55">
        <f t="shared" si="5"/>
        <v>92.4</v>
      </c>
      <c r="F306" s="55">
        <v>92.3</v>
      </c>
      <c r="G306" s="56">
        <v>92.321566599999997</v>
      </c>
      <c r="H306" s="57">
        <f t="shared" si="6"/>
        <v>8.4920674335606947E-2</v>
      </c>
      <c r="I306" s="57">
        <f t="shared" si="7"/>
        <v>7.8433400000008646E-2</v>
      </c>
    </row>
    <row r="307" spans="1:9">
      <c r="A307" s="55" t="s">
        <v>511</v>
      </c>
      <c r="B307" s="55">
        <v>246</v>
      </c>
      <c r="C307" s="55">
        <v>1237</v>
      </c>
      <c r="D307" s="55">
        <v>16.600000000000001</v>
      </c>
      <c r="E307" s="55">
        <f t="shared" si="5"/>
        <v>83.4</v>
      </c>
      <c r="F307" s="55">
        <v>83.3</v>
      </c>
      <c r="G307" s="56">
        <v>83.310991999999999</v>
      </c>
      <c r="H307" s="57">
        <f t="shared" si="6"/>
        <v>0.1067812013259532</v>
      </c>
      <c r="I307" s="57">
        <f t="shared" si="7"/>
        <v>8.9008000000006859E-2</v>
      </c>
    </row>
    <row r="308" spans="1:9">
      <c r="A308" s="55" t="s">
        <v>512</v>
      </c>
      <c r="B308" s="55">
        <v>812</v>
      </c>
      <c r="C308" s="55">
        <v>4645</v>
      </c>
      <c r="D308" s="55">
        <v>14.9</v>
      </c>
      <c r="E308" s="55">
        <f t="shared" si="5"/>
        <v>85.1</v>
      </c>
      <c r="F308" s="55">
        <v>85.1</v>
      </c>
      <c r="G308" s="56">
        <v>85.111392899999998</v>
      </c>
      <c r="H308" s="57">
        <f t="shared" si="6"/>
        <v>1.3386765487193364E-2</v>
      </c>
      <c r="I308" s="57">
        <f t="shared" si="7"/>
        <v>-1.1392900000004147E-2</v>
      </c>
    </row>
    <row r="309" spans="1:9">
      <c r="A309" s="55" t="s">
        <v>402</v>
      </c>
      <c r="B309" s="55">
        <v>115</v>
      </c>
      <c r="C309" s="55">
        <v>1040</v>
      </c>
      <c r="D309" s="55">
        <v>10</v>
      </c>
      <c r="E309" s="55">
        <f t="shared" si="5"/>
        <v>90</v>
      </c>
      <c r="F309" s="55">
        <v>90.1</v>
      </c>
      <c r="G309" s="56">
        <v>90.101522799999998</v>
      </c>
      <c r="H309" s="57">
        <f t="shared" si="6"/>
        <v>0.112739524265697</v>
      </c>
      <c r="I309" s="57">
        <f t="shared" si="7"/>
        <v>-0.10152279999999791</v>
      </c>
    </row>
    <row r="310" spans="1:9">
      <c r="A310" s="55" t="s">
        <v>332</v>
      </c>
      <c r="B310" s="55">
        <v>1745</v>
      </c>
      <c r="C310" s="55">
        <v>2676</v>
      </c>
      <c r="D310" s="55">
        <v>39.5</v>
      </c>
      <c r="E310" s="55">
        <f t="shared" si="5"/>
        <v>60.5</v>
      </c>
      <c r="F310" s="55">
        <v>60.6</v>
      </c>
      <c r="G310" s="56">
        <v>60.614212100000003</v>
      </c>
      <c r="H310" s="57">
        <f t="shared" si="6"/>
        <v>0.18860230854774002</v>
      </c>
      <c r="I310" s="57">
        <f t="shared" si="7"/>
        <v>-0.11421210000000315</v>
      </c>
    </row>
    <row r="311" spans="1:9">
      <c r="A311" s="55" t="s">
        <v>404</v>
      </c>
      <c r="B311" s="55">
        <v>2234</v>
      </c>
      <c r="C311" s="55">
        <v>22294</v>
      </c>
      <c r="D311" s="55">
        <v>9.1</v>
      </c>
      <c r="E311" s="55">
        <f t="shared" si="5"/>
        <v>90.9</v>
      </c>
      <c r="F311" s="55">
        <v>90.9</v>
      </c>
      <c r="G311" s="56">
        <v>90.855039599999998</v>
      </c>
      <c r="H311" s="57">
        <f t="shared" si="6"/>
        <v>4.9473621308058512E-2</v>
      </c>
      <c r="I311" s="57">
        <f t="shared" si="7"/>
        <v>4.4960400000007894E-2</v>
      </c>
    </row>
    <row r="312" spans="1:9">
      <c r="A312" s="55" t="s">
        <v>386</v>
      </c>
      <c r="B312" s="55">
        <v>185</v>
      </c>
      <c r="C312" s="55">
        <v>1038</v>
      </c>
      <c r="D312" s="55">
        <v>15.1</v>
      </c>
      <c r="E312" s="55">
        <f t="shared" si="5"/>
        <v>84.9</v>
      </c>
      <c r="F312" s="55">
        <v>84.8</v>
      </c>
      <c r="G312" s="56">
        <v>84.796747999999994</v>
      </c>
      <c r="H312" s="57">
        <f t="shared" si="6"/>
        <v>0.12169001612218507</v>
      </c>
      <c r="I312" s="57">
        <f t="shared" si="7"/>
        <v>0.10325200000001189</v>
      </c>
    </row>
    <row r="313" spans="1:9">
      <c r="A313" s="55" t="s">
        <v>406</v>
      </c>
      <c r="B313" s="55">
        <v>1528</v>
      </c>
      <c r="C313" s="55">
        <v>17841</v>
      </c>
      <c r="D313" s="55">
        <v>7.9</v>
      </c>
      <c r="E313" s="55">
        <f t="shared" si="5"/>
        <v>92.1</v>
      </c>
      <c r="F313" s="55">
        <v>92.1</v>
      </c>
      <c r="G313" s="56">
        <v>92.1125179</v>
      </c>
      <c r="H313" s="57">
        <f t="shared" si="6"/>
        <v>1.3590715921706607E-2</v>
      </c>
      <c r="I313" s="57">
        <f t="shared" si="7"/>
        <v>-1.2517900000005966E-2</v>
      </c>
    </row>
    <row r="314" spans="1:9">
      <c r="A314" s="55" t="s">
        <v>407</v>
      </c>
      <c r="B314" s="55">
        <v>627</v>
      </c>
      <c r="C314" s="55">
        <v>8542</v>
      </c>
      <c r="D314" s="55">
        <v>6.8</v>
      </c>
      <c r="E314" s="55">
        <f t="shared" si="5"/>
        <v>93.2</v>
      </c>
      <c r="F314" s="55">
        <v>93.2</v>
      </c>
      <c r="G314" s="56">
        <v>93.175683000000006</v>
      </c>
      <c r="H314" s="57">
        <f t="shared" si="6"/>
        <v>2.6094605914867518E-2</v>
      </c>
      <c r="I314" s="57">
        <f t="shared" si="7"/>
        <v>2.4316999999996369E-2</v>
      </c>
    </row>
    <row r="315" spans="1:9">
      <c r="A315" s="55" t="s">
        <v>409</v>
      </c>
      <c r="B315" s="55">
        <v>452</v>
      </c>
      <c r="C315" s="55">
        <v>2469</v>
      </c>
      <c r="D315" s="55">
        <v>15.5</v>
      </c>
      <c r="E315" s="55">
        <f t="shared" si="5"/>
        <v>84.5</v>
      </c>
      <c r="F315" s="55">
        <v>84.3</v>
      </c>
      <c r="G315" s="56">
        <v>84.301147900000004</v>
      </c>
      <c r="H315" s="57">
        <f t="shared" si="6"/>
        <v>0.23560515135572288</v>
      </c>
      <c r="I315" s="57">
        <f t="shared" si="7"/>
        <v>0.19885209999999631</v>
      </c>
    </row>
    <row r="316" spans="1:9">
      <c r="A316" s="55" t="s">
        <v>410</v>
      </c>
      <c r="B316" s="55">
        <v>3523</v>
      </c>
      <c r="C316" s="55">
        <v>5799</v>
      </c>
      <c r="D316" s="55">
        <v>37.799999999999997</v>
      </c>
      <c r="E316" s="55">
        <f t="shared" si="5"/>
        <v>62.2</v>
      </c>
      <c r="F316" s="55">
        <v>62.2</v>
      </c>
      <c r="G316" s="56">
        <v>62.218444499999997</v>
      </c>
      <c r="H316" s="57">
        <f t="shared" si="6"/>
        <v>2.9649140967992059E-2</v>
      </c>
      <c r="I316" s="57">
        <f t="shared" si="7"/>
        <v>-1.844449999999398E-2</v>
      </c>
    </row>
    <row r="317" spans="1:9">
      <c r="A317" s="55" t="s">
        <v>358</v>
      </c>
      <c r="B317" s="55">
        <v>143</v>
      </c>
      <c r="C317" s="55">
        <v>1820</v>
      </c>
      <c r="D317" s="55">
        <v>7.3</v>
      </c>
      <c r="E317" s="55">
        <f t="shared" si="5"/>
        <v>92.7</v>
      </c>
      <c r="F317" s="55">
        <v>92.7</v>
      </c>
      <c r="G317" s="56">
        <v>92.7125506</v>
      </c>
      <c r="H317" s="57">
        <f t="shared" si="6"/>
        <v>1.3538026373493297E-2</v>
      </c>
      <c r="I317" s="57">
        <f t="shared" si="7"/>
        <v>-1.2550599999997303E-2</v>
      </c>
    </row>
    <row r="318" spans="1:9">
      <c r="A318" s="55" t="s">
        <v>513</v>
      </c>
      <c r="B318" s="55">
        <v>1200</v>
      </c>
      <c r="C318" s="55">
        <v>3606</v>
      </c>
      <c r="D318" s="55">
        <v>25</v>
      </c>
      <c r="E318" s="55">
        <f t="shared" si="5"/>
        <v>75</v>
      </c>
      <c r="F318" s="55">
        <v>75</v>
      </c>
      <c r="G318" s="56">
        <v>75.005147199999996</v>
      </c>
      <c r="H318" s="57">
        <f t="shared" si="6"/>
        <v>6.8626978421392898E-3</v>
      </c>
      <c r="I318" s="57">
        <f t="shared" si="7"/>
        <v>-5.1471999999961326E-3</v>
      </c>
    </row>
    <row r="319" spans="1:9">
      <c r="A319" s="55" t="s">
        <v>514</v>
      </c>
      <c r="B319" s="55">
        <v>460</v>
      </c>
      <c r="C319" s="55">
        <v>3233</v>
      </c>
      <c r="D319" s="55">
        <v>12.5</v>
      </c>
      <c r="E319" s="55">
        <f t="shared" si="5"/>
        <v>87.5</v>
      </c>
      <c r="F319" s="55">
        <v>87.6</v>
      </c>
      <c r="G319" s="56">
        <v>87.930029200000007</v>
      </c>
      <c r="H319" s="57">
        <f t="shared" si="6"/>
        <v>0.49025722900581609</v>
      </c>
      <c r="I319" s="57">
        <f t="shared" si="7"/>
        <v>-0.43002920000000699</v>
      </c>
    </row>
    <row r="320" spans="1:9">
      <c r="A320" s="55" t="s">
        <v>414</v>
      </c>
      <c r="B320" s="55">
        <v>170</v>
      </c>
      <c r="C320" s="55">
        <v>762</v>
      </c>
      <c r="D320" s="55">
        <v>18.2</v>
      </c>
      <c r="E320" s="55">
        <f t="shared" si="5"/>
        <v>81.8</v>
      </c>
      <c r="F320" s="55">
        <v>81.900000000000006</v>
      </c>
      <c r="G320" s="56">
        <v>81.876332599999998</v>
      </c>
      <c r="H320" s="57">
        <f t="shared" si="6"/>
        <v>9.3272617717487447E-2</v>
      </c>
      <c r="I320" s="57">
        <f t="shared" si="7"/>
        <v>-7.6332600000000639E-2</v>
      </c>
    </row>
    <row r="321" spans="1:9">
      <c r="A321" s="55" t="s">
        <v>344</v>
      </c>
      <c r="B321" s="55">
        <v>990</v>
      </c>
      <c r="C321" s="55">
        <v>3325</v>
      </c>
      <c r="D321" s="55">
        <v>22.9</v>
      </c>
      <c r="E321" s="55">
        <f t="shared" si="5"/>
        <v>77.099999999999994</v>
      </c>
      <c r="F321" s="55">
        <v>77.099999999999994</v>
      </c>
      <c r="G321" s="56">
        <v>78.476903899999996</v>
      </c>
      <c r="H321" s="57">
        <f t="shared" si="6"/>
        <v>1.770062092102094</v>
      </c>
      <c r="I321" s="57">
        <f t="shared" si="7"/>
        <v>-1.3769039000000021</v>
      </c>
    </row>
    <row r="322" spans="1:9">
      <c r="A322" s="55" t="s">
        <v>417</v>
      </c>
      <c r="B322" s="55">
        <v>143</v>
      </c>
      <c r="C322" s="55">
        <v>714</v>
      </c>
      <c r="D322" s="55">
        <v>16.7</v>
      </c>
      <c r="E322" s="55">
        <f t="shared" si="5"/>
        <v>83.3</v>
      </c>
      <c r="F322" s="55">
        <v>83.4</v>
      </c>
      <c r="G322" s="56">
        <v>83.449074100000004</v>
      </c>
      <c r="H322" s="57">
        <f t="shared" si="6"/>
        <v>0.17880051305185279</v>
      </c>
      <c r="I322" s="57">
        <f t="shared" si="7"/>
        <v>-0.14907410000000709</v>
      </c>
    </row>
    <row r="323" spans="1:9">
      <c r="A323" s="55" t="s">
        <v>418</v>
      </c>
      <c r="B323" s="55">
        <v>680</v>
      </c>
      <c r="C323" s="55">
        <v>2288</v>
      </c>
      <c r="D323" s="55">
        <v>22.9</v>
      </c>
      <c r="E323" s="55">
        <f t="shared" si="5"/>
        <v>77.099999999999994</v>
      </c>
      <c r="F323" s="55">
        <v>77.099999999999994</v>
      </c>
      <c r="G323" s="56">
        <v>77.102803699999996</v>
      </c>
      <c r="H323" s="57">
        <f t="shared" si="6"/>
        <v>3.6363800563000864E-3</v>
      </c>
      <c r="I323" s="57">
        <f t="shared" si="7"/>
        <v>-2.8037000000011858E-3</v>
      </c>
    </row>
    <row r="324" spans="1:9">
      <c r="A324" s="55" t="s">
        <v>420</v>
      </c>
      <c r="B324" s="55">
        <v>71</v>
      </c>
      <c r="C324" s="55">
        <v>1177</v>
      </c>
      <c r="D324" s="55">
        <v>5.7</v>
      </c>
      <c r="E324" s="55">
        <f t="shared" si="5"/>
        <v>94.3</v>
      </c>
      <c r="F324" s="55">
        <v>94.3</v>
      </c>
      <c r="G324" s="56">
        <v>94.338117999999994</v>
      </c>
      <c r="H324" s="57">
        <f t="shared" si="6"/>
        <v>4.0413889201330148E-2</v>
      </c>
      <c r="I324" s="57">
        <f t="shared" si="7"/>
        <v>-3.811799999999721E-2</v>
      </c>
    </row>
    <row r="325" spans="1:9">
      <c r="A325" s="55" t="s">
        <v>389</v>
      </c>
      <c r="B325" s="55">
        <v>92</v>
      </c>
      <c r="C325" s="55">
        <v>1053</v>
      </c>
      <c r="D325" s="55">
        <v>8</v>
      </c>
      <c r="E325" s="55">
        <f t="shared" si="5"/>
        <v>92</v>
      </c>
      <c r="F325" s="55">
        <v>92.1</v>
      </c>
      <c r="G325" s="56">
        <v>92.068965500000004</v>
      </c>
      <c r="H325" s="57">
        <f t="shared" si="6"/>
        <v>7.4934413645090486E-2</v>
      </c>
      <c r="I325" s="57">
        <f t="shared" si="7"/>
        <v>-6.8965500000004454E-2</v>
      </c>
    </row>
    <row r="326" spans="1:9">
      <c r="A326" s="55" t="s">
        <v>421</v>
      </c>
      <c r="B326" s="55">
        <v>26</v>
      </c>
      <c r="C326" s="55">
        <v>168</v>
      </c>
      <c r="D326" s="55">
        <v>13.4</v>
      </c>
      <c r="E326" s="55">
        <f t="shared" si="5"/>
        <v>86.6</v>
      </c>
      <c r="F326" s="55">
        <v>86.7</v>
      </c>
      <c r="G326" s="56">
        <v>86.666666699999993</v>
      </c>
      <c r="H326" s="57">
        <f t="shared" si="6"/>
        <v>7.6952712566956738E-2</v>
      </c>
      <c r="I326" s="57">
        <f t="shared" si="7"/>
        <v>-6.6666699999998968E-2</v>
      </c>
    </row>
    <row r="327" spans="1:9">
      <c r="A327" s="55" t="s">
        <v>423</v>
      </c>
      <c r="B327" s="55">
        <v>141</v>
      </c>
      <c r="C327" s="55">
        <v>2073</v>
      </c>
      <c r="D327" s="55">
        <v>6.4</v>
      </c>
      <c r="E327" s="55">
        <f t="shared" si="5"/>
        <v>93.6</v>
      </c>
      <c r="F327" s="55">
        <v>93.6</v>
      </c>
      <c r="G327" s="56">
        <v>93.637992800000006</v>
      </c>
      <c r="H327" s="57">
        <f t="shared" si="6"/>
        <v>4.058236197884732E-2</v>
      </c>
      <c r="I327" s="57">
        <f t="shared" si="7"/>
        <v>-3.7992800000012039E-2</v>
      </c>
    </row>
    <row r="328" spans="1:9">
      <c r="A328" s="55" t="s">
        <v>424</v>
      </c>
      <c r="B328" s="55">
        <v>226</v>
      </c>
      <c r="C328" s="55">
        <v>1125</v>
      </c>
      <c r="D328" s="55">
        <v>16.7</v>
      </c>
      <c r="E328" s="55">
        <f t="shared" si="5"/>
        <v>83.3</v>
      </c>
      <c r="F328" s="55">
        <v>83.3</v>
      </c>
      <c r="G328" s="56">
        <v>83.333333300000007</v>
      </c>
      <c r="H328" s="57">
        <f t="shared" si="6"/>
        <v>4.0007961600333125E-2</v>
      </c>
      <c r="I328" s="57">
        <f t="shared" si="7"/>
        <v>-3.3333300000009558E-2</v>
      </c>
    </row>
    <row r="329" spans="1:9">
      <c r="A329" s="55" t="s">
        <v>425</v>
      </c>
      <c r="B329" s="55">
        <v>120</v>
      </c>
      <c r="C329" s="55">
        <v>689</v>
      </c>
      <c r="D329" s="55">
        <v>14.8</v>
      </c>
      <c r="E329" s="55">
        <f t="shared" si="5"/>
        <v>85.2</v>
      </c>
      <c r="F329" s="55">
        <v>85.3</v>
      </c>
      <c r="G329" s="56">
        <v>85.347985300000005</v>
      </c>
      <c r="H329" s="57">
        <f t="shared" si="6"/>
        <v>0.17354095357935839</v>
      </c>
      <c r="I329" s="57">
        <f t="shared" si="7"/>
        <v>-0.14798530000000198</v>
      </c>
    </row>
    <row r="330" spans="1:9">
      <c r="A330" s="55" t="s">
        <v>427</v>
      </c>
      <c r="B330" s="55"/>
      <c r="C330" s="55"/>
      <c r="D330" s="55"/>
      <c r="E330" s="55"/>
      <c r="F330" s="55"/>
      <c r="G330" s="56">
        <v>71.156893800000006</v>
      </c>
      <c r="H330" s="57">
        <f t="shared" si="6"/>
        <v>200</v>
      </c>
      <c r="I330" s="57">
        <f t="shared" si="7"/>
        <v>-71.156893800000006</v>
      </c>
    </row>
    <row r="331" spans="1:9">
      <c r="A331" s="55" t="s">
        <v>430</v>
      </c>
      <c r="B331" s="55">
        <v>1071</v>
      </c>
      <c r="C331" s="55">
        <v>11058</v>
      </c>
      <c r="D331" s="55">
        <v>8.8000000000000007</v>
      </c>
      <c r="E331" s="55">
        <f t="shared" ref="E331:E345" si="8">100-D331</f>
        <v>91.2</v>
      </c>
      <c r="F331" s="55">
        <v>91.1</v>
      </c>
      <c r="G331" s="56">
        <v>91.067945399999999</v>
      </c>
      <c r="H331" s="57">
        <f t="shared" si="6"/>
        <v>0.14490161691371495</v>
      </c>
      <c r="I331" s="57">
        <f t="shared" si="7"/>
        <v>0.13205460000000357</v>
      </c>
    </row>
    <row r="332" spans="1:9">
      <c r="A332" s="55" t="s">
        <v>431</v>
      </c>
      <c r="B332" s="55">
        <v>132</v>
      </c>
      <c r="C332" s="55">
        <v>1510</v>
      </c>
      <c r="D332" s="55">
        <v>8</v>
      </c>
      <c r="E332" s="55">
        <f t="shared" si="8"/>
        <v>92</v>
      </c>
      <c r="F332" s="55">
        <v>92</v>
      </c>
      <c r="G332" s="56">
        <v>91.963746200000003</v>
      </c>
      <c r="H332" s="57">
        <f t="shared" si="6"/>
        <v>3.9414070162045033E-2</v>
      </c>
      <c r="I332" s="57">
        <f t="shared" si="7"/>
        <v>3.6253799999997227E-2</v>
      </c>
    </row>
    <row r="333" spans="1:9">
      <c r="A333" s="55" t="s">
        <v>432</v>
      </c>
      <c r="B333" s="55">
        <v>159</v>
      </c>
      <c r="C333" s="55">
        <v>373</v>
      </c>
      <c r="D333" s="55">
        <v>29.9</v>
      </c>
      <c r="E333" s="55">
        <f t="shared" si="8"/>
        <v>70.099999999999994</v>
      </c>
      <c r="F333" s="55">
        <v>69.900000000000006</v>
      </c>
      <c r="G333" s="56">
        <v>69.908256899999998</v>
      </c>
      <c r="H333" s="57">
        <f t="shared" si="6"/>
        <v>0.2739025600996487</v>
      </c>
      <c r="I333" s="57">
        <f t="shared" si="7"/>
        <v>0.1917430999999965</v>
      </c>
    </row>
    <row r="334" spans="1:9">
      <c r="A334" s="55" t="s">
        <v>433</v>
      </c>
      <c r="B334" s="55">
        <v>266</v>
      </c>
      <c r="C334" s="55">
        <v>674</v>
      </c>
      <c r="D334" s="55">
        <v>28.3</v>
      </c>
      <c r="E334" s="55">
        <f t="shared" si="8"/>
        <v>71.7</v>
      </c>
      <c r="F334" s="55">
        <v>71.599999999999994</v>
      </c>
      <c r="G334" s="56">
        <v>71.610169499999998</v>
      </c>
      <c r="H334" s="57">
        <f t="shared" si="6"/>
        <v>0.12536514374858099</v>
      </c>
      <c r="I334" s="57">
        <f t="shared" si="7"/>
        <v>8.9830500000005031E-2</v>
      </c>
    </row>
    <row r="335" spans="1:9">
      <c r="A335" s="55" t="s">
        <v>435</v>
      </c>
      <c r="B335" s="55">
        <v>159</v>
      </c>
      <c r="C335" s="55">
        <v>1201</v>
      </c>
      <c r="D335" s="55">
        <v>11.7</v>
      </c>
      <c r="E335" s="55">
        <f t="shared" si="8"/>
        <v>88.3</v>
      </c>
      <c r="F335" s="55">
        <v>88.1</v>
      </c>
      <c r="G335" s="56">
        <v>88.133140400000002</v>
      </c>
      <c r="H335" s="57">
        <f t="shared" si="6"/>
        <v>0.18914768463759102</v>
      </c>
      <c r="I335" s="57">
        <f t="shared" si="7"/>
        <v>0.16685959999999511</v>
      </c>
    </row>
    <row r="336" spans="1:9">
      <c r="A336" s="55" t="s">
        <v>282</v>
      </c>
      <c r="B336" s="55">
        <v>225</v>
      </c>
      <c r="C336" s="55">
        <v>382</v>
      </c>
      <c r="D336" s="55">
        <v>37.1</v>
      </c>
      <c r="E336" s="55">
        <f t="shared" si="8"/>
        <v>62.9</v>
      </c>
      <c r="F336" s="55">
        <v>62.8</v>
      </c>
      <c r="G336" s="56">
        <v>62.847790500000002</v>
      </c>
      <c r="H336" s="57">
        <f t="shared" si="6"/>
        <v>8.3038437164423121E-2</v>
      </c>
      <c r="I336" s="57">
        <f t="shared" si="7"/>
        <v>5.2209499999996467E-2</v>
      </c>
    </row>
    <row r="337" spans="1:9">
      <c r="A337" s="55" t="s">
        <v>436</v>
      </c>
      <c r="B337" s="55">
        <v>293</v>
      </c>
      <c r="C337" s="55">
        <v>1127</v>
      </c>
      <c r="D337" s="55">
        <v>20.6</v>
      </c>
      <c r="E337" s="55">
        <f t="shared" si="8"/>
        <v>79.400000000000006</v>
      </c>
      <c r="F337" s="55">
        <v>79.400000000000006</v>
      </c>
      <c r="G337" s="56">
        <v>79.397337100000001</v>
      </c>
      <c r="H337" s="57">
        <f t="shared" si="6"/>
        <v>3.3538345776256001E-3</v>
      </c>
      <c r="I337" s="57">
        <f t="shared" si="7"/>
        <v>2.6629000000042424E-3</v>
      </c>
    </row>
    <row r="338" spans="1:9">
      <c r="A338" s="55" t="s">
        <v>515</v>
      </c>
      <c r="B338" s="55">
        <v>157</v>
      </c>
      <c r="C338" s="55">
        <v>866</v>
      </c>
      <c r="D338" s="55">
        <v>15.3</v>
      </c>
      <c r="E338" s="55">
        <f t="shared" si="8"/>
        <v>84.7</v>
      </c>
      <c r="F338" s="55">
        <v>84.7</v>
      </c>
      <c r="G338" s="56">
        <v>84.697855799999999</v>
      </c>
      <c r="H338" s="57">
        <f t="shared" si="6"/>
        <v>2.531555065886015E-3</v>
      </c>
      <c r="I338" s="57">
        <f t="shared" si="7"/>
        <v>2.1442000000035932E-3</v>
      </c>
    </row>
    <row r="339" spans="1:9">
      <c r="A339" s="55" t="s">
        <v>331</v>
      </c>
      <c r="B339" s="55">
        <v>286</v>
      </c>
      <c r="C339" s="55">
        <v>1054</v>
      </c>
      <c r="D339" s="55">
        <v>21.3</v>
      </c>
      <c r="E339" s="55">
        <f t="shared" si="8"/>
        <v>78.7</v>
      </c>
      <c r="F339" s="55">
        <v>78.7</v>
      </c>
      <c r="G339" s="56">
        <v>78.688524599999994</v>
      </c>
      <c r="H339" s="57">
        <f t="shared" si="6"/>
        <v>1.4582257542820906E-2</v>
      </c>
      <c r="I339" s="57">
        <f t="shared" si="7"/>
        <v>1.1475400000009017E-2</v>
      </c>
    </row>
    <row r="340" spans="1:9">
      <c r="A340" s="55" t="s">
        <v>516</v>
      </c>
      <c r="B340" s="55">
        <v>645</v>
      </c>
      <c r="C340" s="55">
        <v>1001</v>
      </c>
      <c r="D340" s="55">
        <v>39.200000000000003</v>
      </c>
      <c r="E340" s="55">
        <f t="shared" si="8"/>
        <v>60.8</v>
      </c>
      <c r="F340" s="55">
        <v>60.8</v>
      </c>
      <c r="G340" s="56">
        <v>60.798548099999998</v>
      </c>
      <c r="H340" s="57">
        <f t="shared" si="6"/>
        <v>2.3880219339547926E-3</v>
      </c>
      <c r="I340" s="57">
        <f t="shared" si="7"/>
        <v>1.4518999999992843E-3</v>
      </c>
    </row>
    <row r="341" spans="1:9">
      <c r="A341" s="55" t="s">
        <v>358</v>
      </c>
      <c r="B341" s="55">
        <v>147</v>
      </c>
      <c r="C341" s="55">
        <v>462</v>
      </c>
      <c r="D341" s="55">
        <v>24.1</v>
      </c>
      <c r="E341" s="55">
        <f t="shared" si="8"/>
        <v>75.900000000000006</v>
      </c>
      <c r="F341" s="55">
        <v>75.900000000000006</v>
      </c>
      <c r="G341" s="56">
        <v>75.941080200000002</v>
      </c>
      <c r="H341" s="57">
        <f t="shared" si="6"/>
        <v>5.4109467537884551E-2</v>
      </c>
      <c r="I341" s="57">
        <f t="shared" si="7"/>
        <v>-4.1080199999996125E-2</v>
      </c>
    </row>
    <row r="342" spans="1:9">
      <c r="A342" s="55" t="s">
        <v>101</v>
      </c>
      <c r="B342" s="55">
        <v>73</v>
      </c>
      <c r="C342" s="55">
        <v>270</v>
      </c>
      <c r="D342" s="55">
        <v>21.3</v>
      </c>
      <c r="E342" s="55">
        <f t="shared" si="8"/>
        <v>78.7</v>
      </c>
      <c r="F342" s="55">
        <v>78.8</v>
      </c>
      <c r="G342" s="56">
        <v>78.779069800000002</v>
      </c>
      <c r="H342" s="57">
        <f t="shared" si="6"/>
        <v>0.10041943999341454</v>
      </c>
      <c r="I342" s="57">
        <f t="shared" si="7"/>
        <v>-7.9069799999999191E-2</v>
      </c>
    </row>
    <row r="343" spans="1:9">
      <c r="A343" s="55" t="s">
        <v>442</v>
      </c>
      <c r="B343" s="55">
        <v>145</v>
      </c>
      <c r="C343" s="55">
        <v>319</v>
      </c>
      <c r="D343" s="55">
        <v>31.3</v>
      </c>
      <c r="E343" s="55">
        <f t="shared" si="8"/>
        <v>68.7</v>
      </c>
      <c r="F343" s="55">
        <v>68.900000000000006</v>
      </c>
      <c r="G343" s="56">
        <v>68.884120199999998</v>
      </c>
      <c r="H343" s="57">
        <f t="shared" si="6"/>
        <v>0.26764745776234616</v>
      </c>
      <c r="I343" s="57">
        <f t="shared" si="7"/>
        <v>-0.18412019999999529</v>
      </c>
    </row>
    <row r="344" spans="1:9">
      <c r="A344" s="55" t="s">
        <v>517</v>
      </c>
      <c r="B344" s="55">
        <v>140</v>
      </c>
      <c r="C344" s="55">
        <v>448</v>
      </c>
      <c r="D344" s="55">
        <v>23.8</v>
      </c>
      <c r="E344" s="55">
        <f t="shared" si="8"/>
        <v>76.2</v>
      </c>
      <c r="F344" s="55">
        <v>76.2</v>
      </c>
      <c r="G344" s="56">
        <v>76.230899800000003</v>
      </c>
      <c r="H344" s="57">
        <f t="shared" si="6"/>
        <v>4.054269841684717E-2</v>
      </c>
      <c r="I344" s="57">
        <f t="shared" si="7"/>
        <v>-3.0899800000000255E-2</v>
      </c>
    </row>
    <row r="345" spans="1:9">
      <c r="A345" s="55" t="s">
        <v>444</v>
      </c>
      <c r="B345" s="55">
        <v>100</v>
      </c>
      <c r="C345" s="55">
        <v>362</v>
      </c>
      <c r="D345" s="55">
        <v>21.6</v>
      </c>
      <c r="E345" s="55">
        <f t="shared" si="8"/>
        <v>78.400000000000006</v>
      </c>
      <c r="F345" s="55">
        <v>78.5</v>
      </c>
      <c r="G345" s="56">
        <v>78.540772500000003</v>
      </c>
      <c r="H345" s="57">
        <f t="shared" si="6"/>
        <v>0.17939570164916457</v>
      </c>
      <c r="I345" s="57">
        <f t="shared" si="7"/>
        <v>-0.14077249999999708</v>
      </c>
    </row>
    <row r="346" spans="1:9">
      <c r="H346" s="57"/>
    </row>
    <row r="347" spans="1:9">
      <c r="C347" s="55" t="s">
        <v>518</v>
      </c>
      <c r="D347" s="55">
        <v>52.2</v>
      </c>
      <c r="E347" s="61"/>
      <c r="H347" s="57"/>
    </row>
    <row r="348" spans="1:9">
      <c r="C348" s="55" t="s">
        <v>519</v>
      </c>
      <c r="D348" s="55">
        <v>27.3</v>
      </c>
      <c r="H348" s="57"/>
    </row>
    <row r="349" spans="1:9">
      <c r="C349" s="55" t="s">
        <v>520</v>
      </c>
      <c r="D349" s="55">
        <v>3.5</v>
      </c>
      <c r="E349" s="55"/>
      <c r="H349" s="57"/>
    </row>
    <row r="350" spans="1:9">
      <c r="C350" s="55" t="s">
        <v>521</v>
      </c>
      <c r="D350" s="55">
        <v>98.8</v>
      </c>
      <c r="E350" s="55"/>
      <c r="H350" s="57"/>
    </row>
    <row r="351" spans="1:9">
      <c r="C351" s="55" t="s">
        <v>522</v>
      </c>
      <c r="D351" s="55">
        <v>339</v>
      </c>
      <c r="E351" s="55"/>
      <c r="H351" s="57"/>
    </row>
    <row r="352" spans="1:9">
      <c r="H352" s="57"/>
    </row>
    <row r="353" spans="8:8">
      <c r="H353" s="57"/>
    </row>
    <row r="354" spans="8:8">
      <c r="H354" s="57"/>
    </row>
    <row r="355" spans="8:8">
      <c r="H355" s="57"/>
    </row>
    <row r="356" spans="8:8">
      <c r="H356" s="57"/>
    </row>
    <row r="357" spans="8:8">
      <c r="H357" s="57"/>
    </row>
    <row r="358" spans="8:8">
      <c r="H358" s="57"/>
    </row>
    <row r="359" spans="8:8">
      <c r="H359" s="57"/>
    </row>
    <row r="360" spans="8:8">
      <c r="H360" s="57"/>
    </row>
    <row r="361" spans="8:8">
      <c r="H361" s="57"/>
    </row>
    <row r="362" spans="8:8">
      <c r="H362" s="57"/>
    </row>
    <row r="363" spans="8:8">
      <c r="H363" s="57"/>
    </row>
    <row r="364" spans="8:8">
      <c r="H364" s="57"/>
    </row>
    <row r="365" spans="8:8">
      <c r="H365" s="57"/>
    </row>
    <row r="366" spans="8:8">
      <c r="H366" s="57"/>
    </row>
    <row r="367" spans="8:8">
      <c r="H367" s="57"/>
    </row>
    <row r="368" spans="8:8">
      <c r="H368" s="57"/>
    </row>
    <row r="369" spans="8:8">
      <c r="H369" s="57"/>
    </row>
    <row r="370" spans="8:8">
      <c r="H370" s="57"/>
    </row>
    <row r="371" spans="8:8">
      <c r="H371" s="57"/>
    </row>
    <row r="372" spans="8:8">
      <c r="H372" s="57"/>
    </row>
    <row r="373" spans="8:8">
      <c r="H373" s="57"/>
    </row>
    <row r="374" spans="8:8">
      <c r="H374" s="57"/>
    </row>
    <row r="375" spans="8:8">
      <c r="H375" s="57"/>
    </row>
    <row r="376" spans="8:8">
      <c r="H376" s="57"/>
    </row>
    <row r="377" spans="8:8">
      <c r="H377" s="57"/>
    </row>
    <row r="378" spans="8:8">
      <c r="H378" s="57"/>
    </row>
    <row r="379" spans="8:8">
      <c r="H379" s="57"/>
    </row>
    <row r="380" spans="8:8">
      <c r="H380" s="57"/>
    </row>
    <row r="381" spans="8:8">
      <c r="H381" s="57"/>
    </row>
    <row r="382" spans="8:8">
      <c r="H382" s="57"/>
    </row>
    <row r="383" spans="8:8">
      <c r="H383" s="57"/>
    </row>
    <row r="384" spans="8:8">
      <c r="H384" s="57"/>
    </row>
    <row r="385" spans="8:8">
      <c r="H385" s="57"/>
    </row>
    <row r="386" spans="8:8">
      <c r="H386" s="57"/>
    </row>
    <row r="387" spans="8:8">
      <c r="H387" s="57"/>
    </row>
    <row r="388" spans="8:8">
      <c r="H388" s="57"/>
    </row>
    <row r="389" spans="8:8">
      <c r="H389" s="57"/>
    </row>
    <row r="390" spans="8:8">
      <c r="H390" s="57"/>
    </row>
    <row r="391" spans="8:8">
      <c r="H391" s="57"/>
    </row>
    <row r="392" spans="8:8">
      <c r="H392" s="57"/>
    </row>
    <row r="393" spans="8:8">
      <c r="H393" s="57"/>
    </row>
    <row r="394" spans="8:8">
      <c r="H394" s="57"/>
    </row>
    <row r="395" spans="8:8">
      <c r="H395" s="57"/>
    </row>
    <row r="396" spans="8:8">
      <c r="H396" s="57"/>
    </row>
    <row r="397" spans="8:8">
      <c r="H397" s="57"/>
    </row>
    <row r="398" spans="8:8">
      <c r="H398" s="57"/>
    </row>
    <row r="399" spans="8:8">
      <c r="H399" s="57"/>
    </row>
    <row r="400" spans="8:8">
      <c r="H400" s="57"/>
    </row>
    <row r="401" spans="8:8">
      <c r="H401" s="57"/>
    </row>
    <row r="402" spans="8:8">
      <c r="H402" s="57"/>
    </row>
    <row r="403" spans="8:8">
      <c r="H403" s="57"/>
    </row>
    <row r="404" spans="8:8">
      <c r="H404" s="57"/>
    </row>
    <row r="405" spans="8:8">
      <c r="H405" s="57"/>
    </row>
    <row r="406" spans="8:8">
      <c r="H406" s="57"/>
    </row>
    <row r="407" spans="8:8">
      <c r="H407" s="57"/>
    </row>
    <row r="408" spans="8:8">
      <c r="H408" s="57"/>
    </row>
    <row r="409" spans="8:8">
      <c r="H409" s="57"/>
    </row>
    <row r="410" spans="8:8">
      <c r="H410" s="57"/>
    </row>
    <row r="411" spans="8:8">
      <c r="H411" s="57"/>
    </row>
    <row r="412" spans="8:8">
      <c r="H412" s="57"/>
    </row>
    <row r="413" spans="8:8">
      <c r="H413" s="57"/>
    </row>
    <row r="414" spans="8:8">
      <c r="H414" s="57"/>
    </row>
    <row r="415" spans="8:8">
      <c r="H415" s="57"/>
    </row>
    <row r="416" spans="8:8">
      <c r="H416" s="57"/>
    </row>
    <row r="417" spans="8:8">
      <c r="H417" s="57"/>
    </row>
    <row r="418" spans="8:8">
      <c r="H418" s="57"/>
    </row>
    <row r="419" spans="8:8">
      <c r="H419" s="57"/>
    </row>
    <row r="420" spans="8:8">
      <c r="H420" s="57"/>
    </row>
    <row r="421" spans="8:8">
      <c r="H421" s="57"/>
    </row>
    <row r="422" spans="8:8">
      <c r="H422" s="57"/>
    </row>
    <row r="423" spans="8:8">
      <c r="H423" s="57"/>
    </row>
    <row r="424" spans="8:8">
      <c r="H424" s="57"/>
    </row>
    <row r="425" spans="8:8">
      <c r="H425" s="57"/>
    </row>
    <row r="426" spans="8:8">
      <c r="H426" s="57"/>
    </row>
    <row r="427" spans="8:8">
      <c r="H427" s="57"/>
    </row>
    <row r="428" spans="8:8">
      <c r="H428" s="57"/>
    </row>
    <row r="429" spans="8:8">
      <c r="H429" s="57"/>
    </row>
    <row r="430" spans="8:8">
      <c r="H430" s="57"/>
    </row>
    <row r="431" spans="8:8">
      <c r="H431" s="57"/>
    </row>
    <row r="432" spans="8:8">
      <c r="H432" s="57"/>
    </row>
    <row r="433" spans="8:8">
      <c r="H433" s="57"/>
    </row>
    <row r="434" spans="8:8">
      <c r="H434" s="57"/>
    </row>
    <row r="435" spans="8:8">
      <c r="H435" s="57"/>
    </row>
    <row r="436" spans="8:8">
      <c r="H436" s="57"/>
    </row>
    <row r="437" spans="8:8">
      <c r="H437" s="57"/>
    </row>
    <row r="438" spans="8:8">
      <c r="H438" s="57"/>
    </row>
    <row r="439" spans="8:8">
      <c r="H439" s="57"/>
    </row>
    <row r="440" spans="8:8">
      <c r="H440" s="57"/>
    </row>
    <row r="441" spans="8:8">
      <c r="H441" s="57"/>
    </row>
    <row r="442" spans="8:8">
      <c r="H442" s="57"/>
    </row>
    <row r="443" spans="8:8">
      <c r="H443" s="57"/>
    </row>
    <row r="444" spans="8:8">
      <c r="H444" s="57"/>
    </row>
    <row r="445" spans="8:8">
      <c r="H445" s="57"/>
    </row>
    <row r="446" spans="8:8">
      <c r="H446" s="57"/>
    </row>
    <row r="447" spans="8:8">
      <c r="H447" s="57"/>
    </row>
    <row r="448" spans="8:8">
      <c r="H448" s="57"/>
    </row>
    <row r="449" spans="8:8">
      <c r="H449" s="57"/>
    </row>
    <row r="450" spans="8:8">
      <c r="H450" s="57"/>
    </row>
    <row r="451" spans="8:8">
      <c r="H451" s="57"/>
    </row>
    <row r="452" spans="8:8">
      <c r="H452" s="57"/>
    </row>
    <row r="453" spans="8:8">
      <c r="H453" s="57"/>
    </row>
    <row r="454" spans="8:8">
      <c r="H454" s="57"/>
    </row>
    <row r="455" spans="8:8">
      <c r="H455" s="57"/>
    </row>
    <row r="456" spans="8:8">
      <c r="H456" s="57"/>
    </row>
    <row r="457" spans="8:8">
      <c r="H457" s="57"/>
    </row>
    <row r="458" spans="8:8">
      <c r="H458" s="57"/>
    </row>
    <row r="459" spans="8:8">
      <c r="H459" s="57"/>
    </row>
    <row r="460" spans="8:8">
      <c r="H460" s="57"/>
    </row>
    <row r="461" spans="8:8">
      <c r="H461" s="57"/>
    </row>
    <row r="462" spans="8:8">
      <c r="H462" s="57"/>
    </row>
    <row r="463" spans="8:8">
      <c r="H463" s="57"/>
    </row>
    <row r="464" spans="8:8">
      <c r="H464" s="57"/>
    </row>
    <row r="465" spans="8:8">
      <c r="H465" s="57"/>
    </row>
    <row r="466" spans="8:8">
      <c r="H466" s="57"/>
    </row>
    <row r="467" spans="8:8">
      <c r="H467" s="57"/>
    </row>
    <row r="468" spans="8:8">
      <c r="H468" s="57"/>
    </row>
    <row r="469" spans="8:8">
      <c r="H469" s="57"/>
    </row>
    <row r="470" spans="8:8">
      <c r="H470" s="57"/>
    </row>
    <row r="471" spans="8:8">
      <c r="H471" s="57"/>
    </row>
    <row r="472" spans="8:8">
      <c r="H472" s="57"/>
    </row>
    <row r="473" spans="8:8">
      <c r="H473" s="57"/>
    </row>
    <row r="474" spans="8:8">
      <c r="H474" s="57"/>
    </row>
    <row r="475" spans="8:8">
      <c r="H475" s="57"/>
    </row>
    <row r="476" spans="8:8">
      <c r="H476" s="57"/>
    </row>
    <row r="477" spans="8:8">
      <c r="H477" s="57"/>
    </row>
    <row r="478" spans="8:8">
      <c r="H478" s="57"/>
    </row>
    <row r="479" spans="8:8">
      <c r="H479" s="57"/>
    </row>
    <row r="480" spans="8:8">
      <c r="H480" s="57"/>
    </row>
    <row r="481" spans="8:8">
      <c r="H481" s="57"/>
    </row>
    <row r="482" spans="8:8">
      <c r="H482" s="57"/>
    </row>
    <row r="483" spans="8:8">
      <c r="H483" s="57"/>
    </row>
    <row r="484" spans="8:8">
      <c r="H484" s="57"/>
    </row>
    <row r="485" spans="8:8">
      <c r="H485" s="57"/>
    </row>
    <row r="486" spans="8:8">
      <c r="H486" s="57"/>
    </row>
    <row r="487" spans="8:8">
      <c r="H487" s="57"/>
    </row>
    <row r="488" spans="8:8">
      <c r="H488" s="57"/>
    </row>
    <row r="489" spans="8:8">
      <c r="H489" s="57"/>
    </row>
    <row r="490" spans="8:8">
      <c r="H490" s="57"/>
    </row>
    <row r="491" spans="8:8">
      <c r="H491" s="57"/>
    </row>
    <row r="492" spans="8:8">
      <c r="H492" s="57"/>
    </row>
    <row r="493" spans="8:8">
      <c r="H493" s="57"/>
    </row>
    <row r="494" spans="8:8">
      <c r="H494" s="57"/>
    </row>
    <row r="495" spans="8:8">
      <c r="H495" s="57"/>
    </row>
    <row r="496" spans="8:8">
      <c r="H496" s="57"/>
    </row>
    <row r="497" spans="8:8">
      <c r="H497" s="57"/>
    </row>
    <row r="498" spans="8:8">
      <c r="H498" s="57"/>
    </row>
    <row r="499" spans="8:8">
      <c r="H499" s="57"/>
    </row>
    <row r="500" spans="8:8">
      <c r="H500" s="57"/>
    </row>
    <row r="501" spans="8:8">
      <c r="H501" s="57"/>
    </row>
    <row r="502" spans="8:8">
      <c r="H502" s="57"/>
    </row>
    <row r="503" spans="8:8">
      <c r="H503" s="57"/>
    </row>
    <row r="504" spans="8:8">
      <c r="H504" s="57"/>
    </row>
    <row r="505" spans="8:8">
      <c r="H505" s="57"/>
    </row>
    <row r="506" spans="8:8">
      <c r="H506" s="57"/>
    </row>
    <row r="507" spans="8:8">
      <c r="H507" s="57"/>
    </row>
    <row r="508" spans="8:8">
      <c r="H508" s="57"/>
    </row>
    <row r="509" spans="8:8">
      <c r="H509" s="57"/>
    </row>
    <row r="510" spans="8:8">
      <c r="H510" s="57"/>
    </row>
    <row r="511" spans="8:8">
      <c r="H511" s="57"/>
    </row>
    <row r="512" spans="8:8">
      <c r="H512" s="57"/>
    </row>
    <row r="513" spans="8:8">
      <c r="H513" s="57"/>
    </row>
    <row r="514" spans="8:8">
      <c r="H514" s="57"/>
    </row>
    <row r="515" spans="8:8">
      <c r="H515" s="57"/>
    </row>
    <row r="516" spans="8:8">
      <c r="H516" s="57"/>
    </row>
    <row r="517" spans="8:8">
      <c r="H517" s="57"/>
    </row>
    <row r="518" spans="8:8">
      <c r="H518" s="57"/>
    </row>
    <row r="519" spans="8:8">
      <c r="H519" s="57"/>
    </row>
    <row r="520" spans="8:8">
      <c r="H520" s="57"/>
    </row>
    <row r="521" spans="8:8">
      <c r="H521" s="57"/>
    </row>
    <row r="522" spans="8:8">
      <c r="H522" s="57"/>
    </row>
    <row r="523" spans="8:8">
      <c r="H523" s="57"/>
    </row>
    <row r="524" spans="8:8">
      <c r="H524" s="57"/>
    </row>
    <row r="525" spans="8:8">
      <c r="H525" s="57"/>
    </row>
    <row r="526" spans="8:8">
      <c r="H526" s="57"/>
    </row>
    <row r="527" spans="8:8">
      <c r="H527" s="57"/>
    </row>
    <row r="528" spans="8:8">
      <c r="H528" s="57"/>
    </row>
    <row r="529" spans="8:8">
      <c r="H529" s="57"/>
    </row>
    <row r="530" spans="8:8">
      <c r="H530" s="57"/>
    </row>
    <row r="531" spans="8:8">
      <c r="H531" s="57"/>
    </row>
    <row r="532" spans="8:8">
      <c r="H532" s="57"/>
    </row>
    <row r="533" spans="8:8">
      <c r="H533" s="57"/>
    </row>
    <row r="534" spans="8:8">
      <c r="H534" s="57"/>
    </row>
    <row r="535" spans="8:8">
      <c r="H535" s="57"/>
    </row>
    <row r="536" spans="8:8">
      <c r="H536" s="57"/>
    </row>
    <row r="537" spans="8:8">
      <c r="H537" s="57"/>
    </row>
    <row r="538" spans="8:8">
      <c r="H538" s="57"/>
    </row>
    <row r="539" spans="8:8">
      <c r="H539" s="57"/>
    </row>
    <row r="540" spans="8:8">
      <c r="H540" s="57"/>
    </row>
    <row r="541" spans="8:8">
      <c r="H541" s="57"/>
    </row>
    <row r="542" spans="8:8">
      <c r="H542" s="57"/>
    </row>
    <row r="543" spans="8:8">
      <c r="H543" s="57"/>
    </row>
    <row r="544" spans="8:8">
      <c r="H544" s="57"/>
    </row>
    <row r="545" spans="8:8">
      <c r="H545" s="57"/>
    </row>
    <row r="546" spans="8:8">
      <c r="H546" s="57"/>
    </row>
    <row r="547" spans="8:8">
      <c r="H547" s="57"/>
    </row>
    <row r="548" spans="8:8">
      <c r="H548" s="57"/>
    </row>
    <row r="549" spans="8:8">
      <c r="H549" s="57"/>
    </row>
    <row r="550" spans="8:8">
      <c r="H550" s="57"/>
    </row>
    <row r="551" spans="8:8">
      <c r="H551" s="57"/>
    </row>
    <row r="552" spans="8:8">
      <c r="H552" s="57"/>
    </row>
    <row r="553" spans="8:8">
      <c r="H553" s="57"/>
    </row>
    <row r="554" spans="8:8">
      <c r="H554" s="57"/>
    </row>
    <row r="555" spans="8:8">
      <c r="H555" s="57"/>
    </row>
    <row r="556" spans="8:8">
      <c r="H556" s="57"/>
    </row>
    <row r="557" spans="8:8">
      <c r="H557" s="57"/>
    </row>
    <row r="558" spans="8:8">
      <c r="H558" s="57"/>
    </row>
    <row r="559" spans="8:8">
      <c r="H559" s="57"/>
    </row>
    <row r="560" spans="8:8">
      <c r="H560" s="57"/>
    </row>
    <row r="561" spans="8:8">
      <c r="H561" s="57"/>
    </row>
    <row r="562" spans="8:8">
      <c r="H562" s="57"/>
    </row>
    <row r="563" spans="8:8">
      <c r="H563" s="57"/>
    </row>
    <row r="564" spans="8:8">
      <c r="H564" s="57"/>
    </row>
    <row r="565" spans="8:8">
      <c r="H565" s="57"/>
    </row>
    <row r="566" spans="8:8">
      <c r="H566" s="57"/>
    </row>
    <row r="567" spans="8:8">
      <c r="H567" s="57"/>
    </row>
    <row r="568" spans="8:8">
      <c r="H568" s="57"/>
    </row>
    <row r="569" spans="8:8">
      <c r="H569" s="57"/>
    </row>
    <row r="570" spans="8:8">
      <c r="H570" s="57"/>
    </row>
    <row r="571" spans="8:8">
      <c r="H571" s="57"/>
    </row>
    <row r="572" spans="8:8">
      <c r="H572" s="57"/>
    </row>
    <row r="573" spans="8:8">
      <c r="H573" s="57"/>
    </row>
    <row r="574" spans="8:8">
      <c r="H574" s="57"/>
    </row>
    <row r="575" spans="8:8">
      <c r="H575" s="57"/>
    </row>
    <row r="576" spans="8:8">
      <c r="H576" s="57"/>
    </row>
    <row r="577" spans="8:8">
      <c r="H577" s="57"/>
    </row>
    <row r="578" spans="8:8">
      <c r="H578" s="57"/>
    </row>
    <row r="579" spans="8:8">
      <c r="H579" s="57"/>
    </row>
    <row r="580" spans="8:8">
      <c r="H580" s="57"/>
    </row>
    <row r="581" spans="8:8">
      <c r="H581" s="57"/>
    </row>
    <row r="582" spans="8:8">
      <c r="H582" s="57"/>
    </row>
    <row r="583" spans="8:8">
      <c r="H583" s="57"/>
    </row>
    <row r="584" spans="8:8">
      <c r="H584" s="57"/>
    </row>
    <row r="585" spans="8:8">
      <c r="H585" s="57"/>
    </row>
    <row r="586" spans="8:8">
      <c r="H586" s="57"/>
    </row>
    <row r="587" spans="8:8">
      <c r="H587" s="57"/>
    </row>
    <row r="588" spans="8:8">
      <c r="H588" s="57"/>
    </row>
    <row r="589" spans="8:8">
      <c r="H589" s="57"/>
    </row>
    <row r="590" spans="8:8">
      <c r="H590" s="57"/>
    </row>
    <row r="591" spans="8:8">
      <c r="H591" s="57"/>
    </row>
    <row r="592" spans="8:8">
      <c r="H592" s="57"/>
    </row>
    <row r="593" spans="8:8">
      <c r="H593" s="57"/>
    </row>
    <row r="594" spans="8:8">
      <c r="H594" s="57"/>
    </row>
    <row r="595" spans="8:8">
      <c r="H595" s="57"/>
    </row>
    <row r="596" spans="8:8">
      <c r="H596" s="57"/>
    </row>
    <row r="597" spans="8:8">
      <c r="H597" s="57"/>
    </row>
    <row r="598" spans="8:8">
      <c r="H598" s="57"/>
    </row>
    <row r="599" spans="8:8">
      <c r="H599" s="57"/>
    </row>
    <row r="600" spans="8:8">
      <c r="H600" s="57"/>
    </row>
    <row r="601" spans="8:8">
      <c r="H601" s="57"/>
    </row>
    <row r="602" spans="8:8">
      <c r="H602" s="57"/>
    </row>
    <row r="603" spans="8:8">
      <c r="H603" s="57"/>
    </row>
    <row r="604" spans="8:8">
      <c r="H604" s="57"/>
    </row>
    <row r="605" spans="8:8">
      <c r="H605" s="57"/>
    </row>
    <row r="606" spans="8:8">
      <c r="H606" s="57"/>
    </row>
    <row r="607" spans="8:8">
      <c r="H607" s="57"/>
    </row>
    <row r="608" spans="8:8">
      <c r="H608" s="57"/>
    </row>
    <row r="609" spans="8:8">
      <c r="H609" s="57"/>
    </row>
    <row r="610" spans="8:8">
      <c r="H610" s="57"/>
    </row>
    <row r="611" spans="8:8">
      <c r="H611" s="57"/>
    </row>
    <row r="612" spans="8:8">
      <c r="H612" s="57"/>
    </row>
    <row r="613" spans="8:8">
      <c r="H613" s="57"/>
    </row>
    <row r="614" spans="8:8">
      <c r="H614" s="57"/>
    </row>
    <row r="615" spans="8:8">
      <c r="H615" s="57"/>
    </row>
    <row r="616" spans="8:8">
      <c r="H616" s="57"/>
    </row>
    <row r="617" spans="8:8">
      <c r="H617" s="57"/>
    </row>
    <row r="618" spans="8:8">
      <c r="H618" s="57"/>
    </row>
    <row r="619" spans="8:8">
      <c r="H619" s="57"/>
    </row>
    <row r="620" spans="8:8">
      <c r="H620" s="57"/>
    </row>
    <row r="621" spans="8:8">
      <c r="H621" s="57"/>
    </row>
    <row r="622" spans="8:8">
      <c r="H622" s="57"/>
    </row>
    <row r="623" spans="8:8">
      <c r="H623" s="57"/>
    </row>
    <row r="624" spans="8:8">
      <c r="H624" s="57"/>
    </row>
    <row r="625" spans="8:8">
      <c r="H625" s="57"/>
    </row>
    <row r="626" spans="8:8">
      <c r="H626" s="57"/>
    </row>
    <row r="627" spans="8:8">
      <c r="H627" s="57"/>
    </row>
    <row r="628" spans="8:8">
      <c r="H628" s="57"/>
    </row>
    <row r="629" spans="8:8">
      <c r="H629" s="57"/>
    </row>
    <row r="630" spans="8:8">
      <c r="H630" s="57"/>
    </row>
    <row r="631" spans="8:8">
      <c r="H631" s="57"/>
    </row>
    <row r="632" spans="8:8">
      <c r="H632" s="57"/>
    </row>
    <row r="633" spans="8:8">
      <c r="H633" s="57"/>
    </row>
    <row r="634" spans="8:8">
      <c r="H634" s="57"/>
    </row>
    <row r="635" spans="8:8">
      <c r="H635" s="57"/>
    </row>
    <row r="636" spans="8:8">
      <c r="H636" s="57"/>
    </row>
    <row r="637" spans="8:8">
      <c r="H637" s="57"/>
    </row>
    <row r="638" spans="8:8">
      <c r="H638" s="57"/>
    </row>
    <row r="639" spans="8:8">
      <c r="H639" s="57"/>
    </row>
    <row r="640" spans="8:8">
      <c r="H640" s="57"/>
    </row>
    <row r="641" spans="8:8">
      <c r="H641" s="57"/>
    </row>
    <row r="642" spans="8:8">
      <c r="H642" s="57"/>
    </row>
    <row r="643" spans="8:8">
      <c r="H643" s="57"/>
    </row>
    <row r="644" spans="8:8">
      <c r="H644" s="57"/>
    </row>
    <row r="645" spans="8:8">
      <c r="H645" s="57"/>
    </row>
    <row r="646" spans="8:8">
      <c r="H646" s="57"/>
    </row>
    <row r="647" spans="8:8">
      <c r="H647" s="57"/>
    </row>
    <row r="648" spans="8:8">
      <c r="H648" s="57"/>
    </row>
    <row r="649" spans="8:8">
      <c r="H649" s="57"/>
    </row>
    <row r="650" spans="8:8">
      <c r="H650" s="57"/>
    </row>
    <row r="651" spans="8:8">
      <c r="H651" s="57"/>
    </row>
    <row r="652" spans="8:8">
      <c r="H652" s="57"/>
    </row>
    <row r="653" spans="8:8">
      <c r="H653" s="57"/>
    </row>
    <row r="654" spans="8:8">
      <c r="H654" s="57"/>
    </row>
    <row r="655" spans="8:8">
      <c r="H655" s="57"/>
    </row>
    <row r="656" spans="8:8">
      <c r="H656" s="57"/>
    </row>
    <row r="657" spans="8:8">
      <c r="H657" s="57"/>
    </row>
    <row r="658" spans="8:8">
      <c r="H658" s="57"/>
    </row>
    <row r="659" spans="8:8">
      <c r="H659" s="57"/>
    </row>
    <row r="660" spans="8:8">
      <c r="H660" s="57"/>
    </row>
    <row r="661" spans="8:8">
      <c r="H661" s="57"/>
    </row>
    <row r="662" spans="8:8">
      <c r="H662" s="57"/>
    </row>
    <row r="663" spans="8:8">
      <c r="H663" s="57"/>
    </row>
    <row r="664" spans="8:8">
      <c r="H664" s="57"/>
    </row>
    <row r="665" spans="8:8">
      <c r="H665" s="57"/>
    </row>
    <row r="666" spans="8:8">
      <c r="H666" s="57"/>
    </row>
    <row r="667" spans="8:8">
      <c r="H667" s="57"/>
    </row>
    <row r="668" spans="8:8">
      <c r="H668" s="57"/>
    </row>
    <row r="669" spans="8:8">
      <c r="H669" s="57"/>
    </row>
    <row r="670" spans="8:8">
      <c r="H670" s="57"/>
    </row>
    <row r="671" spans="8:8">
      <c r="H671" s="57"/>
    </row>
    <row r="672" spans="8:8">
      <c r="H672" s="57"/>
    </row>
    <row r="673" spans="8:8">
      <c r="H673" s="57"/>
    </row>
    <row r="674" spans="8:8">
      <c r="H674" s="57"/>
    </row>
    <row r="675" spans="8:8">
      <c r="H675" s="57"/>
    </row>
    <row r="676" spans="8:8">
      <c r="H676" s="57"/>
    </row>
    <row r="677" spans="8:8">
      <c r="H677" s="57"/>
    </row>
    <row r="678" spans="8:8">
      <c r="H678" s="57"/>
    </row>
    <row r="679" spans="8:8">
      <c r="H679" s="57"/>
    </row>
    <row r="680" spans="8:8">
      <c r="H680" s="57"/>
    </row>
    <row r="681" spans="8:8">
      <c r="H681" s="57"/>
    </row>
    <row r="682" spans="8:8">
      <c r="H682" s="57"/>
    </row>
    <row r="683" spans="8:8">
      <c r="H683" s="57"/>
    </row>
    <row r="684" spans="8:8">
      <c r="H684" s="57"/>
    </row>
    <row r="685" spans="8:8">
      <c r="H685" s="57"/>
    </row>
    <row r="686" spans="8:8">
      <c r="H686" s="57"/>
    </row>
    <row r="687" spans="8:8">
      <c r="H687" s="57"/>
    </row>
    <row r="688" spans="8:8">
      <c r="H688" s="57"/>
    </row>
    <row r="689" spans="8:8">
      <c r="H689" s="57"/>
    </row>
    <row r="690" spans="8:8">
      <c r="H690" s="57"/>
    </row>
    <row r="691" spans="8:8">
      <c r="H691" s="57"/>
    </row>
    <row r="692" spans="8:8">
      <c r="H692" s="57"/>
    </row>
    <row r="693" spans="8:8">
      <c r="H693" s="57"/>
    </row>
    <row r="694" spans="8:8">
      <c r="H694" s="57"/>
    </row>
    <row r="695" spans="8:8">
      <c r="H695" s="57"/>
    </row>
    <row r="696" spans="8:8">
      <c r="H696" s="57"/>
    </row>
    <row r="697" spans="8:8">
      <c r="H697" s="57"/>
    </row>
    <row r="698" spans="8:8">
      <c r="H698" s="57"/>
    </row>
    <row r="699" spans="8:8">
      <c r="H699" s="57"/>
    </row>
    <row r="700" spans="8:8">
      <c r="H700" s="57"/>
    </row>
    <row r="701" spans="8:8">
      <c r="H701" s="57"/>
    </row>
    <row r="702" spans="8:8">
      <c r="H702" s="57"/>
    </row>
    <row r="703" spans="8:8">
      <c r="H703" s="57"/>
    </row>
    <row r="704" spans="8:8">
      <c r="H704" s="57"/>
    </row>
    <row r="705" spans="8:8">
      <c r="H705" s="57"/>
    </row>
    <row r="706" spans="8:8">
      <c r="H706" s="57"/>
    </row>
    <row r="707" spans="8:8">
      <c r="H707" s="57"/>
    </row>
    <row r="708" spans="8:8">
      <c r="H708" s="57"/>
    </row>
    <row r="709" spans="8:8">
      <c r="H709" s="57"/>
    </row>
    <row r="710" spans="8:8">
      <c r="H710" s="57"/>
    </row>
    <row r="711" spans="8:8">
      <c r="H711" s="57"/>
    </row>
    <row r="712" spans="8:8">
      <c r="H712" s="57"/>
    </row>
    <row r="713" spans="8:8">
      <c r="H713" s="57"/>
    </row>
    <row r="714" spans="8:8">
      <c r="H714" s="57"/>
    </row>
    <row r="715" spans="8:8">
      <c r="H715" s="57"/>
    </row>
    <row r="716" spans="8:8">
      <c r="H716" s="57"/>
    </row>
    <row r="717" spans="8:8">
      <c r="H717" s="57"/>
    </row>
    <row r="718" spans="8:8">
      <c r="H718" s="57"/>
    </row>
    <row r="719" spans="8:8">
      <c r="H719" s="57"/>
    </row>
    <row r="720" spans="8:8">
      <c r="H720" s="57"/>
    </row>
    <row r="721" spans="8:8">
      <c r="H721" s="57"/>
    </row>
    <row r="722" spans="8:8">
      <c r="H722" s="57"/>
    </row>
    <row r="723" spans="8:8">
      <c r="H723" s="57"/>
    </row>
    <row r="724" spans="8:8">
      <c r="H724" s="57"/>
    </row>
    <row r="725" spans="8:8">
      <c r="H725" s="57"/>
    </row>
    <row r="726" spans="8:8">
      <c r="H726" s="57"/>
    </row>
    <row r="727" spans="8:8">
      <c r="H727" s="57"/>
    </row>
    <row r="728" spans="8:8">
      <c r="H728" s="57"/>
    </row>
    <row r="729" spans="8:8">
      <c r="H729" s="57"/>
    </row>
    <row r="730" spans="8:8">
      <c r="H730" s="57"/>
    </row>
    <row r="731" spans="8:8">
      <c r="H731" s="57"/>
    </row>
    <row r="732" spans="8:8">
      <c r="H732" s="57"/>
    </row>
    <row r="733" spans="8:8">
      <c r="H733" s="57"/>
    </row>
    <row r="734" spans="8:8">
      <c r="H734" s="57"/>
    </row>
    <row r="735" spans="8:8">
      <c r="H735" s="57"/>
    </row>
    <row r="736" spans="8:8">
      <c r="H736" s="57"/>
    </row>
    <row r="737" spans="8:8">
      <c r="H737" s="57"/>
    </row>
    <row r="738" spans="8:8">
      <c r="H738" s="57"/>
    </row>
    <row r="739" spans="8:8">
      <c r="H739" s="57"/>
    </row>
    <row r="740" spans="8:8">
      <c r="H740" s="57"/>
    </row>
    <row r="741" spans="8:8">
      <c r="H741" s="57"/>
    </row>
    <row r="742" spans="8:8">
      <c r="H742" s="57"/>
    </row>
    <row r="743" spans="8:8">
      <c r="H743" s="57"/>
    </row>
    <row r="744" spans="8:8">
      <c r="H744" s="57"/>
    </row>
    <row r="745" spans="8:8">
      <c r="H745" s="57"/>
    </row>
    <row r="746" spans="8:8">
      <c r="H746" s="57"/>
    </row>
    <row r="747" spans="8:8">
      <c r="H747" s="57"/>
    </row>
    <row r="748" spans="8:8">
      <c r="H748" s="57"/>
    </row>
    <row r="749" spans="8:8">
      <c r="H749" s="57"/>
    </row>
    <row r="750" spans="8:8">
      <c r="H750" s="57"/>
    </row>
    <row r="751" spans="8:8">
      <c r="H751" s="57"/>
    </row>
    <row r="752" spans="8:8">
      <c r="H752" s="57"/>
    </row>
    <row r="753" spans="8:8">
      <c r="H753" s="57"/>
    </row>
    <row r="754" spans="8:8">
      <c r="H754" s="57"/>
    </row>
    <row r="755" spans="8:8">
      <c r="H755" s="57"/>
    </row>
    <row r="756" spans="8:8">
      <c r="H756" s="57"/>
    </row>
    <row r="757" spans="8:8">
      <c r="H757" s="57"/>
    </row>
    <row r="758" spans="8:8">
      <c r="H758" s="57"/>
    </row>
    <row r="759" spans="8:8">
      <c r="H759" s="57"/>
    </row>
    <row r="760" spans="8:8">
      <c r="H760" s="57"/>
    </row>
    <row r="761" spans="8:8">
      <c r="H761" s="57"/>
    </row>
    <row r="762" spans="8:8">
      <c r="H762" s="57"/>
    </row>
    <row r="763" spans="8:8">
      <c r="H763" s="57"/>
    </row>
    <row r="764" spans="8:8">
      <c r="H764" s="57"/>
    </row>
    <row r="765" spans="8:8">
      <c r="H765" s="57"/>
    </row>
    <row r="766" spans="8:8">
      <c r="H766" s="57"/>
    </row>
    <row r="767" spans="8:8">
      <c r="H767" s="57"/>
    </row>
    <row r="768" spans="8:8">
      <c r="H768" s="57"/>
    </row>
    <row r="769" spans="8:8">
      <c r="H769" s="57"/>
    </row>
    <row r="770" spans="8:8">
      <c r="H770" s="57"/>
    </row>
    <row r="771" spans="8:8">
      <c r="H771" s="57"/>
    </row>
    <row r="772" spans="8:8">
      <c r="H772" s="57"/>
    </row>
    <row r="773" spans="8:8">
      <c r="H773" s="57"/>
    </row>
    <row r="774" spans="8:8">
      <c r="H774" s="57"/>
    </row>
    <row r="775" spans="8:8">
      <c r="H775" s="57"/>
    </row>
    <row r="776" spans="8:8">
      <c r="H776" s="57"/>
    </row>
    <row r="777" spans="8:8">
      <c r="H777" s="57"/>
    </row>
    <row r="778" spans="8:8">
      <c r="H778" s="57"/>
    </row>
    <row r="779" spans="8:8">
      <c r="H779" s="57"/>
    </row>
    <row r="780" spans="8:8">
      <c r="H780" s="57"/>
    </row>
    <row r="781" spans="8:8">
      <c r="H781" s="57"/>
    </row>
    <row r="782" spans="8:8">
      <c r="H782" s="57"/>
    </row>
    <row r="783" spans="8:8">
      <c r="H783" s="57"/>
    </row>
    <row r="784" spans="8:8">
      <c r="H784" s="57"/>
    </row>
    <row r="785" spans="8:8">
      <c r="H785" s="57"/>
    </row>
    <row r="786" spans="8:8">
      <c r="H786" s="57"/>
    </row>
    <row r="787" spans="8:8">
      <c r="H787" s="57"/>
    </row>
    <row r="788" spans="8:8">
      <c r="H788" s="57"/>
    </row>
    <row r="789" spans="8:8">
      <c r="H789" s="57"/>
    </row>
    <row r="790" spans="8:8">
      <c r="H790" s="57"/>
    </row>
    <row r="791" spans="8:8">
      <c r="H791" s="57"/>
    </row>
    <row r="792" spans="8:8">
      <c r="H792" s="57"/>
    </row>
    <row r="793" spans="8:8">
      <c r="H793" s="57"/>
    </row>
    <row r="794" spans="8:8">
      <c r="H794" s="57"/>
    </row>
    <row r="795" spans="8:8">
      <c r="H795" s="57"/>
    </row>
    <row r="796" spans="8:8">
      <c r="H796" s="57"/>
    </row>
    <row r="797" spans="8:8">
      <c r="H797" s="57"/>
    </row>
    <row r="798" spans="8:8">
      <c r="H798" s="57"/>
    </row>
    <row r="799" spans="8:8">
      <c r="H799" s="57"/>
    </row>
    <row r="800" spans="8:8">
      <c r="H800" s="57"/>
    </row>
    <row r="801" spans="8:8">
      <c r="H801" s="57"/>
    </row>
    <row r="802" spans="8:8">
      <c r="H802" s="57"/>
    </row>
    <row r="803" spans="8:8">
      <c r="H803" s="57"/>
    </row>
    <row r="804" spans="8:8">
      <c r="H804" s="57"/>
    </row>
    <row r="805" spans="8:8">
      <c r="H805" s="57"/>
    </row>
    <row r="806" spans="8:8">
      <c r="H806" s="57"/>
    </row>
    <row r="807" spans="8:8">
      <c r="H807" s="57"/>
    </row>
    <row r="808" spans="8:8">
      <c r="H808" s="57"/>
    </row>
    <row r="809" spans="8:8">
      <c r="H809" s="57"/>
    </row>
    <row r="810" spans="8:8">
      <c r="H810" s="57"/>
    </row>
    <row r="811" spans="8:8">
      <c r="H811" s="57"/>
    </row>
    <row r="812" spans="8:8">
      <c r="H812" s="57"/>
    </row>
    <row r="813" spans="8:8">
      <c r="H813" s="57"/>
    </row>
    <row r="814" spans="8:8">
      <c r="H814" s="57"/>
    </row>
    <row r="815" spans="8:8">
      <c r="H815" s="57"/>
    </row>
    <row r="816" spans="8:8">
      <c r="H816" s="57"/>
    </row>
    <row r="817" spans="8:8">
      <c r="H817" s="57"/>
    </row>
    <row r="818" spans="8:8">
      <c r="H818" s="57"/>
    </row>
    <row r="819" spans="8:8">
      <c r="H819" s="57"/>
    </row>
    <row r="820" spans="8:8">
      <c r="H820" s="57"/>
    </row>
    <row r="821" spans="8:8">
      <c r="H821" s="57"/>
    </row>
    <row r="822" spans="8:8">
      <c r="H822" s="57"/>
    </row>
    <row r="823" spans="8:8">
      <c r="H823" s="57"/>
    </row>
    <row r="824" spans="8:8">
      <c r="H824" s="57"/>
    </row>
    <row r="825" spans="8:8">
      <c r="H825" s="57"/>
    </row>
    <row r="826" spans="8:8">
      <c r="H826" s="57"/>
    </row>
    <row r="827" spans="8:8">
      <c r="H827" s="57"/>
    </row>
    <row r="828" spans="8:8">
      <c r="H828" s="57"/>
    </row>
    <row r="829" spans="8:8">
      <c r="H829" s="57"/>
    </row>
    <row r="830" spans="8:8">
      <c r="H830" s="57"/>
    </row>
    <row r="831" spans="8:8">
      <c r="H831" s="57"/>
    </row>
    <row r="832" spans="8:8">
      <c r="H832" s="57"/>
    </row>
    <row r="833" spans="8:8">
      <c r="H833" s="57"/>
    </row>
    <row r="834" spans="8:8">
      <c r="H834" s="57"/>
    </row>
    <row r="835" spans="8:8">
      <c r="H835" s="57"/>
    </row>
    <row r="836" spans="8:8">
      <c r="H836" s="57"/>
    </row>
    <row r="837" spans="8:8">
      <c r="H837" s="57"/>
    </row>
    <row r="838" spans="8:8">
      <c r="H838" s="57"/>
    </row>
    <row r="839" spans="8:8">
      <c r="H839" s="57"/>
    </row>
    <row r="840" spans="8:8">
      <c r="H840" s="57"/>
    </row>
    <row r="841" spans="8:8">
      <c r="H841" s="57"/>
    </row>
    <row r="842" spans="8:8">
      <c r="H842" s="57"/>
    </row>
    <row r="843" spans="8:8">
      <c r="H843" s="57"/>
    </row>
    <row r="844" spans="8:8">
      <c r="H844" s="57"/>
    </row>
    <row r="845" spans="8:8">
      <c r="H845" s="57"/>
    </row>
    <row r="846" spans="8:8">
      <c r="H846" s="57"/>
    </row>
    <row r="847" spans="8:8">
      <c r="H847" s="57"/>
    </row>
    <row r="848" spans="8:8">
      <c r="H848" s="57"/>
    </row>
    <row r="849" spans="8:8">
      <c r="H849" s="57"/>
    </row>
    <row r="850" spans="8:8">
      <c r="H850" s="57"/>
    </row>
    <row r="851" spans="8:8">
      <c r="H851" s="57"/>
    </row>
    <row r="852" spans="8:8">
      <c r="H852" s="57"/>
    </row>
    <row r="853" spans="8:8">
      <c r="H853" s="57"/>
    </row>
    <row r="854" spans="8:8">
      <c r="H854" s="57"/>
    </row>
    <row r="855" spans="8:8">
      <c r="H855" s="57"/>
    </row>
    <row r="856" spans="8:8">
      <c r="H856" s="57"/>
    </row>
    <row r="857" spans="8:8">
      <c r="H857" s="57"/>
    </row>
    <row r="858" spans="8:8">
      <c r="H858" s="57"/>
    </row>
    <row r="859" spans="8:8">
      <c r="H859" s="57"/>
    </row>
    <row r="860" spans="8:8">
      <c r="H860" s="57"/>
    </row>
    <row r="861" spans="8:8">
      <c r="H861" s="57"/>
    </row>
    <row r="862" spans="8:8">
      <c r="H862" s="57"/>
    </row>
    <row r="863" spans="8:8">
      <c r="H863" s="57"/>
    </row>
    <row r="864" spans="8:8">
      <c r="H864" s="57"/>
    </row>
    <row r="865" spans="8:8">
      <c r="H865" s="57"/>
    </row>
    <row r="866" spans="8:8">
      <c r="H866" s="57"/>
    </row>
    <row r="867" spans="8:8">
      <c r="H867" s="57"/>
    </row>
    <row r="868" spans="8:8">
      <c r="H868" s="57"/>
    </row>
    <row r="869" spans="8:8">
      <c r="H869" s="57"/>
    </row>
    <row r="870" spans="8:8">
      <c r="H870" s="57"/>
    </row>
    <row r="871" spans="8:8">
      <c r="H871" s="57"/>
    </row>
    <row r="872" spans="8:8">
      <c r="H872" s="57"/>
    </row>
    <row r="873" spans="8:8">
      <c r="H873" s="57"/>
    </row>
    <row r="874" spans="8:8">
      <c r="H874" s="57"/>
    </row>
    <row r="875" spans="8:8">
      <c r="H875" s="57"/>
    </row>
    <row r="876" spans="8:8">
      <c r="H876" s="57"/>
    </row>
    <row r="877" spans="8:8">
      <c r="H877" s="57"/>
    </row>
    <row r="878" spans="8:8">
      <c r="H878" s="57"/>
    </row>
    <row r="879" spans="8:8">
      <c r="H879" s="57"/>
    </row>
    <row r="880" spans="8:8">
      <c r="H880" s="57"/>
    </row>
    <row r="881" spans="8:8">
      <c r="H881" s="57"/>
    </row>
    <row r="882" spans="8:8">
      <c r="H882" s="57"/>
    </row>
    <row r="883" spans="8:8">
      <c r="H883" s="57"/>
    </row>
    <row r="884" spans="8:8">
      <c r="H884" s="57"/>
    </row>
    <row r="885" spans="8:8">
      <c r="H885" s="57"/>
    </row>
    <row r="886" spans="8:8">
      <c r="H886" s="57"/>
    </row>
    <row r="887" spans="8:8">
      <c r="H887" s="57"/>
    </row>
    <row r="888" spans="8:8">
      <c r="H888" s="57"/>
    </row>
    <row r="889" spans="8:8">
      <c r="H889" s="57"/>
    </row>
    <row r="890" spans="8:8">
      <c r="H890" s="57"/>
    </row>
    <row r="891" spans="8:8">
      <c r="H891" s="57"/>
    </row>
    <row r="892" spans="8:8">
      <c r="H892" s="57"/>
    </row>
    <row r="893" spans="8:8">
      <c r="H893" s="57"/>
    </row>
    <row r="894" spans="8:8">
      <c r="H894" s="57"/>
    </row>
    <row r="895" spans="8:8">
      <c r="H895" s="57"/>
    </row>
    <row r="896" spans="8:8">
      <c r="H896" s="57"/>
    </row>
    <row r="897" spans="8:8">
      <c r="H897" s="57"/>
    </row>
    <row r="898" spans="8:8">
      <c r="H898" s="57"/>
    </row>
    <row r="899" spans="8:8">
      <c r="H899" s="57"/>
    </row>
    <row r="900" spans="8:8">
      <c r="H900" s="57"/>
    </row>
    <row r="901" spans="8:8">
      <c r="H901" s="57"/>
    </row>
    <row r="902" spans="8:8">
      <c r="H902" s="57"/>
    </row>
    <row r="903" spans="8:8">
      <c r="H903" s="57"/>
    </row>
    <row r="904" spans="8:8">
      <c r="H904" s="57"/>
    </row>
    <row r="905" spans="8:8">
      <c r="H905" s="57"/>
    </row>
    <row r="906" spans="8:8">
      <c r="H906" s="57"/>
    </row>
    <row r="907" spans="8:8">
      <c r="H907" s="57"/>
    </row>
    <row r="908" spans="8:8">
      <c r="H908" s="57"/>
    </row>
    <row r="909" spans="8:8">
      <c r="H909" s="57"/>
    </row>
    <row r="910" spans="8:8">
      <c r="H910" s="57"/>
    </row>
    <row r="911" spans="8:8">
      <c r="H911" s="57"/>
    </row>
    <row r="912" spans="8:8">
      <c r="H912" s="57"/>
    </row>
    <row r="913" spans="8:8">
      <c r="H913" s="57"/>
    </row>
    <row r="914" spans="8:8">
      <c r="H914" s="57"/>
    </row>
    <row r="915" spans="8:8">
      <c r="H915" s="57"/>
    </row>
    <row r="916" spans="8:8">
      <c r="H916" s="57"/>
    </row>
    <row r="917" spans="8:8">
      <c r="H917" s="57"/>
    </row>
    <row r="918" spans="8:8">
      <c r="H918" s="57"/>
    </row>
    <row r="919" spans="8:8">
      <c r="H919" s="57"/>
    </row>
    <row r="920" spans="8:8">
      <c r="H920" s="57"/>
    </row>
    <row r="921" spans="8:8">
      <c r="H921" s="57"/>
    </row>
    <row r="922" spans="8:8">
      <c r="H922" s="57"/>
    </row>
    <row r="923" spans="8:8">
      <c r="H923" s="57"/>
    </row>
    <row r="924" spans="8:8">
      <c r="H924" s="57"/>
    </row>
    <row r="925" spans="8:8">
      <c r="H925" s="57"/>
    </row>
    <row r="926" spans="8:8">
      <c r="H926" s="57"/>
    </row>
    <row r="927" spans="8:8">
      <c r="H927" s="57"/>
    </row>
    <row r="928" spans="8:8">
      <c r="H928" s="57"/>
    </row>
    <row r="929" spans="8:8">
      <c r="H929" s="57"/>
    </row>
    <row r="930" spans="8:8">
      <c r="H930" s="57"/>
    </row>
    <row r="931" spans="8:8">
      <c r="H931" s="57"/>
    </row>
    <row r="932" spans="8:8">
      <c r="H932" s="57"/>
    </row>
    <row r="933" spans="8:8">
      <c r="H933" s="57"/>
    </row>
    <row r="934" spans="8:8">
      <c r="H934" s="57"/>
    </row>
    <row r="935" spans="8:8">
      <c r="H935" s="57"/>
    </row>
    <row r="936" spans="8:8">
      <c r="H936" s="57"/>
    </row>
    <row r="937" spans="8:8">
      <c r="H937" s="57"/>
    </row>
    <row r="938" spans="8:8">
      <c r="H938" s="57"/>
    </row>
    <row r="939" spans="8:8">
      <c r="H939" s="57"/>
    </row>
    <row r="940" spans="8:8">
      <c r="H940" s="57"/>
    </row>
    <row r="941" spans="8:8">
      <c r="H941" s="57"/>
    </row>
    <row r="942" spans="8:8">
      <c r="H942" s="57"/>
    </row>
    <row r="943" spans="8:8">
      <c r="H943" s="57"/>
    </row>
    <row r="944" spans="8:8">
      <c r="H944" s="57"/>
    </row>
    <row r="945" spans="8:8">
      <c r="H945" s="57"/>
    </row>
    <row r="946" spans="8:8">
      <c r="H946" s="57"/>
    </row>
    <row r="947" spans="8:8">
      <c r="H947" s="57"/>
    </row>
    <row r="948" spans="8:8">
      <c r="H948" s="57"/>
    </row>
    <row r="949" spans="8:8">
      <c r="H949" s="57"/>
    </row>
    <row r="950" spans="8:8">
      <c r="H950" s="57"/>
    </row>
    <row r="951" spans="8:8">
      <c r="H951" s="57"/>
    </row>
    <row r="952" spans="8:8">
      <c r="H952" s="57"/>
    </row>
    <row r="953" spans="8:8">
      <c r="H953" s="57"/>
    </row>
    <row r="954" spans="8:8">
      <c r="H954" s="57"/>
    </row>
    <row r="955" spans="8:8">
      <c r="H955" s="57"/>
    </row>
    <row r="956" spans="8:8">
      <c r="H956" s="57"/>
    </row>
    <row r="957" spans="8:8">
      <c r="H957" s="57"/>
    </row>
    <row r="958" spans="8:8">
      <c r="H958" s="57"/>
    </row>
    <row r="959" spans="8:8">
      <c r="H959" s="57"/>
    </row>
    <row r="960" spans="8:8">
      <c r="H960" s="57"/>
    </row>
    <row r="961" spans="8:8">
      <c r="H961" s="57"/>
    </row>
    <row r="962" spans="8:8">
      <c r="H962" s="57"/>
    </row>
    <row r="963" spans="8:8">
      <c r="H963" s="57"/>
    </row>
    <row r="964" spans="8:8">
      <c r="H964" s="57"/>
    </row>
    <row r="965" spans="8:8">
      <c r="H965" s="57"/>
    </row>
    <row r="966" spans="8:8">
      <c r="H966" s="57"/>
    </row>
    <row r="967" spans="8:8">
      <c r="H967" s="57"/>
    </row>
    <row r="968" spans="8:8">
      <c r="H968" s="57"/>
    </row>
    <row r="969" spans="8:8">
      <c r="H969" s="57"/>
    </row>
    <row r="970" spans="8:8">
      <c r="H970" s="57"/>
    </row>
    <row r="971" spans="8:8">
      <c r="H971" s="57"/>
    </row>
    <row r="972" spans="8:8">
      <c r="H972" s="57"/>
    </row>
    <row r="973" spans="8:8">
      <c r="H973" s="57"/>
    </row>
    <row r="974" spans="8:8">
      <c r="H974" s="57"/>
    </row>
    <row r="975" spans="8:8">
      <c r="H975" s="57"/>
    </row>
    <row r="976" spans="8:8">
      <c r="H976" s="57"/>
    </row>
    <row r="977" spans="8:8">
      <c r="H977" s="57"/>
    </row>
    <row r="978" spans="8:8">
      <c r="H978" s="57"/>
    </row>
    <row r="979" spans="8:8">
      <c r="H979" s="57"/>
    </row>
    <row r="980" spans="8:8">
      <c r="H980" s="57"/>
    </row>
    <row r="981" spans="8:8">
      <c r="H981" s="57"/>
    </row>
    <row r="982" spans="8:8">
      <c r="H982" s="57"/>
    </row>
    <row r="983" spans="8:8">
      <c r="H983" s="57"/>
    </row>
    <row r="984" spans="8:8">
      <c r="H984" s="57"/>
    </row>
    <row r="985" spans="8:8">
      <c r="H985" s="57"/>
    </row>
    <row r="986" spans="8:8">
      <c r="H986" s="57"/>
    </row>
    <row r="987" spans="8:8">
      <c r="H987" s="57"/>
    </row>
    <row r="988" spans="8:8">
      <c r="H988" s="57"/>
    </row>
    <row r="989" spans="8:8">
      <c r="H989" s="57"/>
    </row>
    <row r="990" spans="8:8">
      <c r="H990" s="57"/>
    </row>
    <row r="991" spans="8:8">
      <c r="H991" s="57"/>
    </row>
    <row r="992" spans="8:8">
      <c r="H992" s="57"/>
    </row>
    <row r="993" spans="8:8">
      <c r="H993" s="57"/>
    </row>
    <row r="994" spans="8:8">
      <c r="H994" s="57"/>
    </row>
    <row r="995" spans="8:8">
      <c r="H995" s="57"/>
    </row>
    <row r="996" spans="8:8">
      <c r="H996" s="57"/>
    </row>
    <row r="997" spans="8:8">
      <c r="H997" s="57"/>
    </row>
    <row r="998" spans="8:8">
      <c r="H998" s="57"/>
    </row>
    <row r="999" spans="8:8">
      <c r="H999" s="57"/>
    </row>
    <row r="1000" spans="8:8">
      <c r="H1000" s="57"/>
    </row>
    <row r="1001" spans="8:8">
      <c r="H1001" s="57"/>
    </row>
    <row r="1002" spans="8:8">
      <c r="H1002" s="57"/>
    </row>
    <row r="1003" spans="8:8">
      <c r="H1003" s="57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1"/>
  <sheetViews>
    <sheetView tabSelected="1" topLeftCell="E1" workbookViewId="0">
      <selection activeCell="P15" sqref="P15"/>
    </sheetView>
  </sheetViews>
  <sheetFormatPr baseColWidth="10" defaultColWidth="14.42578125" defaultRowHeight="15" customHeight="1"/>
  <cols>
    <col min="5" max="5" width="18" customWidth="1"/>
    <col min="8" max="8" width="17.140625" customWidth="1"/>
  </cols>
  <sheetData>
    <row r="1" spans="1:17">
      <c r="A1" s="98">
        <v>2012</v>
      </c>
      <c r="B1" s="92"/>
      <c r="C1" s="92"/>
      <c r="D1" s="92"/>
      <c r="E1" s="93"/>
      <c r="F1" s="98">
        <v>2024</v>
      </c>
      <c r="G1" s="92"/>
      <c r="H1" s="93"/>
      <c r="I1" s="61"/>
    </row>
    <row r="2" spans="1:17" ht="23.25" customHeight="1">
      <c r="A2" s="99" t="s">
        <v>523</v>
      </c>
      <c r="B2" s="99" t="s">
        <v>451</v>
      </c>
      <c r="C2" s="98" t="s">
        <v>524</v>
      </c>
      <c r="D2" s="93"/>
      <c r="E2" s="102" t="s">
        <v>454</v>
      </c>
      <c r="F2" s="98" t="s">
        <v>524</v>
      </c>
      <c r="G2" s="93"/>
      <c r="H2" s="102" t="s">
        <v>454</v>
      </c>
      <c r="I2" s="61"/>
    </row>
    <row r="3" spans="1:17" ht="23.25" customHeight="1">
      <c r="A3" s="100"/>
      <c r="B3" s="100"/>
      <c r="C3" s="62" t="s">
        <v>452</v>
      </c>
      <c r="D3" s="62" t="s">
        <v>453</v>
      </c>
      <c r="E3" s="100"/>
      <c r="F3" s="62" t="s">
        <v>452</v>
      </c>
      <c r="G3" s="62" t="s">
        <v>453</v>
      </c>
      <c r="H3" s="100"/>
      <c r="I3" s="61"/>
    </row>
    <row r="4" spans="1:17" ht="42.75" customHeight="1">
      <c r="A4" s="101"/>
      <c r="B4" s="101"/>
      <c r="C4" s="63" t="s">
        <v>525</v>
      </c>
      <c r="D4" s="63" t="s">
        <v>525</v>
      </c>
      <c r="E4" s="101"/>
      <c r="F4" s="63" t="s">
        <v>525</v>
      </c>
      <c r="G4" s="63" t="s">
        <v>525</v>
      </c>
      <c r="H4" s="101"/>
      <c r="I4" s="61"/>
      <c r="J4" s="64" t="s">
        <v>17</v>
      </c>
      <c r="K4" s="64" t="s">
        <v>526</v>
      </c>
      <c r="L4" s="64" t="s">
        <v>527</v>
      </c>
      <c r="M4" s="64" t="s">
        <v>528</v>
      </c>
      <c r="N4" s="64" t="s">
        <v>529</v>
      </c>
      <c r="O4" s="64" t="s">
        <v>530</v>
      </c>
      <c r="P4" s="64" t="s">
        <v>531</v>
      </c>
    </row>
    <row r="5" spans="1:17">
      <c r="A5" s="65">
        <v>10101</v>
      </c>
      <c r="B5" s="65" t="s">
        <v>22</v>
      </c>
      <c r="C5" s="66">
        <v>12679</v>
      </c>
      <c r="D5" s="66">
        <v>57270</v>
      </c>
      <c r="E5" s="67">
        <v>18.126063299999998</v>
      </c>
      <c r="F5" s="66">
        <v>9282</v>
      </c>
      <c r="G5" s="66">
        <v>83249</v>
      </c>
      <c r="H5" s="67">
        <v>10.0312328</v>
      </c>
      <c r="I5" s="61"/>
      <c r="J5" s="68" t="s">
        <v>18</v>
      </c>
      <c r="K5" s="69">
        <v>65279</v>
      </c>
      <c r="L5" s="69">
        <v>84802</v>
      </c>
      <c r="M5" s="70">
        <v>43.495845600000003</v>
      </c>
      <c r="N5" s="66">
        <v>52911</v>
      </c>
      <c r="O5" s="66">
        <v>132058</v>
      </c>
      <c r="P5" s="67">
        <v>28.605333900000002</v>
      </c>
      <c r="Q5" s="112"/>
    </row>
    <row r="6" spans="1:17">
      <c r="A6" s="65">
        <v>10102</v>
      </c>
      <c r="B6" s="65" t="s">
        <v>23</v>
      </c>
      <c r="C6" s="66">
        <v>1074</v>
      </c>
      <c r="D6" s="66">
        <v>1572</v>
      </c>
      <c r="E6" s="67">
        <v>40.5895692</v>
      </c>
      <c r="F6" s="66">
        <v>816</v>
      </c>
      <c r="G6" s="66">
        <v>2240</v>
      </c>
      <c r="H6" s="67">
        <v>26.701570700000001</v>
      </c>
      <c r="I6" s="61"/>
      <c r="J6" s="68" t="s">
        <v>56</v>
      </c>
      <c r="K6" s="69">
        <v>296573</v>
      </c>
      <c r="L6" s="69">
        <v>556000</v>
      </c>
      <c r="M6" s="70">
        <v>34.785643</v>
      </c>
      <c r="N6" s="66">
        <v>247554</v>
      </c>
      <c r="O6" s="66">
        <v>822284</v>
      </c>
      <c r="P6" s="67">
        <v>23.139391199999999</v>
      </c>
      <c r="Q6" s="112"/>
    </row>
    <row r="7" spans="1:17">
      <c r="A7" s="65">
        <v>10103</v>
      </c>
      <c r="B7" s="65" t="s">
        <v>24</v>
      </c>
      <c r="C7" s="66">
        <v>4391</v>
      </c>
      <c r="D7" s="66">
        <v>269</v>
      </c>
      <c r="E7" s="67">
        <v>94.227467799999999</v>
      </c>
      <c r="F7" s="66">
        <v>3867</v>
      </c>
      <c r="G7" s="66">
        <v>787</v>
      </c>
      <c r="H7" s="67">
        <v>83.089815200000004</v>
      </c>
      <c r="I7" s="61"/>
      <c r="J7" s="68" t="s">
        <v>162</v>
      </c>
      <c r="K7" s="69">
        <v>154433</v>
      </c>
      <c r="L7" s="69">
        <v>362175</v>
      </c>
      <c r="M7" s="70">
        <v>29.893652400000001</v>
      </c>
      <c r="N7" s="66">
        <v>139494</v>
      </c>
      <c r="O7" s="66">
        <v>535570</v>
      </c>
      <c r="P7" s="67">
        <v>20.663818500000001</v>
      </c>
      <c r="Q7" s="112"/>
    </row>
    <row r="8" spans="1:17">
      <c r="A8" s="65">
        <v>10201</v>
      </c>
      <c r="B8" s="65" t="s">
        <v>25</v>
      </c>
      <c r="C8" s="66">
        <v>1971</v>
      </c>
      <c r="D8" s="66">
        <v>567</v>
      </c>
      <c r="E8" s="67">
        <v>77.659574500000005</v>
      </c>
      <c r="F8" s="66">
        <v>1539</v>
      </c>
      <c r="G8" s="66">
        <v>911</v>
      </c>
      <c r="H8" s="67">
        <v>62.816326500000002</v>
      </c>
      <c r="I8" s="61"/>
      <c r="J8" s="68" t="s">
        <v>216</v>
      </c>
      <c r="K8" s="69">
        <v>80430</v>
      </c>
      <c r="L8" s="69">
        <v>71631</v>
      </c>
      <c r="M8" s="70">
        <v>52.8932468</v>
      </c>
      <c r="N8" s="66">
        <v>69316</v>
      </c>
      <c r="O8" s="66">
        <v>121657</v>
      </c>
      <c r="P8" s="67">
        <v>36.296230399999999</v>
      </c>
      <c r="Q8" s="112"/>
    </row>
    <row r="9" spans="1:17">
      <c r="A9" s="65">
        <v>10202</v>
      </c>
      <c r="B9" s="65" t="s">
        <v>26</v>
      </c>
      <c r="C9" s="66">
        <v>2757</v>
      </c>
      <c r="D9" s="66">
        <v>661</v>
      </c>
      <c r="E9" s="67">
        <v>80.6612054</v>
      </c>
      <c r="F9" s="66">
        <v>2842</v>
      </c>
      <c r="G9" s="66">
        <v>1756</v>
      </c>
      <c r="H9" s="67">
        <v>61.8094824</v>
      </c>
      <c r="I9" s="61"/>
      <c r="J9" s="68" t="s">
        <v>532</v>
      </c>
      <c r="K9" s="69">
        <v>142117</v>
      </c>
      <c r="L9" s="69">
        <v>100185</v>
      </c>
      <c r="M9" s="70">
        <v>58.652838199999998</v>
      </c>
      <c r="N9" s="66">
        <v>142057</v>
      </c>
      <c r="O9" s="66">
        <v>161688</v>
      </c>
      <c r="P9" s="67">
        <v>46.768506500000001</v>
      </c>
      <c r="Q9" s="112"/>
    </row>
    <row r="10" spans="1:17">
      <c r="A10" s="65">
        <v>10301</v>
      </c>
      <c r="B10" s="65" t="s">
        <v>27</v>
      </c>
      <c r="C10" s="66">
        <v>1738</v>
      </c>
      <c r="D10" s="66">
        <v>848</v>
      </c>
      <c r="E10" s="67">
        <v>67.2080433</v>
      </c>
      <c r="F10" s="66">
        <v>1649</v>
      </c>
      <c r="G10" s="66">
        <v>1538</v>
      </c>
      <c r="H10" s="67">
        <v>51.741449600000003</v>
      </c>
      <c r="I10" s="61"/>
      <c r="J10" s="68" t="s">
        <v>319</v>
      </c>
      <c r="K10" s="69">
        <v>22974</v>
      </c>
      <c r="L10" s="69">
        <v>103274</v>
      </c>
      <c r="M10" s="70">
        <v>18.197516</v>
      </c>
      <c r="N10" s="66">
        <v>14298</v>
      </c>
      <c r="O10" s="66">
        <v>145956</v>
      </c>
      <c r="P10" s="67">
        <v>8.9220862000000007</v>
      </c>
      <c r="Q10" s="112"/>
    </row>
    <row r="11" spans="1:17">
      <c r="A11" s="65">
        <v>10302</v>
      </c>
      <c r="B11" s="65" t="s">
        <v>28</v>
      </c>
      <c r="C11" s="66">
        <v>2151</v>
      </c>
      <c r="D11" s="66">
        <v>566</v>
      </c>
      <c r="E11" s="67">
        <v>79.168200200000001</v>
      </c>
      <c r="F11" s="66">
        <v>1836</v>
      </c>
      <c r="G11" s="66">
        <v>1435</v>
      </c>
      <c r="H11" s="67">
        <v>56.129624</v>
      </c>
      <c r="I11" s="61"/>
      <c r="J11" s="68" t="s">
        <v>334</v>
      </c>
      <c r="K11" s="69">
        <v>66179</v>
      </c>
      <c r="L11" s="69">
        <v>578675</v>
      </c>
      <c r="M11" s="70">
        <v>10.2626331</v>
      </c>
      <c r="N11" s="66">
        <v>53780</v>
      </c>
      <c r="O11" s="66">
        <v>823477</v>
      </c>
      <c r="P11" s="67">
        <v>6.1304726</v>
      </c>
      <c r="Q11" s="112"/>
    </row>
    <row r="12" spans="1:17">
      <c r="A12" s="65">
        <v>10303</v>
      </c>
      <c r="B12" s="65" t="s">
        <v>29</v>
      </c>
      <c r="C12" s="66">
        <v>1267</v>
      </c>
      <c r="D12" s="66">
        <v>715</v>
      </c>
      <c r="E12" s="67">
        <v>63.925328</v>
      </c>
      <c r="F12" s="66">
        <v>1056</v>
      </c>
      <c r="G12" s="66">
        <v>1487</v>
      </c>
      <c r="H12" s="67">
        <v>41.525756999999999</v>
      </c>
      <c r="I12" s="61"/>
      <c r="J12" s="68" t="s">
        <v>403</v>
      </c>
      <c r="K12" s="69">
        <v>13138</v>
      </c>
      <c r="L12" s="69">
        <v>80752</v>
      </c>
      <c r="M12" s="70">
        <v>13.9929705</v>
      </c>
      <c r="N12" s="66">
        <v>12688</v>
      </c>
      <c r="O12" s="66">
        <v>113980</v>
      </c>
      <c r="P12" s="67">
        <v>10.016736699999999</v>
      </c>
    </row>
    <row r="13" spans="1:17">
      <c r="A13" s="65">
        <v>10304</v>
      </c>
      <c r="B13" s="65" t="s">
        <v>30</v>
      </c>
      <c r="C13" s="66">
        <v>826</v>
      </c>
      <c r="D13" s="66">
        <v>1005</v>
      </c>
      <c r="E13" s="67">
        <v>45.111960699999997</v>
      </c>
      <c r="F13" s="66">
        <v>1264</v>
      </c>
      <c r="G13" s="66">
        <v>1371</v>
      </c>
      <c r="H13" s="67">
        <v>47.9696395</v>
      </c>
      <c r="I13" s="61"/>
      <c r="J13" s="68" t="s">
        <v>428</v>
      </c>
      <c r="K13" s="69">
        <v>4045</v>
      </c>
      <c r="L13" s="69">
        <v>21320</v>
      </c>
      <c r="M13" s="70">
        <v>15.947171300000001</v>
      </c>
      <c r="N13" s="66">
        <v>2159</v>
      </c>
      <c r="O13" s="66">
        <v>32784</v>
      </c>
      <c r="P13" s="67">
        <v>6.1786338000000001</v>
      </c>
    </row>
    <row r="14" spans="1:17">
      <c r="A14" s="65">
        <v>10401</v>
      </c>
      <c r="B14" s="65" t="s">
        <v>32</v>
      </c>
      <c r="C14" s="66">
        <v>1721</v>
      </c>
      <c r="D14" s="66">
        <v>1089</v>
      </c>
      <c r="E14" s="67">
        <v>61.245551599999999</v>
      </c>
      <c r="F14" s="66">
        <v>1267</v>
      </c>
      <c r="G14" s="66">
        <v>1919</v>
      </c>
      <c r="H14" s="67">
        <v>39.767733800000002</v>
      </c>
      <c r="I14" s="61"/>
      <c r="J14" s="103" t="s">
        <v>14</v>
      </c>
      <c r="K14" s="104">
        <v>845168</v>
      </c>
      <c r="L14" s="104">
        <v>1958814</v>
      </c>
      <c r="M14" s="105">
        <v>30.141705600000002</v>
      </c>
      <c r="N14" s="106">
        <v>734257</v>
      </c>
      <c r="O14" s="106">
        <v>2889454</v>
      </c>
      <c r="P14" s="107">
        <v>20.2625706</v>
      </c>
    </row>
    <row r="15" spans="1:17">
      <c r="A15" s="65">
        <v>10402</v>
      </c>
      <c r="B15" s="65" t="s">
        <v>31</v>
      </c>
      <c r="C15" s="66">
        <v>1218</v>
      </c>
      <c r="D15" s="66">
        <v>895</v>
      </c>
      <c r="E15" s="67">
        <v>57.643161399999997</v>
      </c>
      <c r="F15" s="66">
        <v>781</v>
      </c>
      <c r="G15" s="66">
        <v>1462</v>
      </c>
      <c r="H15" s="67">
        <v>34.819438300000002</v>
      </c>
      <c r="I15" s="61"/>
      <c r="J15" s="108" t="s">
        <v>323</v>
      </c>
      <c r="K15" s="111">
        <f>SUM(C249:C251)</f>
        <v>5425</v>
      </c>
      <c r="L15" s="111">
        <f t="shared" ref="L15:P15" si="0">SUM(D249:D251)</f>
        <v>30997</v>
      </c>
      <c r="M15" s="113">
        <f>(K15/(K15+L15))*100</f>
        <v>14.894843775739938</v>
      </c>
      <c r="N15" s="111">
        <f t="shared" si="0"/>
        <v>3387</v>
      </c>
      <c r="O15" s="111">
        <f t="shared" si="0"/>
        <v>42645</v>
      </c>
      <c r="P15" s="113">
        <f>(N15/(N15+O15))*100</f>
        <v>7.3579249217935345</v>
      </c>
    </row>
    <row r="16" spans="1:17">
      <c r="A16" s="65">
        <v>10403</v>
      </c>
      <c r="B16" s="65" t="s">
        <v>33</v>
      </c>
      <c r="C16" s="66">
        <v>1352</v>
      </c>
      <c r="D16" s="66">
        <v>658</v>
      </c>
      <c r="E16" s="67">
        <v>67.263681599999998</v>
      </c>
      <c r="F16" s="66">
        <v>1119</v>
      </c>
      <c r="G16" s="66">
        <v>968</v>
      </c>
      <c r="H16" s="67">
        <v>53.617632999999998</v>
      </c>
      <c r="I16" s="61"/>
    </row>
    <row r="17" spans="1:9">
      <c r="A17" s="65">
        <v>10404</v>
      </c>
      <c r="B17" s="65" t="s">
        <v>34</v>
      </c>
      <c r="C17" s="66">
        <v>803</v>
      </c>
      <c r="D17" s="66">
        <v>269</v>
      </c>
      <c r="E17" s="67">
        <v>74.906716399999993</v>
      </c>
      <c r="F17" s="66">
        <v>459</v>
      </c>
      <c r="G17" s="66">
        <v>730</v>
      </c>
      <c r="H17" s="67">
        <v>38.603868800000001</v>
      </c>
      <c r="I17" s="61"/>
    </row>
    <row r="18" spans="1:9">
      <c r="A18" s="65">
        <v>10405</v>
      </c>
      <c r="B18" s="65" t="s">
        <v>35</v>
      </c>
      <c r="C18" s="66">
        <v>747</v>
      </c>
      <c r="D18" s="66">
        <v>465</v>
      </c>
      <c r="E18" s="67">
        <v>61.633663400000003</v>
      </c>
      <c r="F18" s="66">
        <v>642</v>
      </c>
      <c r="G18" s="66">
        <v>797</v>
      </c>
      <c r="H18" s="67">
        <v>44.614315499999996</v>
      </c>
      <c r="I18" s="61"/>
    </row>
    <row r="19" spans="1:9">
      <c r="A19" s="65">
        <v>10501</v>
      </c>
      <c r="B19" s="65" t="s">
        <v>37</v>
      </c>
      <c r="C19" s="66">
        <v>2723</v>
      </c>
      <c r="D19" s="66">
        <v>3356</v>
      </c>
      <c r="E19" s="67">
        <v>44.793551600000001</v>
      </c>
      <c r="F19" s="66">
        <v>1687</v>
      </c>
      <c r="G19" s="66">
        <v>6055</v>
      </c>
      <c r="H19" s="67">
        <v>21.7902351</v>
      </c>
      <c r="I19" s="61"/>
    </row>
    <row r="20" spans="1:9">
      <c r="A20" s="65">
        <v>10502</v>
      </c>
      <c r="B20" s="65" t="s">
        <v>38</v>
      </c>
      <c r="C20" s="66">
        <v>1400</v>
      </c>
      <c r="D20" s="66">
        <v>679</v>
      </c>
      <c r="E20" s="67">
        <v>67.340067300000001</v>
      </c>
      <c r="F20" s="66">
        <v>1074</v>
      </c>
      <c r="G20" s="66">
        <v>1227</v>
      </c>
      <c r="H20" s="67">
        <v>46.675358500000002</v>
      </c>
      <c r="I20" s="61"/>
    </row>
    <row r="21" spans="1:9">
      <c r="A21" s="65">
        <v>10601</v>
      </c>
      <c r="B21" s="65" t="s">
        <v>40</v>
      </c>
      <c r="C21" s="66">
        <v>3246</v>
      </c>
      <c r="D21" s="66">
        <v>1140</v>
      </c>
      <c r="E21" s="67">
        <v>74.008207900000002</v>
      </c>
      <c r="F21" s="66">
        <v>2127</v>
      </c>
      <c r="G21" s="66">
        <v>2152</v>
      </c>
      <c r="H21" s="67">
        <v>49.707875700000002</v>
      </c>
      <c r="I21" s="61"/>
    </row>
    <row r="22" spans="1:9">
      <c r="A22" s="65">
        <v>10602</v>
      </c>
      <c r="B22" s="65" t="s">
        <v>39</v>
      </c>
      <c r="C22" s="66">
        <v>2043</v>
      </c>
      <c r="D22" s="66">
        <v>907</v>
      </c>
      <c r="E22" s="67">
        <v>69.2542373</v>
      </c>
      <c r="F22" s="66">
        <v>1484</v>
      </c>
      <c r="G22" s="66">
        <v>1585</v>
      </c>
      <c r="H22" s="67">
        <v>48.354512900000003</v>
      </c>
      <c r="I22" s="61"/>
    </row>
    <row r="23" spans="1:9">
      <c r="A23" s="65">
        <v>10701</v>
      </c>
      <c r="B23" s="65" t="s">
        <v>42</v>
      </c>
      <c r="C23" s="66">
        <v>2304</v>
      </c>
      <c r="D23" s="66">
        <v>2021</v>
      </c>
      <c r="E23" s="67">
        <v>53.271676300000003</v>
      </c>
      <c r="F23" s="66">
        <v>1870</v>
      </c>
      <c r="G23" s="66">
        <v>3177</v>
      </c>
      <c r="H23" s="67">
        <v>37.051713900000003</v>
      </c>
      <c r="I23" s="61"/>
    </row>
    <row r="24" spans="1:9">
      <c r="A24" s="65">
        <v>10702</v>
      </c>
      <c r="B24" s="65" t="s">
        <v>43</v>
      </c>
      <c r="C24" s="66">
        <v>6176</v>
      </c>
      <c r="D24" s="66">
        <v>1832</v>
      </c>
      <c r="E24" s="67">
        <v>77.122877099999997</v>
      </c>
      <c r="F24" s="66">
        <v>5264</v>
      </c>
      <c r="G24" s="66">
        <v>3387</v>
      </c>
      <c r="H24" s="67">
        <v>60.848456800000001</v>
      </c>
      <c r="I24" s="61"/>
    </row>
    <row r="25" spans="1:9">
      <c r="A25" s="65">
        <v>10703</v>
      </c>
      <c r="B25" s="65" t="s">
        <v>44</v>
      </c>
      <c r="C25" s="66">
        <v>2309</v>
      </c>
      <c r="D25" s="66">
        <v>470</v>
      </c>
      <c r="E25" s="67">
        <v>83.087441499999997</v>
      </c>
      <c r="F25" s="66">
        <v>2717</v>
      </c>
      <c r="G25" s="66">
        <v>1354</v>
      </c>
      <c r="H25" s="67">
        <v>66.740358599999993</v>
      </c>
      <c r="I25" s="61"/>
    </row>
    <row r="26" spans="1:9">
      <c r="A26" s="65">
        <v>10704</v>
      </c>
      <c r="B26" s="65" t="s">
        <v>45</v>
      </c>
      <c r="C26" s="66">
        <v>2736</v>
      </c>
      <c r="D26" s="66">
        <v>739</v>
      </c>
      <c r="E26" s="67">
        <v>78.733812900000004</v>
      </c>
      <c r="F26" s="66">
        <v>2406</v>
      </c>
      <c r="G26" s="66">
        <v>1594</v>
      </c>
      <c r="H26" s="67">
        <v>60.15</v>
      </c>
      <c r="I26" s="61"/>
    </row>
    <row r="27" spans="1:9">
      <c r="A27" s="65">
        <v>10801</v>
      </c>
      <c r="B27" s="65" t="s">
        <v>47</v>
      </c>
      <c r="C27" s="66">
        <v>1701</v>
      </c>
      <c r="D27" s="66">
        <v>1495</v>
      </c>
      <c r="E27" s="67">
        <v>53.222778499999997</v>
      </c>
      <c r="F27" s="66">
        <v>1137</v>
      </c>
      <c r="G27" s="66">
        <v>2050</v>
      </c>
      <c r="H27" s="67">
        <v>35.676184499999998</v>
      </c>
      <c r="I27" s="61"/>
    </row>
    <row r="28" spans="1:9">
      <c r="A28" s="65">
        <v>10901</v>
      </c>
      <c r="B28" s="65" t="s">
        <v>49</v>
      </c>
      <c r="C28" s="66">
        <v>648</v>
      </c>
      <c r="D28" s="66">
        <v>317</v>
      </c>
      <c r="E28" s="67">
        <v>67.1502591</v>
      </c>
      <c r="F28" s="66">
        <v>510</v>
      </c>
      <c r="G28" s="66">
        <v>861</v>
      </c>
      <c r="H28" s="67">
        <v>37.199124699999999</v>
      </c>
      <c r="I28" s="61"/>
    </row>
    <row r="29" spans="1:9">
      <c r="A29" s="65">
        <v>10902</v>
      </c>
      <c r="B29" s="65" t="s">
        <v>50</v>
      </c>
      <c r="C29" s="66">
        <v>2692</v>
      </c>
      <c r="D29" s="66">
        <v>1655</v>
      </c>
      <c r="E29" s="67">
        <v>61.927766300000002</v>
      </c>
      <c r="F29" s="66">
        <v>2354</v>
      </c>
      <c r="G29" s="66">
        <v>2306</v>
      </c>
      <c r="H29" s="67">
        <v>50.515021500000003</v>
      </c>
      <c r="I29" s="61"/>
    </row>
    <row r="30" spans="1:9">
      <c r="A30" s="65">
        <v>10903</v>
      </c>
      <c r="B30" s="65" t="s">
        <v>51</v>
      </c>
      <c r="C30" s="66">
        <v>512</v>
      </c>
      <c r="D30" s="66">
        <v>550</v>
      </c>
      <c r="E30" s="67">
        <v>48.210922799999999</v>
      </c>
      <c r="F30" s="66">
        <v>317</v>
      </c>
      <c r="G30" s="66">
        <v>963</v>
      </c>
      <c r="H30" s="67">
        <v>24.765625</v>
      </c>
      <c r="I30" s="61"/>
    </row>
    <row r="31" spans="1:9">
      <c r="A31" s="65">
        <v>11001</v>
      </c>
      <c r="B31" s="65" t="s">
        <v>53</v>
      </c>
      <c r="C31" s="66">
        <v>1183</v>
      </c>
      <c r="D31" s="66">
        <v>1349</v>
      </c>
      <c r="E31" s="67">
        <v>46.721958899999997</v>
      </c>
      <c r="F31" s="66">
        <v>974</v>
      </c>
      <c r="G31" s="66">
        <v>2162</v>
      </c>
      <c r="H31" s="67">
        <v>31.058673500000001</v>
      </c>
      <c r="I31" s="61"/>
    </row>
    <row r="32" spans="1:9">
      <c r="A32" s="65">
        <v>11002</v>
      </c>
      <c r="B32" s="65" t="s">
        <v>54</v>
      </c>
      <c r="C32" s="66">
        <v>346</v>
      </c>
      <c r="D32" s="66">
        <v>257</v>
      </c>
      <c r="E32" s="67">
        <v>57.379767800000003</v>
      </c>
      <c r="F32" s="66">
        <v>189</v>
      </c>
      <c r="G32" s="66">
        <v>629</v>
      </c>
      <c r="H32" s="67">
        <v>23.105134499999998</v>
      </c>
      <c r="I32" s="61"/>
    </row>
    <row r="33" spans="1:9">
      <c r="A33" s="65">
        <v>11003</v>
      </c>
      <c r="B33" s="65" t="s">
        <v>55</v>
      </c>
      <c r="C33" s="66">
        <v>565</v>
      </c>
      <c r="D33" s="66">
        <v>1186</v>
      </c>
      <c r="E33" s="67">
        <v>32.2672758</v>
      </c>
      <c r="F33" s="66">
        <v>382</v>
      </c>
      <c r="G33" s="66">
        <v>1906</v>
      </c>
      <c r="H33" s="67">
        <v>16.695804200000001</v>
      </c>
      <c r="I33" s="61"/>
    </row>
    <row r="34" spans="1:9">
      <c r="A34" s="65">
        <v>20101</v>
      </c>
      <c r="B34" s="65" t="s">
        <v>58</v>
      </c>
      <c r="C34" s="66">
        <v>15100</v>
      </c>
      <c r="D34" s="66">
        <v>211358</v>
      </c>
      <c r="E34" s="67">
        <v>6.6679031000000002</v>
      </c>
      <c r="F34" s="66">
        <v>8231</v>
      </c>
      <c r="G34" s="66">
        <v>242700</v>
      </c>
      <c r="H34" s="67">
        <v>3.2801846000000001</v>
      </c>
      <c r="I34" s="61"/>
    </row>
    <row r="35" spans="1:9">
      <c r="A35" s="65">
        <v>20102</v>
      </c>
      <c r="B35" s="71" t="s">
        <v>59</v>
      </c>
      <c r="C35" s="66">
        <v>3818</v>
      </c>
      <c r="D35" s="66">
        <v>1035</v>
      </c>
      <c r="E35" s="67">
        <v>78.672985800000006</v>
      </c>
      <c r="F35" s="66">
        <v>4181</v>
      </c>
      <c r="G35" s="66">
        <v>3404</v>
      </c>
      <c r="H35" s="67">
        <v>55.121951199999998</v>
      </c>
      <c r="I35" s="61"/>
    </row>
    <row r="36" spans="1:9">
      <c r="A36" s="65">
        <v>20103</v>
      </c>
      <c r="B36" s="71" t="s">
        <v>60</v>
      </c>
      <c r="C36" s="66">
        <v>2703</v>
      </c>
      <c r="D36" s="66">
        <v>2069</v>
      </c>
      <c r="E36" s="67">
        <v>56.642916999999997</v>
      </c>
      <c r="F36" s="66">
        <v>2556</v>
      </c>
      <c r="G36" s="66">
        <v>4293</v>
      </c>
      <c r="H36" s="67">
        <v>37.319316700000002</v>
      </c>
      <c r="I36" s="61"/>
    </row>
    <row r="37" spans="1:9">
      <c r="A37" s="65">
        <v>20104</v>
      </c>
      <c r="B37" s="71" t="s">
        <v>61</v>
      </c>
      <c r="C37" s="66">
        <v>4776</v>
      </c>
      <c r="D37" s="66">
        <v>2375</v>
      </c>
      <c r="E37" s="67">
        <v>66.787861800000002</v>
      </c>
      <c r="F37" s="66">
        <v>5457</v>
      </c>
      <c r="G37" s="66">
        <v>10840</v>
      </c>
      <c r="H37" s="67">
        <v>33.484690399999998</v>
      </c>
      <c r="I37" s="61"/>
    </row>
    <row r="38" spans="1:9">
      <c r="A38" s="65">
        <v>20105</v>
      </c>
      <c r="B38" s="71" t="s">
        <v>62</v>
      </c>
      <c r="C38" s="66">
        <v>54919</v>
      </c>
      <c r="D38" s="66">
        <v>201933</v>
      </c>
      <c r="E38" s="67">
        <v>21.381573800000002</v>
      </c>
      <c r="F38" s="66">
        <v>18747</v>
      </c>
      <c r="G38" s="66">
        <v>279151</v>
      </c>
      <c r="H38" s="67">
        <v>6.2930935999999997</v>
      </c>
      <c r="I38" s="61"/>
    </row>
    <row r="39" spans="1:9">
      <c r="A39" s="65">
        <v>20201</v>
      </c>
      <c r="B39" s="71" t="s">
        <v>64</v>
      </c>
      <c r="C39" s="66">
        <v>8173</v>
      </c>
      <c r="D39" s="66">
        <v>8055</v>
      </c>
      <c r="E39" s="67">
        <v>50.363569099999999</v>
      </c>
      <c r="F39" s="66">
        <v>5557</v>
      </c>
      <c r="G39" s="66">
        <v>12759</v>
      </c>
      <c r="H39" s="67">
        <v>30.339593799999999</v>
      </c>
      <c r="I39" s="61"/>
    </row>
    <row r="40" spans="1:9">
      <c r="A40" s="65">
        <v>20202</v>
      </c>
      <c r="B40" s="71" t="s">
        <v>65</v>
      </c>
      <c r="C40" s="66">
        <v>3331</v>
      </c>
      <c r="D40" s="66">
        <v>1696</v>
      </c>
      <c r="E40" s="67">
        <v>66.262184199999993</v>
      </c>
      <c r="F40" s="66">
        <v>3474</v>
      </c>
      <c r="G40" s="66">
        <v>3263</v>
      </c>
      <c r="H40" s="67">
        <v>51.565978899999998</v>
      </c>
      <c r="I40" s="61"/>
    </row>
    <row r="41" spans="1:9">
      <c r="A41" s="65">
        <v>20203</v>
      </c>
      <c r="B41" s="71" t="s">
        <v>69</v>
      </c>
      <c r="C41" s="66">
        <v>1324</v>
      </c>
      <c r="D41" s="66">
        <v>708</v>
      </c>
      <c r="E41" s="67">
        <v>65.157480300000003</v>
      </c>
      <c r="F41" s="66">
        <v>1174</v>
      </c>
      <c r="G41" s="66">
        <v>1457</v>
      </c>
      <c r="H41" s="67">
        <v>44.621816799999998</v>
      </c>
      <c r="I41" s="61"/>
    </row>
    <row r="42" spans="1:9">
      <c r="A42" s="65">
        <v>20204</v>
      </c>
      <c r="B42" s="71" t="s">
        <v>66</v>
      </c>
      <c r="C42" s="66">
        <v>1655</v>
      </c>
      <c r="D42" s="66">
        <v>1642</v>
      </c>
      <c r="E42" s="67">
        <v>50.197148900000002</v>
      </c>
      <c r="F42" s="66">
        <v>1374</v>
      </c>
      <c r="G42" s="66">
        <v>2582</v>
      </c>
      <c r="H42" s="67">
        <v>34.732052600000003</v>
      </c>
      <c r="I42" s="61"/>
    </row>
    <row r="43" spans="1:9">
      <c r="A43" s="65">
        <v>20205</v>
      </c>
      <c r="B43" s="71" t="s">
        <v>67</v>
      </c>
      <c r="C43" s="66">
        <v>2164</v>
      </c>
      <c r="D43" s="66">
        <v>1633</v>
      </c>
      <c r="E43" s="67">
        <v>56.992362399999998</v>
      </c>
      <c r="F43" s="66">
        <v>1547</v>
      </c>
      <c r="G43" s="66">
        <v>2932</v>
      </c>
      <c r="H43" s="67">
        <v>34.538959599999998</v>
      </c>
      <c r="I43" s="61"/>
    </row>
    <row r="44" spans="1:9">
      <c r="A44" s="65">
        <v>20206</v>
      </c>
      <c r="B44" s="71" t="s">
        <v>68</v>
      </c>
      <c r="C44" s="66">
        <v>696</v>
      </c>
      <c r="D44" s="66">
        <v>966</v>
      </c>
      <c r="E44" s="67">
        <v>41.877256299999999</v>
      </c>
      <c r="F44" s="66">
        <v>608</v>
      </c>
      <c r="G44" s="66">
        <v>1901</v>
      </c>
      <c r="H44" s="67">
        <v>24.232762099999999</v>
      </c>
      <c r="I44" s="61"/>
    </row>
    <row r="45" spans="1:9">
      <c r="A45" s="65">
        <v>20301</v>
      </c>
      <c r="B45" s="71" t="s">
        <v>71</v>
      </c>
      <c r="C45" s="66">
        <v>3080</v>
      </c>
      <c r="D45" s="66">
        <v>660</v>
      </c>
      <c r="E45" s="67">
        <v>82.352941200000004</v>
      </c>
      <c r="F45" s="66">
        <v>3228</v>
      </c>
      <c r="G45" s="66">
        <v>2016</v>
      </c>
      <c r="H45" s="67">
        <v>61.5560641</v>
      </c>
      <c r="I45" s="61"/>
    </row>
    <row r="46" spans="1:9">
      <c r="A46" s="65">
        <v>20302</v>
      </c>
      <c r="B46" s="71" t="s">
        <v>72</v>
      </c>
      <c r="C46" s="66">
        <v>2724</v>
      </c>
      <c r="D46" s="66">
        <v>1545</v>
      </c>
      <c r="E46" s="67">
        <v>63.808854500000002</v>
      </c>
      <c r="F46" s="66">
        <v>2570</v>
      </c>
      <c r="G46" s="66">
        <v>2663</v>
      </c>
      <c r="H46" s="67">
        <v>49.111408400000002</v>
      </c>
      <c r="I46" s="61"/>
    </row>
    <row r="47" spans="1:9">
      <c r="A47" s="65">
        <v>20303</v>
      </c>
      <c r="B47" s="71" t="s">
        <v>73</v>
      </c>
      <c r="C47" s="66">
        <v>2240</v>
      </c>
      <c r="D47" s="66">
        <v>1293</v>
      </c>
      <c r="E47" s="67">
        <v>63.402207799999999</v>
      </c>
      <c r="F47" s="66">
        <v>2516</v>
      </c>
      <c r="G47" s="66">
        <v>2592</v>
      </c>
      <c r="H47" s="67">
        <v>49.256068900000002</v>
      </c>
      <c r="I47" s="61"/>
    </row>
    <row r="48" spans="1:9">
      <c r="A48" s="65">
        <v>20304</v>
      </c>
      <c r="B48" s="71" t="s">
        <v>74</v>
      </c>
      <c r="C48" s="66">
        <v>981</v>
      </c>
      <c r="D48" s="66">
        <v>330</v>
      </c>
      <c r="E48" s="67">
        <v>74.828375300000005</v>
      </c>
      <c r="F48" s="66">
        <v>959</v>
      </c>
      <c r="G48" s="66">
        <v>971</v>
      </c>
      <c r="H48" s="67">
        <v>49.6891192</v>
      </c>
      <c r="I48" s="61"/>
    </row>
    <row r="49" spans="1:9">
      <c r="A49" s="65">
        <v>20305</v>
      </c>
      <c r="B49" s="71" t="s">
        <v>75</v>
      </c>
      <c r="C49" s="66">
        <v>887</v>
      </c>
      <c r="D49" s="66">
        <v>272</v>
      </c>
      <c r="E49" s="67">
        <v>76.531492700000001</v>
      </c>
      <c r="F49" s="66">
        <v>877</v>
      </c>
      <c r="G49" s="66">
        <v>865</v>
      </c>
      <c r="H49" s="67">
        <v>50.344431700000001</v>
      </c>
      <c r="I49" s="61"/>
    </row>
    <row r="50" spans="1:9">
      <c r="A50" s="65">
        <v>20306</v>
      </c>
      <c r="B50" s="71" t="s">
        <v>76</v>
      </c>
      <c r="C50" s="66">
        <v>894</v>
      </c>
      <c r="D50" s="66">
        <v>176</v>
      </c>
      <c r="E50" s="67">
        <v>83.551401900000002</v>
      </c>
      <c r="F50" s="66">
        <v>883</v>
      </c>
      <c r="G50" s="66">
        <v>580</v>
      </c>
      <c r="H50" s="67">
        <v>60.355434000000002</v>
      </c>
      <c r="I50" s="61"/>
    </row>
    <row r="51" spans="1:9">
      <c r="A51" s="65">
        <v>20307</v>
      </c>
      <c r="B51" s="71" t="s">
        <v>77</v>
      </c>
      <c r="C51" s="66">
        <v>159</v>
      </c>
      <c r="D51" s="66">
        <v>130</v>
      </c>
      <c r="E51" s="67">
        <v>55.017301000000003</v>
      </c>
      <c r="F51" s="66">
        <v>666</v>
      </c>
      <c r="G51" s="66">
        <v>547</v>
      </c>
      <c r="H51" s="67">
        <v>54.905193699999998</v>
      </c>
      <c r="I51" s="61"/>
    </row>
    <row r="52" spans="1:9">
      <c r="A52" s="65">
        <v>20308</v>
      </c>
      <c r="B52" s="71" t="s">
        <v>78</v>
      </c>
      <c r="C52" s="66">
        <v>2467</v>
      </c>
      <c r="D52" s="66">
        <v>323</v>
      </c>
      <c r="E52" s="67">
        <v>88.422939099999994</v>
      </c>
      <c r="F52" s="66">
        <v>2923</v>
      </c>
      <c r="G52" s="66">
        <v>646</v>
      </c>
      <c r="H52" s="67">
        <v>81.899691799999999</v>
      </c>
      <c r="I52" s="61"/>
    </row>
    <row r="53" spans="1:9">
      <c r="A53" s="65">
        <v>20401</v>
      </c>
      <c r="B53" s="71" t="s">
        <v>80</v>
      </c>
      <c r="C53" s="66">
        <v>4220</v>
      </c>
      <c r="D53" s="66">
        <v>791</v>
      </c>
      <c r="E53" s="67">
        <v>84.214727600000003</v>
      </c>
      <c r="F53" s="66">
        <v>4712</v>
      </c>
      <c r="G53" s="66">
        <v>1892</v>
      </c>
      <c r="H53" s="67">
        <v>71.350696499999998</v>
      </c>
      <c r="I53" s="61"/>
    </row>
    <row r="54" spans="1:9">
      <c r="A54" s="65">
        <v>20402</v>
      </c>
      <c r="B54" s="71" t="s">
        <v>81</v>
      </c>
      <c r="C54" s="66">
        <v>4795</v>
      </c>
      <c r="D54" s="66">
        <v>1811</v>
      </c>
      <c r="E54" s="67">
        <v>72.585528299999993</v>
      </c>
      <c r="F54" s="66">
        <v>4634</v>
      </c>
      <c r="G54" s="66">
        <v>3379</v>
      </c>
      <c r="H54" s="67">
        <v>57.831024599999999</v>
      </c>
      <c r="I54" s="61"/>
    </row>
    <row r="55" spans="1:9">
      <c r="A55" s="65">
        <v>20403</v>
      </c>
      <c r="B55" s="71" t="s">
        <v>82</v>
      </c>
      <c r="C55" s="66">
        <v>4146</v>
      </c>
      <c r="D55" s="66">
        <v>1201</v>
      </c>
      <c r="E55" s="67">
        <v>77.538806800000003</v>
      </c>
      <c r="F55" s="66">
        <v>4332</v>
      </c>
      <c r="G55" s="66">
        <v>2733</v>
      </c>
      <c r="H55" s="67">
        <v>61.3163482</v>
      </c>
      <c r="I55" s="61"/>
    </row>
    <row r="56" spans="1:9">
      <c r="A56" s="65">
        <v>20404</v>
      </c>
      <c r="B56" s="71" t="s">
        <v>83</v>
      </c>
      <c r="C56" s="66">
        <v>1663</v>
      </c>
      <c r="D56" s="66">
        <v>445</v>
      </c>
      <c r="E56" s="67">
        <v>78.889943099999996</v>
      </c>
      <c r="F56" s="66">
        <v>1790</v>
      </c>
      <c r="G56" s="66">
        <v>737</v>
      </c>
      <c r="H56" s="67">
        <v>70.834982199999999</v>
      </c>
      <c r="I56" s="61"/>
    </row>
    <row r="57" spans="1:9">
      <c r="A57" s="65">
        <v>20405</v>
      </c>
      <c r="B57" s="71" t="s">
        <v>84</v>
      </c>
      <c r="C57" s="66">
        <v>2657</v>
      </c>
      <c r="D57" s="66">
        <v>370</v>
      </c>
      <c r="E57" s="67">
        <v>87.776676600000002</v>
      </c>
      <c r="F57" s="66">
        <v>2776</v>
      </c>
      <c r="G57" s="66">
        <v>1340</v>
      </c>
      <c r="H57" s="67">
        <v>67.444120499999997</v>
      </c>
      <c r="I57" s="61"/>
    </row>
    <row r="58" spans="1:9">
      <c r="A58" s="65">
        <v>20501</v>
      </c>
      <c r="B58" s="71" t="s">
        <v>86</v>
      </c>
      <c r="C58" s="66">
        <v>2831</v>
      </c>
      <c r="D58" s="66">
        <v>1107</v>
      </c>
      <c r="E58" s="67">
        <v>71.889283899999995</v>
      </c>
      <c r="F58" s="66">
        <v>3259</v>
      </c>
      <c r="G58" s="66">
        <v>3129</v>
      </c>
      <c r="H58" s="67">
        <v>51.017532899999999</v>
      </c>
      <c r="I58" s="61"/>
    </row>
    <row r="59" spans="1:9">
      <c r="A59" s="65">
        <v>20502</v>
      </c>
      <c r="B59" s="71" t="s">
        <v>87</v>
      </c>
      <c r="C59" s="66">
        <v>1793</v>
      </c>
      <c r="D59" s="66">
        <v>954</v>
      </c>
      <c r="E59" s="67">
        <v>65.271204999999995</v>
      </c>
      <c r="F59" s="66">
        <v>1876</v>
      </c>
      <c r="G59" s="66">
        <v>1618</v>
      </c>
      <c r="H59" s="67">
        <v>53.692043499999997</v>
      </c>
      <c r="I59" s="61"/>
    </row>
    <row r="60" spans="1:9">
      <c r="A60" s="65">
        <v>20503</v>
      </c>
      <c r="B60" s="71" t="s">
        <v>88</v>
      </c>
      <c r="C60" s="66">
        <v>1470</v>
      </c>
      <c r="D60" s="66">
        <v>468</v>
      </c>
      <c r="E60" s="67">
        <v>75.851393200000004</v>
      </c>
      <c r="F60" s="66">
        <v>1448</v>
      </c>
      <c r="G60" s="66">
        <v>1052</v>
      </c>
      <c r="H60" s="67">
        <v>57.92</v>
      </c>
      <c r="I60" s="61"/>
    </row>
    <row r="61" spans="1:9">
      <c r="A61" s="65">
        <v>20601</v>
      </c>
      <c r="B61" s="71" t="s">
        <v>90</v>
      </c>
      <c r="C61" s="66">
        <v>5566</v>
      </c>
      <c r="D61" s="66">
        <v>3209</v>
      </c>
      <c r="E61" s="67">
        <v>63.430199399999999</v>
      </c>
      <c r="F61" s="66">
        <v>4532</v>
      </c>
      <c r="G61" s="66">
        <v>6927</v>
      </c>
      <c r="H61" s="67">
        <v>39.549698900000003</v>
      </c>
      <c r="I61" s="61"/>
    </row>
    <row r="62" spans="1:9">
      <c r="A62" s="65">
        <v>20602</v>
      </c>
      <c r="B62" s="71" t="s">
        <v>91</v>
      </c>
      <c r="C62" s="66">
        <v>2668</v>
      </c>
      <c r="D62" s="66">
        <v>2013</v>
      </c>
      <c r="E62" s="67">
        <v>56.9963683</v>
      </c>
      <c r="F62" s="66">
        <v>1829</v>
      </c>
      <c r="G62" s="66">
        <v>4440</v>
      </c>
      <c r="H62" s="67">
        <v>29.175307100000001</v>
      </c>
      <c r="I62" s="61"/>
    </row>
    <row r="63" spans="1:9">
      <c r="A63" s="65">
        <v>20603</v>
      </c>
      <c r="B63" s="71" t="s">
        <v>92</v>
      </c>
      <c r="C63" s="66">
        <v>1722</v>
      </c>
      <c r="D63" s="66">
        <v>1258</v>
      </c>
      <c r="E63" s="67">
        <v>57.785234899999999</v>
      </c>
      <c r="F63" s="66">
        <v>1419</v>
      </c>
      <c r="G63" s="66">
        <v>2733</v>
      </c>
      <c r="H63" s="67">
        <v>34.176300599999998</v>
      </c>
      <c r="I63" s="61"/>
    </row>
    <row r="64" spans="1:9">
      <c r="A64" s="65">
        <v>20604</v>
      </c>
      <c r="B64" s="71" t="s">
        <v>93</v>
      </c>
      <c r="C64" s="66">
        <v>658</v>
      </c>
      <c r="D64" s="66">
        <v>369</v>
      </c>
      <c r="E64" s="67">
        <v>64.070107100000001</v>
      </c>
      <c r="F64" s="66">
        <v>817</v>
      </c>
      <c r="G64" s="66">
        <v>574</v>
      </c>
      <c r="H64" s="67">
        <v>58.734723199999998</v>
      </c>
      <c r="I64" s="61"/>
    </row>
    <row r="65" spans="1:9">
      <c r="A65" s="65">
        <v>20605</v>
      </c>
      <c r="B65" s="71" t="s">
        <v>94</v>
      </c>
      <c r="C65" s="66">
        <v>709</v>
      </c>
      <c r="D65" s="66">
        <v>285</v>
      </c>
      <c r="E65" s="67">
        <v>71.327967799999996</v>
      </c>
      <c r="F65" s="66">
        <v>836</v>
      </c>
      <c r="G65" s="66">
        <v>589</v>
      </c>
      <c r="H65" s="67">
        <v>58.6666667</v>
      </c>
      <c r="I65" s="61"/>
    </row>
    <row r="66" spans="1:9">
      <c r="A66" s="65">
        <v>20606</v>
      </c>
      <c r="B66" s="71" t="s">
        <v>95</v>
      </c>
      <c r="C66" s="66">
        <v>1759</v>
      </c>
      <c r="D66" s="66">
        <v>1698</v>
      </c>
      <c r="E66" s="67">
        <v>50.882267900000002</v>
      </c>
      <c r="F66" s="66">
        <v>786</v>
      </c>
      <c r="G66" s="66">
        <v>2457</v>
      </c>
      <c r="H66" s="67">
        <v>24.236817800000001</v>
      </c>
      <c r="I66" s="61"/>
    </row>
    <row r="67" spans="1:9">
      <c r="A67" s="65">
        <v>20607</v>
      </c>
      <c r="B67" s="71" t="s">
        <v>96</v>
      </c>
      <c r="C67" s="66">
        <v>2140</v>
      </c>
      <c r="D67" s="66">
        <v>1910</v>
      </c>
      <c r="E67" s="67">
        <v>52.839506200000002</v>
      </c>
      <c r="F67" s="66">
        <v>1232</v>
      </c>
      <c r="G67" s="66">
        <v>5666</v>
      </c>
      <c r="H67" s="67">
        <v>17.8602493</v>
      </c>
      <c r="I67" s="61"/>
    </row>
    <row r="68" spans="1:9">
      <c r="A68" s="65">
        <v>20608</v>
      </c>
      <c r="B68" s="71" t="s">
        <v>97</v>
      </c>
      <c r="C68" s="66">
        <v>2138</v>
      </c>
      <c r="D68" s="66">
        <v>1349</v>
      </c>
      <c r="E68" s="67">
        <v>61.313450000000003</v>
      </c>
      <c r="F68" s="66">
        <v>1779</v>
      </c>
      <c r="G68" s="66">
        <v>2823</v>
      </c>
      <c r="H68" s="67">
        <v>38.657105600000001</v>
      </c>
      <c r="I68" s="61"/>
    </row>
    <row r="69" spans="1:9">
      <c r="A69" s="65">
        <v>20701</v>
      </c>
      <c r="B69" s="71" t="s">
        <v>99</v>
      </c>
      <c r="C69" s="66">
        <v>2909</v>
      </c>
      <c r="D69" s="66">
        <v>1716</v>
      </c>
      <c r="E69" s="67">
        <v>62.897297299999998</v>
      </c>
      <c r="F69" s="66">
        <v>3200</v>
      </c>
      <c r="G69" s="66">
        <v>2964</v>
      </c>
      <c r="H69" s="67">
        <v>51.914341299999997</v>
      </c>
      <c r="I69" s="61"/>
    </row>
    <row r="70" spans="1:9">
      <c r="A70" s="65">
        <v>20702</v>
      </c>
      <c r="B70" s="71" t="s">
        <v>100</v>
      </c>
      <c r="C70" s="66">
        <v>1435</v>
      </c>
      <c r="D70" s="66">
        <v>795</v>
      </c>
      <c r="E70" s="67">
        <v>64.349775800000003</v>
      </c>
      <c r="F70" s="66">
        <v>972</v>
      </c>
      <c r="G70" s="66">
        <v>2096</v>
      </c>
      <c r="H70" s="67">
        <v>31.681877400000001</v>
      </c>
      <c r="I70" s="61"/>
    </row>
    <row r="71" spans="1:9">
      <c r="A71" s="65">
        <v>20801</v>
      </c>
      <c r="B71" s="71" t="s">
        <v>102</v>
      </c>
      <c r="C71" s="66">
        <v>11989</v>
      </c>
      <c r="D71" s="66">
        <v>14259</v>
      </c>
      <c r="E71" s="67">
        <v>45.675860999999998</v>
      </c>
      <c r="F71" s="66">
        <v>8775</v>
      </c>
      <c r="G71" s="66">
        <v>33166</v>
      </c>
      <c r="H71" s="67">
        <v>20.922247899999999</v>
      </c>
      <c r="I71" s="61"/>
    </row>
    <row r="72" spans="1:9">
      <c r="A72" s="65">
        <v>20802</v>
      </c>
      <c r="B72" s="71" t="s">
        <v>103</v>
      </c>
      <c r="C72" s="66">
        <v>1809</v>
      </c>
      <c r="D72" s="66">
        <v>922</v>
      </c>
      <c r="E72" s="67">
        <v>66.239472699999993</v>
      </c>
      <c r="F72" s="66">
        <v>1048</v>
      </c>
      <c r="G72" s="66">
        <v>2172</v>
      </c>
      <c r="H72" s="67">
        <v>32.546583900000002</v>
      </c>
      <c r="I72" s="61"/>
    </row>
    <row r="73" spans="1:9">
      <c r="A73" s="65">
        <v>20803</v>
      </c>
      <c r="B73" s="71" t="s">
        <v>104</v>
      </c>
      <c r="C73" s="66">
        <v>2109</v>
      </c>
      <c r="D73" s="66">
        <v>1485</v>
      </c>
      <c r="E73" s="67">
        <v>58.6811352</v>
      </c>
      <c r="F73" s="66">
        <v>2099</v>
      </c>
      <c r="G73" s="66">
        <v>2554</v>
      </c>
      <c r="H73" s="67">
        <v>45.110681300000003</v>
      </c>
      <c r="I73" s="61"/>
    </row>
    <row r="74" spans="1:9">
      <c r="A74" s="65">
        <v>20804</v>
      </c>
      <c r="B74" s="71" t="s">
        <v>105</v>
      </c>
      <c r="C74" s="66">
        <v>1418</v>
      </c>
      <c r="D74" s="66">
        <v>832</v>
      </c>
      <c r="E74" s="67">
        <v>63.022222200000002</v>
      </c>
      <c r="F74" s="66">
        <v>713</v>
      </c>
      <c r="G74" s="66">
        <v>1962</v>
      </c>
      <c r="H74" s="67">
        <v>26.654205600000001</v>
      </c>
      <c r="I74" s="61"/>
    </row>
    <row r="75" spans="1:9">
      <c r="A75" s="65">
        <v>20805</v>
      </c>
      <c r="B75" s="71" t="s">
        <v>106</v>
      </c>
      <c r="C75" s="66">
        <v>1103</v>
      </c>
      <c r="D75" s="66">
        <v>1288</v>
      </c>
      <c r="E75" s="67">
        <v>46.131325799999999</v>
      </c>
      <c r="F75" s="66">
        <v>1222</v>
      </c>
      <c r="G75" s="66">
        <v>1892</v>
      </c>
      <c r="H75" s="67">
        <v>39.242132300000002</v>
      </c>
      <c r="I75" s="61"/>
    </row>
    <row r="76" spans="1:9">
      <c r="A76" s="65">
        <v>20806</v>
      </c>
      <c r="B76" s="71" t="s">
        <v>107</v>
      </c>
      <c r="C76" s="66">
        <v>1879</v>
      </c>
      <c r="D76" s="66">
        <v>3088</v>
      </c>
      <c r="E76" s="67">
        <v>37.829675899999998</v>
      </c>
      <c r="F76" s="66">
        <v>1942</v>
      </c>
      <c r="G76" s="66">
        <v>3945</v>
      </c>
      <c r="H76" s="67">
        <v>32.987939500000003</v>
      </c>
      <c r="I76" s="61"/>
    </row>
    <row r="77" spans="1:9">
      <c r="A77" s="65">
        <v>20807</v>
      </c>
      <c r="B77" s="71" t="s">
        <v>108</v>
      </c>
      <c r="C77" s="66">
        <v>1280</v>
      </c>
      <c r="D77" s="66">
        <v>539</v>
      </c>
      <c r="E77" s="67">
        <v>70.368334200000007</v>
      </c>
      <c r="F77" s="66">
        <v>1284</v>
      </c>
      <c r="G77" s="66">
        <v>1278</v>
      </c>
      <c r="H77" s="67">
        <v>50.117095999999997</v>
      </c>
      <c r="I77" s="61"/>
    </row>
    <row r="78" spans="1:9">
      <c r="A78" s="65">
        <v>20901</v>
      </c>
      <c r="B78" s="71" t="s">
        <v>110</v>
      </c>
      <c r="C78" s="66">
        <v>2501</v>
      </c>
      <c r="D78" s="66">
        <v>1412</v>
      </c>
      <c r="E78" s="67">
        <v>63.915154600000001</v>
      </c>
      <c r="F78" s="66">
        <v>1951</v>
      </c>
      <c r="G78" s="66">
        <v>2483</v>
      </c>
      <c r="H78" s="67">
        <v>44.000902099999998</v>
      </c>
      <c r="I78" s="61"/>
    </row>
    <row r="79" spans="1:9">
      <c r="A79" s="65">
        <v>20902</v>
      </c>
      <c r="B79" s="71" t="s">
        <v>111</v>
      </c>
      <c r="C79" s="66">
        <v>3997</v>
      </c>
      <c r="D79" s="66">
        <v>627</v>
      </c>
      <c r="E79" s="67">
        <v>86.440311399999999</v>
      </c>
      <c r="F79" s="66">
        <v>4133</v>
      </c>
      <c r="G79" s="66">
        <v>2505</v>
      </c>
      <c r="H79" s="67">
        <v>62.262729700000001</v>
      </c>
      <c r="I79" s="61"/>
    </row>
    <row r="80" spans="1:9">
      <c r="A80" s="65">
        <v>20903</v>
      </c>
      <c r="B80" s="71" t="s">
        <v>112</v>
      </c>
      <c r="C80" s="66">
        <v>2004</v>
      </c>
      <c r="D80" s="66">
        <v>302</v>
      </c>
      <c r="E80" s="67">
        <v>86.903729400000003</v>
      </c>
      <c r="F80" s="66">
        <v>2982</v>
      </c>
      <c r="G80" s="66">
        <v>1160</v>
      </c>
      <c r="H80" s="67">
        <v>71.994205699999995</v>
      </c>
      <c r="I80" s="61"/>
    </row>
    <row r="81" spans="1:9">
      <c r="A81" s="65">
        <v>20904</v>
      </c>
      <c r="B81" s="71" t="s">
        <v>113</v>
      </c>
      <c r="C81" s="66">
        <v>890</v>
      </c>
      <c r="D81" s="66">
        <v>344</v>
      </c>
      <c r="E81" s="67">
        <v>72.123176700000002</v>
      </c>
      <c r="F81" s="66">
        <v>1189</v>
      </c>
      <c r="G81" s="66">
        <v>588</v>
      </c>
      <c r="H81" s="67">
        <v>66.910523400000002</v>
      </c>
      <c r="I81" s="61"/>
    </row>
    <row r="82" spans="1:9">
      <c r="A82" s="65">
        <v>20905</v>
      </c>
      <c r="B82" s="71" t="s">
        <v>114</v>
      </c>
      <c r="C82" s="66">
        <v>2516</v>
      </c>
      <c r="D82" s="66">
        <v>554</v>
      </c>
      <c r="E82" s="67">
        <v>81.954397400000005</v>
      </c>
      <c r="F82" s="66">
        <v>3415</v>
      </c>
      <c r="G82" s="66">
        <v>1477</v>
      </c>
      <c r="H82" s="67">
        <v>69.807849599999997</v>
      </c>
      <c r="I82" s="61"/>
    </row>
    <row r="83" spans="1:9">
      <c r="A83" s="65">
        <v>21001</v>
      </c>
      <c r="B83" s="71" t="s">
        <v>115</v>
      </c>
      <c r="C83" s="66">
        <v>4001</v>
      </c>
      <c r="D83" s="66">
        <v>893</v>
      </c>
      <c r="E83" s="67">
        <v>81.753167099999999</v>
      </c>
      <c r="F83" s="66">
        <v>4634</v>
      </c>
      <c r="G83" s="66">
        <v>2510</v>
      </c>
      <c r="H83" s="67">
        <v>64.865621500000003</v>
      </c>
      <c r="I83" s="61"/>
    </row>
    <row r="84" spans="1:9">
      <c r="A84" s="65">
        <v>21002</v>
      </c>
      <c r="B84" s="71" t="s">
        <v>116</v>
      </c>
      <c r="C84" s="66">
        <v>2341</v>
      </c>
      <c r="D84" s="66">
        <v>1046</v>
      </c>
      <c r="E84" s="67">
        <v>69.117212899999998</v>
      </c>
      <c r="F84" s="66">
        <v>2246</v>
      </c>
      <c r="G84" s="66">
        <v>2188</v>
      </c>
      <c r="H84" s="67">
        <v>50.654037000000002</v>
      </c>
      <c r="I84" s="61"/>
    </row>
    <row r="85" spans="1:9">
      <c r="A85" s="65">
        <v>21003</v>
      </c>
      <c r="B85" s="71" t="s">
        <v>117</v>
      </c>
      <c r="C85" s="66">
        <v>1851</v>
      </c>
      <c r="D85" s="66">
        <v>1168</v>
      </c>
      <c r="E85" s="67">
        <v>61.311692600000001</v>
      </c>
      <c r="F85" s="66">
        <v>2186</v>
      </c>
      <c r="G85" s="66">
        <v>3623</v>
      </c>
      <c r="H85" s="67">
        <v>37.631261799999997</v>
      </c>
      <c r="I85" s="61"/>
    </row>
    <row r="86" spans="1:9">
      <c r="A86" s="65">
        <v>21004</v>
      </c>
      <c r="B86" s="71" t="s">
        <v>118</v>
      </c>
      <c r="C86" s="66">
        <v>4842</v>
      </c>
      <c r="D86" s="66">
        <v>988</v>
      </c>
      <c r="E86" s="67">
        <v>83.053173200000003</v>
      </c>
      <c r="F86" s="66">
        <v>5467</v>
      </c>
      <c r="G86" s="66">
        <v>2403</v>
      </c>
      <c r="H86" s="67">
        <v>69.466327800000002</v>
      </c>
      <c r="I86" s="61"/>
    </row>
    <row r="87" spans="1:9">
      <c r="A87" s="65">
        <v>21005</v>
      </c>
      <c r="B87" s="71" t="s">
        <v>119</v>
      </c>
      <c r="C87" s="66">
        <v>1454</v>
      </c>
      <c r="D87" s="66">
        <v>241</v>
      </c>
      <c r="E87" s="67">
        <v>85.781710899999993</v>
      </c>
      <c r="F87" s="66">
        <v>2766</v>
      </c>
      <c r="G87" s="66">
        <v>689</v>
      </c>
      <c r="H87" s="67">
        <v>80.057887100000002</v>
      </c>
      <c r="I87" s="61"/>
    </row>
    <row r="88" spans="1:9">
      <c r="A88" s="65">
        <v>21006</v>
      </c>
      <c r="B88" s="71" t="s">
        <v>120</v>
      </c>
      <c r="C88" s="66">
        <v>648</v>
      </c>
      <c r="D88" s="66">
        <v>373</v>
      </c>
      <c r="E88" s="67">
        <v>63.467188999999998</v>
      </c>
      <c r="F88" s="66">
        <v>702</v>
      </c>
      <c r="G88" s="66">
        <v>1169</v>
      </c>
      <c r="H88" s="67">
        <v>37.520042799999999</v>
      </c>
      <c r="I88" s="61"/>
    </row>
    <row r="89" spans="1:9">
      <c r="A89" s="65">
        <v>21101</v>
      </c>
      <c r="B89" s="71" t="s">
        <v>122</v>
      </c>
      <c r="C89" s="66">
        <v>3457</v>
      </c>
      <c r="D89" s="66">
        <v>2622</v>
      </c>
      <c r="E89" s="67">
        <v>56.867905899999997</v>
      </c>
      <c r="F89" s="66">
        <v>2265</v>
      </c>
      <c r="G89" s="66">
        <v>4949</v>
      </c>
      <c r="H89" s="67">
        <v>31.397283099999999</v>
      </c>
      <c r="I89" s="61"/>
    </row>
    <row r="90" spans="1:9">
      <c r="A90" s="65">
        <v>21102</v>
      </c>
      <c r="B90" s="71" t="s">
        <v>123</v>
      </c>
      <c r="C90" s="66">
        <v>3716</v>
      </c>
      <c r="D90" s="66">
        <v>2783</v>
      </c>
      <c r="E90" s="67">
        <v>57.178027399999998</v>
      </c>
      <c r="F90" s="66">
        <v>3875</v>
      </c>
      <c r="G90" s="66">
        <v>5583</v>
      </c>
      <c r="H90" s="67">
        <v>40.9706069</v>
      </c>
      <c r="I90" s="61"/>
    </row>
    <row r="91" spans="1:9">
      <c r="A91" s="65">
        <v>21103</v>
      </c>
      <c r="B91" s="71" t="s">
        <v>124</v>
      </c>
      <c r="C91" s="66">
        <v>819</v>
      </c>
      <c r="D91" s="66">
        <v>1489</v>
      </c>
      <c r="E91" s="67">
        <v>35.485268599999998</v>
      </c>
      <c r="F91" s="66">
        <v>649</v>
      </c>
      <c r="G91" s="66">
        <v>2349</v>
      </c>
      <c r="H91" s="67">
        <v>21.647765199999998</v>
      </c>
      <c r="I91" s="61"/>
    </row>
    <row r="92" spans="1:9">
      <c r="A92" s="65">
        <v>21104</v>
      </c>
      <c r="B92" s="71" t="s">
        <v>125</v>
      </c>
      <c r="C92" s="66">
        <v>4228</v>
      </c>
      <c r="D92" s="66">
        <v>5018</v>
      </c>
      <c r="E92" s="67">
        <v>45.727882299999997</v>
      </c>
      <c r="F92" s="66">
        <v>4246</v>
      </c>
      <c r="G92" s="66">
        <v>7384</v>
      </c>
      <c r="H92" s="67">
        <v>36.509028399999998</v>
      </c>
      <c r="I92" s="61"/>
    </row>
    <row r="93" spans="1:9">
      <c r="A93" s="65">
        <v>21105</v>
      </c>
      <c r="B93" s="71" t="s">
        <v>126</v>
      </c>
      <c r="C93" s="66">
        <v>9611</v>
      </c>
      <c r="D93" s="66">
        <v>4027</v>
      </c>
      <c r="E93" s="67">
        <v>70.472210000000004</v>
      </c>
      <c r="F93" s="66">
        <v>9155</v>
      </c>
      <c r="G93" s="66">
        <v>9225</v>
      </c>
      <c r="H93" s="67">
        <v>49.809575600000002</v>
      </c>
      <c r="I93" s="61"/>
    </row>
    <row r="94" spans="1:9">
      <c r="A94" s="65">
        <v>21201</v>
      </c>
      <c r="B94" s="71" t="s">
        <v>128</v>
      </c>
      <c r="C94" s="66">
        <v>6622</v>
      </c>
      <c r="D94" s="66">
        <v>4499</v>
      </c>
      <c r="E94" s="67">
        <v>59.545004900000002</v>
      </c>
      <c r="F94" s="66">
        <v>9291</v>
      </c>
      <c r="G94" s="66">
        <v>12168</v>
      </c>
      <c r="H94" s="67">
        <v>43.296518900000002</v>
      </c>
      <c r="I94" s="61"/>
    </row>
    <row r="95" spans="1:9">
      <c r="A95" s="65">
        <v>21202</v>
      </c>
      <c r="B95" s="71" t="s">
        <v>129</v>
      </c>
      <c r="C95" s="66">
        <v>5112</v>
      </c>
      <c r="D95" s="66">
        <v>2649</v>
      </c>
      <c r="E95" s="67">
        <v>65.867800500000001</v>
      </c>
      <c r="F95" s="66">
        <v>5181</v>
      </c>
      <c r="G95" s="66">
        <v>8432</v>
      </c>
      <c r="H95" s="67">
        <v>38.059208099999999</v>
      </c>
      <c r="I95" s="61"/>
    </row>
    <row r="96" spans="1:9">
      <c r="A96" s="65">
        <v>21203</v>
      </c>
      <c r="B96" s="71" t="s">
        <v>130</v>
      </c>
      <c r="C96" s="66">
        <v>3128</v>
      </c>
      <c r="D96" s="66">
        <v>2934</v>
      </c>
      <c r="E96" s="67">
        <v>51.600132000000002</v>
      </c>
      <c r="F96" s="66">
        <v>2958</v>
      </c>
      <c r="G96" s="66">
        <v>5545</v>
      </c>
      <c r="H96" s="67">
        <v>34.787722000000002</v>
      </c>
      <c r="I96" s="61"/>
    </row>
    <row r="97" spans="1:9">
      <c r="A97" s="65">
        <v>21204</v>
      </c>
      <c r="B97" s="71" t="s">
        <v>131</v>
      </c>
      <c r="C97" s="66">
        <v>1701</v>
      </c>
      <c r="D97" s="66">
        <v>647</v>
      </c>
      <c r="E97" s="67">
        <v>72.444633699999997</v>
      </c>
      <c r="F97" s="66">
        <v>1733</v>
      </c>
      <c r="G97" s="66">
        <v>1455</v>
      </c>
      <c r="H97" s="67">
        <v>54.3601004</v>
      </c>
      <c r="I97" s="61"/>
    </row>
    <row r="98" spans="1:9">
      <c r="A98" s="65">
        <v>21301</v>
      </c>
      <c r="B98" s="71" t="s">
        <v>133</v>
      </c>
      <c r="C98" s="66">
        <v>7443</v>
      </c>
      <c r="D98" s="66">
        <v>1977</v>
      </c>
      <c r="E98" s="67">
        <v>79.012738900000002</v>
      </c>
      <c r="F98" s="66">
        <v>6904</v>
      </c>
      <c r="G98" s="66">
        <v>5723</v>
      </c>
      <c r="H98" s="67">
        <v>54.6764869</v>
      </c>
      <c r="I98" s="61"/>
    </row>
    <row r="99" spans="1:9">
      <c r="A99" s="65">
        <v>21302</v>
      </c>
      <c r="B99" s="71" t="s">
        <v>134</v>
      </c>
      <c r="C99" s="66">
        <v>2088</v>
      </c>
      <c r="D99" s="66">
        <v>1161</v>
      </c>
      <c r="E99" s="67">
        <v>64.265928000000002</v>
      </c>
      <c r="F99" s="66">
        <v>1810</v>
      </c>
      <c r="G99" s="66">
        <v>2111</v>
      </c>
      <c r="H99" s="67">
        <v>46.161693399999997</v>
      </c>
      <c r="I99" s="61"/>
    </row>
    <row r="100" spans="1:9">
      <c r="A100" s="65">
        <v>21303</v>
      </c>
      <c r="B100" s="71" t="s">
        <v>135</v>
      </c>
      <c r="C100" s="66">
        <v>2252</v>
      </c>
      <c r="D100" s="66">
        <v>571</v>
      </c>
      <c r="E100" s="67">
        <v>79.773290799999998</v>
      </c>
      <c r="F100" s="66">
        <v>3165</v>
      </c>
      <c r="G100" s="66">
        <v>1629</v>
      </c>
      <c r="H100" s="67">
        <v>66.020025000000004</v>
      </c>
      <c r="I100" s="61"/>
    </row>
    <row r="101" spans="1:9">
      <c r="A101" s="65">
        <v>21304</v>
      </c>
      <c r="B101" s="71" t="s">
        <v>136</v>
      </c>
      <c r="C101" s="66">
        <v>2793</v>
      </c>
      <c r="D101" s="66">
        <v>1034</v>
      </c>
      <c r="E101" s="67">
        <v>72.981447599999996</v>
      </c>
      <c r="F101" s="66">
        <v>2698</v>
      </c>
      <c r="G101" s="66">
        <v>2769</v>
      </c>
      <c r="H101" s="67">
        <v>49.350649400000002</v>
      </c>
      <c r="I101" s="61"/>
    </row>
    <row r="102" spans="1:9">
      <c r="A102" s="65">
        <v>21305</v>
      </c>
      <c r="B102" s="71" t="s">
        <v>137</v>
      </c>
      <c r="C102" s="66">
        <v>3407</v>
      </c>
      <c r="D102" s="66">
        <v>4090</v>
      </c>
      <c r="E102" s="67">
        <v>45.444844600000003</v>
      </c>
      <c r="F102" s="66">
        <v>2983</v>
      </c>
      <c r="G102" s="66">
        <v>6364</v>
      </c>
      <c r="H102" s="67">
        <v>31.913983099999999</v>
      </c>
      <c r="I102" s="61"/>
    </row>
    <row r="103" spans="1:9">
      <c r="A103" s="65">
        <v>21306</v>
      </c>
      <c r="B103" s="71" t="s">
        <v>138</v>
      </c>
      <c r="C103" s="66">
        <v>2294</v>
      </c>
      <c r="D103" s="66">
        <v>906</v>
      </c>
      <c r="E103" s="67">
        <v>71.6875</v>
      </c>
      <c r="F103" s="66">
        <v>2215</v>
      </c>
      <c r="G103" s="66">
        <v>2265</v>
      </c>
      <c r="H103" s="67">
        <v>49.441964300000002</v>
      </c>
      <c r="I103" s="61"/>
    </row>
    <row r="104" spans="1:9">
      <c r="A104" s="65">
        <v>21307</v>
      </c>
      <c r="B104" s="71" t="s">
        <v>139</v>
      </c>
      <c r="C104" s="66">
        <v>642</v>
      </c>
      <c r="D104" s="66">
        <v>630</v>
      </c>
      <c r="E104" s="67">
        <v>50.471698099999998</v>
      </c>
      <c r="F104" s="66">
        <v>567</v>
      </c>
      <c r="G104" s="66">
        <v>1086</v>
      </c>
      <c r="H104" s="67">
        <v>34.3012704</v>
      </c>
      <c r="I104" s="61"/>
    </row>
    <row r="105" spans="1:9">
      <c r="A105" s="65">
        <v>21401</v>
      </c>
      <c r="B105" s="71" t="s">
        <v>141</v>
      </c>
      <c r="C105" s="66">
        <v>3642</v>
      </c>
      <c r="D105" s="66">
        <v>3354</v>
      </c>
      <c r="E105" s="67">
        <v>52.058318999999997</v>
      </c>
      <c r="F105" s="66">
        <v>3819</v>
      </c>
      <c r="G105" s="66">
        <v>6557</v>
      </c>
      <c r="H105" s="67">
        <v>36.806091000000002</v>
      </c>
      <c r="I105" s="61"/>
    </row>
    <row r="106" spans="1:9">
      <c r="A106" s="65">
        <v>21402</v>
      </c>
      <c r="B106" s="71" t="s">
        <v>142</v>
      </c>
      <c r="C106" s="66">
        <v>2774</v>
      </c>
      <c r="D106" s="66">
        <v>2606</v>
      </c>
      <c r="E106" s="67">
        <v>51.561338300000003</v>
      </c>
      <c r="F106" s="66">
        <v>2293</v>
      </c>
      <c r="G106" s="66">
        <v>6620</v>
      </c>
      <c r="H106" s="67">
        <v>25.726467</v>
      </c>
      <c r="I106" s="61"/>
    </row>
    <row r="107" spans="1:9">
      <c r="A107" s="65">
        <v>21501</v>
      </c>
      <c r="B107" s="71" t="s">
        <v>144</v>
      </c>
      <c r="C107" s="66">
        <v>576</v>
      </c>
      <c r="D107" s="66">
        <v>1694</v>
      </c>
      <c r="E107" s="67">
        <v>25.374449299999998</v>
      </c>
      <c r="F107" s="66">
        <v>588</v>
      </c>
      <c r="G107" s="66">
        <v>2718</v>
      </c>
      <c r="H107" s="67">
        <v>17.7858439</v>
      </c>
      <c r="I107" s="61"/>
    </row>
    <row r="108" spans="1:9">
      <c r="A108" s="65">
        <v>21502</v>
      </c>
      <c r="B108" s="71" t="s">
        <v>145</v>
      </c>
      <c r="C108" s="66">
        <v>450</v>
      </c>
      <c r="D108" s="66">
        <v>1555</v>
      </c>
      <c r="E108" s="67">
        <v>22.4438903</v>
      </c>
      <c r="F108" s="66">
        <v>361</v>
      </c>
      <c r="G108" s="66">
        <v>2488</v>
      </c>
      <c r="H108" s="67">
        <v>12.6711127</v>
      </c>
      <c r="I108" s="61"/>
    </row>
    <row r="109" spans="1:9">
      <c r="A109" s="65">
        <v>21601</v>
      </c>
      <c r="B109" s="71" t="s">
        <v>147</v>
      </c>
      <c r="C109" s="66">
        <v>3055</v>
      </c>
      <c r="D109" s="66">
        <v>495</v>
      </c>
      <c r="E109" s="67">
        <v>86.056337999999997</v>
      </c>
      <c r="F109" s="66">
        <v>2721</v>
      </c>
      <c r="G109" s="66">
        <v>2301</v>
      </c>
      <c r="H109" s="67">
        <v>54.181601000000001</v>
      </c>
      <c r="I109" s="61"/>
    </row>
    <row r="110" spans="1:9">
      <c r="A110" s="65">
        <v>21602</v>
      </c>
      <c r="B110" s="71" t="s">
        <v>148</v>
      </c>
      <c r="C110" s="66">
        <v>753</v>
      </c>
      <c r="D110" s="66">
        <v>229</v>
      </c>
      <c r="E110" s="67">
        <v>76.680244400000007</v>
      </c>
      <c r="F110" s="66">
        <v>764</v>
      </c>
      <c r="G110" s="66">
        <v>892</v>
      </c>
      <c r="H110" s="67">
        <v>46.135265699999998</v>
      </c>
      <c r="I110" s="61"/>
    </row>
    <row r="111" spans="1:9">
      <c r="A111" s="65">
        <v>21701</v>
      </c>
      <c r="B111" s="71" t="s">
        <v>150</v>
      </c>
      <c r="C111" s="66">
        <v>2134</v>
      </c>
      <c r="D111" s="66">
        <v>3010</v>
      </c>
      <c r="E111" s="67">
        <v>41.485225499999999</v>
      </c>
      <c r="F111" s="66">
        <v>2251</v>
      </c>
      <c r="G111" s="66">
        <v>4566</v>
      </c>
      <c r="H111" s="67">
        <v>33.020390200000001</v>
      </c>
      <c r="I111" s="61"/>
    </row>
    <row r="112" spans="1:9">
      <c r="A112" s="65">
        <v>21702</v>
      </c>
      <c r="B112" s="71" t="s">
        <v>151</v>
      </c>
      <c r="C112" s="66">
        <v>1976</v>
      </c>
      <c r="D112" s="66">
        <v>491</v>
      </c>
      <c r="E112" s="67">
        <v>80.097284200000004</v>
      </c>
      <c r="F112" s="66">
        <v>1882</v>
      </c>
      <c r="G112" s="66">
        <v>1749</v>
      </c>
      <c r="H112" s="67">
        <v>51.831451399999999</v>
      </c>
      <c r="I112" s="61"/>
    </row>
    <row r="113" spans="1:9">
      <c r="A113" s="65">
        <v>21703</v>
      </c>
      <c r="B113" s="71" t="s">
        <v>152</v>
      </c>
      <c r="C113" s="66">
        <v>1097</v>
      </c>
      <c r="D113" s="66">
        <v>198</v>
      </c>
      <c r="E113" s="67">
        <v>84.710424700000004</v>
      </c>
      <c r="F113" s="66">
        <v>981</v>
      </c>
      <c r="G113" s="66">
        <v>493</v>
      </c>
      <c r="H113" s="67">
        <v>66.553595700000002</v>
      </c>
      <c r="I113" s="61"/>
    </row>
    <row r="114" spans="1:9">
      <c r="A114" s="65">
        <v>21801</v>
      </c>
      <c r="B114" s="71" t="s">
        <v>154</v>
      </c>
      <c r="C114" s="66">
        <v>2384</v>
      </c>
      <c r="D114" s="66">
        <v>444</v>
      </c>
      <c r="E114" s="67">
        <v>84.299858599999993</v>
      </c>
      <c r="F114" s="66">
        <v>2230</v>
      </c>
      <c r="G114" s="66">
        <v>1254</v>
      </c>
      <c r="H114" s="67">
        <v>64.006888599999996</v>
      </c>
      <c r="I114" s="61"/>
    </row>
    <row r="115" spans="1:9">
      <c r="A115" s="65">
        <v>21802</v>
      </c>
      <c r="B115" s="71" t="s">
        <v>155</v>
      </c>
      <c r="C115" s="66">
        <v>1339</v>
      </c>
      <c r="D115" s="66">
        <v>1090</v>
      </c>
      <c r="E115" s="67">
        <v>55.1255661</v>
      </c>
      <c r="F115" s="66">
        <v>1271</v>
      </c>
      <c r="G115" s="66">
        <v>1617</v>
      </c>
      <c r="H115" s="67">
        <v>44.009695299999997</v>
      </c>
      <c r="I115" s="61"/>
    </row>
    <row r="116" spans="1:9">
      <c r="A116" s="65">
        <v>21803</v>
      </c>
      <c r="B116" s="71" t="s">
        <v>156</v>
      </c>
      <c r="C116" s="66">
        <v>734</v>
      </c>
      <c r="D116" s="66">
        <v>35</v>
      </c>
      <c r="E116" s="67">
        <v>95.448634600000005</v>
      </c>
      <c r="F116" s="66">
        <v>714</v>
      </c>
      <c r="G116" s="66">
        <v>167</v>
      </c>
      <c r="H116" s="67">
        <v>81.044267899999994</v>
      </c>
      <c r="I116" s="61"/>
    </row>
    <row r="117" spans="1:9">
      <c r="A117" s="65">
        <v>21901</v>
      </c>
      <c r="B117" s="71" t="s">
        <v>158</v>
      </c>
      <c r="C117" s="66">
        <v>750</v>
      </c>
      <c r="D117" s="66">
        <v>1080</v>
      </c>
      <c r="E117" s="67">
        <v>40.983606600000002</v>
      </c>
      <c r="F117" s="66">
        <v>1075</v>
      </c>
      <c r="G117" s="66">
        <v>1881</v>
      </c>
      <c r="H117" s="67">
        <v>36.366711799999997</v>
      </c>
      <c r="I117" s="61"/>
    </row>
    <row r="118" spans="1:9">
      <c r="A118" s="65">
        <v>21902</v>
      </c>
      <c r="B118" s="71" t="s">
        <v>159</v>
      </c>
      <c r="C118" s="66">
        <v>321</v>
      </c>
      <c r="D118" s="66">
        <v>415</v>
      </c>
      <c r="E118" s="67">
        <v>43.614130400000001</v>
      </c>
      <c r="F118" s="66">
        <v>491</v>
      </c>
      <c r="G118" s="66">
        <v>1204</v>
      </c>
      <c r="H118" s="67">
        <v>28.9675516</v>
      </c>
      <c r="I118" s="61"/>
    </row>
    <row r="119" spans="1:9">
      <c r="A119" s="65">
        <v>22001</v>
      </c>
      <c r="B119" s="71" t="s">
        <v>160</v>
      </c>
      <c r="C119" s="66">
        <v>6743</v>
      </c>
      <c r="D119" s="66">
        <v>10278</v>
      </c>
      <c r="E119" s="67">
        <v>39.615768799999998</v>
      </c>
      <c r="F119" s="66">
        <v>5882</v>
      </c>
      <c r="G119" s="66">
        <v>15199</v>
      </c>
      <c r="H119" s="67">
        <v>27.901902199999999</v>
      </c>
      <c r="I119" s="61"/>
    </row>
    <row r="120" spans="1:9">
      <c r="A120" s="65">
        <v>22002</v>
      </c>
      <c r="B120" s="71" t="s">
        <v>161</v>
      </c>
      <c r="C120" s="66">
        <v>2530</v>
      </c>
      <c r="D120" s="66">
        <v>1680</v>
      </c>
      <c r="E120" s="67">
        <v>60.095011900000003</v>
      </c>
      <c r="F120" s="66">
        <v>2025</v>
      </c>
      <c r="G120" s="66">
        <v>2466</v>
      </c>
      <c r="H120" s="67">
        <v>45.090180400000001</v>
      </c>
      <c r="I120" s="61"/>
    </row>
    <row r="121" spans="1:9">
      <c r="A121" s="65">
        <v>30101</v>
      </c>
      <c r="B121" s="71" t="s">
        <v>162</v>
      </c>
      <c r="C121" s="66">
        <v>23122</v>
      </c>
      <c r="D121" s="66">
        <v>154254</v>
      </c>
      <c r="E121" s="67">
        <v>13.0355854</v>
      </c>
      <c r="F121" s="66">
        <v>12379</v>
      </c>
      <c r="G121" s="66">
        <v>199894</v>
      </c>
      <c r="H121" s="67">
        <v>5.8316413000000002</v>
      </c>
      <c r="I121" s="61"/>
    </row>
    <row r="122" spans="1:9">
      <c r="A122" s="65">
        <v>30201</v>
      </c>
      <c r="B122" s="71" t="s">
        <v>165</v>
      </c>
      <c r="C122" s="66">
        <v>3569</v>
      </c>
      <c r="D122" s="66">
        <v>2930</v>
      </c>
      <c r="E122" s="67">
        <v>54.916140900000002</v>
      </c>
      <c r="F122" s="66">
        <v>3008</v>
      </c>
      <c r="G122" s="66">
        <v>4115</v>
      </c>
      <c r="H122" s="67">
        <v>42.2293977</v>
      </c>
      <c r="I122" s="61"/>
    </row>
    <row r="123" spans="1:9">
      <c r="A123" s="65">
        <v>30202</v>
      </c>
      <c r="B123" s="71" t="s">
        <v>166</v>
      </c>
      <c r="C123" s="66">
        <v>914</v>
      </c>
      <c r="D123" s="66">
        <v>623</v>
      </c>
      <c r="E123" s="67">
        <v>59.466493200000002</v>
      </c>
      <c r="F123" s="66">
        <v>817</v>
      </c>
      <c r="G123" s="66">
        <v>936</v>
      </c>
      <c r="H123" s="67">
        <v>46.605818599999999</v>
      </c>
      <c r="I123" s="61"/>
    </row>
    <row r="124" spans="1:9">
      <c r="A124" s="65">
        <v>30203</v>
      </c>
      <c r="B124" s="71" t="s">
        <v>167</v>
      </c>
      <c r="C124" s="66">
        <v>681</v>
      </c>
      <c r="D124" s="66">
        <v>753</v>
      </c>
      <c r="E124" s="67">
        <v>47.489539700000002</v>
      </c>
      <c r="F124" s="66">
        <v>553</v>
      </c>
      <c r="G124" s="66">
        <v>1367</v>
      </c>
      <c r="H124" s="67">
        <v>28.8020833</v>
      </c>
      <c r="I124" s="61"/>
    </row>
    <row r="125" spans="1:9">
      <c r="A125" s="65">
        <v>30301</v>
      </c>
      <c r="B125" s="71" t="s">
        <v>168</v>
      </c>
      <c r="C125" s="66">
        <v>6218</v>
      </c>
      <c r="D125" s="66">
        <v>1129</v>
      </c>
      <c r="E125" s="67">
        <v>84.633183599999995</v>
      </c>
      <c r="F125" s="66">
        <v>5552</v>
      </c>
      <c r="G125" s="66">
        <v>2890</v>
      </c>
      <c r="H125" s="67">
        <v>65.766406099999998</v>
      </c>
      <c r="I125" s="61"/>
    </row>
    <row r="126" spans="1:9">
      <c r="A126" s="65">
        <v>30302</v>
      </c>
      <c r="B126" s="71" t="s">
        <v>169</v>
      </c>
      <c r="C126" s="66">
        <v>2755</v>
      </c>
      <c r="D126" s="66">
        <v>1181</v>
      </c>
      <c r="E126" s="67">
        <v>69.994918699999999</v>
      </c>
      <c r="F126" s="66">
        <v>2877</v>
      </c>
      <c r="G126" s="66">
        <v>2204</v>
      </c>
      <c r="H126" s="67">
        <v>56.622712100000001</v>
      </c>
      <c r="I126" s="61"/>
    </row>
    <row r="127" spans="1:9">
      <c r="A127" s="65">
        <v>30303</v>
      </c>
      <c r="B127" s="71" t="s">
        <v>170</v>
      </c>
      <c r="C127" s="66">
        <v>3572</v>
      </c>
      <c r="D127" s="66">
        <v>1348</v>
      </c>
      <c r="E127" s="67">
        <v>72.601625999999996</v>
      </c>
      <c r="F127" s="66">
        <v>4471</v>
      </c>
      <c r="G127" s="66">
        <v>3040</v>
      </c>
      <c r="H127" s="67">
        <v>59.526028500000002</v>
      </c>
      <c r="I127" s="61"/>
    </row>
    <row r="128" spans="1:9">
      <c r="A128" s="65">
        <v>30401</v>
      </c>
      <c r="B128" s="71" t="s">
        <v>172</v>
      </c>
      <c r="C128" s="66">
        <v>1401</v>
      </c>
      <c r="D128" s="66">
        <v>1192</v>
      </c>
      <c r="E128" s="67">
        <v>54.030081000000003</v>
      </c>
      <c r="F128" s="66">
        <v>1546</v>
      </c>
      <c r="G128" s="66">
        <v>2484</v>
      </c>
      <c r="H128" s="67">
        <v>38.362282899999997</v>
      </c>
      <c r="I128" s="61"/>
    </row>
    <row r="129" spans="1:9">
      <c r="A129" s="65">
        <v>30402</v>
      </c>
      <c r="B129" s="71" t="s">
        <v>173</v>
      </c>
      <c r="C129" s="66">
        <v>2094</v>
      </c>
      <c r="D129" s="66">
        <v>542</v>
      </c>
      <c r="E129" s="67">
        <v>79.438543199999998</v>
      </c>
      <c r="F129" s="66">
        <v>2357</v>
      </c>
      <c r="G129" s="66">
        <v>1005</v>
      </c>
      <c r="H129" s="67">
        <v>70.107079100000007</v>
      </c>
      <c r="I129" s="61"/>
    </row>
    <row r="130" spans="1:9">
      <c r="A130" s="65">
        <v>30403</v>
      </c>
      <c r="B130" s="71" t="s">
        <v>174</v>
      </c>
      <c r="C130" s="66">
        <v>2794</v>
      </c>
      <c r="D130" s="66">
        <v>2738</v>
      </c>
      <c r="E130" s="67">
        <v>50.506146100000002</v>
      </c>
      <c r="F130" s="66">
        <v>4624</v>
      </c>
      <c r="G130" s="66">
        <v>6224</v>
      </c>
      <c r="H130" s="67">
        <v>42.625368700000003</v>
      </c>
      <c r="I130" s="61"/>
    </row>
    <row r="131" spans="1:9">
      <c r="A131" s="65">
        <v>30404</v>
      </c>
      <c r="B131" s="71" t="s">
        <v>175</v>
      </c>
      <c r="C131" s="66">
        <v>1057</v>
      </c>
      <c r="D131" s="66">
        <v>416</v>
      </c>
      <c r="E131" s="67">
        <v>71.758316399999998</v>
      </c>
      <c r="F131" s="66">
        <v>1224</v>
      </c>
      <c r="G131" s="66">
        <v>632</v>
      </c>
      <c r="H131" s="67">
        <v>65.948275899999999</v>
      </c>
      <c r="I131" s="61"/>
    </row>
    <row r="132" spans="1:9">
      <c r="A132" s="65">
        <v>30501</v>
      </c>
      <c r="B132" s="71" t="s">
        <v>176</v>
      </c>
      <c r="C132" s="66">
        <v>1396</v>
      </c>
      <c r="D132" s="66">
        <v>1748</v>
      </c>
      <c r="E132" s="67">
        <v>44.402035599999998</v>
      </c>
      <c r="F132" s="66">
        <v>1080</v>
      </c>
      <c r="G132" s="66">
        <v>3161</v>
      </c>
      <c r="H132" s="67">
        <v>25.465692099999998</v>
      </c>
      <c r="I132" s="61"/>
    </row>
    <row r="133" spans="1:9">
      <c r="A133" s="65">
        <v>30502</v>
      </c>
      <c r="B133" s="71" t="s">
        <v>177</v>
      </c>
      <c r="C133" s="66">
        <v>2367</v>
      </c>
      <c r="D133" s="66">
        <v>835</v>
      </c>
      <c r="E133" s="67">
        <v>73.922548399999997</v>
      </c>
      <c r="F133" s="66">
        <v>2081</v>
      </c>
      <c r="G133" s="66">
        <v>1525</v>
      </c>
      <c r="H133" s="67">
        <v>57.709373300000003</v>
      </c>
      <c r="I133" s="61"/>
    </row>
    <row r="134" spans="1:9">
      <c r="A134" s="65">
        <v>30601</v>
      </c>
      <c r="B134" s="71" t="s">
        <v>178</v>
      </c>
      <c r="C134" s="66">
        <v>2772</v>
      </c>
      <c r="D134" s="66">
        <v>531</v>
      </c>
      <c r="E134" s="67">
        <v>83.923705699999999</v>
      </c>
      <c r="F134" s="66">
        <v>2842</v>
      </c>
      <c r="G134" s="66">
        <v>1058</v>
      </c>
      <c r="H134" s="67">
        <v>72.871794899999998</v>
      </c>
      <c r="I134" s="61"/>
    </row>
    <row r="135" spans="1:9">
      <c r="A135" s="65">
        <v>30602</v>
      </c>
      <c r="B135" s="71" t="s">
        <v>179</v>
      </c>
      <c r="C135" s="66">
        <v>2034</v>
      </c>
      <c r="D135" s="66">
        <v>1303</v>
      </c>
      <c r="E135" s="67">
        <v>60.952951800000001</v>
      </c>
      <c r="F135" s="66">
        <v>2241</v>
      </c>
      <c r="G135" s="66">
        <v>1985</v>
      </c>
      <c r="H135" s="67">
        <v>53.028868899999999</v>
      </c>
      <c r="I135" s="61"/>
    </row>
    <row r="136" spans="1:9">
      <c r="A136" s="65">
        <v>30701</v>
      </c>
      <c r="B136" s="71" t="s">
        <v>180</v>
      </c>
      <c r="C136" s="66">
        <v>2630</v>
      </c>
      <c r="D136" s="66">
        <v>3298</v>
      </c>
      <c r="E136" s="67">
        <v>44.365721999999998</v>
      </c>
      <c r="F136" s="66">
        <v>2254</v>
      </c>
      <c r="G136" s="66">
        <v>4737</v>
      </c>
      <c r="H136" s="67">
        <v>32.241453300000003</v>
      </c>
      <c r="I136" s="61"/>
    </row>
    <row r="137" spans="1:9">
      <c r="A137" s="65">
        <v>30702</v>
      </c>
      <c r="B137" s="71" t="s">
        <v>181</v>
      </c>
      <c r="C137" s="66">
        <v>1219</v>
      </c>
      <c r="D137" s="66">
        <v>1184</v>
      </c>
      <c r="E137" s="67">
        <v>50.728256299999998</v>
      </c>
      <c r="F137" s="66">
        <v>883</v>
      </c>
      <c r="G137" s="66">
        <v>2125</v>
      </c>
      <c r="H137" s="67">
        <v>29.3550532</v>
      </c>
      <c r="I137" s="61"/>
    </row>
    <row r="138" spans="1:9">
      <c r="A138" s="65">
        <v>30703</v>
      </c>
      <c r="B138" s="71" t="s">
        <v>182</v>
      </c>
      <c r="C138" s="66">
        <v>777</v>
      </c>
      <c r="D138" s="66">
        <v>306</v>
      </c>
      <c r="E138" s="67">
        <v>71.745152399999995</v>
      </c>
      <c r="F138" s="66">
        <v>644</v>
      </c>
      <c r="G138" s="66">
        <v>675</v>
      </c>
      <c r="H138" s="67">
        <v>48.824867300000001</v>
      </c>
      <c r="I138" s="61"/>
    </row>
    <row r="139" spans="1:9">
      <c r="A139" s="65">
        <v>30801</v>
      </c>
      <c r="B139" s="71" t="s">
        <v>184</v>
      </c>
      <c r="C139" s="66">
        <v>1325</v>
      </c>
      <c r="D139" s="66">
        <v>4635</v>
      </c>
      <c r="E139" s="67">
        <v>22.231543599999998</v>
      </c>
      <c r="F139" s="66">
        <v>560</v>
      </c>
      <c r="G139" s="66">
        <v>5778</v>
      </c>
      <c r="H139" s="67">
        <v>8.8355948000000009</v>
      </c>
      <c r="I139" s="61"/>
    </row>
    <row r="140" spans="1:9">
      <c r="A140" s="65">
        <v>30802</v>
      </c>
      <c r="B140" s="71" t="s">
        <v>185</v>
      </c>
      <c r="C140" s="66">
        <v>1125</v>
      </c>
      <c r="D140" s="66">
        <v>936</v>
      </c>
      <c r="E140" s="67">
        <v>54.585152800000003</v>
      </c>
      <c r="F140" s="66">
        <v>892</v>
      </c>
      <c r="G140" s="66">
        <v>1680</v>
      </c>
      <c r="H140" s="67">
        <v>34.681182</v>
      </c>
      <c r="I140" s="61"/>
    </row>
    <row r="141" spans="1:9">
      <c r="A141" s="65">
        <v>30803</v>
      </c>
      <c r="B141" s="71" t="s">
        <v>186</v>
      </c>
      <c r="C141" s="66">
        <v>388</v>
      </c>
      <c r="D141" s="66">
        <v>1082</v>
      </c>
      <c r="E141" s="67">
        <v>26.394557800000001</v>
      </c>
      <c r="F141" s="66">
        <v>681</v>
      </c>
      <c r="G141" s="66">
        <v>1835</v>
      </c>
      <c r="H141" s="67">
        <v>27.066772700000001</v>
      </c>
      <c r="I141" s="61"/>
    </row>
    <row r="142" spans="1:9">
      <c r="A142" s="65">
        <v>30901</v>
      </c>
      <c r="B142" s="71" t="s">
        <v>187</v>
      </c>
      <c r="C142" s="66">
        <v>3885</v>
      </c>
      <c r="D142" s="66">
        <v>32046</v>
      </c>
      <c r="E142" s="67">
        <v>10.8123904</v>
      </c>
      <c r="F142" s="66">
        <v>2467</v>
      </c>
      <c r="G142" s="66">
        <v>46704</v>
      </c>
      <c r="H142" s="67">
        <v>5.0171849000000002</v>
      </c>
      <c r="I142" s="61"/>
    </row>
    <row r="143" spans="1:9">
      <c r="A143" s="65">
        <v>30902</v>
      </c>
      <c r="B143" s="71" t="s">
        <v>188</v>
      </c>
      <c r="C143" s="66">
        <v>3887</v>
      </c>
      <c r="D143" s="66">
        <v>7716</v>
      </c>
      <c r="E143" s="67">
        <v>33.499956900000001</v>
      </c>
      <c r="F143" s="66">
        <v>3043</v>
      </c>
      <c r="G143" s="66">
        <v>14781</v>
      </c>
      <c r="H143" s="67">
        <v>17.0724865</v>
      </c>
      <c r="I143" s="61"/>
    </row>
    <row r="144" spans="1:9">
      <c r="A144" s="65">
        <v>30903</v>
      </c>
      <c r="B144" s="71" t="s">
        <v>189</v>
      </c>
      <c r="C144" s="66">
        <v>2090</v>
      </c>
      <c r="D144" s="66">
        <v>11767</v>
      </c>
      <c r="E144" s="67">
        <v>15.0826297</v>
      </c>
      <c r="F144" s="66">
        <v>931</v>
      </c>
      <c r="G144" s="66">
        <v>17001</v>
      </c>
      <c r="H144" s="67">
        <v>5.1918357999999998</v>
      </c>
      <c r="I144" s="61"/>
    </row>
    <row r="145" spans="1:9">
      <c r="A145" s="65">
        <v>30904</v>
      </c>
      <c r="B145" s="71" t="s">
        <v>190</v>
      </c>
      <c r="C145" s="66">
        <v>3896</v>
      </c>
      <c r="D145" s="66">
        <v>10416</v>
      </c>
      <c r="E145" s="67">
        <v>27.2219117</v>
      </c>
      <c r="F145" s="66">
        <v>1641</v>
      </c>
      <c r="G145" s="66">
        <v>15417</v>
      </c>
      <c r="H145" s="67">
        <v>9.6201196000000007</v>
      </c>
      <c r="I145" s="61"/>
    </row>
    <row r="146" spans="1:9">
      <c r="A146" s="65">
        <v>30905</v>
      </c>
      <c r="B146" s="71" t="s">
        <v>191</v>
      </c>
      <c r="C146" s="66">
        <v>695</v>
      </c>
      <c r="D146" s="66">
        <v>12819</v>
      </c>
      <c r="E146" s="67">
        <v>5.1428149000000003</v>
      </c>
      <c r="F146" s="66">
        <v>465</v>
      </c>
      <c r="G146" s="66">
        <v>18725</v>
      </c>
      <c r="H146" s="67">
        <v>2.4231370999999999</v>
      </c>
      <c r="I146" s="61"/>
    </row>
    <row r="147" spans="1:9">
      <c r="A147" s="65">
        <v>31001</v>
      </c>
      <c r="B147" s="71" t="s">
        <v>193</v>
      </c>
      <c r="C147" s="66">
        <v>10273</v>
      </c>
      <c r="D147" s="66">
        <v>37263</v>
      </c>
      <c r="E147" s="67">
        <v>21.6109896</v>
      </c>
      <c r="F147" s="66">
        <v>8633</v>
      </c>
      <c r="G147" s="66">
        <v>60680</v>
      </c>
      <c r="H147" s="67">
        <v>12.455095</v>
      </c>
      <c r="I147" s="61"/>
    </row>
    <row r="148" spans="1:9">
      <c r="A148" s="65">
        <v>31002</v>
      </c>
      <c r="B148" s="71" t="s">
        <v>194</v>
      </c>
      <c r="C148" s="66">
        <v>2390</v>
      </c>
      <c r="D148" s="66">
        <v>3632</v>
      </c>
      <c r="E148" s="67">
        <v>39.687811400000001</v>
      </c>
      <c r="F148" s="66">
        <v>2641</v>
      </c>
      <c r="G148" s="66">
        <v>5852</v>
      </c>
      <c r="H148" s="67">
        <v>31.096196899999999</v>
      </c>
      <c r="I148" s="61"/>
    </row>
    <row r="149" spans="1:9">
      <c r="A149" s="65">
        <v>31003</v>
      </c>
      <c r="B149" s="71" t="s">
        <v>195</v>
      </c>
      <c r="C149" s="66">
        <v>10449</v>
      </c>
      <c r="D149" s="66">
        <v>16276</v>
      </c>
      <c r="E149" s="67">
        <v>39.0982226</v>
      </c>
      <c r="F149" s="66">
        <v>14345</v>
      </c>
      <c r="G149" s="66">
        <v>27606</v>
      </c>
      <c r="H149" s="67">
        <v>34.194655699999998</v>
      </c>
      <c r="I149" s="61"/>
    </row>
    <row r="150" spans="1:9">
      <c r="A150" s="65">
        <v>31101</v>
      </c>
      <c r="B150" s="71" t="s">
        <v>196</v>
      </c>
      <c r="C150" s="66">
        <v>7151</v>
      </c>
      <c r="D150" s="66">
        <v>962</v>
      </c>
      <c r="E150" s="67">
        <v>88.142487399999993</v>
      </c>
      <c r="F150" s="66">
        <v>7706</v>
      </c>
      <c r="G150" s="66">
        <v>1932</v>
      </c>
      <c r="H150" s="67">
        <v>79.954347400000003</v>
      </c>
      <c r="I150" s="61"/>
    </row>
    <row r="151" spans="1:9">
      <c r="A151" s="65">
        <v>31201</v>
      </c>
      <c r="B151" s="71" t="s">
        <v>198</v>
      </c>
      <c r="C151" s="66">
        <v>3407</v>
      </c>
      <c r="D151" s="66">
        <v>1322</v>
      </c>
      <c r="E151" s="67">
        <v>72.044829800000002</v>
      </c>
      <c r="F151" s="66">
        <v>3355</v>
      </c>
      <c r="G151" s="66">
        <v>1996</v>
      </c>
      <c r="H151" s="67">
        <v>62.698560999999998</v>
      </c>
      <c r="I151" s="61"/>
    </row>
    <row r="152" spans="1:9">
      <c r="A152" s="65">
        <v>31202</v>
      </c>
      <c r="B152" s="71" t="s">
        <v>199</v>
      </c>
      <c r="C152" s="66">
        <v>2200</v>
      </c>
      <c r="D152" s="66">
        <v>803</v>
      </c>
      <c r="E152" s="67">
        <v>73.260073300000002</v>
      </c>
      <c r="F152" s="66">
        <v>2162</v>
      </c>
      <c r="G152" s="66">
        <v>1543</v>
      </c>
      <c r="H152" s="67">
        <v>58.353576199999999</v>
      </c>
      <c r="I152" s="61"/>
    </row>
    <row r="153" spans="1:9">
      <c r="A153" s="65">
        <v>31203</v>
      </c>
      <c r="B153" s="71" t="s">
        <v>200</v>
      </c>
      <c r="C153" s="66">
        <v>2344</v>
      </c>
      <c r="D153" s="66">
        <v>1200</v>
      </c>
      <c r="E153" s="67">
        <v>66.139954900000006</v>
      </c>
      <c r="F153" s="66">
        <v>2463</v>
      </c>
      <c r="G153" s="66">
        <v>2390</v>
      </c>
      <c r="H153" s="67">
        <v>50.752112099999998</v>
      </c>
      <c r="I153" s="61"/>
    </row>
    <row r="154" spans="1:9">
      <c r="A154" s="65">
        <v>31204</v>
      </c>
      <c r="B154" s="71" t="s">
        <v>201</v>
      </c>
      <c r="C154" s="66">
        <v>2513</v>
      </c>
      <c r="D154" s="66">
        <v>4750</v>
      </c>
      <c r="E154" s="67">
        <v>34.600027500000003</v>
      </c>
      <c r="F154" s="66">
        <v>2931</v>
      </c>
      <c r="G154" s="66">
        <v>7626</v>
      </c>
      <c r="H154" s="67">
        <v>27.763569199999999</v>
      </c>
      <c r="I154" s="61"/>
    </row>
    <row r="155" spans="1:9">
      <c r="A155" s="65">
        <v>31205</v>
      </c>
      <c r="B155" s="71" t="s">
        <v>202</v>
      </c>
      <c r="C155" s="66">
        <v>6970</v>
      </c>
      <c r="D155" s="66">
        <v>9981</v>
      </c>
      <c r="E155" s="67">
        <v>41.118518100000003</v>
      </c>
      <c r="F155" s="66">
        <v>8229</v>
      </c>
      <c r="G155" s="66">
        <v>17268</v>
      </c>
      <c r="H155" s="67">
        <v>32.274385199999998</v>
      </c>
      <c r="I155" s="61"/>
    </row>
    <row r="156" spans="1:9">
      <c r="A156" s="65">
        <v>31206</v>
      </c>
      <c r="B156" s="71" t="s">
        <v>203</v>
      </c>
      <c r="C156" s="66">
        <v>5870</v>
      </c>
      <c r="D156" s="66">
        <v>6605</v>
      </c>
      <c r="E156" s="67">
        <v>47.054108200000002</v>
      </c>
      <c r="F156" s="66">
        <v>6233</v>
      </c>
      <c r="G156" s="66">
        <v>11945</v>
      </c>
      <c r="H156" s="67">
        <v>34.288700599999999</v>
      </c>
      <c r="I156" s="61"/>
    </row>
    <row r="157" spans="1:9">
      <c r="A157" s="65">
        <v>31301</v>
      </c>
      <c r="B157" s="71" t="s">
        <v>204</v>
      </c>
      <c r="C157" s="66">
        <v>4568</v>
      </c>
      <c r="D157" s="66">
        <v>1352</v>
      </c>
      <c r="E157" s="67">
        <v>77.162162199999997</v>
      </c>
      <c r="F157" s="66">
        <v>3594</v>
      </c>
      <c r="G157" s="66">
        <v>3285</v>
      </c>
      <c r="H157" s="67">
        <v>52.245966000000003</v>
      </c>
      <c r="I157" s="61"/>
    </row>
    <row r="158" spans="1:9">
      <c r="A158" s="65">
        <v>31302</v>
      </c>
      <c r="B158" s="71" t="s">
        <v>205</v>
      </c>
      <c r="C158" s="66">
        <v>1218</v>
      </c>
      <c r="D158" s="66">
        <v>322</v>
      </c>
      <c r="E158" s="67">
        <v>79.090909100000005</v>
      </c>
      <c r="F158" s="66">
        <v>1384</v>
      </c>
      <c r="G158" s="66">
        <v>483</v>
      </c>
      <c r="H158" s="67">
        <v>74.129619700000006</v>
      </c>
      <c r="I158" s="61"/>
    </row>
    <row r="159" spans="1:9">
      <c r="A159" s="65">
        <v>31303</v>
      </c>
      <c r="B159" s="71" t="s">
        <v>206</v>
      </c>
      <c r="C159" s="66">
        <v>992</v>
      </c>
      <c r="D159" s="66">
        <v>130</v>
      </c>
      <c r="E159" s="67">
        <v>88.413547199999996</v>
      </c>
      <c r="F159" s="66">
        <v>1026</v>
      </c>
      <c r="G159" s="66">
        <v>252</v>
      </c>
      <c r="H159" s="67">
        <v>80.281690100000006</v>
      </c>
      <c r="I159" s="61"/>
    </row>
    <row r="160" spans="1:9">
      <c r="A160" s="65">
        <v>31304</v>
      </c>
      <c r="B160" s="71" t="s">
        <v>207</v>
      </c>
      <c r="C160" s="66">
        <v>1888</v>
      </c>
      <c r="D160" s="66">
        <v>103</v>
      </c>
      <c r="E160" s="67">
        <v>94.826720199999997</v>
      </c>
      <c r="F160" s="66">
        <v>2298</v>
      </c>
      <c r="G160" s="66">
        <v>346</v>
      </c>
      <c r="H160" s="67">
        <v>86.913767000000007</v>
      </c>
      <c r="I160" s="61"/>
    </row>
    <row r="161" spans="1:9">
      <c r="A161" s="65">
        <v>31401</v>
      </c>
      <c r="B161" s="71" t="s">
        <v>208</v>
      </c>
      <c r="C161" s="66">
        <v>1983</v>
      </c>
      <c r="D161" s="66">
        <v>6801</v>
      </c>
      <c r="E161" s="67">
        <v>22.5751366</v>
      </c>
      <c r="F161" s="66">
        <v>980</v>
      </c>
      <c r="G161" s="66">
        <v>10338</v>
      </c>
      <c r="H161" s="67">
        <v>8.6587736</v>
      </c>
      <c r="I161" s="61"/>
    </row>
    <row r="162" spans="1:9">
      <c r="A162" s="65">
        <v>31402</v>
      </c>
      <c r="B162" s="71" t="s">
        <v>209</v>
      </c>
      <c r="C162" s="66">
        <v>1898</v>
      </c>
      <c r="D162" s="66">
        <v>1144</v>
      </c>
      <c r="E162" s="67">
        <v>62.393162400000001</v>
      </c>
      <c r="F162" s="66">
        <v>989</v>
      </c>
      <c r="G162" s="66">
        <v>2273</v>
      </c>
      <c r="H162" s="67">
        <v>30.3188228</v>
      </c>
      <c r="I162" s="61"/>
    </row>
    <row r="163" spans="1:9">
      <c r="A163" s="65">
        <v>31403</v>
      </c>
      <c r="B163" s="71" t="s">
        <v>210</v>
      </c>
      <c r="C163" s="66">
        <v>1133</v>
      </c>
      <c r="D163" s="66">
        <v>2791</v>
      </c>
      <c r="E163" s="67">
        <v>28.873598399999999</v>
      </c>
      <c r="F163" s="66">
        <v>581</v>
      </c>
      <c r="G163" s="66">
        <v>3746</v>
      </c>
      <c r="H163" s="67">
        <v>13.4273168</v>
      </c>
      <c r="I163" s="61"/>
    </row>
    <row r="164" spans="1:9">
      <c r="A164" s="65">
        <v>31404</v>
      </c>
      <c r="B164" s="71" t="s">
        <v>211</v>
      </c>
      <c r="C164" s="66">
        <v>274</v>
      </c>
      <c r="D164" s="66">
        <v>85</v>
      </c>
      <c r="E164" s="67">
        <v>76.323119800000001</v>
      </c>
      <c r="F164" s="66">
        <v>182</v>
      </c>
      <c r="G164" s="66">
        <v>303</v>
      </c>
      <c r="H164" s="67">
        <v>37.525773200000003</v>
      </c>
      <c r="I164" s="61"/>
    </row>
    <row r="165" spans="1:9">
      <c r="A165" s="65">
        <v>31405</v>
      </c>
      <c r="B165" s="71" t="s">
        <v>212</v>
      </c>
      <c r="C165" s="66">
        <v>461</v>
      </c>
      <c r="D165" s="66">
        <v>240</v>
      </c>
      <c r="E165" s="67">
        <v>65.763195400000001</v>
      </c>
      <c r="F165" s="66">
        <v>459</v>
      </c>
      <c r="G165" s="66">
        <v>598</v>
      </c>
      <c r="H165" s="67">
        <v>43.424787100000003</v>
      </c>
      <c r="I165" s="61"/>
    </row>
    <row r="166" spans="1:9">
      <c r="A166" s="65">
        <v>31501</v>
      </c>
      <c r="B166" s="71" t="s">
        <v>213</v>
      </c>
      <c r="C166" s="66">
        <v>2226</v>
      </c>
      <c r="D166" s="66">
        <v>140</v>
      </c>
      <c r="E166" s="67">
        <v>94.082840200000007</v>
      </c>
      <c r="F166" s="66">
        <v>2745</v>
      </c>
      <c r="G166" s="66">
        <v>466</v>
      </c>
      <c r="H166" s="67">
        <v>85.487387100000007</v>
      </c>
      <c r="I166" s="61"/>
    </row>
    <row r="167" spans="1:9">
      <c r="A167" s="65">
        <v>31601</v>
      </c>
      <c r="B167" s="71" t="s">
        <v>214</v>
      </c>
      <c r="C167" s="66">
        <v>3515</v>
      </c>
      <c r="D167" s="66">
        <v>2981</v>
      </c>
      <c r="E167" s="67">
        <v>54.110221699999997</v>
      </c>
      <c r="F167" s="66">
        <v>2327</v>
      </c>
      <c r="G167" s="66">
        <v>4351</v>
      </c>
      <c r="H167" s="67">
        <v>34.845762200000003</v>
      </c>
      <c r="I167" s="61"/>
    </row>
    <row r="168" spans="1:9">
      <c r="A168" s="65">
        <v>31602</v>
      </c>
      <c r="B168" s="71" t="s">
        <v>215</v>
      </c>
      <c r="C168" s="66">
        <v>2047</v>
      </c>
      <c r="D168" s="66">
        <v>5564</v>
      </c>
      <c r="E168" s="67">
        <v>26.8952831</v>
      </c>
      <c r="F168" s="66">
        <v>2118</v>
      </c>
      <c r="G168" s="66">
        <v>8313</v>
      </c>
      <c r="H168" s="67">
        <v>20.3048605</v>
      </c>
      <c r="I168" s="61"/>
    </row>
    <row r="169" spans="1:9">
      <c r="A169" s="65">
        <v>40101</v>
      </c>
      <c r="B169" s="71" t="s">
        <v>216</v>
      </c>
      <c r="C169" s="66">
        <v>20840</v>
      </c>
      <c r="D169" s="66">
        <v>55884</v>
      </c>
      <c r="E169" s="67">
        <v>27.162296000000001</v>
      </c>
      <c r="F169" s="66">
        <v>12424</v>
      </c>
      <c r="G169" s="66">
        <v>83699</v>
      </c>
      <c r="H169" s="67">
        <v>12.925106400000001</v>
      </c>
      <c r="I169" s="61"/>
    </row>
    <row r="170" spans="1:9">
      <c r="A170" s="65">
        <v>40102</v>
      </c>
      <c r="B170" s="71" t="s">
        <v>217</v>
      </c>
      <c r="C170" s="66">
        <v>4949</v>
      </c>
      <c r="D170" s="66">
        <v>1741</v>
      </c>
      <c r="E170" s="67">
        <v>73.976083700000004</v>
      </c>
      <c r="F170" s="66">
        <v>4304</v>
      </c>
      <c r="G170" s="66">
        <v>3668</v>
      </c>
      <c r="H170" s="67">
        <v>53.988961400000001</v>
      </c>
      <c r="I170" s="61"/>
    </row>
    <row r="171" spans="1:9">
      <c r="A171" s="65">
        <v>40103</v>
      </c>
      <c r="B171" s="71" t="s">
        <v>218</v>
      </c>
      <c r="C171" s="66">
        <v>3185</v>
      </c>
      <c r="D171" s="66">
        <v>76</v>
      </c>
      <c r="E171" s="67">
        <v>97.669426599999994</v>
      </c>
      <c r="F171" s="66">
        <v>3468</v>
      </c>
      <c r="G171" s="66">
        <v>376</v>
      </c>
      <c r="H171" s="67">
        <v>90.218522399999998</v>
      </c>
      <c r="I171" s="61"/>
    </row>
    <row r="172" spans="1:9">
      <c r="A172" s="65">
        <v>40104</v>
      </c>
      <c r="B172" s="71" t="s">
        <v>219</v>
      </c>
      <c r="C172" s="66">
        <v>3130</v>
      </c>
      <c r="D172" s="66">
        <v>330</v>
      </c>
      <c r="E172" s="67">
        <v>90.462427700000006</v>
      </c>
      <c r="F172" s="66">
        <v>3821</v>
      </c>
      <c r="G172" s="66">
        <v>1643</v>
      </c>
      <c r="H172" s="67">
        <v>69.930453900000003</v>
      </c>
      <c r="I172" s="61"/>
    </row>
    <row r="173" spans="1:9">
      <c r="A173" s="65">
        <v>40201</v>
      </c>
      <c r="B173" s="71" t="s">
        <v>221</v>
      </c>
      <c r="C173" s="66">
        <v>7146</v>
      </c>
      <c r="D173" s="66">
        <v>2727</v>
      </c>
      <c r="E173" s="67">
        <v>72.379216</v>
      </c>
      <c r="F173" s="66">
        <v>7884</v>
      </c>
      <c r="G173" s="66">
        <v>5659</v>
      </c>
      <c r="H173" s="67">
        <v>58.214575799999999</v>
      </c>
      <c r="I173" s="61"/>
    </row>
    <row r="174" spans="1:9">
      <c r="A174" s="65">
        <v>40202</v>
      </c>
      <c r="B174" s="71" t="s">
        <v>222</v>
      </c>
      <c r="C174" s="66">
        <v>1203</v>
      </c>
      <c r="D174" s="66">
        <v>352</v>
      </c>
      <c r="E174" s="67">
        <v>77.363344100000006</v>
      </c>
      <c r="F174" s="66">
        <v>1519</v>
      </c>
      <c r="G174" s="66">
        <v>807</v>
      </c>
      <c r="H174" s="67">
        <v>65.305245099999993</v>
      </c>
      <c r="I174" s="61"/>
    </row>
    <row r="175" spans="1:9">
      <c r="A175" s="65">
        <v>40301</v>
      </c>
      <c r="B175" s="71" t="s">
        <v>224</v>
      </c>
      <c r="C175" s="66">
        <v>3026</v>
      </c>
      <c r="D175" s="66">
        <v>146</v>
      </c>
      <c r="E175" s="67">
        <v>95.397225700000007</v>
      </c>
      <c r="F175" s="66">
        <v>3925</v>
      </c>
      <c r="G175" s="66">
        <v>742</v>
      </c>
      <c r="H175" s="67">
        <v>84.101135600000006</v>
      </c>
      <c r="I175" s="61"/>
    </row>
    <row r="176" spans="1:9">
      <c r="A176" s="65">
        <v>40302</v>
      </c>
      <c r="B176" s="71" t="s">
        <v>225</v>
      </c>
      <c r="C176" s="66">
        <v>423</v>
      </c>
      <c r="D176" s="66">
        <v>93</v>
      </c>
      <c r="E176" s="67">
        <v>81.976744199999999</v>
      </c>
      <c r="F176" s="66">
        <v>415</v>
      </c>
      <c r="G176" s="66">
        <v>256</v>
      </c>
      <c r="H176" s="67">
        <v>61.847988100000002</v>
      </c>
      <c r="I176" s="61"/>
    </row>
    <row r="177" spans="1:9">
      <c r="A177" s="65">
        <v>40401</v>
      </c>
      <c r="B177" s="71" t="s">
        <v>227</v>
      </c>
      <c r="C177" s="66">
        <v>862</v>
      </c>
      <c r="D177" s="66">
        <v>493</v>
      </c>
      <c r="E177" s="67">
        <v>63.616236200000003</v>
      </c>
      <c r="F177" s="66">
        <v>1000</v>
      </c>
      <c r="G177" s="66">
        <v>987</v>
      </c>
      <c r="H177" s="67">
        <v>50.327126300000003</v>
      </c>
      <c r="I177" s="61"/>
    </row>
    <row r="178" spans="1:9">
      <c r="A178" s="65">
        <v>40402</v>
      </c>
      <c r="B178" s="71" t="s">
        <v>228</v>
      </c>
      <c r="C178" s="66">
        <v>1081</v>
      </c>
      <c r="D178" s="66">
        <v>475</v>
      </c>
      <c r="E178" s="67">
        <v>69.473007699999997</v>
      </c>
      <c r="F178" s="66">
        <v>1025</v>
      </c>
      <c r="G178" s="66">
        <v>735</v>
      </c>
      <c r="H178" s="67">
        <v>58.238636399999997</v>
      </c>
      <c r="I178" s="61"/>
    </row>
    <row r="179" spans="1:9">
      <c r="A179" s="65">
        <v>40501</v>
      </c>
      <c r="B179" s="71" t="s">
        <v>230</v>
      </c>
      <c r="C179" s="66">
        <v>101</v>
      </c>
      <c r="D179" s="66">
        <v>248</v>
      </c>
      <c r="E179" s="67">
        <v>28.9398281</v>
      </c>
      <c r="F179" s="66">
        <v>224</v>
      </c>
      <c r="G179" s="66">
        <v>968</v>
      </c>
      <c r="H179" s="67">
        <v>18.791946299999999</v>
      </c>
      <c r="I179" s="61"/>
    </row>
    <row r="180" spans="1:9">
      <c r="A180" s="65">
        <v>40502</v>
      </c>
      <c r="B180" s="71" t="s">
        <v>231</v>
      </c>
      <c r="C180" s="66">
        <v>1025</v>
      </c>
      <c r="D180" s="66">
        <v>57</v>
      </c>
      <c r="E180" s="67">
        <v>94.731977799999996</v>
      </c>
      <c r="F180" s="66">
        <v>518</v>
      </c>
      <c r="G180" s="66">
        <v>537</v>
      </c>
      <c r="H180" s="67">
        <v>49.099526099999999</v>
      </c>
      <c r="I180" s="61"/>
    </row>
    <row r="181" spans="1:9">
      <c r="A181" s="65">
        <v>40503</v>
      </c>
      <c r="B181" s="71" t="s">
        <v>232</v>
      </c>
      <c r="C181" s="66">
        <v>549</v>
      </c>
      <c r="D181" s="66">
        <v>35</v>
      </c>
      <c r="E181" s="67">
        <v>94.006849299999999</v>
      </c>
      <c r="F181" s="66">
        <v>144</v>
      </c>
      <c r="G181" s="66">
        <v>208</v>
      </c>
      <c r="H181" s="67">
        <v>40.909090900000002</v>
      </c>
      <c r="I181" s="61"/>
    </row>
    <row r="182" spans="1:9">
      <c r="A182" s="65">
        <v>40504</v>
      </c>
      <c r="B182" s="71" t="s">
        <v>233</v>
      </c>
      <c r="C182" s="66">
        <v>167</v>
      </c>
      <c r="D182" s="66">
        <v>2</v>
      </c>
      <c r="E182" s="67">
        <v>98.816568000000004</v>
      </c>
      <c r="F182" s="66">
        <v>14</v>
      </c>
      <c r="G182" s="66">
        <v>159</v>
      </c>
      <c r="H182" s="67">
        <v>8.0924855000000004</v>
      </c>
      <c r="I182" s="61"/>
    </row>
    <row r="183" spans="1:9">
      <c r="A183" s="65">
        <v>40505</v>
      </c>
      <c r="B183" s="71" t="s">
        <v>234</v>
      </c>
      <c r="C183" s="66">
        <v>631</v>
      </c>
      <c r="D183" s="66">
        <v>88</v>
      </c>
      <c r="E183" s="67">
        <v>87.760778900000005</v>
      </c>
      <c r="F183" s="66">
        <v>347</v>
      </c>
      <c r="G183" s="66">
        <v>526</v>
      </c>
      <c r="H183" s="67">
        <v>39.747995400000001</v>
      </c>
      <c r="I183" s="61"/>
    </row>
    <row r="184" spans="1:9">
      <c r="A184" s="65">
        <v>40601</v>
      </c>
      <c r="B184" s="71" t="s">
        <v>235</v>
      </c>
      <c r="C184" s="66">
        <v>2061</v>
      </c>
      <c r="D184" s="66">
        <v>778</v>
      </c>
      <c r="E184" s="67">
        <v>72.5959845</v>
      </c>
      <c r="F184" s="66">
        <v>1782</v>
      </c>
      <c r="G184" s="66">
        <v>1880</v>
      </c>
      <c r="H184" s="67">
        <v>48.661933400000002</v>
      </c>
      <c r="I184" s="61"/>
    </row>
    <row r="185" spans="1:9">
      <c r="A185" s="65">
        <v>40602</v>
      </c>
      <c r="B185" s="71" t="s">
        <v>236</v>
      </c>
      <c r="C185" s="66">
        <v>1838</v>
      </c>
      <c r="D185" s="66">
        <v>347</v>
      </c>
      <c r="E185" s="67">
        <v>84.118993099999997</v>
      </c>
      <c r="F185" s="66">
        <v>1179</v>
      </c>
      <c r="G185" s="66">
        <v>590</v>
      </c>
      <c r="H185" s="67">
        <v>66.647823599999995</v>
      </c>
      <c r="I185" s="61"/>
    </row>
    <row r="186" spans="1:9">
      <c r="A186" s="65">
        <v>40603</v>
      </c>
      <c r="B186" s="71" t="s">
        <v>237</v>
      </c>
      <c r="C186" s="66">
        <v>795</v>
      </c>
      <c r="D186" s="66">
        <v>363</v>
      </c>
      <c r="E186" s="67">
        <v>68.652849700000004</v>
      </c>
      <c r="F186" s="66">
        <v>800</v>
      </c>
      <c r="G186" s="66">
        <v>650</v>
      </c>
      <c r="H186" s="67">
        <v>55.172413800000001</v>
      </c>
      <c r="I186" s="61"/>
    </row>
    <row r="187" spans="1:9">
      <c r="A187" s="65">
        <v>40701</v>
      </c>
      <c r="B187" s="71" t="s">
        <v>239</v>
      </c>
      <c r="C187" s="66">
        <v>3830</v>
      </c>
      <c r="D187" s="66">
        <v>3359</v>
      </c>
      <c r="E187" s="67">
        <v>53.275838100000001</v>
      </c>
      <c r="F187" s="66">
        <v>1702</v>
      </c>
      <c r="G187" s="66">
        <v>4721</v>
      </c>
      <c r="H187" s="67">
        <v>26.498520899999999</v>
      </c>
      <c r="I187" s="61"/>
    </row>
    <row r="188" spans="1:9">
      <c r="A188" s="65">
        <v>40702</v>
      </c>
      <c r="B188" s="71" t="s">
        <v>240</v>
      </c>
      <c r="C188" s="66">
        <v>937</v>
      </c>
      <c r="D188" s="66">
        <v>621</v>
      </c>
      <c r="E188" s="67">
        <v>60.141206699999998</v>
      </c>
      <c r="F188" s="66">
        <v>823</v>
      </c>
      <c r="G188" s="66">
        <v>1353</v>
      </c>
      <c r="H188" s="67">
        <v>37.821691199999997</v>
      </c>
      <c r="I188" s="61"/>
    </row>
    <row r="189" spans="1:9">
      <c r="A189" s="65">
        <v>40801</v>
      </c>
      <c r="B189" s="71" t="s">
        <v>242</v>
      </c>
      <c r="C189" s="66">
        <v>3328</v>
      </c>
      <c r="D189" s="66">
        <v>599</v>
      </c>
      <c r="E189" s="67">
        <v>84.746625899999998</v>
      </c>
      <c r="F189" s="66">
        <v>3594</v>
      </c>
      <c r="G189" s="66">
        <v>2375</v>
      </c>
      <c r="H189" s="67">
        <v>60.211090599999999</v>
      </c>
      <c r="I189" s="61"/>
    </row>
    <row r="190" spans="1:9">
      <c r="A190" s="65">
        <v>40802</v>
      </c>
      <c r="B190" s="71" t="s">
        <v>243</v>
      </c>
      <c r="C190" s="66">
        <v>855</v>
      </c>
      <c r="D190" s="66">
        <v>185</v>
      </c>
      <c r="E190" s="67">
        <v>82.211538500000003</v>
      </c>
      <c r="F190" s="66">
        <v>778</v>
      </c>
      <c r="G190" s="66">
        <v>497</v>
      </c>
      <c r="H190" s="67">
        <v>61.019607800000003</v>
      </c>
      <c r="I190" s="61"/>
    </row>
    <row r="191" spans="1:9">
      <c r="A191" s="65">
        <v>40901</v>
      </c>
      <c r="B191" s="71" t="s">
        <v>244</v>
      </c>
      <c r="C191" s="66">
        <v>1992</v>
      </c>
      <c r="D191" s="66">
        <v>255</v>
      </c>
      <c r="E191" s="67">
        <v>88.6515354</v>
      </c>
      <c r="F191" s="66">
        <v>2136</v>
      </c>
      <c r="G191" s="66">
        <v>1719</v>
      </c>
      <c r="H191" s="67">
        <v>55.408560299999998</v>
      </c>
      <c r="I191" s="61"/>
    </row>
    <row r="192" spans="1:9">
      <c r="A192" s="65">
        <v>40902</v>
      </c>
      <c r="B192" s="71" t="s">
        <v>245</v>
      </c>
      <c r="C192" s="66">
        <v>240</v>
      </c>
      <c r="D192" s="66">
        <v>13</v>
      </c>
      <c r="E192" s="67">
        <v>94.861660099999995</v>
      </c>
      <c r="F192" s="66">
        <v>185</v>
      </c>
      <c r="G192" s="66">
        <v>172</v>
      </c>
      <c r="H192" s="67">
        <v>51.820728299999999</v>
      </c>
      <c r="I192" s="61"/>
    </row>
    <row r="193" spans="1:9">
      <c r="A193" s="65">
        <v>40903</v>
      </c>
      <c r="B193" s="71" t="s">
        <v>246</v>
      </c>
      <c r="C193" s="66">
        <v>380</v>
      </c>
      <c r="D193" s="66">
        <v>210</v>
      </c>
      <c r="E193" s="67">
        <v>64.406779700000001</v>
      </c>
      <c r="F193" s="66">
        <v>681</v>
      </c>
      <c r="G193" s="66">
        <v>424</v>
      </c>
      <c r="H193" s="67">
        <v>61.628959299999998</v>
      </c>
      <c r="I193" s="61"/>
    </row>
    <row r="194" spans="1:9">
      <c r="A194" s="65">
        <v>41001</v>
      </c>
      <c r="B194" s="71" t="s">
        <v>248</v>
      </c>
      <c r="C194" s="66">
        <v>4067</v>
      </c>
      <c r="D194" s="66">
        <v>264</v>
      </c>
      <c r="E194" s="67">
        <v>93.904410100000007</v>
      </c>
      <c r="F194" s="66">
        <v>3962</v>
      </c>
      <c r="G194" s="66">
        <v>770</v>
      </c>
      <c r="H194" s="67">
        <v>83.727810700000006</v>
      </c>
      <c r="I194" s="61"/>
    </row>
    <row r="195" spans="1:9">
      <c r="A195" s="65">
        <v>41101</v>
      </c>
      <c r="B195" s="71" t="s">
        <v>250</v>
      </c>
      <c r="C195" s="66">
        <v>1536</v>
      </c>
      <c r="D195" s="66">
        <v>362</v>
      </c>
      <c r="E195" s="67">
        <v>80.9272919</v>
      </c>
      <c r="F195" s="66">
        <v>1100</v>
      </c>
      <c r="G195" s="66">
        <v>836</v>
      </c>
      <c r="H195" s="67">
        <v>56.818181799999998</v>
      </c>
      <c r="I195" s="61"/>
    </row>
    <row r="196" spans="1:9">
      <c r="A196" s="65">
        <v>41201</v>
      </c>
      <c r="B196" s="71" t="s">
        <v>252</v>
      </c>
      <c r="C196" s="66">
        <v>1873</v>
      </c>
      <c r="D196" s="66">
        <v>119</v>
      </c>
      <c r="E196" s="67">
        <v>94.026104399999994</v>
      </c>
      <c r="F196" s="66">
        <v>1620</v>
      </c>
      <c r="G196" s="66">
        <v>665</v>
      </c>
      <c r="H196" s="67">
        <v>70.897155400000003</v>
      </c>
      <c r="I196" s="61"/>
    </row>
    <row r="197" spans="1:9">
      <c r="A197" s="65">
        <v>41202</v>
      </c>
      <c r="B197" s="71" t="s">
        <v>253</v>
      </c>
      <c r="C197" s="66">
        <v>709</v>
      </c>
      <c r="D197" s="66">
        <v>19</v>
      </c>
      <c r="E197" s="67">
        <v>97.390109899999999</v>
      </c>
      <c r="F197" s="66">
        <v>670</v>
      </c>
      <c r="G197" s="66">
        <v>429</v>
      </c>
      <c r="H197" s="67">
        <v>60.964513199999999</v>
      </c>
      <c r="I197" s="61"/>
    </row>
    <row r="198" spans="1:9">
      <c r="A198" s="65">
        <v>41301</v>
      </c>
      <c r="B198" s="71" t="s">
        <v>198</v>
      </c>
      <c r="C198" s="66">
        <v>1647</v>
      </c>
      <c r="D198" s="66">
        <v>239</v>
      </c>
      <c r="E198" s="67">
        <v>87.327677600000001</v>
      </c>
      <c r="F198" s="66">
        <v>1886</v>
      </c>
      <c r="G198" s="66">
        <v>762</v>
      </c>
      <c r="H198" s="67">
        <v>71.223564999999994</v>
      </c>
      <c r="I198" s="61"/>
    </row>
    <row r="199" spans="1:9">
      <c r="A199" s="65">
        <v>41401</v>
      </c>
      <c r="B199" s="71" t="s">
        <v>256</v>
      </c>
      <c r="C199" s="66">
        <v>3374</v>
      </c>
      <c r="D199" s="66">
        <v>928</v>
      </c>
      <c r="E199" s="67">
        <v>78.428637800000004</v>
      </c>
      <c r="F199" s="66">
        <v>2978</v>
      </c>
      <c r="G199" s="66">
        <v>1661</v>
      </c>
      <c r="H199" s="67">
        <v>64.194869600000004</v>
      </c>
      <c r="I199" s="61"/>
    </row>
    <row r="200" spans="1:9">
      <c r="A200" s="65">
        <v>41501</v>
      </c>
      <c r="B200" s="71" t="s">
        <v>258</v>
      </c>
      <c r="C200" s="66">
        <v>153</v>
      </c>
      <c r="D200" s="66">
        <v>28</v>
      </c>
      <c r="E200" s="67">
        <v>84.530386699999994</v>
      </c>
      <c r="F200" s="66">
        <v>142</v>
      </c>
      <c r="G200" s="66">
        <v>141</v>
      </c>
      <c r="H200" s="67">
        <v>50.1766784</v>
      </c>
      <c r="I200" s="61"/>
    </row>
    <row r="201" spans="1:9">
      <c r="A201" s="65">
        <v>41502</v>
      </c>
      <c r="B201" s="71" t="s">
        <v>259</v>
      </c>
      <c r="C201" s="66">
        <v>166</v>
      </c>
      <c r="D201" s="66">
        <v>27</v>
      </c>
      <c r="E201" s="67">
        <v>86.010362700000002</v>
      </c>
      <c r="F201" s="66">
        <v>112</v>
      </c>
      <c r="G201" s="66">
        <v>217</v>
      </c>
      <c r="H201" s="67">
        <v>34.0425532</v>
      </c>
      <c r="I201" s="61"/>
    </row>
    <row r="202" spans="1:9">
      <c r="A202" s="65">
        <v>41503</v>
      </c>
      <c r="B202" s="71" t="s">
        <v>223</v>
      </c>
      <c r="C202" s="66">
        <v>234</v>
      </c>
      <c r="D202" s="66">
        <v>11</v>
      </c>
      <c r="E202" s="67">
        <v>95.510204099999996</v>
      </c>
      <c r="F202" s="66">
        <v>150</v>
      </c>
      <c r="G202" s="66">
        <v>107</v>
      </c>
      <c r="H202" s="67">
        <v>58.365758800000002</v>
      </c>
      <c r="I202" s="61"/>
    </row>
    <row r="203" spans="1:9">
      <c r="A203" s="65">
        <v>41601</v>
      </c>
      <c r="B203" s="71" t="s">
        <v>261</v>
      </c>
      <c r="C203" s="66">
        <v>2097</v>
      </c>
      <c r="D203" s="66">
        <v>157</v>
      </c>
      <c r="E203" s="67">
        <v>93.034605099999993</v>
      </c>
      <c r="F203" s="66">
        <v>2004</v>
      </c>
      <c r="G203" s="66">
        <v>718</v>
      </c>
      <c r="H203" s="67">
        <v>73.622336500000003</v>
      </c>
      <c r="I203" s="61"/>
    </row>
    <row r="204" spans="1:9">
      <c r="A204" s="65">
        <v>50101</v>
      </c>
      <c r="B204" s="71" t="s">
        <v>262</v>
      </c>
      <c r="C204" s="66">
        <v>9584</v>
      </c>
      <c r="D204" s="66">
        <v>42022</v>
      </c>
      <c r="E204" s="67">
        <v>18.5714839</v>
      </c>
      <c r="F204" s="66">
        <v>9263</v>
      </c>
      <c r="G204" s="66">
        <v>58116</v>
      </c>
      <c r="H204" s="67">
        <v>13.7476068</v>
      </c>
      <c r="I204" s="61"/>
    </row>
    <row r="205" spans="1:9">
      <c r="A205" s="65">
        <v>50102</v>
      </c>
      <c r="B205" s="71" t="s">
        <v>264</v>
      </c>
      <c r="C205" s="66">
        <v>6728</v>
      </c>
      <c r="D205" s="66">
        <v>817</v>
      </c>
      <c r="E205" s="67">
        <v>89.171636800000002</v>
      </c>
      <c r="F205" s="66">
        <v>8641</v>
      </c>
      <c r="G205" s="66">
        <v>1155</v>
      </c>
      <c r="H205" s="67">
        <v>88.209473299999999</v>
      </c>
      <c r="I205" s="61"/>
    </row>
    <row r="206" spans="1:9">
      <c r="A206" s="65">
        <v>50103</v>
      </c>
      <c r="B206" s="71" t="s">
        <v>265</v>
      </c>
      <c r="C206" s="66">
        <v>2032</v>
      </c>
      <c r="D206" s="66">
        <v>884</v>
      </c>
      <c r="E206" s="67">
        <v>69.684499299999999</v>
      </c>
      <c r="F206" s="66">
        <v>2275</v>
      </c>
      <c r="G206" s="66">
        <v>1916</v>
      </c>
      <c r="H206" s="67">
        <v>54.282987400000003</v>
      </c>
      <c r="I206" s="61"/>
    </row>
    <row r="207" spans="1:9">
      <c r="A207" s="65">
        <v>50104</v>
      </c>
      <c r="B207" s="71" t="s">
        <v>266</v>
      </c>
      <c r="C207" s="66">
        <v>988</v>
      </c>
      <c r="D207" s="66">
        <v>114</v>
      </c>
      <c r="E207" s="67">
        <v>89.655172399999998</v>
      </c>
      <c r="F207" s="66">
        <v>962</v>
      </c>
      <c r="G207" s="66">
        <v>259</v>
      </c>
      <c r="H207" s="67">
        <v>78.787878800000001</v>
      </c>
      <c r="I207" s="61"/>
    </row>
    <row r="208" spans="1:9">
      <c r="A208" s="65">
        <v>50201</v>
      </c>
      <c r="B208" s="71" t="s">
        <v>268</v>
      </c>
      <c r="C208" s="66">
        <v>4138</v>
      </c>
      <c r="D208" s="66">
        <v>2482</v>
      </c>
      <c r="E208" s="67">
        <v>62.5075529</v>
      </c>
      <c r="F208" s="66">
        <v>4655</v>
      </c>
      <c r="G208" s="66">
        <v>3782</v>
      </c>
      <c r="H208" s="67">
        <v>55.173639899999998</v>
      </c>
      <c r="I208" s="61"/>
    </row>
    <row r="209" spans="1:9">
      <c r="A209" s="65">
        <v>50202</v>
      </c>
      <c r="B209" s="71" t="s">
        <v>269</v>
      </c>
      <c r="C209" s="66">
        <v>3702</v>
      </c>
      <c r="D209" s="66">
        <v>965</v>
      </c>
      <c r="E209" s="67">
        <v>79.322905500000005</v>
      </c>
      <c r="F209" s="66">
        <v>3421</v>
      </c>
      <c r="G209" s="66">
        <v>2237</v>
      </c>
      <c r="H209" s="67">
        <v>60.463061199999999</v>
      </c>
      <c r="I209" s="61"/>
    </row>
    <row r="210" spans="1:9">
      <c r="A210" s="65">
        <v>50203</v>
      </c>
      <c r="B210" s="71" t="s">
        <v>270</v>
      </c>
      <c r="C210" s="66">
        <v>5437</v>
      </c>
      <c r="D210" s="66">
        <v>6972</v>
      </c>
      <c r="E210" s="67">
        <v>43.814973000000002</v>
      </c>
      <c r="F210" s="66">
        <v>5288</v>
      </c>
      <c r="G210" s="66">
        <v>10729</v>
      </c>
      <c r="H210" s="67">
        <v>33.014921600000001</v>
      </c>
      <c r="I210" s="61"/>
    </row>
    <row r="211" spans="1:9">
      <c r="A211" s="65">
        <v>50204</v>
      </c>
      <c r="B211" s="71" t="s">
        <v>271</v>
      </c>
      <c r="C211" s="66">
        <v>2125</v>
      </c>
      <c r="D211" s="66">
        <v>144</v>
      </c>
      <c r="E211" s="67">
        <v>93.653591899999995</v>
      </c>
      <c r="F211" s="66">
        <v>2404</v>
      </c>
      <c r="G211" s="66">
        <v>628</v>
      </c>
      <c r="H211" s="67">
        <v>79.287598900000006</v>
      </c>
      <c r="I211" s="61"/>
    </row>
    <row r="212" spans="1:9">
      <c r="A212" s="65">
        <v>50301</v>
      </c>
      <c r="B212" s="71" t="s">
        <v>273</v>
      </c>
      <c r="C212" s="66">
        <v>7036</v>
      </c>
      <c r="D212" s="66">
        <v>2685</v>
      </c>
      <c r="E212" s="67">
        <v>72.379384799999997</v>
      </c>
      <c r="F212" s="66">
        <v>6146</v>
      </c>
      <c r="G212" s="66">
        <v>4775</v>
      </c>
      <c r="H212" s="67">
        <v>56.276897699999999</v>
      </c>
      <c r="I212" s="61"/>
    </row>
    <row r="213" spans="1:9">
      <c r="A213" s="65">
        <v>50302</v>
      </c>
      <c r="B213" s="71" t="s">
        <v>274</v>
      </c>
      <c r="C213" s="66">
        <v>2383</v>
      </c>
      <c r="D213" s="66">
        <v>839</v>
      </c>
      <c r="E213" s="67">
        <v>73.960273099999995</v>
      </c>
      <c r="F213" s="66">
        <v>2089</v>
      </c>
      <c r="G213" s="66">
        <v>1393</v>
      </c>
      <c r="H213" s="67">
        <v>59.994256200000002</v>
      </c>
      <c r="I213" s="61"/>
    </row>
    <row r="214" spans="1:9">
      <c r="A214" s="65">
        <v>50303</v>
      </c>
      <c r="B214" s="71" t="s">
        <v>275</v>
      </c>
      <c r="C214" s="66">
        <v>3801</v>
      </c>
      <c r="D214" s="66">
        <v>96</v>
      </c>
      <c r="E214" s="67">
        <v>97.5365666</v>
      </c>
      <c r="F214" s="66">
        <v>4703</v>
      </c>
      <c r="G214" s="66">
        <v>478</v>
      </c>
      <c r="H214" s="67">
        <v>90.773981899999995</v>
      </c>
      <c r="I214" s="61"/>
    </row>
    <row r="215" spans="1:9">
      <c r="A215" s="65">
        <v>50401</v>
      </c>
      <c r="B215" s="71" t="s">
        <v>276</v>
      </c>
      <c r="C215" s="66">
        <v>3302</v>
      </c>
      <c r="D215" s="66">
        <v>984</v>
      </c>
      <c r="E215" s="67">
        <v>77.041530600000002</v>
      </c>
      <c r="F215" s="66">
        <v>4425</v>
      </c>
      <c r="G215" s="66">
        <v>2072</v>
      </c>
      <c r="H215" s="67">
        <v>68.108357699999999</v>
      </c>
      <c r="I215" s="61"/>
    </row>
    <row r="216" spans="1:9">
      <c r="A216" s="65">
        <v>50402</v>
      </c>
      <c r="B216" s="71" t="s">
        <v>277</v>
      </c>
      <c r="C216" s="66">
        <v>4866</v>
      </c>
      <c r="D216" s="66">
        <v>1819</v>
      </c>
      <c r="E216" s="67">
        <v>72.789828</v>
      </c>
      <c r="F216" s="66">
        <v>5100</v>
      </c>
      <c r="G216" s="66">
        <v>1780</v>
      </c>
      <c r="H216" s="67">
        <v>74.127906999999993</v>
      </c>
      <c r="I216" s="61"/>
    </row>
    <row r="217" spans="1:9">
      <c r="A217" s="65">
        <v>50403</v>
      </c>
      <c r="B217" s="71" t="s">
        <v>278</v>
      </c>
      <c r="C217" s="66">
        <v>7538</v>
      </c>
      <c r="D217" s="66">
        <v>898</v>
      </c>
      <c r="E217" s="67">
        <v>89.355144600000003</v>
      </c>
      <c r="F217" s="66">
        <v>10150</v>
      </c>
      <c r="G217" s="66">
        <v>2388</v>
      </c>
      <c r="H217" s="67">
        <v>80.953900099999998</v>
      </c>
      <c r="I217" s="61"/>
    </row>
    <row r="218" spans="1:9">
      <c r="A218" s="65">
        <v>50404</v>
      </c>
      <c r="B218" s="71" t="s">
        <v>279</v>
      </c>
      <c r="C218" s="66">
        <v>4273</v>
      </c>
      <c r="D218" s="66">
        <v>820</v>
      </c>
      <c r="E218" s="67">
        <v>83.8994699</v>
      </c>
      <c r="F218" s="66">
        <v>4941</v>
      </c>
      <c r="G218" s="66">
        <v>1240</v>
      </c>
      <c r="H218" s="67">
        <v>79.938521300000005</v>
      </c>
      <c r="I218" s="61"/>
    </row>
    <row r="219" spans="1:9">
      <c r="A219" s="65">
        <v>50405</v>
      </c>
      <c r="B219" s="71" t="s">
        <v>280</v>
      </c>
      <c r="C219" s="66">
        <v>5196</v>
      </c>
      <c r="D219" s="66">
        <v>1168</v>
      </c>
      <c r="E219" s="67">
        <v>81.646763000000007</v>
      </c>
      <c r="F219" s="66">
        <v>6651</v>
      </c>
      <c r="G219" s="66">
        <v>1787</v>
      </c>
      <c r="H219" s="67">
        <v>78.821995700000002</v>
      </c>
      <c r="I219" s="61"/>
    </row>
    <row r="220" spans="1:9">
      <c r="A220" s="65">
        <v>50501</v>
      </c>
      <c r="B220" s="71" t="s">
        <v>282</v>
      </c>
      <c r="C220" s="66">
        <v>7642</v>
      </c>
      <c r="D220" s="66">
        <v>635</v>
      </c>
      <c r="E220" s="67">
        <v>92.328138199999998</v>
      </c>
      <c r="F220" s="66">
        <v>9719</v>
      </c>
      <c r="G220" s="66">
        <v>1584</v>
      </c>
      <c r="H220" s="67">
        <v>85.986021399999998</v>
      </c>
      <c r="I220" s="61"/>
    </row>
    <row r="221" spans="1:9">
      <c r="A221" s="65">
        <v>50502</v>
      </c>
      <c r="B221" s="71" t="s">
        <v>283</v>
      </c>
      <c r="C221" s="66">
        <v>2790</v>
      </c>
      <c r="D221" s="66">
        <v>721</v>
      </c>
      <c r="E221" s="67">
        <v>79.46454</v>
      </c>
      <c r="F221" s="66">
        <v>2987</v>
      </c>
      <c r="G221" s="66">
        <v>1205</v>
      </c>
      <c r="H221" s="67">
        <v>71.254771000000005</v>
      </c>
      <c r="I221" s="61"/>
    </row>
    <row r="222" spans="1:9">
      <c r="A222" s="65">
        <v>50601</v>
      </c>
      <c r="B222" s="71" t="s">
        <v>285</v>
      </c>
      <c r="C222" s="66">
        <v>6881</v>
      </c>
      <c r="D222" s="66">
        <v>2590</v>
      </c>
      <c r="E222" s="67">
        <v>72.653362900000005</v>
      </c>
      <c r="F222" s="66">
        <v>5922</v>
      </c>
      <c r="G222" s="66">
        <v>5302</v>
      </c>
      <c r="H222" s="67">
        <v>52.761938700000002</v>
      </c>
      <c r="I222" s="61"/>
    </row>
    <row r="223" spans="1:9">
      <c r="A223" s="65">
        <v>50602</v>
      </c>
      <c r="B223" s="71" t="s">
        <v>286</v>
      </c>
      <c r="C223" s="66">
        <v>2179</v>
      </c>
      <c r="D223" s="66">
        <v>945</v>
      </c>
      <c r="E223" s="67">
        <v>69.750320099999996</v>
      </c>
      <c r="F223" s="66">
        <v>1999</v>
      </c>
      <c r="G223" s="66">
        <v>1881</v>
      </c>
      <c r="H223" s="67">
        <v>51.520618599999999</v>
      </c>
      <c r="I223" s="61"/>
    </row>
    <row r="224" spans="1:9">
      <c r="A224" s="65">
        <v>50701</v>
      </c>
      <c r="B224" s="71" t="s">
        <v>288</v>
      </c>
      <c r="C224" s="66">
        <v>4741</v>
      </c>
      <c r="D224" s="66">
        <v>877</v>
      </c>
      <c r="E224" s="67">
        <v>84.389462399999999</v>
      </c>
      <c r="F224" s="66">
        <v>5146</v>
      </c>
      <c r="G224" s="66">
        <v>1633</v>
      </c>
      <c r="H224" s="67">
        <v>75.910901300000006</v>
      </c>
      <c r="I224" s="61"/>
    </row>
    <row r="225" spans="1:9">
      <c r="A225" s="65">
        <v>50702</v>
      </c>
      <c r="B225" s="71" t="s">
        <v>289</v>
      </c>
      <c r="C225" s="66">
        <v>2353</v>
      </c>
      <c r="D225" s="66">
        <v>388</v>
      </c>
      <c r="E225" s="67">
        <v>85.844582299999999</v>
      </c>
      <c r="F225" s="66">
        <v>3015</v>
      </c>
      <c r="G225" s="66">
        <v>502</v>
      </c>
      <c r="H225" s="67">
        <v>85.726471399999994</v>
      </c>
      <c r="I225" s="61"/>
    </row>
    <row r="226" spans="1:9">
      <c r="A226" s="65">
        <v>50801</v>
      </c>
      <c r="B226" s="71" t="s">
        <v>291</v>
      </c>
      <c r="C226" s="66">
        <v>4811</v>
      </c>
      <c r="D226" s="66">
        <v>8508</v>
      </c>
      <c r="E226" s="67">
        <v>36.121330399999998</v>
      </c>
      <c r="F226" s="66">
        <v>3211</v>
      </c>
      <c r="G226" s="66">
        <v>12665</v>
      </c>
      <c r="H226" s="67">
        <v>20.225497600000001</v>
      </c>
      <c r="I226" s="61"/>
    </row>
    <row r="227" spans="1:9">
      <c r="A227" s="65">
        <v>50802</v>
      </c>
      <c r="B227" s="71" t="s">
        <v>292</v>
      </c>
      <c r="C227" s="66">
        <v>2773</v>
      </c>
      <c r="D227" s="66">
        <v>803</v>
      </c>
      <c r="E227" s="67">
        <v>77.5447427</v>
      </c>
      <c r="F227" s="66">
        <v>2218</v>
      </c>
      <c r="G227" s="66">
        <v>1533</v>
      </c>
      <c r="H227" s="67">
        <v>59.1308984</v>
      </c>
      <c r="I227" s="61"/>
    </row>
    <row r="228" spans="1:9">
      <c r="A228" s="65">
        <v>50901</v>
      </c>
      <c r="B228" s="71" t="s">
        <v>294</v>
      </c>
      <c r="C228" s="66">
        <v>2329</v>
      </c>
      <c r="D228" s="66">
        <v>978</v>
      </c>
      <c r="E228" s="67">
        <v>70.426368299999993</v>
      </c>
      <c r="F228" s="66">
        <v>1116</v>
      </c>
      <c r="G228" s="66">
        <v>3049</v>
      </c>
      <c r="H228" s="67">
        <v>26.794717899999998</v>
      </c>
      <c r="I228" s="61"/>
    </row>
    <row r="229" spans="1:9">
      <c r="A229" s="65">
        <v>50902</v>
      </c>
      <c r="B229" s="71" t="s">
        <v>295</v>
      </c>
      <c r="C229" s="66">
        <v>272</v>
      </c>
      <c r="D229" s="66">
        <v>100</v>
      </c>
      <c r="E229" s="67">
        <v>73.118279599999994</v>
      </c>
      <c r="F229" s="66">
        <v>237</v>
      </c>
      <c r="G229" s="66">
        <v>420</v>
      </c>
      <c r="H229" s="67">
        <v>36.073059399999998</v>
      </c>
      <c r="I229" s="61"/>
    </row>
    <row r="230" spans="1:9">
      <c r="A230" s="65">
        <v>51001</v>
      </c>
      <c r="B230" s="71" t="s">
        <v>297</v>
      </c>
      <c r="C230" s="66">
        <v>713</v>
      </c>
      <c r="D230" s="66">
        <v>158</v>
      </c>
      <c r="E230" s="67">
        <v>81.859931099999997</v>
      </c>
      <c r="F230" s="66">
        <v>586</v>
      </c>
      <c r="G230" s="66">
        <v>525</v>
      </c>
      <c r="H230" s="67">
        <v>52.745274500000001</v>
      </c>
      <c r="I230" s="61"/>
    </row>
    <row r="231" spans="1:9">
      <c r="A231" s="65">
        <v>51002</v>
      </c>
      <c r="B231" s="71" t="s">
        <v>298</v>
      </c>
      <c r="C231" s="66">
        <v>253</v>
      </c>
      <c r="D231" s="66">
        <v>105</v>
      </c>
      <c r="E231" s="67">
        <v>70.670391100000003</v>
      </c>
      <c r="F231" s="66">
        <v>138</v>
      </c>
      <c r="G231" s="66">
        <v>186</v>
      </c>
      <c r="H231" s="67">
        <v>42.592592600000003</v>
      </c>
      <c r="I231" s="61"/>
    </row>
    <row r="232" spans="1:9">
      <c r="A232" s="65">
        <v>51003</v>
      </c>
      <c r="B232" s="71" t="s">
        <v>299</v>
      </c>
      <c r="C232" s="66">
        <v>505</v>
      </c>
      <c r="D232" s="66">
        <v>210</v>
      </c>
      <c r="E232" s="67">
        <v>70.629370600000001</v>
      </c>
      <c r="F232" s="66">
        <v>287</v>
      </c>
      <c r="G232" s="66">
        <v>403</v>
      </c>
      <c r="H232" s="67">
        <v>41.594202899999999</v>
      </c>
      <c r="I232" s="61"/>
    </row>
    <row r="233" spans="1:9">
      <c r="A233" s="65">
        <v>51101</v>
      </c>
      <c r="B233" s="71" t="s">
        <v>301</v>
      </c>
      <c r="C233" s="66">
        <v>5022</v>
      </c>
      <c r="D233" s="66">
        <v>2081</v>
      </c>
      <c r="E233" s="67">
        <v>70.702520100000001</v>
      </c>
      <c r="F233" s="66">
        <v>3094</v>
      </c>
      <c r="G233" s="66">
        <v>3157</v>
      </c>
      <c r="H233" s="67">
        <v>49.496080599999999</v>
      </c>
      <c r="I233" s="61"/>
    </row>
    <row r="234" spans="1:9">
      <c r="A234" s="65">
        <v>51102</v>
      </c>
      <c r="B234" s="71" t="s">
        <v>302</v>
      </c>
      <c r="C234" s="66">
        <v>2550</v>
      </c>
      <c r="D234" s="66">
        <v>993</v>
      </c>
      <c r="E234" s="67">
        <v>71.972904299999996</v>
      </c>
      <c r="F234" s="66">
        <v>2130</v>
      </c>
      <c r="G234" s="66">
        <v>2513</v>
      </c>
      <c r="H234" s="67">
        <v>45.875511500000002</v>
      </c>
      <c r="I234" s="61"/>
    </row>
    <row r="235" spans="1:9">
      <c r="A235" s="65">
        <v>51103</v>
      </c>
      <c r="B235" s="71" t="s">
        <v>303</v>
      </c>
      <c r="C235" s="66">
        <v>3571</v>
      </c>
      <c r="D235" s="66">
        <v>255</v>
      </c>
      <c r="E235" s="67">
        <v>93.335075799999998</v>
      </c>
      <c r="F235" s="66">
        <v>3445</v>
      </c>
      <c r="G235" s="66">
        <v>758</v>
      </c>
      <c r="H235" s="67">
        <v>81.965262899999999</v>
      </c>
      <c r="I235" s="61"/>
    </row>
    <row r="236" spans="1:9">
      <c r="A236" s="65">
        <v>51201</v>
      </c>
      <c r="B236" s="71" t="s">
        <v>305</v>
      </c>
      <c r="C236" s="66">
        <v>5733</v>
      </c>
      <c r="D236" s="66">
        <v>3864</v>
      </c>
      <c r="E236" s="67">
        <v>59.737417899999997</v>
      </c>
      <c r="F236" s="66">
        <v>4646</v>
      </c>
      <c r="G236" s="66">
        <v>8488</v>
      </c>
      <c r="H236" s="67">
        <v>35.373838900000003</v>
      </c>
      <c r="I236" s="61"/>
    </row>
    <row r="237" spans="1:9">
      <c r="A237" s="65">
        <v>51202</v>
      </c>
      <c r="B237" s="71" t="s">
        <v>306</v>
      </c>
      <c r="C237" s="66">
        <v>2866</v>
      </c>
      <c r="D237" s="66">
        <v>211</v>
      </c>
      <c r="E237" s="67">
        <v>93.142671399999998</v>
      </c>
      <c r="F237" s="66">
        <v>2429</v>
      </c>
      <c r="G237" s="66">
        <v>888</v>
      </c>
      <c r="H237" s="67">
        <v>73.228821199999999</v>
      </c>
      <c r="I237" s="61"/>
    </row>
    <row r="238" spans="1:9">
      <c r="A238" s="65">
        <v>51203</v>
      </c>
      <c r="B238" s="71" t="s">
        <v>307</v>
      </c>
      <c r="C238" s="66">
        <v>1268</v>
      </c>
      <c r="D238" s="66">
        <v>1888</v>
      </c>
      <c r="E238" s="67">
        <v>40.177439800000002</v>
      </c>
      <c r="F238" s="66">
        <v>1160</v>
      </c>
      <c r="G238" s="66">
        <v>4126</v>
      </c>
      <c r="H238" s="67">
        <v>21.944759699999999</v>
      </c>
      <c r="I238" s="61"/>
    </row>
    <row r="239" spans="1:9">
      <c r="A239" s="65">
        <v>51204</v>
      </c>
      <c r="B239" s="71" t="s">
        <v>308</v>
      </c>
      <c r="C239" s="66">
        <v>1927</v>
      </c>
      <c r="D239" s="66">
        <v>212</v>
      </c>
      <c r="E239" s="67">
        <v>90.088826600000004</v>
      </c>
      <c r="F239" s="66">
        <v>1832</v>
      </c>
      <c r="G239" s="66">
        <v>775</v>
      </c>
      <c r="H239" s="67">
        <v>70.272343699999993</v>
      </c>
      <c r="I239" s="61"/>
    </row>
    <row r="240" spans="1:9">
      <c r="A240" s="65">
        <v>51301</v>
      </c>
      <c r="B240" s="71" t="s">
        <v>310</v>
      </c>
      <c r="C240" s="66">
        <v>1050</v>
      </c>
      <c r="D240" s="66">
        <v>248</v>
      </c>
      <c r="E240" s="67">
        <v>80.893682600000005</v>
      </c>
      <c r="F240" s="66">
        <v>1024</v>
      </c>
      <c r="G240" s="66">
        <v>433</v>
      </c>
      <c r="H240" s="67">
        <v>70.281400099999999</v>
      </c>
      <c r="I240" s="61"/>
    </row>
    <row r="241" spans="1:9">
      <c r="A241" s="65">
        <v>51302</v>
      </c>
      <c r="B241" s="71" t="s">
        <v>311</v>
      </c>
      <c r="C241" s="66">
        <v>1497</v>
      </c>
      <c r="D241" s="66">
        <v>222</v>
      </c>
      <c r="E241" s="67">
        <v>87.085514799999999</v>
      </c>
      <c r="F241" s="66">
        <v>1391</v>
      </c>
      <c r="G241" s="66">
        <v>440</v>
      </c>
      <c r="H241" s="67">
        <v>75.969415600000005</v>
      </c>
      <c r="I241" s="61"/>
    </row>
    <row r="242" spans="1:9">
      <c r="A242" s="65">
        <v>51401</v>
      </c>
      <c r="B242" s="71" t="s">
        <v>313</v>
      </c>
      <c r="C242" s="66">
        <v>1143</v>
      </c>
      <c r="D242" s="66">
        <v>361</v>
      </c>
      <c r="E242" s="67">
        <v>75.997340399999999</v>
      </c>
      <c r="F242" s="66">
        <v>825</v>
      </c>
      <c r="G242" s="66">
        <v>1031</v>
      </c>
      <c r="H242" s="67">
        <v>44.450431000000002</v>
      </c>
      <c r="I242" s="61"/>
    </row>
    <row r="243" spans="1:9">
      <c r="A243" s="65">
        <v>51402</v>
      </c>
      <c r="B243" s="71" t="s">
        <v>314</v>
      </c>
      <c r="C243" s="66">
        <v>625</v>
      </c>
      <c r="D243" s="66">
        <v>54</v>
      </c>
      <c r="E243" s="67">
        <v>92.047128099999995</v>
      </c>
      <c r="F243" s="66">
        <v>490</v>
      </c>
      <c r="G243" s="66">
        <v>252</v>
      </c>
      <c r="H243" s="67">
        <v>66.037735799999993</v>
      </c>
      <c r="I243" s="61"/>
    </row>
    <row r="244" spans="1:9">
      <c r="A244" s="65">
        <v>51501</v>
      </c>
      <c r="B244" s="71" t="s">
        <v>316</v>
      </c>
      <c r="C244" s="66">
        <v>3131</v>
      </c>
      <c r="D244" s="66">
        <v>8943</v>
      </c>
      <c r="E244" s="67">
        <v>25.9317542</v>
      </c>
      <c r="F244" s="66">
        <v>1677</v>
      </c>
      <c r="G244" s="66">
        <v>12756</v>
      </c>
      <c r="H244" s="67">
        <v>11.619206</v>
      </c>
      <c r="I244" s="61"/>
    </row>
    <row r="245" spans="1:9">
      <c r="A245" s="65">
        <v>51601</v>
      </c>
      <c r="B245" s="71" t="s">
        <v>318</v>
      </c>
      <c r="C245" s="66">
        <v>363</v>
      </c>
      <c r="D245" s="66">
        <v>126</v>
      </c>
      <c r="E245" s="67">
        <v>74.233128800000003</v>
      </c>
      <c r="F245" s="66">
        <v>219</v>
      </c>
      <c r="G245" s="66">
        <v>448</v>
      </c>
      <c r="H245" s="67">
        <v>32.8335832</v>
      </c>
      <c r="I245" s="61"/>
    </row>
    <row r="246" spans="1:9">
      <c r="A246" s="65">
        <v>60101</v>
      </c>
      <c r="B246" s="71" t="s">
        <v>319</v>
      </c>
      <c r="C246" s="66">
        <v>7002</v>
      </c>
      <c r="D246" s="66">
        <v>47924</v>
      </c>
      <c r="E246" s="67">
        <v>12.748061</v>
      </c>
      <c r="F246" s="66">
        <v>3483</v>
      </c>
      <c r="G246" s="66">
        <v>69226</v>
      </c>
      <c r="H246" s="67">
        <v>4.7903285999999996</v>
      </c>
      <c r="I246" s="61"/>
    </row>
    <row r="247" spans="1:9">
      <c r="A247" s="65">
        <v>60201</v>
      </c>
      <c r="B247" s="71" t="s">
        <v>321</v>
      </c>
      <c r="C247" s="66">
        <v>2457</v>
      </c>
      <c r="D247" s="66">
        <v>2633</v>
      </c>
      <c r="E247" s="67">
        <v>48.271119800000001</v>
      </c>
      <c r="F247" s="66">
        <v>1729</v>
      </c>
      <c r="G247" s="66">
        <v>3920</v>
      </c>
      <c r="H247" s="67">
        <v>30.607187100000001</v>
      </c>
      <c r="I247" s="61"/>
    </row>
    <row r="248" spans="1:9">
      <c r="A248" s="65">
        <v>60202</v>
      </c>
      <c r="B248" s="71" t="s">
        <v>322</v>
      </c>
      <c r="C248" s="66">
        <v>936</v>
      </c>
      <c r="D248" s="66">
        <v>8076</v>
      </c>
      <c r="E248" s="67">
        <v>10.3861518</v>
      </c>
      <c r="F248" s="66">
        <v>404</v>
      </c>
      <c r="G248" s="66">
        <v>10222</v>
      </c>
      <c r="H248" s="67">
        <v>3.8019951000000001</v>
      </c>
      <c r="I248" s="61"/>
    </row>
    <row r="249" spans="1:9">
      <c r="A249" s="65">
        <v>60301</v>
      </c>
      <c r="B249" s="71" t="s">
        <v>324</v>
      </c>
      <c r="C249" s="66">
        <v>3067</v>
      </c>
      <c r="D249" s="66">
        <v>19071</v>
      </c>
      <c r="E249" s="67">
        <v>13.854006699999999</v>
      </c>
      <c r="F249" s="66">
        <v>1636</v>
      </c>
      <c r="G249" s="66">
        <v>25672</v>
      </c>
      <c r="H249" s="67">
        <v>5.9909184</v>
      </c>
      <c r="I249" s="61"/>
    </row>
    <row r="250" spans="1:9">
      <c r="A250" s="65">
        <v>60302</v>
      </c>
      <c r="B250" s="71" t="s">
        <v>325</v>
      </c>
      <c r="C250" s="66">
        <v>638</v>
      </c>
      <c r="D250" s="66">
        <v>3357</v>
      </c>
      <c r="E250" s="67">
        <v>15.969962499999999</v>
      </c>
      <c r="F250" s="66">
        <v>578</v>
      </c>
      <c r="G250" s="66">
        <v>4106</v>
      </c>
      <c r="H250" s="67">
        <v>12.3398804</v>
      </c>
      <c r="I250" s="61"/>
    </row>
    <row r="251" spans="1:9">
      <c r="A251" s="65">
        <v>60303</v>
      </c>
      <c r="B251" s="71" t="s">
        <v>326</v>
      </c>
      <c r="C251" s="66">
        <v>1720</v>
      </c>
      <c r="D251" s="66">
        <v>8569</v>
      </c>
      <c r="E251" s="67">
        <v>16.716882099999999</v>
      </c>
      <c r="F251" s="66">
        <v>1173</v>
      </c>
      <c r="G251" s="66">
        <v>12867</v>
      </c>
      <c r="H251" s="67">
        <v>8.3547008999999992</v>
      </c>
      <c r="I251" s="61"/>
    </row>
    <row r="252" spans="1:9">
      <c r="A252" s="65">
        <v>60401</v>
      </c>
      <c r="B252" s="71" t="s">
        <v>328</v>
      </c>
      <c r="C252" s="66">
        <v>1580</v>
      </c>
      <c r="D252" s="66">
        <v>2582</v>
      </c>
      <c r="E252" s="67">
        <v>37.962518000000003</v>
      </c>
      <c r="F252" s="66">
        <v>990</v>
      </c>
      <c r="G252" s="66">
        <v>3926</v>
      </c>
      <c r="H252" s="67">
        <v>20.138323799999998</v>
      </c>
      <c r="I252" s="61"/>
    </row>
    <row r="253" spans="1:9">
      <c r="A253" s="65">
        <v>60402</v>
      </c>
      <c r="B253" s="71" t="s">
        <v>329</v>
      </c>
      <c r="C253" s="66">
        <v>388</v>
      </c>
      <c r="D253" s="66">
        <v>1096</v>
      </c>
      <c r="E253" s="67">
        <v>26.145552599999998</v>
      </c>
      <c r="F253" s="66">
        <v>333</v>
      </c>
      <c r="G253" s="66">
        <v>1197</v>
      </c>
      <c r="H253" s="67">
        <v>21.764705899999999</v>
      </c>
      <c r="I253" s="61"/>
    </row>
    <row r="254" spans="1:9">
      <c r="A254" s="65">
        <v>60501</v>
      </c>
      <c r="B254" s="71" t="s">
        <v>331</v>
      </c>
      <c r="C254" s="66">
        <v>2319</v>
      </c>
      <c r="D254" s="66">
        <v>4165</v>
      </c>
      <c r="E254" s="67">
        <v>35.764959900000001</v>
      </c>
      <c r="F254" s="66">
        <v>1791</v>
      </c>
      <c r="G254" s="66">
        <v>7545</v>
      </c>
      <c r="H254" s="67">
        <v>19.183804599999998</v>
      </c>
      <c r="I254" s="61"/>
    </row>
    <row r="255" spans="1:9">
      <c r="A255" s="65">
        <v>60502</v>
      </c>
      <c r="B255" s="71" t="s">
        <v>332</v>
      </c>
      <c r="C255" s="66">
        <v>719</v>
      </c>
      <c r="D255" s="66">
        <v>2534</v>
      </c>
      <c r="E255" s="67">
        <v>22.102674499999999</v>
      </c>
      <c r="F255" s="66">
        <v>495</v>
      </c>
      <c r="G255" s="66">
        <v>2745</v>
      </c>
      <c r="H255" s="67">
        <v>15.277777800000001</v>
      </c>
      <c r="I255" s="61"/>
    </row>
    <row r="256" spans="1:9">
      <c r="A256" s="65">
        <v>60601</v>
      </c>
      <c r="B256" s="71" t="s">
        <v>203</v>
      </c>
      <c r="C256" s="66">
        <v>2148</v>
      </c>
      <c r="D256" s="66">
        <v>3267</v>
      </c>
      <c r="E256" s="67">
        <v>39.667589999999997</v>
      </c>
      <c r="F256" s="66">
        <v>1686</v>
      </c>
      <c r="G256" s="66">
        <v>4530</v>
      </c>
      <c r="H256" s="67">
        <v>27.123552100000001</v>
      </c>
      <c r="I256" s="61"/>
    </row>
    <row r="257" spans="1:9">
      <c r="A257" s="65">
        <v>70101</v>
      </c>
      <c r="B257" s="71" t="s">
        <v>336</v>
      </c>
      <c r="C257" s="66">
        <v>12301</v>
      </c>
      <c r="D257" s="66">
        <v>348140</v>
      </c>
      <c r="E257" s="67">
        <v>3.4127638</v>
      </c>
      <c r="F257" s="66">
        <v>5366</v>
      </c>
      <c r="G257" s="66">
        <v>447792</v>
      </c>
      <c r="H257" s="67">
        <v>1.1841345000000001</v>
      </c>
      <c r="I257" s="61"/>
    </row>
    <row r="258" spans="1:9">
      <c r="A258" s="65">
        <v>70102</v>
      </c>
      <c r="B258" s="71" t="s">
        <v>337</v>
      </c>
      <c r="C258" s="66">
        <v>2501</v>
      </c>
      <c r="D258" s="66">
        <v>10176</v>
      </c>
      <c r="E258" s="67">
        <v>19.728642399999998</v>
      </c>
      <c r="F258" s="66">
        <v>1684</v>
      </c>
      <c r="G258" s="66">
        <v>26149</v>
      </c>
      <c r="H258" s="67">
        <v>6.0503719</v>
      </c>
      <c r="I258" s="61"/>
    </row>
    <row r="259" spans="1:9">
      <c r="A259" s="65">
        <v>70103</v>
      </c>
      <c r="B259" s="71" t="s">
        <v>338</v>
      </c>
      <c r="C259" s="66">
        <v>954</v>
      </c>
      <c r="D259" s="66">
        <v>2668</v>
      </c>
      <c r="E259" s="67">
        <v>26.339039199999998</v>
      </c>
      <c r="F259" s="66">
        <v>551</v>
      </c>
      <c r="G259" s="66">
        <v>6091</v>
      </c>
      <c r="H259" s="67">
        <v>8.2956941000000004</v>
      </c>
      <c r="I259" s="61"/>
    </row>
    <row r="260" spans="1:9">
      <c r="A260" s="65">
        <v>70104</v>
      </c>
      <c r="B260" s="71" t="s">
        <v>339</v>
      </c>
      <c r="C260" s="66">
        <v>1766</v>
      </c>
      <c r="D260" s="66">
        <v>19548</v>
      </c>
      <c r="E260" s="67">
        <v>8.2856339000000006</v>
      </c>
      <c r="F260" s="66">
        <v>1204</v>
      </c>
      <c r="G260" s="66">
        <v>39063</v>
      </c>
      <c r="H260" s="67">
        <v>2.9900414999999998</v>
      </c>
      <c r="I260" s="61"/>
    </row>
    <row r="261" spans="1:9">
      <c r="A261" s="65">
        <v>70105</v>
      </c>
      <c r="B261" s="71" t="s">
        <v>340</v>
      </c>
      <c r="C261" s="66">
        <v>2564</v>
      </c>
      <c r="D261" s="66">
        <v>9671</v>
      </c>
      <c r="E261" s="67">
        <v>20.956272999999999</v>
      </c>
      <c r="F261" s="66">
        <v>1723</v>
      </c>
      <c r="G261" s="66">
        <v>14889</v>
      </c>
      <c r="H261" s="67">
        <v>10.3720202</v>
      </c>
      <c r="I261" s="61"/>
    </row>
    <row r="262" spans="1:9">
      <c r="A262" s="65">
        <v>70201</v>
      </c>
      <c r="B262" s="71" t="s">
        <v>341</v>
      </c>
      <c r="C262" s="66">
        <v>4040</v>
      </c>
      <c r="D262" s="66">
        <v>19178</v>
      </c>
      <c r="E262" s="67">
        <v>17.4002929</v>
      </c>
      <c r="F262" s="66">
        <v>2167</v>
      </c>
      <c r="G262" s="66">
        <v>38430</v>
      </c>
      <c r="H262" s="67">
        <v>5.3378328000000002</v>
      </c>
      <c r="I262" s="61"/>
    </row>
    <row r="263" spans="1:9">
      <c r="A263" s="65">
        <v>70202</v>
      </c>
      <c r="B263" s="71" t="s">
        <v>342</v>
      </c>
      <c r="C263" s="66">
        <v>276</v>
      </c>
      <c r="D263" s="66">
        <v>2284</v>
      </c>
      <c r="E263" s="67">
        <v>10.78125</v>
      </c>
      <c r="F263" s="66">
        <v>110</v>
      </c>
      <c r="G263" s="66">
        <v>2786</v>
      </c>
      <c r="H263" s="67">
        <v>3.7983425</v>
      </c>
      <c r="I263" s="61"/>
    </row>
    <row r="264" spans="1:9">
      <c r="A264" s="65">
        <v>70301</v>
      </c>
      <c r="B264" s="71" t="s">
        <v>344</v>
      </c>
      <c r="C264" s="66">
        <v>817</v>
      </c>
      <c r="D264" s="66">
        <v>10008</v>
      </c>
      <c r="E264" s="67">
        <v>7.5473441000000001</v>
      </c>
      <c r="F264" s="66">
        <v>1843</v>
      </c>
      <c r="G264" s="66">
        <v>15917</v>
      </c>
      <c r="H264" s="67">
        <v>10.3772523</v>
      </c>
      <c r="I264" s="61"/>
    </row>
    <row r="265" spans="1:9">
      <c r="A265" s="65">
        <v>70302</v>
      </c>
      <c r="B265" s="71" t="s">
        <v>345</v>
      </c>
      <c r="C265" s="66">
        <v>376</v>
      </c>
      <c r="D265" s="66">
        <v>2206</v>
      </c>
      <c r="E265" s="67">
        <v>14.5623548</v>
      </c>
      <c r="F265" s="66">
        <v>859</v>
      </c>
      <c r="G265" s="66">
        <v>3588</v>
      </c>
      <c r="H265" s="67">
        <v>19.316393099999999</v>
      </c>
      <c r="I265" s="61"/>
    </row>
    <row r="266" spans="1:9">
      <c r="A266" s="65">
        <v>70303</v>
      </c>
      <c r="B266" s="71" t="s">
        <v>346</v>
      </c>
      <c r="C266" s="66">
        <v>152</v>
      </c>
      <c r="D266" s="66">
        <v>987</v>
      </c>
      <c r="E266" s="67">
        <v>13.3450395</v>
      </c>
      <c r="F266" s="66">
        <v>993</v>
      </c>
      <c r="G266" s="66">
        <v>1904</v>
      </c>
      <c r="H266" s="67">
        <v>34.276838099999999</v>
      </c>
      <c r="I266" s="61"/>
    </row>
    <row r="267" spans="1:9">
      <c r="A267" s="65">
        <v>70401</v>
      </c>
      <c r="B267" s="71" t="s">
        <v>348</v>
      </c>
      <c r="C267" s="66">
        <v>665</v>
      </c>
      <c r="D267" s="66">
        <v>2506</v>
      </c>
      <c r="E267" s="67">
        <v>20.971302399999999</v>
      </c>
      <c r="F267" s="66">
        <v>364</v>
      </c>
      <c r="G267" s="66">
        <v>3412</v>
      </c>
      <c r="H267" s="67">
        <v>9.6398305000000004</v>
      </c>
      <c r="I267" s="61"/>
    </row>
    <row r="268" spans="1:9">
      <c r="A268" s="65">
        <v>70402</v>
      </c>
      <c r="B268" s="71" t="s">
        <v>349</v>
      </c>
      <c r="C268" s="66">
        <v>1039</v>
      </c>
      <c r="D268" s="66">
        <v>3534</v>
      </c>
      <c r="E268" s="67">
        <v>22.720314900000002</v>
      </c>
      <c r="F268" s="66">
        <v>691</v>
      </c>
      <c r="G268" s="66">
        <v>4832</v>
      </c>
      <c r="H268" s="67">
        <v>12.511316300000001</v>
      </c>
      <c r="I268" s="61"/>
    </row>
    <row r="269" spans="1:9">
      <c r="A269" s="65">
        <v>70403</v>
      </c>
      <c r="B269" s="71" t="s">
        <v>350</v>
      </c>
      <c r="C269" s="66">
        <v>5604</v>
      </c>
      <c r="D269" s="66">
        <v>9171</v>
      </c>
      <c r="E269" s="67">
        <v>37.928933999999998</v>
      </c>
      <c r="F269" s="66">
        <v>5938</v>
      </c>
      <c r="G269" s="66">
        <v>14137</v>
      </c>
      <c r="H269" s="67">
        <v>29.579078500000001</v>
      </c>
      <c r="I269" s="61"/>
    </row>
    <row r="270" spans="1:9">
      <c r="A270" s="65">
        <v>70404</v>
      </c>
      <c r="B270" s="71" t="s">
        <v>351</v>
      </c>
      <c r="C270" s="66">
        <v>478</v>
      </c>
      <c r="D270" s="66">
        <v>1577</v>
      </c>
      <c r="E270" s="67">
        <v>23.260340599999999</v>
      </c>
      <c r="F270" s="66">
        <v>568</v>
      </c>
      <c r="G270" s="66">
        <v>2389</v>
      </c>
      <c r="H270" s="67">
        <v>19.2086574</v>
      </c>
      <c r="I270" s="61"/>
    </row>
    <row r="271" spans="1:9">
      <c r="A271" s="65">
        <v>70501</v>
      </c>
      <c r="B271" s="71" t="s">
        <v>353</v>
      </c>
      <c r="C271" s="66">
        <v>413</v>
      </c>
      <c r="D271" s="66">
        <v>4153</v>
      </c>
      <c r="E271" s="67">
        <v>9.0451160999999995</v>
      </c>
      <c r="F271" s="66">
        <v>3011</v>
      </c>
      <c r="G271" s="66">
        <v>8596</v>
      </c>
      <c r="H271" s="67">
        <v>25.9412424</v>
      </c>
      <c r="I271" s="61"/>
    </row>
    <row r="272" spans="1:9">
      <c r="A272" s="65">
        <v>70502</v>
      </c>
      <c r="B272" s="71" t="s">
        <v>354</v>
      </c>
      <c r="C272" s="66">
        <v>671</v>
      </c>
      <c r="D272" s="66">
        <v>6511</v>
      </c>
      <c r="E272" s="67">
        <v>9.3428014000000008</v>
      </c>
      <c r="F272" s="66">
        <v>1323</v>
      </c>
      <c r="G272" s="66">
        <v>11647</v>
      </c>
      <c r="H272" s="67">
        <v>10.2004626</v>
      </c>
      <c r="I272" s="61"/>
    </row>
    <row r="273" spans="1:9">
      <c r="A273" s="65">
        <v>70503</v>
      </c>
      <c r="B273" s="71" t="s">
        <v>355</v>
      </c>
      <c r="C273" s="66">
        <v>444</v>
      </c>
      <c r="D273" s="66">
        <v>3303</v>
      </c>
      <c r="E273" s="67">
        <v>11.8494796</v>
      </c>
      <c r="F273" s="66">
        <v>465</v>
      </c>
      <c r="G273" s="66">
        <v>4883</v>
      </c>
      <c r="H273" s="67">
        <v>8.6948392000000005</v>
      </c>
      <c r="I273" s="61"/>
    </row>
    <row r="274" spans="1:9">
      <c r="A274" s="65">
        <v>70601</v>
      </c>
      <c r="B274" s="71" t="s">
        <v>357</v>
      </c>
      <c r="C274" s="66">
        <v>487</v>
      </c>
      <c r="D274" s="66">
        <v>3632</v>
      </c>
      <c r="E274" s="67">
        <v>11.8232581</v>
      </c>
      <c r="F274" s="66">
        <v>173</v>
      </c>
      <c r="G274" s="66">
        <v>5272</v>
      </c>
      <c r="H274" s="67">
        <v>3.1772268000000001</v>
      </c>
      <c r="I274" s="61"/>
    </row>
    <row r="275" spans="1:9">
      <c r="A275" s="65">
        <v>70602</v>
      </c>
      <c r="B275" s="71" t="s">
        <v>358</v>
      </c>
      <c r="C275" s="66">
        <v>1702</v>
      </c>
      <c r="D275" s="66">
        <v>3276</v>
      </c>
      <c r="E275" s="67">
        <v>34.190437899999999</v>
      </c>
      <c r="F275" s="66">
        <v>1088</v>
      </c>
      <c r="G275" s="66">
        <v>4869</v>
      </c>
      <c r="H275" s="67">
        <v>18.264227000000002</v>
      </c>
      <c r="I275" s="61"/>
    </row>
    <row r="276" spans="1:9">
      <c r="A276" s="65">
        <v>70603</v>
      </c>
      <c r="B276" s="71" t="s">
        <v>359</v>
      </c>
      <c r="C276" s="66">
        <v>201</v>
      </c>
      <c r="D276" s="66">
        <v>1153</v>
      </c>
      <c r="E276" s="67">
        <v>14.844904</v>
      </c>
      <c r="F276" s="66">
        <v>113</v>
      </c>
      <c r="G276" s="66">
        <v>1420</v>
      </c>
      <c r="H276" s="67">
        <v>7.3711675999999997</v>
      </c>
      <c r="I276" s="61"/>
    </row>
    <row r="277" spans="1:9">
      <c r="A277" s="65">
        <v>70701</v>
      </c>
      <c r="B277" s="71" t="s">
        <v>361</v>
      </c>
      <c r="C277" s="66">
        <v>450</v>
      </c>
      <c r="D277" s="66">
        <v>621</v>
      </c>
      <c r="E277" s="67">
        <v>42.016806699999997</v>
      </c>
      <c r="F277" s="66">
        <v>225</v>
      </c>
      <c r="G277" s="66">
        <v>1344</v>
      </c>
      <c r="H277" s="67">
        <v>14.340344200000001</v>
      </c>
      <c r="I277" s="61"/>
    </row>
    <row r="278" spans="1:9">
      <c r="A278" s="65">
        <v>70702</v>
      </c>
      <c r="B278" s="71" t="s">
        <v>362</v>
      </c>
      <c r="C278" s="66">
        <v>1945</v>
      </c>
      <c r="D278" s="66">
        <v>4344</v>
      </c>
      <c r="E278" s="67">
        <v>30.927015399999998</v>
      </c>
      <c r="F278" s="66">
        <v>1814</v>
      </c>
      <c r="G278" s="66">
        <v>7734</v>
      </c>
      <c r="H278" s="67">
        <v>18.9987432</v>
      </c>
      <c r="I278" s="61"/>
    </row>
    <row r="279" spans="1:9">
      <c r="A279" s="65">
        <v>70703</v>
      </c>
      <c r="B279" s="71" t="s">
        <v>363</v>
      </c>
      <c r="C279" s="66">
        <v>1314</v>
      </c>
      <c r="D279" s="66">
        <v>4314</v>
      </c>
      <c r="E279" s="67">
        <v>23.347548</v>
      </c>
      <c r="F279" s="66">
        <v>1082</v>
      </c>
      <c r="G279" s="66">
        <v>7209</v>
      </c>
      <c r="H279" s="67">
        <v>13.050295500000001</v>
      </c>
      <c r="I279" s="61"/>
    </row>
    <row r="280" spans="1:9">
      <c r="A280" s="65">
        <v>70704</v>
      </c>
      <c r="B280" s="71" t="s">
        <v>364</v>
      </c>
      <c r="C280" s="66">
        <v>354</v>
      </c>
      <c r="D280" s="66">
        <v>763</v>
      </c>
      <c r="E280" s="67">
        <v>31.6920322</v>
      </c>
      <c r="F280" s="66">
        <v>184</v>
      </c>
      <c r="G280" s="66">
        <v>1077</v>
      </c>
      <c r="H280" s="67">
        <v>14.591594000000001</v>
      </c>
      <c r="I280" s="61"/>
    </row>
    <row r="281" spans="1:9">
      <c r="A281" s="65">
        <v>70705</v>
      </c>
      <c r="B281" s="71" t="s">
        <v>365</v>
      </c>
      <c r="C281" s="66">
        <v>1119</v>
      </c>
      <c r="D281" s="66">
        <v>1271</v>
      </c>
      <c r="E281" s="67">
        <v>46.820083699999998</v>
      </c>
      <c r="F281" s="66">
        <v>761</v>
      </c>
      <c r="G281" s="66">
        <v>2865</v>
      </c>
      <c r="H281" s="67">
        <v>20.987313799999999</v>
      </c>
      <c r="I281" s="61"/>
    </row>
    <row r="282" spans="1:9">
      <c r="A282" s="65">
        <v>70706</v>
      </c>
      <c r="B282" s="71" t="s">
        <v>366</v>
      </c>
      <c r="C282" s="66">
        <v>804</v>
      </c>
      <c r="D282" s="66">
        <v>7570</v>
      </c>
      <c r="E282" s="67">
        <v>9.6011463999999993</v>
      </c>
      <c r="F282" s="66">
        <v>636</v>
      </c>
      <c r="G282" s="66">
        <v>8669</v>
      </c>
      <c r="H282" s="67">
        <v>6.8350349000000001</v>
      </c>
      <c r="I282" s="61"/>
    </row>
    <row r="283" spans="1:9">
      <c r="A283" s="65">
        <v>70707</v>
      </c>
      <c r="B283" s="71" t="s">
        <v>367</v>
      </c>
      <c r="C283" s="66">
        <v>230</v>
      </c>
      <c r="D283" s="66">
        <v>783</v>
      </c>
      <c r="E283" s="67">
        <v>22.704837099999999</v>
      </c>
      <c r="F283" s="66">
        <v>93</v>
      </c>
      <c r="G283" s="66">
        <v>1292</v>
      </c>
      <c r="H283" s="67">
        <v>6.7148013999999998</v>
      </c>
      <c r="I283" s="61"/>
    </row>
    <row r="284" spans="1:9">
      <c r="A284" s="65">
        <v>70801</v>
      </c>
      <c r="B284" s="71" t="s">
        <v>369</v>
      </c>
      <c r="C284" s="66">
        <v>1775</v>
      </c>
      <c r="D284" s="66">
        <v>3500</v>
      </c>
      <c r="E284" s="67">
        <v>33.649289099999997</v>
      </c>
      <c r="F284" s="66">
        <v>1267</v>
      </c>
      <c r="G284" s="66">
        <v>4930</v>
      </c>
      <c r="H284" s="67">
        <v>20.445376799999998</v>
      </c>
      <c r="I284" s="61"/>
    </row>
    <row r="285" spans="1:9">
      <c r="A285" s="65">
        <v>70802</v>
      </c>
      <c r="B285" s="71" t="s">
        <v>370</v>
      </c>
      <c r="C285" s="66">
        <v>191</v>
      </c>
      <c r="D285" s="66">
        <v>385</v>
      </c>
      <c r="E285" s="67">
        <v>33.159722199999997</v>
      </c>
      <c r="F285" s="66">
        <v>104</v>
      </c>
      <c r="G285" s="66">
        <v>691</v>
      </c>
      <c r="H285" s="67">
        <v>13.081761</v>
      </c>
      <c r="I285" s="61"/>
    </row>
    <row r="286" spans="1:9">
      <c r="A286" s="65">
        <v>70803</v>
      </c>
      <c r="B286" s="71" t="s">
        <v>371</v>
      </c>
      <c r="C286" s="66">
        <v>389</v>
      </c>
      <c r="D286" s="66">
        <v>481</v>
      </c>
      <c r="E286" s="67">
        <v>44.712643700000001</v>
      </c>
      <c r="F286" s="66">
        <v>324</v>
      </c>
      <c r="G286" s="66">
        <v>667</v>
      </c>
      <c r="H286" s="67">
        <v>32.694248199999997</v>
      </c>
      <c r="I286" s="61"/>
    </row>
    <row r="287" spans="1:9">
      <c r="A287" s="65">
        <v>70804</v>
      </c>
      <c r="B287" s="71" t="s">
        <v>372</v>
      </c>
      <c r="C287" s="66">
        <v>355</v>
      </c>
      <c r="D287" s="66">
        <v>245</v>
      </c>
      <c r="E287" s="67">
        <v>59.1666667</v>
      </c>
      <c r="F287" s="66">
        <v>208</v>
      </c>
      <c r="G287" s="66">
        <v>398</v>
      </c>
      <c r="H287" s="67">
        <v>34.3234323</v>
      </c>
      <c r="I287" s="61"/>
    </row>
    <row r="288" spans="1:9">
      <c r="A288" s="65">
        <v>70805</v>
      </c>
      <c r="B288" s="71" t="s">
        <v>373</v>
      </c>
      <c r="C288" s="66">
        <v>444</v>
      </c>
      <c r="D288" s="66">
        <v>191</v>
      </c>
      <c r="E288" s="67">
        <v>69.921259800000001</v>
      </c>
      <c r="F288" s="66">
        <v>318</v>
      </c>
      <c r="G288" s="66">
        <v>431</v>
      </c>
      <c r="H288" s="67">
        <v>42.456608799999998</v>
      </c>
      <c r="I288" s="61"/>
    </row>
    <row r="289" spans="1:9">
      <c r="A289" s="65">
        <v>70901</v>
      </c>
      <c r="B289" s="71" t="s">
        <v>375</v>
      </c>
      <c r="C289" s="66">
        <v>975</v>
      </c>
      <c r="D289" s="66">
        <v>2124</v>
      </c>
      <c r="E289" s="67">
        <v>31.461761899999999</v>
      </c>
      <c r="F289" s="66">
        <v>670</v>
      </c>
      <c r="G289" s="66">
        <v>3382</v>
      </c>
      <c r="H289" s="67">
        <v>16.5350444</v>
      </c>
      <c r="I289" s="61"/>
    </row>
    <row r="290" spans="1:9">
      <c r="A290" s="65">
        <v>70902</v>
      </c>
      <c r="B290" s="71" t="s">
        <v>376</v>
      </c>
      <c r="C290" s="66">
        <v>724</v>
      </c>
      <c r="D290" s="66">
        <v>1990</v>
      </c>
      <c r="E290" s="67">
        <v>26.6764923</v>
      </c>
      <c r="F290" s="66">
        <v>462</v>
      </c>
      <c r="G290" s="66">
        <v>2588</v>
      </c>
      <c r="H290" s="67">
        <v>15.147541</v>
      </c>
      <c r="I290" s="61"/>
    </row>
    <row r="291" spans="1:9">
      <c r="A291" s="65">
        <v>70903</v>
      </c>
      <c r="B291" s="71" t="s">
        <v>377</v>
      </c>
      <c r="C291" s="66">
        <v>574</v>
      </c>
      <c r="D291" s="66">
        <v>2390</v>
      </c>
      <c r="E291" s="67">
        <v>19.365722000000002</v>
      </c>
      <c r="F291" s="66">
        <v>679</v>
      </c>
      <c r="G291" s="66">
        <v>3631</v>
      </c>
      <c r="H291" s="67">
        <v>15.754060300000001</v>
      </c>
      <c r="I291" s="61"/>
    </row>
    <row r="292" spans="1:9">
      <c r="A292" s="65">
        <v>70904</v>
      </c>
      <c r="B292" s="71" t="s">
        <v>378</v>
      </c>
      <c r="C292" s="66">
        <v>275</v>
      </c>
      <c r="D292" s="66">
        <v>455</v>
      </c>
      <c r="E292" s="67">
        <v>37.6712329</v>
      </c>
      <c r="F292" s="66">
        <v>201</v>
      </c>
      <c r="G292" s="66">
        <v>586</v>
      </c>
      <c r="H292" s="67">
        <v>25.540025400000001</v>
      </c>
      <c r="I292" s="61"/>
    </row>
    <row r="293" spans="1:9">
      <c r="A293" s="65">
        <v>71001</v>
      </c>
      <c r="B293" s="71" t="s">
        <v>380</v>
      </c>
      <c r="C293" s="66">
        <v>2700</v>
      </c>
      <c r="D293" s="66">
        <v>23643</v>
      </c>
      <c r="E293" s="67">
        <v>10.249402099999999</v>
      </c>
      <c r="F293" s="66">
        <v>1250</v>
      </c>
      <c r="G293" s="66">
        <v>32134</v>
      </c>
      <c r="H293" s="67">
        <v>3.7443086999999999</v>
      </c>
      <c r="I293" s="61"/>
    </row>
    <row r="294" spans="1:9">
      <c r="A294" s="65">
        <v>71002</v>
      </c>
      <c r="B294" s="71" t="s">
        <v>381</v>
      </c>
      <c r="C294" s="66">
        <v>629</v>
      </c>
      <c r="D294" s="66">
        <v>2607</v>
      </c>
      <c r="E294" s="67">
        <v>19.437577300000001</v>
      </c>
      <c r="F294" s="66">
        <v>444</v>
      </c>
      <c r="G294" s="66">
        <v>3914</v>
      </c>
      <c r="H294" s="67">
        <v>10.1881597</v>
      </c>
      <c r="I294" s="61"/>
    </row>
    <row r="295" spans="1:9">
      <c r="A295" s="65">
        <v>71003</v>
      </c>
      <c r="B295" s="71" t="s">
        <v>382</v>
      </c>
      <c r="C295" s="66">
        <v>906</v>
      </c>
      <c r="D295" s="66">
        <v>4421</v>
      </c>
      <c r="E295" s="67">
        <v>17.007696599999999</v>
      </c>
      <c r="F295" s="66">
        <v>420</v>
      </c>
      <c r="G295" s="66">
        <v>5774</v>
      </c>
      <c r="H295" s="67">
        <v>6.7807556</v>
      </c>
      <c r="I295" s="61"/>
    </row>
    <row r="296" spans="1:9">
      <c r="A296" s="65">
        <v>71004</v>
      </c>
      <c r="B296" s="71" t="s">
        <v>383</v>
      </c>
      <c r="C296" s="66">
        <v>570</v>
      </c>
      <c r="D296" s="66">
        <v>2593</v>
      </c>
      <c r="E296" s="67">
        <v>18.020866300000002</v>
      </c>
      <c r="F296" s="66">
        <v>427</v>
      </c>
      <c r="G296" s="66">
        <v>3011</v>
      </c>
      <c r="H296" s="67">
        <v>12.4200116</v>
      </c>
      <c r="I296" s="61"/>
    </row>
    <row r="297" spans="1:9">
      <c r="A297" s="65">
        <v>71005</v>
      </c>
      <c r="B297" s="71" t="s">
        <v>282</v>
      </c>
      <c r="C297" s="66">
        <v>294</v>
      </c>
      <c r="D297" s="66">
        <v>3183</v>
      </c>
      <c r="E297" s="67">
        <v>8.4555650999999994</v>
      </c>
      <c r="F297" s="66">
        <v>289</v>
      </c>
      <c r="G297" s="66">
        <v>3486</v>
      </c>
      <c r="H297" s="67">
        <v>7.6556290999999996</v>
      </c>
      <c r="I297" s="61"/>
    </row>
    <row r="298" spans="1:9">
      <c r="A298" s="65">
        <v>71101</v>
      </c>
      <c r="B298" s="71" t="s">
        <v>385</v>
      </c>
      <c r="C298" s="66">
        <v>704</v>
      </c>
      <c r="D298" s="66">
        <v>3557</v>
      </c>
      <c r="E298" s="67">
        <v>16.521943199999999</v>
      </c>
      <c r="F298" s="66">
        <v>1654</v>
      </c>
      <c r="G298" s="66">
        <v>7753</v>
      </c>
      <c r="H298" s="67">
        <v>17.582651200000001</v>
      </c>
      <c r="I298" s="61"/>
    </row>
    <row r="299" spans="1:9">
      <c r="A299" s="65">
        <v>71102</v>
      </c>
      <c r="B299" s="71" t="s">
        <v>386</v>
      </c>
      <c r="C299" s="66">
        <v>461</v>
      </c>
      <c r="D299" s="66">
        <v>2724</v>
      </c>
      <c r="E299" s="67">
        <v>14.4740973</v>
      </c>
      <c r="F299" s="66">
        <v>309</v>
      </c>
      <c r="G299" s="66">
        <v>3632</v>
      </c>
      <c r="H299" s="67">
        <v>7.8406495999999999</v>
      </c>
      <c r="I299" s="61"/>
    </row>
    <row r="300" spans="1:9">
      <c r="A300" s="65">
        <v>71103</v>
      </c>
      <c r="B300" s="71" t="s">
        <v>389</v>
      </c>
      <c r="C300" s="66">
        <v>335</v>
      </c>
      <c r="D300" s="66">
        <v>1350</v>
      </c>
      <c r="E300" s="67">
        <v>19.881305600000001</v>
      </c>
      <c r="F300" s="66">
        <v>270</v>
      </c>
      <c r="G300" s="66">
        <v>2163</v>
      </c>
      <c r="H300" s="67">
        <v>11.0974106</v>
      </c>
      <c r="I300" s="61"/>
    </row>
    <row r="301" spans="1:9">
      <c r="A301" s="65">
        <v>71104</v>
      </c>
      <c r="B301" s="71" t="s">
        <v>387</v>
      </c>
      <c r="C301" s="66">
        <v>2876</v>
      </c>
      <c r="D301" s="66">
        <v>9891</v>
      </c>
      <c r="E301" s="67">
        <v>22.526827000000001</v>
      </c>
      <c r="F301" s="66">
        <v>1872</v>
      </c>
      <c r="G301" s="66">
        <v>12576</v>
      </c>
      <c r="H301" s="67">
        <v>12.956810600000001</v>
      </c>
      <c r="I301" s="61"/>
    </row>
    <row r="302" spans="1:9">
      <c r="A302" s="65">
        <v>71105</v>
      </c>
      <c r="B302" s="71" t="s">
        <v>388</v>
      </c>
      <c r="C302" s="66">
        <v>185</v>
      </c>
      <c r="D302" s="66">
        <v>961</v>
      </c>
      <c r="E302" s="67">
        <v>16.143106499999998</v>
      </c>
      <c r="F302" s="66">
        <v>112</v>
      </c>
      <c r="G302" s="66">
        <v>1363</v>
      </c>
      <c r="H302" s="67">
        <v>7.5932202999999996</v>
      </c>
      <c r="I302" s="61"/>
    </row>
    <row r="303" spans="1:9">
      <c r="A303" s="65">
        <v>71106</v>
      </c>
      <c r="B303" s="71" t="s">
        <v>390</v>
      </c>
      <c r="C303" s="66">
        <v>807</v>
      </c>
      <c r="D303" s="66">
        <v>4251</v>
      </c>
      <c r="E303" s="67">
        <v>15.9549229</v>
      </c>
      <c r="F303" s="66">
        <v>490</v>
      </c>
      <c r="G303" s="66">
        <v>6061</v>
      </c>
      <c r="H303" s="67">
        <v>7.4797741000000002</v>
      </c>
      <c r="I303" s="61"/>
    </row>
    <row r="304" spans="1:9">
      <c r="A304" s="65">
        <v>71201</v>
      </c>
      <c r="B304" s="71" t="s">
        <v>392</v>
      </c>
      <c r="C304" s="66">
        <v>417</v>
      </c>
      <c r="D304" s="66">
        <v>2798</v>
      </c>
      <c r="E304" s="67">
        <v>12.970451000000001</v>
      </c>
      <c r="F304" s="66">
        <v>313</v>
      </c>
      <c r="G304" s="66">
        <v>3832</v>
      </c>
      <c r="H304" s="67">
        <v>7.5512665999999999</v>
      </c>
      <c r="I304" s="61"/>
    </row>
    <row r="305" spans="1:9">
      <c r="A305" s="65">
        <v>71301</v>
      </c>
      <c r="B305" s="71" t="s">
        <v>394</v>
      </c>
      <c r="C305" s="66">
        <v>1506</v>
      </c>
      <c r="D305" s="66">
        <v>3133</v>
      </c>
      <c r="E305" s="67">
        <v>32.4638931</v>
      </c>
      <c r="F305" s="66">
        <v>1417</v>
      </c>
      <c r="G305" s="66">
        <v>4337</v>
      </c>
      <c r="H305" s="67">
        <v>24.626346900000001</v>
      </c>
      <c r="I305" s="61"/>
    </row>
    <row r="306" spans="1:9">
      <c r="A306" s="65">
        <v>71302</v>
      </c>
      <c r="B306" s="71" t="s">
        <v>395</v>
      </c>
      <c r="C306" s="66">
        <v>638</v>
      </c>
      <c r="D306" s="66">
        <v>1145</v>
      </c>
      <c r="E306" s="67">
        <v>35.782389199999997</v>
      </c>
      <c r="F306" s="66">
        <v>328</v>
      </c>
      <c r="G306" s="66">
        <v>1661</v>
      </c>
      <c r="H306" s="67">
        <v>16.490698800000001</v>
      </c>
      <c r="I306" s="61"/>
    </row>
    <row r="307" spans="1:9">
      <c r="A307" s="65">
        <v>71401</v>
      </c>
      <c r="B307" s="71" t="s">
        <v>397</v>
      </c>
      <c r="C307" s="66">
        <v>539</v>
      </c>
      <c r="D307" s="66">
        <v>4015</v>
      </c>
      <c r="E307" s="67">
        <v>11.835748799999999</v>
      </c>
      <c r="F307" s="66">
        <v>338</v>
      </c>
      <c r="G307" s="66">
        <v>4521</v>
      </c>
      <c r="H307" s="67">
        <v>6.9561637999999997</v>
      </c>
      <c r="I307" s="61"/>
    </row>
    <row r="308" spans="1:9">
      <c r="A308" s="65">
        <v>71402</v>
      </c>
      <c r="B308" s="71" t="s">
        <v>398</v>
      </c>
      <c r="C308" s="66">
        <v>298</v>
      </c>
      <c r="D308" s="66">
        <v>3583</v>
      </c>
      <c r="E308" s="67">
        <v>7.6784334000000003</v>
      </c>
      <c r="F308" s="66">
        <v>152</v>
      </c>
      <c r="G308" s="66">
        <v>4802</v>
      </c>
      <c r="H308" s="67">
        <v>3.0682277</v>
      </c>
      <c r="I308" s="61"/>
    </row>
    <row r="309" spans="1:9">
      <c r="A309" s="65">
        <v>71403</v>
      </c>
      <c r="B309" s="71" t="s">
        <v>399</v>
      </c>
      <c r="C309" s="66">
        <v>249</v>
      </c>
      <c r="D309" s="66">
        <v>1243</v>
      </c>
      <c r="E309" s="67">
        <v>16.689008000000001</v>
      </c>
      <c r="F309" s="66">
        <v>419</v>
      </c>
      <c r="G309" s="66">
        <v>2014</v>
      </c>
      <c r="H309" s="67">
        <v>17.2215372</v>
      </c>
      <c r="I309" s="61"/>
    </row>
    <row r="310" spans="1:9">
      <c r="A310" s="65">
        <v>71501</v>
      </c>
      <c r="B310" s="71" t="s">
        <v>401</v>
      </c>
      <c r="C310" s="66">
        <v>822</v>
      </c>
      <c r="D310" s="66">
        <v>4699</v>
      </c>
      <c r="E310" s="67">
        <v>14.8886071</v>
      </c>
      <c r="F310" s="66">
        <v>2084</v>
      </c>
      <c r="G310" s="66">
        <v>8719</v>
      </c>
      <c r="H310" s="67">
        <v>19.290937700000001</v>
      </c>
      <c r="I310" s="61"/>
    </row>
    <row r="311" spans="1:9">
      <c r="A311" s="65">
        <v>71502</v>
      </c>
      <c r="B311" s="71" t="s">
        <v>402</v>
      </c>
      <c r="C311" s="66">
        <v>117</v>
      </c>
      <c r="D311" s="66">
        <v>1065</v>
      </c>
      <c r="E311" s="67">
        <v>9.8984772000000003</v>
      </c>
      <c r="F311" s="66">
        <v>211</v>
      </c>
      <c r="G311" s="66">
        <v>1429</v>
      </c>
      <c r="H311" s="67">
        <v>12.865853700000001</v>
      </c>
      <c r="I311" s="61"/>
    </row>
    <row r="312" spans="1:9">
      <c r="A312" s="65">
        <v>71503</v>
      </c>
      <c r="B312" s="71" t="s">
        <v>332</v>
      </c>
      <c r="C312" s="66">
        <v>1757</v>
      </c>
      <c r="D312" s="66">
        <v>2704</v>
      </c>
      <c r="E312" s="67">
        <v>39.385787899999997</v>
      </c>
      <c r="F312" s="66">
        <v>1719</v>
      </c>
      <c r="G312" s="66">
        <v>4735</v>
      </c>
      <c r="H312" s="67">
        <v>26.634645200000001</v>
      </c>
      <c r="I312" s="61"/>
    </row>
    <row r="313" spans="1:9">
      <c r="A313" s="65">
        <v>80101</v>
      </c>
      <c r="B313" s="71" t="s">
        <v>404</v>
      </c>
      <c r="C313" s="66">
        <v>2261</v>
      </c>
      <c r="D313" s="66">
        <v>22463</v>
      </c>
      <c r="E313" s="67">
        <v>9.1449604000000004</v>
      </c>
      <c r="F313" s="66">
        <v>1363</v>
      </c>
      <c r="G313" s="66">
        <v>31082</v>
      </c>
      <c r="H313" s="67">
        <v>4.2009555000000001</v>
      </c>
      <c r="I313" s="61"/>
    </row>
    <row r="314" spans="1:9">
      <c r="A314" s="65">
        <v>80102</v>
      </c>
      <c r="B314" s="71" t="s">
        <v>386</v>
      </c>
      <c r="C314" s="66">
        <v>187</v>
      </c>
      <c r="D314" s="66">
        <v>1043</v>
      </c>
      <c r="E314" s="67">
        <v>15.203252000000001</v>
      </c>
      <c r="F314" s="66">
        <v>334</v>
      </c>
      <c r="G314" s="66">
        <v>1737</v>
      </c>
      <c r="H314" s="67">
        <v>16.127474599999999</v>
      </c>
      <c r="I314" s="61"/>
    </row>
    <row r="315" spans="1:9">
      <c r="A315" s="65">
        <v>80201</v>
      </c>
      <c r="B315" s="71" t="s">
        <v>406</v>
      </c>
      <c r="C315" s="66">
        <v>1545</v>
      </c>
      <c r="D315" s="66">
        <v>18043</v>
      </c>
      <c r="E315" s="67">
        <v>7.8874820999999997</v>
      </c>
      <c r="F315" s="66">
        <v>1209</v>
      </c>
      <c r="G315" s="66">
        <v>26233</v>
      </c>
      <c r="H315" s="67">
        <v>4.4056556000000002</v>
      </c>
      <c r="I315" s="61"/>
    </row>
    <row r="316" spans="1:9">
      <c r="A316" s="65">
        <v>80202</v>
      </c>
      <c r="B316" s="71" t="s">
        <v>407</v>
      </c>
      <c r="C316" s="66">
        <v>632</v>
      </c>
      <c r="D316" s="66">
        <v>8629</v>
      </c>
      <c r="E316" s="67">
        <v>6.8243169999999997</v>
      </c>
      <c r="F316" s="66">
        <v>517</v>
      </c>
      <c r="G316" s="66">
        <v>10374</v>
      </c>
      <c r="H316" s="67">
        <v>4.7470388000000003</v>
      </c>
      <c r="I316" s="61"/>
    </row>
    <row r="317" spans="1:9">
      <c r="A317" s="65">
        <v>80301</v>
      </c>
      <c r="B317" s="71" t="s">
        <v>409</v>
      </c>
      <c r="C317" s="66">
        <v>465</v>
      </c>
      <c r="D317" s="66">
        <v>2497</v>
      </c>
      <c r="E317" s="67">
        <v>15.6988521</v>
      </c>
      <c r="F317" s="66">
        <v>241</v>
      </c>
      <c r="G317" s="66">
        <v>3176</v>
      </c>
      <c r="H317" s="67">
        <v>7.0529704000000004</v>
      </c>
      <c r="I317" s="61"/>
    </row>
    <row r="318" spans="1:9">
      <c r="A318" s="65">
        <v>80302</v>
      </c>
      <c r="B318" s="71" t="s">
        <v>410</v>
      </c>
      <c r="C318" s="66">
        <v>3556</v>
      </c>
      <c r="D318" s="66">
        <v>5856</v>
      </c>
      <c r="E318" s="67">
        <v>37.781555500000003</v>
      </c>
      <c r="F318" s="66">
        <v>3570</v>
      </c>
      <c r="G318" s="66">
        <v>9481</v>
      </c>
      <c r="H318" s="67">
        <v>27.354225700000001</v>
      </c>
      <c r="I318" s="61"/>
    </row>
    <row r="319" spans="1:9">
      <c r="A319" s="65">
        <v>80303</v>
      </c>
      <c r="B319" s="71" t="s">
        <v>358</v>
      </c>
      <c r="C319" s="66">
        <v>144</v>
      </c>
      <c r="D319" s="66">
        <v>1832</v>
      </c>
      <c r="E319" s="67">
        <v>7.2874493999999999</v>
      </c>
      <c r="F319" s="66">
        <v>119</v>
      </c>
      <c r="G319" s="66">
        <v>2636</v>
      </c>
      <c r="H319" s="67">
        <v>4.3194191999999996</v>
      </c>
      <c r="I319" s="61"/>
    </row>
    <row r="320" spans="1:9">
      <c r="A320" s="65">
        <v>80304</v>
      </c>
      <c r="B320" s="71" t="s">
        <v>411</v>
      </c>
      <c r="C320" s="66">
        <v>1214</v>
      </c>
      <c r="D320" s="66">
        <v>3643</v>
      </c>
      <c r="E320" s="67">
        <v>24.9948528</v>
      </c>
      <c r="F320" s="66">
        <v>1374</v>
      </c>
      <c r="G320" s="66">
        <v>5501</v>
      </c>
      <c r="H320" s="67">
        <v>19.985454499999999</v>
      </c>
      <c r="I320" s="61"/>
    </row>
    <row r="321" spans="1:9">
      <c r="A321" s="65">
        <v>80401</v>
      </c>
      <c r="B321" s="71" t="s">
        <v>413</v>
      </c>
      <c r="C321" s="66">
        <v>414</v>
      </c>
      <c r="D321" s="66">
        <v>3016</v>
      </c>
      <c r="E321" s="67">
        <v>12.0699708</v>
      </c>
      <c r="F321" s="66">
        <v>402</v>
      </c>
      <c r="G321" s="66">
        <v>3893</v>
      </c>
      <c r="H321" s="67">
        <v>9.3597205999999993</v>
      </c>
      <c r="I321" s="61"/>
    </row>
    <row r="322" spans="1:9">
      <c r="A322" s="65">
        <v>80402</v>
      </c>
      <c r="B322" s="71" t="s">
        <v>414</v>
      </c>
      <c r="C322" s="66">
        <v>170</v>
      </c>
      <c r="D322" s="66">
        <v>768</v>
      </c>
      <c r="E322" s="67">
        <v>18.123667399999999</v>
      </c>
      <c r="F322" s="66">
        <v>122</v>
      </c>
      <c r="G322" s="66">
        <v>1333</v>
      </c>
      <c r="H322" s="67">
        <v>8.3848797000000008</v>
      </c>
      <c r="I322" s="61"/>
    </row>
    <row r="323" spans="1:9">
      <c r="A323" s="65">
        <v>80501</v>
      </c>
      <c r="B323" s="71" t="s">
        <v>344</v>
      </c>
      <c r="C323" s="66">
        <v>862</v>
      </c>
      <c r="D323" s="66">
        <v>3143</v>
      </c>
      <c r="E323" s="67">
        <v>21.5230961</v>
      </c>
      <c r="F323" s="66">
        <v>685</v>
      </c>
      <c r="G323" s="66">
        <v>4706</v>
      </c>
      <c r="H323" s="67">
        <v>12.706362499999999</v>
      </c>
      <c r="I323" s="61"/>
    </row>
    <row r="324" spans="1:9">
      <c r="A324" s="65">
        <v>80601</v>
      </c>
      <c r="B324" s="71" t="s">
        <v>417</v>
      </c>
      <c r="C324" s="66">
        <v>143</v>
      </c>
      <c r="D324" s="66">
        <v>721</v>
      </c>
      <c r="E324" s="67">
        <v>16.550925899999999</v>
      </c>
      <c r="F324" s="66">
        <v>128</v>
      </c>
      <c r="G324" s="66">
        <v>925</v>
      </c>
      <c r="H324" s="67">
        <v>12.1557455</v>
      </c>
      <c r="I324" s="61"/>
    </row>
    <row r="325" spans="1:9">
      <c r="A325" s="65">
        <v>80602</v>
      </c>
      <c r="B325" s="71" t="s">
        <v>418</v>
      </c>
      <c r="C325" s="66">
        <v>686</v>
      </c>
      <c r="D325" s="66">
        <v>2310</v>
      </c>
      <c r="E325" s="67">
        <v>22.897196300000001</v>
      </c>
      <c r="F325" s="66">
        <v>1517</v>
      </c>
      <c r="G325" s="66">
        <v>3753</v>
      </c>
      <c r="H325" s="67">
        <v>28.785578699999999</v>
      </c>
      <c r="I325" s="61"/>
    </row>
    <row r="326" spans="1:9">
      <c r="A326" s="65">
        <v>80701</v>
      </c>
      <c r="B326" s="71" t="s">
        <v>420</v>
      </c>
      <c r="C326" s="66">
        <v>71</v>
      </c>
      <c r="D326" s="66">
        <v>1183</v>
      </c>
      <c r="E326" s="67">
        <v>5.6618820000000003</v>
      </c>
      <c r="F326" s="66">
        <v>53</v>
      </c>
      <c r="G326" s="66">
        <v>1432</v>
      </c>
      <c r="H326" s="67">
        <v>3.5690236</v>
      </c>
      <c r="I326" s="61"/>
    </row>
    <row r="327" spans="1:9">
      <c r="A327" s="65">
        <v>80702</v>
      </c>
      <c r="B327" s="71" t="s">
        <v>389</v>
      </c>
      <c r="C327" s="66">
        <v>92</v>
      </c>
      <c r="D327" s="66">
        <v>1068</v>
      </c>
      <c r="E327" s="67">
        <v>7.9310345</v>
      </c>
      <c r="F327" s="66">
        <v>261</v>
      </c>
      <c r="G327" s="66">
        <v>1243</v>
      </c>
      <c r="H327" s="67">
        <v>17.3537234</v>
      </c>
      <c r="I327" s="61"/>
    </row>
    <row r="328" spans="1:9">
      <c r="A328" s="65">
        <v>80703</v>
      </c>
      <c r="B328" s="71" t="s">
        <v>421</v>
      </c>
      <c r="C328" s="66">
        <v>26</v>
      </c>
      <c r="D328" s="66">
        <v>169</v>
      </c>
      <c r="E328" s="67">
        <v>13.3333333</v>
      </c>
      <c r="F328" s="66">
        <v>32</v>
      </c>
      <c r="G328" s="66">
        <v>273</v>
      </c>
      <c r="H328" s="67">
        <v>10.491803300000001</v>
      </c>
      <c r="I328" s="61"/>
    </row>
    <row r="329" spans="1:9">
      <c r="A329" s="65">
        <v>80801</v>
      </c>
      <c r="B329" s="71" t="s">
        <v>423</v>
      </c>
      <c r="C329" s="66">
        <v>142</v>
      </c>
      <c r="D329" s="66">
        <v>2090</v>
      </c>
      <c r="E329" s="67">
        <v>6.3620071999999999</v>
      </c>
      <c r="F329" s="66">
        <v>130</v>
      </c>
      <c r="G329" s="66">
        <v>2829</v>
      </c>
      <c r="H329" s="67">
        <v>4.3933761000000002</v>
      </c>
      <c r="I329" s="61"/>
    </row>
    <row r="330" spans="1:9">
      <c r="A330" s="65">
        <v>80802</v>
      </c>
      <c r="B330" s="71" t="s">
        <v>424</v>
      </c>
      <c r="C330" s="66">
        <v>226</v>
      </c>
      <c r="D330" s="66">
        <v>1130</v>
      </c>
      <c r="E330" s="67">
        <v>16.6666667</v>
      </c>
      <c r="F330" s="66">
        <v>300</v>
      </c>
      <c r="G330" s="66">
        <v>1764</v>
      </c>
      <c r="H330" s="67">
        <v>14.5348837</v>
      </c>
      <c r="I330" s="61"/>
    </row>
    <row r="331" spans="1:9">
      <c r="A331" s="65">
        <v>80803</v>
      </c>
      <c r="B331" s="71" t="s">
        <v>425</v>
      </c>
      <c r="C331" s="66">
        <v>120</v>
      </c>
      <c r="D331" s="66">
        <v>699</v>
      </c>
      <c r="E331" s="67">
        <v>14.652014700000001</v>
      </c>
      <c r="F331" s="66">
        <v>46</v>
      </c>
      <c r="G331" s="66">
        <v>972</v>
      </c>
      <c r="H331" s="67">
        <v>4.5186640000000002</v>
      </c>
      <c r="I331" s="61"/>
    </row>
    <row r="332" spans="1:9">
      <c r="A332" s="65">
        <v>80901</v>
      </c>
      <c r="B332" s="71" t="s">
        <v>427</v>
      </c>
      <c r="C332" s="66">
        <v>182</v>
      </c>
      <c r="D332" s="66">
        <v>449</v>
      </c>
      <c r="E332" s="67">
        <v>28.843106200000001</v>
      </c>
      <c r="F332" s="66">
        <v>285</v>
      </c>
      <c r="G332" s="66">
        <v>637</v>
      </c>
      <c r="H332" s="67">
        <v>30.911062900000001</v>
      </c>
      <c r="I332" s="61"/>
    </row>
    <row r="333" spans="1:9">
      <c r="A333" s="65">
        <v>90101</v>
      </c>
      <c r="B333" s="71" t="s">
        <v>430</v>
      </c>
      <c r="C333" s="66">
        <v>1099</v>
      </c>
      <c r="D333" s="66">
        <v>11205</v>
      </c>
      <c r="E333" s="67">
        <v>8.9320546000000007</v>
      </c>
      <c r="F333" s="66">
        <v>485</v>
      </c>
      <c r="G333" s="66">
        <v>15079</v>
      </c>
      <c r="H333" s="67">
        <v>3.1161655000000001</v>
      </c>
      <c r="I333" s="61"/>
    </row>
    <row r="334" spans="1:9">
      <c r="A334" s="65">
        <v>90102</v>
      </c>
      <c r="B334" s="71" t="s">
        <v>431</v>
      </c>
      <c r="C334" s="66">
        <v>133</v>
      </c>
      <c r="D334" s="66">
        <v>1522</v>
      </c>
      <c r="E334" s="67">
        <v>8.0362538000000008</v>
      </c>
      <c r="F334" s="66">
        <v>134</v>
      </c>
      <c r="G334" s="66">
        <v>2096</v>
      </c>
      <c r="H334" s="67">
        <v>6.0089686000000002</v>
      </c>
      <c r="I334" s="61"/>
    </row>
    <row r="335" spans="1:9">
      <c r="A335" s="65">
        <v>90103</v>
      </c>
      <c r="B335" s="71" t="s">
        <v>432</v>
      </c>
      <c r="C335" s="66">
        <v>164</v>
      </c>
      <c r="D335" s="66">
        <v>381</v>
      </c>
      <c r="E335" s="67">
        <v>30.091743099999999</v>
      </c>
      <c r="F335" s="66">
        <v>122</v>
      </c>
      <c r="G335" s="66">
        <v>680</v>
      </c>
      <c r="H335" s="67">
        <v>15.2119701</v>
      </c>
      <c r="I335" s="61"/>
    </row>
    <row r="336" spans="1:9">
      <c r="A336" s="65">
        <v>90104</v>
      </c>
      <c r="B336" s="71" t="s">
        <v>433</v>
      </c>
      <c r="C336" s="66">
        <v>268</v>
      </c>
      <c r="D336" s="66">
        <v>676</v>
      </c>
      <c r="E336" s="67">
        <v>28.389830499999999</v>
      </c>
      <c r="F336" s="66">
        <v>171</v>
      </c>
      <c r="G336" s="66">
        <v>1064</v>
      </c>
      <c r="H336" s="67">
        <v>13.8461538</v>
      </c>
      <c r="I336" s="61"/>
    </row>
    <row r="337" spans="1:9">
      <c r="A337" s="65">
        <v>90201</v>
      </c>
      <c r="B337" s="71" t="s">
        <v>435</v>
      </c>
      <c r="C337" s="66">
        <v>164</v>
      </c>
      <c r="D337" s="66">
        <v>1218</v>
      </c>
      <c r="E337" s="67">
        <v>11.8668596</v>
      </c>
      <c r="F337" s="66">
        <v>81</v>
      </c>
      <c r="G337" s="66">
        <v>1908</v>
      </c>
      <c r="H337" s="67">
        <v>4.0723982000000003</v>
      </c>
      <c r="I337" s="61"/>
    </row>
    <row r="338" spans="1:9">
      <c r="A338" s="65">
        <v>90202</v>
      </c>
      <c r="B338" s="71" t="s">
        <v>282</v>
      </c>
      <c r="C338" s="66">
        <v>227</v>
      </c>
      <c r="D338" s="66">
        <v>384</v>
      </c>
      <c r="E338" s="67">
        <v>37.152209499999998</v>
      </c>
      <c r="F338" s="66">
        <v>45</v>
      </c>
      <c r="G338" s="66">
        <v>567</v>
      </c>
      <c r="H338" s="67">
        <v>7.3529412000000001</v>
      </c>
      <c r="I338" s="61"/>
    </row>
    <row r="339" spans="1:9">
      <c r="A339" s="65">
        <v>90203</v>
      </c>
      <c r="B339" s="71" t="s">
        <v>436</v>
      </c>
      <c r="C339" s="66">
        <v>294</v>
      </c>
      <c r="D339" s="66">
        <v>1133</v>
      </c>
      <c r="E339" s="67">
        <v>20.602662899999999</v>
      </c>
      <c r="F339" s="66">
        <v>256</v>
      </c>
      <c r="G339" s="66">
        <v>2258</v>
      </c>
      <c r="H339" s="67">
        <v>10.182975300000001</v>
      </c>
      <c r="I339" s="61"/>
    </row>
    <row r="340" spans="1:9">
      <c r="A340" s="65">
        <v>90301</v>
      </c>
      <c r="B340" s="71" t="s">
        <v>438</v>
      </c>
      <c r="C340" s="66">
        <v>157</v>
      </c>
      <c r="D340" s="66">
        <v>869</v>
      </c>
      <c r="E340" s="67">
        <v>15.302144200000001</v>
      </c>
      <c r="F340" s="66">
        <v>288</v>
      </c>
      <c r="G340" s="66">
        <v>1677</v>
      </c>
      <c r="H340" s="67">
        <v>14.6564885</v>
      </c>
      <c r="I340" s="61"/>
    </row>
    <row r="341" spans="1:9">
      <c r="A341" s="65">
        <v>90302</v>
      </c>
      <c r="B341" s="71" t="s">
        <v>331</v>
      </c>
      <c r="C341" s="66">
        <v>286</v>
      </c>
      <c r="D341" s="66">
        <v>1056</v>
      </c>
      <c r="E341" s="67">
        <v>21.311475399999999</v>
      </c>
      <c r="F341" s="66">
        <v>108</v>
      </c>
      <c r="G341" s="66">
        <v>1742</v>
      </c>
      <c r="H341" s="67">
        <v>5.8378378</v>
      </c>
      <c r="I341" s="61"/>
    </row>
    <row r="342" spans="1:9">
      <c r="A342" s="65">
        <v>90303</v>
      </c>
      <c r="B342" s="71" t="s">
        <v>439</v>
      </c>
      <c r="C342" s="66">
        <v>648</v>
      </c>
      <c r="D342" s="66">
        <v>1005</v>
      </c>
      <c r="E342" s="67">
        <v>39.201451900000002</v>
      </c>
      <c r="F342" s="66">
        <v>215</v>
      </c>
      <c r="G342" s="66">
        <v>2660</v>
      </c>
      <c r="H342" s="67">
        <v>7.4782609000000004</v>
      </c>
      <c r="I342" s="61"/>
    </row>
    <row r="343" spans="1:9">
      <c r="A343" s="65">
        <v>90401</v>
      </c>
      <c r="B343" s="71" t="s">
        <v>358</v>
      </c>
      <c r="C343" s="66">
        <v>147</v>
      </c>
      <c r="D343" s="66">
        <v>464</v>
      </c>
      <c r="E343" s="67">
        <v>24.058919800000002</v>
      </c>
      <c r="F343" s="66">
        <v>74</v>
      </c>
      <c r="G343" s="66">
        <v>786</v>
      </c>
      <c r="H343" s="67">
        <v>8.6046511999999993</v>
      </c>
      <c r="I343" s="61"/>
    </row>
    <row r="344" spans="1:9">
      <c r="A344" s="65">
        <v>90402</v>
      </c>
      <c r="B344" s="71" t="s">
        <v>101</v>
      </c>
      <c r="C344" s="66">
        <v>73</v>
      </c>
      <c r="D344" s="66">
        <v>271</v>
      </c>
      <c r="E344" s="67">
        <v>21.220930200000002</v>
      </c>
      <c r="F344" s="66">
        <v>75</v>
      </c>
      <c r="G344" s="66">
        <v>574</v>
      </c>
      <c r="H344" s="67">
        <v>11.5562404</v>
      </c>
      <c r="I344" s="61"/>
    </row>
    <row r="345" spans="1:9">
      <c r="A345" s="65">
        <v>90501</v>
      </c>
      <c r="B345" s="71" t="s">
        <v>442</v>
      </c>
      <c r="C345" s="66">
        <v>145</v>
      </c>
      <c r="D345" s="66">
        <v>321</v>
      </c>
      <c r="E345" s="67">
        <v>31.115879799999998</v>
      </c>
      <c r="F345" s="66">
        <v>38</v>
      </c>
      <c r="G345" s="66">
        <v>451</v>
      </c>
      <c r="H345" s="67">
        <v>7.7709611000000001</v>
      </c>
      <c r="I345" s="61"/>
    </row>
    <row r="346" spans="1:9">
      <c r="A346" s="65">
        <v>90502</v>
      </c>
      <c r="B346" s="71" t="s">
        <v>443</v>
      </c>
      <c r="C346" s="66">
        <v>140</v>
      </c>
      <c r="D346" s="66">
        <v>449</v>
      </c>
      <c r="E346" s="67">
        <v>23.7691002</v>
      </c>
      <c r="F346" s="66">
        <v>31</v>
      </c>
      <c r="G346" s="66">
        <v>677</v>
      </c>
      <c r="H346" s="67">
        <v>4.3785311</v>
      </c>
      <c r="I346" s="61"/>
    </row>
    <row r="347" spans="1:9">
      <c r="A347" s="65">
        <v>90503</v>
      </c>
      <c r="B347" s="71" t="s">
        <v>444</v>
      </c>
      <c r="C347" s="66">
        <v>100</v>
      </c>
      <c r="D347" s="66">
        <v>366</v>
      </c>
      <c r="E347" s="67">
        <v>21.459227500000001</v>
      </c>
      <c r="F347" s="66">
        <v>36</v>
      </c>
      <c r="G347" s="66">
        <v>565</v>
      </c>
      <c r="H347" s="67">
        <v>5.9900165999999997</v>
      </c>
      <c r="I347" s="61"/>
    </row>
    <row r="348" spans="1:9">
      <c r="I348" s="61"/>
    </row>
    <row r="349" spans="1:9">
      <c r="D349" s="72" t="s">
        <v>518</v>
      </c>
      <c r="E349" s="73">
        <f>+AVERAGE(E5:E347)</f>
        <v>52.471548099708507</v>
      </c>
      <c r="F349" s="73">
        <f>+E349+E350</f>
        <v>79.867701262761329</v>
      </c>
      <c r="H349" s="73"/>
      <c r="I349" s="73"/>
    </row>
    <row r="350" spans="1:9">
      <c r="D350" s="72" t="s">
        <v>519</v>
      </c>
      <c r="E350" s="73">
        <f>+STDEVA(E5:E347)</f>
        <v>27.396153163052816</v>
      </c>
      <c r="F350" s="73">
        <f>+E349-E350</f>
        <v>25.075394936655691</v>
      </c>
      <c r="H350" s="73"/>
      <c r="I350" s="73"/>
    </row>
    <row r="351" spans="1:9">
      <c r="D351" s="72" t="s">
        <v>520</v>
      </c>
      <c r="E351" s="73">
        <f>+MIN(E5:E347)</f>
        <v>3.4127638</v>
      </c>
      <c r="H351" s="73"/>
      <c r="I351" s="61"/>
    </row>
    <row r="352" spans="1:9">
      <c r="D352" s="72" t="s">
        <v>521</v>
      </c>
      <c r="E352" s="73">
        <f>+MAX(E5:E347)</f>
        <v>98.816568000000004</v>
      </c>
      <c r="H352" s="73"/>
      <c r="I352" s="61"/>
    </row>
    <row r="353" spans="4:9">
      <c r="D353" s="72" t="s">
        <v>522</v>
      </c>
      <c r="E353" s="74">
        <v>343</v>
      </c>
      <c r="H353" s="74"/>
      <c r="I353" s="61"/>
    </row>
    <row r="354" spans="4:9">
      <c r="I354" s="61"/>
    </row>
    <row r="355" spans="4:9">
      <c r="I355" s="61"/>
    </row>
    <row r="356" spans="4:9">
      <c r="I356" s="61"/>
    </row>
    <row r="357" spans="4:9">
      <c r="I357" s="61"/>
    </row>
    <row r="358" spans="4:9">
      <c r="I358" s="61"/>
    </row>
    <row r="359" spans="4:9">
      <c r="I359" s="61"/>
    </row>
    <row r="360" spans="4:9">
      <c r="I360" s="61"/>
    </row>
    <row r="361" spans="4:9">
      <c r="I361" s="61"/>
    </row>
    <row r="362" spans="4:9">
      <c r="I362" s="61"/>
    </row>
    <row r="363" spans="4:9">
      <c r="I363" s="61"/>
    </row>
    <row r="364" spans="4:9">
      <c r="I364" s="61"/>
    </row>
    <row r="365" spans="4:9">
      <c r="I365" s="61"/>
    </row>
    <row r="366" spans="4:9">
      <c r="I366" s="61"/>
    </row>
    <row r="367" spans="4:9">
      <c r="I367" s="61"/>
    </row>
    <row r="368" spans="4:9">
      <c r="I368" s="61"/>
    </row>
    <row r="369" spans="9:9">
      <c r="I369" s="61"/>
    </row>
    <row r="370" spans="9:9">
      <c r="I370" s="61"/>
    </row>
    <row r="371" spans="9:9">
      <c r="I371" s="61"/>
    </row>
    <row r="372" spans="9:9">
      <c r="I372" s="61"/>
    </row>
    <row r="373" spans="9:9">
      <c r="I373" s="61"/>
    </row>
    <row r="374" spans="9:9">
      <c r="I374" s="61"/>
    </row>
    <row r="375" spans="9:9">
      <c r="I375" s="61"/>
    </row>
    <row r="376" spans="9:9">
      <c r="I376" s="61"/>
    </row>
    <row r="377" spans="9:9">
      <c r="I377" s="61"/>
    </row>
    <row r="378" spans="9:9">
      <c r="I378" s="61"/>
    </row>
    <row r="379" spans="9:9">
      <c r="I379" s="61"/>
    </row>
    <row r="380" spans="9:9">
      <c r="I380" s="61"/>
    </row>
    <row r="381" spans="9:9">
      <c r="I381" s="61"/>
    </row>
    <row r="382" spans="9:9">
      <c r="I382" s="61"/>
    </row>
    <row r="383" spans="9:9">
      <c r="I383" s="61"/>
    </row>
    <row r="384" spans="9:9">
      <c r="I384" s="61"/>
    </row>
    <row r="385" spans="9:9">
      <c r="I385" s="61"/>
    </row>
    <row r="386" spans="9:9">
      <c r="I386" s="61"/>
    </row>
    <row r="387" spans="9:9">
      <c r="I387" s="61"/>
    </row>
    <row r="388" spans="9:9">
      <c r="I388" s="61"/>
    </row>
    <row r="389" spans="9:9">
      <c r="I389" s="61"/>
    </row>
    <row r="390" spans="9:9">
      <c r="I390" s="61"/>
    </row>
    <row r="391" spans="9:9">
      <c r="I391" s="61"/>
    </row>
    <row r="392" spans="9:9">
      <c r="I392" s="61"/>
    </row>
    <row r="393" spans="9:9">
      <c r="I393" s="61"/>
    </row>
    <row r="394" spans="9:9">
      <c r="I394" s="61"/>
    </row>
    <row r="395" spans="9:9">
      <c r="I395" s="61"/>
    </row>
    <row r="396" spans="9:9">
      <c r="I396" s="61"/>
    </row>
    <row r="397" spans="9:9">
      <c r="I397" s="61"/>
    </row>
    <row r="398" spans="9:9">
      <c r="I398" s="61"/>
    </row>
    <row r="399" spans="9:9">
      <c r="I399" s="61"/>
    </row>
    <row r="400" spans="9:9">
      <c r="I400" s="61"/>
    </row>
    <row r="401" spans="9:9">
      <c r="I401" s="61"/>
    </row>
    <row r="402" spans="9:9">
      <c r="I402" s="61"/>
    </row>
    <row r="403" spans="9:9">
      <c r="I403" s="61"/>
    </row>
    <row r="404" spans="9:9">
      <c r="I404" s="61"/>
    </row>
    <row r="405" spans="9:9">
      <c r="I405" s="61"/>
    </row>
    <row r="406" spans="9:9">
      <c r="I406" s="61"/>
    </row>
    <row r="407" spans="9:9">
      <c r="I407" s="61"/>
    </row>
    <row r="408" spans="9:9">
      <c r="I408" s="61"/>
    </row>
    <row r="409" spans="9:9">
      <c r="I409" s="61"/>
    </row>
    <row r="410" spans="9:9">
      <c r="I410" s="61"/>
    </row>
    <row r="411" spans="9:9">
      <c r="I411" s="61"/>
    </row>
    <row r="412" spans="9:9">
      <c r="I412" s="61"/>
    </row>
    <row r="413" spans="9:9">
      <c r="I413" s="61"/>
    </row>
    <row r="414" spans="9:9">
      <c r="I414" s="61"/>
    </row>
    <row r="415" spans="9:9">
      <c r="I415" s="61"/>
    </row>
    <row r="416" spans="9:9">
      <c r="I416" s="61"/>
    </row>
    <row r="417" spans="9:9">
      <c r="I417" s="61"/>
    </row>
    <row r="418" spans="9:9">
      <c r="I418" s="61"/>
    </row>
    <row r="419" spans="9:9">
      <c r="I419" s="61"/>
    </row>
    <row r="420" spans="9:9">
      <c r="I420" s="61"/>
    </row>
    <row r="421" spans="9:9">
      <c r="I421" s="61"/>
    </row>
    <row r="422" spans="9:9">
      <c r="I422" s="61"/>
    </row>
    <row r="423" spans="9:9">
      <c r="I423" s="61"/>
    </row>
    <row r="424" spans="9:9">
      <c r="I424" s="61"/>
    </row>
    <row r="425" spans="9:9">
      <c r="I425" s="61"/>
    </row>
    <row r="426" spans="9:9">
      <c r="I426" s="61"/>
    </row>
    <row r="427" spans="9:9">
      <c r="I427" s="61"/>
    </row>
    <row r="428" spans="9:9">
      <c r="I428" s="61"/>
    </row>
    <row r="429" spans="9:9">
      <c r="I429" s="61"/>
    </row>
    <row r="430" spans="9:9">
      <c r="I430" s="61"/>
    </row>
    <row r="431" spans="9:9">
      <c r="I431" s="61"/>
    </row>
    <row r="432" spans="9:9">
      <c r="I432" s="61"/>
    </row>
    <row r="433" spans="9:9">
      <c r="I433" s="61"/>
    </row>
    <row r="434" spans="9:9">
      <c r="I434" s="61"/>
    </row>
    <row r="435" spans="9:9">
      <c r="I435" s="61"/>
    </row>
    <row r="436" spans="9:9">
      <c r="I436" s="61"/>
    </row>
    <row r="437" spans="9:9">
      <c r="I437" s="61"/>
    </row>
    <row r="438" spans="9:9">
      <c r="I438" s="61"/>
    </row>
    <row r="439" spans="9:9">
      <c r="I439" s="61"/>
    </row>
    <row r="440" spans="9:9">
      <c r="I440" s="61"/>
    </row>
    <row r="441" spans="9:9">
      <c r="I441" s="61"/>
    </row>
    <row r="442" spans="9:9">
      <c r="I442" s="61"/>
    </row>
    <row r="443" spans="9:9">
      <c r="I443" s="61"/>
    </row>
    <row r="444" spans="9:9">
      <c r="I444" s="61"/>
    </row>
    <row r="445" spans="9:9">
      <c r="I445" s="61"/>
    </row>
    <row r="446" spans="9:9">
      <c r="I446" s="61"/>
    </row>
    <row r="447" spans="9:9">
      <c r="I447" s="61"/>
    </row>
    <row r="448" spans="9:9">
      <c r="I448" s="61"/>
    </row>
    <row r="449" spans="9:9">
      <c r="I449" s="61"/>
    </row>
    <row r="450" spans="9:9">
      <c r="I450" s="61"/>
    </row>
    <row r="451" spans="9:9">
      <c r="I451" s="61"/>
    </row>
    <row r="452" spans="9:9">
      <c r="I452" s="61"/>
    </row>
    <row r="453" spans="9:9">
      <c r="I453" s="61"/>
    </row>
    <row r="454" spans="9:9">
      <c r="I454" s="61"/>
    </row>
    <row r="455" spans="9:9">
      <c r="I455" s="61"/>
    </row>
    <row r="456" spans="9:9">
      <c r="I456" s="61"/>
    </row>
    <row r="457" spans="9:9">
      <c r="I457" s="61"/>
    </row>
    <row r="458" spans="9:9">
      <c r="I458" s="61"/>
    </row>
    <row r="459" spans="9:9">
      <c r="I459" s="61"/>
    </row>
    <row r="460" spans="9:9">
      <c r="I460" s="61"/>
    </row>
    <row r="461" spans="9:9">
      <c r="I461" s="61"/>
    </row>
    <row r="462" spans="9:9">
      <c r="I462" s="61"/>
    </row>
    <row r="463" spans="9:9">
      <c r="I463" s="61"/>
    </row>
    <row r="464" spans="9:9">
      <c r="I464" s="61"/>
    </row>
    <row r="465" spans="9:9">
      <c r="I465" s="61"/>
    </row>
    <row r="466" spans="9:9">
      <c r="I466" s="61"/>
    </row>
    <row r="467" spans="9:9">
      <c r="I467" s="61"/>
    </row>
    <row r="468" spans="9:9">
      <c r="I468" s="61"/>
    </row>
    <row r="469" spans="9:9">
      <c r="I469" s="61"/>
    </row>
    <row r="470" spans="9:9">
      <c r="I470" s="61"/>
    </row>
    <row r="471" spans="9:9">
      <c r="I471" s="61"/>
    </row>
    <row r="472" spans="9:9">
      <c r="I472" s="61"/>
    </row>
    <row r="473" spans="9:9">
      <c r="I473" s="61"/>
    </row>
    <row r="474" spans="9:9">
      <c r="I474" s="61"/>
    </row>
    <row r="475" spans="9:9">
      <c r="I475" s="61"/>
    </row>
    <row r="476" spans="9:9">
      <c r="I476" s="61"/>
    </row>
    <row r="477" spans="9:9">
      <c r="I477" s="61"/>
    </row>
    <row r="478" spans="9:9">
      <c r="I478" s="61"/>
    </row>
    <row r="479" spans="9:9">
      <c r="I479" s="61"/>
    </row>
    <row r="480" spans="9:9">
      <c r="I480" s="61"/>
    </row>
    <row r="481" spans="9:9">
      <c r="I481" s="61"/>
    </row>
    <row r="482" spans="9:9">
      <c r="I482" s="61"/>
    </row>
    <row r="483" spans="9:9">
      <c r="I483" s="61"/>
    </row>
    <row r="484" spans="9:9">
      <c r="I484" s="61"/>
    </row>
    <row r="485" spans="9:9">
      <c r="I485" s="61"/>
    </row>
    <row r="486" spans="9:9">
      <c r="I486" s="61"/>
    </row>
    <row r="487" spans="9:9">
      <c r="I487" s="61"/>
    </row>
    <row r="488" spans="9:9">
      <c r="I488" s="61"/>
    </row>
    <row r="489" spans="9:9">
      <c r="I489" s="61"/>
    </row>
    <row r="490" spans="9:9">
      <c r="I490" s="61"/>
    </row>
    <row r="491" spans="9:9">
      <c r="I491" s="61"/>
    </row>
    <row r="492" spans="9:9">
      <c r="I492" s="61"/>
    </row>
    <row r="493" spans="9:9">
      <c r="I493" s="61"/>
    </row>
    <row r="494" spans="9:9">
      <c r="I494" s="61"/>
    </row>
    <row r="495" spans="9:9">
      <c r="I495" s="61"/>
    </row>
    <row r="496" spans="9:9">
      <c r="I496" s="61"/>
    </row>
    <row r="497" spans="9:9">
      <c r="I497" s="61"/>
    </row>
    <row r="498" spans="9:9">
      <c r="I498" s="61"/>
    </row>
    <row r="499" spans="9:9">
      <c r="I499" s="61"/>
    </row>
    <row r="500" spans="9:9">
      <c r="I500" s="61"/>
    </row>
    <row r="501" spans="9:9">
      <c r="I501" s="61"/>
    </row>
    <row r="502" spans="9:9">
      <c r="I502" s="61"/>
    </row>
    <row r="503" spans="9:9">
      <c r="I503" s="61"/>
    </row>
    <row r="504" spans="9:9">
      <c r="I504" s="61"/>
    </row>
    <row r="505" spans="9:9">
      <c r="I505" s="61"/>
    </row>
    <row r="506" spans="9:9">
      <c r="I506" s="61"/>
    </row>
    <row r="507" spans="9:9">
      <c r="I507" s="61"/>
    </row>
    <row r="508" spans="9:9">
      <c r="I508" s="61"/>
    </row>
    <row r="509" spans="9:9">
      <c r="I509" s="61"/>
    </row>
    <row r="510" spans="9:9">
      <c r="I510" s="61"/>
    </row>
    <row r="511" spans="9:9">
      <c r="I511" s="61"/>
    </row>
    <row r="512" spans="9:9">
      <c r="I512" s="61"/>
    </row>
    <row r="513" spans="9:9">
      <c r="I513" s="61"/>
    </row>
    <row r="514" spans="9:9">
      <c r="I514" s="61"/>
    </row>
    <row r="515" spans="9:9">
      <c r="I515" s="61"/>
    </row>
    <row r="516" spans="9:9">
      <c r="I516" s="61"/>
    </row>
    <row r="517" spans="9:9">
      <c r="I517" s="61"/>
    </row>
    <row r="518" spans="9:9">
      <c r="I518" s="61"/>
    </row>
    <row r="519" spans="9:9">
      <c r="I519" s="61"/>
    </row>
    <row r="520" spans="9:9">
      <c r="I520" s="61"/>
    </row>
    <row r="521" spans="9:9">
      <c r="I521" s="61"/>
    </row>
    <row r="522" spans="9:9">
      <c r="I522" s="61"/>
    </row>
    <row r="523" spans="9:9">
      <c r="I523" s="61"/>
    </row>
    <row r="524" spans="9:9">
      <c r="I524" s="61"/>
    </row>
    <row r="525" spans="9:9">
      <c r="I525" s="61"/>
    </row>
    <row r="526" spans="9:9">
      <c r="I526" s="61"/>
    </row>
    <row r="527" spans="9:9">
      <c r="I527" s="61"/>
    </row>
    <row r="528" spans="9:9">
      <c r="I528" s="61"/>
    </row>
    <row r="529" spans="9:9">
      <c r="I529" s="61"/>
    </row>
    <row r="530" spans="9:9">
      <c r="I530" s="61"/>
    </row>
    <row r="531" spans="9:9">
      <c r="I531" s="61"/>
    </row>
    <row r="532" spans="9:9">
      <c r="I532" s="61"/>
    </row>
    <row r="533" spans="9:9">
      <c r="I533" s="61"/>
    </row>
    <row r="534" spans="9:9">
      <c r="I534" s="61"/>
    </row>
    <row r="535" spans="9:9">
      <c r="I535" s="61"/>
    </row>
    <row r="536" spans="9:9">
      <c r="I536" s="61"/>
    </row>
    <row r="537" spans="9:9">
      <c r="I537" s="61"/>
    </row>
    <row r="538" spans="9:9">
      <c r="I538" s="61"/>
    </row>
    <row r="539" spans="9:9">
      <c r="I539" s="61"/>
    </row>
    <row r="540" spans="9:9">
      <c r="I540" s="61"/>
    </row>
    <row r="541" spans="9:9">
      <c r="I541" s="61"/>
    </row>
    <row r="542" spans="9:9">
      <c r="I542" s="61"/>
    </row>
    <row r="543" spans="9:9">
      <c r="I543" s="61"/>
    </row>
    <row r="544" spans="9:9">
      <c r="I544" s="61"/>
    </row>
    <row r="545" spans="9:9">
      <c r="I545" s="61"/>
    </row>
    <row r="546" spans="9:9">
      <c r="I546" s="61"/>
    </row>
    <row r="547" spans="9:9">
      <c r="I547" s="61"/>
    </row>
    <row r="548" spans="9:9">
      <c r="I548" s="61"/>
    </row>
    <row r="549" spans="9:9">
      <c r="I549" s="61"/>
    </row>
    <row r="550" spans="9:9">
      <c r="I550" s="61"/>
    </row>
    <row r="551" spans="9:9">
      <c r="I551" s="61"/>
    </row>
    <row r="552" spans="9:9">
      <c r="I552" s="61"/>
    </row>
    <row r="553" spans="9:9">
      <c r="I553" s="61"/>
    </row>
    <row r="554" spans="9:9">
      <c r="I554" s="61"/>
    </row>
    <row r="555" spans="9:9">
      <c r="I555" s="61"/>
    </row>
    <row r="556" spans="9:9">
      <c r="I556" s="61"/>
    </row>
    <row r="557" spans="9:9">
      <c r="I557" s="61"/>
    </row>
    <row r="558" spans="9:9">
      <c r="I558" s="61"/>
    </row>
    <row r="559" spans="9:9">
      <c r="I559" s="61"/>
    </row>
    <row r="560" spans="9:9">
      <c r="I560" s="61"/>
    </row>
    <row r="561" spans="9:9">
      <c r="I561" s="61"/>
    </row>
    <row r="562" spans="9:9">
      <c r="I562" s="61"/>
    </row>
    <row r="563" spans="9:9">
      <c r="I563" s="61"/>
    </row>
    <row r="564" spans="9:9">
      <c r="I564" s="61"/>
    </row>
    <row r="565" spans="9:9">
      <c r="I565" s="61"/>
    </row>
    <row r="566" spans="9:9">
      <c r="I566" s="61"/>
    </row>
    <row r="567" spans="9:9">
      <c r="I567" s="61"/>
    </row>
    <row r="568" spans="9:9">
      <c r="I568" s="61"/>
    </row>
    <row r="569" spans="9:9">
      <c r="I569" s="61"/>
    </row>
    <row r="570" spans="9:9">
      <c r="I570" s="61"/>
    </row>
    <row r="571" spans="9:9">
      <c r="I571" s="61"/>
    </row>
    <row r="572" spans="9:9">
      <c r="I572" s="61"/>
    </row>
    <row r="573" spans="9:9">
      <c r="I573" s="61"/>
    </row>
    <row r="574" spans="9:9">
      <c r="I574" s="61"/>
    </row>
    <row r="575" spans="9:9">
      <c r="I575" s="61"/>
    </row>
    <row r="576" spans="9:9">
      <c r="I576" s="61"/>
    </row>
    <row r="577" spans="9:9">
      <c r="I577" s="61"/>
    </row>
    <row r="578" spans="9:9">
      <c r="I578" s="61"/>
    </row>
    <row r="579" spans="9:9">
      <c r="I579" s="61"/>
    </row>
    <row r="580" spans="9:9">
      <c r="I580" s="61"/>
    </row>
    <row r="581" spans="9:9">
      <c r="I581" s="61"/>
    </row>
    <row r="582" spans="9:9">
      <c r="I582" s="61"/>
    </row>
    <row r="583" spans="9:9">
      <c r="I583" s="61"/>
    </row>
    <row r="584" spans="9:9">
      <c r="I584" s="61"/>
    </row>
    <row r="585" spans="9:9">
      <c r="I585" s="61"/>
    </row>
    <row r="586" spans="9:9">
      <c r="I586" s="61"/>
    </row>
    <row r="587" spans="9:9">
      <c r="I587" s="61"/>
    </row>
    <row r="588" spans="9:9">
      <c r="I588" s="61"/>
    </row>
    <row r="589" spans="9:9">
      <c r="I589" s="61"/>
    </row>
    <row r="590" spans="9:9">
      <c r="I590" s="61"/>
    </row>
    <row r="591" spans="9:9">
      <c r="I591" s="61"/>
    </row>
    <row r="592" spans="9:9">
      <c r="I592" s="61"/>
    </row>
    <row r="593" spans="9:9">
      <c r="I593" s="61"/>
    </row>
    <row r="594" spans="9:9">
      <c r="I594" s="61"/>
    </row>
    <row r="595" spans="9:9">
      <c r="I595" s="61"/>
    </row>
    <row r="596" spans="9:9">
      <c r="I596" s="61"/>
    </row>
    <row r="597" spans="9:9">
      <c r="I597" s="61"/>
    </row>
    <row r="598" spans="9:9">
      <c r="I598" s="61"/>
    </row>
    <row r="599" spans="9:9">
      <c r="I599" s="61"/>
    </row>
    <row r="600" spans="9:9">
      <c r="I600" s="61"/>
    </row>
    <row r="601" spans="9:9">
      <c r="I601" s="61"/>
    </row>
    <row r="602" spans="9:9">
      <c r="I602" s="61"/>
    </row>
    <row r="603" spans="9:9">
      <c r="I603" s="61"/>
    </row>
    <row r="604" spans="9:9">
      <c r="I604" s="61"/>
    </row>
    <row r="605" spans="9:9">
      <c r="I605" s="61"/>
    </row>
    <row r="606" spans="9:9">
      <c r="I606" s="61"/>
    </row>
    <row r="607" spans="9:9">
      <c r="I607" s="61"/>
    </row>
    <row r="608" spans="9:9">
      <c r="I608" s="61"/>
    </row>
    <row r="609" spans="9:9">
      <c r="I609" s="61"/>
    </row>
    <row r="610" spans="9:9">
      <c r="I610" s="61"/>
    </row>
    <row r="611" spans="9:9">
      <c r="I611" s="61"/>
    </row>
    <row r="612" spans="9:9">
      <c r="I612" s="61"/>
    </row>
    <row r="613" spans="9:9">
      <c r="I613" s="61"/>
    </row>
    <row r="614" spans="9:9">
      <c r="I614" s="61"/>
    </row>
    <row r="615" spans="9:9">
      <c r="I615" s="61"/>
    </row>
    <row r="616" spans="9:9">
      <c r="I616" s="61"/>
    </row>
    <row r="617" spans="9:9">
      <c r="I617" s="61"/>
    </row>
    <row r="618" spans="9:9">
      <c r="I618" s="61"/>
    </row>
    <row r="619" spans="9:9">
      <c r="I619" s="61"/>
    </row>
    <row r="620" spans="9:9">
      <c r="I620" s="61"/>
    </row>
    <row r="621" spans="9:9">
      <c r="I621" s="61"/>
    </row>
    <row r="622" spans="9:9">
      <c r="I622" s="61"/>
    </row>
    <row r="623" spans="9:9">
      <c r="I623" s="61"/>
    </row>
    <row r="624" spans="9:9">
      <c r="I624" s="61"/>
    </row>
    <row r="625" spans="9:9">
      <c r="I625" s="61"/>
    </row>
    <row r="626" spans="9:9">
      <c r="I626" s="61"/>
    </row>
    <row r="627" spans="9:9">
      <c r="I627" s="61"/>
    </row>
    <row r="628" spans="9:9">
      <c r="I628" s="61"/>
    </row>
    <row r="629" spans="9:9">
      <c r="I629" s="61"/>
    </row>
    <row r="630" spans="9:9">
      <c r="I630" s="61"/>
    </row>
    <row r="631" spans="9:9">
      <c r="I631" s="61"/>
    </row>
    <row r="632" spans="9:9">
      <c r="I632" s="61"/>
    </row>
    <row r="633" spans="9:9">
      <c r="I633" s="61"/>
    </row>
    <row r="634" spans="9:9">
      <c r="I634" s="61"/>
    </row>
    <row r="635" spans="9:9">
      <c r="I635" s="61"/>
    </row>
    <row r="636" spans="9:9">
      <c r="I636" s="61"/>
    </row>
    <row r="637" spans="9:9">
      <c r="I637" s="61"/>
    </row>
    <row r="638" spans="9:9">
      <c r="I638" s="61"/>
    </row>
    <row r="639" spans="9:9">
      <c r="I639" s="61"/>
    </row>
    <row r="640" spans="9:9">
      <c r="I640" s="61"/>
    </row>
    <row r="641" spans="9:9">
      <c r="I641" s="61"/>
    </row>
    <row r="642" spans="9:9">
      <c r="I642" s="61"/>
    </row>
    <row r="643" spans="9:9">
      <c r="I643" s="61"/>
    </row>
    <row r="644" spans="9:9">
      <c r="I644" s="61"/>
    </row>
    <row r="645" spans="9:9">
      <c r="I645" s="61"/>
    </row>
    <row r="646" spans="9:9">
      <c r="I646" s="61"/>
    </row>
    <row r="647" spans="9:9">
      <c r="I647" s="61"/>
    </row>
    <row r="648" spans="9:9">
      <c r="I648" s="61"/>
    </row>
    <row r="649" spans="9:9">
      <c r="I649" s="61"/>
    </row>
    <row r="650" spans="9:9">
      <c r="I650" s="61"/>
    </row>
    <row r="651" spans="9:9">
      <c r="I651" s="61"/>
    </row>
    <row r="652" spans="9:9">
      <c r="I652" s="61"/>
    </row>
    <row r="653" spans="9:9">
      <c r="I653" s="61"/>
    </row>
    <row r="654" spans="9:9">
      <c r="I654" s="61"/>
    </row>
    <row r="655" spans="9:9">
      <c r="I655" s="61"/>
    </row>
    <row r="656" spans="9:9">
      <c r="I656" s="61"/>
    </row>
    <row r="657" spans="9:9">
      <c r="I657" s="61"/>
    </row>
    <row r="658" spans="9:9">
      <c r="I658" s="61"/>
    </row>
    <row r="659" spans="9:9">
      <c r="I659" s="61"/>
    </row>
    <row r="660" spans="9:9">
      <c r="I660" s="61"/>
    </row>
    <row r="661" spans="9:9">
      <c r="I661" s="61"/>
    </row>
    <row r="662" spans="9:9">
      <c r="I662" s="61"/>
    </row>
    <row r="663" spans="9:9">
      <c r="I663" s="61"/>
    </row>
    <row r="664" spans="9:9">
      <c r="I664" s="61"/>
    </row>
    <row r="665" spans="9:9">
      <c r="I665" s="61"/>
    </row>
    <row r="666" spans="9:9">
      <c r="I666" s="61"/>
    </row>
    <row r="667" spans="9:9">
      <c r="I667" s="61"/>
    </row>
    <row r="668" spans="9:9">
      <c r="I668" s="61"/>
    </row>
    <row r="669" spans="9:9">
      <c r="I669" s="61"/>
    </row>
    <row r="670" spans="9:9">
      <c r="I670" s="61"/>
    </row>
    <row r="671" spans="9:9">
      <c r="I671" s="61"/>
    </row>
    <row r="672" spans="9:9">
      <c r="I672" s="61"/>
    </row>
    <row r="673" spans="9:9">
      <c r="I673" s="61"/>
    </row>
    <row r="674" spans="9:9">
      <c r="I674" s="61"/>
    </row>
    <row r="675" spans="9:9">
      <c r="I675" s="61"/>
    </row>
    <row r="676" spans="9:9">
      <c r="I676" s="61"/>
    </row>
    <row r="677" spans="9:9">
      <c r="I677" s="61"/>
    </row>
    <row r="678" spans="9:9">
      <c r="I678" s="61"/>
    </row>
    <row r="679" spans="9:9">
      <c r="I679" s="61"/>
    </row>
    <row r="680" spans="9:9">
      <c r="I680" s="61"/>
    </row>
    <row r="681" spans="9:9">
      <c r="I681" s="61"/>
    </row>
    <row r="682" spans="9:9">
      <c r="I682" s="61"/>
    </row>
    <row r="683" spans="9:9">
      <c r="I683" s="61"/>
    </row>
    <row r="684" spans="9:9">
      <c r="I684" s="61"/>
    </row>
    <row r="685" spans="9:9">
      <c r="I685" s="61"/>
    </row>
    <row r="686" spans="9:9">
      <c r="I686" s="61"/>
    </row>
    <row r="687" spans="9:9">
      <c r="I687" s="61"/>
    </row>
    <row r="688" spans="9:9">
      <c r="I688" s="61"/>
    </row>
    <row r="689" spans="9:9">
      <c r="I689" s="61"/>
    </row>
    <row r="690" spans="9:9">
      <c r="I690" s="61"/>
    </row>
    <row r="691" spans="9:9">
      <c r="I691" s="61"/>
    </row>
    <row r="692" spans="9:9">
      <c r="I692" s="61"/>
    </row>
    <row r="693" spans="9:9">
      <c r="I693" s="61"/>
    </row>
    <row r="694" spans="9:9">
      <c r="I694" s="61"/>
    </row>
    <row r="695" spans="9:9">
      <c r="I695" s="61"/>
    </row>
    <row r="696" spans="9:9">
      <c r="I696" s="61"/>
    </row>
    <row r="697" spans="9:9">
      <c r="I697" s="61"/>
    </row>
    <row r="698" spans="9:9">
      <c r="I698" s="61"/>
    </row>
    <row r="699" spans="9:9">
      <c r="I699" s="61"/>
    </row>
    <row r="700" spans="9:9">
      <c r="I700" s="61"/>
    </row>
    <row r="701" spans="9:9">
      <c r="I701" s="61"/>
    </row>
    <row r="702" spans="9:9">
      <c r="I702" s="61"/>
    </row>
    <row r="703" spans="9:9">
      <c r="I703" s="61"/>
    </row>
    <row r="704" spans="9:9">
      <c r="I704" s="61"/>
    </row>
    <row r="705" spans="9:9">
      <c r="I705" s="61"/>
    </row>
    <row r="706" spans="9:9">
      <c r="I706" s="61"/>
    </row>
    <row r="707" spans="9:9">
      <c r="I707" s="61"/>
    </row>
    <row r="708" spans="9:9">
      <c r="I708" s="61"/>
    </row>
    <row r="709" spans="9:9">
      <c r="I709" s="61"/>
    </row>
    <row r="710" spans="9:9">
      <c r="I710" s="61"/>
    </row>
    <row r="711" spans="9:9">
      <c r="I711" s="61"/>
    </row>
    <row r="712" spans="9:9">
      <c r="I712" s="61"/>
    </row>
    <row r="713" spans="9:9">
      <c r="I713" s="61"/>
    </row>
    <row r="714" spans="9:9">
      <c r="I714" s="61"/>
    </row>
    <row r="715" spans="9:9">
      <c r="I715" s="61"/>
    </row>
    <row r="716" spans="9:9">
      <c r="I716" s="61"/>
    </row>
    <row r="717" spans="9:9">
      <c r="I717" s="61"/>
    </row>
    <row r="718" spans="9:9">
      <c r="I718" s="61"/>
    </row>
    <row r="719" spans="9:9">
      <c r="I719" s="61"/>
    </row>
    <row r="720" spans="9:9">
      <c r="I720" s="61"/>
    </row>
    <row r="721" spans="9:9">
      <c r="I721" s="61"/>
    </row>
    <row r="722" spans="9:9">
      <c r="I722" s="61"/>
    </row>
    <row r="723" spans="9:9">
      <c r="I723" s="61"/>
    </row>
    <row r="724" spans="9:9">
      <c r="I724" s="61"/>
    </row>
    <row r="725" spans="9:9">
      <c r="I725" s="61"/>
    </row>
    <row r="726" spans="9:9">
      <c r="I726" s="61"/>
    </row>
    <row r="727" spans="9:9">
      <c r="I727" s="61"/>
    </row>
    <row r="728" spans="9:9">
      <c r="I728" s="61"/>
    </row>
    <row r="729" spans="9:9">
      <c r="I729" s="61"/>
    </row>
    <row r="730" spans="9:9">
      <c r="I730" s="61"/>
    </row>
    <row r="731" spans="9:9">
      <c r="I731" s="61"/>
    </row>
    <row r="732" spans="9:9">
      <c r="I732" s="61"/>
    </row>
    <row r="733" spans="9:9">
      <c r="I733" s="61"/>
    </row>
    <row r="734" spans="9:9">
      <c r="I734" s="61"/>
    </row>
    <row r="735" spans="9:9">
      <c r="I735" s="61"/>
    </row>
    <row r="736" spans="9:9">
      <c r="I736" s="61"/>
    </row>
    <row r="737" spans="9:9">
      <c r="I737" s="61"/>
    </row>
    <row r="738" spans="9:9">
      <c r="I738" s="61"/>
    </row>
    <row r="739" spans="9:9">
      <c r="I739" s="61"/>
    </row>
    <row r="740" spans="9:9">
      <c r="I740" s="61"/>
    </row>
    <row r="741" spans="9:9">
      <c r="I741" s="61"/>
    </row>
    <row r="742" spans="9:9">
      <c r="I742" s="61"/>
    </row>
    <row r="743" spans="9:9">
      <c r="I743" s="61"/>
    </row>
    <row r="744" spans="9:9">
      <c r="I744" s="61"/>
    </row>
    <row r="745" spans="9:9">
      <c r="I745" s="61"/>
    </row>
    <row r="746" spans="9:9">
      <c r="I746" s="61"/>
    </row>
    <row r="747" spans="9:9">
      <c r="I747" s="61"/>
    </row>
    <row r="748" spans="9:9">
      <c r="I748" s="61"/>
    </row>
    <row r="749" spans="9:9">
      <c r="I749" s="61"/>
    </row>
    <row r="750" spans="9:9">
      <c r="I750" s="61"/>
    </row>
    <row r="751" spans="9:9">
      <c r="I751" s="61"/>
    </row>
    <row r="752" spans="9:9">
      <c r="I752" s="61"/>
    </row>
    <row r="753" spans="9:9">
      <c r="I753" s="61"/>
    </row>
    <row r="754" spans="9:9">
      <c r="I754" s="61"/>
    </row>
    <row r="755" spans="9:9">
      <c r="I755" s="61"/>
    </row>
    <row r="756" spans="9:9">
      <c r="I756" s="61"/>
    </row>
    <row r="757" spans="9:9">
      <c r="I757" s="61"/>
    </row>
    <row r="758" spans="9:9">
      <c r="I758" s="61"/>
    </row>
    <row r="759" spans="9:9">
      <c r="I759" s="61"/>
    </row>
    <row r="760" spans="9:9">
      <c r="I760" s="61"/>
    </row>
    <row r="761" spans="9:9">
      <c r="I761" s="61"/>
    </row>
    <row r="762" spans="9:9">
      <c r="I762" s="61"/>
    </row>
    <row r="763" spans="9:9">
      <c r="I763" s="61"/>
    </row>
    <row r="764" spans="9:9">
      <c r="I764" s="61"/>
    </row>
    <row r="765" spans="9:9">
      <c r="I765" s="61"/>
    </row>
    <row r="766" spans="9:9">
      <c r="I766" s="61"/>
    </row>
    <row r="767" spans="9:9">
      <c r="I767" s="61"/>
    </row>
    <row r="768" spans="9:9">
      <c r="I768" s="61"/>
    </row>
    <row r="769" spans="9:9">
      <c r="I769" s="61"/>
    </row>
    <row r="770" spans="9:9">
      <c r="I770" s="61"/>
    </row>
    <row r="771" spans="9:9">
      <c r="I771" s="61"/>
    </row>
    <row r="772" spans="9:9">
      <c r="I772" s="61"/>
    </row>
    <row r="773" spans="9:9">
      <c r="I773" s="61"/>
    </row>
    <row r="774" spans="9:9">
      <c r="I774" s="61"/>
    </row>
    <row r="775" spans="9:9">
      <c r="I775" s="61"/>
    </row>
    <row r="776" spans="9:9">
      <c r="I776" s="61"/>
    </row>
    <row r="777" spans="9:9">
      <c r="I777" s="61"/>
    </row>
    <row r="778" spans="9:9">
      <c r="I778" s="61"/>
    </row>
    <row r="779" spans="9:9">
      <c r="I779" s="61"/>
    </row>
    <row r="780" spans="9:9">
      <c r="I780" s="61"/>
    </row>
    <row r="781" spans="9:9">
      <c r="I781" s="61"/>
    </row>
    <row r="782" spans="9:9">
      <c r="I782" s="61"/>
    </row>
    <row r="783" spans="9:9">
      <c r="I783" s="61"/>
    </row>
    <row r="784" spans="9:9">
      <c r="I784" s="61"/>
    </row>
    <row r="785" spans="9:9">
      <c r="I785" s="61"/>
    </row>
    <row r="786" spans="9:9">
      <c r="I786" s="61"/>
    </row>
    <row r="787" spans="9:9">
      <c r="I787" s="61"/>
    </row>
    <row r="788" spans="9:9">
      <c r="I788" s="61"/>
    </row>
    <row r="789" spans="9:9">
      <c r="I789" s="61"/>
    </row>
    <row r="790" spans="9:9">
      <c r="I790" s="61"/>
    </row>
    <row r="791" spans="9:9">
      <c r="I791" s="61"/>
    </row>
    <row r="792" spans="9:9">
      <c r="I792" s="61"/>
    </row>
    <row r="793" spans="9:9">
      <c r="I793" s="61"/>
    </row>
    <row r="794" spans="9:9">
      <c r="I794" s="61"/>
    </row>
    <row r="795" spans="9:9">
      <c r="I795" s="61"/>
    </row>
    <row r="796" spans="9:9">
      <c r="I796" s="61"/>
    </row>
    <row r="797" spans="9:9">
      <c r="I797" s="61"/>
    </row>
    <row r="798" spans="9:9">
      <c r="I798" s="61"/>
    </row>
    <row r="799" spans="9:9">
      <c r="I799" s="61"/>
    </row>
    <row r="800" spans="9:9">
      <c r="I800" s="61"/>
    </row>
    <row r="801" spans="9:9">
      <c r="I801" s="61"/>
    </row>
    <row r="802" spans="9:9">
      <c r="I802" s="61"/>
    </row>
    <row r="803" spans="9:9">
      <c r="I803" s="61"/>
    </row>
    <row r="804" spans="9:9">
      <c r="I804" s="61"/>
    </row>
    <row r="805" spans="9:9">
      <c r="I805" s="61"/>
    </row>
    <row r="806" spans="9:9">
      <c r="I806" s="61"/>
    </row>
    <row r="807" spans="9:9">
      <c r="I807" s="61"/>
    </row>
    <row r="808" spans="9:9">
      <c r="I808" s="61"/>
    </row>
    <row r="809" spans="9:9">
      <c r="I809" s="61"/>
    </row>
    <row r="810" spans="9:9">
      <c r="I810" s="61"/>
    </row>
    <row r="811" spans="9:9">
      <c r="I811" s="61"/>
    </row>
    <row r="812" spans="9:9">
      <c r="I812" s="61"/>
    </row>
    <row r="813" spans="9:9">
      <c r="I813" s="61"/>
    </row>
    <row r="814" spans="9:9">
      <c r="I814" s="61"/>
    </row>
    <row r="815" spans="9:9">
      <c r="I815" s="61"/>
    </row>
    <row r="816" spans="9:9">
      <c r="I816" s="61"/>
    </row>
    <row r="817" spans="9:9">
      <c r="I817" s="61"/>
    </row>
    <row r="818" spans="9:9">
      <c r="I818" s="61"/>
    </row>
    <row r="819" spans="9:9">
      <c r="I819" s="61"/>
    </row>
    <row r="820" spans="9:9">
      <c r="I820" s="61"/>
    </row>
    <row r="821" spans="9:9">
      <c r="I821" s="61"/>
    </row>
    <row r="822" spans="9:9">
      <c r="I822" s="61"/>
    </row>
    <row r="823" spans="9:9">
      <c r="I823" s="61"/>
    </row>
    <row r="824" spans="9:9">
      <c r="I824" s="61"/>
    </row>
    <row r="825" spans="9:9">
      <c r="I825" s="61"/>
    </row>
    <row r="826" spans="9:9">
      <c r="I826" s="61"/>
    </row>
    <row r="827" spans="9:9">
      <c r="I827" s="61"/>
    </row>
    <row r="828" spans="9:9">
      <c r="I828" s="61"/>
    </row>
    <row r="829" spans="9:9">
      <c r="I829" s="61"/>
    </row>
    <row r="830" spans="9:9">
      <c r="I830" s="61"/>
    </row>
    <row r="831" spans="9:9">
      <c r="I831" s="61"/>
    </row>
    <row r="832" spans="9:9">
      <c r="I832" s="61"/>
    </row>
    <row r="833" spans="9:9">
      <c r="I833" s="61"/>
    </row>
    <row r="834" spans="9:9">
      <c r="I834" s="61"/>
    </row>
    <row r="835" spans="9:9">
      <c r="I835" s="61"/>
    </row>
    <row r="836" spans="9:9">
      <c r="I836" s="61"/>
    </row>
    <row r="837" spans="9:9">
      <c r="I837" s="61"/>
    </row>
    <row r="838" spans="9:9">
      <c r="I838" s="61"/>
    </row>
    <row r="839" spans="9:9">
      <c r="I839" s="61"/>
    </row>
    <row r="840" spans="9:9">
      <c r="I840" s="61"/>
    </row>
    <row r="841" spans="9:9">
      <c r="I841" s="61"/>
    </row>
    <row r="842" spans="9:9">
      <c r="I842" s="61"/>
    </row>
    <row r="843" spans="9:9">
      <c r="I843" s="61"/>
    </row>
    <row r="844" spans="9:9">
      <c r="I844" s="61"/>
    </row>
    <row r="845" spans="9:9">
      <c r="I845" s="61"/>
    </row>
    <row r="846" spans="9:9">
      <c r="I846" s="61"/>
    </row>
    <row r="847" spans="9:9">
      <c r="I847" s="61"/>
    </row>
    <row r="848" spans="9:9">
      <c r="I848" s="61"/>
    </row>
    <row r="849" spans="9:9">
      <c r="I849" s="61"/>
    </row>
    <row r="850" spans="9:9">
      <c r="I850" s="61"/>
    </row>
    <row r="851" spans="9:9">
      <c r="I851" s="61"/>
    </row>
    <row r="852" spans="9:9">
      <c r="I852" s="61"/>
    </row>
    <row r="853" spans="9:9">
      <c r="I853" s="61"/>
    </row>
    <row r="854" spans="9:9">
      <c r="I854" s="61"/>
    </row>
    <row r="855" spans="9:9">
      <c r="I855" s="61"/>
    </row>
    <row r="856" spans="9:9">
      <c r="I856" s="61"/>
    </row>
    <row r="857" spans="9:9">
      <c r="I857" s="61"/>
    </row>
    <row r="858" spans="9:9">
      <c r="I858" s="61"/>
    </row>
    <row r="859" spans="9:9">
      <c r="I859" s="61"/>
    </row>
    <row r="860" spans="9:9">
      <c r="I860" s="61"/>
    </row>
    <row r="861" spans="9:9">
      <c r="I861" s="61"/>
    </row>
    <row r="862" spans="9:9">
      <c r="I862" s="61"/>
    </row>
    <row r="863" spans="9:9">
      <c r="I863" s="61"/>
    </row>
    <row r="864" spans="9:9">
      <c r="I864" s="61"/>
    </row>
    <row r="865" spans="9:9">
      <c r="I865" s="61"/>
    </row>
    <row r="866" spans="9:9">
      <c r="I866" s="61"/>
    </row>
    <row r="867" spans="9:9">
      <c r="I867" s="61"/>
    </row>
    <row r="868" spans="9:9">
      <c r="I868" s="61"/>
    </row>
    <row r="869" spans="9:9">
      <c r="I869" s="61"/>
    </row>
    <row r="870" spans="9:9">
      <c r="I870" s="61"/>
    </row>
    <row r="871" spans="9:9">
      <c r="I871" s="61"/>
    </row>
    <row r="872" spans="9:9">
      <c r="I872" s="61"/>
    </row>
    <row r="873" spans="9:9">
      <c r="I873" s="61"/>
    </row>
    <row r="874" spans="9:9">
      <c r="I874" s="61"/>
    </row>
    <row r="875" spans="9:9">
      <c r="I875" s="61"/>
    </row>
    <row r="876" spans="9:9">
      <c r="I876" s="61"/>
    </row>
    <row r="877" spans="9:9">
      <c r="I877" s="61"/>
    </row>
    <row r="878" spans="9:9">
      <c r="I878" s="61"/>
    </row>
    <row r="879" spans="9:9">
      <c r="I879" s="61"/>
    </row>
    <row r="880" spans="9:9">
      <c r="I880" s="61"/>
    </row>
    <row r="881" spans="9:9">
      <c r="I881" s="61"/>
    </row>
    <row r="882" spans="9:9">
      <c r="I882" s="61"/>
    </row>
    <row r="883" spans="9:9">
      <c r="I883" s="61"/>
    </row>
    <row r="884" spans="9:9">
      <c r="I884" s="61"/>
    </row>
    <row r="885" spans="9:9">
      <c r="I885" s="61"/>
    </row>
    <row r="886" spans="9:9">
      <c r="I886" s="61"/>
    </row>
    <row r="887" spans="9:9">
      <c r="I887" s="61"/>
    </row>
    <row r="888" spans="9:9">
      <c r="I888" s="61"/>
    </row>
    <row r="889" spans="9:9">
      <c r="I889" s="61"/>
    </row>
    <row r="890" spans="9:9">
      <c r="I890" s="61"/>
    </row>
    <row r="891" spans="9:9">
      <c r="I891" s="61"/>
    </row>
    <row r="892" spans="9:9">
      <c r="I892" s="61"/>
    </row>
    <row r="893" spans="9:9">
      <c r="I893" s="61"/>
    </row>
    <row r="894" spans="9:9">
      <c r="I894" s="61"/>
    </row>
    <row r="895" spans="9:9">
      <c r="I895" s="61"/>
    </row>
    <row r="896" spans="9:9">
      <c r="I896" s="61"/>
    </row>
    <row r="897" spans="9:9">
      <c r="I897" s="61"/>
    </row>
    <row r="898" spans="9:9">
      <c r="I898" s="61"/>
    </row>
    <row r="899" spans="9:9">
      <c r="I899" s="61"/>
    </row>
    <row r="900" spans="9:9">
      <c r="I900" s="61"/>
    </row>
    <row r="901" spans="9:9">
      <c r="I901" s="61"/>
    </row>
    <row r="902" spans="9:9">
      <c r="I902" s="61"/>
    </row>
    <row r="903" spans="9:9">
      <c r="I903" s="61"/>
    </row>
    <row r="904" spans="9:9">
      <c r="I904" s="61"/>
    </row>
    <row r="905" spans="9:9">
      <c r="I905" s="61"/>
    </row>
    <row r="906" spans="9:9">
      <c r="I906" s="61"/>
    </row>
    <row r="907" spans="9:9">
      <c r="I907" s="61"/>
    </row>
    <row r="908" spans="9:9">
      <c r="I908" s="61"/>
    </row>
    <row r="909" spans="9:9">
      <c r="I909" s="61"/>
    </row>
    <row r="910" spans="9:9">
      <c r="I910" s="61"/>
    </row>
    <row r="911" spans="9:9">
      <c r="I911" s="61"/>
    </row>
    <row r="912" spans="9:9">
      <c r="I912" s="61"/>
    </row>
    <row r="913" spans="9:9">
      <c r="I913" s="61"/>
    </row>
    <row r="914" spans="9:9">
      <c r="I914" s="61"/>
    </row>
    <row r="915" spans="9:9">
      <c r="I915" s="61"/>
    </row>
    <row r="916" spans="9:9">
      <c r="I916" s="61"/>
    </row>
    <row r="917" spans="9:9">
      <c r="I917" s="61"/>
    </row>
    <row r="918" spans="9:9">
      <c r="I918" s="61"/>
    </row>
    <row r="919" spans="9:9">
      <c r="I919" s="61"/>
    </row>
    <row r="920" spans="9:9">
      <c r="I920" s="61"/>
    </row>
    <row r="921" spans="9:9">
      <c r="I921" s="61"/>
    </row>
    <row r="922" spans="9:9">
      <c r="I922" s="61"/>
    </row>
    <row r="923" spans="9:9">
      <c r="I923" s="61"/>
    </row>
    <row r="924" spans="9:9">
      <c r="I924" s="61"/>
    </row>
    <row r="925" spans="9:9">
      <c r="I925" s="61"/>
    </row>
    <row r="926" spans="9:9">
      <c r="I926" s="61"/>
    </row>
    <row r="927" spans="9:9">
      <c r="I927" s="61"/>
    </row>
    <row r="928" spans="9:9">
      <c r="I928" s="61"/>
    </row>
    <row r="929" spans="9:9">
      <c r="I929" s="61"/>
    </row>
    <row r="930" spans="9:9">
      <c r="I930" s="61"/>
    </row>
    <row r="931" spans="9:9">
      <c r="I931" s="61"/>
    </row>
    <row r="932" spans="9:9">
      <c r="I932" s="61"/>
    </row>
    <row r="933" spans="9:9">
      <c r="I933" s="61"/>
    </row>
    <row r="934" spans="9:9">
      <c r="I934" s="61"/>
    </row>
    <row r="935" spans="9:9">
      <c r="I935" s="61"/>
    </row>
    <row r="936" spans="9:9">
      <c r="I936" s="61"/>
    </row>
    <row r="937" spans="9:9">
      <c r="I937" s="61"/>
    </row>
    <row r="938" spans="9:9">
      <c r="I938" s="61"/>
    </row>
    <row r="939" spans="9:9">
      <c r="I939" s="61"/>
    </row>
    <row r="940" spans="9:9">
      <c r="I940" s="61"/>
    </row>
    <row r="941" spans="9:9">
      <c r="I941" s="61"/>
    </row>
    <row r="942" spans="9:9">
      <c r="I942" s="61"/>
    </row>
    <row r="943" spans="9:9">
      <c r="I943" s="61"/>
    </row>
    <row r="944" spans="9:9">
      <c r="I944" s="61"/>
    </row>
    <row r="945" spans="9:9">
      <c r="I945" s="61"/>
    </row>
    <row r="946" spans="9:9">
      <c r="I946" s="61"/>
    </row>
    <row r="947" spans="9:9">
      <c r="I947" s="61"/>
    </row>
    <row r="948" spans="9:9">
      <c r="I948" s="61"/>
    </row>
    <row r="949" spans="9:9">
      <c r="I949" s="61"/>
    </row>
    <row r="950" spans="9:9">
      <c r="I950" s="61"/>
    </row>
    <row r="951" spans="9:9">
      <c r="I951" s="61"/>
    </row>
    <row r="952" spans="9:9">
      <c r="I952" s="61"/>
    </row>
    <row r="953" spans="9:9">
      <c r="I953" s="61"/>
    </row>
    <row r="954" spans="9:9">
      <c r="I954" s="61"/>
    </row>
    <row r="955" spans="9:9">
      <c r="I955" s="61"/>
    </row>
    <row r="956" spans="9:9">
      <c r="I956" s="61"/>
    </row>
    <row r="957" spans="9:9">
      <c r="I957" s="61"/>
    </row>
    <row r="958" spans="9:9">
      <c r="I958" s="61"/>
    </row>
    <row r="959" spans="9:9">
      <c r="I959" s="61"/>
    </row>
    <row r="960" spans="9:9">
      <c r="I960" s="61"/>
    </row>
    <row r="961" spans="9:9">
      <c r="I961" s="61"/>
    </row>
    <row r="962" spans="9:9">
      <c r="I962" s="61"/>
    </row>
    <row r="963" spans="9:9">
      <c r="I963" s="61"/>
    </row>
    <row r="964" spans="9:9">
      <c r="I964" s="61"/>
    </row>
    <row r="965" spans="9:9">
      <c r="I965" s="61"/>
    </row>
    <row r="966" spans="9:9">
      <c r="I966" s="61"/>
    </row>
    <row r="967" spans="9:9">
      <c r="I967" s="61"/>
    </row>
    <row r="968" spans="9:9">
      <c r="I968" s="61"/>
    </row>
    <row r="969" spans="9:9">
      <c r="I969" s="61"/>
    </row>
    <row r="970" spans="9:9">
      <c r="I970" s="61"/>
    </row>
    <row r="971" spans="9:9">
      <c r="I971" s="61"/>
    </row>
    <row r="972" spans="9:9">
      <c r="I972" s="61"/>
    </row>
    <row r="973" spans="9:9">
      <c r="I973" s="61"/>
    </row>
    <row r="974" spans="9:9">
      <c r="I974" s="61"/>
    </row>
    <row r="975" spans="9:9">
      <c r="I975" s="61"/>
    </row>
    <row r="976" spans="9:9">
      <c r="I976" s="61"/>
    </row>
    <row r="977" spans="9:9">
      <c r="I977" s="61"/>
    </row>
    <row r="978" spans="9:9">
      <c r="I978" s="61"/>
    </row>
    <row r="979" spans="9:9">
      <c r="I979" s="61"/>
    </row>
    <row r="980" spans="9:9">
      <c r="I980" s="61"/>
    </row>
    <row r="981" spans="9:9">
      <c r="I981" s="61"/>
    </row>
    <row r="982" spans="9:9">
      <c r="I982" s="61"/>
    </row>
    <row r="983" spans="9:9">
      <c r="I983" s="61"/>
    </row>
    <row r="984" spans="9:9">
      <c r="I984" s="61"/>
    </row>
    <row r="985" spans="9:9">
      <c r="I985" s="61"/>
    </row>
    <row r="986" spans="9:9">
      <c r="I986" s="61"/>
    </row>
    <row r="987" spans="9:9">
      <c r="I987" s="61"/>
    </row>
    <row r="988" spans="9:9">
      <c r="I988" s="61"/>
    </row>
    <row r="989" spans="9:9">
      <c r="I989" s="61"/>
    </row>
    <row r="990" spans="9:9">
      <c r="I990" s="61"/>
    </row>
    <row r="991" spans="9:9">
      <c r="I991" s="61"/>
    </row>
    <row r="992" spans="9:9">
      <c r="I992" s="61"/>
    </row>
    <row r="993" spans="9:9">
      <c r="I993" s="61"/>
    </row>
    <row r="994" spans="9:9">
      <c r="I994" s="61"/>
    </row>
    <row r="995" spans="9:9">
      <c r="I995" s="61"/>
    </row>
    <row r="996" spans="9:9">
      <c r="I996" s="61"/>
    </row>
    <row r="997" spans="9:9">
      <c r="I997" s="61"/>
    </row>
    <row r="998" spans="9:9">
      <c r="I998" s="61"/>
    </row>
    <row r="999" spans="9:9">
      <c r="I999" s="61"/>
    </row>
    <row r="1000" spans="9:9">
      <c r="I1000" s="61"/>
    </row>
    <row r="1001" spans="9:9">
      <c r="I1001" s="61"/>
    </row>
  </sheetData>
  <mergeCells count="8">
    <mergeCell ref="A1:E1"/>
    <mergeCell ref="F1:H1"/>
    <mergeCell ref="C2:D2"/>
    <mergeCell ref="F2:G2"/>
    <mergeCell ref="A2:A4"/>
    <mergeCell ref="B2:B4"/>
    <mergeCell ref="E2:E4"/>
    <mergeCell ref="H2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Z344"/>
  <sheetViews>
    <sheetView workbookViewId="0">
      <selection activeCell="D1" sqref="D1"/>
    </sheetView>
  </sheetViews>
  <sheetFormatPr baseColWidth="10" defaultColWidth="14.42578125" defaultRowHeight="15" customHeight="1"/>
  <sheetData>
    <row r="1" spans="1:26">
      <c r="A1" s="75" t="s">
        <v>523</v>
      </c>
      <c r="B1" s="75" t="s">
        <v>451</v>
      </c>
      <c r="C1" s="75" t="s">
        <v>533</v>
      </c>
      <c r="D1" s="76" t="s">
        <v>534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65">
        <v>10101</v>
      </c>
      <c r="B2" s="65" t="s">
        <v>22</v>
      </c>
      <c r="C2" s="67">
        <v>18.126063299999998</v>
      </c>
      <c r="D2" s="67">
        <v>10.0312328</v>
      </c>
    </row>
    <row r="3" spans="1:26">
      <c r="A3" s="65">
        <v>10102</v>
      </c>
      <c r="B3" s="65" t="s">
        <v>23</v>
      </c>
      <c r="C3" s="67">
        <v>40.5895692</v>
      </c>
      <c r="D3" s="67">
        <v>26.701570700000001</v>
      </c>
    </row>
    <row r="4" spans="1:26">
      <c r="A4" s="65">
        <v>10103</v>
      </c>
      <c r="B4" s="65" t="s">
        <v>24</v>
      </c>
      <c r="C4" s="67">
        <v>94.227467799999999</v>
      </c>
      <c r="D4" s="67">
        <v>83.089815200000004</v>
      </c>
    </row>
    <row r="5" spans="1:26">
      <c r="A5" s="65">
        <v>10201</v>
      </c>
      <c r="B5" s="65" t="s">
        <v>25</v>
      </c>
      <c r="C5" s="67">
        <v>77.659574500000005</v>
      </c>
      <c r="D5" s="67">
        <v>62.816326500000002</v>
      </c>
    </row>
    <row r="6" spans="1:26">
      <c r="A6" s="65">
        <v>10202</v>
      </c>
      <c r="B6" s="65" t="s">
        <v>26</v>
      </c>
      <c r="C6" s="67">
        <v>80.6612054</v>
      </c>
      <c r="D6" s="67">
        <v>61.8094824</v>
      </c>
    </row>
    <row r="7" spans="1:26">
      <c r="A7" s="65">
        <v>10301</v>
      </c>
      <c r="B7" s="65" t="s">
        <v>27</v>
      </c>
      <c r="C7" s="67">
        <v>67.2080433</v>
      </c>
      <c r="D7" s="67">
        <v>51.741449600000003</v>
      </c>
    </row>
    <row r="8" spans="1:26">
      <c r="A8" s="65">
        <v>10302</v>
      </c>
      <c r="B8" s="65" t="s">
        <v>28</v>
      </c>
      <c r="C8" s="67">
        <v>79.168200200000001</v>
      </c>
      <c r="D8" s="67">
        <v>56.129624</v>
      </c>
    </row>
    <row r="9" spans="1:26">
      <c r="A9" s="65">
        <v>10303</v>
      </c>
      <c r="B9" s="65" t="s">
        <v>29</v>
      </c>
      <c r="C9" s="67">
        <v>63.925328</v>
      </c>
      <c r="D9" s="67">
        <v>41.525756999999999</v>
      </c>
    </row>
    <row r="10" spans="1:26">
      <c r="A10" s="65">
        <v>10304</v>
      </c>
      <c r="B10" s="65" t="s">
        <v>30</v>
      </c>
      <c r="C10" s="67">
        <v>45.111960699999997</v>
      </c>
      <c r="D10" s="67">
        <v>47.9696395</v>
      </c>
    </row>
    <row r="11" spans="1:26">
      <c r="A11" s="65">
        <v>10401</v>
      </c>
      <c r="B11" s="65" t="s">
        <v>32</v>
      </c>
      <c r="C11" s="67">
        <v>61.245551599999999</v>
      </c>
      <c r="D11" s="67">
        <v>39.767733800000002</v>
      </c>
    </row>
    <row r="12" spans="1:26">
      <c r="A12" s="65">
        <v>10402</v>
      </c>
      <c r="B12" s="65" t="s">
        <v>31</v>
      </c>
      <c r="C12" s="67">
        <v>57.643161399999997</v>
      </c>
      <c r="D12" s="67">
        <v>34.819438300000002</v>
      </c>
    </row>
    <row r="13" spans="1:26">
      <c r="A13" s="65">
        <v>10403</v>
      </c>
      <c r="B13" s="65" t="s">
        <v>33</v>
      </c>
      <c r="C13" s="67">
        <v>67.263681599999998</v>
      </c>
      <c r="D13" s="67">
        <v>53.617632999999998</v>
      </c>
    </row>
    <row r="14" spans="1:26">
      <c r="A14" s="65">
        <v>10404</v>
      </c>
      <c r="B14" s="65" t="s">
        <v>34</v>
      </c>
      <c r="C14" s="67">
        <v>74.906716399999993</v>
      </c>
      <c r="D14" s="67">
        <v>38.603868800000001</v>
      </c>
    </row>
    <row r="15" spans="1:26">
      <c r="A15" s="65">
        <v>10405</v>
      </c>
      <c r="B15" s="65" t="s">
        <v>35</v>
      </c>
      <c r="C15" s="67">
        <v>61.633663400000003</v>
      </c>
      <c r="D15" s="67">
        <v>44.614315499999996</v>
      </c>
    </row>
    <row r="16" spans="1:26">
      <c r="A16" s="65">
        <v>10501</v>
      </c>
      <c r="B16" s="65" t="s">
        <v>37</v>
      </c>
      <c r="C16" s="67">
        <v>44.793551600000001</v>
      </c>
      <c r="D16" s="67">
        <v>21.7902351</v>
      </c>
    </row>
    <row r="17" spans="1:4">
      <c r="A17" s="65">
        <v>10502</v>
      </c>
      <c r="B17" s="65" t="s">
        <v>38</v>
      </c>
      <c r="C17" s="67">
        <v>67.340067300000001</v>
      </c>
      <c r="D17" s="67">
        <v>46.675358500000002</v>
      </c>
    </row>
    <row r="18" spans="1:4">
      <c r="A18" s="65">
        <v>10601</v>
      </c>
      <c r="B18" s="65" t="s">
        <v>40</v>
      </c>
      <c r="C18" s="67">
        <v>74.008207900000002</v>
      </c>
      <c r="D18" s="67">
        <v>49.707875700000002</v>
      </c>
    </row>
    <row r="19" spans="1:4">
      <c r="A19" s="65">
        <v>10602</v>
      </c>
      <c r="B19" s="65" t="s">
        <v>39</v>
      </c>
      <c r="C19" s="67">
        <v>69.2542373</v>
      </c>
      <c r="D19" s="67">
        <v>48.354512900000003</v>
      </c>
    </row>
    <row r="20" spans="1:4">
      <c r="A20" s="65">
        <v>10701</v>
      </c>
      <c r="B20" s="65" t="s">
        <v>42</v>
      </c>
      <c r="C20" s="67">
        <v>53.271676300000003</v>
      </c>
      <c r="D20" s="67">
        <v>37.051713900000003</v>
      </c>
    </row>
    <row r="21" spans="1:4">
      <c r="A21" s="65">
        <v>10702</v>
      </c>
      <c r="B21" s="65" t="s">
        <v>43</v>
      </c>
      <c r="C21" s="67">
        <v>77.122877099999997</v>
      </c>
      <c r="D21" s="67">
        <v>60.848456800000001</v>
      </c>
    </row>
    <row r="22" spans="1:4">
      <c r="A22" s="65">
        <v>10703</v>
      </c>
      <c r="B22" s="65" t="s">
        <v>44</v>
      </c>
      <c r="C22" s="67">
        <v>83.087441499999997</v>
      </c>
      <c r="D22" s="67">
        <v>66.740358599999993</v>
      </c>
    </row>
    <row r="23" spans="1:4">
      <c r="A23" s="65">
        <v>10704</v>
      </c>
      <c r="B23" s="65" t="s">
        <v>45</v>
      </c>
      <c r="C23" s="67">
        <v>78.733812900000004</v>
      </c>
      <c r="D23" s="67">
        <v>60.15</v>
      </c>
    </row>
    <row r="24" spans="1:4">
      <c r="A24" s="65">
        <v>10801</v>
      </c>
      <c r="B24" s="65" t="s">
        <v>47</v>
      </c>
      <c r="C24" s="67">
        <v>53.222778499999997</v>
      </c>
      <c r="D24" s="67">
        <v>35.676184499999998</v>
      </c>
    </row>
    <row r="25" spans="1:4">
      <c r="A25" s="65">
        <v>10901</v>
      </c>
      <c r="B25" s="65" t="s">
        <v>49</v>
      </c>
      <c r="C25" s="67">
        <v>67.1502591</v>
      </c>
      <c r="D25" s="67">
        <v>37.199124699999999</v>
      </c>
    </row>
    <row r="26" spans="1:4">
      <c r="A26" s="65">
        <v>10902</v>
      </c>
      <c r="B26" s="65" t="s">
        <v>50</v>
      </c>
      <c r="C26" s="67">
        <v>61.927766300000002</v>
      </c>
      <c r="D26" s="67">
        <v>50.515021500000003</v>
      </c>
    </row>
    <row r="27" spans="1:4">
      <c r="A27" s="65">
        <v>10903</v>
      </c>
      <c r="B27" s="65" t="s">
        <v>51</v>
      </c>
      <c r="C27" s="67">
        <v>48.210922799999999</v>
      </c>
      <c r="D27" s="67">
        <v>24.765625</v>
      </c>
    </row>
    <row r="28" spans="1:4">
      <c r="A28" s="65">
        <v>11001</v>
      </c>
      <c r="B28" s="65" t="s">
        <v>53</v>
      </c>
      <c r="C28" s="67">
        <v>46.721958899999997</v>
      </c>
      <c r="D28" s="67">
        <v>31.058673500000001</v>
      </c>
    </row>
    <row r="29" spans="1:4">
      <c r="A29" s="65">
        <v>11002</v>
      </c>
      <c r="B29" s="65" t="s">
        <v>54</v>
      </c>
      <c r="C29" s="67">
        <v>57.379767800000003</v>
      </c>
      <c r="D29" s="67">
        <v>23.105134499999998</v>
      </c>
    </row>
    <row r="30" spans="1:4">
      <c r="A30" s="65">
        <v>11003</v>
      </c>
      <c r="B30" s="65" t="s">
        <v>55</v>
      </c>
      <c r="C30" s="67">
        <v>32.2672758</v>
      </c>
      <c r="D30" s="67">
        <v>16.695804200000001</v>
      </c>
    </row>
    <row r="31" spans="1:4">
      <c r="A31" s="65">
        <v>20101</v>
      </c>
      <c r="B31" s="65" t="s">
        <v>58</v>
      </c>
      <c r="C31" s="67">
        <v>6.6679031000000002</v>
      </c>
      <c r="D31" s="67">
        <v>3.2801846000000001</v>
      </c>
    </row>
    <row r="32" spans="1:4">
      <c r="A32" s="65">
        <v>20102</v>
      </c>
      <c r="B32" s="71" t="s">
        <v>59</v>
      </c>
      <c r="C32" s="67">
        <v>78.672985800000006</v>
      </c>
      <c r="D32" s="67">
        <v>55.121951199999998</v>
      </c>
    </row>
    <row r="33" spans="1:4">
      <c r="A33" s="65">
        <v>20103</v>
      </c>
      <c r="B33" s="71" t="s">
        <v>60</v>
      </c>
      <c r="C33" s="67">
        <v>56.642916999999997</v>
      </c>
      <c r="D33" s="67">
        <v>37.319316700000002</v>
      </c>
    </row>
    <row r="34" spans="1:4">
      <c r="A34" s="65">
        <v>20104</v>
      </c>
      <c r="B34" s="71" t="s">
        <v>61</v>
      </c>
      <c r="C34" s="67">
        <v>66.787861800000002</v>
      </c>
      <c r="D34" s="67">
        <v>33.484690399999998</v>
      </c>
    </row>
    <row r="35" spans="1:4">
      <c r="A35" s="65">
        <v>20105</v>
      </c>
      <c r="B35" s="71" t="s">
        <v>62</v>
      </c>
      <c r="C35" s="67">
        <v>21.381573800000002</v>
      </c>
      <c r="D35" s="67">
        <v>6.2930935999999997</v>
      </c>
    </row>
    <row r="36" spans="1:4">
      <c r="A36" s="65">
        <v>20201</v>
      </c>
      <c r="B36" s="71" t="s">
        <v>64</v>
      </c>
      <c r="C36" s="67">
        <v>50.363569099999999</v>
      </c>
      <c r="D36" s="67">
        <v>30.339593799999999</v>
      </c>
    </row>
    <row r="37" spans="1:4">
      <c r="A37" s="65">
        <v>20202</v>
      </c>
      <c r="B37" s="71" t="s">
        <v>65</v>
      </c>
      <c r="C37" s="67">
        <v>66.262184199999993</v>
      </c>
      <c r="D37" s="67">
        <v>51.565978899999998</v>
      </c>
    </row>
    <row r="38" spans="1:4">
      <c r="A38" s="65">
        <v>20203</v>
      </c>
      <c r="B38" s="71" t="s">
        <v>69</v>
      </c>
      <c r="C38" s="67">
        <v>65.157480300000003</v>
      </c>
      <c r="D38" s="67">
        <v>44.621816799999998</v>
      </c>
    </row>
    <row r="39" spans="1:4">
      <c r="A39" s="65">
        <v>20204</v>
      </c>
      <c r="B39" s="71" t="s">
        <v>66</v>
      </c>
      <c r="C39" s="67">
        <v>50.197148900000002</v>
      </c>
      <c r="D39" s="67">
        <v>34.732052600000003</v>
      </c>
    </row>
    <row r="40" spans="1:4">
      <c r="A40" s="65">
        <v>20205</v>
      </c>
      <c r="B40" s="71" t="s">
        <v>67</v>
      </c>
      <c r="C40" s="67">
        <v>56.992362399999998</v>
      </c>
      <c r="D40" s="67">
        <v>34.538959599999998</v>
      </c>
    </row>
    <row r="41" spans="1:4">
      <c r="A41" s="65">
        <v>20206</v>
      </c>
      <c r="B41" s="71" t="s">
        <v>68</v>
      </c>
      <c r="C41" s="67">
        <v>41.877256299999999</v>
      </c>
      <c r="D41" s="67">
        <v>24.232762099999999</v>
      </c>
    </row>
    <row r="42" spans="1:4">
      <c r="A42" s="65">
        <v>20301</v>
      </c>
      <c r="B42" s="71" t="s">
        <v>71</v>
      </c>
      <c r="C42" s="67">
        <v>82.352941200000004</v>
      </c>
      <c r="D42" s="67">
        <v>61.5560641</v>
      </c>
    </row>
    <row r="43" spans="1:4">
      <c r="A43" s="65">
        <v>20302</v>
      </c>
      <c r="B43" s="71" t="s">
        <v>72</v>
      </c>
      <c r="C43" s="67">
        <v>63.808854500000002</v>
      </c>
      <c r="D43" s="67">
        <v>49.111408400000002</v>
      </c>
    </row>
    <row r="44" spans="1:4">
      <c r="A44" s="65">
        <v>20303</v>
      </c>
      <c r="B44" s="71" t="s">
        <v>73</v>
      </c>
      <c r="C44" s="67">
        <v>63.402207799999999</v>
      </c>
      <c r="D44" s="67">
        <v>49.256068900000002</v>
      </c>
    </row>
    <row r="45" spans="1:4">
      <c r="A45" s="65">
        <v>20304</v>
      </c>
      <c r="B45" s="71" t="s">
        <v>74</v>
      </c>
      <c r="C45" s="67">
        <v>74.828375300000005</v>
      </c>
      <c r="D45" s="67">
        <v>49.6891192</v>
      </c>
    </row>
    <row r="46" spans="1:4">
      <c r="A46" s="65">
        <v>20305</v>
      </c>
      <c r="B46" s="71" t="s">
        <v>75</v>
      </c>
      <c r="C46" s="67">
        <v>76.531492700000001</v>
      </c>
      <c r="D46" s="67">
        <v>50.344431700000001</v>
      </c>
    </row>
    <row r="47" spans="1:4">
      <c r="A47" s="65">
        <v>20306</v>
      </c>
      <c r="B47" s="71" t="s">
        <v>76</v>
      </c>
      <c r="C47" s="67">
        <v>83.551401900000002</v>
      </c>
      <c r="D47" s="67">
        <v>60.355434000000002</v>
      </c>
    </row>
    <row r="48" spans="1:4">
      <c r="A48" s="65">
        <v>20307</v>
      </c>
      <c r="B48" s="71" t="s">
        <v>77</v>
      </c>
      <c r="C48" s="67">
        <v>55.017301000000003</v>
      </c>
      <c r="D48" s="67">
        <v>54.905193699999998</v>
      </c>
    </row>
    <row r="49" spans="1:4">
      <c r="A49" s="65">
        <v>20308</v>
      </c>
      <c r="B49" s="71" t="s">
        <v>78</v>
      </c>
      <c r="C49" s="67">
        <v>88.422939099999994</v>
      </c>
      <c r="D49" s="67">
        <v>81.899691799999999</v>
      </c>
    </row>
    <row r="50" spans="1:4">
      <c r="A50" s="65">
        <v>20401</v>
      </c>
      <c r="B50" s="71" t="s">
        <v>80</v>
      </c>
      <c r="C50" s="67">
        <v>84.214727600000003</v>
      </c>
      <c r="D50" s="67">
        <v>71.350696499999998</v>
      </c>
    </row>
    <row r="51" spans="1:4">
      <c r="A51" s="65">
        <v>20402</v>
      </c>
      <c r="B51" s="71" t="s">
        <v>81</v>
      </c>
      <c r="C51" s="67">
        <v>72.585528299999993</v>
      </c>
      <c r="D51" s="67">
        <v>57.831024599999999</v>
      </c>
    </row>
    <row r="52" spans="1:4">
      <c r="A52" s="65">
        <v>20403</v>
      </c>
      <c r="B52" s="71" t="s">
        <v>82</v>
      </c>
      <c r="C52" s="67">
        <v>77.538806800000003</v>
      </c>
      <c r="D52" s="67">
        <v>61.3163482</v>
      </c>
    </row>
    <row r="53" spans="1:4">
      <c r="A53" s="65">
        <v>20404</v>
      </c>
      <c r="B53" s="71" t="s">
        <v>83</v>
      </c>
      <c r="C53" s="67">
        <v>78.889943099999996</v>
      </c>
      <c r="D53" s="67">
        <v>70.834982199999999</v>
      </c>
    </row>
    <row r="54" spans="1:4">
      <c r="A54" s="65">
        <v>20405</v>
      </c>
      <c r="B54" s="71" t="s">
        <v>84</v>
      </c>
      <c r="C54" s="67">
        <v>87.776676600000002</v>
      </c>
      <c r="D54" s="67">
        <v>67.444120499999997</v>
      </c>
    </row>
    <row r="55" spans="1:4">
      <c r="A55" s="65">
        <v>20501</v>
      </c>
      <c r="B55" s="71" t="s">
        <v>86</v>
      </c>
      <c r="C55" s="67">
        <v>71.889283899999995</v>
      </c>
      <c r="D55" s="67">
        <v>51.017532899999999</v>
      </c>
    </row>
    <row r="56" spans="1:4">
      <c r="A56" s="65">
        <v>20502</v>
      </c>
      <c r="B56" s="71" t="s">
        <v>87</v>
      </c>
      <c r="C56" s="67">
        <v>65.271204999999995</v>
      </c>
      <c r="D56" s="67">
        <v>53.692043499999997</v>
      </c>
    </row>
    <row r="57" spans="1:4">
      <c r="A57" s="65">
        <v>20503</v>
      </c>
      <c r="B57" s="71" t="s">
        <v>88</v>
      </c>
      <c r="C57" s="67">
        <v>75.851393200000004</v>
      </c>
      <c r="D57" s="67">
        <v>57.92</v>
      </c>
    </row>
    <row r="58" spans="1:4">
      <c r="A58" s="65">
        <v>20601</v>
      </c>
      <c r="B58" s="71" t="s">
        <v>90</v>
      </c>
      <c r="C58" s="67">
        <v>63.430199399999999</v>
      </c>
      <c r="D58" s="67">
        <v>39.549698900000003</v>
      </c>
    </row>
    <row r="59" spans="1:4">
      <c r="A59" s="65">
        <v>20602</v>
      </c>
      <c r="B59" s="71" t="s">
        <v>91</v>
      </c>
      <c r="C59" s="67">
        <v>56.9963683</v>
      </c>
      <c r="D59" s="67">
        <v>29.175307100000001</v>
      </c>
    </row>
    <row r="60" spans="1:4">
      <c r="A60" s="65">
        <v>20603</v>
      </c>
      <c r="B60" s="71" t="s">
        <v>92</v>
      </c>
      <c r="C60" s="67">
        <v>57.785234899999999</v>
      </c>
      <c r="D60" s="67">
        <v>34.176300599999998</v>
      </c>
    </row>
    <row r="61" spans="1:4">
      <c r="A61" s="65">
        <v>20604</v>
      </c>
      <c r="B61" s="71" t="s">
        <v>93</v>
      </c>
      <c r="C61" s="67">
        <v>64.070107100000001</v>
      </c>
      <c r="D61" s="67">
        <v>58.734723199999998</v>
      </c>
    </row>
    <row r="62" spans="1:4">
      <c r="A62" s="65">
        <v>20605</v>
      </c>
      <c r="B62" s="71" t="s">
        <v>94</v>
      </c>
      <c r="C62" s="67">
        <v>71.327967799999996</v>
      </c>
      <c r="D62" s="67">
        <v>58.6666667</v>
      </c>
    </row>
    <row r="63" spans="1:4">
      <c r="A63" s="65">
        <v>20606</v>
      </c>
      <c r="B63" s="71" t="s">
        <v>95</v>
      </c>
      <c r="C63" s="67">
        <v>50.882267900000002</v>
      </c>
      <c r="D63" s="67">
        <v>24.236817800000001</v>
      </c>
    </row>
    <row r="64" spans="1:4">
      <c r="A64" s="65">
        <v>20607</v>
      </c>
      <c r="B64" s="71" t="s">
        <v>96</v>
      </c>
      <c r="C64" s="67">
        <v>52.839506200000002</v>
      </c>
      <c r="D64" s="67">
        <v>17.8602493</v>
      </c>
    </row>
    <row r="65" spans="1:4">
      <c r="A65" s="65">
        <v>20608</v>
      </c>
      <c r="B65" s="71" t="s">
        <v>97</v>
      </c>
      <c r="C65" s="67">
        <v>61.313450000000003</v>
      </c>
      <c r="D65" s="67">
        <v>38.657105600000001</v>
      </c>
    </row>
    <row r="66" spans="1:4">
      <c r="A66" s="65">
        <v>20701</v>
      </c>
      <c r="B66" s="71" t="s">
        <v>99</v>
      </c>
      <c r="C66" s="67">
        <v>62.897297299999998</v>
      </c>
      <c r="D66" s="67">
        <v>51.914341299999997</v>
      </c>
    </row>
    <row r="67" spans="1:4">
      <c r="A67" s="65">
        <v>20702</v>
      </c>
      <c r="B67" s="71" t="s">
        <v>100</v>
      </c>
      <c r="C67" s="67">
        <v>64.349775800000003</v>
      </c>
      <c r="D67" s="67">
        <v>31.681877400000001</v>
      </c>
    </row>
    <row r="68" spans="1:4">
      <c r="A68" s="65">
        <v>20801</v>
      </c>
      <c r="B68" s="71" t="s">
        <v>102</v>
      </c>
      <c r="C68" s="67">
        <v>45.675860999999998</v>
      </c>
      <c r="D68" s="67">
        <v>20.922247899999999</v>
      </c>
    </row>
    <row r="69" spans="1:4">
      <c r="A69" s="65">
        <v>20802</v>
      </c>
      <c r="B69" s="71" t="s">
        <v>103</v>
      </c>
      <c r="C69" s="67">
        <v>66.239472699999993</v>
      </c>
      <c r="D69" s="67">
        <v>32.546583900000002</v>
      </c>
    </row>
    <row r="70" spans="1:4">
      <c r="A70" s="65">
        <v>20803</v>
      </c>
      <c r="B70" s="71" t="s">
        <v>104</v>
      </c>
      <c r="C70" s="67">
        <v>58.6811352</v>
      </c>
      <c r="D70" s="67">
        <v>45.110681300000003</v>
      </c>
    </row>
    <row r="71" spans="1:4">
      <c r="A71" s="65">
        <v>20804</v>
      </c>
      <c r="B71" s="71" t="s">
        <v>105</v>
      </c>
      <c r="C71" s="67">
        <v>63.022222200000002</v>
      </c>
      <c r="D71" s="67">
        <v>26.654205600000001</v>
      </c>
    </row>
    <row r="72" spans="1:4">
      <c r="A72" s="65">
        <v>20805</v>
      </c>
      <c r="B72" s="71" t="s">
        <v>106</v>
      </c>
      <c r="C72" s="67">
        <v>46.131325799999999</v>
      </c>
      <c r="D72" s="67">
        <v>39.242132300000002</v>
      </c>
    </row>
    <row r="73" spans="1:4">
      <c r="A73" s="65">
        <v>20806</v>
      </c>
      <c r="B73" s="71" t="s">
        <v>107</v>
      </c>
      <c r="C73" s="67">
        <v>37.829675899999998</v>
      </c>
      <c r="D73" s="67">
        <v>32.987939500000003</v>
      </c>
    </row>
    <row r="74" spans="1:4">
      <c r="A74" s="65">
        <v>20807</v>
      </c>
      <c r="B74" s="71" t="s">
        <v>108</v>
      </c>
      <c r="C74" s="67">
        <v>70.368334200000007</v>
      </c>
      <c r="D74" s="67">
        <v>50.117095999999997</v>
      </c>
    </row>
    <row r="75" spans="1:4">
      <c r="A75" s="65">
        <v>20901</v>
      </c>
      <c r="B75" s="71" t="s">
        <v>110</v>
      </c>
      <c r="C75" s="67">
        <v>63.915154600000001</v>
      </c>
      <c r="D75" s="67">
        <v>44.000902099999998</v>
      </c>
    </row>
    <row r="76" spans="1:4">
      <c r="A76" s="65">
        <v>20902</v>
      </c>
      <c r="B76" s="71" t="s">
        <v>111</v>
      </c>
      <c r="C76" s="67">
        <v>86.440311399999999</v>
      </c>
      <c r="D76" s="67">
        <v>62.262729700000001</v>
      </c>
    </row>
    <row r="77" spans="1:4">
      <c r="A77" s="65">
        <v>20903</v>
      </c>
      <c r="B77" s="71" t="s">
        <v>112</v>
      </c>
      <c r="C77" s="67">
        <v>86.903729400000003</v>
      </c>
      <c r="D77" s="67">
        <v>71.994205699999995</v>
      </c>
    </row>
    <row r="78" spans="1:4">
      <c r="A78" s="65">
        <v>20904</v>
      </c>
      <c r="B78" s="71" t="s">
        <v>113</v>
      </c>
      <c r="C78" s="67">
        <v>72.123176700000002</v>
      </c>
      <c r="D78" s="67">
        <v>66.910523400000002</v>
      </c>
    </row>
    <row r="79" spans="1:4">
      <c r="A79" s="65">
        <v>20905</v>
      </c>
      <c r="B79" s="71" t="s">
        <v>114</v>
      </c>
      <c r="C79" s="67">
        <v>81.954397400000005</v>
      </c>
      <c r="D79" s="67">
        <v>69.807849599999997</v>
      </c>
    </row>
    <row r="80" spans="1:4">
      <c r="A80" s="65">
        <v>21001</v>
      </c>
      <c r="B80" s="71" t="s">
        <v>115</v>
      </c>
      <c r="C80" s="67">
        <v>81.753167099999999</v>
      </c>
      <c r="D80" s="67">
        <v>64.865621500000003</v>
      </c>
    </row>
    <row r="81" spans="1:4">
      <c r="A81" s="65">
        <v>21002</v>
      </c>
      <c r="B81" s="71" t="s">
        <v>116</v>
      </c>
      <c r="C81" s="67">
        <v>69.117212899999998</v>
      </c>
      <c r="D81" s="67">
        <v>50.654037000000002</v>
      </c>
    </row>
    <row r="82" spans="1:4">
      <c r="A82" s="65">
        <v>21003</v>
      </c>
      <c r="B82" s="71" t="s">
        <v>117</v>
      </c>
      <c r="C82" s="67">
        <v>61.311692600000001</v>
      </c>
      <c r="D82" s="67">
        <v>37.631261799999997</v>
      </c>
    </row>
    <row r="83" spans="1:4">
      <c r="A83" s="65">
        <v>21004</v>
      </c>
      <c r="B83" s="71" t="s">
        <v>118</v>
      </c>
      <c r="C83" s="67">
        <v>83.053173200000003</v>
      </c>
      <c r="D83" s="67">
        <v>69.466327800000002</v>
      </c>
    </row>
    <row r="84" spans="1:4">
      <c r="A84" s="65">
        <v>21005</v>
      </c>
      <c r="B84" s="71" t="s">
        <v>119</v>
      </c>
      <c r="C84" s="67">
        <v>85.781710899999993</v>
      </c>
      <c r="D84" s="67">
        <v>80.057887100000002</v>
      </c>
    </row>
    <row r="85" spans="1:4">
      <c r="A85" s="65">
        <v>21006</v>
      </c>
      <c r="B85" s="71" t="s">
        <v>120</v>
      </c>
      <c r="C85" s="67">
        <v>63.467188999999998</v>
      </c>
      <c r="D85" s="67">
        <v>37.520042799999999</v>
      </c>
    </row>
    <row r="86" spans="1:4">
      <c r="A86" s="65">
        <v>21101</v>
      </c>
      <c r="B86" s="71" t="s">
        <v>122</v>
      </c>
      <c r="C86" s="67">
        <v>56.867905899999997</v>
      </c>
      <c r="D86" s="67">
        <v>31.397283099999999</v>
      </c>
    </row>
    <row r="87" spans="1:4">
      <c r="A87" s="65">
        <v>21102</v>
      </c>
      <c r="B87" s="71" t="s">
        <v>123</v>
      </c>
      <c r="C87" s="67">
        <v>57.178027399999998</v>
      </c>
      <c r="D87" s="67">
        <v>40.9706069</v>
      </c>
    </row>
    <row r="88" spans="1:4">
      <c r="A88" s="65">
        <v>21103</v>
      </c>
      <c r="B88" s="71" t="s">
        <v>124</v>
      </c>
      <c r="C88" s="67">
        <v>35.485268599999998</v>
      </c>
      <c r="D88" s="67">
        <v>21.647765199999998</v>
      </c>
    </row>
    <row r="89" spans="1:4">
      <c r="A89" s="65">
        <v>21104</v>
      </c>
      <c r="B89" s="71" t="s">
        <v>125</v>
      </c>
      <c r="C89" s="67">
        <v>45.727882299999997</v>
      </c>
      <c r="D89" s="67">
        <v>36.509028399999998</v>
      </c>
    </row>
    <row r="90" spans="1:4">
      <c r="A90" s="65">
        <v>21105</v>
      </c>
      <c r="B90" s="71" t="s">
        <v>126</v>
      </c>
      <c r="C90" s="67">
        <v>70.472210000000004</v>
      </c>
      <c r="D90" s="67">
        <v>49.809575600000002</v>
      </c>
    </row>
    <row r="91" spans="1:4">
      <c r="A91" s="65">
        <v>21201</v>
      </c>
      <c r="B91" s="71" t="s">
        <v>128</v>
      </c>
      <c r="C91" s="67">
        <v>59.545004900000002</v>
      </c>
      <c r="D91" s="67">
        <v>43.296518900000002</v>
      </c>
    </row>
    <row r="92" spans="1:4">
      <c r="A92" s="65">
        <v>21202</v>
      </c>
      <c r="B92" s="71" t="s">
        <v>129</v>
      </c>
      <c r="C92" s="67">
        <v>65.867800500000001</v>
      </c>
      <c r="D92" s="67">
        <v>38.059208099999999</v>
      </c>
    </row>
    <row r="93" spans="1:4">
      <c r="A93" s="65">
        <v>21203</v>
      </c>
      <c r="B93" s="71" t="s">
        <v>130</v>
      </c>
      <c r="C93" s="67">
        <v>51.600132000000002</v>
      </c>
      <c r="D93" s="67">
        <v>34.787722000000002</v>
      </c>
    </row>
    <row r="94" spans="1:4">
      <c r="A94" s="65">
        <v>21204</v>
      </c>
      <c r="B94" s="71" t="s">
        <v>131</v>
      </c>
      <c r="C94" s="67">
        <v>72.444633699999997</v>
      </c>
      <c r="D94" s="67">
        <v>54.3601004</v>
      </c>
    </row>
    <row r="95" spans="1:4">
      <c r="A95" s="65">
        <v>21301</v>
      </c>
      <c r="B95" s="71" t="s">
        <v>133</v>
      </c>
      <c r="C95" s="67">
        <v>79.012738900000002</v>
      </c>
      <c r="D95" s="67">
        <v>54.6764869</v>
      </c>
    </row>
    <row r="96" spans="1:4">
      <c r="A96" s="65">
        <v>21302</v>
      </c>
      <c r="B96" s="71" t="s">
        <v>134</v>
      </c>
      <c r="C96" s="67">
        <v>64.265928000000002</v>
      </c>
      <c r="D96" s="67">
        <v>46.161693399999997</v>
      </c>
    </row>
    <row r="97" spans="1:4">
      <c r="A97" s="65">
        <v>21303</v>
      </c>
      <c r="B97" s="71" t="s">
        <v>135</v>
      </c>
      <c r="C97" s="67">
        <v>79.773290799999998</v>
      </c>
      <c r="D97" s="67">
        <v>66.020025000000004</v>
      </c>
    </row>
    <row r="98" spans="1:4">
      <c r="A98" s="65">
        <v>21304</v>
      </c>
      <c r="B98" s="71" t="s">
        <v>136</v>
      </c>
      <c r="C98" s="67">
        <v>72.981447599999996</v>
      </c>
      <c r="D98" s="67">
        <v>49.350649400000002</v>
      </c>
    </row>
    <row r="99" spans="1:4">
      <c r="A99" s="65">
        <v>21305</v>
      </c>
      <c r="B99" s="71" t="s">
        <v>137</v>
      </c>
      <c r="C99" s="67">
        <v>45.444844600000003</v>
      </c>
      <c r="D99" s="67">
        <v>31.913983099999999</v>
      </c>
    </row>
    <row r="100" spans="1:4">
      <c r="A100" s="65">
        <v>21306</v>
      </c>
      <c r="B100" s="71" t="s">
        <v>138</v>
      </c>
      <c r="C100" s="67">
        <v>71.6875</v>
      </c>
      <c r="D100" s="67">
        <v>49.441964300000002</v>
      </c>
    </row>
    <row r="101" spans="1:4">
      <c r="A101" s="65">
        <v>21307</v>
      </c>
      <c r="B101" s="71" t="s">
        <v>139</v>
      </c>
      <c r="C101" s="67">
        <v>50.471698099999998</v>
      </c>
      <c r="D101" s="67">
        <v>34.3012704</v>
      </c>
    </row>
    <row r="102" spans="1:4">
      <c r="A102" s="65">
        <v>21401</v>
      </c>
      <c r="B102" s="71" t="s">
        <v>141</v>
      </c>
      <c r="C102" s="67">
        <v>52.058318999999997</v>
      </c>
      <c r="D102" s="67">
        <v>36.806091000000002</v>
      </c>
    </row>
    <row r="103" spans="1:4">
      <c r="A103" s="65">
        <v>21402</v>
      </c>
      <c r="B103" s="71" t="s">
        <v>142</v>
      </c>
      <c r="C103" s="67">
        <v>51.561338300000003</v>
      </c>
      <c r="D103" s="67">
        <v>25.726467</v>
      </c>
    </row>
    <row r="104" spans="1:4">
      <c r="A104" s="65">
        <v>21501</v>
      </c>
      <c r="B104" s="71" t="s">
        <v>144</v>
      </c>
      <c r="C104" s="67">
        <v>25.374449299999998</v>
      </c>
      <c r="D104" s="67">
        <v>17.7858439</v>
      </c>
    </row>
    <row r="105" spans="1:4">
      <c r="A105" s="65">
        <v>21502</v>
      </c>
      <c r="B105" s="71" t="s">
        <v>145</v>
      </c>
      <c r="C105" s="67">
        <v>22.4438903</v>
      </c>
      <c r="D105" s="67">
        <v>12.6711127</v>
      </c>
    </row>
    <row r="106" spans="1:4">
      <c r="A106" s="65">
        <v>21601</v>
      </c>
      <c r="B106" s="71" t="s">
        <v>147</v>
      </c>
      <c r="C106" s="67">
        <v>86.056337999999997</v>
      </c>
      <c r="D106" s="67">
        <v>54.181601000000001</v>
      </c>
    </row>
    <row r="107" spans="1:4">
      <c r="A107" s="65">
        <v>21602</v>
      </c>
      <c r="B107" s="71" t="s">
        <v>148</v>
      </c>
      <c r="C107" s="67">
        <v>76.680244400000007</v>
      </c>
      <c r="D107" s="67">
        <v>46.135265699999998</v>
      </c>
    </row>
    <row r="108" spans="1:4">
      <c r="A108" s="65">
        <v>21701</v>
      </c>
      <c r="B108" s="71" t="s">
        <v>150</v>
      </c>
      <c r="C108" s="67">
        <v>41.485225499999999</v>
      </c>
      <c r="D108" s="67">
        <v>33.020390200000001</v>
      </c>
    </row>
    <row r="109" spans="1:4">
      <c r="A109" s="65">
        <v>21702</v>
      </c>
      <c r="B109" s="71" t="s">
        <v>151</v>
      </c>
      <c r="C109" s="67">
        <v>80.097284200000004</v>
      </c>
      <c r="D109" s="67">
        <v>51.831451399999999</v>
      </c>
    </row>
    <row r="110" spans="1:4">
      <c r="A110" s="65">
        <v>21703</v>
      </c>
      <c r="B110" s="71" t="s">
        <v>152</v>
      </c>
      <c r="C110" s="67">
        <v>84.710424700000004</v>
      </c>
      <c r="D110" s="67">
        <v>66.553595700000002</v>
      </c>
    </row>
    <row r="111" spans="1:4">
      <c r="A111" s="65">
        <v>21801</v>
      </c>
      <c r="B111" s="71" t="s">
        <v>154</v>
      </c>
      <c r="C111" s="67">
        <v>84.299858599999993</v>
      </c>
      <c r="D111" s="67">
        <v>64.006888599999996</v>
      </c>
    </row>
    <row r="112" spans="1:4">
      <c r="A112" s="65">
        <v>21802</v>
      </c>
      <c r="B112" s="71" t="s">
        <v>155</v>
      </c>
      <c r="C112" s="67">
        <v>55.1255661</v>
      </c>
      <c r="D112" s="67">
        <v>44.009695299999997</v>
      </c>
    </row>
    <row r="113" spans="1:4">
      <c r="A113" s="65">
        <v>21803</v>
      </c>
      <c r="B113" s="71" t="s">
        <v>156</v>
      </c>
      <c r="C113" s="67">
        <v>95.448634600000005</v>
      </c>
      <c r="D113" s="67">
        <v>81.044267899999994</v>
      </c>
    </row>
    <row r="114" spans="1:4">
      <c r="A114" s="65">
        <v>21901</v>
      </c>
      <c r="B114" s="71" t="s">
        <v>158</v>
      </c>
      <c r="C114" s="67">
        <v>40.983606600000002</v>
      </c>
      <c r="D114" s="67">
        <v>36.366711799999997</v>
      </c>
    </row>
    <row r="115" spans="1:4">
      <c r="A115" s="65">
        <v>21902</v>
      </c>
      <c r="B115" s="71" t="s">
        <v>159</v>
      </c>
      <c r="C115" s="67">
        <v>43.614130400000001</v>
      </c>
      <c r="D115" s="67">
        <v>28.9675516</v>
      </c>
    </row>
    <row r="116" spans="1:4">
      <c r="A116" s="65">
        <v>22001</v>
      </c>
      <c r="B116" s="71" t="s">
        <v>160</v>
      </c>
      <c r="C116" s="67">
        <v>39.615768799999998</v>
      </c>
      <c r="D116" s="67">
        <v>27.901902199999999</v>
      </c>
    </row>
    <row r="117" spans="1:4">
      <c r="A117" s="65">
        <v>22002</v>
      </c>
      <c r="B117" s="71" t="s">
        <v>161</v>
      </c>
      <c r="C117" s="67">
        <v>60.095011900000003</v>
      </c>
      <c r="D117" s="67">
        <v>45.090180400000001</v>
      </c>
    </row>
    <row r="118" spans="1:4">
      <c r="A118" s="65">
        <v>30101</v>
      </c>
      <c r="B118" s="71" t="s">
        <v>162</v>
      </c>
      <c r="C118" s="67">
        <v>13.0355854</v>
      </c>
      <c r="D118" s="67">
        <v>5.8316413000000002</v>
      </c>
    </row>
    <row r="119" spans="1:4">
      <c r="A119" s="65">
        <v>30201</v>
      </c>
      <c r="B119" s="71" t="s">
        <v>165</v>
      </c>
      <c r="C119" s="67">
        <v>54.916140900000002</v>
      </c>
      <c r="D119" s="67">
        <v>42.2293977</v>
      </c>
    </row>
    <row r="120" spans="1:4">
      <c r="A120" s="65">
        <v>30202</v>
      </c>
      <c r="B120" s="71" t="s">
        <v>166</v>
      </c>
      <c r="C120" s="67">
        <v>59.466493200000002</v>
      </c>
      <c r="D120" s="67">
        <v>46.605818599999999</v>
      </c>
    </row>
    <row r="121" spans="1:4">
      <c r="A121" s="65">
        <v>30203</v>
      </c>
      <c r="B121" s="71" t="s">
        <v>167</v>
      </c>
      <c r="C121" s="67">
        <v>47.489539700000002</v>
      </c>
      <c r="D121" s="67">
        <v>28.8020833</v>
      </c>
    </row>
    <row r="122" spans="1:4">
      <c r="A122" s="65">
        <v>30301</v>
      </c>
      <c r="B122" s="71" t="s">
        <v>168</v>
      </c>
      <c r="C122" s="67">
        <v>84.633183599999995</v>
      </c>
      <c r="D122" s="67">
        <v>65.766406099999998</v>
      </c>
    </row>
    <row r="123" spans="1:4">
      <c r="A123" s="65">
        <v>30302</v>
      </c>
      <c r="B123" s="71" t="s">
        <v>169</v>
      </c>
      <c r="C123" s="67">
        <v>69.994918699999999</v>
      </c>
      <c r="D123" s="67">
        <v>56.622712100000001</v>
      </c>
    </row>
    <row r="124" spans="1:4">
      <c r="A124" s="65">
        <v>30303</v>
      </c>
      <c r="B124" s="71" t="s">
        <v>170</v>
      </c>
      <c r="C124" s="67">
        <v>72.601625999999996</v>
      </c>
      <c r="D124" s="67">
        <v>59.526028500000002</v>
      </c>
    </row>
    <row r="125" spans="1:4">
      <c r="A125" s="65">
        <v>30401</v>
      </c>
      <c r="B125" s="71" t="s">
        <v>172</v>
      </c>
      <c r="C125" s="67">
        <v>54.030081000000003</v>
      </c>
      <c r="D125" s="67">
        <v>38.362282899999997</v>
      </c>
    </row>
    <row r="126" spans="1:4">
      <c r="A126" s="65">
        <v>30402</v>
      </c>
      <c r="B126" s="71" t="s">
        <v>173</v>
      </c>
      <c r="C126" s="67">
        <v>79.438543199999998</v>
      </c>
      <c r="D126" s="67">
        <v>70.107079100000007</v>
      </c>
    </row>
    <row r="127" spans="1:4">
      <c r="A127" s="65">
        <v>30403</v>
      </c>
      <c r="B127" s="71" t="s">
        <v>174</v>
      </c>
      <c r="C127" s="67">
        <v>50.506146100000002</v>
      </c>
      <c r="D127" s="67">
        <v>42.625368700000003</v>
      </c>
    </row>
    <row r="128" spans="1:4">
      <c r="A128" s="65">
        <v>30404</v>
      </c>
      <c r="B128" s="71" t="s">
        <v>175</v>
      </c>
      <c r="C128" s="67">
        <v>71.758316399999998</v>
      </c>
      <c r="D128" s="67">
        <v>65.948275899999999</v>
      </c>
    </row>
    <row r="129" spans="1:4">
      <c r="A129" s="65">
        <v>30501</v>
      </c>
      <c r="B129" s="71" t="s">
        <v>176</v>
      </c>
      <c r="C129" s="67">
        <v>44.402035599999998</v>
      </c>
      <c r="D129" s="67">
        <v>25.465692099999998</v>
      </c>
    </row>
    <row r="130" spans="1:4">
      <c r="A130" s="65">
        <v>30502</v>
      </c>
      <c r="B130" s="71" t="s">
        <v>177</v>
      </c>
      <c r="C130" s="67">
        <v>73.922548399999997</v>
      </c>
      <c r="D130" s="67">
        <v>57.709373300000003</v>
      </c>
    </row>
    <row r="131" spans="1:4">
      <c r="A131" s="65">
        <v>30601</v>
      </c>
      <c r="B131" s="71" t="s">
        <v>178</v>
      </c>
      <c r="C131" s="67">
        <v>83.923705699999999</v>
      </c>
      <c r="D131" s="67">
        <v>72.871794899999998</v>
      </c>
    </row>
    <row r="132" spans="1:4">
      <c r="A132" s="65">
        <v>30602</v>
      </c>
      <c r="B132" s="71" t="s">
        <v>179</v>
      </c>
      <c r="C132" s="67">
        <v>60.952951800000001</v>
      </c>
      <c r="D132" s="67">
        <v>53.028868899999999</v>
      </c>
    </row>
    <row r="133" spans="1:4">
      <c r="A133" s="65">
        <v>30701</v>
      </c>
      <c r="B133" s="71" t="s">
        <v>180</v>
      </c>
      <c r="C133" s="67">
        <v>44.365721999999998</v>
      </c>
      <c r="D133" s="67">
        <v>32.241453300000003</v>
      </c>
    </row>
    <row r="134" spans="1:4">
      <c r="A134" s="65">
        <v>30702</v>
      </c>
      <c r="B134" s="71" t="s">
        <v>181</v>
      </c>
      <c r="C134" s="67">
        <v>50.728256299999998</v>
      </c>
      <c r="D134" s="67">
        <v>29.3550532</v>
      </c>
    </row>
    <row r="135" spans="1:4">
      <c r="A135" s="65">
        <v>30703</v>
      </c>
      <c r="B135" s="71" t="s">
        <v>182</v>
      </c>
      <c r="C135" s="67">
        <v>71.745152399999995</v>
      </c>
      <c r="D135" s="67">
        <v>48.824867300000001</v>
      </c>
    </row>
    <row r="136" spans="1:4">
      <c r="A136" s="65">
        <v>30801</v>
      </c>
      <c r="B136" s="71" t="s">
        <v>184</v>
      </c>
      <c r="C136" s="67">
        <v>22.231543599999998</v>
      </c>
      <c r="D136" s="67">
        <v>8.8355948000000009</v>
      </c>
    </row>
    <row r="137" spans="1:4">
      <c r="A137" s="65">
        <v>30802</v>
      </c>
      <c r="B137" s="71" t="s">
        <v>185</v>
      </c>
      <c r="C137" s="67">
        <v>54.585152800000003</v>
      </c>
      <c r="D137" s="67">
        <v>34.681182</v>
      </c>
    </row>
    <row r="138" spans="1:4">
      <c r="A138" s="65">
        <v>30803</v>
      </c>
      <c r="B138" s="71" t="s">
        <v>186</v>
      </c>
      <c r="C138" s="67">
        <v>26.394557800000001</v>
      </c>
      <c r="D138" s="67">
        <v>27.066772700000001</v>
      </c>
    </row>
    <row r="139" spans="1:4">
      <c r="A139" s="65">
        <v>30901</v>
      </c>
      <c r="B139" s="71" t="s">
        <v>187</v>
      </c>
      <c r="C139" s="67">
        <v>10.8123904</v>
      </c>
      <c r="D139" s="67">
        <v>5.0171849000000002</v>
      </c>
    </row>
    <row r="140" spans="1:4">
      <c r="A140" s="65">
        <v>30902</v>
      </c>
      <c r="B140" s="71" t="s">
        <v>188</v>
      </c>
      <c r="C140" s="67">
        <v>33.499956900000001</v>
      </c>
      <c r="D140" s="67">
        <v>17.0724865</v>
      </c>
    </row>
    <row r="141" spans="1:4">
      <c r="A141" s="65">
        <v>30903</v>
      </c>
      <c r="B141" s="71" t="s">
        <v>189</v>
      </c>
      <c r="C141" s="67">
        <v>15.0826297</v>
      </c>
      <c r="D141" s="67">
        <v>5.1918357999999998</v>
      </c>
    </row>
    <row r="142" spans="1:4">
      <c r="A142" s="65">
        <v>30904</v>
      </c>
      <c r="B142" s="71" t="s">
        <v>190</v>
      </c>
      <c r="C142" s="67">
        <v>27.2219117</v>
      </c>
      <c r="D142" s="67">
        <v>9.6201196000000007</v>
      </c>
    </row>
    <row r="143" spans="1:4">
      <c r="A143" s="65">
        <v>30905</v>
      </c>
      <c r="B143" s="71" t="s">
        <v>191</v>
      </c>
      <c r="C143" s="67">
        <v>5.1428149000000003</v>
      </c>
      <c r="D143" s="67">
        <v>2.4231370999999999</v>
      </c>
    </row>
    <row r="144" spans="1:4">
      <c r="A144" s="65">
        <v>31001</v>
      </c>
      <c r="B144" s="71" t="s">
        <v>193</v>
      </c>
      <c r="C144" s="67">
        <v>21.6109896</v>
      </c>
      <c r="D144" s="67">
        <v>12.455095</v>
      </c>
    </row>
    <row r="145" spans="1:4">
      <c r="A145" s="65">
        <v>31002</v>
      </c>
      <c r="B145" s="71" t="s">
        <v>194</v>
      </c>
      <c r="C145" s="67">
        <v>39.687811400000001</v>
      </c>
      <c r="D145" s="67">
        <v>31.096196899999999</v>
      </c>
    </row>
    <row r="146" spans="1:4">
      <c r="A146" s="65">
        <v>31003</v>
      </c>
      <c r="B146" s="71" t="s">
        <v>195</v>
      </c>
      <c r="C146" s="67">
        <v>39.0982226</v>
      </c>
      <c r="D146" s="67">
        <v>34.194655699999998</v>
      </c>
    </row>
    <row r="147" spans="1:4">
      <c r="A147" s="65">
        <v>31101</v>
      </c>
      <c r="B147" s="71" t="s">
        <v>196</v>
      </c>
      <c r="C147" s="67">
        <v>88.142487399999993</v>
      </c>
      <c r="D147" s="67">
        <v>79.954347400000003</v>
      </c>
    </row>
    <row r="148" spans="1:4">
      <c r="A148" s="65">
        <v>31201</v>
      </c>
      <c r="B148" s="71" t="s">
        <v>198</v>
      </c>
      <c r="C148" s="67">
        <v>72.044829800000002</v>
      </c>
      <c r="D148" s="67">
        <v>62.698560999999998</v>
      </c>
    </row>
    <row r="149" spans="1:4">
      <c r="A149" s="65">
        <v>31202</v>
      </c>
      <c r="B149" s="71" t="s">
        <v>199</v>
      </c>
      <c r="C149" s="67">
        <v>73.260073300000002</v>
      </c>
      <c r="D149" s="67">
        <v>58.353576199999999</v>
      </c>
    </row>
    <row r="150" spans="1:4">
      <c r="A150" s="65">
        <v>31203</v>
      </c>
      <c r="B150" s="71" t="s">
        <v>200</v>
      </c>
      <c r="C150" s="67">
        <v>66.139954900000006</v>
      </c>
      <c r="D150" s="67">
        <v>50.752112099999998</v>
      </c>
    </row>
    <row r="151" spans="1:4">
      <c r="A151" s="65">
        <v>31204</v>
      </c>
      <c r="B151" s="71" t="s">
        <v>201</v>
      </c>
      <c r="C151" s="67">
        <v>34.600027500000003</v>
      </c>
      <c r="D151" s="67">
        <v>27.763569199999999</v>
      </c>
    </row>
    <row r="152" spans="1:4">
      <c r="A152" s="65">
        <v>31205</v>
      </c>
      <c r="B152" s="71" t="s">
        <v>202</v>
      </c>
      <c r="C152" s="67">
        <v>41.118518100000003</v>
      </c>
      <c r="D152" s="67">
        <v>32.274385199999998</v>
      </c>
    </row>
    <row r="153" spans="1:4">
      <c r="A153" s="65">
        <v>31206</v>
      </c>
      <c r="B153" s="71" t="s">
        <v>203</v>
      </c>
      <c r="C153" s="67">
        <v>47.054108200000002</v>
      </c>
      <c r="D153" s="67">
        <v>34.288700599999999</v>
      </c>
    </row>
    <row r="154" spans="1:4">
      <c r="A154" s="65">
        <v>31301</v>
      </c>
      <c r="B154" s="71" t="s">
        <v>204</v>
      </c>
      <c r="C154" s="67">
        <v>77.162162199999997</v>
      </c>
      <c r="D154" s="67">
        <v>52.245966000000003</v>
      </c>
    </row>
    <row r="155" spans="1:4">
      <c r="A155" s="65">
        <v>31302</v>
      </c>
      <c r="B155" s="71" t="s">
        <v>205</v>
      </c>
      <c r="C155" s="67">
        <v>79.090909100000005</v>
      </c>
      <c r="D155" s="67">
        <v>74.129619700000006</v>
      </c>
    </row>
    <row r="156" spans="1:4">
      <c r="A156" s="65">
        <v>31303</v>
      </c>
      <c r="B156" s="71" t="s">
        <v>206</v>
      </c>
      <c r="C156" s="67">
        <v>88.413547199999996</v>
      </c>
      <c r="D156" s="67">
        <v>80.281690100000006</v>
      </c>
    </row>
    <row r="157" spans="1:4">
      <c r="A157" s="65">
        <v>31304</v>
      </c>
      <c r="B157" s="71" t="s">
        <v>207</v>
      </c>
      <c r="C157" s="67">
        <v>94.826720199999997</v>
      </c>
      <c r="D157" s="67">
        <v>86.913767000000007</v>
      </c>
    </row>
    <row r="158" spans="1:4">
      <c r="A158" s="65">
        <v>31401</v>
      </c>
      <c r="B158" s="71" t="s">
        <v>208</v>
      </c>
      <c r="C158" s="67">
        <v>22.5751366</v>
      </c>
      <c r="D158" s="67">
        <v>8.6587736</v>
      </c>
    </row>
    <row r="159" spans="1:4">
      <c r="A159" s="65">
        <v>31402</v>
      </c>
      <c r="B159" s="71" t="s">
        <v>209</v>
      </c>
      <c r="C159" s="67">
        <v>62.393162400000001</v>
      </c>
      <c r="D159" s="67">
        <v>30.3188228</v>
      </c>
    </row>
    <row r="160" spans="1:4">
      <c r="A160" s="65">
        <v>31403</v>
      </c>
      <c r="B160" s="71" t="s">
        <v>210</v>
      </c>
      <c r="C160" s="67">
        <v>28.873598399999999</v>
      </c>
      <c r="D160" s="67">
        <v>13.4273168</v>
      </c>
    </row>
    <row r="161" spans="1:4">
      <c r="A161" s="65">
        <v>31404</v>
      </c>
      <c r="B161" s="71" t="s">
        <v>211</v>
      </c>
      <c r="C161" s="67">
        <v>76.323119800000001</v>
      </c>
      <c r="D161" s="67">
        <v>37.525773200000003</v>
      </c>
    </row>
    <row r="162" spans="1:4">
      <c r="A162" s="65">
        <v>31405</v>
      </c>
      <c r="B162" s="71" t="s">
        <v>212</v>
      </c>
      <c r="C162" s="67">
        <v>65.763195400000001</v>
      </c>
      <c r="D162" s="67">
        <v>43.424787100000003</v>
      </c>
    </row>
    <row r="163" spans="1:4">
      <c r="A163" s="65">
        <v>31501</v>
      </c>
      <c r="B163" s="71" t="s">
        <v>213</v>
      </c>
      <c r="C163" s="67">
        <v>94.082840200000007</v>
      </c>
      <c r="D163" s="67">
        <v>85.487387100000007</v>
      </c>
    </row>
    <row r="164" spans="1:4">
      <c r="A164" s="65">
        <v>31601</v>
      </c>
      <c r="B164" s="71" t="s">
        <v>214</v>
      </c>
      <c r="C164" s="67">
        <v>54.110221699999997</v>
      </c>
      <c r="D164" s="67">
        <v>34.845762200000003</v>
      </c>
    </row>
    <row r="165" spans="1:4">
      <c r="A165" s="65">
        <v>31602</v>
      </c>
      <c r="B165" s="71" t="s">
        <v>215</v>
      </c>
      <c r="C165" s="67">
        <v>26.8952831</v>
      </c>
      <c r="D165" s="67">
        <v>20.3048605</v>
      </c>
    </row>
    <row r="166" spans="1:4">
      <c r="A166" s="65">
        <v>40101</v>
      </c>
      <c r="B166" s="71" t="s">
        <v>216</v>
      </c>
      <c r="C166" s="67">
        <v>27.162296000000001</v>
      </c>
      <c r="D166" s="67">
        <v>12.925106400000001</v>
      </c>
    </row>
    <row r="167" spans="1:4">
      <c r="A167" s="65">
        <v>40102</v>
      </c>
      <c r="B167" s="71" t="s">
        <v>217</v>
      </c>
      <c r="C167" s="67">
        <v>73.976083700000004</v>
      </c>
      <c r="D167" s="67">
        <v>53.988961400000001</v>
      </c>
    </row>
    <row r="168" spans="1:4">
      <c r="A168" s="65">
        <v>40103</v>
      </c>
      <c r="B168" s="71" t="s">
        <v>218</v>
      </c>
      <c r="C168" s="67">
        <v>97.669426599999994</v>
      </c>
      <c r="D168" s="67">
        <v>90.218522399999998</v>
      </c>
    </row>
    <row r="169" spans="1:4">
      <c r="A169" s="65">
        <v>40104</v>
      </c>
      <c r="B169" s="71" t="s">
        <v>219</v>
      </c>
      <c r="C169" s="67">
        <v>90.462427700000006</v>
      </c>
      <c r="D169" s="67">
        <v>69.930453900000003</v>
      </c>
    </row>
    <row r="170" spans="1:4">
      <c r="A170" s="65">
        <v>40201</v>
      </c>
      <c r="B170" s="71" t="s">
        <v>221</v>
      </c>
      <c r="C170" s="67">
        <v>72.379216</v>
      </c>
      <c r="D170" s="67">
        <v>58.214575799999999</v>
      </c>
    </row>
    <row r="171" spans="1:4">
      <c r="A171" s="65">
        <v>40202</v>
      </c>
      <c r="B171" s="71" t="s">
        <v>222</v>
      </c>
      <c r="C171" s="67">
        <v>77.363344100000006</v>
      </c>
      <c r="D171" s="67">
        <v>65.305245099999993</v>
      </c>
    </row>
    <row r="172" spans="1:4">
      <c r="A172" s="65">
        <v>40301</v>
      </c>
      <c r="B172" s="71" t="s">
        <v>224</v>
      </c>
      <c r="C172" s="67">
        <v>95.397225700000007</v>
      </c>
      <c r="D172" s="67">
        <v>84.101135600000006</v>
      </c>
    </row>
    <row r="173" spans="1:4">
      <c r="A173" s="65">
        <v>40302</v>
      </c>
      <c r="B173" s="71" t="s">
        <v>225</v>
      </c>
      <c r="C173" s="67">
        <v>81.976744199999999</v>
      </c>
      <c r="D173" s="67">
        <v>61.847988100000002</v>
      </c>
    </row>
    <row r="174" spans="1:4">
      <c r="A174" s="65">
        <v>40401</v>
      </c>
      <c r="B174" s="71" t="s">
        <v>227</v>
      </c>
      <c r="C174" s="67">
        <v>63.616236200000003</v>
      </c>
      <c r="D174" s="67">
        <v>50.327126300000003</v>
      </c>
    </row>
    <row r="175" spans="1:4">
      <c r="A175" s="65">
        <v>40402</v>
      </c>
      <c r="B175" s="71" t="s">
        <v>228</v>
      </c>
      <c r="C175" s="67">
        <v>69.473007699999997</v>
      </c>
      <c r="D175" s="67">
        <v>58.238636399999997</v>
      </c>
    </row>
    <row r="176" spans="1:4">
      <c r="A176" s="65">
        <v>40501</v>
      </c>
      <c r="B176" s="71" t="s">
        <v>230</v>
      </c>
      <c r="C176" s="67">
        <v>28.9398281</v>
      </c>
      <c r="D176" s="67">
        <v>18.791946299999999</v>
      </c>
    </row>
    <row r="177" spans="1:4">
      <c r="A177" s="65">
        <v>40502</v>
      </c>
      <c r="B177" s="71" t="s">
        <v>231</v>
      </c>
      <c r="C177" s="67">
        <v>94.731977799999996</v>
      </c>
      <c r="D177" s="67">
        <v>49.099526099999999</v>
      </c>
    </row>
    <row r="178" spans="1:4">
      <c r="A178" s="65">
        <v>40503</v>
      </c>
      <c r="B178" s="71" t="s">
        <v>232</v>
      </c>
      <c r="C178" s="67">
        <v>94.006849299999999</v>
      </c>
      <c r="D178" s="67">
        <v>40.909090900000002</v>
      </c>
    </row>
    <row r="179" spans="1:4">
      <c r="A179" s="65">
        <v>40504</v>
      </c>
      <c r="B179" s="71" t="s">
        <v>233</v>
      </c>
      <c r="C179" s="67">
        <v>98.816568000000004</v>
      </c>
      <c r="D179" s="67">
        <v>8.0924855000000004</v>
      </c>
    </row>
    <row r="180" spans="1:4">
      <c r="A180" s="65">
        <v>40505</v>
      </c>
      <c r="B180" s="71" t="s">
        <v>234</v>
      </c>
      <c r="C180" s="67">
        <v>87.760778900000005</v>
      </c>
      <c r="D180" s="67">
        <v>39.747995400000001</v>
      </c>
    </row>
    <row r="181" spans="1:4">
      <c r="A181" s="65">
        <v>40601</v>
      </c>
      <c r="B181" s="71" t="s">
        <v>235</v>
      </c>
      <c r="C181" s="67">
        <v>72.5959845</v>
      </c>
      <c r="D181" s="67">
        <v>48.661933400000002</v>
      </c>
    </row>
    <row r="182" spans="1:4">
      <c r="A182" s="65">
        <v>40602</v>
      </c>
      <c r="B182" s="71" t="s">
        <v>236</v>
      </c>
      <c r="C182" s="67">
        <v>84.118993099999997</v>
      </c>
      <c r="D182" s="67">
        <v>66.647823599999995</v>
      </c>
    </row>
    <row r="183" spans="1:4">
      <c r="A183" s="65">
        <v>40603</v>
      </c>
      <c r="B183" s="71" t="s">
        <v>237</v>
      </c>
      <c r="C183" s="67">
        <v>68.652849700000004</v>
      </c>
      <c r="D183" s="67">
        <v>55.172413800000001</v>
      </c>
    </row>
    <row r="184" spans="1:4">
      <c r="A184" s="65">
        <v>40701</v>
      </c>
      <c r="B184" s="71" t="s">
        <v>239</v>
      </c>
      <c r="C184" s="67">
        <v>53.275838100000001</v>
      </c>
      <c r="D184" s="67">
        <v>26.498520899999999</v>
      </c>
    </row>
    <row r="185" spans="1:4">
      <c r="A185" s="65">
        <v>40702</v>
      </c>
      <c r="B185" s="71" t="s">
        <v>240</v>
      </c>
      <c r="C185" s="67">
        <v>60.141206699999998</v>
      </c>
      <c r="D185" s="67">
        <v>37.821691199999997</v>
      </c>
    </row>
    <row r="186" spans="1:4">
      <c r="A186" s="65">
        <v>40801</v>
      </c>
      <c r="B186" s="71" t="s">
        <v>242</v>
      </c>
      <c r="C186" s="67">
        <v>84.746625899999998</v>
      </c>
      <c r="D186" s="67">
        <v>60.211090599999999</v>
      </c>
    </row>
    <row r="187" spans="1:4">
      <c r="A187" s="65">
        <v>40802</v>
      </c>
      <c r="B187" s="71" t="s">
        <v>243</v>
      </c>
      <c r="C187" s="67">
        <v>82.211538500000003</v>
      </c>
      <c r="D187" s="67">
        <v>61.019607800000003</v>
      </c>
    </row>
    <row r="188" spans="1:4">
      <c r="A188" s="65">
        <v>40901</v>
      </c>
      <c r="B188" s="71" t="s">
        <v>244</v>
      </c>
      <c r="C188" s="67">
        <v>88.6515354</v>
      </c>
      <c r="D188" s="67">
        <v>55.408560299999998</v>
      </c>
    </row>
    <row r="189" spans="1:4">
      <c r="A189" s="65">
        <v>40902</v>
      </c>
      <c r="B189" s="71" t="s">
        <v>245</v>
      </c>
      <c r="C189" s="67">
        <v>94.861660099999995</v>
      </c>
      <c r="D189" s="67">
        <v>51.820728299999999</v>
      </c>
    </row>
    <row r="190" spans="1:4">
      <c r="A190" s="65">
        <v>40903</v>
      </c>
      <c r="B190" s="71" t="s">
        <v>246</v>
      </c>
      <c r="C190" s="67">
        <v>64.406779700000001</v>
      </c>
      <c r="D190" s="67">
        <v>61.628959299999998</v>
      </c>
    </row>
    <row r="191" spans="1:4">
      <c r="A191" s="65">
        <v>41001</v>
      </c>
      <c r="B191" s="71" t="s">
        <v>248</v>
      </c>
      <c r="C191" s="67">
        <v>93.904410100000007</v>
      </c>
      <c r="D191" s="67">
        <v>83.727810700000006</v>
      </c>
    </row>
    <row r="192" spans="1:4">
      <c r="A192" s="65">
        <v>41101</v>
      </c>
      <c r="B192" s="71" t="s">
        <v>250</v>
      </c>
      <c r="C192" s="67">
        <v>80.9272919</v>
      </c>
      <c r="D192" s="67">
        <v>56.818181799999998</v>
      </c>
    </row>
    <row r="193" spans="1:4">
      <c r="A193" s="65">
        <v>41201</v>
      </c>
      <c r="B193" s="71" t="s">
        <v>252</v>
      </c>
      <c r="C193" s="67">
        <v>94.026104399999994</v>
      </c>
      <c r="D193" s="67">
        <v>70.897155400000003</v>
      </c>
    </row>
    <row r="194" spans="1:4">
      <c r="A194" s="65">
        <v>41202</v>
      </c>
      <c r="B194" s="71" t="s">
        <v>253</v>
      </c>
      <c r="C194" s="67">
        <v>97.390109899999999</v>
      </c>
      <c r="D194" s="67">
        <v>60.964513199999999</v>
      </c>
    </row>
    <row r="195" spans="1:4">
      <c r="A195" s="65">
        <v>41301</v>
      </c>
      <c r="B195" s="71" t="s">
        <v>198</v>
      </c>
      <c r="C195" s="67">
        <v>87.327677600000001</v>
      </c>
      <c r="D195" s="67">
        <v>71.223564999999994</v>
      </c>
    </row>
    <row r="196" spans="1:4">
      <c r="A196" s="65">
        <v>41401</v>
      </c>
      <c r="B196" s="71" t="s">
        <v>256</v>
      </c>
      <c r="C196" s="67">
        <v>78.428637800000004</v>
      </c>
      <c r="D196" s="67">
        <v>64.194869600000004</v>
      </c>
    </row>
    <row r="197" spans="1:4">
      <c r="A197" s="65">
        <v>41501</v>
      </c>
      <c r="B197" s="71" t="s">
        <v>258</v>
      </c>
      <c r="C197" s="67">
        <v>84.530386699999994</v>
      </c>
      <c r="D197" s="67">
        <v>50.1766784</v>
      </c>
    </row>
    <row r="198" spans="1:4">
      <c r="A198" s="65">
        <v>41502</v>
      </c>
      <c r="B198" s="71" t="s">
        <v>259</v>
      </c>
      <c r="C198" s="67">
        <v>86.010362700000002</v>
      </c>
      <c r="D198" s="67">
        <v>34.0425532</v>
      </c>
    </row>
    <row r="199" spans="1:4">
      <c r="A199" s="65">
        <v>41503</v>
      </c>
      <c r="B199" s="71" t="s">
        <v>223</v>
      </c>
      <c r="C199" s="67">
        <v>95.510204099999996</v>
      </c>
      <c r="D199" s="67">
        <v>58.365758800000002</v>
      </c>
    </row>
    <row r="200" spans="1:4">
      <c r="A200" s="65">
        <v>41601</v>
      </c>
      <c r="B200" s="71" t="s">
        <v>261</v>
      </c>
      <c r="C200" s="67">
        <v>93.034605099999993</v>
      </c>
      <c r="D200" s="67">
        <v>73.622336500000003</v>
      </c>
    </row>
    <row r="201" spans="1:4">
      <c r="A201" s="65">
        <v>50101</v>
      </c>
      <c r="B201" s="71" t="s">
        <v>262</v>
      </c>
      <c r="C201" s="67">
        <v>18.5714839</v>
      </c>
      <c r="D201" s="67">
        <v>13.7476068</v>
      </c>
    </row>
    <row r="202" spans="1:4">
      <c r="A202" s="65">
        <v>50102</v>
      </c>
      <c r="B202" s="71" t="s">
        <v>264</v>
      </c>
      <c r="C202" s="67">
        <v>89.171636800000002</v>
      </c>
      <c r="D202" s="67">
        <v>88.209473299999999</v>
      </c>
    </row>
    <row r="203" spans="1:4">
      <c r="A203" s="65">
        <v>50103</v>
      </c>
      <c r="B203" s="71" t="s">
        <v>265</v>
      </c>
      <c r="C203" s="67">
        <v>69.684499299999999</v>
      </c>
      <c r="D203" s="67">
        <v>54.282987400000003</v>
      </c>
    </row>
    <row r="204" spans="1:4">
      <c r="A204" s="65">
        <v>50104</v>
      </c>
      <c r="B204" s="71" t="s">
        <v>266</v>
      </c>
      <c r="C204" s="67">
        <v>89.655172399999998</v>
      </c>
      <c r="D204" s="67">
        <v>78.787878800000001</v>
      </c>
    </row>
    <row r="205" spans="1:4">
      <c r="A205" s="65">
        <v>50201</v>
      </c>
      <c r="B205" s="71" t="s">
        <v>268</v>
      </c>
      <c r="C205" s="67">
        <v>62.5075529</v>
      </c>
      <c r="D205" s="67">
        <v>55.173639899999998</v>
      </c>
    </row>
    <row r="206" spans="1:4">
      <c r="A206" s="65">
        <v>50202</v>
      </c>
      <c r="B206" s="71" t="s">
        <v>269</v>
      </c>
      <c r="C206" s="67">
        <v>79.322905500000005</v>
      </c>
      <c r="D206" s="67">
        <v>60.463061199999999</v>
      </c>
    </row>
    <row r="207" spans="1:4">
      <c r="A207" s="65">
        <v>50203</v>
      </c>
      <c r="B207" s="71" t="s">
        <v>270</v>
      </c>
      <c r="C207" s="67">
        <v>43.814973000000002</v>
      </c>
      <c r="D207" s="67">
        <v>33.014921600000001</v>
      </c>
    </row>
    <row r="208" spans="1:4">
      <c r="A208" s="65">
        <v>50204</v>
      </c>
      <c r="B208" s="71" t="s">
        <v>271</v>
      </c>
      <c r="C208" s="67">
        <v>93.653591899999995</v>
      </c>
      <c r="D208" s="67">
        <v>79.287598900000006</v>
      </c>
    </row>
    <row r="209" spans="1:4">
      <c r="A209" s="65">
        <v>50301</v>
      </c>
      <c r="B209" s="71" t="s">
        <v>273</v>
      </c>
      <c r="C209" s="67">
        <v>72.379384799999997</v>
      </c>
      <c r="D209" s="67">
        <v>56.276897699999999</v>
      </c>
    </row>
    <row r="210" spans="1:4">
      <c r="A210" s="65">
        <v>50302</v>
      </c>
      <c r="B210" s="71" t="s">
        <v>274</v>
      </c>
      <c r="C210" s="67">
        <v>73.960273099999995</v>
      </c>
      <c r="D210" s="67">
        <v>59.994256200000002</v>
      </c>
    </row>
    <row r="211" spans="1:4">
      <c r="A211" s="65">
        <v>50303</v>
      </c>
      <c r="B211" s="71" t="s">
        <v>275</v>
      </c>
      <c r="C211" s="67">
        <v>97.5365666</v>
      </c>
      <c r="D211" s="67">
        <v>90.773981899999995</v>
      </c>
    </row>
    <row r="212" spans="1:4">
      <c r="A212" s="65">
        <v>50401</v>
      </c>
      <c r="B212" s="71" t="s">
        <v>276</v>
      </c>
      <c r="C212" s="67">
        <v>77.041530600000002</v>
      </c>
      <c r="D212" s="67">
        <v>68.108357699999999</v>
      </c>
    </row>
    <row r="213" spans="1:4">
      <c r="A213" s="65">
        <v>50402</v>
      </c>
      <c r="B213" s="71" t="s">
        <v>277</v>
      </c>
      <c r="C213" s="67">
        <v>72.789828</v>
      </c>
      <c r="D213" s="67">
        <v>74.127906999999993</v>
      </c>
    </row>
    <row r="214" spans="1:4">
      <c r="A214" s="65">
        <v>50403</v>
      </c>
      <c r="B214" s="71" t="s">
        <v>278</v>
      </c>
      <c r="C214" s="67">
        <v>89.355144600000003</v>
      </c>
      <c r="D214" s="67">
        <v>80.953900099999998</v>
      </c>
    </row>
    <row r="215" spans="1:4">
      <c r="A215" s="65">
        <v>50404</v>
      </c>
      <c r="B215" s="71" t="s">
        <v>279</v>
      </c>
      <c r="C215" s="67">
        <v>83.8994699</v>
      </c>
      <c r="D215" s="67">
        <v>79.938521300000005</v>
      </c>
    </row>
    <row r="216" spans="1:4">
      <c r="A216" s="65">
        <v>50405</v>
      </c>
      <c r="B216" s="71" t="s">
        <v>280</v>
      </c>
      <c r="C216" s="67">
        <v>81.646763000000007</v>
      </c>
      <c r="D216" s="67">
        <v>78.821995700000002</v>
      </c>
    </row>
    <row r="217" spans="1:4">
      <c r="A217" s="65">
        <v>50501</v>
      </c>
      <c r="B217" s="71" t="s">
        <v>282</v>
      </c>
      <c r="C217" s="67">
        <v>92.328138199999998</v>
      </c>
      <c r="D217" s="67">
        <v>85.986021399999998</v>
      </c>
    </row>
    <row r="218" spans="1:4">
      <c r="A218" s="65">
        <v>50502</v>
      </c>
      <c r="B218" s="71" t="s">
        <v>283</v>
      </c>
      <c r="C218" s="67">
        <v>79.46454</v>
      </c>
      <c r="D218" s="67">
        <v>71.254771000000005</v>
      </c>
    </row>
    <row r="219" spans="1:4">
      <c r="A219" s="65">
        <v>50601</v>
      </c>
      <c r="B219" s="71" t="s">
        <v>285</v>
      </c>
      <c r="C219" s="67">
        <v>72.653362900000005</v>
      </c>
      <c r="D219" s="67">
        <v>52.761938700000002</v>
      </c>
    </row>
    <row r="220" spans="1:4">
      <c r="A220" s="65">
        <v>50602</v>
      </c>
      <c r="B220" s="71" t="s">
        <v>286</v>
      </c>
      <c r="C220" s="67">
        <v>69.750320099999996</v>
      </c>
      <c r="D220" s="67">
        <v>51.520618599999999</v>
      </c>
    </row>
    <row r="221" spans="1:4">
      <c r="A221" s="65">
        <v>50701</v>
      </c>
      <c r="B221" s="71" t="s">
        <v>288</v>
      </c>
      <c r="C221" s="67">
        <v>84.389462399999999</v>
      </c>
      <c r="D221" s="67">
        <v>75.910901300000006</v>
      </c>
    </row>
    <row r="222" spans="1:4">
      <c r="A222" s="65">
        <v>50702</v>
      </c>
      <c r="B222" s="71" t="s">
        <v>289</v>
      </c>
      <c r="C222" s="67">
        <v>85.844582299999999</v>
      </c>
      <c r="D222" s="67">
        <v>85.726471399999994</v>
      </c>
    </row>
    <row r="223" spans="1:4">
      <c r="A223" s="65">
        <v>50801</v>
      </c>
      <c r="B223" s="71" t="s">
        <v>291</v>
      </c>
      <c r="C223" s="67">
        <v>36.121330399999998</v>
      </c>
      <c r="D223" s="67">
        <v>20.225497600000001</v>
      </c>
    </row>
    <row r="224" spans="1:4">
      <c r="A224" s="65">
        <v>50802</v>
      </c>
      <c r="B224" s="71" t="s">
        <v>292</v>
      </c>
      <c r="C224" s="67">
        <v>77.5447427</v>
      </c>
      <c r="D224" s="67">
        <v>59.1308984</v>
      </c>
    </row>
    <row r="225" spans="1:4">
      <c r="A225" s="65">
        <v>50901</v>
      </c>
      <c r="B225" s="71" t="s">
        <v>294</v>
      </c>
      <c r="C225" s="67">
        <v>70.426368299999993</v>
      </c>
      <c r="D225" s="67">
        <v>26.794717899999998</v>
      </c>
    </row>
    <row r="226" spans="1:4">
      <c r="A226" s="65">
        <v>50902</v>
      </c>
      <c r="B226" s="71" t="s">
        <v>295</v>
      </c>
      <c r="C226" s="67">
        <v>73.118279599999994</v>
      </c>
      <c r="D226" s="67">
        <v>36.073059399999998</v>
      </c>
    </row>
    <row r="227" spans="1:4">
      <c r="A227" s="65">
        <v>51001</v>
      </c>
      <c r="B227" s="71" t="s">
        <v>297</v>
      </c>
      <c r="C227" s="67">
        <v>81.859931099999997</v>
      </c>
      <c r="D227" s="67">
        <v>52.745274500000001</v>
      </c>
    </row>
    <row r="228" spans="1:4">
      <c r="A228" s="65">
        <v>51002</v>
      </c>
      <c r="B228" s="71" t="s">
        <v>298</v>
      </c>
      <c r="C228" s="67">
        <v>70.670391100000003</v>
      </c>
      <c r="D228" s="67">
        <v>42.592592600000003</v>
      </c>
    </row>
    <row r="229" spans="1:4">
      <c r="A229" s="65">
        <v>51003</v>
      </c>
      <c r="B229" s="71" t="s">
        <v>299</v>
      </c>
      <c r="C229" s="67">
        <v>70.629370600000001</v>
      </c>
      <c r="D229" s="67">
        <v>41.594202899999999</v>
      </c>
    </row>
    <row r="230" spans="1:4">
      <c r="A230" s="65">
        <v>51101</v>
      </c>
      <c r="B230" s="71" t="s">
        <v>301</v>
      </c>
      <c r="C230" s="67">
        <v>70.702520100000001</v>
      </c>
      <c r="D230" s="67">
        <v>49.496080599999999</v>
      </c>
    </row>
    <row r="231" spans="1:4">
      <c r="A231" s="65">
        <v>51102</v>
      </c>
      <c r="B231" s="71" t="s">
        <v>302</v>
      </c>
      <c r="C231" s="67">
        <v>71.972904299999996</v>
      </c>
      <c r="D231" s="67">
        <v>45.875511500000002</v>
      </c>
    </row>
    <row r="232" spans="1:4">
      <c r="A232" s="65">
        <v>51103</v>
      </c>
      <c r="B232" s="71" t="s">
        <v>303</v>
      </c>
      <c r="C232" s="67">
        <v>93.335075799999998</v>
      </c>
      <c r="D232" s="67">
        <v>81.965262899999999</v>
      </c>
    </row>
    <row r="233" spans="1:4">
      <c r="A233" s="65">
        <v>51201</v>
      </c>
      <c r="B233" s="71" t="s">
        <v>305</v>
      </c>
      <c r="C233" s="67">
        <v>59.737417899999997</v>
      </c>
      <c r="D233" s="67">
        <v>35.373838900000003</v>
      </c>
    </row>
    <row r="234" spans="1:4">
      <c r="A234" s="65">
        <v>51202</v>
      </c>
      <c r="B234" s="71" t="s">
        <v>306</v>
      </c>
      <c r="C234" s="67">
        <v>93.142671399999998</v>
      </c>
      <c r="D234" s="67">
        <v>73.228821199999999</v>
      </c>
    </row>
    <row r="235" spans="1:4">
      <c r="A235" s="65">
        <v>51203</v>
      </c>
      <c r="B235" s="71" t="s">
        <v>307</v>
      </c>
      <c r="C235" s="67">
        <v>40.177439800000002</v>
      </c>
      <c r="D235" s="67">
        <v>21.944759699999999</v>
      </c>
    </row>
    <row r="236" spans="1:4">
      <c r="A236" s="65">
        <v>51204</v>
      </c>
      <c r="B236" s="71" t="s">
        <v>308</v>
      </c>
      <c r="C236" s="67">
        <v>90.088826600000004</v>
      </c>
      <c r="D236" s="67">
        <v>70.272343699999993</v>
      </c>
    </row>
    <row r="237" spans="1:4">
      <c r="A237" s="65">
        <v>51301</v>
      </c>
      <c r="B237" s="71" t="s">
        <v>310</v>
      </c>
      <c r="C237" s="67">
        <v>80.893682600000005</v>
      </c>
      <c r="D237" s="67">
        <v>70.281400099999999</v>
      </c>
    </row>
    <row r="238" spans="1:4">
      <c r="A238" s="65">
        <v>51302</v>
      </c>
      <c r="B238" s="71" t="s">
        <v>311</v>
      </c>
      <c r="C238" s="67">
        <v>87.085514799999999</v>
      </c>
      <c r="D238" s="67">
        <v>75.969415600000005</v>
      </c>
    </row>
    <row r="239" spans="1:4">
      <c r="A239" s="65">
        <v>51401</v>
      </c>
      <c r="B239" s="71" t="s">
        <v>313</v>
      </c>
      <c r="C239" s="67">
        <v>75.997340399999999</v>
      </c>
      <c r="D239" s="67">
        <v>44.450431000000002</v>
      </c>
    </row>
    <row r="240" spans="1:4">
      <c r="A240" s="65">
        <v>51402</v>
      </c>
      <c r="B240" s="71" t="s">
        <v>314</v>
      </c>
      <c r="C240" s="67">
        <v>92.047128099999995</v>
      </c>
      <c r="D240" s="67">
        <v>66.037735799999993</v>
      </c>
    </row>
    <row r="241" spans="1:4">
      <c r="A241" s="65">
        <v>51501</v>
      </c>
      <c r="B241" s="71" t="s">
        <v>316</v>
      </c>
      <c r="C241" s="67">
        <v>25.9317542</v>
      </c>
      <c r="D241" s="67">
        <v>11.619206</v>
      </c>
    </row>
    <row r="242" spans="1:4">
      <c r="A242" s="65">
        <v>51601</v>
      </c>
      <c r="B242" s="71" t="s">
        <v>318</v>
      </c>
      <c r="C242" s="67">
        <v>74.233128800000003</v>
      </c>
      <c r="D242" s="67">
        <v>32.8335832</v>
      </c>
    </row>
    <row r="243" spans="1:4">
      <c r="A243" s="65">
        <v>60101</v>
      </c>
      <c r="B243" s="71" t="s">
        <v>319</v>
      </c>
      <c r="C243" s="67">
        <v>12.748061</v>
      </c>
      <c r="D243" s="67">
        <v>4.7903285999999996</v>
      </c>
    </row>
    <row r="244" spans="1:4">
      <c r="A244" s="65">
        <v>60201</v>
      </c>
      <c r="B244" s="71" t="s">
        <v>321</v>
      </c>
      <c r="C244" s="67">
        <v>48.271119800000001</v>
      </c>
      <c r="D244" s="67">
        <v>30.607187100000001</v>
      </c>
    </row>
    <row r="245" spans="1:4">
      <c r="A245" s="65">
        <v>60202</v>
      </c>
      <c r="B245" s="71" t="s">
        <v>322</v>
      </c>
      <c r="C245" s="67">
        <v>10.3861518</v>
      </c>
      <c r="D245" s="67">
        <v>3.8019951000000001</v>
      </c>
    </row>
    <row r="246" spans="1:4">
      <c r="A246" s="65">
        <v>60301</v>
      </c>
      <c r="B246" s="71" t="s">
        <v>324</v>
      </c>
      <c r="C246" s="67">
        <v>13.854006699999999</v>
      </c>
      <c r="D246" s="67">
        <v>5.9909184</v>
      </c>
    </row>
    <row r="247" spans="1:4">
      <c r="A247" s="65">
        <v>60302</v>
      </c>
      <c r="B247" s="71" t="s">
        <v>325</v>
      </c>
      <c r="C247" s="67">
        <v>15.969962499999999</v>
      </c>
      <c r="D247" s="67">
        <v>12.3398804</v>
      </c>
    </row>
    <row r="248" spans="1:4">
      <c r="A248" s="65">
        <v>60303</v>
      </c>
      <c r="B248" s="71" t="s">
        <v>326</v>
      </c>
      <c r="C248" s="67">
        <v>16.716882099999999</v>
      </c>
      <c r="D248" s="67">
        <v>8.3547008999999992</v>
      </c>
    </row>
    <row r="249" spans="1:4">
      <c r="A249" s="65">
        <v>60401</v>
      </c>
      <c r="B249" s="71" t="s">
        <v>328</v>
      </c>
      <c r="C249" s="67">
        <v>37.962518000000003</v>
      </c>
      <c r="D249" s="67">
        <v>20.138323799999998</v>
      </c>
    </row>
    <row r="250" spans="1:4">
      <c r="A250" s="65">
        <v>60402</v>
      </c>
      <c r="B250" s="71" t="s">
        <v>329</v>
      </c>
      <c r="C250" s="67">
        <v>26.145552599999998</v>
      </c>
      <c r="D250" s="67">
        <v>21.764705899999999</v>
      </c>
    </row>
    <row r="251" spans="1:4">
      <c r="A251" s="65">
        <v>60501</v>
      </c>
      <c r="B251" s="71" t="s">
        <v>331</v>
      </c>
      <c r="C251" s="67">
        <v>35.764959900000001</v>
      </c>
      <c r="D251" s="67">
        <v>19.183804599999998</v>
      </c>
    </row>
    <row r="252" spans="1:4">
      <c r="A252" s="65">
        <v>60502</v>
      </c>
      <c r="B252" s="71" t="s">
        <v>332</v>
      </c>
      <c r="C252" s="67">
        <v>22.102674499999999</v>
      </c>
      <c r="D252" s="67">
        <v>15.277777800000001</v>
      </c>
    </row>
    <row r="253" spans="1:4">
      <c r="A253" s="65">
        <v>60601</v>
      </c>
      <c r="B253" s="71" t="s">
        <v>203</v>
      </c>
      <c r="C253" s="67">
        <v>39.667589999999997</v>
      </c>
      <c r="D253" s="67">
        <v>27.123552100000001</v>
      </c>
    </row>
    <row r="254" spans="1:4">
      <c r="A254" s="65">
        <v>70101</v>
      </c>
      <c r="B254" s="71" t="s">
        <v>336</v>
      </c>
      <c r="C254" s="67">
        <v>3.4127638</v>
      </c>
      <c r="D254" s="67">
        <v>1.1841345000000001</v>
      </c>
    </row>
    <row r="255" spans="1:4">
      <c r="A255" s="65">
        <v>70102</v>
      </c>
      <c r="B255" s="71" t="s">
        <v>337</v>
      </c>
      <c r="C255" s="67">
        <v>19.728642399999998</v>
      </c>
      <c r="D255" s="67">
        <v>6.0503719</v>
      </c>
    </row>
    <row r="256" spans="1:4">
      <c r="A256" s="65">
        <v>70103</v>
      </c>
      <c r="B256" s="71" t="s">
        <v>338</v>
      </c>
      <c r="C256" s="67">
        <v>26.339039199999998</v>
      </c>
      <c r="D256" s="67">
        <v>8.2956941000000004</v>
      </c>
    </row>
    <row r="257" spans="1:4">
      <c r="A257" s="65">
        <v>70104</v>
      </c>
      <c r="B257" s="71" t="s">
        <v>339</v>
      </c>
      <c r="C257" s="67">
        <v>8.2856339000000006</v>
      </c>
      <c r="D257" s="67">
        <v>2.9900414999999998</v>
      </c>
    </row>
    <row r="258" spans="1:4">
      <c r="A258" s="65">
        <v>70105</v>
      </c>
      <c r="B258" s="71" t="s">
        <v>340</v>
      </c>
      <c r="C258" s="67">
        <v>20.956272999999999</v>
      </c>
      <c r="D258" s="67">
        <v>10.3720202</v>
      </c>
    </row>
    <row r="259" spans="1:4">
      <c r="A259" s="65">
        <v>70201</v>
      </c>
      <c r="B259" s="71" t="s">
        <v>341</v>
      </c>
      <c r="C259" s="67">
        <v>17.4002929</v>
      </c>
      <c r="D259" s="67">
        <v>5.3378328000000002</v>
      </c>
    </row>
    <row r="260" spans="1:4">
      <c r="A260" s="65">
        <v>70202</v>
      </c>
      <c r="B260" s="71" t="s">
        <v>342</v>
      </c>
      <c r="C260" s="67">
        <v>10.78125</v>
      </c>
      <c r="D260" s="67">
        <v>3.7983425</v>
      </c>
    </row>
    <row r="261" spans="1:4">
      <c r="A261" s="65">
        <v>70301</v>
      </c>
      <c r="B261" s="71" t="s">
        <v>344</v>
      </c>
      <c r="C261" s="67">
        <v>7.5473441000000001</v>
      </c>
      <c r="D261" s="67">
        <v>10.3772523</v>
      </c>
    </row>
    <row r="262" spans="1:4">
      <c r="A262" s="65">
        <v>70302</v>
      </c>
      <c r="B262" s="71" t="s">
        <v>345</v>
      </c>
      <c r="C262" s="67">
        <v>14.5623548</v>
      </c>
      <c r="D262" s="67">
        <v>19.316393099999999</v>
      </c>
    </row>
    <row r="263" spans="1:4">
      <c r="A263" s="65">
        <v>70303</v>
      </c>
      <c r="B263" s="71" t="s">
        <v>346</v>
      </c>
      <c r="C263" s="67">
        <v>13.3450395</v>
      </c>
      <c r="D263" s="67">
        <v>34.276838099999999</v>
      </c>
    </row>
    <row r="264" spans="1:4">
      <c r="A264" s="65">
        <v>70401</v>
      </c>
      <c r="B264" s="71" t="s">
        <v>348</v>
      </c>
      <c r="C264" s="67">
        <v>20.971302399999999</v>
      </c>
      <c r="D264" s="67">
        <v>9.6398305000000004</v>
      </c>
    </row>
    <row r="265" spans="1:4">
      <c r="A265" s="65">
        <v>70402</v>
      </c>
      <c r="B265" s="71" t="s">
        <v>349</v>
      </c>
      <c r="C265" s="67">
        <v>22.720314900000002</v>
      </c>
      <c r="D265" s="67">
        <v>12.511316300000001</v>
      </c>
    </row>
    <row r="266" spans="1:4">
      <c r="A266" s="65">
        <v>70403</v>
      </c>
      <c r="B266" s="71" t="s">
        <v>350</v>
      </c>
      <c r="C266" s="67">
        <v>37.928933999999998</v>
      </c>
      <c r="D266" s="67">
        <v>29.579078500000001</v>
      </c>
    </row>
    <row r="267" spans="1:4">
      <c r="A267" s="65">
        <v>70404</v>
      </c>
      <c r="B267" s="71" t="s">
        <v>351</v>
      </c>
      <c r="C267" s="67">
        <v>23.260340599999999</v>
      </c>
      <c r="D267" s="67">
        <v>19.2086574</v>
      </c>
    </row>
    <row r="268" spans="1:4">
      <c r="A268" s="65">
        <v>70501</v>
      </c>
      <c r="B268" s="71" t="s">
        <v>353</v>
      </c>
      <c r="C268" s="67">
        <v>9.0451160999999995</v>
      </c>
      <c r="D268" s="67">
        <v>25.9412424</v>
      </c>
    </row>
    <row r="269" spans="1:4">
      <c r="A269" s="65">
        <v>70502</v>
      </c>
      <c r="B269" s="71" t="s">
        <v>354</v>
      </c>
      <c r="C269" s="67">
        <v>9.3428014000000008</v>
      </c>
      <c r="D269" s="67">
        <v>10.2004626</v>
      </c>
    </row>
    <row r="270" spans="1:4">
      <c r="A270" s="65">
        <v>70503</v>
      </c>
      <c r="B270" s="71" t="s">
        <v>355</v>
      </c>
      <c r="C270" s="67">
        <v>11.8494796</v>
      </c>
      <c r="D270" s="67">
        <v>8.6948392000000005</v>
      </c>
    </row>
    <row r="271" spans="1:4">
      <c r="A271" s="65">
        <v>70601</v>
      </c>
      <c r="B271" s="71" t="s">
        <v>357</v>
      </c>
      <c r="C271" s="67">
        <v>11.8232581</v>
      </c>
      <c r="D271" s="67">
        <v>3.1772268000000001</v>
      </c>
    </row>
    <row r="272" spans="1:4">
      <c r="A272" s="65">
        <v>70602</v>
      </c>
      <c r="B272" s="71" t="s">
        <v>358</v>
      </c>
      <c r="C272" s="67">
        <v>34.190437899999999</v>
      </c>
      <c r="D272" s="67">
        <v>18.264227000000002</v>
      </c>
    </row>
    <row r="273" spans="1:4">
      <c r="A273" s="65">
        <v>70603</v>
      </c>
      <c r="B273" s="71" t="s">
        <v>359</v>
      </c>
      <c r="C273" s="67">
        <v>14.844904</v>
      </c>
      <c r="D273" s="67">
        <v>7.3711675999999997</v>
      </c>
    </row>
    <row r="274" spans="1:4">
      <c r="A274" s="65">
        <v>70701</v>
      </c>
      <c r="B274" s="71" t="s">
        <v>361</v>
      </c>
      <c r="C274" s="67">
        <v>42.016806699999997</v>
      </c>
      <c r="D274" s="67">
        <v>14.340344200000001</v>
      </c>
    </row>
    <row r="275" spans="1:4">
      <c r="A275" s="65">
        <v>70702</v>
      </c>
      <c r="B275" s="71" t="s">
        <v>362</v>
      </c>
      <c r="C275" s="67">
        <v>30.927015399999998</v>
      </c>
      <c r="D275" s="67">
        <v>18.9987432</v>
      </c>
    </row>
    <row r="276" spans="1:4">
      <c r="A276" s="65">
        <v>70703</v>
      </c>
      <c r="B276" s="71" t="s">
        <v>363</v>
      </c>
      <c r="C276" s="67">
        <v>23.347548</v>
      </c>
      <c r="D276" s="67">
        <v>13.050295500000001</v>
      </c>
    </row>
    <row r="277" spans="1:4">
      <c r="A277" s="65">
        <v>70704</v>
      </c>
      <c r="B277" s="71" t="s">
        <v>364</v>
      </c>
      <c r="C277" s="67">
        <v>31.6920322</v>
      </c>
      <c r="D277" s="67">
        <v>14.591594000000001</v>
      </c>
    </row>
    <row r="278" spans="1:4">
      <c r="A278" s="65">
        <v>70705</v>
      </c>
      <c r="B278" s="71" t="s">
        <v>365</v>
      </c>
      <c r="C278" s="67">
        <v>46.820083699999998</v>
      </c>
      <c r="D278" s="67">
        <v>20.987313799999999</v>
      </c>
    </row>
    <row r="279" spans="1:4">
      <c r="A279" s="65">
        <v>70706</v>
      </c>
      <c r="B279" s="71" t="s">
        <v>366</v>
      </c>
      <c r="C279" s="67">
        <v>9.6011463999999993</v>
      </c>
      <c r="D279" s="67">
        <v>6.8350349000000001</v>
      </c>
    </row>
    <row r="280" spans="1:4">
      <c r="A280" s="65">
        <v>70707</v>
      </c>
      <c r="B280" s="71" t="s">
        <v>367</v>
      </c>
      <c r="C280" s="67">
        <v>22.704837099999999</v>
      </c>
      <c r="D280" s="67">
        <v>6.7148013999999998</v>
      </c>
    </row>
    <row r="281" spans="1:4">
      <c r="A281" s="65">
        <v>70801</v>
      </c>
      <c r="B281" s="71" t="s">
        <v>369</v>
      </c>
      <c r="C281" s="67">
        <v>33.649289099999997</v>
      </c>
      <c r="D281" s="67">
        <v>20.445376799999998</v>
      </c>
    </row>
    <row r="282" spans="1:4">
      <c r="A282" s="65">
        <v>70802</v>
      </c>
      <c r="B282" s="71" t="s">
        <v>370</v>
      </c>
      <c r="C282" s="67">
        <v>33.159722199999997</v>
      </c>
      <c r="D282" s="67">
        <v>13.081761</v>
      </c>
    </row>
    <row r="283" spans="1:4">
      <c r="A283" s="65">
        <v>70803</v>
      </c>
      <c r="B283" s="71" t="s">
        <v>371</v>
      </c>
      <c r="C283" s="67">
        <v>44.712643700000001</v>
      </c>
      <c r="D283" s="67">
        <v>32.694248199999997</v>
      </c>
    </row>
    <row r="284" spans="1:4">
      <c r="A284" s="65">
        <v>70804</v>
      </c>
      <c r="B284" s="71" t="s">
        <v>372</v>
      </c>
      <c r="C284" s="67">
        <v>59.1666667</v>
      </c>
      <c r="D284" s="67">
        <v>34.3234323</v>
      </c>
    </row>
    <row r="285" spans="1:4">
      <c r="A285" s="65">
        <v>70805</v>
      </c>
      <c r="B285" s="71" t="s">
        <v>373</v>
      </c>
      <c r="C285" s="67">
        <v>69.921259800000001</v>
      </c>
      <c r="D285" s="67">
        <v>42.456608799999998</v>
      </c>
    </row>
    <row r="286" spans="1:4">
      <c r="A286" s="65">
        <v>70901</v>
      </c>
      <c r="B286" s="71" t="s">
        <v>375</v>
      </c>
      <c r="C286" s="67">
        <v>31.461761899999999</v>
      </c>
      <c r="D286" s="67">
        <v>16.5350444</v>
      </c>
    </row>
    <row r="287" spans="1:4">
      <c r="A287" s="65">
        <v>70902</v>
      </c>
      <c r="B287" s="71" t="s">
        <v>376</v>
      </c>
      <c r="C287" s="67">
        <v>26.6764923</v>
      </c>
      <c r="D287" s="67">
        <v>15.147541</v>
      </c>
    </row>
    <row r="288" spans="1:4">
      <c r="A288" s="65">
        <v>70903</v>
      </c>
      <c r="B288" s="71" t="s">
        <v>377</v>
      </c>
      <c r="C288" s="67">
        <v>19.365722000000002</v>
      </c>
      <c r="D288" s="67">
        <v>15.754060300000001</v>
      </c>
    </row>
    <row r="289" spans="1:4">
      <c r="A289" s="65">
        <v>70904</v>
      </c>
      <c r="B289" s="71" t="s">
        <v>378</v>
      </c>
      <c r="C289" s="67">
        <v>37.6712329</v>
      </c>
      <c r="D289" s="67">
        <v>25.540025400000001</v>
      </c>
    </row>
    <row r="290" spans="1:4">
      <c r="A290" s="65">
        <v>71001</v>
      </c>
      <c r="B290" s="71" t="s">
        <v>380</v>
      </c>
      <c r="C290" s="67">
        <v>10.249402099999999</v>
      </c>
      <c r="D290" s="67">
        <v>3.7443086999999999</v>
      </c>
    </row>
    <row r="291" spans="1:4">
      <c r="A291" s="65">
        <v>71002</v>
      </c>
      <c r="B291" s="71" t="s">
        <v>381</v>
      </c>
      <c r="C291" s="67">
        <v>19.437577300000001</v>
      </c>
      <c r="D291" s="67">
        <v>10.1881597</v>
      </c>
    </row>
    <row r="292" spans="1:4">
      <c r="A292" s="65">
        <v>71003</v>
      </c>
      <c r="B292" s="71" t="s">
        <v>382</v>
      </c>
      <c r="C292" s="67">
        <v>17.007696599999999</v>
      </c>
      <c r="D292" s="67">
        <v>6.7807556</v>
      </c>
    </row>
    <row r="293" spans="1:4">
      <c r="A293" s="65">
        <v>71004</v>
      </c>
      <c r="B293" s="71" t="s">
        <v>383</v>
      </c>
      <c r="C293" s="67">
        <v>18.020866300000002</v>
      </c>
      <c r="D293" s="67">
        <v>12.4200116</v>
      </c>
    </row>
    <row r="294" spans="1:4">
      <c r="A294" s="65">
        <v>71005</v>
      </c>
      <c r="B294" s="71" t="s">
        <v>282</v>
      </c>
      <c r="C294" s="67">
        <v>8.4555650999999994</v>
      </c>
      <c r="D294" s="67">
        <v>7.6556290999999996</v>
      </c>
    </row>
    <row r="295" spans="1:4">
      <c r="A295" s="65">
        <v>71101</v>
      </c>
      <c r="B295" s="71" t="s">
        <v>385</v>
      </c>
      <c r="C295" s="67">
        <v>16.521943199999999</v>
      </c>
      <c r="D295" s="67">
        <v>17.582651200000001</v>
      </c>
    </row>
    <row r="296" spans="1:4">
      <c r="A296" s="65">
        <v>71102</v>
      </c>
      <c r="B296" s="71" t="s">
        <v>386</v>
      </c>
      <c r="C296" s="67">
        <v>14.4740973</v>
      </c>
      <c r="D296" s="67">
        <v>7.8406495999999999</v>
      </c>
    </row>
    <row r="297" spans="1:4">
      <c r="A297" s="65">
        <v>71103</v>
      </c>
      <c r="B297" s="71" t="s">
        <v>389</v>
      </c>
      <c r="C297" s="67">
        <v>19.881305600000001</v>
      </c>
      <c r="D297" s="67">
        <v>11.0974106</v>
      </c>
    </row>
    <row r="298" spans="1:4">
      <c r="A298" s="65">
        <v>71104</v>
      </c>
      <c r="B298" s="71" t="s">
        <v>387</v>
      </c>
      <c r="C298" s="67">
        <v>22.526827000000001</v>
      </c>
      <c r="D298" s="67">
        <v>12.956810600000001</v>
      </c>
    </row>
    <row r="299" spans="1:4">
      <c r="A299" s="65">
        <v>71105</v>
      </c>
      <c r="B299" s="71" t="s">
        <v>388</v>
      </c>
      <c r="C299" s="67">
        <v>16.143106499999998</v>
      </c>
      <c r="D299" s="67">
        <v>7.5932202999999996</v>
      </c>
    </row>
    <row r="300" spans="1:4">
      <c r="A300" s="65">
        <v>71106</v>
      </c>
      <c r="B300" s="71" t="s">
        <v>390</v>
      </c>
      <c r="C300" s="67">
        <v>15.9549229</v>
      </c>
      <c r="D300" s="67">
        <v>7.4797741000000002</v>
      </c>
    </row>
    <row r="301" spans="1:4">
      <c r="A301" s="65">
        <v>71201</v>
      </c>
      <c r="B301" s="71" t="s">
        <v>392</v>
      </c>
      <c r="C301" s="67">
        <v>12.970451000000001</v>
      </c>
      <c r="D301" s="67">
        <v>7.5512665999999999</v>
      </c>
    </row>
    <row r="302" spans="1:4">
      <c r="A302" s="65">
        <v>71301</v>
      </c>
      <c r="B302" s="71" t="s">
        <v>394</v>
      </c>
      <c r="C302" s="67">
        <v>32.4638931</v>
      </c>
      <c r="D302" s="67">
        <v>24.626346900000001</v>
      </c>
    </row>
    <row r="303" spans="1:4">
      <c r="A303" s="65">
        <v>71302</v>
      </c>
      <c r="B303" s="71" t="s">
        <v>395</v>
      </c>
      <c r="C303" s="67">
        <v>35.782389199999997</v>
      </c>
      <c r="D303" s="67">
        <v>16.490698800000001</v>
      </c>
    </row>
    <row r="304" spans="1:4">
      <c r="A304" s="65">
        <v>71401</v>
      </c>
      <c r="B304" s="71" t="s">
        <v>397</v>
      </c>
      <c r="C304" s="67">
        <v>11.835748799999999</v>
      </c>
      <c r="D304" s="67">
        <v>6.9561637999999997</v>
      </c>
    </row>
    <row r="305" spans="1:4">
      <c r="A305" s="65">
        <v>71402</v>
      </c>
      <c r="B305" s="71" t="s">
        <v>398</v>
      </c>
      <c r="C305" s="67">
        <v>7.6784334000000003</v>
      </c>
      <c r="D305" s="67">
        <v>3.0682277</v>
      </c>
    </row>
    <row r="306" spans="1:4">
      <c r="A306" s="65">
        <v>71403</v>
      </c>
      <c r="B306" s="71" t="s">
        <v>399</v>
      </c>
      <c r="C306" s="67">
        <v>16.689008000000001</v>
      </c>
      <c r="D306" s="67">
        <v>17.2215372</v>
      </c>
    </row>
    <row r="307" spans="1:4">
      <c r="A307" s="65">
        <v>71501</v>
      </c>
      <c r="B307" s="71" t="s">
        <v>401</v>
      </c>
      <c r="C307" s="67">
        <v>14.8886071</v>
      </c>
      <c r="D307" s="67">
        <v>19.290937700000001</v>
      </c>
    </row>
    <row r="308" spans="1:4">
      <c r="A308" s="65">
        <v>71502</v>
      </c>
      <c r="B308" s="71" t="s">
        <v>402</v>
      </c>
      <c r="C308" s="67">
        <v>9.8984772000000003</v>
      </c>
      <c r="D308" s="67">
        <v>12.865853700000001</v>
      </c>
    </row>
    <row r="309" spans="1:4">
      <c r="A309" s="65">
        <v>71503</v>
      </c>
      <c r="B309" s="71" t="s">
        <v>332</v>
      </c>
      <c r="C309" s="67">
        <v>39.385787899999997</v>
      </c>
      <c r="D309" s="67">
        <v>26.634645200000001</v>
      </c>
    </row>
    <row r="310" spans="1:4">
      <c r="A310" s="65">
        <v>80101</v>
      </c>
      <c r="B310" s="71" t="s">
        <v>404</v>
      </c>
      <c r="C310" s="67">
        <v>9.1449604000000004</v>
      </c>
      <c r="D310" s="67">
        <v>4.2009555000000001</v>
      </c>
    </row>
    <row r="311" spans="1:4">
      <c r="A311" s="65">
        <v>80102</v>
      </c>
      <c r="B311" s="71" t="s">
        <v>386</v>
      </c>
      <c r="C311" s="67">
        <v>15.203252000000001</v>
      </c>
      <c r="D311" s="67">
        <v>16.127474599999999</v>
      </c>
    </row>
    <row r="312" spans="1:4">
      <c r="A312" s="65">
        <v>80201</v>
      </c>
      <c r="B312" s="71" t="s">
        <v>406</v>
      </c>
      <c r="C312" s="67">
        <v>7.8874820999999997</v>
      </c>
      <c r="D312" s="67">
        <v>4.4056556000000002</v>
      </c>
    </row>
    <row r="313" spans="1:4">
      <c r="A313" s="65">
        <v>80202</v>
      </c>
      <c r="B313" s="71" t="s">
        <v>407</v>
      </c>
      <c r="C313" s="67">
        <v>6.8243169999999997</v>
      </c>
      <c r="D313" s="67">
        <v>4.7470388000000003</v>
      </c>
    </row>
    <row r="314" spans="1:4">
      <c r="A314" s="65">
        <v>80301</v>
      </c>
      <c r="B314" s="71" t="s">
        <v>409</v>
      </c>
      <c r="C314" s="67">
        <v>15.6988521</v>
      </c>
      <c r="D314" s="67">
        <v>7.0529704000000004</v>
      </c>
    </row>
    <row r="315" spans="1:4">
      <c r="A315" s="65">
        <v>80302</v>
      </c>
      <c r="B315" s="71" t="s">
        <v>410</v>
      </c>
      <c r="C315" s="67">
        <v>37.781555500000003</v>
      </c>
      <c r="D315" s="67">
        <v>27.354225700000001</v>
      </c>
    </row>
    <row r="316" spans="1:4">
      <c r="A316" s="65">
        <v>80303</v>
      </c>
      <c r="B316" s="71" t="s">
        <v>358</v>
      </c>
      <c r="C316" s="67">
        <v>7.2874493999999999</v>
      </c>
      <c r="D316" s="67">
        <v>4.3194191999999996</v>
      </c>
    </row>
    <row r="317" spans="1:4">
      <c r="A317" s="65">
        <v>80304</v>
      </c>
      <c r="B317" s="71" t="s">
        <v>411</v>
      </c>
      <c r="C317" s="67">
        <v>24.9948528</v>
      </c>
      <c r="D317" s="67">
        <v>19.985454499999999</v>
      </c>
    </row>
    <row r="318" spans="1:4">
      <c r="A318" s="65">
        <v>80401</v>
      </c>
      <c r="B318" s="71" t="s">
        <v>413</v>
      </c>
      <c r="C318" s="67">
        <v>12.0699708</v>
      </c>
      <c r="D318" s="67">
        <v>9.3597205999999993</v>
      </c>
    </row>
    <row r="319" spans="1:4">
      <c r="A319" s="65">
        <v>80402</v>
      </c>
      <c r="B319" s="71" t="s">
        <v>414</v>
      </c>
      <c r="C319" s="67">
        <v>18.123667399999999</v>
      </c>
      <c r="D319" s="67">
        <v>8.3848797000000008</v>
      </c>
    </row>
    <row r="320" spans="1:4">
      <c r="A320" s="65">
        <v>80501</v>
      </c>
      <c r="B320" s="71" t="s">
        <v>344</v>
      </c>
      <c r="C320" s="67">
        <v>21.5230961</v>
      </c>
      <c r="D320" s="67">
        <v>12.706362499999999</v>
      </c>
    </row>
    <row r="321" spans="1:4">
      <c r="A321" s="65">
        <v>80601</v>
      </c>
      <c r="B321" s="71" t="s">
        <v>417</v>
      </c>
      <c r="C321" s="67">
        <v>16.550925899999999</v>
      </c>
      <c r="D321" s="67">
        <v>12.1557455</v>
      </c>
    </row>
    <row r="322" spans="1:4">
      <c r="A322" s="65">
        <v>80602</v>
      </c>
      <c r="B322" s="71" t="s">
        <v>418</v>
      </c>
      <c r="C322" s="67">
        <v>22.897196300000001</v>
      </c>
      <c r="D322" s="67">
        <v>28.785578699999999</v>
      </c>
    </row>
    <row r="323" spans="1:4">
      <c r="A323" s="65">
        <v>80701</v>
      </c>
      <c r="B323" s="71" t="s">
        <v>420</v>
      </c>
      <c r="C323" s="67">
        <v>5.6618820000000003</v>
      </c>
      <c r="D323" s="67">
        <v>3.5690236</v>
      </c>
    </row>
    <row r="324" spans="1:4">
      <c r="A324" s="65">
        <v>80702</v>
      </c>
      <c r="B324" s="71" t="s">
        <v>389</v>
      </c>
      <c r="C324" s="67">
        <v>7.9310345</v>
      </c>
      <c r="D324" s="67">
        <v>17.3537234</v>
      </c>
    </row>
    <row r="325" spans="1:4">
      <c r="A325" s="65">
        <v>80703</v>
      </c>
      <c r="B325" s="71" t="s">
        <v>421</v>
      </c>
      <c r="C325" s="67">
        <v>13.3333333</v>
      </c>
      <c r="D325" s="67">
        <v>10.491803300000001</v>
      </c>
    </row>
    <row r="326" spans="1:4">
      <c r="A326" s="65">
        <v>80801</v>
      </c>
      <c r="B326" s="71" t="s">
        <v>423</v>
      </c>
      <c r="C326" s="67">
        <v>6.3620071999999999</v>
      </c>
      <c r="D326" s="67">
        <v>4.3933761000000002</v>
      </c>
    </row>
    <row r="327" spans="1:4">
      <c r="A327" s="65">
        <v>80802</v>
      </c>
      <c r="B327" s="71" t="s">
        <v>424</v>
      </c>
      <c r="C327" s="67">
        <v>16.6666667</v>
      </c>
      <c r="D327" s="67">
        <v>14.5348837</v>
      </c>
    </row>
    <row r="328" spans="1:4">
      <c r="A328" s="65">
        <v>80803</v>
      </c>
      <c r="B328" s="71" t="s">
        <v>425</v>
      </c>
      <c r="C328" s="67">
        <v>14.652014700000001</v>
      </c>
      <c r="D328" s="67">
        <v>4.5186640000000002</v>
      </c>
    </row>
    <row r="329" spans="1:4">
      <c r="A329" s="65">
        <v>80901</v>
      </c>
      <c r="B329" s="71" t="s">
        <v>427</v>
      </c>
      <c r="C329" s="67">
        <v>28.843106200000001</v>
      </c>
      <c r="D329" s="67">
        <v>30.911062900000001</v>
      </c>
    </row>
    <row r="330" spans="1:4">
      <c r="A330" s="65">
        <v>90101</v>
      </c>
      <c r="B330" s="71" t="s">
        <v>430</v>
      </c>
      <c r="C330" s="67">
        <v>8.9320546000000007</v>
      </c>
      <c r="D330" s="67">
        <v>3.1161655000000001</v>
      </c>
    </row>
    <row r="331" spans="1:4">
      <c r="A331" s="65">
        <v>90102</v>
      </c>
      <c r="B331" s="71" t="s">
        <v>431</v>
      </c>
      <c r="C331" s="67">
        <v>8.0362538000000008</v>
      </c>
      <c r="D331" s="67">
        <v>6.0089686000000002</v>
      </c>
    </row>
    <row r="332" spans="1:4">
      <c r="A332" s="65">
        <v>90103</v>
      </c>
      <c r="B332" s="71" t="s">
        <v>432</v>
      </c>
      <c r="C332" s="67">
        <v>30.091743099999999</v>
      </c>
      <c r="D332" s="67">
        <v>15.2119701</v>
      </c>
    </row>
    <row r="333" spans="1:4">
      <c r="A333" s="65">
        <v>90104</v>
      </c>
      <c r="B333" s="71" t="s">
        <v>433</v>
      </c>
      <c r="C333" s="67">
        <v>28.389830499999999</v>
      </c>
      <c r="D333" s="67">
        <v>13.8461538</v>
      </c>
    </row>
    <row r="334" spans="1:4">
      <c r="A334" s="65">
        <v>90201</v>
      </c>
      <c r="B334" s="71" t="s">
        <v>435</v>
      </c>
      <c r="C334" s="67">
        <v>11.8668596</v>
      </c>
      <c r="D334" s="67">
        <v>4.0723982000000003</v>
      </c>
    </row>
    <row r="335" spans="1:4">
      <c r="A335" s="65">
        <v>90202</v>
      </c>
      <c r="B335" s="71" t="s">
        <v>282</v>
      </c>
      <c r="C335" s="67">
        <v>37.152209499999998</v>
      </c>
      <c r="D335" s="67">
        <v>7.3529412000000001</v>
      </c>
    </row>
    <row r="336" spans="1:4">
      <c r="A336" s="65">
        <v>90203</v>
      </c>
      <c r="B336" s="71" t="s">
        <v>436</v>
      </c>
      <c r="C336" s="67">
        <v>20.602662899999999</v>
      </c>
      <c r="D336" s="67">
        <v>10.182975300000001</v>
      </c>
    </row>
    <row r="337" spans="1:4">
      <c r="A337" s="65">
        <v>90301</v>
      </c>
      <c r="B337" s="71" t="s">
        <v>438</v>
      </c>
      <c r="C337" s="67">
        <v>15.302144200000001</v>
      </c>
      <c r="D337" s="67">
        <v>14.6564885</v>
      </c>
    </row>
    <row r="338" spans="1:4">
      <c r="A338" s="65">
        <v>90302</v>
      </c>
      <c r="B338" s="71" t="s">
        <v>331</v>
      </c>
      <c r="C338" s="67">
        <v>21.311475399999999</v>
      </c>
      <c r="D338" s="67">
        <v>5.8378378</v>
      </c>
    </row>
    <row r="339" spans="1:4">
      <c r="A339" s="65">
        <v>90303</v>
      </c>
      <c r="B339" s="71" t="s">
        <v>439</v>
      </c>
      <c r="C339" s="67">
        <v>39.201451900000002</v>
      </c>
      <c r="D339" s="67">
        <v>7.4782609000000004</v>
      </c>
    </row>
    <row r="340" spans="1:4">
      <c r="A340" s="65">
        <v>90401</v>
      </c>
      <c r="B340" s="71" t="s">
        <v>358</v>
      </c>
      <c r="C340" s="67">
        <v>24.058919800000002</v>
      </c>
      <c r="D340" s="67">
        <v>8.6046511999999993</v>
      </c>
    </row>
    <row r="341" spans="1:4">
      <c r="A341" s="65">
        <v>90402</v>
      </c>
      <c r="B341" s="71" t="s">
        <v>101</v>
      </c>
      <c r="C341" s="67">
        <v>21.220930200000002</v>
      </c>
      <c r="D341" s="67">
        <v>11.5562404</v>
      </c>
    </row>
    <row r="342" spans="1:4">
      <c r="A342" s="65">
        <v>90501</v>
      </c>
      <c r="B342" s="71" t="s">
        <v>442</v>
      </c>
      <c r="C342" s="67">
        <v>31.115879799999998</v>
      </c>
      <c r="D342" s="67">
        <v>7.7709611000000001</v>
      </c>
    </row>
    <row r="343" spans="1:4">
      <c r="A343" s="65">
        <v>90502</v>
      </c>
      <c r="B343" s="71" t="s">
        <v>443</v>
      </c>
      <c r="C343" s="67">
        <v>23.7691002</v>
      </c>
      <c r="D343" s="67">
        <v>4.3785311</v>
      </c>
    </row>
    <row r="344" spans="1:4">
      <c r="A344" s="65">
        <v>90503</v>
      </c>
      <c r="B344" s="71" t="s">
        <v>444</v>
      </c>
      <c r="C344" s="67">
        <v>21.459227500000001</v>
      </c>
      <c r="D344" s="67">
        <v>5.9900165999999997</v>
      </c>
    </row>
  </sheetData>
  <autoFilter ref="A1:D34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Z344"/>
  <sheetViews>
    <sheetView workbookViewId="0">
      <selection activeCell="D1" sqref="D1"/>
    </sheetView>
  </sheetViews>
  <sheetFormatPr baseColWidth="10" defaultColWidth="14.42578125" defaultRowHeight="15" customHeight="1"/>
  <sheetData>
    <row r="1" spans="1:26">
      <c r="A1" s="75" t="s">
        <v>523</v>
      </c>
      <c r="B1" s="75" t="s">
        <v>451</v>
      </c>
      <c r="C1" s="78" t="s">
        <v>535</v>
      </c>
      <c r="D1" s="78" t="s">
        <v>536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65">
        <v>10101</v>
      </c>
      <c r="B2" s="65" t="s">
        <v>22</v>
      </c>
      <c r="C2" s="66">
        <v>12679</v>
      </c>
      <c r="D2" s="66">
        <v>9282</v>
      </c>
    </row>
    <row r="3" spans="1:26">
      <c r="A3" s="65">
        <v>10102</v>
      </c>
      <c r="B3" s="65" t="s">
        <v>23</v>
      </c>
      <c r="C3" s="66">
        <v>1074</v>
      </c>
      <c r="D3" s="66">
        <v>816</v>
      </c>
    </row>
    <row r="4" spans="1:26">
      <c r="A4" s="65">
        <v>10103</v>
      </c>
      <c r="B4" s="65" t="s">
        <v>24</v>
      </c>
      <c r="C4" s="66">
        <v>4391</v>
      </c>
      <c r="D4" s="66">
        <v>3867</v>
      </c>
    </row>
    <row r="5" spans="1:26">
      <c r="A5" s="65">
        <v>10201</v>
      </c>
      <c r="B5" s="65" t="s">
        <v>25</v>
      </c>
      <c r="C5" s="66">
        <v>1971</v>
      </c>
      <c r="D5" s="66">
        <v>1539</v>
      </c>
    </row>
    <row r="6" spans="1:26">
      <c r="A6" s="65">
        <v>10202</v>
      </c>
      <c r="B6" s="65" t="s">
        <v>26</v>
      </c>
      <c r="C6" s="66">
        <v>2757</v>
      </c>
      <c r="D6" s="66">
        <v>2842</v>
      </c>
    </row>
    <row r="7" spans="1:26">
      <c r="A7" s="65">
        <v>10301</v>
      </c>
      <c r="B7" s="65" t="s">
        <v>27</v>
      </c>
      <c r="C7" s="66">
        <v>1738</v>
      </c>
      <c r="D7" s="66">
        <v>1649</v>
      </c>
    </row>
    <row r="8" spans="1:26">
      <c r="A8" s="65">
        <v>10302</v>
      </c>
      <c r="B8" s="65" t="s">
        <v>28</v>
      </c>
      <c r="C8" s="66">
        <v>2151</v>
      </c>
      <c r="D8" s="66">
        <v>1836</v>
      </c>
    </row>
    <row r="9" spans="1:26">
      <c r="A9" s="65">
        <v>10303</v>
      </c>
      <c r="B9" s="65" t="s">
        <v>29</v>
      </c>
      <c r="C9" s="66">
        <v>1267</v>
      </c>
      <c r="D9" s="66">
        <v>1056</v>
      </c>
    </row>
    <row r="10" spans="1:26">
      <c r="A10" s="65">
        <v>10304</v>
      </c>
      <c r="B10" s="65" t="s">
        <v>30</v>
      </c>
      <c r="C10" s="66">
        <v>826</v>
      </c>
      <c r="D10" s="66">
        <v>1264</v>
      </c>
    </row>
    <row r="11" spans="1:26">
      <c r="A11" s="65">
        <v>10401</v>
      </c>
      <c r="B11" s="65" t="s">
        <v>32</v>
      </c>
      <c r="C11" s="66">
        <v>1721</v>
      </c>
      <c r="D11" s="66">
        <v>1267</v>
      </c>
    </row>
    <row r="12" spans="1:26">
      <c r="A12" s="65">
        <v>10402</v>
      </c>
      <c r="B12" s="65" t="s">
        <v>31</v>
      </c>
      <c r="C12" s="66">
        <v>1218</v>
      </c>
      <c r="D12" s="66">
        <v>781</v>
      </c>
    </row>
    <row r="13" spans="1:26">
      <c r="A13" s="65">
        <v>10403</v>
      </c>
      <c r="B13" s="65" t="s">
        <v>33</v>
      </c>
      <c r="C13" s="66">
        <v>1352</v>
      </c>
      <c r="D13" s="66">
        <v>1119</v>
      </c>
    </row>
    <row r="14" spans="1:26">
      <c r="A14" s="65">
        <v>10404</v>
      </c>
      <c r="B14" s="65" t="s">
        <v>34</v>
      </c>
      <c r="C14" s="66">
        <v>803</v>
      </c>
      <c r="D14" s="66">
        <v>459</v>
      </c>
    </row>
    <row r="15" spans="1:26">
      <c r="A15" s="65">
        <v>10405</v>
      </c>
      <c r="B15" s="65" t="s">
        <v>35</v>
      </c>
      <c r="C15" s="66">
        <v>747</v>
      </c>
      <c r="D15" s="66">
        <v>642</v>
      </c>
    </row>
    <row r="16" spans="1:26">
      <c r="A16" s="65">
        <v>10501</v>
      </c>
      <c r="B16" s="65" t="s">
        <v>37</v>
      </c>
      <c r="C16" s="66">
        <v>2723</v>
      </c>
      <c r="D16" s="66">
        <v>1687</v>
      </c>
    </row>
    <row r="17" spans="1:4">
      <c r="A17" s="65">
        <v>10502</v>
      </c>
      <c r="B17" s="65" t="s">
        <v>38</v>
      </c>
      <c r="C17" s="66">
        <v>1400</v>
      </c>
      <c r="D17" s="66">
        <v>1074</v>
      </c>
    </row>
    <row r="18" spans="1:4">
      <c r="A18" s="65">
        <v>10601</v>
      </c>
      <c r="B18" s="65" t="s">
        <v>40</v>
      </c>
      <c r="C18" s="66">
        <v>3246</v>
      </c>
      <c r="D18" s="66">
        <v>2127</v>
      </c>
    </row>
    <row r="19" spans="1:4">
      <c r="A19" s="65">
        <v>10602</v>
      </c>
      <c r="B19" s="65" t="s">
        <v>39</v>
      </c>
      <c r="C19" s="66">
        <v>2043</v>
      </c>
      <c r="D19" s="66">
        <v>1484</v>
      </c>
    </row>
    <row r="20" spans="1:4">
      <c r="A20" s="65">
        <v>10701</v>
      </c>
      <c r="B20" s="65" t="s">
        <v>42</v>
      </c>
      <c r="C20" s="66">
        <v>2304</v>
      </c>
      <c r="D20" s="66">
        <v>1870</v>
      </c>
    </row>
    <row r="21" spans="1:4">
      <c r="A21" s="65">
        <v>10702</v>
      </c>
      <c r="B21" s="65" t="s">
        <v>43</v>
      </c>
      <c r="C21" s="66">
        <v>6176</v>
      </c>
      <c r="D21" s="66">
        <v>5264</v>
      </c>
    </row>
    <row r="22" spans="1:4">
      <c r="A22" s="65">
        <v>10703</v>
      </c>
      <c r="B22" s="65" t="s">
        <v>44</v>
      </c>
      <c r="C22" s="66">
        <v>2309</v>
      </c>
      <c r="D22" s="66">
        <v>2717</v>
      </c>
    </row>
    <row r="23" spans="1:4">
      <c r="A23" s="65">
        <v>10704</v>
      </c>
      <c r="B23" s="65" t="s">
        <v>45</v>
      </c>
      <c r="C23" s="66">
        <v>2736</v>
      </c>
      <c r="D23" s="66">
        <v>2406</v>
      </c>
    </row>
    <row r="24" spans="1:4">
      <c r="A24" s="65">
        <v>10801</v>
      </c>
      <c r="B24" s="65" t="s">
        <v>47</v>
      </c>
      <c r="C24" s="66">
        <v>1701</v>
      </c>
      <c r="D24" s="66">
        <v>1137</v>
      </c>
    </row>
    <row r="25" spans="1:4">
      <c r="A25" s="65">
        <v>10901</v>
      </c>
      <c r="B25" s="65" t="s">
        <v>49</v>
      </c>
      <c r="C25" s="66">
        <v>648</v>
      </c>
      <c r="D25" s="66">
        <v>510</v>
      </c>
    </row>
    <row r="26" spans="1:4">
      <c r="A26" s="65">
        <v>10902</v>
      </c>
      <c r="B26" s="65" t="s">
        <v>50</v>
      </c>
      <c r="C26" s="66">
        <v>2692</v>
      </c>
      <c r="D26" s="66">
        <v>2354</v>
      </c>
    </row>
    <row r="27" spans="1:4">
      <c r="A27" s="65">
        <v>10903</v>
      </c>
      <c r="B27" s="65" t="s">
        <v>51</v>
      </c>
      <c r="C27" s="66">
        <v>512</v>
      </c>
      <c r="D27" s="66">
        <v>317</v>
      </c>
    </row>
    <row r="28" spans="1:4">
      <c r="A28" s="65">
        <v>11001</v>
      </c>
      <c r="B28" s="65" t="s">
        <v>53</v>
      </c>
      <c r="C28" s="66">
        <v>1183</v>
      </c>
      <c r="D28" s="66">
        <v>974</v>
      </c>
    </row>
    <row r="29" spans="1:4">
      <c r="A29" s="65">
        <v>11002</v>
      </c>
      <c r="B29" s="65" t="s">
        <v>54</v>
      </c>
      <c r="C29" s="66">
        <v>346</v>
      </c>
      <c r="D29" s="66">
        <v>189</v>
      </c>
    </row>
    <row r="30" spans="1:4">
      <c r="A30" s="65">
        <v>11003</v>
      </c>
      <c r="B30" s="65" t="s">
        <v>55</v>
      </c>
      <c r="C30" s="66">
        <v>565</v>
      </c>
      <c r="D30" s="66">
        <v>382</v>
      </c>
    </row>
    <row r="31" spans="1:4">
      <c r="A31" s="65">
        <v>20101</v>
      </c>
      <c r="B31" s="65" t="s">
        <v>58</v>
      </c>
      <c r="C31" s="66">
        <v>15100</v>
      </c>
      <c r="D31" s="66">
        <v>8231</v>
      </c>
    </row>
    <row r="32" spans="1:4">
      <c r="A32" s="65">
        <v>20102</v>
      </c>
      <c r="B32" s="71" t="s">
        <v>59</v>
      </c>
      <c r="C32" s="66">
        <v>3818</v>
      </c>
      <c r="D32" s="66">
        <v>4181</v>
      </c>
    </row>
    <row r="33" spans="1:4">
      <c r="A33" s="65">
        <v>20103</v>
      </c>
      <c r="B33" s="71" t="s">
        <v>60</v>
      </c>
      <c r="C33" s="66">
        <v>2703</v>
      </c>
      <c r="D33" s="66">
        <v>2556</v>
      </c>
    </row>
    <row r="34" spans="1:4">
      <c r="A34" s="65">
        <v>20104</v>
      </c>
      <c r="B34" s="71" t="s">
        <v>61</v>
      </c>
      <c r="C34" s="66">
        <v>4776</v>
      </c>
      <c r="D34" s="66">
        <v>5457</v>
      </c>
    </row>
    <row r="35" spans="1:4">
      <c r="A35" s="65">
        <v>20105</v>
      </c>
      <c r="B35" s="71" t="s">
        <v>62</v>
      </c>
      <c r="C35" s="66">
        <v>54919</v>
      </c>
      <c r="D35" s="66">
        <v>18747</v>
      </c>
    </row>
    <row r="36" spans="1:4">
      <c r="A36" s="65">
        <v>20201</v>
      </c>
      <c r="B36" s="71" t="s">
        <v>64</v>
      </c>
      <c r="C36" s="66">
        <v>8173</v>
      </c>
      <c r="D36" s="66">
        <v>5557</v>
      </c>
    </row>
    <row r="37" spans="1:4">
      <c r="A37" s="65">
        <v>20202</v>
      </c>
      <c r="B37" s="71" t="s">
        <v>65</v>
      </c>
      <c r="C37" s="66">
        <v>3331</v>
      </c>
      <c r="D37" s="66">
        <v>3474</v>
      </c>
    </row>
    <row r="38" spans="1:4">
      <c r="A38" s="65">
        <v>20203</v>
      </c>
      <c r="B38" s="71" t="s">
        <v>69</v>
      </c>
      <c r="C38" s="66">
        <v>1324</v>
      </c>
      <c r="D38" s="66">
        <v>1174</v>
      </c>
    </row>
    <row r="39" spans="1:4">
      <c r="A39" s="65">
        <v>20204</v>
      </c>
      <c r="B39" s="71" t="s">
        <v>66</v>
      </c>
      <c r="C39" s="66">
        <v>1655</v>
      </c>
      <c r="D39" s="66">
        <v>1374</v>
      </c>
    </row>
    <row r="40" spans="1:4">
      <c r="A40" s="65">
        <v>20205</v>
      </c>
      <c r="B40" s="71" t="s">
        <v>67</v>
      </c>
      <c r="C40" s="66">
        <v>2164</v>
      </c>
      <c r="D40" s="66">
        <v>1547</v>
      </c>
    </row>
    <row r="41" spans="1:4">
      <c r="A41" s="65">
        <v>20206</v>
      </c>
      <c r="B41" s="71" t="s">
        <v>68</v>
      </c>
      <c r="C41" s="66">
        <v>696</v>
      </c>
      <c r="D41" s="66">
        <v>608</v>
      </c>
    </row>
    <row r="42" spans="1:4">
      <c r="A42" s="65">
        <v>20301</v>
      </c>
      <c r="B42" s="71" t="s">
        <v>71</v>
      </c>
      <c r="C42" s="66">
        <v>3080</v>
      </c>
      <c r="D42" s="66">
        <v>3228</v>
      </c>
    </row>
    <row r="43" spans="1:4">
      <c r="A43" s="65">
        <v>20302</v>
      </c>
      <c r="B43" s="71" t="s">
        <v>72</v>
      </c>
      <c r="C43" s="66">
        <v>2724</v>
      </c>
      <c r="D43" s="66">
        <v>2570</v>
      </c>
    </row>
    <row r="44" spans="1:4">
      <c r="A44" s="65">
        <v>20303</v>
      </c>
      <c r="B44" s="71" t="s">
        <v>73</v>
      </c>
      <c r="C44" s="66">
        <v>2240</v>
      </c>
      <c r="D44" s="66">
        <v>2516</v>
      </c>
    </row>
    <row r="45" spans="1:4">
      <c r="A45" s="65">
        <v>20304</v>
      </c>
      <c r="B45" s="71" t="s">
        <v>74</v>
      </c>
      <c r="C45" s="66">
        <v>981</v>
      </c>
      <c r="D45" s="66">
        <v>959</v>
      </c>
    </row>
    <row r="46" spans="1:4">
      <c r="A46" s="65">
        <v>20305</v>
      </c>
      <c r="B46" s="71" t="s">
        <v>75</v>
      </c>
      <c r="C46" s="66">
        <v>887</v>
      </c>
      <c r="D46" s="66">
        <v>877</v>
      </c>
    </row>
    <row r="47" spans="1:4">
      <c r="A47" s="65">
        <v>20306</v>
      </c>
      <c r="B47" s="71" t="s">
        <v>76</v>
      </c>
      <c r="C47" s="66">
        <v>894</v>
      </c>
      <c r="D47" s="66">
        <v>883</v>
      </c>
    </row>
    <row r="48" spans="1:4">
      <c r="A48" s="65">
        <v>20307</v>
      </c>
      <c r="B48" s="71" t="s">
        <v>77</v>
      </c>
      <c r="C48" s="66">
        <v>159</v>
      </c>
      <c r="D48" s="66">
        <v>666</v>
      </c>
    </row>
    <row r="49" spans="1:4">
      <c r="A49" s="65">
        <v>20308</v>
      </c>
      <c r="B49" s="71" t="s">
        <v>78</v>
      </c>
      <c r="C49" s="66">
        <v>2467</v>
      </c>
      <c r="D49" s="66">
        <v>2923</v>
      </c>
    </row>
    <row r="50" spans="1:4">
      <c r="A50" s="65">
        <v>20401</v>
      </c>
      <c r="B50" s="71" t="s">
        <v>80</v>
      </c>
      <c r="C50" s="66">
        <v>4220</v>
      </c>
      <c r="D50" s="66">
        <v>4712</v>
      </c>
    </row>
    <row r="51" spans="1:4">
      <c r="A51" s="65">
        <v>20402</v>
      </c>
      <c r="B51" s="71" t="s">
        <v>81</v>
      </c>
      <c r="C51" s="66">
        <v>4795</v>
      </c>
      <c r="D51" s="66">
        <v>4634</v>
      </c>
    </row>
    <row r="52" spans="1:4">
      <c r="A52" s="65">
        <v>20403</v>
      </c>
      <c r="B52" s="71" t="s">
        <v>82</v>
      </c>
      <c r="C52" s="66">
        <v>4146</v>
      </c>
      <c r="D52" s="66">
        <v>4332</v>
      </c>
    </row>
    <row r="53" spans="1:4">
      <c r="A53" s="65">
        <v>20404</v>
      </c>
      <c r="B53" s="71" t="s">
        <v>83</v>
      </c>
      <c r="C53" s="66">
        <v>1663</v>
      </c>
      <c r="D53" s="66">
        <v>1790</v>
      </c>
    </row>
    <row r="54" spans="1:4">
      <c r="A54" s="65">
        <v>20405</v>
      </c>
      <c r="B54" s="71" t="s">
        <v>84</v>
      </c>
      <c r="C54" s="66">
        <v>2657</v>
      </c>
      <c r="D54" s="66">
        <v>2776</v>
      </c>
    </row>
    <row r="55" spans="1:4">
      <c r="A55" s="65">
        <v>20501</v>
      </c>
      <c r="B55" s="71" t="s">
        <v>86</v>
      </c>
      <c r="C55" s="66">
        <v>2831</v>
      </c>
      <c r="D55" s="66">
        <v>3259</v>
      </c>
    </row>
    <row r="56" spans="1:4">
      <c r="A56" s="65">
        <v>20502</v>
      </c>
      <c r="B56" s="71" t="s">
        <v>87</v>
      </c>
      <c r="C56" s="66">
        <v>1793</v>
      </c>
      <c r="D56" s="66">
        <v>1876</v>
      </c>
    </row>
    <row r="57" spans="1:4">
      <c r="A57" s="65">
        <v>20503</v>
      </c>
      <c r="B57" s="71" t="s">
        <v>88</v>
      </c>
      <c r="C57" s="66">
        <v>1470</v>
      </c>
      <c r="D57" s="66">
        <v>1448</v>
      </c>
    </row>
    <row r="58" spans="1:4">
      <c r="A58" s="65">
        <v>20601</v>
      </c>
      <c r="B58" s="71" t="s">
        <v>90</v>
      </c>
      <c r="C58" s="66">
        <v>5566</v>
      </c>
      <c r="D58" s="66">
        <v>4532</v>
      </c>
    </row>
    <row r="59" spans="1:4">
      <c r="A59" s="65">
        <v>20602</v>
      </c>
      <c r="B59" s="71" t="s">
        <v>91</v>
      </c>
      <c r="C59" s="66">
        <v>2668</v>
      </c>
      <c r="D59" s="66">
        <v>1829</v>
      </c>
    </row>
    <row r="60" spans="1:4">
      <c r="A60" s="65">
        <v>20603</v>
      </c>
      <c r="B60" s="71" t="s">
        <v>92</v>
      </c>
      <c r="C60" s="66">
        <v>1722</v>
      </c>
      <c r="D60" s="66">
        <v>1419</v>
      </c>
    </row>
    <row r="61" spans="1:4">
      <c r="A61" s="65">
        <v>20604</v>
      </c>
      <c r="B61" s="71" t="s">
        <v>93</v>
      </c>
      <c r="C61" s="66">
        <v>658</v>
      </c>
      <c r="D61" s="66">
        <v>817</v>
      </c>
    </row>
    <row r="62" spans="1:4">
      <c r="A62" s="65">
        <v>20605</v>
      </c>
      <c r="B62" s="71" t="s">
        <v>94</v>
      </c>
      <c r="C62" s="66">
        <v>709</v>
      </c>
      <c r="D62" s="66">
        <v>836</v>
      </c>
    </row>
    <row r="63" spans="1:4">
      <c r="A63" s="65">
        <v>20606</v>
      </c>
      <c r="B63" s="71" t="s">
        <v>95</v>
      </c>
      <c r="C63" s="66">
        <v>1759</v>
      </c>
      <c r="D63" s="66">
        <v>786</v>
      </c>
    </row>
    <row r="64" spans="1:4">
      <c r="A64" s="65">
        <v>20607</v>
      </c>
      <c r="B64" s="71" t="s">
        <v>96</v>
      </c>
      <c r="C64" s="66">
        <v>2140</v>
      </c>
      <c r="D64" s="66">
        <v>1232</v>
      </c>
    </row>
    <row r="65" spans="1:4">
      <c r="A65" s="65">
        <v>20608</v>
      </c>
      <c r="B65" s="71" t="s">
        <v>97</v>
      </c>
      <c r="C65" s="66">
        <v>2138</v>
      </c>
      <c r="D65" s="66">
        <v>1779</v>
      </c>
    </row>
    <row r="66" spans="1:4">
      <c r="A66" s="65">
        <v>20701</v>
      </c>
      <c r="B66" s="71" t="s">
        <v>99</v>
      </c>
      <c r="C66" s="66">
        <v>2909</v>
      </c>
      <c r="D66" s="66">
        <v>3200</v>
      </c>
    </row>
    <row r="67" spans="1:4">
      <c r="A67" s="65">
        <v>20702</v>
      </c>
      <c r="B67" s="71" t="s">
        <v>100</v>
      </c>
      <c r="C67" s="66">
        <v>1435</v>
      </c>
      <c r="D67" s="66">
        <v>972</v>
      </c>
    </row>
    <row r="68" spans="1:4">
      <c r="A68" s="65">
        <v>20801</v>
      </c>
      <c r="B68" s="71" t="s">
        <v>102</v>
      </c>
      <c r="C68" s="66">
        <v>11989</v>
      </c>
      <c r="D68" s="66">
        <v>8775</v>
      </c>
    </row>
    <row r="69" spans="1:4">
      <c r="A69" s="65">
        <v>20802</v>
      </c>
      <c r="B69" s="71" t="s">
        <v>103</v>
      </c>
      <c r="C69" s="66">
        <v>1809</v>
      </c>
      <c r="D69" s="66">
        <v>1048</v>
      </c>
    </row>
    <row r="70" spans="1:4">
      <c r="A70" s="65">
        <v>20803</v>
      </c>
      <c r="B70" s="71" t="s">
        <v>104</v>
      </c>
      <c r="C70" s="66">
        <v>2109</v>
      </c>
      <c r="D70" s="66">
        <v>2099</v>
      </c>
    </row>
    <row r="71" spans="1:4">
      <c r="A71" s="65">
        <v>20804</v>
      </c>
      <c r="B71" s="71" t="s">
        <v>105</v>
      </c>
      <c r="C71" s="66">
        <v>1418</v>
      </c>
      <c r="D71" s="66">
        <v>713</v>
      </c>
    </row>
    <row r="72" spans="1:4">
      <c r="A72" s="65">
        <v>20805</v>
      </c>
      <c r="B72" s="71" t="s">
        <v>106</v>
      </c>
      <c r="C72" s="66">
        <v>1103</v>
      </c>
      <c r="D72" s="66">
        <v>1222</v>
      </c>
    </row>
    <row r="73" spans="1:4">
      <c r="A73" s="65">
        <v>20806</v>
      </c>
      <c r="B73" s="71" t="s">
        <v>107</v>
      </c>
      <c r="C73" s="66">
        <v>1879</v>
      </c>
      <c r="D73" s="66">
        <v>1942</v>
      </c>
    </row>
    <row r="74" spans="1:4">
      <c r="A74" s="65">
        <v>20807</v>
      </c>
      <c r="B74" s="71" t="s">
        <v>108</v>
      </c>
      <c r="C74" s="66">
        <v>1280</v>
      </c>
      <c r="D74" s="66">
        <v>1284</v>
      </c>
    </row>
    <row r="75" spans="1:4">
      <c r="A75" s="65">
        <v>20901</v>
      </c>
      <c r="B75" s="71" t="s">
        <v>110</v>
      </c>
      <c r="C75" s="66">
        <v>2501</v>
      </c>
      <c r="D75" s="66">
        <v>1951</v>
      </c>
    </row>
    <row r="76" spans="1:4">
      <c r="A76" s="65">
        <v>20902</v>
      </c>
      <c r="B76" s="71" t="s">
        <v>111</v>
      </c>
      <c r="C76" s="66">
        <v>3997</v>
      </c>
      <c r="D76" s="66">
        <v>4133</v>
      </c>
    </row>
    <row r="77" spans="1:4">
      <c r="A77" s="65">
        <v>20903</v>
      </c>
      <c r="B77" s="71" t="s">
        <v>112</v>
      </c>
      <c r="C77" s="66">
        <v>2004</v>
      </c>
      <c r="D77" s="66">
        <v>2982</v>
      </c>
    </row>
    <row r="78" spans="1:4">
      <c r="A78" s="65">
        <v>20904</v>
      </c>
      <c r="B78" s="71" t="s">
        <v>113</v>
      </c>
      <c r="C78" s="66">
        <v>890</v>
      </c>
      <c r="D78" s="66">
        <v>1189</v>
      </c>
    </row>
    <row r="79" spans="1:4">
      <c r="A79" s="65">
        <v>20905</v>
      </c>
      <c r="B79" s="71" t="s">
        <v>114</v>
      </c>
      <c r="C79" s="66">
        <v>2516</v>
      </c>
      <c r="D79" s="66">
        <v>3415</v>
      </c>
    </row>
    <row r="80" spans="1:4">
      <c r="A80" s="65">
        <v>21001</v>
      </c>
      <c r="B80" s="71" t="s">
        <v>115</v>
      </c>
      <c r="C80" s="66">
        <v>4001</v>
      </c>
      <c r="D80" s="66">
        <v>4634</v>
      </c>
    </row>
    <row r="81" spans="1:4">
      <c r="A81" s="65">
        <v>21002</v>
      </c>
      <c r="B81" s="71" t="s">
        <v>116</v>
      </c>
      <c r="C81" s="66">
        <v>2341</v>
      </c>
      <c r="D81" s="66">
        <v>2246</v>
      </c>
    </row>
    <row r="82" spans="1:4">
      <c r="A82" s="65">
        <v>21003</v>
      </c>
      <c r="B82" s="71" t="s">
        <v>117</v>
      </c>
      <c r="C82" s="66">
        <v>1851</v>
      </c>
      <c r="D82" s="66">
        <v>2186</v>
      </c>
    </row>
    <row r="83" spans="1:4">
      <c r="A83" s="65">
        <v>21004</v>
      </c>
      <c r="B83" s="71" t="s">
        <v>118</v>
      </c>
      <c r="C83" s="66">
        <v>4842</v>
      </c>
      <c r="D83" s="66">
        <v>5467</v>
      </c>
    </row>
    <row r="84" spans="1:4">
      <c r="A84" s="65">
        <v>21005</v>
      </c>
      <c r="B84" s="71" t="s">
        <v>119</v>
      </c>
      <c r="C84" s="66">
        <v>1454</v>
      </c>
      <c r="D84" s="66">
        <v>2766</v>
      </c>
    </row>
    <row r="85" spans="1:4">
      <c r="A85" s="65">
        <v>21006</v>
      </c>
      <c r="B85" s="71" t="s">
        <v>120</v>
      </c>
      <c r="C85" s="66">
        <v>648</v>
      </c>
      <c r="D85" s="66">
        <v>702</v>
      </c>
    </row>
    <row r="86" spans="1:4">
      <c r="A86" s="65">
        <v>21101</v>
      </c>
      <c r="B86" s="71" t="s">
        <v>122</v>
      </c>
      <c r="C86" s="66">
        <v>3457</v>
      </c>
      <c r="D86" s="66">
        <v>2265</v>
      </c>
    </row>
    <row r="87" spans="1:4">
      <c r="A87" s="65">
        <v>21102</v>
      </c>
      <c r="B87" s="71" t="s">
        <v>123</v>
      </c>
      <c r="C87" s="66">
        <v>3716</v>
      </c>
      <c r="D87" s="66">
        <v>3875</v>
      </c>
    </row>
    <row r="88" spans="1:4">
      <c r="A88" s="65">
        <v>21103</v>
      </c>
      <c r="B88" s="71" t="s">
        <v>124</v>
      </c>
      <c r="C88" s="66">
        <v>819</v>
      </c>
      <c r="D88" s="66">
        <v>649</v>
      </c>
    </row>
    <row r="89" spans="1:4">
      <c r="A89" s="65">
        <v>21104</v>
      </c>
      <c r="B89" s="71" t="s">
        <v>125</v>
      </c>
      <c r="C89" s="66">
        <v>4228</v>
      </c>
      <c r="D89" s="66">
        <v>4246</v>
      </c>
    </row>
    <row r="90" spans="1:4">
      <c r="A90" s="65">
        <v>21105</v>
      </c>
      <c r="B90" s="71" t="s">
        <v>126</v>
      </c>
      <c r="C90" s="66">
        <v>9611</v>
      </c>
      <c r="D90" s="66">
        <v>9155</v>
      </c>
    </row>
    <row r="91" spans="1:4">
      <c r="A91" s="65">
        <v>21201</v>
      </c>
      <c r="B91" s="71" t="s">
        <v>128</v>
      </c>
      <c r="C91" s="66">
        <v>6622</v>
      </c>
      <c r="D91" s="66">
        <v>9291</v>
      </c>
    </row>
    <row r="92" spans="1:4">
      <c r="A92" s="65">
        <v>21202</v>
      </c>
      <c r="B92" s="71" t="s">
        <v>129</v>
      </c>
      <c r="C92" s="66">
        <v>5112</v>
      </c>
      <c r="D92" s="66">
        <v>5181</v>
      </c>
    </row>
    <row r="93" spans="1:4">
      <c r="A93" s="65">
        <v>21203</v>
      </c>
      <c r="B93" s="71" t="s">
        <v>130</v>
      </c>
      <c r="C93" s="66">
        <v>3128</v>
      </c>
      <c r="D93" s="66">
        <v>2958</v>
      </c>
    </row>
    <row r="94" spans="1:4">
      <c r="A94" s="65">
        <v>21204</v>
      </c>
      <c r="B94" s="71" t="s">
        <v>131</v>
      </c>
      <c r="C94" s="66">
        <v>1701</v>
      </c>
      <c r="D94" s="66">
        <v>1733</v>
      </c>
    </row>
    <row r="95" spans="1:4">
      <c r="A95" s="65">
        <v>21301</v>
      </c>
      <c r="B95" s="71" t="s">
        <v>133</v>
      </c>
      <c r="C95" s="66">
        <v>7443</v>
      </c>
      <c r="D95" s="66">
        <v>6904</v>
      </c>
    </row>
    <row r="96" spans="1:4">
      <c r="A96" s="65">
        <v>21302</v>
      </c>
      <c r="B96" s="71" t="s">
        <v>134</v>
      </c>
      <c r="C96" s="66">
        <v>2088</v>
      </c>
      <c r="D96" s="66">
        <v>1810</v>
      </c>
    </row>
    <row r="97" spans="1:4">
      <c r="A97" s="65">
        <v>21303</v>
      </c>
      <c r="B97" s="71" t="s">
        <v>135</v>
      </c>
      <c r="C97" s="66">
        <v>2252</v>
      </c>
      <c r="D97" s="66">
        <v>3165</v>
      </c>
    </row>
    <row r="98" spans="1:4">
      <c r="A98" s="65">
        <v>21304</v>
      </c>
      <c r="B98" s="71" t="s">
        <v>136</v>
      </c>
      <c r="C98" s="66">
        <v>2793</v>
      </c>
      <c r="D98" s="66">
        <v>2698</v>
      </c>
    </row>
    <row r="99" spans="1:4">
      <c r="A99" s="65">
        <v>21305</v>
      </c>
      <c r="B99" s="71" t="s">
        <v>137</v>
      </c>
      <c r="C99" s="66">
        <v>3407</v>
      </c>
      <c r="D99" s="66">
        <v>2983</v>
      </c>
    </row>
    <row r="100" spans="1:4">
      <c r="A100" s="65">
        <v>21306</v>
      </c>
      <c r="B100" s="71" t="s">
        <v>138</v>
      </c>
      <c r="C100" s="66">
        <v>2294</v>
      </c>
      <c r="D100" s="66">
        <v>2215</v>
      </c>
    </row>
    <row r="101" spans="1:4">
      <c r="A101" s="65">
        <v>21307</v>
      </c>
      <c r="B101" s="71" t="s">
        <v>139</v>
      </c>
      <c r="C101" s="66">
        <v>642</v>
      </c>
      <c r="D101" s="66">
        <v>567</v>
      </c>
    </row>
    <row r="102" spans="1:4">
      <c r="A102" s="65">
        <v>21401</v>
      </c>
      <c r="B102" s="71" t="s">
        <v>141</v>
      </c>
      <c r="C102" s="66">
        <v>3642</v>
      </c>
      <c r="D102" s="66">
        <v>3819</v>
      </c>
    </row>
    <row r="103" spans="1:4">
      <c r="A103" s="65">
        <v>21402</v>
      </c>
      <c r="B103" s="71" t="s">
        <v>142</v>
      </c>
      <c r="C103" s="66">
        <v>2774</v>
      </c>
      <c r="D103" s="66">
        <v>2293</v>
      </c>
    </row>
    <row r="104" spans="1:4">
      <c r="A104" s="65">
        <v>21501</v>
      </c>
      <c r="B104" s="71" t="s">
        <v>144</v>
      </c>
      <c r="C104" s="66">
        <v>576</v>
      </c>
      <c r="D104" s="66">
        <v>588</v>
      </c>
    </row>
    <row r="105" spans="1:4">
      <c r="A105" s="65">
        <v>21502</v>
      </c>
      <c r="B105" s="71" t="s">
        <v>145</v>
      </c>
      <c r="C105" s="66">
        <v>450</v>
      </c>
      <c r="D105" s="66">
        <v>361</v>
      </c>
    </row>
    <row r="106" spans="1:4">
      <c r="A106" s="65">
        <v>21601</v>
      </c>
      <c r="B106" s="71" t="s">
        <v>147</v>
      </c>
      <c r="C106" s="66">
        <v>3055</v>
      </c>
      <c r="D106" s="66">
        <v>2721</v>
      </c>
    </row>
    <row r="107" spans="1:4">
      <c r="A107" s="65">
        <v>21602</v>
      </c>
      <c r="B107" s="71" t="s">
        <v>148</v>
      </c>
      <c r="C107" s="66">
        <v>753</v>
      </c>
      <c r="D107" s="66">
        <v>764</v>
      </c>
    </row>
    <row r="108" spans="1:4">
      <c r="A108" s="65">
        <v>21701</v>
      </c>
      <c r="B108" s="71" t="s">
        <v>150</v>
      </c>
      <c r="C108" s="66">
        <v>2134</v>
      </c>
      <c r="D108" s="66">
        <v>2251</v>
      </c>
    </row>
    <row r="109" spans="1:4">
      <c r="A109" s="65">
        <v>21702</v>
      </c>
      <c r="B109" s="71" t="s">
        <v>151</v>
      </c>
      <c r="C109" s="66">
        <v>1976</v>
      </c>
      <c r="D109" s="66">
        <v>1882</v>
      </c>
    </row>
    <row r="110" spans="1:4">
      <c r="A110" s="65">
        <v>21703</v>
      </c>
      <c r="B110" s="71" t="s">
        <v>152</v>
      </c>
      <c r="C110" s="66">
        <v>1097</v>
      </c>
      <c r="D110" s="66">
        <v>981</v>
      </c>
    </row>
    <row r="111" spans="1:4">
      <c r="A111" s="65">
        <v>21801</v>
      </c>
      <c r="B111" s="71" t="s">
        <v>154</v>
      </c>
      <c r="C111" s="66">
        <v>2384</v>
      </c>
      <c r="D111" s="66">
        <v>2230</v>
      </c>
    </row>
    <row r="112" spans="1:4">
      <c r="A112" s="65">
        <v>21802</v>
      </c>
      <c r="B112" s="71" t="s">
        <v>155</v>
      </c>
      <c r="C112" s="66">
        <v>1339</v>
      </c>
      <c r="D112" s="66">
        <v>1271</v>
      </c>
    </row>
    <row r="113" spans="1:4">
      <c r="A113" s="65">
        <v>21803</v>
      </c>
      <c r="B113" s="71" t="s">
        <v>156</v>
      </c>
      <c r="C113" s="66">
        <v>734</v>
      </c>
      <c r="D113" s="66">
        <v>714</v>
      </c>
    </row>
    <row r="114" spans="1:4">
      <c r="A114" s="65">
        <v>21901</v>
      </c>
      <c r="B114" s="71" t="s">
        <v>158</v>
      </c>
      <c r="C114" s="66">
        <v>750</v>
      </c>
      <c r="D114" s="66">
        <v>1075</v>
      </c>
    </row>
    <row r="115" spans="1:4">
      <c r="A115" s="65">
        <v>21902</v>
      </c>
      <c r="B115" s="71" t="s">
        <v>159</v>
      </c>
      <c r="C115" s="66">
        <v>321</v>
      </c>
      <c r="D115" s="66">
        <v>491</v>
      </c>
    </row>
    <row r="116" spans="1:4">
      <c r="A116" s="65">
        <v>22001</v>
      </c>
      <c r="B116" s="71" t="s">
        <v>160</v>
      </c>
      <c r="C116" s="66">
        <v>6743</v>
      </c>
      <c r="D116" s="66">
        <v>5882</v>
      </c>
    </row>
    <row r="117" spans="1:4">
      <c r="A117" s="65">
        <v>22002</v>
      </c>
      <c r="B117" s="71" t="s">
        <v>161</v>
      </c>
      <c r="C117" s="66">
        <v>2530</v>
      </c>
      <c r="D117" s="66">
        <v>2025</v>
      </c>
    </row>
    <row r="118" spans="1:4">
      <c r="A118" s="65">
        <v>30101</v>
      </c>
      <c r="B118" s="71" t="s">
        <v>162</v>
      </c>
      <c r="C118" s="66">
        <v>23122</v>
      </c>
      <c r="D118" s="66">
        <v>12379</v>
      </c>
    </row>
    <row r="119" spans="1:4">
      <c r="A119" s="65">
        <v>30201</v>
      </c>
      <c r="B119" s="71" t="s">
        <v>165</v>
      </c>
      <c r="C119" s="66">
        <v>3569</v>
      </c>
      <c r="D119" s="66">
        <v>3008</v>
      </c>
    </row>
    <row r="120" spans="1:4">
      <c r="A120" s="65">
        <v>30202</v>
      </c>
      <c r="B120" s="71" t="s">
        <v>166</v>
      </c>
      <c r="C120" s="66">
        <v>914</v>
      </c>
      <c r="D120" s="66">
        <v>817</v>
      </c>
    </row>
    <row r="121" spans="1:4">
      <c r="A121" s="65">
        <v>30203</v>
      </c>
      <c r="B121" s="71" t="s">
        <v>167</v>
      </c>
      <c r="C121" s="66">
        <v>681</v>
      </c>
      <c r="D121" s="66">
        <v>553</v>
      </c>
    </row>
    <row r="122" spans="1:4">
      <c r="A122" s="65">
        <v>30301</v>
      </c>
      <c r="B122" s="71" t="s">
        <v>168</v>
      </c>
      <c r="C122" s="66">
        <v>6218</v>
      </c>
      <c r="D122" s="66">
        <v>5552</v>
      </c>
    </row>
    <row r="123" spans="1:4">
      <c r="A123" s="65">
        <v>30302</v>
      </c>
      <c r="B123" s="71" t="s">
        <v>169</v>
      </c>
      <c r="C123" s="66">
        <v>2755</v>
      </c>
      <c r="D123" s="66">
        <v>2877</v>
      </c>
    </row>
    <row r="124" spans="1:4">
      <c r="A124" s="65">
        <v>30303</v>
      </c>
      <c r="B124" s="71" t="s">
        <v>170</v>
      </c>
      <c r="C124" s="66">
        <v>3572</v>
      </c>
      <c r="D124" s="66">
        <v>4471</v>
      </c>
    </row>
    <row r="125" spans="1:4">
      <c r="A125" s="65">
        <v>30401</v>
      </c>
      <c r="B125" s="71" t="s">
        <v>172</v>
      </c>
      <c r="C125" s="66">
        <v>1401</v>
      </c>
      <c r="D125" s="66">
        <v>1546</v>
      </c>
    </row>
    <row r="126" spans="1:4">
      <c r="A126" s="65">
        <v>30402</v>
      </c>
      <c r="B126" s="71" t="s">
        <v>173</v>
      </c>
      <c r="C126" s="66">
        <v>2094</v>
      </c>
      <c r="D126" s="66">
        <v>2357</v>
      </c>
    </row>
    <row r="127" spans="1:4">
      <c r="A127" s="65">
        <v>30403</v>
      </c>
      <c r="B127" s="71" t="s">
        <v>174</v>
      </c>
      <c r="C127" s="66">
        <v>2794</v>
      </c>
      <c r="D127" s="66">
        <v>4624</v>
      </c>
    </row>
    <row r="128" spans="1:4">
      <c r="A128" s="65">
        <v>30404</v>
      </c>
      <c r="B128" s="71" t="s">
        <v>175</v>
      </c>
      <c r="C128" s="66">
        <v>1057</v>
      </c>
      <c r="D128" s="66">
        <v>1224</v>
      </c>
    </row>
    <row r="129" spans="1:4">
      <c r="A129" s="65">
        <v>30501</v>
      </c>
      <c r="B129" s="71" t="s">
        <v>176</v>
      </c>
      <c r="C129" s="66">
        <v>1396</v>
      </c>
      <c r="D129" s="66">
        <v>1080</v>
      </c>
    </row>
    <row r="130" spans="1:4">
      <c r="A130" s="65">
        <v>30502</v>
      </c>
      <c r="B130" s="71" t="s">
        <v>177</v>
      </c>
      <c r="C130" s="66">
        <v>2367</v>
      </c>
      <c r="D130" s="66">
        <v>2081</v>
      </c>
    </row>
    <row r="131" spans="1:4">
      <c r="A131" s="65">
        <v>30601</v>
      </c>
      <c r="B131" s="71" t="s">
        <v>178</v>
      </c>
      <c r="C131" s="66">
        <v>2772</v>
      </c>
      <c r="D131" s="66">
        <v>2842</v>
      </c>
    </row>
    <row r="132" spans="1:4">
      <c r="A132" s="65">
        <v>30602</v>
      </c>
      <c r="B132" s="71" t="s">
        <v>179</v>
      </c>
      <c r="C132" s="66">
        <v>2034</v>
      </c>
      <c r="D132" s="66">
        <v>2241</v>
      </c>
    </row>
    <row r="133" spans="1:4">
      <c r="A133" s="65">
        <v>30701</v>
      </c>
      <c r="B133" s="71" t="s">
        <v>180</v>
      </c>
      <c r="C133" s="66">
        <v>2630</v>
      </c>
      <c r="D133" s="66">
        <v>2254</v>
      </c>
    </row>
    <row r="134" spans="1:4">
      <c r="A134" s="65">
        <v>30702</v>
      </c>
      <c r="B134" s="71" t="s">
        <v>181</v>
      </c>
      <c r="C134" s="66">
        <v>1219</v>
      </c>
      <c r="D134" s="66">
        <v>883</v>
      </c>
    </row>
    <row r="135" spans="1:4">
      <c r="A135" s="65">
        <v>30703</v>
      </c>
      <c r="B135" s="71" t="s">
        <v>182</v>
      </c>
      <c r="C135" s="66">
        <v>777</v>
      </c>
      <c r="D135" s="66">
        <v>644</v>
      </c>
    </row>
    <row r="136" spans="1:4">
      <c r="A136" s="65">
        <v>30801</v>
      </c>
      <c r="B136" s="71" t="s">
        <v>184</v>
      </c>
      <c r="C136" s="66">
        <v>1325</v>
      </c>
      <c r="D136" s="66">
        <v>560</v>
      </c>
    </row>
    <row r="137" spans="1:4">
      <c r="A137" s="65">
        <v>30802</v>
      </c>
      <c r="B137" s="71" t="s">
        <v>185</v>
      </c>
      <c r="C137" s="66">
        <v>1125</v>
      </c>
      <c r="D137" s="66">
        <v>892</v>
      </c>
    </row>
    <row r="138" spans="1:4">
      <c r="A138" s="65">
        <v>30803</v>
      </c>
      <c r="B138" s="71" t="s">
        <v>186</v>
      </c>
      <c r="C138" s="66">
        <v>388</v>
      </c>
      <c r="D138" s="66">
        <v>681</v>
      </c>
    </row>
    <row r="139" spans="1:4">
      <c r="A139" s="65">
        <v>30901</v>
      </c>
      <c r="B139" s="71" t="s">
        <v>187</v>
      </c>
      <c r="C139" s="66">
        <v>3885</v>
      </c>
      <c r="D139" s="66">
        <v>2467</v>
      </c>
    </row>
    <row r="140" spans="1:4">
      <c r="A140" s="65">
        <v>30902</v>
      </c>
      <c r="B140" s="71" t="s">
        <v>188</v>
      </c>
      <c r="C140" s="66">
        <v>3887</v>
      </c>
      <c r="D140" s="66">
        <v>3043</v>
      </c>
    </row>
    <row r="141" spans="1:4">
      <c r="A141" s="65">
        <v>30903</v>
      </c>
      <c r="B141" s="71" t="s">
        <v>189</v>
      </c>
      <c r="C141" s="66">
        <v>2090</v>
      </c>
      <c r="D141" s="66">
        <v>931</v>
      </c>
    </row>
    <row r="142" spans="1:4">
      <c r="A142" s="65">
        <v>30904</v>
      </c>
      <c r="B142" s="71" t="s">
        <v>190</v>
      </c>
      <c r="C142" s="66">
        <v>3896</v>
      </c>
      <c r="D142" s="66">
        <v>1641</v>
      </c>
    </row>
    <row r="143" spans="1:4">
      <c r="A143" s="65">
        <v>30905</v>
      </c>
      <c r="B143" s="71" t="s">
        <v>191</v>
      </c>
      <c r="C143" s="66">
        <v>695</v>
      </c>
      <c r="D143" s="66">
        <v>465</v>
      </c>
    </row>
    <row r="144" spans="1:4">
      <c r="A144" s="65">
        <v>31001</v>
      </c>
      <c r="B144" s="71" t="s">
        <v>193</v>
      </c>
      <c r="C144" s="66">
        <v>10273</v>
      </c>
      <c r="D144" s="66">
        <v>8633</v>
      </c>
    </row>
    <row r="145" spans="1:4">
      <c r="A145" s="65">
        <v>31002</v>
      </c>
      <c r="B145" s="71" t="s">
        <v>194</v>
      </c>
      <c r="C145" s="66">
        <v>2390</v>
      </c>
      <c r="D145" s="66">
        <v>2641</v>
      </c>
    </row>
    <row r="146" spans="1:4">
      <c r="A146" s="65">
        <v>31003</v>
      </c>
      <c r="B146" s="71" t="s">
        <v>195</v>
      </c>
      <c r="C146" s="66">
        <v>10449</v>
      </c>
      <c r="D146" s="66">
        <v>14345</v>
      </c>
    </row>
    <row r="147" spans="1:4">
      <c r="A147" s="65">
        <v>31101</v>
      </c>
      <c r="B147" s="71" t="s">
        <v>196</v>
      </c>
      <c r="C147" s="66">
        <v>7151</v>
      </c>
      <c r="D147" s="66">
        <v>7706</v>
      </c>
    </row>
    <row r="148" spans="1:4">
      <c r="A148" s="65">
        <v>31201</v>
      </c>
      <c r="B148" s="71" t="s">
        <v>198</v>
      </c>
      <c r="C148" s="66">
        <v>3407</v>
      </c>
      <c r="D148" s="66">
        <v>3355</v>
      </c>
    </row>
    <row r="149" spans="1:4">
      <c r="A149" s="65">
        <v>31202</v>
      </c>
      <c r="B149" s="71" t="s">
        <v>199</v>
      </c>
      <c r="C149" s="66">
        <v>2200</v>
      </c>
      <c r="D149" s="66">
        <v>2162</v>
      </c>
    </row>
    <row r="150" spans="1:4">
      <c r="A150" s="65">
        <v>31203</v>
      </c>
      <c r="B150" s="71" t="s">
        <v>200</v>
      </c>
      <c r="C150" s="66">
        <v>2344</v>
      </c>
      <c r="D150" s="66">
        <v>2463</v>
      </c>
    </row>
    <row r="151" spans="1:4">
      <c r="A151" s="65">
        <v>31204</v>
      </c>
      <c r="B151" s="71" t="s">
        <v>201</v>
      </c>
      <c r="C151" s="66">
        <v>2513</v>
      </c>
      <c r="D151" s="66">
        <v>2931</v>
      </c>
    </row>
    <row r="152" spans="1:4">
      <c r="A152" s="65">
        <v>31205</v>
      </c>
      <c r="B152" s="71" t="s">
        <v>202</v>
      </c>
      <c r="C152" s="66">
        <v>6970</v>
      </c>
      <c r="D152" s="66">
        <v>8229</v>
      </c>
    </row>
    <row r="153" spans="1:4">
      <c r="A153" s="65">
        <v>31206</v>
      </c>
      <c r="B153" s="71" t="s">
        <v>203</v>
      </c>
      <c r="C153" s="66">
        <v>5870</v>
      </c>
      <c r="D153" s="66">
        <v>6233</v>
      </c>
    </row>
    <row r="154" spans="1:4">
      <c r="A154" s="65">
        <v>31301</v>
      </c>
      <c r="B154" s="71" t="s">
        <v>204</v>
      </c>
      <c r="C154" s="66">
        <v>4568</v>
      </c>
      <c r="D154" s="66">
        <v>3594</v>
      </c>
    </row>
    <row r="155" spans="1:4">
      <c r="A155" s="65">
        <v>31302</v>
      </c>
      <c r="B155" s="71" t="s">
        <v>205</v>
      </c>
      <c r="C155" s="66">
        <v>1218</v>
      </c>
      <c r="D155" s="66">
        <v>1384</v>
      </c>
    </row>
    <row r="156" spans="1:4">
      <c r="A156" s="65">
        <v>31303</v>
      </c>
      <c r="B156" s="71" t="s">
        <v>206</v>
      </c>
      <c r="C156" s="66">
        <v>992</v>
      </c>
      <c r="D156" s="66">
        <v>1026</v>
      </c>
    </row>
    <row r="157" spans="1:4">
      <c r="A157" s="65">
        <v>31304</v>
      </c>
      <c r="B157" s="71" t="s">
        <v>207</v>
      </c>
      <c r="C157" s="66">
        <v>1888</v>
      </c>
      <c r="D157" s="66">
        <v>2298</v>
      </c>
    </row>
    <row r="158" spans="1:4">
      <c r="A158" s="65">
        <v>31401</v>
      </c>
      <c r="B158" s="71" t="s">
        <v>208</v>
      </c>
      <c r="C158" s="66">
        <v>1983</v>
      </c>
      <c r="D158" s="66">
        <v>980</v>
      </c>
    </row>
    <row r="159" spans="1:4">
      <c r="A159" s="65">
        <v>31402</v>
      </c>
      <c r="B159" s="71" t="s">
        <v>209</v>
      </c>
      <c r="C159" s="66">
        <v>1898</v>
      </c>
      <c r="D159" s="66">
        <v>989</v>
      </c>
    </row>
    <row r="160" spans="1:4">
      <c r="A160" s="65">
        <v>31403</v>
      </c>
      <c r="B160" s="71" t="s">
        <v>210</v>
      </c>
      <c r="C160" s="66">
        <v>1133</v>
      </c>
      <c r="D160" s="66">
        <v>581</v>
      </c>
    </row>
    <row r="161" spans="1:4">
      <c r="A161" s="65">
        <v>31404</v>
      </c>
      <c r="B161" s="71" t="s">
        <v>211</v>
      </c>
      <c r="C161" s="66">
        <v>274</v>
      </c>
      <c r="D161" s="66">
        <v>182</v>
      </c>
    </row>
    <row r="162" spans="1:4">
      <c r="A162" s="65">
        <v>31405</v>
      </c>
      <c r="B162" s="71" t="s">
        <v>212</v>
      </c>
      <c r="C162" s="66">
        <v>461</v>
      </c>
      <c r="D162" s="66">
        <v>459</v>
      </c>
    </row>
    <row r="163" spans="1:4">
      <c r="A163" s="65">
        <v>31501</v>
      </c>
      <c r="B163" s="71" t="s">
        <v>213</v>
      </c>
      <c r="C163" s="66">
        <v>2226</v>
      </c>
      <c r="D163" s="66">
        <v>2745</v>
      </c>
    </row>
    <row r="164" spans="1:4">
      <c r="A164" s="65">
        <v>31601</v>
      </c>
      <c r="B164" s="71" t="s">
        <v>214</v>
      </c>
      <c r="C164" s="66">
        <v>3515</v>
      </c>
      <c r="D164" s="66">
        <v>2327</v>
      </c>
    </row>
    <row r="165" spans="1:4">
      <c r="A165" s="65">
        <v>31602</v>
      </c>
      <c r="B165" s="71" t="s">
        <v>215</v>
      </c>
      <c r="C165" s="66">
        <v>2047</v>
      </c>
      <c r="D165" s="66">
        <v>2118</v>
      </c>
    </row>
    <row r="166" spans="1:4">
      <c r="A166" s="65">
        <v>40101</v>
      </c>
      <c r="B166" s="71" t="s">
        <v>216</v>
      </c>
      <c r="C166" s="66">
        <v>20840</v>
      </c>
      <c r="D166" s="66">
        <v>12424</v>
      </c>
    </row>
    <row r="167" spans="1:4">
      <c r="A167" s="65">
        <v>40102</v>
      </c>
      <c r="B167" s="71" t="s">
        <v>217</v>
      </c>
      <c r="C167" s="66">
        <v>4949</v>
      </c>
      <c r="D167" s="66">
        <v>4304</v>
      </c>
    </row>
    <row r="168" spans="1:4">
      <c r="A168" s="65">
        <v>40103</v>
      </c>
      <c r="B168" s="71" t="s">
        <v>218</v>
      </c>
      <c r="C168" s="66">
        <v>3185</v>
      </c>
      <c r="D168" s="66">
        <v>3468</v>
      </c>
    </row>
    <row r="169" spans="1:4">
      <c r="A169" s="65">
        <v>40104</v>
      </c>
      <c r="B169" s="71" t="s">
        <v>219</v>
      </c>
      <c r="C169" s="66">
        <v>3130</v>
      </c>
      <c r="D169" s="66">
        <v>3821</v>
      </c>
    </row>
    <row r="170" spans="1:4">
      <c r="A170" s="65">
        <v>40201</v>
      </c>
      <c r="B170" s="71" t="s">
        <v>221</v>
      </c>
      <c r="C170" s="66">
        <v>7146</v>
      </c>
      <c r="D170" s="66">
        <v>7884</v>
      </c>
    </row>
    <row r="171" spans="1:4">
      <c r="A171" s="65">
        <v>40202</v>
      </c>
      <c r="B171" s="71" t="s">
        <v>222</v>
      </c>
      <c r="C171" s="66">
        <v>1203</v>
      </c>
      <c r="D171" s="66">
        <v>1519</v>
      </c>
    </row>
    <row r="172" spans="1:4">
      <c r="A172" s="65">
        <v>40301</v>
      </c>
      <c r="B172" s="71" t="s">
        <v>224</v>
      </c>
      <c r="C172" s="66">
        <v>3026</v>
      </c>
      <c r="D172" s="66">
        <v>3925</v>
      </c>
    </row>
    <row r="173" spans="1:4">
      <c r="A173" s="65">
        <v>40302</v>
      </c>
      <c r="B173" s="71" t="s">
        <v>225</v>
      </c>
      <c r="C173" s="66">
        <v>423</v>
      </c>
      <c r="D173" s="66">
        <v>415</v>
      </c>
    </row>
    <row r="174" spans="1:4">
      <c r="A174" s="65">
        <v>40401</v>
      </c>
      <c r="B174" s="71" t="s">
        <v>227</v>
      </c>
      <c r="C174" s="66">
        <v>862</v>
      </c>
      <c r="D174" s="66">
        <v>1000</v>
      </c>
    </row>
    <row r="175" spans="1:4">
      <c r="A175" s="65">
        <v>40402</v>
      </c>
      <c r="B175" s="71" t="s">
        <v>228</v>
      </c>
      <c r="C175" s="66">
        <v>1081</v>
      </c>
      <c r="D175" s="66">
        <v>1025</v>
      </c>
    </row>
    <row r="176" spans="1:4">
      <c r="A176" s="65">
        <v>40501</v>
      </c>
      <c r="B176" s="71" t="s">
        <v>230</v>
      </c>
      <c r="C176" s="66">
        <v>101</v>
      </c>
      <c r="D176" s="66">
        <v>224</v>
      </c>
    </row>
    <row r="177" spans="1:4">
      <c r="A177" s="65">
        <v>40502</v>
      </c>
      <c r="B177" s="71" t="s">
        <v>231</v>
      </c>
      <c r="C177" s="66">
        <v>1025</v>
      </c>
      <c r="D177" s="66">
        <v>518</v>
      </c>
    </row>
    <row r="178" spans="1:4">
      <c r="A178" s="65">
        <v>40503</v>
      </c>
      <c r="B178" s="71" t="s">
        <v>232</v>
      </c>
      <c r="C178" s="66">
        <v>549</v>
      </c>
      <c r="D178" s="66">
        <v>144</v>
      </c>
    </row>
    <row r="179" spans="1:4">
      <c r="A179" s="65">
        <v>40504</v>
      </c>
      <c r="B179" s="71" t="s">
        <v>233</v>
      </c>
      <c r="C179" s="66">
        <v>167</v>
      </c>
      <c r="D179" s="66">
        <v>14</v>
      </c>
    </row>
    <row r="180" spans="1:4">
      <c r="A180" s="65">
        <v>40505</v>
      </c>
      <c r="B180" s="71" t="s">
        <v>234</v>
      </c>
      <c r="C180" s="66">
        <v>631</v>
      </c>
      <c r="D180" s="66">
        <v>347</v>
      </c>
    </row>
    <row r="181" spans="1:4">
      <c r="A181" s="65">
        <v>40601</v>
      </c>
      <c r="B181" s="71" t="s">
        <v>235</v>
      </c>
      <c r="C181" s="66">
        <v>2061</v>
      </c>
      <c r="D181" s="66">
        <v>1782</v>
      </c>
    </row>
    <row r="182" spans="1:4">
      <c r="A182" s="65">
        <v>40602</v>
      </c>
      <c r="B182" s="71" t="s">
        <v>236</v>
      </c>
      <c r="C182" s="66">
        <v>1838</v>
      </c>
      <c r="D182" s="66">
        <v>1179</v>
      </c>
    </row>
    <row r="183" spans="1:4">
      <c r="A183" s="65">
        <v>40603</v>
      </c>
      <c r="B183" s="71" t="s">
        <v>237</v>
      </c>
      <c r="C183" s="66">
        <v>795</v>
      </c>
      <c r="D183" s="66">
        <v>800</v>
      </c>
    </row>
    <row r="184" spans="1:4">
      <c r="A184" s="65">
        <v>40701</v>
      </c>
      <c r="B184" s="71" t="s">
        <v>239</v>
      </c>
      <c r="C184" s="66">
        <v>3830</v>
      </c>
      <c r="D184" s="66">
        <v>1702</v>
      </c>
    </row>
    <row r="185" spans="1:4">
      <c r="A185" s="65">
        <v>40702</v>
      </c>
      <c r="B185" s="71" t="s">
        <v>240</v>
      </c>
      <c r="C185" s="66">
        <v>937</v>
      </c>
      <c r="D185" s="66">
        <v>823</v>
      </c>
    </row>
    <row r="186" spans="1:4">
      <c r="A186" s="65">
        <v>40801</v>
      </c>
      <c r="B186" s="71" t="s">
        <v>242</v>
      </c>
      <c r="C186" s="66">
        <v>3328</v>
      </c>
      <c r="D186" s="66">
        <v>3594</v>
      </c>
    </row>
    <row r="187" spans="1:4">
      <c r="A187" s="65">
        <v>40802</v>
      </c>
      <c r="B187" s="71" t="s">
        <v>243</v>
      </c>
      <c r="C187" s="66">
        <v>855</v>
      </c>
      <c r="D187" s="66">
        <v>778</v>
      </c>
    </row>
    <row r="188" spans="1:4">
      <c r="A188" s="65">
        <v>40901</v>
      </c>
      <c r="B188" s="71" t="s">
        <v>244</v>
      </c>
      <c r="C188" s="66">
        <v>1992</v>
      </c>
      <c r="D188" s="66">
        <v>2136</v>
      </c>
    </row>
    <row r="189" spans="1:4">
      <c r="A189" s="65">
        <v>40902</v>
      </c>
      <c r="B189" s="71" t="s">
        <v>245</v>
      </c>
      <c r="C189" s="66">
        <v>240</v>
      </c>
      <c r="D189" s="66">
        <v>185</v>
      </c>
    </row>
    <row r="190" spans="1:4">
      <c r="A190" s="65">
        <v>40903</v>
      </c>
      <c r="B190" s="71" t="s">
        <v>246</v>
      </c>
      <c r="C190" s="66">
        <v>380</v>
      </c>
      <c r="D190" s="66">
        <v>681</v>
      </c>
    </row>
    <row r="191" spans="1:4">
      <c r="A191" s="65">
        <v>41001</v>
      </c>
      <c r="B191" s="71" t="s">
        <v>248</v>
      </c>
      <c r="C191" s="66">
        <v>4067</v>
      </c>
      <c r="D191" s="66">
        <v>3962</v>
      </c>
    </row>
    <row r="192" spans="1:4">
      <c r="A192" s="65">
        <v>41101</v>
      </c>
      <c r="B192" s="71" t="s">
        <v>250</v>
      </c>
      <c r="C192" s="66">
        <v>1536</v>
      </c>
      <c r="D192" s="66">
        <v>1100</v>
      </c>
    </row>
    <row r="193" spans="1:4">
      <c r="A193" s="65">
        <v>41201</v>
      </c>
      <c r="B193" s="71" t="s">
        <v>252</v>
      </c>
      <c r="C193" s="66">
        <v>1873</v>
      </c>
      <c r="D193" s="66">
        <v>1620</v>
      </c>
    </row>
    <row r="194" spans="1:4">
      <c r="A194" s="65">
        <v>41202</v>
      </c>
      <c r="B194" s="71" t="s">
        <v>253</v>
      </c>
      <c r="C194" s="66">
        <v>709</v>
      </c>
      <c r="D194" s="66">
        <v>670</v>
      </c>
    </row>
    <row r="195" spans="1:4">
      <c r="A195" s="65">
        <v>41301</v>
      </c>
      <c r="B195" s="71" t="s">
        <v>198</v>
      </c>
      <c r="C195" s="66">
        <v>1647</v>
      </c>
      <c r="D195" s="66">
        <v>1886</v>
      </c>
    </row>
    <row r="196" spans="1:4">
      <c r="A196" s="65">
        <v>41401</v>
      </c>
      <c r="B196" s="71" t="s">
        <v>256</v>
      </c>
      <c r="C196" s="66">
        <v>3374</v>
      </c>
      <c r="D196" s="66">
        <v>2978</v>
      </c>
    </row>
    <row r="197" spans="1:4">
      <c r="A197" s="65">
        <v>41501</v>
      </c>
      <c r="B197" s="71" t="s">
        <v>258</v>
      </c>
      <c r="C197" s="66">
        <v>153</v>
      </c>
      <c r="D197" s="66">
        <v>142</v>
      </c>
    </row>
    <row r="198" spans="1:4">
      <c r="A198" s="65">
        <v>41502</v>
      </c>
      <c r="B198" s="71" t="s">
        <v>259</v>
      </c>
      <c r="C198" s="66">
        <v>166</v>
      </c>
      <c r="D198" s="66">
        <v>112</v>
      </c>
    </row>
    <row r="199" spans="1:4">
      <c r="A199" s="65">
        <v>41503</v>
      </c>
      <c r="B199" s="71" t="s">
        <v>223</v>
      </c>
      <c r="C199" s="66">
        <v>234</v>
      </c>
      <c r="D199" s="66">
        <v>150</v>
      </c>
    </row>
    <row r="200" spans="1:4">
      <c r="A200" s="65">
        <v>41601</v>
      </c>
      <c r="B200" s="71" t="s">
        <v>261</v>
      </c>
      <c r="C200" s="66">
        <v>2097</v>
      </c>
      <c r="D200" s="66">
        <v>2004</v>
      </c>
    </row>
    <row r="201" spans="1:4">
      <c r="A201" s="65">
        <v>50101</v>
      </c>
      <c r="B201" s="71" t="s">
        <v>262</v>
      </c>
      <c r="C201" s="66">
        <v>9584</v>
      </c>
      <c r="D201" s="66">
        <v>9263</v>
      </c>
    </row>
    <row r="202" spans="1:4">
      <c r="A202" s="65">
        <v>50102</v>
      </c>
      <c r="B202" s="71" t="s">
        <v>264</v>
      </c>
      <c r="C202" s="66">
        <v>6728</v>
      </c>
      <c r="D202" s="66">
        <v>8641</v>
      </c>
    </row>
    <row r="203" spans="1:4">
      <c r="A203" s="65">
        <v>50103</v>
      </c>
      <c r="B203" s="71" t="s">
        <v>265</v>
      </c>
      <c r="C203" s="66">
        <v>2032</v>
      </c>
      <c r="D203" s="66">
        <v>2275</v>
      </c>
    </row>
    <row r="204" spans="1:4">
      <c r="A204" s="65">
        <v>50104</v>
      </c>
      <c r="B204" s="71" t="s">
        <v>266</v>
      </c>
      <c r="C204" s="66">
        <v>988</v>
      </c>
      <c r="D204" s="66">
        <v>962</v>
      </c>
    </row>
    <row r="205" spans="1:4">
      <c r="A205" s="65">
        <v>50201</v>
      </c>
      <c r="B205" s="71" t="s">
        <v>268</v>
      </c>
      <c r="C205" s="66">
        <v>4138</v>
      </c>
      <c r="D205" s="66">
        <v>4655</v>
      </c>
    </row>
    <row r="206" spans="1:4">
      <c r="A206" s="65">
        <v>50202</v>
      </c>
      <c r="B206" s="71" t="s">
        <v>269</v>
      </c>
      <c r="C206" s="66">
        <v>3702</v>
      </c>
      <c r="D206" s="66">
        <v>3421</v>
      </c>
    </row>
    <row r="207" spans="1:4">
      <c r="A207" s="65">
        <v>50203</v>
      </c>
      <c r="B207" s="71" t="s">
        <v>270</v>
      </c>
      <c r="C207" s="66">
        <v>5437</v>
      </c>
      <c r="D207" s="66">
        <v>5288</v>
      </c>
    </row>
    <row r="208" spans="1:4">
      <c r="A208" s="65">
        <v>50204</v>
      </c>
      <c r="B208" s="71" t="s">
        <v>271</v>
      </c>
      <c r="C208" s="66">
        <v>2125</v>
      </c>
      <c r="D208" s="66">
        <v>2404</v>
      </c>
    </row>
    <row r="209" spans="1:4">
      <c r="A209" s="65">
        <v>50301</v>
      </c>
      <c r="B209" s="71" t="s">
        <v>273</v>
      </c>
      <c r="C209" s="66">
        <v>7036</v>
      </c>
      <c r="D209" s="66">
        <v>6146</v>
      </c>
    </row>
    <row r="210" spans="1:4">
      <c r="A210" s="65">
        <v>50302</v>
      </c>
      <c r="B210" s="71" t="s">
        <v>274</v>
      </c>
      <c r="C210" s="66">
        <v>2383</v>
      </c>
      <c r="D210" s="66">
        <v>2089</v>
      </c>
    </row>
    <row r="211" spans="1:4">
      <c r="A211" s="65">
        <v>50303</v>
      </c>
      <c r="B211" s="71" t="s">
        <v>275</v>
      </c>
      <c r="C211" s="66">
        <v>3801</v>
      </c>
      <c r="D211" s="66">
        <v>4703</v>
      </c>
    </row>
    <row r="212" spans="1:4">
      <c r="A212" s="65">
        <v>50401</v>
      </c>
      <c r="B212" s="71" t="s">
        <v>276</v>
      </c>
      <c r="C212" s="66">
        <v>3302</v>
      </c>
      <c r="D212" s="66">
        <v>4425</v>
      </c>
    </row>
    <row r="213" spans="1:4">
      <c r="A213" s="65">
        <v>50402</v>
      </c>
      <c r="B213" s="71" t="s">
        <v>277</v>
      </c>
      <c r="C213" s="66">
        <v>4866</v>
      </c>
      <c r="D213" s="66">
        <v>5100</v>
      </c>
    </row>
    <row r="214" spans="1:4">
      <c r="A214" s="65">
        <v>50403</v>
      </c>
      <c r="B214" s="71" t="s">
        <v>278</v>
      </c>
      <c r="C214" s="66">
        <v>7538</v>
      </c>
      <c r="D214" s="66">
        <v>10150</v>
      </c>
    </row>
    <row r="215" spans="1:4">
      <c r="A215" s="65">
        <v>50404</v>
      </c>
      <c r="B215" s="71" t="s">
        <v>279</v>
      </c>
      <c r="C215" s="66">
        <v>4273</v>
      </c>
      <c r="D215" s="66">
        <v>4941</v>
      </c>
    </row>
    <row r="216" spans="1:4">
      <c r="A216" s="65">
        <v>50405</v>
      </c>
      <c r="B216" s="71" t="s">
        <v>280</v>
      </c>
      <c r="C216" s="66">
        <v>5196</v>
      </c>
      <c r="D216" s="66">
        <v>6651</v>
      </c>
    </row>
    <row r="217" spans="1:4">
      <c r="A217" s="65">
        <v>50501</v>
      </c>
      <c r="B217" s="71" t="s">
        <v>282</v>
      </c>
      <c r="C217" s="66">
        <v>7642</v>
      </c>
      <c r="D217" s="66">
        <v>9719</v>
      </c>
    </row>
    <row r="218" spans="1:4">
      <c r="A218" s="65">
        <v>50502</v>
      </c>
      <c r="B218" s="71" t="s">
        <v>283</v>
      </c>
      <c r="C218" s="66">
        <v>2790</v>
      </c>
      <c r="D218" s="66">
        <v>2987</v>
      </c>
    </row>
    <row r="219" spans="1:4">
      <c r="A219" s="65">
        <v>50601</v>
      </c>
      <c r="B219" s="71" t="s">
        <v>285</v>
      </c>
      <c r="C219" s="66">
        <v>6881</v>
      </c>
      <c r="D219" s="66">
        <v>5922</v>
      </c>
    </row>
    <row r="220" spans="1:4">
      <c r="A220" s="65">
        <v>50602</v>
      </c>
      <c r="B220" s="71" t="s">
        <v>286</v>
      </c>
      <c r="C220" s="66">
        <v>2179</v>
      </c>
      <c r="D220" s="66">
        <v>1999</v>
      </c>
    </row>
    <row r="221" spans="1:4">
      <c r="A221" s="65">
        <v>50701</v>
      </c>
      <c r="B221" s="71" t="s">
        <v>288</v>
      </c>
      <c r="C221" s="66">
        <v>4741</v>
      </c>
      <c r="D221" s="66">
        <v>5146</v>
      </c>
    </row>
    <row r="222" spans="1:4">
      <c r="A222" s="65">
        <v>50702</v>
      </c>
      <c r="B222" s="71" t="s">
        <v>289</v>
      </c>
      <c r="C222" s="66">
        <v>2353</v>
      </c>
      <c r="D222" s="66">
        <v>3015</v>
      </c>
    </row>
    <row r="223" spans="1:4">
      <c r="A223" s="65">
        <v>50801</v>
      </c>
      <c r="B223" s="71" t="s">
        <v>291</v>
      </c>
      <c r="C223" s="66">
        <v>4811</v>
      </c>
      <c r="D223" s="66">
        <v>3211</v>
      </c>
    </row>
    <row r="224" spans="1:4">
      <c r="A224" s="65">
        <v>50802</v>
      </c>
      <c r="B224" s="71" t="s">
        <v>292</v>
      </c>
      <c r="C224" s="66">
        <v>2773</v>
      </c>
      <c r="D224" s="66">
        <v>2218</v>
      </c>
    </row>
    <row r="225" spans="1:4">
      <c r="A225" s="65">
        <v>50901</v>
      </c>
      <c r="B225" s="71" t="s">
        <v>294</v>
      </c>
      <c r="C225" s="66">
        <v>2329</v>
      </c>
      <c r="D225" s="66">
        <v>1116</v>
      </c>
    </row>
    <row r="226" spans="1:4">
      <c r="A226" s="65">
        <v>50902</v>
      </c>
      <c r="B226" s="71" t="s">
        <v>295</v>
      </c>
      <c r="C226" s="66">
        <v>272</v>
      </c>
      <c r="D226" s="66">
        <v>237</v>
      </c>
    </row>
    <row r="227" spans="1:4">
      <c r="A227" s="65">
        <v>51001</v>
      </c>
      <c r="B227" s="71" t="s">
        <v>297</v>
      </c>
      <c r="C227" s="66">
        <v>713</v>
      </c>
      <c r="D227" s="66">
        <v>586</v>
      </c>
    </row>
    <row r="228" spans="1:4">
      <c r="A228" s="65">
        <v>51002</v>
      </c>
      <c r="B228" s="71" t="s">
        <v>298</v>
      </c>
      <c r="C228" s="66">
        <v>253</v>
      </c>
      <c r="D228" s="66">
        <v>138</v>
      </c>
    </row>
    <row r="229" spans="1:4">
      <c r="A229" s="65">
        <v>51003</v>
      </c>
      <c r="B229" s="71" t="s">
        <v>299</v>
      </c>
      <c r="C229" s="66">
        <v>505</v>
      </c>
      <c r="D229" s="66">
        <v>287</v>
      </c>
    </row>
    <row r="230" spans="1:4">
      <c r="A230" s="65">
        <v>51101</v>
      </c>
      <c r="B230" s="71" t="s">
        <v>301</v>
      </c>
      <c r="C230" s="66">
        <v>5022</v>
      </c>
      <c r="D230" s="66">
        <v>3094</v>
      </c>
    </row>
    <row r="231" spans="1:4">
      <c r="A231" s="65">
        <v>51102</v>
      </c>
      <c r="B231" s="71" t="s">
        <v>302</v>
      </c>
      <c r="C231" s="66">
        <v>2550</v>
      </c>
      <c r="D231" s="66">
        <v>2130</v>
      </c>
    </row>
    <row r="232" spans="1:4">
      <c r="A232" s="65">
        <v>51103</v>
      </c>
      <c r="B232" s="71" t="s">
        <v>303</v>
      </c>
      <c r="C232" s="66">
        <v>3571</v>
      </c>
      <c r="D232" s="66">
        <v>3445</v>
      </c>
    </row>
    <row r="233" spans="1:4">
      <c r="A233" s="65">
        <v>51201</v>
      </c>
      <c r="B233" s="71" t="s">
        <v>305</v>
      </c>
      <c r="C233" s="66">
        <v>5733</v>
      </c>
      <c r="D233" s="66">
        <v>4646</v>
      </c>
    </row>
    <row r="234" spans="1:4">
      <c r="A234" s="65">
        <v>51202</v>
      </c>
      <c r="B234" s="71" t="s">
        <v>306</v>
      </c>
      <c r="C234" s="66">
        <v>2866</v>
      </c>
      <c r="D234" s="66">
        <v>2429</v>
      </c>
    </row>
    <row r="235" spans="1:4">
      <c r="A235" s="65">
        <v>51203</v>
      </c>
      <c r="B235" s="71" t="s">
        <v>307</v>
      </c>
      <c r="C235" s="66">
        <v>1268</v>
      </c>
      <c r="D235" s="66">
        <v>1160</v>
      </c>
    </row>
    <row r="236" spans="1:4">
      <c r="A236" s="65">
        <v>51204</v>
      </c>
      <c r="B236" s="71" t="s">
        <v>308</v>
      </c>
      <c r="C236" s="66">
        <v>1927</v>
      </c>
      <c r="D236" s="66">
        <v>1832</v>
      </c>
    </row>
    <row r="237" spans="1:4">
      <c r="A237" s="65">
        <v>51301</v>
      </c>
      <c r="B237" s="71" t="s">
        <v>310</v>
      </c>
      <c r="C237" s="66">
        <v>1050</v>
      </c>
      <c r="D237" s="66">
        <v>1024</v>
      </c>
    </row>
    <row r="238" spans="1:4">
      <c r="A238" s="65">
        <v>51302</v>
      </c>
      <c r="B238" s="71" t="s">
        <v>311</v>
      </c>
      <c r="C238" s="66">
        <v>1497</v>
      </c>
      <c r="D238" s="66">
        <v>1391</v>
      </c>
    </row>
    <row r="239" spans="1:4">
      <c r="A239" s="65">
        <v>51401</v>
      </c>
      <c r="B239" s="71" t="s">
        <v>313</v>
      </c>
      <c r="C239" s="66">
        <v>1143</v>
      </c>
      <c r="D239" s="66">
        <v>825</v>
      </c>
    </row>
    <row r="240" spans="1:4">
      <c r="A240" s="65">
        <v>51402</v>
      </c>
      <c r="B240" s="71" t="s">
        <v>314</v>
      </c>
      <c r="C240" s="66">
        <v>625</v>
      </c>
      <c r="D240" s="66">
        <v>490</v>
      </c>
    </row>
    <row r="241" spans="1:4">
      <c r="A241" s="65">
        <v>51501</v>
      </c>
      <c r="B241" s="71" t="s">
        <v>316</v>
      </c>
      <c r="C241" s="66">
        <v>3131</v>
      </c>
      <c r="D241" s="66">
        <v>1677</v>
      </c>
    </row>
    <row r="242" spans="1:4">
      <c r="A242" s="65">
        <v>51601</v>
      </c>
      <c r="B242" s="71" t="s">
        <v>318</v>
      </c>
      <c r="C242" s="66">
        <v>363</v>
      </c>
      <c r="D242" s="66">
        <v>219</v>
      </c>
    </row>
    <row r="243" spans="1:4">
      <c r="A243" s="65">
        <v>60101</v>
      </c>
      <c r="B243" s="71" t="s">
        <v>319</v>
      </c>
      <c r="C243" s="66">
        <v>7002</v>
      </c>
      <c r="D243" s="66">
        <v>3483</v>
      </c>
    </row>
    <row r="244" spans="1:4">
      <c r="A244" s="65">
        <v>60201</v>
      </c>
      <c r="B244" s="71" t="s">
        <v>321</v>
      </c>
      <c r="C244" s="66">
        <v>2457</v>
      </c>
      <c r="D244" s="66">
        <v>1729</v>
      </c>
    </row>
    <row r="245" spans="1:4">
      <c r="A245" s="65">
        <v>60202</v>
      </c>
      <c r="B245" s="71" t="s">
        <v>322</v>
      </c>
      <c r="C245" s="66">
        <v>936</v>
      </c>
      <c r="D245" s="66">
        <v>404</v>
      </c>
    </row>
    <row r="246" spans="1:4">
      <c r="A246" s="65">
        <v>60301</v>
      </c>
      <c r="B246" s="71" t="s">
        <v>324</v>
      </c>
      <c r="C246" s="66">
        <v>3067</v>
      </c>
      <c r="D246" s="66">
        <v>1636</v>
      </c>
    </row>
    <row r="247" spans="1:4">
      <c r="A247" s="65">
        <v>60302</v>
      </c>
      <c r="B247" s="71" t="s">
        <v>325</v>
      </c>
      <c r="C247" s="66">
        <v>638</v>
      </c>
      <c r="D247" s="66">
        <v>578</v>
      </c>
    </row>
    <row r="248" spans="1:4">
      <c r="A248" s="65">
        <v>60303</v>
      </c>
      <c r="B248" s="71" t="s">
        <v>326</v>
      </c>
      <c r="C248" s="66">
        <v>1720</v>
      </c>
      <c r="D248" s="66">
        <v>1173</v>
      </c>
    </row>
    <row r="249" spans="1:4">
      <c r="A249" s="65">
        <v>60401</v>
      </c>
      <c r="B249" s="71" t="s">
        <v>328</v>
      </c>
      <c r="C249" s="66">
        <v>1580</v>
      </c>
      <c r="D249" s="66">
        <v>990</v>
      </c>
    </row>
    <row r="250" spans="1:4">
      <c r="A250" s="65">
        <v>60402</v>
      </c>
      <c r="B250" s="71" t="s">
        <v>329</v>
      </c>
      <c r="C250" s="66">
        <v>388</v>
      </c>
      <c r="D250" s="66">
        <v>333</v>
      </c>
    </row>
    <row r="251" spans="1:4">
      <c r="A251" s="65">
        <v>60501</v>
      </c>
      <c r="B251" s="71" t="s">
        <v>331</v>
      </c>
      <c r="C251" s="66">
        <v>2319</v>
      </c>
      <c r="D251" s="66">
        <v>1791</v>
      </c>
    </row>
    <row r="252" spans="1:4">
      <c r="A252" s="65">
        <v>60502</v>
      </c>
      <c r="B252" s="71" t="s">
        <v>332</v>
      </c>
      <c r="C252" s="66">
        <v>719</v>
      </c>
      <c r="D252" s="66">
        <v>495</v>
      </c>
    </row>
    <row r="253" spans="1:4">
      <c r="A253" s="65">
        <v>60601</v>
      </c>
      <c r="B253" s="71" t="s">
        <v>203</v>
      </c>
      <c r="C253" s="66">
        <v>2148</v>
      </c>
      <c r="D253" s="66">
        <v>1686</v>
      </c>
    </row>
    <row r="254" spans="1:4">
      <c r="A254" s="65">
        <v>70101</v>
      </c>
      <c r="B254" s="71" t="s">
        <v>336</v>
      </c>
      <c r="C254" s="66">
        <v>12301</v>
      </c>
      <c r="D254" s="66">
        <v>5366</v>
      </c>
    </row>
    <row r="255" spans="1:4">
      <c r="A255" s="65">
        <v>70102</v>
      </c>
      <c r="B255" s="71" t="s">
        <v>337</v>
      </c>
      <c r="C255" s="66">
        <v>2501</v>
      </c>
      <c r="D255" s="66">
        <v>1684</v>
      </c>
    </row>
    <row r="256" spans="1:4">
      <c r="A256" s="65">
        <v>70103</v>
      </c>
      <c r="B256" s="71" t="s">
        <v>338</v>
      </c>
      <c r="C256" s="66">
        <v>954</v>
      </c>
      <c r="D256" s="66">
        <v>551</v>
      </c>
    </row>
    <row r="257" spans="1:4">
      <c r="A257" s="65">
        <v>70104</v>
      </c>
      <c r="B257" s="71" t="s">
        <v>339</v>
      </c>
      <c r="C257" s="66">
        <v>1766</v>
      </c>
      <c r="D257" s="66">
        <v>1204</v>
      </c>
    </row>
    <row r="258" spans="1:4">
      <c r="A258" s="65">
        <v>70105</v>
      </c>
      <c r="B258" s="71" t="s">
        <v>340</v>
      </c>
      <c r="C258" s="66">
        <v>2564</v>
      </c>
      <c r="D258" s="66">
        <v>1723</v>
      </c>
    </row>
    <row r="259" spans="1:4">
      <c r="A259" s="65">
        <v>70201</v>
      </c>
      <c r="B259" s="71" t="s">
        <v>341</v>
      </c>
      <c r="C259" s="66">
        <v>4040</v>
      </c>
      <c r="D259" s="66">
        <v>2167</v>
      </c>
    </row>
    <row r="260" spans="1:4">
      <c r="A260" s="65">
        <v>70202</v>
      </c>
      <c r="B260" s="71" t="s">
        <v>342</v>
      </c>
      <c r="C260" s="66">
        <v>276</v>
      </c>
      <c r="D260" s="66">
        <v>110</v>
      </c>
    </row>
    <row r="261" spans="1:4">
      <c r="A261" s="65">
        <v>70301</v>
      </c>
      <c r="B261" s="71" t="s">
        <v>344</v>
      </c>
      <c r="C261" s="66">
        <v>817</v>
      </c>
      <c r="D261" s="66">
        <v>1843</v>
      </c>
    </row>
    <row r="262" spans="1:4">
      <c r="A262" s="65">
        <v>70302</v>
      </c>
      <c r="B262" s="71" t="s">
        <v>345</v>
      </c>
      <c r="C262" s="66">
        <v>376</v>
      </c>
      <c r="D262" s="66">
        <v>859</v>
      </c>
    </row>
    <row r="263" spans="1:4">
      <c r="A263" s="65">
        <v>70303</v>
      </c>
      <c r="B263" s="71" t="s">
        <v>346</v>
      </c>
      <c r="C263" s="66">
        <v>152</v>
      </c>
      <c r="D263" s="66">
        <v>993</v>
      </c>
    </row>
    <row r="264" spans="1:4">
      <c r="A264" s="65">
        <v>70401</v>
      </c>
      <c r="B264" s="71" t="s">
        <v>348</v>
      </c>
      <c r="C264" s="66">
        <v>665</v>
      </c>
      <c r="D264" s="66">
        <v>364</v>
      </c>
    </row>
    <row r="265" spans="1:4">
      <c r="A265" s="65">
        <v>70402</v>
      </c>
      <c r="B265" s="71" t="s">
        <v>349</v>
      </c>
      <c r="C265" s="66">
        <v>1039</v>
      </c>
      <c r="D265" s="66">
        <v>691</v>
      </c>
    </row>
    <row r="266" spans="1:4">
      <c r="A266" s="65">
        <v>70403</v>
      </c>
      <c r="B266" s="71" t="s">
        <v>350</v>
      </c>
      <c r="C266" s="66">
        <v>5604</v>
      </c>
      <c r="D266" s="66">
        <v>5938</v>
      </c>
    </row>
    <row r="267" spans="1:4">
      <c r="A267" s="65">
        <v>70404</v>
      </c>
      <c r="B267" s="71" t="s">
        <v>351</v>
      </c>
      <c r="C267" s="66">
        <v>478</v>
      </c>
      <c r="D267" s="66">
        <v>568</v>
      </c>
    </row>
    <row r="268" spans="1:4">
      <c r="A268" s="65">
        <v>70501</v>
      </c>
      <c r="B268" s="71" t="s">
        <v>353</v>
      </c>
      <c r="C268" s="66">
        <v>413</v>
      </c>
      <c r="D268" s="66">
        <v>3011</v>
      </c>
    </row>
    <row r="269" spans="1:4">
      <c r="A269" s="65">
        <v>70502</v>
      </c>
      <c r="B269" s="71" t="s">
        <v>354</v>
      </c>
      <c r="C269" s="66">
        <v>671</v>
      </c>
      <c r="D269" s="66">
        <v>1323</v>
      </c>
    </row>
    <row r="270" spans="1:4">
      <c r="A270" s="65">
        <v>70503</v>
      </c>
      <c r="B270" s="71" t="s">
        <v>355</v>
      </c>
      <c r="C270" s="66">
        <v>444</v>
      </c>
      <c r="D270" s="66">
        <v>465</v>
      </c>
    </row>
    <row r="271" spans="1:4">
      <c r="A271" s="65">
        <v>70601</v>
      </c>
      <c r="B271" s="71" t="s">
        <v>357</v>
      </c>
      <c r="C271" s="66">
        <v>487</v>
      </c>
      <c r="D271" s="66">
        <v>173</v>
      </c>
    </row>
    <row r="272" spans="1:4">
      <c r="A272" s="65">
        <v>70602</v>
      </c>
      <c r="B272" s="71" t="s">
        <v>358</v>
      </c>
      <c r="C272" s="66">
        <v>1702</v>
      </c>
      <c r="D272" s="66">
        <v>1088</v>
      </c>
    </row>
    <row r="273" spans="1:4">
      <c r="A273" s="65">
        <v>70603</v>
      </c>
      <c r="B273" s="71" t="s">
        <v>359</v>
      </c>
      <c r="C273" s="66">
        <v>201</v>
      </c>
      <c r="D273" s="66">
        <v>113</v>
      </c>
    </row>
    <row r="274" spans="1:4">
      <c r="A274" s="65">
        <v>70701</v>
      </c>
      <c r="B274" s="71" t="s">
        <v>361</v>
      </c>
      <c r="C274" s="66">
        <v>450</v>
      </c>
      <c r="D274" s="66">
        <v>225</v>
      </c>
    </row>
    <row r="275" spans="1:4">
      <c r="A275" s="65">
        <v>70702</v>
      </c>
      <c r="B275" s="71" t="s">
        <v>362</v>
      </c>
      <c r="C275" s="66">
        <v>1945</v>
      </c>
      <c r="D275" s="66">
        <v>1814</v>
      </c>
    </row>
    <row r="276" spans="1:4">
      <c r="A276" s="65">
        <v>70703</v>
      </c>
      <c r="B276" s="71" t="s">
        <v>363</v>
      </c>
      <c r="C276" s="66">
        <v>1314</v>
      </c>
      <c r="D276" s="66">
        <v>1082</v>
      </c>
    </row>
    <row r="277" spans="1:4">
      <c r="A277" s="65">
        <v>70704</v>
      </c>
      <c r="B277" s="71" t="s">
        <v>364</v>
      </c>
      <c r="C277" s="66">
        <v>354</v>
      </c>
      <c r="D277" s="66">
        <v>184</v>
      </c>
    </row>
    <row r="278" spans="1:4">
      <c r="A278" s="65">
        <v>70705</v>
      </c>
      <c r="B278" s="71" t="s">
        <v>365</v>
      </c>
      <c r="C278" s="66">
        <v>1119</v>
      </c>
      <c r="D278" s="66">
        <v>761</v>
      </c>
    </row>
    <row r="279" spans="1:4">
      <c r="A279" s="65">
        <v>70706</v>
      </c>
      <c r="B279" s="71" t="s">
        <v>366</v>
      </c>
      <c r="C279" s="66">
        <v>804</v>
      </c>
      <c r="D279" s="66">
        <v>636</v>
      </c>
    </row>
    <row r="280" spans="1:4">
      <c r="A280" s="65">
        <v>70707</v>
      </c>
      <c r="B280" s="71" t="s">
        <v>367</v>
      </c>
      <c r="C280" s="66">
        <v>230</v>
      </c>
      <c r="D280" s="66">
        <v>93</v>
      </c>
    </row>
    <row r="281" spans="1:4">
      <c r="A281" s="65">
        <v>70801</v>
      </c>
      <c r="B281" s="71" t="s">
        <v>369</v>
      </c>
      <c r="C281" s="66">
        <v>1775</v>
      </c>
      <c r="D281" s="66">
        <v>1267</v>
      </c>
    </row>
    <row r="282" spans="1:4">
      <c r="A282" s="65">
        <v>70802</v>
      </c>
      <c r="B282" s="71" t="s">
        <v>370</v>
      </c>
      <c r="C282" s="66">
        <v>191</v>
      </c>
      <c r="D282" s="66">
        <v>104</v>
      </c>
    </row>
    <row r="283" spans="1:4">
      <c r="A283" s="65">
        <v>70803</v>
      </c>
      <c r="B283" s="71" t="s">
        <v>371</v>
      </c>
      <c r="C283" s="66">
        <v>389</v>
      </c>
      <c r="D283" s="66">
        <v>324</v>
      </c>
    </row>
    <row r="284" spans="1:4">
      <c r="A284" s="65">
        <v>70804</v>
      </c>
      <c r="B284" s="71" t="s">
        <v>372</v>
      </c>
      <c r="C284" s="66">
        <v>355</v>
      </c>
      <c r="D284" s="66">
        <v>208</v>
      </c>
    </row>
    <row r="285" spans="1:4">
      <c r="A285" s="65">
        <v>70805</v>
      </c>
      <c r="B285" s="71" t="s">
        <v>373</v>
      </c>
      <c r="C285" s="66">
        <v>444</v>
      </c>
      <c r="D285" s="66">
        <v>318</v>
      </c>
    </row>
    <row r="286" spans="1:4">
      <c r="A286" s="65">
        <v>70901</v>
      </c>
      <c r="B286" s="71" t="s">
        <v>375</v>
      </c>
      <c r="C286" s="66">
        <v>975</v>
      </c>
      <c r="D286" s="66">
        <v>670</v>
      </c>
    </row>
    <row r="287" spans="1:4">
      <c r="A287" s="65">
        <v>70902</v>
      </c>
      <c r="B287" s="71" t="s">
        <v>376</v>
      </c>
      <c r="C287" s="66">
        <v>724</v>
      </c>
      <c r="D287" s="66">
        <v>462</v>
      </c>
    </row>
    <row r="288" spans="1:4">
      <c r="A288" s="65">
        <v>70903</v>
      </c>
      <c r="B288" s="71" t="s">
        <v>377</v>
      </c>
      <c r="C288" s="66">
        <v>574</v>
      </c>
      <c r="D288" s="66">
        <v>679</v>
      </c>
    </row>
    <row r="289" spans="1:4">
      <c r="A289" s="65">
        <v>70904</v>
      </c>
      <c r="B289" s="71" t="s">
        <v>378</v>
      </c>
      <c r="C289" s="66">
        <v>275</v>
      </c>
      <c r="D289" s="66">
        <v>201</v>
      </c>
    </row>
    <row r="290" spans="1:4">
      <c r="A290" s="65">
        <v>71001</v>
      </c>
      <c r="B290" s="71" t="s">
        <v>380</v>
      </c>
      <c r="C290" s="66">
        <v>2700</v>
      </c>
      <c r="D290" s="66">
        <v>1250</v>
      </c>
    </row>
    <row r="291" spans="1:4">
      <c r="A291" s="65">
        <v>71002</v>
      </c>
      <c r="B291" s="71" t="s">
        <v>381</v>
      </c>
      <c r="C291" s="66">
        <v>629</v>
      </c>
      <c r="D291" s="66">
        <v>444</v>
      </c>
    </row>
    <row r="292" spans="1:4">
      <c r="A292" s="65">
        <v>71003</v>
      </c>
      <c r="B292" s="71" t="s">
        <v>382</v>
      </c>
      <c r="C292" s="66">
        <v>906</v>
      </c>
      <c r="D292" s="66">
        <v>420</v>
      </c>
    </row>
    <row r="293" spans="1:4">
      <c r="A293" s="65">
        <v>71004</v>
      </c>
      <c r="B293" s="71" t="s">
        <v>383</v>
      </c>
      <c r="C293" s="66">
        <v>570</v>
      </c>
      <c r="D293" s="66">
        <v>427</v>
      </c>
    </row>
    <row r="294" spans="1:4">
      <c r="A294" s="65">
        <v>71005</v>
      </c>
      <c r="B294" s="71" t="s">
        <v>282</v>
      </c>
      <c r="C294" s="66">
        <v>294</v>
      </c>
      <c r="D294" s="66">
        <v>289</v>
      </c>
    </row>
    <row r="295" spans="1:4">
      <c r="A295" s="65">
        <v>71101</v>
      </c>
      <c r="B295" s="71" t="s">
        <v>385</v>
      </c>
      <c r="C295" s="66">
        <v>704</v>
      </c>
      <c r="D295" s="66">
        <v>1654</v>
      </c>
    </row>
    <row r="296" spans="1:4">
      <c r="A296" s="65">
        <v>71102</v>
      </c>
      <c r="B296" s="71" t="s">
        <v>386</v>
      </c>
      <c r="C296" s="66">
        <v>461</v>
      </c>
      <c r="D296" s="66">
        <v>309</v>
      </c>
    </row>
    <row r="297" spans="1:4">
      <c r="A297" s="65">
        <v>71103</v>
      </c>
      <c r="B297" s="71" t="s">
        <v>389</v>
      </c>
      <c r="C297" s="66">
        <v>335</v>
      </c>
      <c r="D297" s="66">
        <v>270</v>
      </c>
    </row>
    <row r="298" spans="1:4">
      <c r="A298" s="65">
        <v>71104</v>
      </c>
      <c r="B298" s="71" t="s">
        <v>387</v>
      </c>
      <c r="C298" s="66">
        <v>2876</v>
      </c>
      <c r="D298" s="66">
        <v>1872</v>
      </c>
    </row>
    <row r="299" spans="1:4">
      <c r="A299" s="65">
        <v>71105</v>
      </c>
      <c r="B299" s="71" t="s">
        <v>388</v>
      </c>
      <c r="C299" s="66">
        <v>185</v>
      </c>
      <c r="D299" s="66">
        <v>112</v>
      </c>
    </row>
    <row r="300" spans="1:4">
      <c r="A300" s="65">
        <v>71106</v>
      </c>
      <c r="B300" s="71" t="s">
        <v>390</v>
      </c>
      <c r="C300" s="66">
        <v>807</v>
      </c>
      <c r="D300" s="66">
        <v>490</v>
      </c>
    </row>
    <row r="301" spans="1:4">
      <c r="A301" s="65">
        <v>71201</v>
      </c>
      <c r="B301" s="71" t="s">
        <v>392</v>
      </c>
      <c r="C301" s="66">
        <v>417</v>
      </c>
      <c r="D301" s="66">
        <v>313</v>
      </c>
    </row>
    <row r="302" spans="1:4">
      <c r="A302" s="65">
        <v>71301</v>
      </c>
      <c r="B302" s="71" t="s">
        <v>394</v>
      </c>
      <c r="C302" s="66">
        <v>1506</v>
      </c>
      <c r="D302" s="66">
        <v>1417</v>
      </c>
    </row>
    <row r="303" spans="1:4">
      <c r="A303" s="65">
        <v>71302</v>
      </c>
      <c r="B303" s="71" t="s">
        <v>395</v>
      </c>
      <c r="C303" s="66">
        <v>638</v>
      </c>
      <c r="D303" s="66">
        <v>328</v>
      </c>
    </row>
    <row r="304" spans="1:4">
      <c r="A304" s="65">
        <v>71401</v>
      </c>
      <c r="B304" s="71" t="s">
        <v>397</v>
      </c>
      <c r="C304" s="66">
        <v>539</v>
      </c>
      <c r="D304" s="66">
        <v>338</v>
      </c>
    </row>
    <row r="305" spans="1:4">
      <c r="A305" s="65">
        <v>71402</v>
      </c>
      <c r="B305" s="71" t="s">
        <v>398</v>
      </c>
      <c r="C305" s="66">
        <v>298</v>
      </c>
      <c r="D305" s="66">
        <v>152</v>
      </c>
    </row>
    <row r="306" spans="1:4">
      <c r="A306" s="65">
        <v>71403</v>
      </c>
      <c r="B306" s="71" t="s">
        <v>399</v>
      </c>
      <c r="C306" s="66">
        <v>249</v>
      </c>
      <c r="D306" s="66">
        <v>419</v>
      </c>
    </row>
    <row r="307" spans="1:4">
      <c r="A307" s="65">
        <v>71501</v>
      </c>
      <c r="B307" s="71" t="s">
        <v>401</v>
      </c>
      <c r="C307" s="66">
        <v>822</v>
      </c>
      <c r="D307" s="66">
        <v>2084</v>
      </c>
    </row>
    <row r="308" spans="1:4">
      <c r="A308" s="65">
        <v>71502</v>
      </c>
      <c r="B308" s="71" t="s">
        <v>402</v>
      </c>
      <c r="C308" s="66">
        <v>117</v>
      </c>
      <c r="D308" s="66">
        <v>211</v>
      </c>
    </row>
    <row r="309" spans="1:4">
      <c r="A309" s="65">
        <v>71503</v>
      </c>
      <c r="B309" s="71" t="s">
        <v>332</v>
      </c>
      <c r="C309" s="66">
        <v>1757</v>
      </c>
      <c r="D309" s="66">
        <v>1719</v>
      </c>
    </row>
    <row r="310" spans="1:4">
      <c r="A310" s="65">
        <v>80101</v>
      </c>
      <c r="B310" s="71" t="s">
        <v>404</v>
      </c>
      <c r="C310" s="66">
        <v>2261</v>
      </c>
      <c r="D310" s="66">
        <v>1363</v>
      </c>
    </row>
    <row r="311" spans="1:4">
      <c r="A311" s="65">
        <v>80102</v>
      </c>
      <c r="B311" s="71" t="s">
        <v>386</v>
      </c>
      <c r="C311" s="66">
        <v>187</v>
      </c>
      <c r="D311" s="66">
        <v>334</v>
      </c>
    </row>
    <row r="312" spans="1:4">
      <c r="A312" s="65">
        <v>80201</v>
      </c>
      <c r="B312" s="71" t="s">
        <v>406</v>
      </c>
      <c r="C312" s="66">
        <v>1545</v>
      </c>
      <c r="D312" s="66">
        <v>1209</v>
      </c>
    </row>
    <row r="313" spans="1:4">
      <c r="A313" s="65">
        <v>80202</v>
      </c>
      <c r="B313" s="71" t="s">
        <v>407</v>
      </c>
      <c r="C313" s="66">
        <v>632</v>
      </c>
      <c r="D313" s="66">
        <v>517</v>
      </c>
    </row>
    <row r="314" spans="1:4">
      <c r="A314" s="65">
        <v>80301</v>
      </c>
      <c r="B314" s="71" t="s">
        <v>409</v>
      </c>
      <c r="C314" s="66">
        <v>465</v>
      </c>
      <c r="D314" s="66">
        <v>241</v>
      </c>
    </row>
    <row r="315" spans="1:4">
      <c r="A315" s="65">
        <v>80302</v>
      </c>
      <c r="B315" s="71" t="s">
        <v>410</v>
      </c>
      <c r="C315" s="66">
        <v>3556</v>
      </c>
      <c r="D315" s="66">
        <v>3570</v>
      </c>
    </row>
    <row r="316" spans="1:4">
      <c r="A316" s="65">
        <v>80303</v>
      </c>
      <c r="B316" s="71" t="s">
        <v>358</v>
      </c>
      <c r="C316" s="66">
        <v>144</v>
      </c>
      <c r="D316" s="66">
        <v>119</v>
      </c>
    </row>
    <row r="317" spans="1:4">
      <c r="A317" s="65">
        <v>80304</v>
      </c>
      <c r="B317" s="71" t="s">
        <v>411</v>
      </c>
      <c r="C317" s="66">
        <v>1214</v>
      </c>
      <c r="D317" s="66">
        <v>1374</v>
      </c>
    </row>
    <row r="318" spans="1:4">
      <c r="A318" s="65">
        <v>80401</v>
      </c>
      <c r="B318" s="71" t="s">
        <v>413</v>
      </c>
      <c r="C318" s="66">
        <v>414</v>
      </c>
      <c r="D318" s="66">
        <v>402</v>
      </c>
    </row>
    <row r="319" spans="1:4">
      <c r="A319" s="65">
        <v>80402</v>
      </c>
      <c r="B319" s="71" t="s">
        <v>414</v>
      </c>
      <c r="C319" s="66">
        <v>170</v>
      </c>
      <c r="D319" s="66">
        <v>122</v>
      </c>
    </row>
    <row r="320" spans="1:4">
      <c r="A320" s="65">
        <v>80501</v>
      </c>
      <c r="B320" s="71" t="s">
        <v>344</v>
      </c>
      <c r="C320" s="66">
        <v>862</v>
      </c>
      <c r="D320" s="66">
        <v>685</v>
      </c>
    </row>
    <row r="321" spans="1:4">
      <c r="A321" s="65">
        <v>80601</v>
      </c>
      <c r="B321" s="71" t="s">
        <v>417</v>
      </c>
      <c r="C321" s="66">
        <v>143</v>
      </c>
      <c r="D321" s="66">
        <v>128</v>
      </c>
    </row>
    <row r="322" spans="1:4">
      <c r="A322" s="65">
        <v>80602</v>
      </c>
      <c r="B322" s="71" t="s">
        <v>418</v>
      </c>
      <c r="C322" s="66">
        <v>686</v>
      </c>
      <c r="D322" s="66">
        <v>1517</v>
      </c>
    </row>
    <row r="323" spans="1:4">
      <c r="A323" s="65">
        <v>80701</v>
      </c>
      <c r="B323" s="71" t="s">
        <v>420</v>
      </c>
      <c r="C323" s="66">
        <v>71</v>
      </c>
      <c r="D323" s="66">
        <v>53</v>
      </c>
    </row>
    <row r="324" spans="1:4">
      <c r="A324" s="65">
        <v>80702</v>
      </c>
      <c r="B324" s="71" t="s">
        <v>389</v>
      </c>
      <c r="C324" s="66">
        <v>92</v>
      </c>
      <c r="D324" s="66">
        <v>261</v>
      </c>
    </row>
    <row r="325" spans="1:4">
      <c r="A325" s="65">
        <v>80703</v>
      </c>
      <c r="B325" s="71" t="s">
        <v>421</v>
      </c>
      <c r="C325" s="66">
        <v>26</v>
      </c>
      <c r="D325" s="66">
        <v>32</v>
      </c>
    </row>
    <row r="326" spans="1:4">
      <c r="A326" s="65">
        <v>80801</v>
      </c>
      <c r="B326" s="71" t="s">
        <v>423</v>
      </c>
      <c r="C326" s="66">
        <v>142</v>
      </c>
      <c r="D326" s="66">
        <v>130</v>
      </c>
    </row>
    <row r="327" spans="1:4">
      <c r="A327" s="65">
        <v>80802</v>
      </c>
      <c r="B327" s="71" t="s">
        <v>424</v>
      </c>
      <c r="C327" s="66">
        <v>226</v>
      </c>
      <c r="D327" s="66">
        <v>300</v>
      </c>
    </row>
    <row r="328" spans="1:4">
      <c r="A328" s="65">
        <v>80803</v>
      </c>
      <c r="B328" s="71" t="s">
        <v>425</v>
      </c>
      <c r="C328" s="66">
        <v>120</v>
      </c>
      <c r="D328" s="66">
        <v>46</v>
      </c>
    </row>
    <row r="329" spans="1:4">
      <c r="A329" s="65">
        <v>80901</v>
      </c>
      <c r="B329" s="71" t="s">
        <v>427</v>
      </c>
      <c r="C329" s="66">
        <v>182</v>
      </c>
      <c r="D329" s="66">
        <v>285</v>
      </c>
    </row>
    <row r="330" spans="1:4">
      <c r="A330" s="65">
        <v>90101</v>
      </c>
      <c r="B330" s="71" t="s">
        <v>430</v>
      </c>
      <c r="C330" s="66">
        <v>1099</v>
      </c>
      <c r="D330" s="66">
        <v>485</v>
      </c>
    </row>
    <row r="331" spans="1:4">
      <c r="A331" s="65">
        <v>90102</v>
      </c>
      <c r="B331" s="71" t="s">
        <v>431</v>
      </c>
      <c r="C331" s="66">
        <v>133</v>
      </c>
      <c r="D331" s="66">
        <v>134</v>
      </c>
    </row>
    <row r="332" spans="1:4">
      <c r="A332" s="65">
        <v>90103</v>
      </c>
      <c r="B332" s="71" t="s">
        <v>432</v>
      </c>
      <c r="C332" s="66">
        <v>164</v>
      </c>
      <c r="D332" s="66">
        <v>122</v>
      </c>
    </row>
    <row r="333" spans="1:4">
      <c r="A333" s="65">
        <v>90104</v>
      </c>
      <c r="B333" s="71" t="s">
        <v>433</v>
      </c>
      <c r="C333" s="66">
        <v>268</v>
      </c>
      <c r="D333" s="66">
        <v>171</v>
      </c>
    </row>
    <row r="334" spans="1:4">
      <c r="A334" s="65">
        <v>90201</v>
      </c>
      <c r="B334" s="71" t="s">
        <v>435</v>
      </c>
      <c r="C334" s="66">
        <v>164</v>
      </c>
      <c r="D334" s="66">
        <v>81</v>
      </c>
    </row>
    <row r="335" spans="1:4">
      <c r="A335" s="65">
        <v>90202</v>
      </c>
      <c r="B335" s="71" t="s">
        <v>282</v>
      </c>
      <c r="C335" s="66">
        <v>227</v>
      </c>
      <c r="D335" s="66">
        <v>45</v>
      </c>
    </row>
    <row r="336" spans="1:4">
      <c r="A336" s="65">
        <v>90203</v>
      </c>
      <c r="B336" s="71" t="s">
        <v>436</v>
      </c>
      <c r="C336" s="66">
        <v>294</v>
      </c>
      <c r="D336" s="66">
        <v>256</v>
      </c>
    </row>
    <row r="337" spans="1:4">
      <c r="A337" s="65">
        <v>90301</v>
      </c>
      <c r="B337" s="71" t="s">
        <v>438</v>
      </c>
      <c r="C337" s="66">
        <v>157</v>
      </c>
      <c r="D337" s="66">
        <v>288</v>
      </c>
    </row>
    <row r="338" spans="1:4">
      <c r="A338" s="65">
        <v>90302</v>
      </c>
      <c r="B338" s="71" t="s">
        <v>331</v>
      </c>
      <c r="C338" s="66">
        <v>286</v>
      </c>
      <c r="D338" s="66">
        <v>108</v>
      </c>
    </row>
    <row r="339" spans="1:4">
      <c r="A339" s="65">
        <v>90303</v>
      </c>
      <c r="B339" s="71" t="s">
        <v>439</v>
      </c>
      <c r="C339" s="66">
        <v>648</v>
      </c>
      <c r="D339" s="66">
        <v>215</v>
      </c>
    </row>
    <row r="340" spans="1:4">
      <c r="A340" s="65">
        <v>90401</v>
      </c>
      <c r="B340" s="71" t="s">
        <v>358</v>
      </c>
      <c r="C340" s="66">
        <v>147</v>
      </c>
      <c r="D340" s="66">
        <v>74</v>
      </c>
    </row>
    <row r="341" spans="1:4">
      <c r="A341" s="65">
        <v>90402</v>
      </c>
      <c r="B341" s="71" t="s">
        <v>101</v>
      </c>
      <c r="C341" s="66">
        <v>73</v>
      </c>
      <c r="D341" s="66">
        <v>75</v>
      </c>
    </row>
    <row r="342" spans="1:4">
      <c r="A342" s="65">
        <v>90501</v>
      </c>
      <c r="B342" s="71" t="s">
        <v>442</v>
      </c>
      <c r="C342" s="66">
        <v>145</v>
      </c>
      <c r="D342" s="66">
        <v>38</v>
      </c>
    </row>
    <row r="343" spans="1:4">
      <c r="A343" s="65">
        <v>90502</v>
      </c>
      <c r="B343" s="71" t="s">
        <v>443</v>
      </c>
      <c r="C343" s="66">
        <v>140</v>
      </c>
      <c r="D343" s="66">
        <v>31</v>
      </c>
    </row>
    <row r="344" spans="1:4">
      <c r="A344" s="65">
        <v>90503</v>
      </c>
      <c r="B344" s="71" t="s">
        <v>444</v>
      </c>
      <c r="C344" s="66">
        <v>100</v>
      </c>
      <c r="D344" s="66">
        <v>36</v>
      </c>
    </row>
  </sheetData>
  <autoFilter ref="A1:D34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Z12"/>
  <sheetViews>
    <sheetView workbookViewId="0">
      <selection activeCell="D1" sqref="D1"/>
    </sheetView>
  </sheetViews>
  <sheetFormatPr baseColWidth="10" defaultColWidth="14.42578125" defaultRowHeight="15" customHeight="1"/>
  <sheetData>
    <row r="1" spans="1:26">
      <c r="A1" s="64" t="s">
        <v>537</v>
      </c>
      <c r="B1" s="64" t="s">
        <v>17</v>
      </c>
      <c r="C1" s="79" t="s">
        <v>533</v>
      </c>
      <c r="D1" s="79" t="s">
        <v>534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80">
        <v>1</v>
      </c>
      <c r="B2" s="68" t="s">
        <v>18</v>
      </c>
      <c r="C2" s="67">
        <v>43.495845600000003</v>
      </c>
      <c r="D2" s="67">
        <v>28.605333900000002</v>
      </c>
    </row>
    <row r="3" spans="1:26">
      <c r="A3" s="80">
        <v>2</v>
      </c>
      <c r="B3" s="68" t="s">
        <v>56</v>
      </c>
      <c r="C3" s="67">
        <v>34.785643</v>
      </c>
      <c r="D3" s="67">
        <v>23.139391199999999</v>
      </c>
    </row>
    <row r="4" spans="1:26">
      <c r="A4" s="80">
        <v>3</v>
      </c>
      <c r="B4" s="68" t="s">
        <v>162</v>
      </c>
      <c r="C4" s="67">
        <v>29.893652400000001</v>
      </c>
      <c r="D4" s="67">
        <v>20.663818500000001</v>
      </c>
    </row>
    <row r="5" spans="1:26">
      <c r="A5" s="80">
        <v>4</v>
      </c>
      <c r="B5" s="68" t="s">
        <v>216</v>
      </c>
      <c r="C5" s="67">
        <v>52.8932468</v>
      </c>
      <c r="D5" s="67">
        <v>36.296230399999999</v>
      </c>
    </row>
    <row r="6" spans="1:26">
      <c r="A6" s="80">
        <v>5</v>
      </c>
      <c r="B6" s="68" t="s">
        <v>262</v>
      </c>
      <c r="C6" s="67">
        <v>58.652838199999998</v>
      </c>
      <c r="D6" s="67">
        <v>46.768506500000001</v>
      </c>
    </row>
    <row r="7" spans="1:26">
      <c r="A7" s="80">
        <v>6</v>
      </c>
      <c r="B7" s="68" t="s">
        <v>319</v>
      </c>
      <c r="C7" s="67">
        <v>18.197516</v>
      </c>
      <c r="D7" s="67">
        <v>8.9220862000000007</v>
      </c>
    </row>
    <row r="8" spans="1:26">
      <c r="A8" s="80">
        <v>7</v>
      </c>
      <c r="B8" s="68" t="s">
        <v>334</v>
      </c>
      <c r="C8" s="67">
        <v>10.2626331</v>
      </c>
      <c r="D8" s="67">
        <v>6.1304726</v>
      </c>
    </row>
    <row r="9" spans="1:26">
      <c r="A9" s="80">
        <v>8</v>
      </c>
      <c r="B9" s="68" t="s">
        <v>403</v>
      </c>
      <c r="C9" s="67">
        <v>13.9929705</v>
      </c>
      <c r="D9" s="67">
        <v>10.016736699999999</v>
      </c>
    </row>
    <row r="10" spans="1:26">
      <c r="A10" s="109">
        <v>9</v>
      </c>
      <c r="B10" s="103" t="s">
        <v>428</v>
      </c>
      <c r="C10" s="107">
        <v>15.947171300000001</v>
      </c>
      <c r="D10" s="107">
        <v>6.1786338000000001</v>
      </c>
    </row>
    <row r="11" spans="1:26" ht="15" customHeight="1">
      <c r="A11" s="110">
        <v>10</v>
      </c>
      <c r="B11" s="108" t="s">
        <v>323</v>
      </c>
      <c r="C11" s="113">
        <v>14.894843775739938</v>
      </c>
      <c r="D11" s="113">
        <v>7.3579249217935345</v>
      </c>
    </row>
    <row r="12" spans="1:26" ht="15" customHeight="1">
      <c r="A12" s="110">
        <v>11</v>
      </c>
      <c r="B12" s="108" t="s">
        <v>14</v>
      </c>
      <c r="C12" s="113">
        <v>30.141705600000002</v>
      </c>
      <c r="D12" s="113">
        <v>20.2625706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Z12"/>
  <sheetViews>
    <sheetView workbookViewId="0">
      <selection activeCell="C1" sqref="C1"/>
    </sheetView>
  </sheetViews>
  <sheetFormatPr baseColWidth="10" defaultColWidth="14.42578125" defaultRowHeight="15" customHeight="1"/>
  <sheetData>
    <row r="1" spans="1:26">
      <c r="A1" s="64" t="s">
        <v>537</v>
      </c>
      <c r="B1" s="64" t="s">
        <v>17</v>
      </c>
      <c r="C1" s="81" t="s">
        <v>535</v>
      </c>
      <c r="D1" s="81" t="s">
        <v>536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80">
        <v>1</v>
      </c>
      <c r="B2" s="68" t="s">
        <v>18</v>
      </c>
      <c r="C2" s="66">
        <v>65279</v>
      </c>
      <c r="D2" s="66">
        <v>52911</v>
      </c>
    </row>
    <row r="3" spans="1:26">
      <c r="A3" s="80">
        <v>2</v>
      </c>
      <c r="B3" s="68" t="s">
        <v>56</v>
      </c>
      <c r="C3" s="66">
        <v>296573</v>
      </c>
      <c r="D3" s="66">
        <v>247554</v>
      </c>
      <c r="F3" s="114"/>
      <c r="G3" s="114"/>
    </row>
    <row r="4" spans="1:26">
      <c r="A4" s="80">
        <v>3</v>
      </c>
      <c r="B4" s="68" t="s">
        <v>162</v>
      </c>
      <c r="C4" s="66">
        <v>154433</v>
      </c>
      <c r="D4" s="66">
        <v>139494</v>
      </c>
    </row>
    <row r="5" spans="1:26">
      <c r="A5" s="80">
        <v>4</v>
      </c>
      <c r="B5" s="68" t="s">
        <v>216</v>
      </c>
      <c r="C5" s="66">
        <v>80430</v>
      </c>
      <c r="D5" s="66">
        <v>69316</v>
      </c>
    </row>
    <row r="6" spans="1:26">
      <c r="A6" s="80">
        <v>5</v>
      </c>
      <c r="B6" s="68" t="s">
        <v>262</v>
      </c>
      <c r="C6" s="66">
        <v>142117</v>
      </c>
      <c r="D6" s="66">
        <v>142057</v>
      </c>
    </row>
    <row r="7" spans="1:26">
      <c r="A7" s="80">
        <v>6</v>
      </c>
      <c r="B7" s="68" t="s">
        <v>319</v>
      </c>
      <c r="C7" s="66">
        <v>22974</v>
      </c>
      <c r="D7" s="66">
        <v>14298</v>
      </c>
    </row>
    <row r="8" spans="1:26">
      <c r="A8" s="80">
        <v>7</v>
      </c>
      <c r="B8" s="68" t="s">
        <v>334</v>
      </c>
      <c r="C8" s="66">
        <v>66179</v>
      </c>
      <c r="D8" s="66">
        <v>53780</v>
      </c>
    </row>
    <row r="9" spans="1:26">
      <c r="A9" s="80">
        <v>8</v>
      </c>
      <c r="B9" s="68" t="s">
        <v>403</v>
      </c>
      <c r="C9" s="66">
        <v>13138</v>
      </c>
      <c r="D9" s="66">
        <v>12688</v>
      </c>
    </row>
    <row r="10" spans="1:26">
      <c r="A10" s="80">
        <v>9</v>
      </c>
      <c r="B10" s="68" t="s">
        <v>428</v>
      </c>
      <c r="C10" s="66">
        <v>4045</v>
      </c>
      <c r="D10" s="66">
        <v>2159</v>
      </c>
    </row>
    <row r="11" spans="1:26" ht="15" customHeight="1">
      <c r="A11" s="110">
        <v>10</v>
      </c>
      <c r="B11" s="108" t="s">
        <v>323</v>
      </c>
      <c r="C11" s="111">
        <v>5425</v>
      </c>
      <c r="D11" s="111">
        <v>3387</v>
      </c>
    </row>
    <row r="12" spans="1:26" ht="15" customHeight="1">
      <c r="A12" s="110">
        <v>11</v>
      </c>
      <c r="B12" s="108" t="s">
        <v>14</v>
      </c>
      <c r="C12" s="111">
        <v>845168</v>
      </c>
      <c r="D12" s="111">
        <v>734257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outlinePr summaryBelow="0" summaryRight="0"/>
  </sheetPr>
  <dimension ref="A1:Z2"/>
  <sheetViews>
    <sheetView workbookViewId="0">
      <selection activeCell="G5" sqref="G5"/>
    </sheetView>
  </sheetViews>
  <sheetFormatPr baseColWidth="10" defaultColWidth="14.42578125" defaultRowHeight="15" customHeight="1"/>
  <sheetData>
    <row r="1" spans="1:26">
      <c r="A1" s="82" t="s">
        <v>538</v>
      </c>
      <c r="B1" s="82" t="s">
        <v>539</v>
      </c>
      <c r="C1" s="83" t="s">
        <v>540</v>
      </c>
      <c r="D1" s="83" t="s">
        <v>541</v>
      </c>
      <c r="E1" s="84" t="s">
        <v>542</v>
      </c>
      <c r="F1" s="84" t="s">
        <v>543</v>
      </c>
      <c r="G1" s="85" t="s">
        <v>544</v>
      </c>
      <c r="H1" s="85" t="s">
        <v>545</v>
      </c>
      <c r="I1" s="86" t="s">
        <v>546</v>
      </c>
      <c r="J1" s="86" t="s">
        <v>547</v>
      </c>
    </row>
    <row r="2" spans="1:26">
      <c r="A2" s="87">
        <v>11</v>
      </c>
      <c r="B2" s="88" t="s">
        <v>548</v>
      </c>
      <c r="C2" s="89">
        <v>0</v>
      </c>
      <c r="D2" s="89">
        <v>15</v>
      </c>
      <c r="E2" s="89">
        <v>15</v>
      </c>
      <c r="F2" s="89">
        <v>32.5</v>
      </c>
      <c r="G2" s="89">
        <v>32.5</v>
      </c>
      <c r="H2" s="89">
        <v>50</v>
      </c>
      <c r="I2" s="89">
        <v>50</v>
      </c>
      <c r="J2" s="89">
        <v>100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Comparacion Atlas 2020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2025-08-05T20:26:57Z</dcterms:created>
  <dcterms:modified xsi:type="dcterms:W3CDTF">2026-05-04T18:50:55Z</dcterms:modified>
</cp:coreProperties>
</file>