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olo\Desktop\ATLAS_SDSN_PAOLO\"/>
    </mc:Choice>
  </mc:AlternateContent>
  <xr:revisionPtr revIDLastSave="0" documentId="8_{84274FBA-80AE-4CA7-AE34-7F64D288D20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os Procesados" sheetId="2" r:id="rId1"/>
    <sheet name="Indicador_MUN" sheetId="3" r:id="rId2"/>
    <sheet name="Absoluto_MUN" sheetId="4" r:id="rId3"/>
    <sheet name="Indicador_DEP" sheetId="5" r:id="rId4"/>
    <sheet name="Absoluto_DEP" sheetId="6" r:id="rId5"/>
    <sheet name="Umbral" sheetId="7" r:id="rId6"/>
  </sheets>
  <calcPr calcId="191029"/>
  <extLst>
    <ext uri="GoogleSheetsCustomDataVersion2">
      <go:sheetsCustomData xmlns:go="http://customooxmlschemas.google.com/" r:id="rId11" roundtripDataChecksum="/GmLtCXanaKJFfoDWJexI/9dmhvR+XvYO5+2M3VdG4Y="/>
    </ext>
  </extLst>
</workbook>
</file>

<file path=xl/calcChain.xml><?xml version="1.0" encoding="utf-8"?>
<calcChain xmlns="http://schemas.openxmlformats.org/spreadsheetml/2006/main">
  <c r="C329" i="4" l="1"/>
  <c r="C329" i="3"/>
  <c r="P12" i="2"/>
  <c r="R12" i="2"/>
  <c r="S12" i="2"/>
  <c r="T12" i="2" s="1"/>
  <c r="O12" i="2"/>
  <c r="Q7" i="2"/>
  <c r="T9" i="2"/>
  <c r="S3" i="2"/>
  <c r="S4" i="2"/>
  <c r="T4" i="2" s="1"/>
  <c r="S5" i="2"/>
  <c r="S6" i="2"/>
  <c r="S7" i="2"/>
  <c r="T7" i="2" s="1"/>
  <c r="S8" i="2"/>
  <c r="T8" i="2" s="1"/>
  <c r="S9" i="2"/>
  <c r="S10" i="2"/>
  <c r="T10" i="2" s="1"/>
  <c r="R5" i="2"/>
  <c r="R6" i="2"/>
  <c r="R7" i="2"/>
  <c r="R8" i="2"/>
  <c r="R9" i="2"/>
  <c r="R10" i="2"/>
  <c r="R4" i="2"/>
  <c r="R3" i="2"/>
  <c r="P3" i="2"/>
  <c r="Q3" i="2" s="1"/>
  <c r="P4" i="2"/>
  <c r="Q4" i="2" s="1"/>
  <c r="P5" i="2"/>
  <c r="P6" i="2"/>
  <c r="P7" i="2"/>
  <c r="P8" i="2"/>
  <c r="Q8" i="2" s="1"/>
  <c r="P9" i="2"/>
  <c r="P10" i="2"/>
  <c r="O10" i="2"/>
  <c r="O9" i="2"/>
  <c r="O8" i="2"/>
  <c r="O7" i="2"/>
  <c r="O6" i="2"/>
  <c r="O5" i="2"/>
  <c r="O4" i="2"/>
  <c r="O3" i="2"/>
  <c r="S2" i="2"/>
  <c r="T2" i="2" s="1"/>
  <c r="R2" i="2"/>
  <c r="P2" i="2"/>
  <c r="O2" i="2"/>
  <c r="I344" i="2"/>
  <c r="F344" i="2"/>
  <c r="I343" i="2"/>
  <c r="F343" i="2"/>
  <c r="I342" i="2"/>
  <c r="F342" i="2"/>
  <c r="I341" i="2"/>
  <c r="F341" i="2"/>
  <c r="I340" i="2"/>
  <c r="F340" i="2"/>
  <c r="I339" i="2"/>
  <c r="F339" i="2"/>
  <c r="I338" i="2"/>
  <c r="F338" i="2"/>
  <c r="I337" i="2"/>
  <c r="F337" i="2"/>
  <c r="I336" i="2"/>
  <c r="F336" i="2"/>
  <c r="I335" i="2"/>
  <c r="F335" i="2"/>
  <c r="I334" i="2"/>
  <c r="F334" i="2"/>
  <c r="I333" i="2"/>
  <c r="F333" i="2"/>
  <c r="I332" i="2"/>
  <c r="F332" i="2"/>
  <c r="I331" i="2"/>
  <c r="F331" i="2"/>
  <c r="I330" i="2"/>
  <c r="F330" i="2"/>
  <c r="I329" i="2"/>
  <c r="I328" i="2"/>
  <c r="F328" i="2"/>
  <c r="I327" i="2"/>
  <c r="F327" i="2"/>
  <c r="I326" i="2"/>
  <c r="F326" i="2"/>
  <c r="I325" i="2"/>
  <c r="F325" i="2"/>
  <c r="I324" i="2"/>
  <c r="F324" i="2"/>
  <c r="I323" i="2"/>
  <c r="F323" i="2"/>
  <c r="I322" i="2"/>
  <c r="F322" i="2"/>
  <c r="I321" i="2"/>
  <c r="F321" i="2"/>
  <c r="I320" i="2"/>
  <c r="F320" i="2"/>
  <c r="I319" i="2"/>
  <c r="F319" i="2"/>
  <c r="I318" i="2"/>
  <c r="F318" i="2"/>
  <c r="I317" i="2"/>
  <c r="F317" i="2"/>
  <c r="I316" i="2"/>
  <c r="F316" i="2"/>
  <c r="I315" i="2"/>
  <c r="F315" i="2"/>
  <c r="I314" i="2"/>
  <c r="F314" i="2"/>
  <c r="I313" i="2"/>
  <c r="F313" i="2"/>
  <c r="I312" i="2"/>
  <c r="F312" i="2"/>
  <c r="I311" i="2"/>
  <c r="F311" i="2"/>
  <c r="I310" i="2"/>
  <c r="F310" i="2"/>
  <c r="I309" i="2"/>
  <c r="F309" i="2"/>
  <c r="I308" i="2"/>
  <c r="F308" i="2"/>
  <c r="I307" i="2"/>
  <c r="F307" i="2"/>
  <c r="I306" i="2"/>
  <c r="F306" i="2"/>
  <c r="I305" i="2"/>
  <c r="F305" i="2"/>
  <c r="I304" i="2"/>
  <c r="F304" i="2"/>
  <c r="I303" i="2"/>
  <c r="F303" i="2"/>
  <c r="I302" i="2"/>
  <c r="F302" i="2"/>
  <c r="I301" i="2"/>
  <c r="F301" i="2"/>
  <c r="I300" i="2"/>
  <c r="F300" i="2"/>
  <c r="I299" i="2"/>
  <c r="F299" i="2"/>
  <c r="I298" i="2"/>
  <c r="F298" i="2"/>
  <c r="I297" i="2"/>
  <c r="F297" i="2"/>
  <c r="I296" i="2"/>
  <c r="F296" i="2"/>
  <c r="I295" i="2"/>
  <c r="F295" i="2"/>
  <c r="I294" i="2"/>
  <c r="F294" i="2"/>
  <c r="I293" i="2"/>
  <c r="F293" i="2"/>
  <c r="I292" i="2"/>
  <c r="F292" i="2"/>
  <c r="I291" i="2"/>
  <c r="F291" i="2"/>
  <c r="I290" i="2"/>
  <c r="F290" i="2"/>
  <c r="I289" i="2"/>
  <c r="F289" i="2"/>
  <c r="I288" i="2"/>
  <c r="F288" i="2"/>
  <c r="I287" i="2"/>
  <c r="F287" i="2"/>
  <c r="I286" i="2"/>
  <c r="F286" i="2"/>
  <c r="I285" i="2"/>
  <c r="F285" i="2"/>
  <c r="I284" i="2"/>
  <c r="F284" i="2"/>
  <c r="I283" i="2"/>
  <c r="F283" i="2"/>
  <c r="I282" i="2"/>
  <c r="F282" i="2"/>
  <c r="I281" i="2"/>
  <c r="F281" i="2"/>
  <c r="I280" i="2"/>
  <c r="F280" i="2"/>
  <c r="I279" i="2"/>
  <c r="F279" i="2"/>
  <c r="I278" i="2"/>
  <c r="F278" i="2"/>
  <c r="I277" i="2"/>
  <c r="F277" i="2"/>
  <c r="I276" i="2"/>
  <c r="F276" i="2"/>
  <c r="I275" i="2"/>
  <c r="F275" i="2"/>
  <c r="I274" i="2"/>
  <c r="F274" i="2"/>
  <c r="I273" i="2"/>
  <c r="F273" i="2"/>
  <c r="I272" i="2"/>
  <c r="F272" i="2"/>
  <c r="I271" i="2"/>
  <c r="F271" i="2"/>
  <c r="I270" i="2"/>
  <c r="F270" i="2"/>
  <c r="I269" i="2"/>
  <c r="F269" i="2"/>
  <c r="I268" i="2"/>
  <c r="F268" i="2"/>
  <c r="I267" i="2"/>
  <c r="F267" i="2"/>
  <c r="I266" i="2"/>
  <c r="F266" i="2"/>
  <c r="I265" i="2"/>
  <c r="F265" i="2"/>
  <c r="I264" i="2"/>
  <c r="F264" i="2"/>
  <c r="I263" i="2"/>
  <c r="F263" i="2"/>
  <c r="I262" i="2"/>
  <c r="F262" i="2"/>
  <c r="I261" i="2"/>
  <c r="F261" i="2"/>
  <c r="I260" i="2"/>
  <c r="F260" i="2"/>
  <c r="I259" i="2"/>
  <c r="F259" i="2"/>
  <c r="I258" i="2"/>
  <c r="F258" i="2"/>
  <c r="I257" i="2"/>
  <c r="F257" i="2"/>
  <c r="I256" i="2"/>
  <c r="F256" i="2"/>
  <c r="I255" i="2"/>
  <c r="F255" i="2"/>
  <c r="I254" i="2"/>
  <c r="F254" i="2"/>
  <c r="I253" i="2"/>
  <c r="F253" i="2"/>
  <c r="I252" i="2"/>
  <c r="F252" i="2"/>
  <c r="I251" i="2"/>
  <c r="F251" i="2"/>
  <c r="I250" i="2"/>
  <c r="F250" i="2"/>
  <c r="I249" i="2"/>
  <c r="F249" i="2"/>
  <c r="I248" i="2"/>
  <c r="F248" i="2"/>
  <c r="I247" i="2"/>
  <c r="F247" i="2"/>
  <c r="I246" i="2"/>
  <c r="F246" i="2"/>
  <c r="I245" i="2"/>
  <c r="F245" i="2"/>
  <c r="I244" i="2"/>
  <c r="F244" i="2"/>
  <c r="I243" i="2"/>
  <c r="F243" i="2"/>
  <c r="I242" i="2"/>
  <c r="F242" i="2"/>
  <c r="I241" i="2"/>
  <c r="F241" i="2"/>
  <c r="I240" i="2"/>
  <c r="F240" i="2"/>
  <c r="I239" i="2"/>
  <c r="F239" i="2"/>
  <c r="I238" i="2"/>
  <c r="F238" i="2"/>
  <c r="I237" i="2"/>
  <c r="F237" i="2"/>
  <c r="I236" i="2"/>
  <c r="I235" i="2"/>
  <c r="F235" i="2"/>
  <c r="I234" i="2"/>
  <c r="F234" i="2"/>
  <c r="I233" i="2"/>
  <c r="F233" i="2"/>
  <c r="I232" i="2"/>
  <c r="F232" i="2"/>
  <c r="I231" i="2"/>
  <c r="F231" i="2"/>
  <c r="I230" i="2"/>
  <c r="F230" i="2"/>
  <c r="I229" i="2"/>
  <c r="F229" i="2"/>
  <c r="I228" i="2"/>
  <c r="F228" i="2"/>
  <c r="I227" i="2"/>
  <c r="F227" i="2"/>
  <c r="I226" i="2"/>
  <c r="F226" i="2"/>
  <c r="I225" i="2"/>
  <c r="F225" i="2"/>
  <c r="I224" i="2"/>
  <c r="F224" i="2"/>
  <c r="I223" i="2"/>
  <c r="F223" i="2"/>
  <c r="I222" i="2"/>
  <c r="F222" i="2"/>
  <c r="I221" i="2"/>
  <c r="F221" i="2"/>
  <c r="I220" i="2"/>
  <c r="F220" i="2"/>
  <c r="I219" i="2"/>
  <c r="F219" i="2"/>
  <c r="I218" i="2"/>
  <c r="F218" i="2"/>
  <c r="I217" i="2"/>
  <c r="F217" i="2"/>
  <c r="I216" i="2"/>
  <c r="I215" i="2"/>
  <c r="F215" i="2"/>
  <c r="I214" i="2"/>
  <c r="F214" i="2"/>
  <c r="I213" i="2"/>
  <c r="F213" i="2"/>
  <c r="I212" i="2"/>
  <c r="F212" i="2"/>
  <c r="I211" i="2"/>
  <c r="F211" i="2"/>
  <c r="I210" i="2"/>
  <c r="F210" i="2"/>
  <c r="I209" i="2"/>
  <c r="F209" i="2"/>
  <c r="I208" i="2"/>
  <c r="F208" i="2"/>
  <c r="I207" i="2"/>
  <c r="F207" i="2"/>
  <c r="I206" i="2"/>
  <c r="F206" i="2"/>
  <c r="I205" i="2"/>
  <c r="F205" i="2"/>
  <c r="I204" i="2"/>
  <c r="F204" i="2"/>
  <c r="I203" i="2"/>
  <c r="F203" i="2"/>
  <c r="I202" i="2"/>
  <c r="F202" i="2"/>
  <c r="I201" i="2"/>
  <c r="F201" i="2"/>
  <c r="I200" i="2"/>
  <c r="F200" i="2"/>
  <c r="I199" i="2"/>
  <c r="F199" i="2"/>
  <c r="I198" i="2"/>
  <c r="F198" i="2"/>
  <c r="I197" i="2"/>
  <c r="F197" i="2"/>
  <c r="I196" i="2"/>
  <c r="F196" i="2"/>
  <c r="I195" i="2"/>
  <c r="F195" i="2"/>
  <c r="I194" i="2"/>
  <c r="F194" i="2"/>
  <c r="I193" i="2"/>
  <c r="F193" i="2"/>
  <c r="I192" i="2"/>
  <c r="F192" i="2"/>
  <c r="I191" i="2"/>
  <c r="F191" i="2"/>
  <c r="I190" i="2"/>
  <c r="F190" i="2"/>
  <c r="I189" i="2"/>
  <c r="F189" i="2"/>
  <c r="I188" i="2"/>
  <c r="F188" i="2"/>
  <c r="I187" i="2"/>
  <c r="F187" i="2"/>
  <c r="I186" i="2"/>
  <c r="F186" i="2"/>
  <c r="I185" i="2"/>
  <c r="F185" i="2"/>
  <c r="I184" i="2"/>
  <c r="F184" i="2"/>
  <c r="I183" i="2"/>
  <c r="F183" i="2"/>
  <c r="I182" i="2"/>
  <c r="F182" i="2"/>
  <c r="I181" i="2"/>
  <c r="F181" i="2"/>
  <c r="I180" i="2"/>
  <c r="F180" i="2"/>
  <c r="I179" i="2"/>
  <c r="F179" i="2"/>
  <c r="I178" i="2"/>
  <c r="F178" i="2"/>
  <c r="I177" i="2"/>
  <c r="F177" i="2"/>
  <c r="I176" i="2"/>
  <c r="F176" i="2"/>
  <c r="I175" i="2"/>
  <c r="F175" i="2"/>
  <c r="I174" i="2"/>
  <c r="F174" i="2"/>
  <c r="I173" i="2"/>
  <c r="F173" i="2"/>
  <c r="I172" i="2"/>
  <c r="F172" i="2"/>
  <c r="I171" i="2"/>
  <c r="F171" i="2"/>
  <c r="I170" i="2"/>
  <c r="F170" i="2"/>
  <c r="I169" i="2"/>
  <c r="F169" i="2"/>
  <c r="I168" i="2"/>
  <c r="F168" i="2"/>
  <c r="I167" i="2"/>
  <c r="F167" i="2"/>
  <c r="I166" i="2"/>
  <c r="F166" i="2"/>
  <c r="I165" i="2"/>
  <c r="F165" i="2"/>
  <c r="I164" i="2"/>
  <c r="F164" i="2"/>
  <c r="I163" i="2"/>
  <c r="F163" i="2"/>
  <c r="I162" i="2"/>
  <c r="F162" i="2"/>
  <c r="I161" i="2"/>
  <c r="F161" i="2"/>
  <c r="I160" i="2"/>
  <c r="F160" i="2"/>
  <c r="I159" i="2"/>
  <c r="F159" i="2"/>
  <c r="I158" i="2"/>
  <c r="F158" i="2"/>
  <c r="I157" i="2"/>
  <c r="I156" i="2"/>
  <c r="F156" i="2"/>
  <c r="I155" i="2"/>
  <c r="F155" i="2"/>
  <c r="I154" i="2"/>
  <c r="F154" i="2"/>
  <c r="I153" i="2"/>
  <c r="F153" i="2"/>
  <c r="I152" i="2"/>
  <c r="F152" i="2"/>
  <c r="I151" i="2"/>
  <c r="F151" i="2"/>
  <c r="I150" i="2"/>
  <c r="F150" i="2"/>
  <c r="I149" i="2"/>
  <c r="F149" i="2"/>
  <c r="I148" i="2"/>
  <c r="F148" i="2"/>
  <c r="I147" i="2"/>
  <c r="F147" i="2"/>
  <c r="I146" i="2"/>
  <c r="F146" i="2"/>
  <c r="I145" i="2"/>
  <c r="F145" i="2"/>
  <c r="I144" i="2"/>
  <c r="F144" i="2"/>
  <c r="I143" i="2"/>
  <c r="F143" i="2"/>
  <c r="I142" i="2"/>
  <c r="F142" i="2"/>
  <c r="I141" i="2"/>
  <c r="F141" i="2"/>
  <c r="I140" i="2"/>
  <c r="F140" i="2"/>
  <c r="I139" i="2"/>
  <c r="F139" i="2"/>
  <c r="I138" i="2"/>
  <c r="F138" i="2"/>
  <c r="I137" i="2"/>
  <c r="F137" i="2"/>
  <c r="I136" i="2"/>
  <c r="F136" i="2"/>
  <c r="I135" i="2"/>
  <c r="F135" i="2"/>
  <c r="I134" i="2"/>
  <c r="F134" i="2"/>
  <c r="I133" i="2"/>
  <c r="F133" i="2"/>
  <c r="I132" i="2"/>
  <c r="F132" i="2"/>
  <c r="I131" i="2"/>
  <c r="F131" i="2"/>
  <c r="I130" i="2"/>
  <c r="F130" i="2"/>
  <c r="I129" i="2"/>
  <c r="F129" i="2"/>
  <c r="I128" i="2"/>
  <c r="F128" i="2"/>
  <c r="I127" i="2"/>
  <c r="F127" i="2"/>
  <c r="I126" i="2"/>
  <c r="F126" i="2"/>
  <c r="I125" i="2"/>
  <c r="F125" i="2"/>
  <c r="I124" i="2"/>
  <c r="F124" i="2"/>
  <c r="I123" i="2"/>
  <c r="F123" i="2"/>
  <c r="I122" i="2"/>
  <c r="F122" i="2"/>
  <c r="I121" i="2"/>
  <c r="F121" i="2"/>
  <c r="I120" i="2"/>
  <c r="F120" i="2"/>
  <c r="I119" i="2"/>
  <c r="F119" i="2"/>
  <c r="I118" i="2"/>
  <c r="F118" i="2"/>
  <c r="I117" i="2"/>
  <c r="F117" i="2"/>
  <c r="I116" i="2"/>
  <c r="F116" i="2"/>
  <c r="I115" i="2"/>
  <c r="F115" i="2"/>
  <c r="I114" i="2"/>
  <c r="F114" i="2"/>
  <c r="I113" i="2"/>
  <c r="F113" i="2"/>
  <c r="I112" i="2"/>
  <c r="F112" i="2"/>
  <c r="I111" i="2"/>
  <c r="F111" i="2"/>
  <c r="I110" i="2"/>
  <c r="F110" i="2"/>
  <c r="I109" i="2"/>
  <c r="F109" i="2"/>
  <c r="I108" i="2"/>
  <c r="F108" i="2"/>
  <c r="I107" i="2"/>
  <c r="F107" i="2"/>
  <c r="I106" i="2"/>
  <c r="F106" i="2"/>
  <c r="I105" i="2"/>
  <c r="F105" i="2"/>
  <c r="I104" i="2"/>
  <c r="F104" i="2"/>
  <c r="I103" i="2"/>
  <c r="F103" i="2"/>
  <c r="I102" i="2"/>
  <c r="F102" i="2"/>
  <c r="I101" i="2"/>
  <c r="F101" i="2"/>
  <c r="I100" i="2"/>
  <c r="F100" i="2"/>
  <c r="I99" i="2"/>
  <c r="F99" i="2"/>
  <c r="I98" i="2"/>
  <c r="F98" i="2"/>
  <c r="I97" i="2"/>
  <c r="F97" i="2"/>
  <c r="I96" i="2"/>
  <c r="F96" i="2"/>
  <c r="I95" i="2"/>
  <c r="F95" i="2"/>
  <c r="I94" i="2"/>
  <c r="F94" i="2"/>
  <c r="I93" i="2"/>
  <c r="F93" i="2"/>
  <c r="I92" i="2"/>
  <c r="F92" i="2"/>
  <c r="I91" i="2"/>
  <c r="F91" i="2"/>
  <c r="I90" i="2"/>
  <c r="F90" i="2"/>
  <c r="I89" i="2"/>
  <c r="F89" i="2"/>
  <c r="I88" i="2"/>
  <c r="F88" i="2"/>
  <c r="I87" i="2"/>
  <c r="F87" i="2"/>
  <c r="I86" i="2"/>
  <c r="F86" i="2"/>
  <c r="I85" i="2"/>
  <c r="F85" i="2"/>
  <c r="I84" i="2"/>
  <c r="F84" i="2"/>
  <c r="I83" i="2"/>
  <c r="F83" i="2"/>
  <c r="I82" i="2"/>
  <c r="F82" i="2"/>
  <c r="I81" i="2"/>
  <c r="F81" i="2"/>
  <c r="I80" i="2"/>
  <c r="F80" i="2"/>
  <c r="I79" i="2"/>
  <c r="F79" i="2"/>
  <c r="I78" i="2"/>
  <c r="F78" i="2"/>
  <c r="I77" i="2"/>
  <c r="F77" i="2"/>
  <c r="I76" i="2"/>
  <c r="F76" i="2"/>
  <c r="I75" i="2"/>
  <c r="F75" i="2"/>
  <c r="I74" i="2"/>
  <c r="F74" i="2"/>
  <c r="I73" i="2"/>
  <c r="F73" i="2"/>
  <c r="I72" i="2"/>
  <c r="F72" i="2"/>
  <c r="I71" i="2"/>
  <c r="F71" i="2"/>
  <c r="I70" i="2"/>
  <c r="F70" i="2"/>
  <c r="I69" i="2"/>
  <c r="F69" i="2"/>
  <c r="I68" i="2"/>
  <c r="F68" i="2"/>
  <c r="I67" i="2"/>
  <c r="F67" i="2"/>
  <c r="I66" i="2"/>
  <c r="F66" i="2"/>
  <c r="I65" i="2"/>
  <c r="F65" i="2"/>
  <c r="I64" i="2"/>
  <c r="F64" i="2"/>
  <c r="I63" i="2"/>
  <c r="F63" i="2"/>
  <c r="I62" i="2"/>
  <c r="F62" i="2"/>
  <c r="I61" i="2"/>
  <c r="F61" i="2"/>
  <c r="I60" i="2"/>
  <c r="F60" i="2"/>
  <c r="I59" i="2"/>
  <c r="F59" i="2"/>
  <c r="I58" i="2"/>
  <c r="F58" i="2"/>
  <c r="I57" i="2"/>
  <c r="F57" i="2"/>
  <c r="I56" i="2"/>
  <c r="F56" i="2"/>
  <c r="I55" i="2"/>
  <c r="F55" i="2"/>
  <c r="I54" i="2"/>
  <c r="F54" i="2"/>
  <c r="I53" i="2"/>
  <c r="F53" i="2"/>
  <c r="I52" i="2"/>
  <c r="F52" i="2"/>
  <c r="I51" i="2"/>
  <c r="F51" i="2"/>
  <c r="I50" i="2"/>
  <c r="F50" i="2"/>
  <c r="I49" i="2"/>
  <c r="F49" i="2"/>
  <c r="I48" i="2"/>
  <c r="F48" i="2"/>
  <c r="I47" i="2"/>
  <c r="F47" i="2"/>
  <c r="I46" i="2"/>
  <c r="F46" i="2"/>
  <c r="I45" i="2"/>
  <c r="F45" i="2"/>
  <c r="I44" i="2"/>
  <c r="F44" i="2"/>
  <c r="I43" i="2"/>
  <c r="F43" i="2"/>
  <c r="I42" i="2"/>
  <c r="F42" i="2"/>
  <c r="I41" i="2"/>
  <c r="F41" i="2"/>
  <c r="I40" i="2"/>
  <c r="F40" i="2"/>
  <c r="I39" i="2"/>
  <c r="F39" i="2"/>
  <c r="I38" i="2"/>
  <c r="F38" i="2"/>
  <c r="I37" i="2"/>
  <c r="F37" i="2"/>
  <c r="I36" i="2"/>
  <c r="F36" i="2"/>
  <c r="I35" i="2"/>
  <c r="F35" i="2"/>
  <c r="I34" i="2"/>
  <c r="F34" i="2"/>
  <c r="I33" i="2"/>
  <c r="F33" i="2"/>
  <c r="I32" i="2"/>
  <c r="F32" i="2"/>
  <c r="I31" i="2"/>
  <c r="F31" i="2"/>
  <c r="I30" i="2"/>
  <c r="F30" i="2"/>
  <c r="I29" i="2"/>
  <c r="F29" i="2"/>
  <c r="I28" i="2"/>
  <c r="F28" i="2"/>
  <c r="I27" i="2"/>
  <c r="F27" i="2"/>
  <c r="I26" i="2"/>
  <c r="F26" i="2"/>
  <c r="I25" i="2"/>
  <c r="F25" i="2"/>
  <c r="I24" i="2"/>
  <c r="F24" i="2"/>
  <c r="I23" i="2"/>
  <c r="F23" i="2"/>
  <c r="I22" i="2"/>
  <c r="F22" i="2"/>
  <c r="I21" i="2"/>
  <c r="F21" i="2"/>
  <c r="I20" i="2"/>
  <c r="F20" i="2"/>
  <c r="I19" i="2"/>
  <c r="F19" i="2"/>
  <c r="I18" i="2"/>
  <c r="F18" i="2"/>
  <c r="I17" i="2"/>
  <c r="F17" i="2"/>
  <c r="I16" i="2"/>
  <c r="F16" i="2"/>
  <c r="I15" i="2"/>
  <c r="F15" i="2"/>
  <c r="I14" i="2"/>
  <c r="F14" i="2"/>
  <c r="I13" i="2"/>
  <c r="F13" i="2"/>
  <c r="I12" i="2"/>
  <c r="F12" i="2"/>
  <c r="I11" i="2"/>
  <c r="F11" i="2"/>
  <c r="I10" i="2"/>
  <c r="F10" i="2"/>
  <c r="I9" i="2"/>
  <c r="F9" i="2"/>
  <c r="I8" i="2"/>
  <c r="F8" i="2"/>
  <c r="I7" i="2"/>
  <c r="F7" i="2"/>
  <c r="I6" i="2"/>
  <c r="F6" i="2"/>
  <c r="I5" i="2"/>
  <c r="F5" i="2"/>
  <c r="I4" i="2"/>
  <c r="F4" i="2"/>
  <c r="I3" i="2"/>
  <c r="F3" i="2"/>
  <c r="I2" i="2"/>
  <c r="F2" i="2"/>
  <c r="O11" i="2" l="1"/>
  <c r="Q11" i="2" s="1"/>
  <c r="R11" i="2"/>
  <c r="Q9" i="2"/>
  <c r="P11" i="2"/>
  <c r="Q6" i="2"/>
  <c r="T6" i="2"/>
  <c r="S11" i="2"/>
  <c r="T11" i="2" s="1"/>
  <c r="Q10" i="2"/>
  <c r="Q5" i="2"/>
  <c r="T5" i="2"/>
  <c r="Q12" i="2"/>
  <c r="T3" i="2"/>
  <c r="Q2" i="2"/>
  <c r="L27" i="2"/>
  <c r="L10" i="2"/>
  <c r="L26" i="2"/>
  <c r="M27" i="2"/>
  <c r="L17" i="2"/>
  <c r="L9" i="2"/>
  <c r="L28" i="2"/>
  <c r="L11" i="2"/>
  <c r="M26" i="2"/>
  <c r="M29" i="2"/>
  <c r="L18" i="2"/>
  <c r="M28" i="2"/>
  <c r="L19" i="2"/>
  <c r="L29" i="2"/>
  <c r="L4" i="2"/>
  <c r="L20" i="2"/>
  <c r="L3" i="2"/>
  <c r="L8" i="2"/>
  <c r="L22" i="2" l="1"/>
  <c r="L13" i="2"/>
  <c r="L31" i="2"/>
  <c r="Q35" i="2"/>
  <c r="P35" i="2"/>
  <c r="O35" i="2"/>
  <c r="N35" i="2"/>
  <c r="L35" i="2"/>
  <c r="M35" i="2"/>
</calcChain>
</file>

<file path=xl/sharedStrings.xml><?xml version="1.0" encoding="utf-8"?>
<sst xmlns="http://schemas.openxmlformats.org/spreadsheetml/2006/main" count="1479" uniqueCount="388">
  <si>
    <t>Total</t>
  </si>
  <si>
    <t>Chuquisaca</t>
  </si>
  <si>
    <t>Sucre</t>
  </si>
  <si>
    <t>Yotala</t>
  </si>
  <si>
    <t>Poroma</t>
  </si>
  <si>
    <t>Tarvita</t>
  </si>
  <si>
    <t>Presto</t>
  </si>
  <si>
    <t>Icla</t>
  </si>
  <si>
    <t>Tomina</t>
  </si>
  <si>
    <t>Padilla</t>
  </si>
  <si>
    <t>Sopachuy</t>
  </si>
  <si>
    <t>El Villar</t>
  </si>
  <si>
    <t>Monteagudo</t>
  </si>
  <si>
    <t>Yamparáez</t>
  </si>
  <si>
    <t>Tarabuco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</si>
  <si>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</si>
  <si>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</si>
  <si>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</si>
  <si>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</si>
  <si>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</si>
  <si>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</si>
  <si>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</si>
  <si>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</si>
  <si>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Macharetí</t>
  </si>
  <si>
    <t>La Paz</t>
  </si>
  <si>
    <t>Nuestra Señora de La Paz</t>
  </si>
  <si>
    <t>Palca</t>
  </si>
  <si>
    <t>Mecapaca</t>
  </si>
  <si>
    <t>Achocalla</t>
  </si>
  <si>
    <t>El Alto</t>
  </si>
  <si>
    <t>Achacachi</t>
  </si>
  <si>
    <t>Huarina</t>
  </si>
  <si>
    <t>Santiago de Huata</t>
  </si>
  <si>
    <t>Huatajata</t>
  </si>
  <si>
    <t>Chua Cocani</t>
  </si>
  <si>
    <t>Caquiaviri</t>
  </si>
  <si>
    <t>Calacoto</t>
  </si>
  <si>
    <t>Comanche</t>
  </si>
  <si>
    <t>Charaña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</si>
  <si>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</si>
  <si>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</si>
  <si>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</si>
  <si>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</si>
  <si>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</si>
  <si>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</si>
  <si>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</si>
  <si>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</si>
  <si>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</si>
  <si>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</si>
  <si>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</si>
  <si>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</si>
  <si>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</si>
  <si>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</si>
  <si>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</si>
  <si>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</si>
  <si>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</si>
  <si>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</si>
  <si>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</si>
  <si>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</si>
  <si>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Ingavi</t>
  </si>
  <si>
    <t>Viacha</t>
  </si>
  <si>
    <t>Tiahuanacu</t>
  </si>
  <si>
    <t>Desaguadero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</si>
  <si>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</si>
  <si>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</si>
  <si>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</si>
  <si>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</si>
  <si>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</si>
  <si>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</si>
  <si>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</si>
  <si>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</si>
  <si>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</si>
  <si>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</si>
  <si>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</si>
  <si>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</si>
  <si>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</si>
  <si>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</si>
  <si>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</si>
  <si>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</si>
  <si>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</si>
  <si>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</si>
  <si>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</si>
  <si>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</si>
  <si>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</si>
  <si>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</si>
  <si>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</si>
  <si>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</si>
  <si>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</si>
  <si>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</si>
  <si>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</si>
  <si>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</si>
  <si>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</si>
  <si>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</si>
  <si>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</si>
  <si>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</si>
  <si>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</si>
  <si>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</si>
  <si>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</si>
  <si>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</si>
  <si>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</si>
  <si>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</si>
  <si>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</si>
  <si>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</si>
  <si>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</si>
  <si>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</si>
  <si>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</si>
  <si>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</si>
  <si>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</si>
  <si>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</si>
  <si>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</si>
  <si>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</si>
  <si>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</si>
  <si>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</si>
  <si>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</si>
  <si>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</si>
  <si>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</si>
  <si>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</si>
  <si>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</si>
  <si>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</si>
  <si>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</si>
  <si>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Sicaya</t>
  </si>
  <si>
    <t>Cliza</t>
  </si>
  <si>
    <t>Toco</t>
  </si>
  <si>
    <t>Tolata</t>
  </si>
  <si>
    <t>Quillacollo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</si>
  <si>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</si>
  <si>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</si>
  <si>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</si>
  <si>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</si>
  <si>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</si>
  <si>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</si>
  <si>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</si>
  <si>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</si>
  <si>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</si>
  <si>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</si>
  <si>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</si>
  <si>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</si>
  <si>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</si>
  <si>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</si>
  <si>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</si>
  <si>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</si>
  <si>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</si>
  <si>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</si>
  <si>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</si>
  <si>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</si>
  <si>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</si>
  <si>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Tiraque</t>
  </si>
  <si>
    <t>Shinahota</t>
  </si>
  <si>
    <t>Oruro</t>
  </si>
  <si>
    <t>Caracollo</t>
  </si>
  <si>
    <t>El Choro</t>
  </si>
  <si>
    <t>Challapata</t>
  </si>
  <si>
    <t>Santuario de Quillacas</t>
  </si>
  <si>
    <t>Carangas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</si>
  <si>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</si>
  <si>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</si>
  <si>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</si>
  <si>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</si>
  <si>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</si>
  <si>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</si>
  <si>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</si>
  <si>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</si>
  <si>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</si>
  <si>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</si>
  <si>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</si>
  <si>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</si>
  <si>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</si>
  <si>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</si>
  <si>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Pampa Aullagas</t>
  </si>
  <si>
    <t>Sabaya</t>
  </si>
  <si>
    <t>Coipasa</t>
  </si>
  <si>
    <t>Toledo</t>
  </si>
  <si>
    <t>Eucaliptus</t>
  </si>
  <si>
    <t>Belén de Andamarca</t>
  </si>
  <si>
    <t>San Pedro de Totora</t>
  </si>
  <si>
    <t>Santiago de Huari</t>
  </si>
  <si>
    <t>La Rivera</t>
  </si>
  <si>
    <t>Todos Santos</t>
  </si>
  <si>
    <t>Potosí</t>
  </si>
  <si>
    <t>Tinguipaya</t>
  </si>
  <si>
    <t>Yocalla</t>
  </si>
  <si>
    <t>Uncía</t>
  </si>
  <si>
    <t>Chayanta</t>
  </si>
  <si>
    <t>Llallagua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</si>
  <si>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</si>
  <si>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</si>
  <si>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</si>
  <si>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</si>
  <si>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</si>
  <si>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</si>
  <si>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</si>
  <si>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</si>
  <si>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</si>
  <si>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</si>
  <si>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</si>
  <si>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</si>
  <si>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Caripuyo</t>
  </si>
  <si>
    <t>Tupiza</t>
  </si>
  <si>
    <t>Atocha</t>
  </si>
  <si>
    <t>San Pedro de Quemes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</si>
  <si>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</si>
  <si>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</si>
  <si>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</si>
  <si>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</si>
  <si>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</si>
  <si>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</si>
  <si>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</si>
  <si>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</si>
  <si>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</si>
  <si>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</si>
  <si>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</si>
  <si>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</si>
  <si>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</si>
  <si>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</si>
  <si>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</si>
  <si>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</si>
  <si>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</si>
  <si>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</si>
  <si>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</si>
  <si>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</si>
  <si>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</si>
  <si>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</si>
  <si>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</si>
  <si>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</si>
  <si>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</si>
  <si>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</si>
  <si>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</si>
  <si>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</si>
  <si>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</si>
  <si>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</si>
  <si>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</si>
  <si>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</si>
  <si>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</si>
  <si>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</t>
  </si>
  <si>
    <t>San Rafael</t>
  </si>
  <si>
    <t>Buena Vista</t>
  </si>
  <si>
    <t>San Carlos</t>
  </si>
  <si>
    <t>Yapacaní</t>
  </si>
  <si>
    <t>San Juan</t>
  </si>
  <si>
    <t>Pailón</t>
  </si>
  <si>
    <t>Roboré</t>
  </si>
  <si>
    <t>Portachuelo</t>
  </si>
  <si>
    <t>Santa Rosa</t>
  </si>
  <si>
    <t>Colpa Bélgica</t>
  </si>
  <si>
    <t>Lagunillas</t>
  </si>
  <si>
    <t>Cabezas</t>
  </si>
  <si>
    <t>Cuevo</t>
  </si>
  <si>
    <t>Camiri</t>
  </si>
  <si>
    <t>Boyuibe</t>
  </si>
  <si>
    <t>Vallegrande</t>
  </si>
  <si>
    <t>Trigal</t>
  </si>
  <si>
    <t>Postrervalle</t>
  </si>
  <si>
    <t>Pucará</t>
  </si>
  <si>
    <t>Samaipata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</si>
  <si>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</si>
  <si>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</si>
  <si>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</si>
  <si>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</si>
  <si>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</si>
  <si>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</si>
  <si>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</si>
  <si>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</si>
  <si>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Julián</t>
  </si>
  <si>
    <t>San Antonio de Lomerio</t>
  </si>
  <si>
    <t>San Ramón</t>
  </si>
  <si>
    <t>Cuatro Cañadas</t>
  </si>
  <si>
    <t>San Matías</t>
  </si>
  <si>
    <t>Comarapa</t>
  </si>
  <si>
    <t>Saipina</t>
  </si>
  <si>
    <t>Puerto Quijarro</t>
  </si>
  <si>
    <t>El Carmen Rivero Tórrez</t>
  </si>
  <si>
    <t>Ascención de Guarayos</t>
  </si>
  <si>
    <t>Urubichá</t>
  </si>
  <si>
    <t>Beni</t>
  </si>
  <si>
    <t>Trinidad</t>
  </si>
  <si>
    <t>Riberalta</t>
  </si>
  <si>
    <t>Guayaramerín</t>
  </si>
  <si>
    <t>Reyes</t>
  </si>
  <si>
    <t>San Borja</t>
  </si>
  <si>
    <t>Exaltación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</si>
  <si>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</si>
  <si>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</si>
  <si>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</si>
  <si>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</si>
  <si>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</si>
  <si>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</si>
  <si>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</si>
  <si>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Pando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</si>
  <si>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</si>
  <si>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</si>
  <si>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</si>
  <si>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</si>
  <si>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</si>
  <si>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</si>
  <si>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</si>
  <si>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</si>
  <si>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Nueva Esperanza</t>
  </si>
  <si>
    <t>Santos Mercado</t>
  </si>
  <si>
    <t>id</t>
  </si>
  <si>
    <t>Departamento</t>
  </si>
  <si>
    <t>Municipio</t>
  </si>
  <si>
    <t>CPV 2012</t>
  </si>
  <si>
    <t>CPV 2024</t>
  </si>
  <si>
    <t>Quedan retos grandes</t>
  </si>
  <si>
    <t>Quedan retos importantes</t>
  </si>
  <si>
    <t>Villa Azurduy</t>
  </si>
  <si>
    <t>Próximo a alcanzarse</t>
  </si>
  <si>
    <t>ODS alcanzado</t>
  </si>
  <si>
    <t>Zudañez</t>
  </si>
  <si>
    <t>UMBRALES</t>
  </si>
  <si>
    <t>TOTAL</t>
  </si>
  <si>
    <t>Villa Mojocoya</t>
  </si>
  <si>
    <t>Promedio</t>
  </si>
  <si>
    <t>Desviación estándar</t>
  </si>
  <si>
    <t>ROJO</t>
  </si>
  <si>
    <t>NARANJA</t>
  </si>
  <si>
    <t>AMARILLO</t>
  </si>
  <si>
    <t>VERDE</t>
  </si>
  <si>
    <t>Villa Alcalá</t>
  </si>
  <si>
    <t>Conteo de clasificación por municipio, 2024</t>
  </si>
  <si>
    <t>rojo</t>
  </si>
  <si>
    <t>San Pablo de Huacareta</t>
  </si>
  <si>
    <t>naranja</t>
  </si>
  <si>
    <t>amarillo</t>
  </si>
  <si>
    <t>verde</t>
  </si>
  <si>
    <t>Conteo de clasificación por municipio, 2012</t>
  </si>
  <si>
    <t>Villa Vaca Guzman</t>
  </si>
  <si>
    <t>Huacaya</t>
  </si>
  <si>
    <t>Ancoraimes</t>
  </si>
  <si>
    <t>Coro Coro</t>
  </si>
  <si>
    <t>Waldo Ballivian</t>
  </si>
  <si>
    <t>Guaqui</t>
  </si>
  <si>
    <t>San Andrés de Machaca</t>
  </si>
  <si>
    <t>Jesús de Machaca</t>
  </si>
  <si>
    <t>Sica Sica</t>
  </si>
  <si>
    <t>General Juan José Pérez (Charazani)</t>
  </si>
  <si>
    <t>Independencia</t>
  </si>
  <si>
    <t>Santivañez</t>
  </si>
  <si>
    <t>Sipe Sipe</t>
  </si>
  <si>
    <t>Cuchumuela (Villa Gualberto Villarroel)</t>
  </si>
  <si>
    <t>Bolivar</t>
  </si>
  <si>
    <t>Soracachi</t>
  </si>
  <si>
    <t>Salinas de Garcí Mendoza</t>
  </si>
  <si>
    <t>Chipaya</t>
  </si>
  <si>
    <t>Santiago de Andamarca</t>
  </si>
  <si>
    <t>Huayllamarca (Santiago de Huayllamarca)</t>
  </si>
  <si>
    <t>Belén de Urmiri</t>
  </si>
  <si>
    <t>Chuquihuta - Ayllu Jucumani</t>
  </si>
  <si>
    <t>San Pedro de Buena Vista</t>
  </si>
  <si>
    <t>Sacaca (Villa de Sacaca)</t>
  </si>
  <si>
    <t>Colcha ''K'' (Villa Martin)</t>
  </si>
  <si>
    <t>San Pablo de Lipez</t>
  </si>
  <si>
    <t>Villa San Lorenzo</t>
  </si>
  <si>
    <t>San Ignacio de Velasco</t>
  </si>
  <si>
    <t>San Miguel de Velasco</t>
  </si>
  <si>
    <t>San José de Chiquitos</t>
  </si>
  <si>
    <t>Santa Rosa del Sara</t>
  </si>
  <si>
    <t>Charagua</t>
  </si>
  <si>
    <t>Gutiérrez</t>
  </si>
  <si>
    <t>Moro Moro</t>
  </si>
  <si>
    <t>Pampa Grande</t>
  </si>
  <si>
    <t>Puerto Suarez</t>
  </si>
  <si>
    <t>Rurrenabaque</t>
  </si>
  <si>
    <t>Santa Ana de Yacuma</t>
  </si>
  <si>
    <t>TIOC-Territorio Indigena Multiétnico</t>
  </si>
  <si>
    <t>Santa Rosa del Abuná</t>
  </si>
  <si>
    <t>Villa Nueva (Loma Alta)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</si>
  <si>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</si>
  <si>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</si>
  <si>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</si>
  <si>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</si>
  <si>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</si>
  <si>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</si>
  <si>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</si>
  <si>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</si>
  <si>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</si>
  <si>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</si>
  <si>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</si>
  <si>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pfp_2012</t>
  </si>
  <si>
    <t>pfp_2024</t>
  </si>
  <si>
    <t>niños4a5_asisten_preescolar/inicial_2012</t>
  </si>
  <si>
    <t>niños4a5_asisten_preescolar/inicial_2024</t>
  </si>
  <si>
    <t>total_niños4a5_2012</t>
  </si>
  <si>
    <t>Sin Datos Disponibles</t>
  </si>
  <si>
    <t>Porcentaje de niños de 4 a 5 años que asisten a algún establecimiento preescolar</t>
  </si>
  <si>
    <t>depto</t>
  </si>
  <si>
    <t>Bolivia</t>
  </si>
  <si>
    <t>Gran Chaco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</si>
</sst>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0"/>
      <color rgb="FF000000"/>
      <name val="Arial"/>
      <scheme val="minor"/>
    </font>
    <font>
      <sz val="10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  <font>
      <sz val="11"/>
      <color theme="1"/>
      <name val="Aptos Narrow"/>
    </font>
    <font>
      <b/>
      <sz val="11"/>
      <color theme="1"/>
      <name val="Calibri"/>
    </font>
    <font>
      <b/>
      <sz val="9"/>
      <color theme="1"/>
      <name val="Play"/>
    </font>
    <font>
      <sz val="8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7" tint="0.79998168889431442"/>
        <bgColor rgb="FFFCE5CD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2" fillId="0" borderId="4" xfId="0" applyNumberFormat="1" applyFont="1" applyBorder="1"/>
    <xf numFmtId="49" fontId="2" fillId="0" borderId="4" xfId="0" applyNumberFormat="1" applyFont="1" applyBorder="1"/>
    <xf numFmtId="1" fontId="2" fillId="0" borderId="4" xfId="0" applyNumberFormat="1" applyFont="1" applyBorder="1" applyAlignment="1">
      <alignment horizontal="right"/>
    </xf>
    <xf numFmtId="0" fontId="5" fillId="0" borderId="4" xfId="0" applyFont="1" applyBorder="1"/>
    <xf numFmtId="0" fontId="2" fillId="0" borderId="4" xfId="0" applyFont="1" applyBorder="1"/>
    <xf numFmtId="3" fontId="2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4" fillId="0" borderId="0" xfId="0" applyFont="1"/>
    <xf numFmtId="0" fontId="4" fillId="0" borderId="4" xfId="0" applyFont="1" applyBorder="1"/>
    <xf numFmtId="164" fontId="4" fillId="0" borderId="4" xfId="0" applyNumberFormat="1" applyFont="1" applyBorder="1" applyAlignment="1">
      <alignment horizontal="right"/>
    </xf>
    <xf numFmtId="3" fontId="2" fillId="0" borderId="4" xfId="0" applyNumberFormat="1" applyFont="1" applyBorder="1"/>
    <xf numFmtId="1" fontId="6" fillId="0" borderId="0" xfId="0" applyNumberFormat="1" applyFont="1"/>
    <xf numFmtId="49" fontId="6" fillId="0" borderId="0" xfId="0" applyNumberFormat="1" applyFont="1"/>
    <xf numFmtId="1" fontId="3" fillId="0" borderId="0" xfId="0" applyNumberFormat="1" applyFont="1"/>
    <xf numFmtId="0" fontId="6" fillId="0" borderId="0" xfId="0" applyFont="1"/>
    <xf numFmtId="1" fontId="5" fillId="0" borderId="4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1" fontId="5" fillId="0" borderId="0" xfId="0" applyNumberFormat="1" applyFont="1"/>
    <xf numFmtId="49" fontId="5" fillId="0" borderId="0" xfId="0" applyNumberFormat="1" applyFont="1"/>
    <xf numFmtId="2" fontId="4" fillId="0" borderId="0" xfId="0" applyNumberFormat="1" applyFont="1"/>
    <xf numFmtId="0" fontId="5" fillId="0" borderId="0" xfId="0" applyFont="1"/>
    <xf numFmtId="0" fontId="2" fillId="0" borderId="4" xfId="0" applyFont="1" applyBorder="1" applyAlignment="1">
      <alignment horizontal="center"/>
    </xf>
    <xf numFmtId="2" fontId="2" fillId="0" borderId="4" xfId="0" applyNumberFormat="1" applyFont="1" applyBorder="1" applyAlignment="1">
      <alignment horizontal="right"/>
    </xf>
    <xf numFmtId="0" fontId="7" fillId="3" borderId="4" xfId="0" applyFont="1" applyFill="1" applyBorder="1"/>
    <xf numFmtId="0" fontId="8" fillId="4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7" fillId="0" borderId="0" xfId="0" applyFont="1"/>
    <xf numFmtId="0" fontId="2" fillId="2" borderId="4" xfId="0" applyFont="1" applyFill="1" applyBorder="1"/>
    <xf numFmtId="164" fontId="4" fillId="0" borderId="0" xfId="0" applyNumberFormat="1" applyFont="1" applyAlignment="1">
      <alignment horizontal="right"/>
    </xf>
    <xf numFmtId="164" fontId="2" fillId="0" borderId="0" xfId="0" applyNumberFormat="1" applyFont="1"/>
    <xf numFmtId="1" fontId="4" fillId="0" borderId="4" xfId="0" applyNumberFormat="1" applyFont="1" applyBorder="1"/>
    <xf numFmtId="164" fontId="4" fillId="0" borderId="4" xfId="0" applyNumberFormat="1" applyFont="1" applyBorder="1"/>
    <xf numFmtId="49" fontId="2" fillId="0" borderId="1" xfId="0" applyNumberFormat="1" applyFont="1" applyBorder="1"/>
    <xf numFmtId="0" fontId="0" fillId="0" borderId="5" xfId="0" applyBorder="1"/>
    <xf numFmtId="1" fontId="0" fillId="0" borderId="5" xfId="0" applyNumberFormat="1" applyBorder="1"/>
    <xf numFmtId="164" fontId="0" fillId="0" borderId="5" xfId="0" applyNumberFormat="1" applyBorder="1"/>
    <xf numFmtId="0" fontId="0" fillId="0" borderId="3" xfId="0" applyBorder="1"/>
    <xf numFmtId="49" fontId="2" fillId="0" borderId="3" xfId="0" applyNumberFormat="1" applyFont="1" applyBorder="1"/>
    <xf numFmtId="0" fontId="2" fillId="8" borderId="4" xfId="0" applyFont="1" applyFill="1" applyBorder="1"/>
    <xf numFmtId="0" fontId="4" fillId="8" borderId="4" xfId="0" applyFont="1" applyFill="1" applyBorder="1"/>
    <xf numFmtId="0" fontId="2" fillId="9" borderId="4" xfId="0" applyFont="1" applyFill="1" applyBorder="1"/>
    <xf numFmtId="3" fontId="2" fillId="9" borderId="4" xfId="0" applyNumberFormat="1" applyFont="1" applyFill="1" applyBorder="1" applyAlignment="1">
      <alignment horizontal="right"/>
    </xf>
    <xf numFmtId="1" fontId="0" fillId="0" borderId="6" xfId="0" applyNumberFormat="1" applyBorder="1"/>
    <xf numFmtId="1" fontId="0" fillId="0" borderId="7" xfId="0" applyNumberFormat="1" applyBorder="1"/>
    <xf numFmtId="0" fontId="2" fillId="0" borderId="5" xfId="0" applyFont="1" applyBorder="1"/>
    <xf numFmtId="0" fontId="4" fillId="8" borderId="2" xfId="0" applyFont="1" applyFill="1" applyBorder="1"/>
    <xf numFmtId="3" fontId="2" fillId="0" borderId="8" xfId="0" applyNumberFormat="1" applyFont="1" applyBorder="1"/>
    <xf numFmtId="0" fontId="2" fillId="8" borderId="5" xfId="0" applyFont="1" applyFill="1" applyBorder="1"/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2" fontId="2" fillId="0" borderId="9" xfId="0" applyNumberFormat="1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2" fontId="2" fillId="0" borderId="5" xfId="0" applyNumberFormat="1" applyFont="1" applyBorder="1"/>
    <xf numFmtId="1" fontId="2" fillId="0" borderId="9" xfId="0" applyNumberFormat="1" applyFont="1" applyBorder="1" applyAlignment="1">
      <alignment horizontal="right"/>
    </xf>
    <xf numFmtId="0" fontId="4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  <outlinePr summaryBelow="0" summaryRight="0"/>
  </sheetPr>
  <dimension ref="A1:T1001"/>
  <sheetViews>
    <sheetView topLeftCell="A320" workbookViewId="0">
      <selection activeCell="O18" sqref="O18"/>
    </sheetView>
  </sheetViews>
  <sheetFormatPr baseColWidth="10" defaultColWidth="12.6640625" defaultRowHeight="15" customHeight="1"/>
  <cols>
    <col min="1" max="3" width="12.6640625" customWidth="1"/>
    <col min="4" max="4" width="18.6640625" customWidth="1"/>
    <col min="5" max="5" width="18.33203125" customWidth="1"/>
    <col min="6" max="6" width="11.77734375" customWidth="1"/>
    <col min="7" max="7" width="18.21875" customWidth="1"/>
    <col min="8" max="8" width="19.88671875" customWidth="1"/>
    <col min="9" max="9" width="9.77734375" customWidth="1"/>
  </cols>
  <sheetData>
    <row r="1" spans="1:20" ht="15.75" customHeight="1">
      <c r="A1" s="3" t="s">
        <v>298</v>
      </c>
      <c r="B1" s="4" t="s">
        <v>299</v>
      </c>
      <c r="C1" s="37" t="s">
        <v>300</v>
      </c>
      <c r="D1" s="38" t="s">
        <v>382</v>
      </c>
      <c r="E1" s="38" t="s">
        <v>380</v>
      </c>
      <c r="F1" s="38" t="s">
        <v>378</v>
      </c>
      <c r="G1" s="38" t="s">
        <v>382</v>
      </c>
      <c r="H1" s="38" t="s">
        <v>381</v>
      </c>
      <c r="I1" s="38" t="s">
        <v>379</v>
      </c>
      <c r="N1" s="38" t="s">
        <v>385</v>
      </c>
      <c r="O1" s="38" t="s">
        <v>382</v>
      </c>
      <c r="P1" s="38" t="s">
        <v>380</v>
      </c>
      <c r="Q1" s="38" t="s">
        <v>378</v>
      </c>
      <c r="R1" s="38" t="s">
        <v>382</v>
      </c>
      <c r="S1" s="38" t="s">
        <v>381</v>
      </c>
      <c r="T1" s="38" t="s">
        <v>379</v>
      </c>
    </row>
    <row r="2" spans="1:20" ht="15.75" customHeight="1">
      <c r="A2" s="5">
        <v>10101</v>
      </c>
      <c r="B2" s="4" t="s">
        <v>1</v>
      </c>
      <c r="C2" s="37" t="s">
        <v>2</v>
      </c>
      <c r="D2" s="39">
        <v>10279</v>
      </c>
      <c r="E2" s="39">
        <v>5417</v>
      </c>
      <c r="F2" s="40">
        <f>E2/D2*100</f>
        <v>52.699678957096992</v>
      </c>
      <c r="G2" s="39">
        <v>9216</v>
      </c>
      <c r="H2" s="39">
        <v>8078</v>
      </c>
      <c r="I2" s="40">
        <f>H2/G2*100</f>
        <v>87.651909722222214</v>
      </c>
      <c r="K2" s="59" t="s">
        <v>309</v>
      </c>
      <c r="L2" s="60"/>
      <c r="N2" s="49" t="s">
        <v>1</v>
      </c>
      <c r="O2" s="39">
        <f>SUM(D2:D30)</f>
        <v>25429</v>
      </c>
      <c r="P2" s="39">
        <f>SUM(E2:E30)</f>
        <v>10656</v>
      </c>
      <c r="Q2" s="40">
        <f t="shared" ref="Q2:Q12" si="0">P2/O2*100</f>
        <v>41.904911714971092</v>
      </c>
      <c r="R2" s="39">
        <f>SUM(G2:G30)</f>
        <v>19822</v>
      </c>
      <c r="S2" s="39">
        <f>SUM(H2:H30)</f>
        <v>15947</v>
      </c>
      <c r="T2" s="40">
        <f>S2/R2*100</f>
        <v>80.451014024820907</v>
      </c>
    </row>
    <row r="3" spans="1:20" ht="15.75" customHeight="1">
      <c r="A3" s="5">
        <v>10102</v>
      </c>
      <c r="B3" s="4" t="s">
        <v>1</v>
      </c>
      <c r="C3" s="37" t="s">
        <v>3</v>
      </c>
      <c r="D3" s="39">
        <v>367</v>
      </c>
      <c r="E3" s="39">
        <v>208</v>
      </c>
      <c r="F3" s="40">
        <f t="shared" ref="F3:F66" si="1">E3/D3*100</f>
        <v>56.675749318801095</v>
      </c>
      <c r="G3" s="39">
        <v>288</v>
      </c>
      <c r="H3" s="39">
        <v>261</v>
      </c>
      <c r="I3" s="40">
        <f t="shared" ref="I3:I66" si="2">H3/G3*100</f>
        <v>90.625</v>
      </c>
      <c r="K3" s="11" t="s">
        <v>312</v>
      </c>
      <c r="L3" s="12">
        <f>AVERAGE(F:F)</f>
        <v>43.832712935901299</v>
      </c>
      <c r="N3" s="49" t="s">
        <v>24</v>
      </c>
      <c r="O3" s="39">
        <f>SUM(D31:D117)</f>
        <v>105113</v>
      </c>
      <c r="P3" s="39">
        <f>SUM(E31:E117)</f>
        <v>48874</v>
      </c>
      <c r="Q3" s="40">
        <f t="shared" si="0"/>
        <v>46.496627439041795</v>
      </c>
      <c r="R3" s="39">
        <f>SUM(G31:G117)</f>
        <v>93991</v>
      </c>
      <c r="S3" s="39">
        <f>SUM(H31:H117)</f>
        <v>78163</v>
      </c>
      <c r="T3" s="40">
        <f t="shared" ref="T3:T12" si="3">S3/R3*100</f>
        <v>83.16008979583151</v>
      </c>
    </row>
    <row r="4" spans="1:20" ht="15.75" customHeight="1">
      <c r="A4" s="5">
        <v>10103</v>
      </c>
      <c r="B4" s="4" t="s">
        <v>1</v>
      </c>
      <c r="C4" s="37" t="s">
        <v>4</v>
      </c>
      <c r="D4" s="39">
        <v>941</v>
      </c>
      <c r="E4" s="39">
        <v>236</v>
      </c>
      <c r="F4" s="40">
        <f t="shared" si="1"/>
        <v>25.079702444208291</v>
      </c>
      <c r="G4" s="39">
        <v>497</v>
      </c>
      <c r="H4" s="39">
        <v>307</v>
      </c>
      <c r="I4" s="40">
        <f t="shared" si="2"/>
        <v>61.770623742454731</v>
      </c>
      <c r="K4" s="11" t="s">
        <v>313</v>
      </c>
      <c r="L4" s="12">
        <f>STDEV(F:F)</f>
        <v>10.064681084096325</v>
      </c>
      <c r="N4" s="49" t="s">
        <v>105</v>
      </c>
      <c r="O4" s="39">
        <f>SUM(D118:D165)</f>
        <v>74812</v>
      </c>
      <c r="P4" s="39">
        <f>SUM(E118:E165)</f>
        <v>34576</v>
      </c>
      <c r="Q4" s="40">
        <f t="shared" si="0"/>
        <v>46.217184408918357</v>
      </c>
      <c r="R4" s="39">
        <f>SUM(G118:G165)</f>
        <v>68443</v>
      </c>
      <c r="S4" s="39">
        <f>SUM(H118:H165)</f>
        <v>54492</v>
      </c>
      <c r="T4" s="40">
        <f t="shared" si="3"/>
        <v>79.6166152857122</v>
      </c>
    </row>
    <row r="5" spans="1:20" ht="15.75" customHeight="1">
      <c r="A5" s="5">
        <v>10201</v>
      </c>
      <c r="B5" s="4" t="s">
        <v>1</v>
      </c>
      <c r="C5" s="37" t="s">
        <v>305</v>
      </c>
      <c r="D5" s="39">
        <v>574</v>
      </c>
      <c r="E5" s="39">
        <v>132</v>
      </c>
      <c r="F5" s="40">
        <f t="shared" si="1"/>
        <v>22.99651567944251</v>
      </c>
      <c r="G5" s="39">
        <v>332</v>
      </c>
      <c r="H5" s="39">
        <v>189</v>
      </c>
      <c r="I5" s="40">
        <f t="shared" si="2"/>
        <v>56.92771084337349</v>
      </c>
      <c r="M5" s="41"/>
      <c r="N5" s="49" t="s">
        <v>148</v>
      </c>
      <c r="O5" s="39">
        <f>SUM(D166:D200)</f>
        <v>21272</v>
      </c>
      <c r="P5" s="39">
        <f>SUM(E166:E200)</f>
        <v>10405</v>
      </c>
      <c r="Q5" s="40">
        <f t="shared" si="0"/>
        <v>48.914065438134635</v>
      </c>
      <c r="R5" s="39">
        <f>SUM(G166:G200)</f>
        <v>19019</v>
      </c>
      <c r="S5" s="39">
        <f>SUM(H166:H200)</f>
        <v>16260</v>
      </c>
      <c r="T5" s="40">
        <f t="shared" si="3"/>
        <v>85.493453914506546</v>
      </c>
    </row>
    <row r="6" spans="1:20" ht="15.75" customHeight="1">
      <c r="A6" s="5">
        <v>10202</v>
      </c>
      <c r="B6" s="4" t="s">
        <v>1</v>
      </c>
      <c r="C6" s="37" t="s">
        <v>5</v>
      </c>
      <c r="D6" s="39">
        <v>820</v>
      </c>
      <c r="E6" s="39">
        <v>282</v>
      </c>
      <c r="F6" s="40">
        <f t="shared" si="1"/>
        <v>34.390243902439025</v>
      </c>
      <c r="G6" s="39">
        <v>674</v>
      </c>
      <c r="H6" s="39">
        <v>469</v>
      </c>
      <c r="I6" s="40">
        <f t="shared" si="2"/>
        <v>69.58456973293768</v>
      </c>
      <c r="J6" s="48"/>
      <c r="K6" s="42"/>
      <c r="L6" s="42"/>
      <c r="M6" s="41"/>
      <c r="N6" s="49" t="s">
        <v>178</v>
      </c>
      <c r="O6" s="39">
        <f>SUM(D201:D242)</f>
        <v>37803</v>
      </c>
      <c r="P6" s="39">
        <f>SUM(E201:E242)</f>
        <v>19544</v>
      </c>
      <c r="Q6" s="40">
        <f t="shared" si="0"/>
        <v>51.699600560802054</v>
      </c>
      <c r="R6" s="39">
        <f>SUM(G201:G242)</f>
        <v>31542</v>
      </c>
      <c r="S6" s="39">
        <f>SUM(H201:H242)</f>
        <v>26690</v>
      </c>
      <c r="T6" s="40">
        <f t="shared" si="3"/>
        <v>84.61733561600407</v>
      </c>
    </row>
    <row r="7" spans="1:20" ht="15.75" customHeight="1">
      <c r="A7" s="5">
        <v>10301</v>
      </c>
      <c r="B7" s="4" t="s">
        <v>1</v>
      </c>
      <c r="C7" s="37" t="s">
        <v>308</v>
      </c>
      <c r="D7" s="39">
        <v>465</v>
      </c>
      <c r="E7" s="39">
        <v>169</v>
      </c>
      <c r="F7" s="40">
        <f t="shared" si="1"/>
        <v>36.344086021505376</v>
      </c>
      <c r="G7" s="39">
        <v>427</v>
      </c>
      <c r="H7" s="39">
        <v>340</v>
      </c>
      <c r="I7" s="40">
        <f t="shared" si="2"/>
        <v>79.625292740046831</v>
      </c>
      <c r="K7" s="52" t="s">
        <v>319</v>
      </c>
      <c r="L7" s="50"/>
      <c r="N7" s="49" t="s">
        <v>215</v>
      </c>
      <c r="O7" s="39">
        <f>SUM(D243:D253)</f>
        <v>19016</v>
      </c>
      <c r="P7" s="39">
        <f>SUM(E243:E253)</f>
        <v>10286</v>
      </c>
      <c r="Q7" s="40">
        <f t="shared" si="0"/>
        <v>54.091291543962981</v>
      </c>
      <c r="R7" s="39">
        <f>SUM(G243:G253)</f>
        <v>16938</v>
      </c>
      <c r="S7" s="39">
        <f>SUM(H243:H253)</f>
        <v>14345</v>
      </c>
      <c r="T7" s="40">
        <f t="shared" si="3"/>
        <v>84.691226827252336</v>
      </c>
    </row>
    <row r="8" spans="1:20" ht="15.75" customHeight="1">
      <c r="A8" s="5">
        <v>10302</v>
      </c>
      <c r="B8" s="4" t="s">
        <v>1</v>
      </c>
      <c r="C8" s="37" t="s">
        <v>6</v>
      </c>
      <c r="D8" s="39">
        <v>606</v>
      </c>
      <c r="E8" s="39">
        <v>189</v>
      </c>
      <c r="F8" s="40">
        <f t="shared" si="1"/>
        <v>31.188118811881189</v>
      </c>
      <c r="G8" s="39">
        <v>458</v>
      </c>
      <c r="H8" s="39">
        <v>280</v>
      </c>
      <c r="I8" s="40">
        <f t="shared" si="2"/>
        <v>61.135371179039296</v>
      </c>
      <c r="J8" s="47"/>
      <c r="K8" s="51" t="s">
        <v>320</v>
      </c>
      <c r="L8" s="8">
        <f>COUNTIF(I:I, "&lt;=33,8")</f>
        <v>0</v>
      </c>
      <c r="M8" s="10"/>
      <c r="N8" s="49" t="s">
        <v>225</v>
      </c>
      <c r="O8" s="39">
        <f>SUM(D254:D309)</f>
        <v>114929</v>
      </c>
      <c r="P8" s="39">
        <f>SUM(E254:E309)</f>
        <v>56303</v>
      </c>
      <c r="Q8" s="40">
        <f t="shared" si="0"/>
        <v>48.989376049561031</v>
      </c>
      <c r="R8" s="39">
        <f>SUM(G254:G309)</f>
        <v>115433</v>
      </c>
      <c r="S8" s="39">
        <f>SUM(H254:H309)</f>
        <v>83613</v>
      </c>
      <c r="T8" s="40">
        <f t="shared" si="3"/>
        <v>72.434225914599821</v>
      </c>
    </row>
    <row r="9" spans="1:20" ht="15.75" customHeight="1">
      <c r="A9" s="5">
        <v>10303</v>
      </c>
      <c r="B9" s="4" t="s">
        <v>1</v>
      </c>
      <c r="C9" s="37" t="s">
        <v>311</v>
      </c>
      <c r="D9" s="39">
        <v>362</v>
      </c>
      <c r="E9" s="39">
        <v>136</v>
      </c>
      <c r="F9" s="40">
        <f t="shared" si="1"/>
        <v>37.569060773480665</v>
      </c>
      <c r="G9" s="39">
        <v>370</v>
      </c>
      <c r="H9" s="39">
        <v>291</v>
      </c>
      <c r="I9" s="40">
        <f t="shared" si="2"/>
        <v>78.648648648648646</v>
      </c>
      <c r="K9" s="13" t="s">
        <v>322</v>
      </c>
      <c r="L9" s="8">
        <f>COUNTIFS(I:I,"&gt;33,8",I:I,"&lt;=43,8")</f>
        <v>2</v>
      </c>
      <c r="M9" s="10"/>
      <c r="N9" s="49" t="s">
        <v>273</v>
      </c>
      <c r="O9" s="39">
        <f>SUM(D310:D329)</f>
        <v>20966</v>
      </c>
      <c r="P9" s="39">
        <f>SUM(E310:E329)</f>
        <v>9887</v>
      </c>
      <c r="Q9" s="40">
        <f t="shared" si="0"/>
        <v>47.157302298960218</v>
      </c>
      <c r="R9" s="39">
        <f>SUM(G310:G329)</f>
        <v>20700</v>
      </c>
      <c r="S9" s="39">
        <f>SUM(H310:H329)</f>
        <v>14021</v>
      </c>
      <c r="T9" s="40">
        <f t="shared" si="3"/>
        <v>67.734299516908209</v>
      </c>
    </row>
    <row r="10" spans="1:20" ht="15.75" customHeight="1">
      <c r="A10" s="5">
        <v>10304</v>
      </c>
      <c r="B10" s="4" t="s">
        <v>1</v>
      </c>
      <c r="C10" s="37" t="s">
        <v>7</v>
      </c>
      <c r="D10" s="39">
        <v>376</v>
      </c>
      <c r="E10" s="39">
        <v>126</v>
      </c>
      <c r="F10" s="40">
        <f t="shared" si="1"/>
        <v>33.51063829787234</v>
      </c>
      <c r="G10" s="39">
        <v>269</v>
      </c>
      <c r="H10" s="39">
        <v>194</v>
      </c>
      <c r="I10" s="40">
        <f t="shared" si="2"/>
        <v>72.118959107806688</v>
      </c>
      <c r="J10" s="48"/>
      <c r="K10" s="7" t="s">
        <v>323</v>
      </c>
      <c r="L10" s="9">
        <f>COUNTIFS(I:I,"&gt;43,8",I:I,"&lt;53,9")</f>
        <v>11</v>
      </c>
      <c r="M10" s="10"/>
      <c r="N10" s="49" t="s">
        <v>287</v>
      </c>
      <c r="O10" s="39">
        <f>SUM(D330:D344)</f>
        <v>5284</v>
      </c>
      <c r="P10" s="39">
        <f>SUM(E330:E344)</f>
        <v>2719</v>
      </c>
      <c r="Q10" s="40">
        <f t="shared" si="0"/>
        <v>51.457229371688115</v>
      </c>
      <c r="R10" s="39">
        <f>SUM(G330:G344)</f>
        <v>5632</v>
      </c>
      <c r="S10" s="39">
        <f>SUM(H330:H344)</f>
        <v>4361</v>
      </c>
      <c r="T10" s="40">
        <f t="shared" si="3"/>
        <v>77.432528409090907</v>
      </c>
    </row>
    <row r="11" spans="1:20" ht="15.75" customHeight="1">
      <c r="A11" s="5">
        <v>10401</v>
      </c>
      <c r="B11" s="4" t="s">
        <v>1</v>
      </c>
      <c r="C11" s="37" t="s">
        <v>9</v>
      </c>
      <c r="D11" s="39">
        <v>407</v>
      </c>
      <c r="E11" s="39">
        <v>145</v>
      </c>
      <c r="F11" s="40">
        <f t="shared" si="1"/>
        <v>35.626535626535627</v>
      </c>
      <c r="G11" s="39">
        <v>302</v>
      </c>
      <c r="H11" s="39">
        <v>246</v>
      </c>
      <c r="I11" s="40">
        <f t="shared" si="2"/>
        <v>81.456953642384107</v>
      </c>
      <c r="K11" s="7" t="s">
        <v>324</v>
      </c>
      <c r="L11" s="9">
        <f>COUNTIF(I:I,"&gt;=53,9")</f>
        <v>330</v>
      </c>
      <c r="M11" s="10"/>
      <c r="N11" s="49" t="s">
        <v>386</v>
      </c>
      <c r="O11" s="39">
        <f>SUM(O2:O10)</f>
        <v>424624</v>
      </c>
      <c r="P11" s="39">
        <f>SUM(P2:P10)</f>
        <v>203250</v>
      </c>
      <c r="Q11" s="40">
        <f t="shared" si="0"/>
        <v>47.865876634387128</v>
      </c>
      <c r="R11" s="39">
        <f>SUM(R2:R10)</f>
        <v>391520</v>
      </c>
      <c r="S11" s="39">
        <f>SUM(S2:S10)</f>
        <v>307892</v>
      </c>
      <c r="T11" s="40">
        <f t="shared" si="3"/>
        <v>78.640171638741322</v>
      </c>
    </row>
    <row r="12" spans="1:20" ht="15.75" customHeight="1">
      <c r="A12" s="5">
        <v>10402</v>
      </c>
      <c r="B12" s="4" t="s">
        <v>1</v>
      </c>
      <c r="C12" s="37" t="s">
        <v>8</v>
      </c>
      <c r="D12" s="39">
        <v>379</v>
      </c>
      <c r="E12" s="39">
        <v>155</v>
      </c>
      <c r="F12" s="40">
        <f t="shared" si="1"/>
        <v>40.897097625329813</v>
      </c>
      <c r="G12" s="39">
        <v>274</v>
      </c>
      <c r="H12" s="39">
        <v>208</v>
      </c>
      <c r="I12" s="40">
        <f t="shared" si="2"/>
        <v>75.912408759124077</v>
      </c>
      <c r="K12" s="10"/>
      <c r="L12" s="10"/>
      <c r="N12" s="49" t="s">
        <v>387</v>
      </c>
      <c r="O12" s="39">
        <f>SUM(D246:D248)</f>
        <v>6259</v>
      </c>
      <c r="P12" s="39">
        <f>SUM(E246:E248)</f>
        <v>2919</v>
      </c>
      <c r="Q12" s="40">
        <f t="shared" si="0"/>
        <v>46.636842946157529</v>
      </c>
      <c r="R12" s="39">
        <f>SUM(G246:G248)</f>
        <v>5789</v>
      </c>
      <c r="S12" s="39">
        <f>SUM(H246:H248)</f>
        <v>4431</v>
      </c>
      <c r="T12" s="40">
        <f t="shared" si="3"/>
        <v>76.541717049576789</v>
      </c>
    </row>
    <row r="13" spans="1:20" ht="15.75" customHeight="1">
      <c r="A13" s="5">
        <v>10403</v>
      </c>
      <c r="B13" s="4" t="s">
        <v>1</v>
      </c>
      <c r="C13" s="37" t="s">
        <v>10</v>
      </c>
      <c r="D13" s="39">
        <v>369</v>
      </c>
      <c r="E13" s="39">
        <v>102</v>
      </c>
      <c r="F13" s="40">
        <f t="shared" si="1"/>
        <v>27.64227642276423</v>
      </c>
      <c r="G13" s="39">
        <v>249</v>
      </c>
      <c r="H13" s="39">
        <v>175</v>
      </c>
      <c r="I13" s="40">
        <f t="shared" si="2"/>
        <v>70.281124497991968</v>
      </c>
      <c r="K13" s="45" t="s">
        <v>0</v>
      </c>
      <c r="L13" s="46">
        <f>SUM(L8:L11)</f>
        <v>343</v>
      </c>
    </row>
    <row r="14" spans="1:20" ht="15.75" customHeight="1">
      <c r="A14" s="5">
        <v>10404</v>
      </c>
      <c r="B14" s="4" t="s">
        <v>1</v>
      </c>
      <c r="C14" s="37" t="s">
        <v>318</v>
      </c>
      <c r="D14" s="39">
        <v>200</v>
      </c>
      <c r="E14" s="39">
        <v>76</v>
      </c>
      <c r="F14" s="40">
        <f t="shared" si="1"/>
        <v>38</v>
      </c>
      <c r="G14" s="39">
        <v>104</v>
      </c>
      <c r="H14" s="39">
        <v>75</v>
      </c>
      <c r="I14" s="40">
        <f t="shared" si="2"/>
        <v>72.115384615384613</v>
      </c>
    </row>
    <row r="15" spans="1:20" ht="15.75" customHeight="1">
      <c r="A15" s="5">
        <v>10405</v>
      </c>
      <c r="B15" s="4" t="s">
        <v>1</v>
      </c>
      <c r="C15" s="37" t="s">
        <v>11</v>
      </c>
      <c r="D15" s="39">
        <v>177</v>
      </c>
      <c r="E15" s="39">
        <v>49</v>
      </c>
      <c r="F15" s="40">
        <f t="shared" si="1"/>
        <v>27.683615819209038</v>
      </c>
      <c r="G15" s="39">
        <v>188</v>
      </c>
      <c r="H15" s="39">
        <v>161</v>
      </c>
      <c r="I15" s="40">
        <f t="shared" si="2"/>
        <v>85.638297872340431</v>
      </c>
    </row>
    <row r="16" spans="1:20" ht="15.75" customHeight="1">
      <c r="A16" s="5">
        <v>10501</v>
      </c>
      <c r="B16" s="4" t="s">
        <v>1</v>
      </c>
      <c r="C16" s="37" t="s">
        <v>12</v>
      </c>
      <c r="D16" s="39">
        <v>1015</v>
      </c>
      <c r="E16" s="39">
        <v>453</v>
      </c>
      <c r="F16" s="40">
        <f t="shared" si="1"/>
        <v>44.630541871921181</v>
      </c>
      <c r="G16" s="39">
        <v>802</v>
      </c>
      <c r="H16" s="39">
        <v>666</v>
      </c>
      <c r="I16" s="40">
        <f t="shared" si="2"/>
        <v>83.042394014962596</v>
      </c>
      <c r="K16" s="43" t="s">
        <v>325</v>
      </c>
      <c r="L16" s="44"/>
    </row>
    <row r="17" spans="1:13" ht="15.75" customHeight="1">
      <c r="A17" s="5">
        <v>10502</v>
      </c>
      <c r="B17" s="4" t="s">
        <v>1</v>
      </c>
      <c r="C17" s="37" t="s">
        <v>321</v>
      </c>
      <c r="D17" s="39">
        <v>366</v>
      </c>
      <c r="E17" s="39">
        <v>148</v>
      </c>
      <c r="F17" s="40">
        <f t="shared" si="1"/>
        <v>40.437158469945359</v>
      </c>
      <c r="G17" s="39">
        <v>275</v>
      </c>
      <c r="H17" s="39">
        <v>223</v>
      </c>
      <c r="I17" s="40">
        <f t="shared" si="2"/>
        <v>81.090909090909093</v>
      </c>
      <c r="K17" s="13" t="s">
        <v>320</v>
      </c>
      <c r="L17" s="8">
        <f>COUNTIFS(F:F,"&lt;=33,8",F:F,"&lt;&gt;0")</f>
        <v>53</v>
      </c>
    </row>
    <row r="18" spans="1:13" ht="15.75" customHeight="1">
      <c r="A18" s="5">
        <v>10601</v>
      </c>
      <c r="B18" s="4" t="s">
        <v>1</v>
      </c>
      <c r="C18" s="37" t="s">
        <v>14</v>
      </c>
      <c r="D18" s="39">
        <v>816</v>
      </c>
      <c r="E18" s="39">
        <v>245</v>
      </c>
      <c r="F18" s="40">
        <f t="shared" si="1"/>
        <v>30.024509803921568</v>
      </c>
      <c r="G18" s="39">
        <v>398</v>
      </c>
      <c r="H18" s="39">
        <v>278</v>
      </c>
      <c r="I18" s="40">
        <f t="shared" si="2"/>
        <v>69.849246231155774</v>
      </c>
      <c r="K18" s="13" t="s">
        <v>322</v>
      </c>
      <c r="L18" s="8">
        <f>COUNTIFS(F:F,"&gt;33,8",F:F,"&lt;=43,8")</f>
        <v>115</v>
      </c>
    </row>
    <row r="19" spans="1:13" ht="15.75" customHeight="1">
      <c r="A19" s="5">
        <v>10602</v>
      </c>
      <c r="B19" s="4" t="s">
        <v>1</v>
      </c>
      <c r="C19" s="37" t="s">
        <v>13</v>
      </c>
      <c r="D19" s="39">
        <v>400</v>
      </c>
      <c r="E19" s="39">
        <v>180</v>
      </c>
      <c r="F19" s="40">
        <f t="shared" si="1"/>
        <v>45</v>
      </c>
      <c r="G19" s="39">
        <v>223</v>
      </c>
      <c r="H19" s="39">
        <v>187</v>
      </c>
      <c r="I19" s="40">
        <f t="shared" si="2"/>
        <v>83.856502242152459</v>
      </c>
      <c r="K19" s="7" t="s">
        <v>323</v>
      </c>
      <c r="L19" s="9">
        <f>COUNTIFS(F:F,"&gt;43,8",F:F,"&lt;53,9")</f>
        <v>114</v>
      </c>
    </row>
    <row r="20" spans="1:13" ht="15.75" customHeight="1">
      <c r="A20" s="5">
        <v>10701</v>
      </c>
      <c r="B20" s="4" t="s">
        <v>1</v>
      </c>
      <c r="C20" s="37" t="s">
        <v>15</v>
      </c>
      <c r="D20" s="39">
        <v>662</v>
      </c>
      <c r="E20" s="39">
        <v>190</v>
      </c>
      <c r="F20" s="40">
        <f t="shared" si="1"/>
        <v>28.700906344410875</v>
      </c>
      <c r="G20" s="39">
        <v>440</v>
      </c>
      <c r="H20" s="39">
        <v>327</v>
      </c>
      <c r="I20" s="40">
        <f t="shared" si="2"/>
        <v>74.318181818181813</v>
      </c>
      <c r="K20" s="7" t="s">
        <v>324</v>
      </c>
      <c r="L20" s="9">
        <f>COUNTIF(F:F,"&gt;=53,9")</f>
        <v>57</v>
      </c>
    </row>
    <row r="21" spans="1:13" ht="15.75" customHeight="1">
      <c r="A21" s="5">
        <v>10702</v>
      </c>
      <c r="B21" s="4" t="s">
        <v>1</v>
      </c>
      <c r="C21" s="37" t="s">
        <v>16</v>
      </c>
      <c r="D21" s="39">
        <v>1805</v>
      </c>
      <c r="E21" s="39">
        <v>579</v>
      </c>
      <c r="F21" s="40">
        <f t="shared" si="1"/>
        <v>32.07756232686981</v>
      </c>
      <c r="G21" s="39">
        <v>1048</v>
      </c>
      <c r="H21" s="39">
        <v>751</v>
      </c>
      <c r="I21" s="40">
        <f t="shared" si="2"/>
        <v>71.660305343511453</v>
      </c>
      <c r="K21" s="10"/>
      <c r="L21" s="10"/>
    </row>
    <row r="22" spans="1:13" ht="15.75" customHeight="1">
      <c r="A22" s="5">
        <v>10703</v>
      </c>
      <c r="B22" s="4" t="s">
        <v>1</v>
      </c>
      <c r="C22" s="37" t="s">
        <v>17</v>
      </c>
      <c r="D22" s="39">
        <v>664</v>
      </c>
      <c r="E22" s="39">
        <v>154</v>
      </c>
      <c r="F22" s="40">
        <f t="shared" si="1"/>
        <v>23.192771084337348</v>
      </c>
      <c r="G22" s="39">
        <v>545</v>
      </c>
      <c r="H22" s="39">
        <v>339</v>
      </c>
      <c r="I22" s="40">
        <f t="shared" si="2"/>
        <v>62.201834862385319</v>
      </c>
      <c r="K22" s="45" t="s">
        <v>0</v>
      </c>
      <c r="L22" s="46">
        <f>SUM(L17:L20)</f>
        <v>339</v>
      </c>
    </row>
    <row r="23" spans="1:13" ht="15.75" customHeight="1">
      <c r="A23" s="5">
        <v>10704</v>
      </c>
      <c r="B23" s="4" t="s">
        <v>1</v>
      </c>
      <c r="C23" s="37" t="s">
        <v>18</v>
      </c>
      <c r="D23" s="39">
        <v>885</v>
      </c>
      <c r="E23" s="39">
        <v>224</v>
      </c>
      <c r="F23" s="40">
        <f t="shared" si="1"/>
        <v>25.310734463276834</v>
      </c>
      <c r="G23" s="39">
        <v>497</v>
      </c>
      <c r="H23" s="39">
        <v>321</v>
      </c>
      <c r="I23" s="40">
        <f t="shared" si="2"/>
        <v>64.587525150905435</v>
      </c>
    </row>
    <row r="24" spans="1:13" ht="15.75" customHeight="1">
      <c r="A24" s="5">
        <v>10801</v>
      </c>
      <c r="B24" s="4" t="s">
        <v>1</v>
      </c>
      <c r="C24" s="37" t="s">
        <v>19</v>
      </c>
      <c r="D24" s="39">
        <v>431</v>
      </c>
      <c r="E24" s="39">
        <v>185</v>
      </c>
      <c r="F24" s="40">
        <f t="shared" si="1"/>
        <v>42.923433874709978</v>
      </c>
      <c r="G24" s="39">
        <v>304</v>
      </c>
      <c r="H24" s="39">
        <v>275</v>
      </c>
      <c r="I24" s="40">
        <f t="shared" si="2"/>
        <v>90.460526315789465</v>
      </c>
    </row>
    <row r="25" spans="1:13" ht="15.75" customHeight="1">
      <c r="A25" s="5">
        <v>10901</v>
      </c>
      <c r="B25" s="4" t="s">
        <v>1</v>
      </c>
      <c r="C25" s="37" t="s">
        <v>20</v>
      </c>
      <c r="D25" s="39">
        <v>158</v>
      </c>
      <c r="E25" s="39">
        <v>72</v>
      </c>
      <c r="F25" s="40">
        <f t="shared" si="1"/>
        <v>45.569620253164558</v>
      </c>
      <c r="G25" s="39">
        <v>145</v>
      </c>
      <c r="H25" s="39">
        <v>134</v>
      </c>
      <c r="I25" s="40">
        <f t="shared" si="2"/>
        <v>92.41379310344827</v>
      </c>
      <c r="K25" s="6"/>
      <c r="L25" s="7" t="s">
        <v>301</v>
      </c>
      <c r="M25" s="7" t="s">
        <v>302</v>
      </c>
    </row>
    <row r="26" spans="1:13" ht="15.75" customHeight="1">
      <c r="A26" s="5">
        <v>10902</v>
      </c>
      <c r="B26" s="4" t="s">
        <v>1</v>
      </c>
      <c r="C26" s="37" t="s">
        <v>21</v>
      </c>
      <c r="D26" s="39">
        <v>898</v>
      </c>
      <c r="E26" s="39">
        <v>332</v>
      </c>
      <c r="F26" s="40">
        <f t="shared" si="1"/>
        <v>36.971046770601333</v>
      </c>
      <c r="G26" s="39">
        <v>531</v>
      </c>
      <c r="H26" s="39">
        <v>390</v>
      </c>
      <c r="I26" s="40">
        <f t="shared" si="2"/>
        <v>73.44632768361582</v>
      </c>
      <c r="K26" s="7" t="s">
        <v>303</v>
      </c>
      <c r="L26" s="8">
        <f>COUNTIFS(F:F,"&lt;=33,8",F:F,"&lt;&gt;0")</f>
        <v>53</v>
      </c>
      <c r="M26" s="8">
        <f>COUNTIF(I:I, "&lt;=33,8")</f>
        <v>0</v>
      </c>
    </row>
    <row r="27" spans="1:13" ht="15.75" customHeight="1">
      <c r="A27" s="5">
        <v>10903</v>
      </c>
      <c r="B27" s="4" t="s">
        <v>1</v>
      </c>
      <c r="C27" s="37" t="s">
        <v>22</v>
      </c>
      <c r="D27" s="39">
        <v>164</v>
      </c>
      <c r="E27" s="39">
        <v>81</v>
      </c>
      <c r="F27" s="40">
        <f t="shared" si="1"/>
        <v>49.390243902439025</v>
      </c>
      <c r="G27" s="39">
        <v>123</v>
      </c>
      <c r="H27" s="39">
        <v>92</v>
      </c>
      <c r="I27" s="40">
        <f t="shared" si="2"/>
        <v>74.796747967479675</v>
      </c>
      <c r="K27" s="7" t="s">
        <v>304</v>
      </c>
      <c r="L27" s="8">
        <f>COUNTIFS(F:F,"&gt;33,8",F:F,"&lt;=43,8")</f>
        <v>115</v>
      </c>
      <c r="M27" s="8">
        <f>COUNTIFS(I:I,"&gt;33,8",I:I,"&lt;=43,8")</f>
        <v>2</v>
      </c>
    </row>
    <row r="28" spans="1:13" ht="15.75" customHeight="1">
      <c r="A28" s="5">
        <v>11001</v>
      </c>
      <c r="B28" s="4" t="s">
        <v>1</v>
      </c>
      <c r="C28" s="37" t="s">
        <v>326</v>
      </c>
      <c r="D28" s="39">
        <v>405</v>
      </c>
      <c r="E28" s="39">
        <v>162</v>
      </c>
      <c r="F28" s="40">
        <f t="shared" si="1"/>
        <v>40</v>
      </c>
      <c r="G28" s="39">
        <v>500</v>
      </c>
      <c r="H28" s="39">
        <v>412</v>
      </c>
      <c r="I28" s="40">
        <f t="shared" si="2"/>
        <v>82.399999999999991</v>
      </c>
      <c r="K28" s="7" t="s">
        <v>306</v>
      </c>
      <c r="L28" s="9">
        <f>COUNTIFS(F:F,"&gt;43,8",F:F,"&lt;53,9")</f>
        <v>114</v>
      </c>
      <c r="M28" s="9">
        <f>COUNTIFS(I:I,"&gt;43,8",I:I,"&lt;53,9")</f>
        <v>11</v>
      </c>
    </row>
    <row r="29" spans="1:13" ht="15.75" customHeight="1">
      <c r="A29" s="5">
        <v>11002</v>
      </c>
      <c r="B29" s="4" t="s">
        <v>1</v>
      </c>
      <c r="C29" s="37" t="s">
        <v>327</v>
      </c>
      <c r="D29" s="39">
        <v>114</v>
      </c>
      <c r="E29" s="39">
        <v>66</v>
      </c>
      <c r="F29" s="40">
        <f t="shared" si="1"/>
        <v>57.894736842105267</v>
      </c>
      <c r="G29" s="39">
        <v>108</v>
      </c>
      <c r="H29" s="39">
        <v>99</v>
      </c>
      <c r="I29" s="40">
        <f t="shared" si="2"/>
        <v>91.666666666666657</v>
      </c>
      <c r="K29" s="7" t="s">
        <v>307</v>
      </c>
      <c r="L29" s="9">
        <f>COUNTIF(F:F,"&gt;=53,9")</f>
        <v>57</v>
      </c>
      <c r="M29" s="9">
        <f>COUNTIF(I:I,"&gt;=53,9")</f>
        <v>330</v>
      </c>
    </row>
    <row r="30" spans="1:13" ht="15.75" customHeight="1">
      <c r="A30" s="5">
        <v>11003</v>
      </c>
      <c r="B30" s="4" t="s">
        <v>1</v>
      </c>
      <c r="C30" s="37" t="s">
        <v>23</v>
      </c>
      <c r="D30" s="39">
        <v>324</v>
      </c>
      <c r="E30" s="39">
        <v>163</v>
      </c>
      <c r="F30" s="40">
        <f t="shared" si="1"/>
        <v>50.308641975308646</v>
      </c>
      <c r="G30" s="39">
        <v>235</v>
      </c>
      <c r="H30" s="39">
        <v>179</v>
      </c>
      <c r="I30" s="40">
        <f t="shared" si="2"/>
        <v>76.170212765957444</v>
      </c>
      <c r="K30" s="11" t="s">
        <v>383</v>
      </c>
      <c r="L30" s="6">
        <v>4</v>
      </c>
      <c r="M30" s="6"/>
    </row>
    <row r="31" spans="1:13" ht="15.75" customHeight="1">
      <c r="A31" s="5">
        <v>20101</v>
      </c>
      <c r="B31" s="4" t="s">
        <v>24</v>
      </c>
      <c r="C31" s="37" t="s">
        <v>25</v>
      </c>
      <c r="D31" s="39">
        <v>25230</v>
      </c>
      <c r="E31" s="39">
        <v>16123</v>
      </c>
      <c r="F31" s="40">
        <f t="shared" si="1"/>
        <v>63.904082441537859</v>
      </c>
      <c r="G31" s="39">
        <v>18137</v>
      </c>
      <c r="H31" s="39">
        <v>16534</v>
      </c>
      <c r="I31" s="40">
        <f t="shared" si="2"/>
        <v>91.161713624083362</v>
      </c>
      <c r="K31" s="7" t="s">
        <v>310</v>
      </c>
      <c r="L31" s="8">
        <f>SUM(L26:L30)</f>
        <v>343</v>
      </c>
      <c r="M31" s="9">
        <v>343</v>
      </c>
    </row>
    <row r="32" spans="1:13" ht="15.75" customHeight="1">
      <c r="A32" s="5">
        <v>20102</v>
      </c>
      <c r="B32" s="4" t="s">
        <v>24</v>
      </c>
      <c r="C32" s="37" t="s">
        <v>26</v>
      </c>
      <c r="D32" s="39">
        <v>715</v>
      </c>
      <c r="E32" s="39">
        <v>245</v>
      </c>
      <c r="F32" s="40">
        <f t="shared" si="1"/>
        <v>34.265734265734267</v>
      </c>
      <c r="G32" s="39">
        <v>786</v>
      </c>
      <c r="H32" s="39">
        <v>673</v>
      </c>
      <c r="I32" s="40">
        <f t="shared" si="2"/>
        <v>85.623409669211199</v>
      </c>
    </row>
    <row r="33" spans="1:18" ht="15.75" customHeight="1">
      <c r="A33" s="5">
        <v>20103</v>
      </c>
      <c r="B33" s="4" t="s">
        <v>24</v>
      </c>
      <c r="C33" s="37" t="s">
        <v>27</v>
      </c>
      <c r="D33" s="39">
        <v>567</v>
      </c>
      <c r="E33" s="39">
        <v>292</v>
      </c>
      <c r="F33" s="40">
        <f t="shared" si="1"/>
        <v>51.499118165784829</v>
      </c>
      <c r="G33" s="39">
        <v>644</v>
      </c>
      <c r="H33" s="39">
        <v>539</v>
      </c>
      <c r="I33" s="40">
        <f t="shared" si="2"/>
        <v>83.695652173913047</v>
      </c>
    </row>
    <row r="34" spans="1:18" ht="15.75" customHeight="1">
      <c r="A34" s="5">
        <v>20104</v>
      </c>
      <c r="B34" s="4" t="s">
        <v>24</v>
      </c>
      <c r="C34" s="37" t="s">
        <v>28</v>
      </c>
      <c r="D34" s="39">
        <v>877</v>
      </c>
      <c r="E34" s="39">
        <v>381</v>
      </c>
      <c r="F34" s="40">
        <f t="shared" si="1"/>
        <v>43.443557582668184</v>
      </c>
      <c r="G34" s="39">
        <v>1514</v>
      </c>
      <c r="H34" s="39">
        <v>1301</v>
      </c>
      <c r="I34" s="40">
        <f t="shared" si="2"/>
        <v>85.931307793923381</v>
      </c>
      <c r="K34" s="11" t="s">
        <v>314</v>
      </c>
      <c r="L34" s="11" t="s">
        <v>314</v>
      </c>
      <c r="M34" s="11" t="s">
        <v>315</v>
      </c>
      <c r="N34" s="11" t="s">
        <v>315</v>
      </c>
      <c r="O34" s="11" t="s">
        <v>316</v>
      </c>
      <c r="P34" s="11" t="s">
        <v>316</v>
      </c>
      <c r="Q34" s="11" t="s">
        <v>317</v>
      </c>
      <c r="R34" s="11" t="s">
        <v>317</v>
      </c>
    </row>
    <row r="35" spans="1:18" ht="15.75" customHeight="1">
      <c r="A35" s="5">
        <v>20105</v>
      </c>
      <c r="B35" s="4" t="s">
        <v>24</v>
      </c>
      <c r="C35" s="37" t="s">
        <v>29</v>
      </c>
      <c r="D35" s="39">
        <v>36697</v>
      </c>
      <c r="E35" s="39">
        <v>16493</v>
      </c>
      <c r="F35" s="40">
        <f t="shared" si="1"/>
        <v>44.943728370166497</v>
      </c>
      <c r="G35" s="39">
        <v>29504</v>
      </c>
      <c r="H35" s="39">
        <v>25547</v>
      </c>
      <c r="I35" s="40">
        <f t="shared" si="2"/>
        <v>86.58825921908894</v>
      </c>
      <c r="K35" s="12">
        <v>0</v>
      </c>
      <c r="L35" s="12">
        <f>L3-L4</f>
        <v>33.768031851804977</v>
      </c>
      <c r="M35" s="12">
        <f>L3-L4</f>
        <v>33.768031851804977</v>
      </c>
      <c r="N35" s="12">
        <f>L3</f>
        <v>43.832712935901299</v>
      </c>
      <c r="O35" s="12">
        <f>L3</f>
        <v>43.832712935901299</v>
      </c>
      <c r="P35" s="12">
        <f>L3+L4</f>
        <v>53.89739401999762</v>
      </c>
      <c r="Q35" s="12">
        <f>L3+L4</f>
        <v>53.89739401999762</v>
      </c>
      <c r="R35" s="11">
        <v>100</v>
      </c>
    </row>
    <row r="36" spans="1:18" ht="15.75" customHeight="1">
      <c r="A36" s="5">
        <v>20201</v>
      </c>
      <c r="B36" s="4" t="s">
        <v>24</v>
      </c>
      <c r="C36" s="37" t="s">
        <v>30</v>
      </c>
      <c r="D36" s="39">
        <v>1598</v>
      </c>
      <c r="E36" s="39">
        <v>706</v>
      </c>
      <c r="F36" s="40">
        <f t="shared" si="1"/>
        <v>44.180225281602006</v>
      </c>
      <c r="G36" s="39">
        <v>1364</v>
      </c>
      <c r="H36" s="39">
        <v>1188</v>
      </c>
      <c r="I36" s="40">
        <f t="shared" si="2"/>
        <v>87.096774193548384</v>
      </c>
    </row>
    <row r="37" spans="1:18" ht="15.75" customHeight="1">
      <c r="A37" s="5">
        <v>20202</v>
      </c>
      <c r="B37" s="4" t="s">
        <v>24</v>
      </c>
      <c r="C37" s="37" t="s">
        <v>328</v>
      </c>
      <c r="D37" s="39">
        <v>410</v>
      </c>
      <c r="E37" s="39">
        <v>154</v>
      </c>
      <c r="F37" s="40">
        <f t="shared" si="1"/>
        <v>37.560975609756099</v>
      </c>
      <c r="G37" s="39">
        <v>519</v>
      </c>
      <c r="H37" s="39">
        <v>431</v>
      </c>
      <c r="I37" s="40">
        <f t="shared" si="2"/>
        <v>83.044315992292866</v>
      </c>
    </row>
    <row r="38" spans="1:18" ht="15.75" customHeight="1">
      <c r="A38" s="5">
        <v>20203</v>
      </c>
      <c r="B38" s="4" t="s">
        <v>24</v>
      </c>
      <c r="C38" s="37" t="s">
        <v>34</v>
      </c>
      <c r="D38" s="39">
        <v>130</v>
      </c>
      <c r="E38" s="39">
        <v>52</v>
      </c>
      <c r="F38" s="40">
        <f t="shared" si="1"/>
        <v>40</v>
      </c>
      <c r="G38" s="39">
        <v>192</v>
      </c>
      <c r="H38" s="39">
        <v>168</v>
      </c>
      <c r="I38" s="40">
        <f t="shared" si="2"/>
        <v>87.5</v>
      </c>
    </row>
    <row r="39" spans="1:18" ht="15.75" customHeight="1">
      <c r="A39" s="5">
        <v>20204</v>
      </c>
      <c r="B39" s="4" t="s">
        <v>24</v>
      </c>
      <c r="C39" s="37" t="s">
        <v>31</v>
      </c>
      <c r="D39" s="39">
        <v>232</v>
      </c>
      <c r="E39" s="39">
        <v>92</v>
      </c>
      <c r="F39" s="40">
        <f t="shared" si="1"/>
        <v>39.655172413793103</v>
      </c>
      <c r="G39" s="39">
        <v>245</v>
      </c>
      <c r="H39" s="39">
        <v>201</v>
      </c>
      <c r="I39" s="40">
        <f t="shared" si="2"/>
        <v>82.040816326530603</v>
      </c>
    </row>
    <row r="40" spans="1:18" ht="15.75" customHeight="1">
      <c r="A40" s="5">
        <v>20205</v>
      </c>
      <c r="B40" s="4" t="s">
        <v>24</v>
      </c>
      <c r="C40" s="37" t="s">
        <v>32</v>
      </c>
      <c r="D40" s="39">
        <v>266</v>
      </c>
      <c r="E40" s="39">
        <v>142</v>
      </c>
      <c r="F40" s="40">
        <f t="shared" si="1"/>
        <v>53.383458646616546</v>
      </c>
      <c r="G40" s="39">
        <v>224</v>
      </c>
      <c r="H40" s="39">
        <v>183</v>
      </c>
      <c r="I40" s="40">
        <f t="shared" si="2"/>
        <v>81.696428571428569</v>
      </c>
    </row>
    <row r="41" spans="1:18" ht="15.75" customHeight="1">
      <c r="A41" s="5">
        <v>20206</v>
      </c>
      <c r="B41" s="4" t="s">
        <v>24</v>
      </c>
      <c r="C41" s="37" t="s">
        <v>33</v>
      </c>
      <c r="D41" s="39">
        <v>157</v>
      </c>
      <c r="E41" s="39">
        <v>64</v>
      </c>
      <c r="F41" s="40">
        <f t="shared" si="1"/>
        <v>40.764331210191088</v>
      </c>
      <c r="G41" s="39">
        <v>125</v>
      </c>
      <c r="H41" s="39">
        <v>105</v>
      </c>
      <c r="I41" s="40">
        <f t="shared" si="2"/>
        <v>84</v>
      </c>
    </row>
    <row r="42" spans="1:18" ht="15.75" customHeight="1">
      <c r="A42" s="5">
        <v>20301</v>
      </c>
      <c r="B42" s="4" t="s">
        <v>24</v>
      </c>
      <c r="C42" s="37" t="s">
        <v>329</v>
      </c>
      <c r="D42" s="39">
        <v>358</v>
      </c>
      <c r="E42" s="39">
        <v>137</v>
      </c>
      <c r="F42" s="40">
        <f t="shared" si="1"/>
        <v>38.268156424581008</v>
      </c>
      <c r="G42" s="39">
        <v>427</v>
      </c>
      <c r="H42" s="39">
        <v>338</v>
      </c>
      <c r="I42" s="40">
        <f t="shared" si="2"/>
        <v>79.156908665105391</v>
      </c>
    </row>
    <row r="43" spans="1:18" ht="15.75" customHeight="1">
      <c r="A43" s="5">
        <v>20302</v>
      </c>
      <c r="B43" s="4" t="s">
        <v>24</v>
      </c>
      <c r="C43" s="37" t="s">
        <v>35</v>
      </c>
      <c r="D43" s="39">
        <v>493</v>
      </c>
      <c r="E43" s="39">
        <v>204</v>
      </c>
      <c r="F43" s="40">
        <f t="shared" si="1"/>
        <v>41.379310344827587</v>
      </c>
      <c r="G43" s="39">
        <v>500</v>
      </c>
      <c r="H43" s="39">
        <v>410</v>
      </c>
      <c r="I43" s="40">
        <f t="shared" si="2"/>
        <v>82</v>
      </c>
    </row>
    <row r="44" spans="1:18" ht="15.75" customHeight="1">
      <c r="A44" s="5">
        <v>20303</v>
      </c>
      <c r="B44" s="4" t="s">
        <v>24</v>
      </c>
      <c r="C44" s="37" t="s">
        <v>36</v>
      </c>
      <c r="D44" s="39">
        <v>332</v>
      </c>
      <c r="E44" s="39">
        <v>138</v>
      </c>
      <c r="F44" s="40">
        <f t="shared" si="1"/>
        <v>41.566265060240966</v>
      </c>
      <c r="G44" s="39">
        <v>343</v>
      </c>
      <c r="H44" s="39">
        <v>288</v>
      </c>
      <c r="I44" s="40">
        <f t="shared" si="2"/>
        <v>83.965014577259481</v>
      </c>
    </row>
    <row r="45" spans="1:18" ht="15.75" customHeight="1">
      <c r="A45" s="5">
        <v>20304</v>
      </c>
      <c r="B45" s="4" t="s">
        <v>24</v>
      </c>
      <c r="C45" s="37" t="s">
        <v>37</v>
      </c>
      <c r="D45" s="39">
        <v>121</v>
      </c>
      <c r="E45" s="39">
        <v>54</v>
      </c>
      <c r="F45" s="40">
        <f t="shared" si="1"/>
        <v>44.628099173553721</v>
      </c>
      <c r="G45" s="39">
        <v>166</v>
      </c>
      <c r="H45" s="39">
        <v>136</v>
      </c>
      <c r="I45" s="40">
        <f t="shared" si="2"/>
        <v>81.92771084337349</v>
      </c>
    </row>
    <row r="46" spans="1:18" ht="15.75" customHeight="1">
      <c r="A46" s="5">
        <v>20305</v>
      </c>
      <c r="B46" s="4" t="s">
        <v>24</v>
      </c>
      <c r="C46" s="37" t="s">
        <v>38</v>
      </c>
      <c r="D46" s="39">
        <v>117</v>
      </c>
      <c r="E46" s="39">
        <v>42</v>
      </c>
      <c r="F46" s="40">
        <f t="shared" si="1"/>
        <v>35.897435897435898</v>
      </c>
      <c r="G46" s="39">
        <v>113</v>
      </c>
      <c r="H46" s="39">
        <v>93</v>
      </c>
      <c r="I46" s="40">
        <f t="shared" si="2"/>
        <v>82.30088495575221</v>
      </c>
    </row>
    <row r="47" spans="1:18" ht="15.75" customHeight="1">
      <c r="A47" s="5">
        <v>20306</v>
      </c>
      <c r="B47" s="4" t="s">
        <v>24</v>
      </c>
      <c r="C47" s="37" t="s">
        <v>330</v>
      </c>
      <c r="D47" s="39">
        <v>204</v>
      </c>
      <c r="E47" s="39">
        <v>94</v>
      </c>
      <c r="F47" s="40">
        <f t="shared" si="1"/>
        <v>46.078431372549019</v>
      </c>
      <c r="G47" s="39">
        <v>180</v>
      </c>
      <c r="H47" s="39">
        <v>122</v>
      </c>
      <c r="I47" s="40">
        <f t="shared" si="2"/>
        <v>67.777777777777786</v>
      </c>
    </row>
    <row r="48" spans="1:18" ht="15.75" customHeight="1">
      <c r="A48" s="5">
        <v>20307</v>
      </c>
      <c r="B48" s="4" t="s">
        <v>24</v>
      </c>
      <c r="C48" s="37" t="s">
        <v>39</v>
      </c>
      <c r="D48" s="39">
        <v>16</v>
      </c>
      <c r="E48" s="39">
        <v>4</v>
      </c>
      <c r="F48" s="40">
        <f t="shared" si="1"/>
        <v>25</v>
      </c>
      <c r="G48" s="39">
        <v>128</v>
      </c>
      <c r="H48" s="39">
        <v>113</v>
      </c>
      <c r="I48" s="40">
        <f t="shared" si="2"/>
        <v>88.28125</v>
      </c>
    </row>
    <row r="49" spans="1:9" ht="15.75" customHeight="1">
      <c r="A49" s="5">
        <v>20308</v>
      </c>
      <c r="B49" s="4" t="s">
        <v>24</v>
      </c>
      <c r="C49" s="37" t="s">
        <v>40</v>
      </c>
      <c r="D49" s="39">
        <v>237</v>
      </c>
      <c r="E49" s="39">
        <v>85</v>
      </c>
      <c r="F49" s="40">
        <f t="shared" si="1"/>
        <v>35.864978902953588</v>
      </c>
      <c r="G49" s="39">
        <v>217</v>
      </c>
      <c r="H49" s="39">
        <v>173</v>
      </c>
      <c r="I49" s="40">
        <f t="shared" si="2"/>
        <v>79.723502304147459</v>
      </c>
    </row>
    <row r="50" spans="1:9" ht="15.75" customHeight="1">
      <c r="A50" s="5">
        <v>20401</v>
      </c>
      <c r="B50" s="4" t="s">
        <v>24</v>
      </c>
      <c r="C50" s="37" t="s">
        <v>41</v>
      </c>
      <c r="D50" s="39">
        <v>386</v>
      </c>
      <c r="E50" s="39">
        <v>144</v>
      </c>
      <c r="F50" s="40">
        <f t="shared" si="1"/>
        <v>37.305699481865283</v>
      </c>
      <c r="G50" s="39">
        <v>365</v>
      </c>
      <c r="H50" s="39">
        <v>298</v>
      </c>
      <c r="I50" s="40">
        <f t="shared" si="2"/>
        <v>81.643835616438352</v>
      </c>
    </row>
    <row r="51" spans="1:9" ht="15.75" customHeight="1">
      <c r="A51" s="5">
        <v>20402</v>
      </c>
      <c r="B51" s="4" t="s">
        <v>24</v>
      </c>
      <c r="C51" s="37" t="s">
        <v>42</v>
      </c>
      <c r="D51" s="39">
        <v>584</v>
      </c>
      <c r="E51" s="39">
        <v>191</v>
      </c>
      <c r="F51" s="40">
        <f t="shared" si="1"/>
        <v>32.705479452054789</v>
      </c>
      <c r="G51" s="39">
        <v>519</v>
      </c>
      <c r="H51" s="39">
        <v>404</v>
      </c>
      <c r="I51" s="40">
        <f t="shared" si="2"/>
        <v>77.842003853564549</v>
      </c>
    </row>
    <row r="52" spans="1:9" ht="15.75" customHeight="1">
      <c r="A52" s="5">
        <v>20403</v>
      </c>
      <c r="B52" s="4" t="s">
        <v>24</v>
      </c>
      <c r="C52" s="37" t="s">
        <v>43</v>
      </c>
      <c r="D52" s="39">
        <v>495</v>
      </c>
      <c r="E52" s="39">
        <v>213</v>
      </c>
      <c r="F52" s="40">
        <f t="shared" si="1"/>
        <v>43.030303030303031</v>
      </c>
      <c r="G52" s="39">
        <v>450</v>
      </c>
      <c r="H52" s="39">
        <v>357</v>
      </c>
      <c r="I52" s="40">
        <f t="shared" si="2"/>
        <v>79.333333333333329</v>
      </c>
    </row>
    <row r="53" spans="1:9" ht="15.75" customHeight="1">
      <c r="A53" s="5">
        <v>20404</v>
      </c>
      <c r="B53" s="4" t="s">
        <v>24</v>
      </c>
      <c r="C53" s="37" t="s">
        <v>44</v>
      </c>
      <c r="D53" s="39">
        <v>184</v>
      </c>
      <c r="E53" s="39">
        <v>42</v>
      </c>
      <c r="F53" s="40">
        <f t="shared" si="1"/>
        <v>22.826086956521738</v>
      </c>
      <c r="G53" s="39">
        <v>166</v>
      </c>
      <c r="H53" s="39">
        <v>116</v>
      </c>
      <c r="I53" s="40">
        <f t="shared" si="2"/>
        <v>69.879518072289159</v>
      </c>
    </row>
    <row r="54" spans="1:9" ht="15.75" customHeight="1">
      <c r="A54" s="5">
        <v>20405</v>
      </c>
      <c r="B54" s="4" t="s">
        <v>24</v>
      </c>
      <c r="C54" s="37" t="s">
        <v>45</v>
      </c>
      <c r="D54" s="39">
        <v>198</v>
      </c>
      <c r="E54" s="39">
        <v>107</v>
      </c>
      <c r="F54" s="40">
        <f t="shared" si="1"/>
        <v>54.040404040404042</v>
      </c>
      <c r="G54" s="39">
        <v>214</v>
      </c>
      <c r="H54" s="39">
        <v>170</v>
      </c>
      <c r="I54" s="40">
        <f t="shared" si="2"/>
        <v>79.43925233644859</v>
      </c>
    </row>
    <row r="55" spans="1:9" ht="15.75" customHeight="1">
      <c r="A55" s="5">
        <v>20501</v>
      </c>
      <c r="B55" s="4" t="s">
        <v>24</v>
      </c>
      <c r="C55" s="37" t="s">
        <v>46</v>
      </c>
      <c r="D55" s="39">
        <v>420</v>
      </c>
      <c r="E55" s="39">
        <v>164</v>
      </c>
      <c r="F55" s="40">
        <f t="shared" si="1"/>
        <v>39.047619047619051</v>
      </c>
      <c r="G55" s="39">
        <v>618</v>
      </c>
      <c r="H55" s="39">
        <v>393</v>
      </c>
      <c r="I55" s="40">
        <f t="shared" si="2"/>
        <v>63.592233009708742</v>
      </c>
    </row>
    <row r="56" spans="1:9" ht="15.75" customHeight="1">
      <c r="A56" s="5">
        <v>20502</v>
      </c>
      <c r="B56" s="4" t="s">
        <v>24</v>
      </c>
      <c r="C56" s="37" t="s">
        <v>47</v>
      </c>
      <c r="D56" s="39">
        <v>327</v>
      </c>
      <c r="E56" s="39">
        <v>103</v>
      </c>
      <c r="F56" s="40">
        <f t="shared" si="1"/>
        <v>31.49847094801223</v>
      </c>
      <c r="G56" s="39">
        <v>272</v>
      </c>
      <c r="H56" s="39">
        <v>205</v>
      </c>
      <c r="I56" s="40">
        <f t="shared" si="2"/>
        <v>75.367647058823522</v>
      </c>
    </row>
    <row r="57" spans="1:9" ht="15.75" customHeight="1">
      <c r="A57" s="5">
        <v>20503</v>
      </c>
      <c r="B57" s="4" t="s">
        <v>24</v>
      </c>
      <c r="C57" s="37" t="s">
        <v>48</v>
      </c>
      <c r="D57" s="39">
        <v>222</v>
      </c>
      <c r="E57" s="39">
        <v>47</v>
      </c>
      <c r="F57" s="40">
        <f t="shared" si="1"/>
        <v>21.171171171171171</v>
      </c>
      <c r="G57" s="39">
        <v>221</v>
      </c>
      <c r="H57" s="39">
        <v>169</v>
      </c>
      <c r="I57" s="40">
        <f t="shared" si="2"/>
        <v>76.470588235294116</v>
      </c>
    </row>
    <row r="58" spans="1:9" ht="15.75" customHeight="1">
      <c r="A58" s="5">
        <v>20601</v>
      </c>
      <c r="B58" s="4" t="s">
        <v>24</v>
      </c>
      <c r="C58" s="37" t="s">
        <v>49</v>
      </c>
      <c r="D58" s="39">
        <v>854</v>
      </c>
      <c r="E58" s="39">
        <v>277</v>
      </c>
      <c r="F58" s="40">
        <f t="shared" si="1"/>
        <v>32.435597189695557</v>
      </c>
      <c r="G58" s="39">
        <v>1030</v>
      </c>
      <c r="H58" s="39">
        <v>852</v>
      </c>
      <c r="I58" s="40">
        <f t="shared" si="2"/>
        <v>82.71844660194175</v>
      </c>
    </row>
    <row r="59" spans="1:9" ht="15.75" customHeight="1">
      <c r="A59" s="5">
        <v>20602</v>
      </c>
      <c r="B59" s="4" t="s">
        <v>24</v>
      </c>
      <c r="C59" s="37" t="s">
        <v>50</v>
      </c>
      <c r="D59" s="39">
        <v>619</v>
      </c>
      <c r="E59" s="39">
        <v>200</v>
      </c>
      <c r="F59" s="40">
        <f t="shared" si="1"/>
        <v>32.310177705977381</v>
      </c>
      <c r="G59" s="39">
        <v>608</v>
      </c>
      <c r="H59" s="39">
        <v>484</v>
      </c>
      <c r="I59" s="40">
        <f t="shared" si="2"/>
        <v>79.60526315789474</v>
      </c>
    </row>
    <row r="60" spans="1:9" ht="15.75" customHeight="1">
      <c r="A60" s="5">
        <v>20603</v>
      </c>
      <c r="B60" s="4" t="s">
        <v>24</v>
      </c>
      <c r="C60" s="37" t="s">
        <v>51</v>
      </c>
      <c r="D60" s="39">
        <v>352</v>
      </c>
      <c r="E60" s="39">
        <v>133</v>
      </c>
      <c r="F60" s="40">
        <f t="shared" si="1"/>
        <v>37.784090909090914</v>
      </c>
      <c r="G60" s="39">
        <v>350</v>
      </c>
      <c r="H60" s="39">
        <v>289</v>
      </c>
      <c r="I60" s="40">
        <f t="shared" si="2"/>
        <v>82.571428571428569</v>
      </c>
    </row>
    <row r="61" spans="1:9" ht="15.75" customHeight="1">
      <c r="A61" s="5">
        <v>20604</v>
      </c>
      <c r="B61" s="4" t="s">
        <v>24</v>
      </c>
      <c r="C61" s="37" t="s">
        <v>52</v>
      </c>
      <c r="D61" s="39">
        <v>115</v>
      </c>
      <c r="E61" s="39">
        <v>41</v>
      </c>
      <c r="F61" s="40">
        <f t="shared" si="1"/>
        <v>35.652173913043477</v>
      </c>
      <c r="G61" s="39">
        <v>169</v>
      </c>
      <c r="H61" s="39">
        <v>127</v>
      </c>
      <c r="I61" s="40">
        <f t="shared" si="2"/>
        <v>75.147928994082832</v>
      </c>
    </row>
    <row r="62" spans="1:9" ht="15.75" customHeight="1">
      <c r="A62" s="5">
        <v>20605</v>
      </c>
      <c r="B62" s="4" t="s">
        <v>24</v>
      </c>
      <c r="C62" s="37" t="s">
        <v>53</v>
      </c>
      <c r="D62" s="39">
        <v>86</v>
      </c>
      <c r="E62" s="39">
        <v>31</v>
      </c>
      <c r="F62" s="40">
        <f t="shared" si="1"/>
        <v>36.046511627906973</v>
      </c>
      <c r="G62" s="39">
        <v>101</v>
      </c>
      <c r="H62" s="39">
        <v>80</v>
      </c>
      <c r="I62" s="40">
        <f t="shared" si="2"/>
        <v>79.207920792079207</v>
      </c>
    </row>
    <row r="63" spans="1:9" ht="15.75" customHeight="1">
      <c r="A63" s="5">
        <v>20606</v>
      </c>
      <c r="B63" s="4" t="s">
        <v>24</v>
      </c>
      <c r="C63" s="37" t="s">
        <v>54</v>
      </c>
      <c r="D63" s="39">
        <v>446</v>
      </c>
      <c r="E63" s="39">
        <v>220</v>
      </c>
      <c r="F63" s="40">
        <f t="shared" si="1"/>
        <v>49.327354260089685</v>
      </c>
      <c r="G63" s="39">
        <v>276</v>
      </c>
      <c r="H63" s="39">
        <v>229</v>
      </c>
      <c r="I63" s="40">
        <f t="shared" si="2"/>
        <v>82.971014492753625</v>
      </c>
    </row>
    <row r="64" spans="1:9" ht="15.75" customHeight="1">
      <c r="A64" s="5">
        <v>20607</v>
      </c>
      <c r="B64" s="4" t="s">
        <v>24</v>
      </c>
      <c r="C64" s="37" t="s">
        <v>55</v>
      </c>
      <c r="D64" s="39">
        <v>653</v>
      </c>
      <c r="E64" s="39">
        <v>279</v>
      </c>
      <c r="F64" s="40">
        <f t="shared" si="1"/>
        <v>42.725880551301685</v>
      </c>
      <c r="G64" s="39">
        <v>864</v>
      </c>
      <c r="H64" s="39">
        <v>666</v>
      </c>
      <c r="I64" s="40">
        <f t="shared" si="2"/>
        <v>77.083333333333343</v>
      </c>
    </row>
    <row r="65" spans="1:9" ht="15.75" customHeight="1">
      <c r="A65" s="5">
        <v>20608</v>
      </c>
      <c r="B65" s="4" t="s">
        <v>24</v>
      </c>
      <c r="C65" s="37" t="s">
        <v>56</v>
      </c>
      <c r="D65" s="39">
        <v>412</v>
      </c>
      <c r="E65" s="39">
        <v>149</v>
      </c>
      <c r="F65" s="40">
        <f t="shared" si="1"/>
        <v>36.165048543689323</v>
      </c>
      <c r="G65" s="39">
        <v>505</v>
      </c>
      <c r="H65" s="39">
        <v>364</v>
      </c>
      <c r="I65" s="40">
        <f t="shared" si="2"/>
        <v>72.079207920792072</v>
      </c>
    </row>
    <row r="66" spans="1:9" ht="15.75" customHeight="1">
      <c r="A66" s="5">
        <v>20701</v>
      </c>
      <c r="B66" s="4" t="s">
        <v>24</v>
      </c>
      <c r="C66" s="37" t="s">
        <v>57</v>
      </c>
      <c r="D66" s="39">
        <v>974</v>
      </c>
      <c r="E66" s="39">
        <v>337</v>
      </c>
      <c r="F66" s="40">
        <f t="shared" si="1"/>
        <v>34.599589322381931</v>
      </c>
      <c r="G66" s="39">
        <v>805</v>
      </c>
      <c r="H66" s="39">
        <v>509</v>
      </c>
      <c r="I66" s="40">
        <f t="shared" si="2"/>
        <v>63.229813664596271</v>
      </c>
    </row>
    <row r="67" spans="1:9" ht="15.75" customHeight="1">
      <c r="A67" s="5">
        <v>20702</v>
      </c>
      <c r="B67" s="4" t="s">
        <v>24</v>
      </c>
      <c r="C67" s="37" t="s">
        <v>58</v>
      </c>
      <c r="D67" s="39">
        <v>292</v>
      </c>
      <c r="E67" s="39">
        <v>75</v>
      </c>
      <c r="F67" s="40">
        <f t="shared" ref="F67:F130" si="4">E67/D67*100</f>
        <v>25.684931506849317</v>
      </c>
      <c r="G67" s="39">
        <v>326</v>
      </c>
      <c r="H67" s="39">
        <v>244</v>
      </c>
      <c r="I67" s="40">
        <f t="shared" ref="I67:I130" si="5">H67/G67*100</f>
        <v>74.846625766871171</v>
      </c>
    </row>
    <row r="68" spans="1:9" ht="15.75" customHeight="1">
      <c r="A68" s="5">
        <v>20801</v>
      </c>
      <c r="B68" s="4" t="s">
        <v>24</v>
      </c>
      <c r="C68" s="37" t="s">
        <v>60</v>
      </c>
      <c r="D68" s="39">
        <v>3232</v>
      </c>
      <c r="E68" s="39">
        <v>1415</v>
      </c>
      <c r="F68" s="40">
        <f t="shared" si="4"/>
        <v>43.780940594059402</v>
      </c>
      <c r="G68" s="39">
        <v>3691</v>
      </c>
      <c r="H68" s="39">
        <v>2923</v>
      </c>
      <c r="I68" s="40">
        <f t="shared" si="5"/>
        <v>79.1926307233812</v>
      </c>
    </row>
    <row r="69" spans="1:9" ht="15.75" customHeight="1">
      <c r="A69" s="5">
        <v>20802</v>
      </c>
      <c r="B69" s="4" t="s">
        <v>24</v>
      </c>
      <c r="C69" s="37" t="s">
        <v>331</v>
      </c>
      <c r="D69" s="39">
        <v>217</v>
      </c>
      <c r="E69" s="39">
        <v>100</v>
      </c>
      <c r="F69" s="40">
        <f t="shared" si="4"/>
        <v>46.082949308755758</v>
      </c>
      <c r="G69" s="39">
        <v>207</v>
      </c>
      <c r="H69" s="39">
        <v>179</v>
      </c>
      <c r="I69" s="40">
        <f t="shared" si="5"/>
        <v>86.473429951690818</v>
      </c>
    </row>
    <row r="70" spans="1:9" ht="15.75" customHeight="1">
      <c r="A70" s="5">
        <v>20803</v>
      </c>
      <c r="B70" s="4" t="s">
        <v>24</v>
      </c>
      <c r="C70" s="37" t="s">
        <v>61</v>
      </c>
      <c r="D70" s="39">
        <v>344</v>
      </c>
      <c r="E70" s="39">
        <v>131</v>
      </c>
      <c r="F70" s="40">
        <f t="shared" si="4"/>
        <v>38.081395348837212</v>
      </c>
      <c r="G70" s="39">
        <v>425</v>
      </c>
      <c r="H70" s="39">
        <v>329</v>
      </c>
      <c r="I70" s="40">
        <f t="shared" si="5"/>
        <v>77.411764705882362</v>
      </c>
    </row>
    <row r="71" spans="1:9" ht="15.75" customHeight="1">
      <c r="A71" s="5">
        <v>20804</v>
      </c>
      <c r="B71" s="4" t="s">
        <v>24</v>
      </c>
      <c r="C71" s="37" t="s">
        <v>62</v>
      </c>
      <c r="D71" s="39">
        <v>296</v>
      </c>
      <c r="E71" s="39">
        <v>139</v>
      </c>
      <c r="F71" s="40">
        <f t="shared" si="4"/>
        <v>46.95945945945946</v>
      </c>
      <c r="G71" s="39">
        <v>222</v>
      </c>
      <c r="H71" s="39">
        <v>196</v>
      </c>
      <c r="I71" s="40">
        <f t="shared" si="5"/>
        <v>88.288288288288285</v>
      </c>
    </row>
    <row r="72" spans="1:9" ht="15.75" customHeight="1">
      <c r="A72" s="5">
        <v>20805</v>
      </c>
      <c r="B72" s="4" t="s">
        <v>24</v>
      </c>
      <c r="C72" s="37" t="s">
        <v>332</v>
      </c>
      <c r="D72" s="39">
        <v>167</v>
      </c>
      <c r="E72" s="39">
        <v>47</v>
      </c>
      <c r="F72" s="40">
        <f t="shared" si="4"/>
        <v>28.143712574850298</v>
      </c>
      <c r="G72" s="39">
        <v>245</v>
      </c>
      <c r="H72" s="39">
        <v>219</v>
      </c>
      <c r="I72" s="40">
        <f t="shared" si="5"/>
        <v>89.387755102040813</v>
      </c>
    </row>
    <row r="73" spans="1:9" ht="15.75" customHeight="1">
      <c r="A73" s="5">
        <v>20806</v>
      </c>
      <c r="B73" s="4" t="s">
        <v>24</v>
      </c>
      <c r="C73" s="37" t="s">
        <v>333</v>
      </c>
      <c r="D73" s="39">
        <v>500</v>
      </c>
      <c r="E73" s="39">
        <v>232</v>
      </c>
      <c r="F73" s="40">
        <f t="shared" si="4"/>
        <v>46.400000000000006</v>
      </c>
      <c r="G73" s="39">
        <v>515</v>
      </c>
      <c r="H73" s="39">
        <v>441</v>
      </c>
      <c r="I73" s="40">
        <f t="shared" si="5"/>
        <v>85.631067961165058</v>
      </c>
    </row>
    <row r="74" spans="1:9" ht="15.75" customHeight="1">
      <c r="A74" s="5">
        <v>20807</v>
      </c>
      <c r="B74" s="4" t="s">
        <v>24</v>
      </c>
      <c r="C74" s="37" t="s">
        <v>63</v>
      </c>
      <c r="D74" s="39">
        <v>171</v>
      </c>
      <c r="E74" s="39">
        <v>70</v>
      </c>
      <c r="F74" s="40">
        <f t="shared" si="4"/>
        <v>40.935672514619881</v>
      </c>
      <c r="G74" s="39">
        <v>225</v>
      </c>
      <c r="H74" s="39">
        <v>189</v>
      </c>
      <c r="I74" s="40">
        <f t="shared" si="5"/>
        <v>84</v>
      </c>
    </row>
    <row r="75" spans="1:9" ht="15.75" customHeight="1">
      <c r="A75" s="5">
        <v>20901</v>
      </c>
      <c r="B75" s="4" t="s">
        <v>24</v>
      </c>
      <c r="C75" s="37" t="s">
        <v>64</v>
      </c>
      <c r="D75" s="39">
        <v>340</v>
      </c>
      <c r="E75" s="39">
        <v>156</v>
      </c>
      <c r="F75" s="40">
        <f t="shared" si="4"/>
        <v>45.882352941176471</v>
      </c>
      <c r="G75" s="39">
        <v>307</v>
      </c>
      <c r="H75" s="39">
        <v>252</v>
      </c>
      <c r="I75" s="40">
        <f t="shared" si="5"/>
        <v>82.084690553745929</v>
      </c>
    </row>
    <row r="76" spans="1:9" ht="15.75" customHeight="1">
      <c r="A76" s="5">
        <v>20902</v>
      </c>
      <c r="B76" s="4" t="s">
        <v>24</v>
      </c>
      <c r="C76" s="37" t="s">
        <v>65</v>
      </c>
      <c r="D76" s="39">
        <v>432</v>
      </c>
      <c r="E76" s="39">
        <v>169</v>
      </c>
      <c r="F76" s="40">
        <f t="shared" si="4"/>
        <v>39.120370370370374</v>
      </c>
      <c r="G76" s="39">
        <v>498</v>
      </c>
      <c r="H76" s="39">
        <v>417</v>
      </c>
      <c r="I76" s="40">
        <f t="shared" si="5"/>
        <v>83.734939759036138</v>
      </c>
    </row>
    <row r="77" spans="1:9" ht="15.75" customHeight="1">
      <c r="A77" s="5">
        <v>20903</v>
      </c>
      <c r="B77" s="4" t="s">
        <v>24</v>
      </c>
      <c r="C77" s="37" t="s">
        <v>66</v>
      </c>
      <c r="D77" s="39">
        <v>278</v>
      </c>
      <c r="E77" s="39">
        <v>94</v>
      </c>
      <c r="F77" s="40">
        <f t="shared" si="4"/>
        <v>33.812949640287769</v>
      </c>
      <c r="G77" s="39">
        <v>411</v>
      </c>
      <c r="H77" s="39">
        <v>291</v>
      </c>
      <c r="I77" s="40">
        <f t="shared" si="5"/>
        <v>70.802919708029194</v>
      </c>
    </row>
    <row r="78" spans="1:9" ht="15.75" customHeight="1">
      <c r="A78" s="5">
        <v>20904</v>
      </c>
      <c r="B78" s="4" t="s">
        <v>24</v>
      </c>
      <c r="C78" s="37" t="s">
        <v>67</v>
      </c>
      <c r="D78" s="39">
        <v>222</v>
      </c>
      <c r="E78" s="39">
        <v>77</v>
      </c>
      <c r="F78" s="40">
        <f t="shared" si="4"/>
        <v>34.684684684684683</v>
      </c>
      <c r="G78" s="39">
        <v>240</v>
      </c>
      <c r="H78" s="39">
        <v>153</v>
      </c>
      <c r="I78" s="40">
        <f t="shared" si="5"/>
        <v>63.749999999999993</v>
      </c>
    </row>
    <row r="79" spans="1:9" ht="15.75" customHeight="1">
      <c r="A79" s="5">
        <v>20905</v>
      </c>
      <c r="B79" s="4" t="s">
        <v>24</v>
      </c>
      <c r="C79" s="37" t="s">
        <v>68</v>
      </c>
      <c r="D79" s="39">
        <v>477</v>
      </c>
      <c r="E79" s="39">
        <v>189</v>
      </c>
      <c r="F79" s="40">
        <f t="shared" si="4"/>
        <v>39.622641509433961</v>
      </c>
      <c r="G79" s="39">
        <v>489</v>
      </c>
      <c r="H79" s="39">
        <v>389</v>
      </c>
      <c r="I79" s="40">
        <f t="shared" si="5"/>
        <v>79.550102249488759</v>
      </c>
    </row>
    <row r="80" spans="1:9" ht="15.75" customHeight="1">
      <c r="A80" s="5">
        <v>21001</v>
      </c>
      <c r="B80" s="4" t="s">
        <v>24</v>
      </c>
      <c r="C80" s="37" t="s">
        <v>69</v>
      </c>
      <c r="D80" s="39">
        <v>633</v>
      </c>
      <c r="E80" s="39">
        <v>193</v>
      </c>
      <c r="F80" s="40">
        <f t="shared" si="4"/>
        <v>30.489731437598738</v>
      </c>
      <c r="G80" s="39">
        <v>665</v>
      </c>
      <c r="H80" s="39">
        <v>519</v>
      </c>
      <c r="I80" s="40">
        <f t="shared" si="5"/>
        <v>78.045112781954884</v>
      </c>
    </row>
    <row r="81" spans="1:9" ht="15.75" customHeight="1">
      <c r="A81" s="5">
        <v>21002</v>
      </c>
      <c r="B81" s="4" t="s">
        <v>24</v>
      </c>
      <c r="C81" s="37" t="s">
        <v>70</v>
      </c>
      <c r="D81" s="39">
        <v>301</v>
      </c>
      <c r="E81" s="39">
        <v>97</v>
      </c>
      <c r="F81" s="40">
        <f t="shared" si="4"/>
        <v>32.225913621262457</v>
      </c>
      <c r="G81" s="39">
        <v>393</v>
      </c>
      <c r="H81" s="39">
        <v>299</v>
      </c>
      <c r="I81" s="40">
        <f t="shared" si="5"/>
        <v>76.081424936386767</v>
      </c>
    </row>
    <row r="82" spans="1:9" ht="15.75" customHeight="1">
      <c r="A82" s="5">
        <v>21003</v>
      </c>
      <c r="B82" s="4" t="s">
        <v>24</v>
      </c>
      <c r="C82" s="37" t="s">
        <v>71</v>
      </c>
      <c r="D82" s="39">
        <v>469</v>
      </c>
      <c r="E82" s="39">
        <v>148</v>
      </c>
      <c r="F82" s="40">
        <f t="shared" si="4"/>
        <v>31.556503198294244</v>
      </c>
      <c r="G82" s="39">
        <v>629</v>
      </c>
      <c r="H82" s="39">
        <v>437</v>
      </c>
      <c r="I82" s="40">
        <f t="shared" si="5"/>
        <v>69.475357710651835</v>
      </c>
    </row>
    <row r="83" spans="1:9" ht="15.75" customHeight="1">
      <c r="A83" s="5">
        <v>21004</v>
      </c>
      <c r="B83" s="4" t="s">
        <v>24</v>
      </c>
      <c r="C83" s="37" t="s">
        <v>72</v>
      </c>
      <c r="D83" s="39">
        <v>925</v>
      </c>
      <c r="E83" s="39">
        <v>277</v>
      </c>
      <c r="F83" s="40">
        <f t="shared" si="4"/>
        <v>29.945945945945944</v>
      </c>
      <c r="G83" s="39">
        <v>911</v>
      </c>
      <c r="H83" s="39">
        <v>739</v>
      </c>
      <c r="I83" s="40">
        <f t="shared" si="5"/>
        <v>81.119648737650934</v>
      </c>
    </row>
    <row r="84" spans="1:9" ht="15.75" customHeight="1">
      <c r="A84" s="5">
        <v>21005</v>
      </c>
      <c r="B84" s="4" t="s">
        <v>24</v>
      </c>
      <c r="C84" s="37" t="s">
        <v>73</v>
      </c>
      <c r="D84" s="39">
        <v>345</v>
      </c>
      <c r="E84" s="39">
        <v>103</v>
      </c>
      <c r="F84" s="40">
        <f t="shared" si="4"/>
        <v>29.855072463768117</v>
      </c>
      <c r="G84" s="39">
        <v>351</v>
      </c>
      <c r="H84" s="39">
        <v>225</v>
      </c>
      <c r="I84" s="40">
        <f t="shared" si="5"/>
        <v>64.102564102564102</v>
      </c>
    </row>
    <row r="85" spans="1:9" ht="15.75" customHeight="1">
      <c r="A85" s="5">
        <v>21006</v>
      </c>
      <c r="B85" s="4" t="s">
        <v>24</v>
      </c>
      <c r="C85" s="37" t="s">
        <v>74</v>
      </c>
      <c r="D85" s="39">
        <v>143</v>
      </c>
      <c r="E85" s="39">
        <v>62</v>
      </c>
      <c r="F85" s="40">
        <f t="shared" si="4"/>
        <v>43.356643356643353</v>
      </c>
      <c r="G85" s="39">
        <v>368</v>
      </c>
      <c r="H85" s="39">
        <v>266</v>
      </c>
      <c r="I85" s="40">
        <f t="shared" si="5"/>
        <v>72.282608695652172</v>
      </c>
    </row>
    <row r="86" spans="1:9" ht="15.75" customHeight="1">
      <c r="A86" s="5">
        <v>21101</v>
      </c>
      <c r="B86" s="4" t="s">
        <v>24</v>
      </c>
      <c r="C86" s="37" t="s">
        <v>75</v>
      </c>
      <c r="D86" s="39">
        <v>709</v>
      </c>
      <c r="E86" s="39">
        <v>330</v>
      </c>
      <c r="F86" s="40">
        <f t="shared" si="4"/>
        <v>46.544428772919602</v>
      </c>
      <c r="G86" s="39">
        <v>647</v>
      </c>
      <c r="H86" s="39">
        <v>553</v>
      </c>
      <c r="I86" s="40">
        <f t="shared" si="5"/>
        <v>85.471406491499224</v>
      </c>
    </row>
    <row r="87" spans="1:9" ht="15.75" customHeight="1">
      <c r="A87" s="5">
        <v>21102</v>
      </c>
      <c r="B87" s="4" t="s">
        <v>24</v>
      </c>
      <c r="C87" s="37" t="s">
        <v>76</v>
      </c>
      <c r="D87" s="39">
        <v>652</v>
      </c>
      <c r="E87" s="39">
        <v>275</v>
      </c>
      <c r="F87" s="40">
        <f t="shared" si="4"/>
        <v>42.177914110429448</v>
      </c>
      <c r="G87" s="39">
        <v>781</v>
      </c>
      <c r="H87" s="39">
        <v>631</v>
      </c>
      <c r="I87" s="40">
        <f t="shared" si="5"/>
        <v>80.793854033290657</v>
      </c>
    </row>
    <row r="88" spans="1:9" ht="15.75" customHeight="1">
      <c r="A88" s="5">
        <v>21103</v>
      </c>
      <c r="B88" s="4" t="s">
        <v>24</v>
      </c>
      <c r="C88" s="37" t="s">
        <v>77</v>
      </c>
      <c r="D88" s="39">
        <v>220</v>
      </c>
      <c r="E88" s="39">
        <v>121</v>
      </c>
      <c r="F88" s="40">
        <f t="shared" si="4"/>
        <v>55.000000000000007</v>
      </c>
      <c r="G88" s="39">
        <v>229</v>
      </c>
      <c r="H88" s="39">
        <v>203</v>
      </c>
      <c r="I88" s="40">
        <f t="shared" si="5"/>
        <v>88.646288209606979</v>
      </c>
    </row>
    <row r="89" spans="1:9" ht="15.75" customHeight="1">
      <c r="A89" s="5">
        <v>21104</v>
      </c>
      <c r="B89" s="4" t="s">
        <v>24</v>
      </c>
      <c r="C89" s="37" t="s">
        <v>78</v>
      </c>
      <c r="D89" s="39">
        <v>1138</v>
      </c>
      <c r="E89" s="39">
        <v>372</v>
      </c>
      <c r="F89" s="40">
        <f t="shared" si="4"/>
        <v>32.68892794376098</v>
      </c>
      <c r="G89" s="39">
        <v>1006</v>
      </c>
      <c r="H89" s="39">
        <v>700</v>
      </c>
      <c r="I89" s="40">
        <f t="shared" si="5"/>
        <v>69.582504970178931</v>
      </c>
    </row>
    <row r="90" spans="1:9" ht="15.75" customHeight="1">
      <c r="A90" s="5">
        <v>21105</v>
      </c>
      <c r="B90" s="4" t="s">
        <v>24</v>
      </c>
      <c r="C90" s="37" t="s">
        <v>79</v>
      </c>
      <c r="D90" s="39">
        <v>2345</v>
      </c>
      <c r="E90" s="39">
        <v>659</v>
      </c>
      <c r="F90" s="40">
        <f t="shared" si="4"/>
        <v>28.102345415778252</v>
      </c>
      <c r="G90" s="39">
        <v>1817</v>
      </c>
      <c r="H90" s="39">
        <v>1077</v>
      </c>
      <c r="I90" s="40">
        <f t="shared" si="5"/>
        <v>59.273527793065497</v>
      </c>
    </row>
    <row r="91" spans="1:9" ht="15.75" customHeight="1">
      <c r="A91" s="5">
        <v>21201</v>
      </c>
      <c r="B91" s="4" t="s">
        <v>24</v>
      </c>
      <c r="C91" s="37" t="s">
        <v>80</v>
      </c>
      <c r="D91" s="39">
        <v>1133</v>
      </c>
      <c r="E91" s="39">
        <v>407</v>
      </c>
      <c r="F91" s="40">
        <f t="shared" si="4"/>
        <v>35.922330097087382</v>
      </c>
      <c r="G91" s="39">
        <v>1755</v>
      </c>
      <c r="H91" s="39">
        <v>1487</v>
      </c>
      <c r="I91" s="40">
        <f t="shared" si="5"/>
        <v>84.729344729344717</v>
      </c>
    </row>
    <row r="92" spans="1:9" ht="15.75" customHeight="1">
      <c r="A92" s="5">
        <v>21202</v>
      </c>
      <c r="B92" s="4" t="s">
        <v>24</v>
      </c>
      <c r="C92" s="37" t="s">
        <v>81</v>
      </c>
      <c r="D92" s="39">
        <v>849</v>
      </c>
      <c r="E92" s="39">
        <v>322</v>
      </c>
      <c r="F92" s="40">
        <f t="shared" si="4"/>
        <v>37.926972909305064</v>
      </c>
      <c r="G92" s="39">
        <v>1262</v>
      </c>
      <c r="H92" s="39">
        <v>1050</v>
      </c>
      <c r="I92" s="40">
        <f t="shared" si="5"/>
        <v>83.2012678288431</v>
      </c>
    </row>
    <row r="93" spans="1:9" ht="15.75" customHeight="1">
      <c r="A93" s="5">
        <v>21203</v>
      </c>
      <c r="B93" s="4" t="s">
        <v>24</v>
      </c>
      <c r="C93" s="37" t="s">
        <v>82</v>
      </c>
      <c r="D93" s="39">
        <v>600</v>
      </c>
      <c r="E93" s="39">
        <v>230</v>
      </c>
      <c r="F93" s="40">
        <f t="shared" si="4"/>
        <v>38.333333333333336</v>
      </c>
      <c r="G93" s="39">
        <v>634</v>
      </c>
      <c r="H93" s="39">
        <v>547</v>
      </c>
      <c r="I93" s="40">
        <f t="shared" si="5"/>
        <v>86.277602523659297</v>
      </c>
    </row>
    <row r="94" spans="1:9" ht="15.75" customHeight="1">
      <c r="A94" s="5">
        <v>21204</v>
      </c>
      <c r="B94" s="4" t="s">
        <v>24</v>
      </c>
      <c r="C94" s="37" t="s">
        <v>83</v>
      </c>
      <c r="D94" s="39">
        <v>267</v>
      </c>
      <c r="E94" s="39">
        <v>78</v>
      </c>
      <c r="F94" s="40">
        <f t="shared" si="4"/>
        <v>29.213483146067414</v>
      </c>
      <c r="G94" s="39">
        <v>210</v>
      </c>
      <c r="H94" s="39">
        <v>173</v>
      </c>
      <c r="I94" s="40">
        <f t="shared" si="5"/>
        <v>82.38095238095238</v>
      </c>
    </row>
    <row r="95" spans="1:9" ht="15.75" customHeight="1">
      <c r="A95" s="5">
        <v>21301</v>
      </c>
      <c r="B95" s="4" t="s">
        <v>24</v>
      </c>
      <c r="C95" s="37" t="s">
        <v>334</v>
      </c>
      <c r="D95" s="39">
        <v>1272</v>
      </c>
      <c r="E95" s="39">
        <v>432</v>
      </c>
      <c r="F95" s="40">
        <f t="shared" si="4"/>
        <v>33.962264150943398</v>
      </c>
      <c r="G95" s="39">
        <v>1257</v>
      </c>
      <c r="H95" s="39">
        <v>979</v>
      </c>
      <c r="I95" s="40">
        <f t="shared" si="5"/>
        <v>77.883850437549711</v>
      </c>
    </row>
    <row r="96" spans="1:9" ht="15.75" customHeight="1">
      <c r="A96" s="5">
        <v>21302</v>
      </c>
      <c r="B96" s="4" t="s">
        <v>24</v>
      </c>
      <c r="C96" s="37" t="s">
        <v>84</v>
      </c>
      <c r="D96" s="39">
        <v>323</v>
      </c>
      <c r="E96" s="39">
        <v>120</v>
      </c>
      <c r="F96" s="40">
        <f t="shared" si="4"/>
        <v>37.151702786377712</v>
      </c>
      <c r="G96" s="39">
        <v>249</v>
      </c>
      <c r="H96" s="39">
        <v>197</v>
      </c>
      <c r="I96" s="40">
        <f t="shared" si="5"/>
        <v>79.116465863453811</v>
      </c>
    </row>
    <row r="97" spans="1:9" ht="15.75" customHeight="1">
      <c r="A97" s="5">
        <v>21303</v>
      </c>
      <c r="B97" s="4" t="s">
        <v>24</v>
      </c>
      <c r="C97" s="37" t="s">
        <v>85</v>
      </c>
      <c r="D97" s="39">
        <v>307</v>
      </c>
      <c r="E97" s="39">
        <v>88</v>
      </c>
      <c r="F97" s="40">
        <f t="shared" si="4"/>
        <v>28.664495114006517</v>
      </c>
      <c r="G97" s="39">
        <v>345</v>
      </c>
      <c r="H97" s="39">
        <v>275</v>
      </c>
      <c r="I97" s="40">
        <f t="shared" si="5"/>
        <v>79.710144927536234</v>
      </c>
    </row>
    <row r="98" spans="1:9" ht="15.75" customHeight="1">
      <c r="A98" s="5">
        <v>21304</v>
      </c>
      <c r="B98" s="4" t="s">
        <v>24</v>
      </c>
      <c r="C98" s="37" t="s">
        <v>86</v>
      </c>
      <c r="D98" s="39">
        <v>467</v>
      </c>
      <c r="E98" s="39">
        <v>163</v>
      </c>
      <c r="F98" s="40">
        <f t="shared" si="4"/>
        <v>34.903640256959321</v>
      </c>
      <c r="G98" s="39">
        <v>504</v>
      </c>
      <c r="H98" s="39">
        <v>416</v>
      </c>
      <c r="I98" s="40">
        <f t="shared" si="5"/>
        <v>82.539682539682531</v>
      </c>
    </row>
    <row r="99" spans="1:9" ht="15.75" customHeight="1">
      <c r="A99" s="5">
        <v>21305</v>
      </c>
      <c r="B99" s="4" t="s">
        <v>24</v>
      </c>
      <c r="C99" s="37" t="s">
        <v>87</v>
      </c>
      <c r="D99" s="39">
        <v>996</v>
      </c>
      <c r="E99" s="39">
        <v>351</v>
      </c>
      <c r="F99" s="40">
        <f t="shared" si="4"/>
        <v>35.24096385542169</v>
      </c>
      <c r="G99" s="39">
        <v>911</v>
      </c>
      <c r="H99" s="39">
        <v>671</v>
      </c>
      <c r="I99" s="40">
        <f t="shared" si="5"/>
        <v>73.655323819978051</v>
      </c>
    </row>
    <row r="100" spans="1:9" ht="15.75" customHeight="1">
      <c r="A100" s="5">
        <v>21306</v>
      </c>
      <c r="B100" s="4" t="s">
        <v>24</v>
      </c>
      <c r="C100" s="37" t="s">
        <v>88</v>
      </c>
      <c r="D100" s="39">
        <v>356</v>
      </c>
      <c r="E100" s="39">
        <v>125</v>
      </c>
      <c r="F100" s="40">
        <f t="shared" si="4"/>
        <v>35.112359550561798</v>
      </c>
      <c r="G100" s="39">
        <v>432</v>
      </c>
      <c r="H100" s="39">
        <v>311</v>
      </c>
      <c r="I100" s="40">
        <f t="shared" si="5"/>
        <v>71.990740740740748</v>
      </c>
    </row>
    <row r="101" spans="1:9" ht="15.75" customHeight="1">
      <c r="A101" s="5">
        <v>21307</v>
      </c>
      <c r="B101" s="4" t="s">
        <v>24</v>
      </c>
      <c r="C101" s="37" t="s">
        <v>89</v>
      </c>
      <c r="D101" s="39">
        <v>182</v>
      </c>
      <c r="E101" s="39">
        <v>76</v>
      </c>
      <c r="F101" s="40">
        <f t="shared" si="4"/>
        <v>41.758241758241759</v>
      </c>
      <c r="G101" s="39">
        <v>179</v>
      </c>
      <c r="H101" s="39">
        <v>121</v>
      </c>
      <c r="I101" s="40">
        <f t="shared" si="5"/>
        <v>67.597765363128488</v>
      </c>
    </row>
    <row r="102" spans="1:9" ht="15.75" customHeight="1">
      <c r="A102" s="5">
        <v>21401</v>
      </c>
      <c r="B102" s="4" t="s">
        <v>24</v>
      </c>
      <c r="C102" s="37" t="s">
        <v>90</v>
      </c>
      <c r="D102" s="39">
        <v>714</v>
      </c>
      <c r="E102" s="39">
        <v>297</v>
      </c>
      <c r="F102" s="40">
        <f t="shared" si="4"/>
        <v>41.596638655462186</v>
      </c>
      <c r="G102" s="39">
        <v>863</v>
      </c>
      <c r="H102" s="39">
        <v>684</v>
      </c>
      <c r="I102" s="40">
        <f t="shared" si="5"/>
        <v>79.258400926998846</v>
      </c>
    </row>
    <row r="103" spans="1:9" ht="15.75" customHeight="1">
      <c r="A103" s="5">
        <v>21402</v>
      </c>
      <c r="B103" s="4" t="s">
        <v>24</v>
      </c>
      <c r="C103" s="37" t="s">
        <v>91</v>
      </c>
      <c r="D103" s="39">
        <v>694</v>
      </c>
      <c r="E103" s="39">
        <v>246</v>
      </c>
      <c r="F103" s="40">
        <f t="shared" si="4"/>
        <v>35.446685878962533</v>
      </c>
      <c r="G103" s="39">
        <v>771</v>
      </c>
      <c r="H103" s="39">
        <v>602</v>
      </c>
      <c r="I103" s="40">
        <f t="shared" si="5"/>
        <v>78.080415045395597</v>
      </c>
    </row>
    <row r="104" spans="1:9" ht="15.75" customHeight="1">
      <c r="A104" s="5">
        <v>21501</v>
      </c>
      <c r="B104" s="4" t="s">
        <v>24</v>
      </c>
      <c r="C104" s="37" t="s">
        <v>92</v>
      </c>
      <c r="D104" s="39">
        <v>493</v>
      </c>
      <c r="E104" s="39">
        <v>197</v>
      </c>
      <c r="F104" s="40">
        <f t="shared" si="4"/>
        <v>39.959432048681542</v>
      </c>
      <c r="G104" s="39">
        <v>552</v>
      </c>
      <c r="H104" s="39">
        <v>339</v>
      </c>
      <c r="I104" s="40">
        <f t="shared" si="5"/>
        <v>61.413043478260867</v>
      </c>
    </row>
    <row r="105" spans="1:9" ht="15.75" customHeight="1">
      <c r="A105" s="5">
        <v>21502</v>
      </c>
      <c r="B105" s="4" t="s">
        <v>24</v>
      </c>
      <c r="C105" s="37" t="s">
        <v>93</v>
      </c>
      <c r="D105" s="39">
        <v>475</v>
      </c>
      <c r="E105" s="39">
        <v>168</v>
      </c>
      <c r="F105" s="40">
        <f t="shared" si="4"/>
        <v>35.368421052631575</v>
      </c>
      <c r="G105" s="39">
        <v>451</v>
      </c>
      <c r="H105" s="39">
        <v>352</v>
      </c>
      <c r="I105" s="40">
        <f t="shared" si="5"/>
        <v>78.048780487804876</v>
      </c>
    </row>
    <row r="106" spans="1:9" ht="15.75" customHeight="1">
      <c r="A106" s="5">
        <v>21601</v>
      </c>
      <c r="B106" s="4" t="s">
        <v>24</v>
      </c>
      <c r="C106" s="37" t="s">
        <v>335</v>
      </c>
      <c r="D106" s="39">
        <v>575</v>
      </c>
      <c r="E106" s="39">
        <v>170</v>
      </c>
      <c r="F106" s="40">
        <f t="shared" si="4"/>
        <v>29.565217391304348</v>
      </c>
      <c r="G106" s="39">
        <v>608</v>
      </c>
      <c r="H106" s="39">
        <v>463</v>
      </c>
      <c r="I106" s="40">
        <f t="shared" si="5"/>
        <v>76.151315789473685</v>
      </c>
    </row>
    <row r="107" spans="1:9" ht="15.75" customHeight="1">
      <c r="A107" s="5">
        <v>21602</v>
      </c>
      <c r="B107" s="4" t="s">
        <v>24</v>
      </c>
      <c r="C107" s="37" t="s">
        <v>94</v>
      </c>
      <c r="D107" s="39">
        <v>158</v>
      </c>
      <c r="E107" s="39">
        <v>48</v>
      </c>
      <c r="F107" s="40">
        <f t="shared" si="4"/>
        <v>30.37974683544304</v>
      </c>
      <c r="G107" s="39">
        <v>302</v>
      </c>
      <c r="H107" s="39">
        <v>206</v>
      </c>
      <c r="I107" s="40">
        <f t="shared" si="5"/>
        <v>68.211920529801333</v>
      </c>
    </row>
    <row r="108" spans="1:9" ht="15.75" customHeight="1">
      <c r="A108" s="5">
        <v>21701</v>
      </c>
      <c r="B108" s="4" t="s">
        <v>24</v>
      </c>
      <c r="C108" s="37" t="s">
        <v>95</v>
      </c>
      <c r="D108" s="39">
        <v>525</v>
      </c>
      <c r="E108" s="39">
        <v>236</v>
      </c>
      <c r="F108" s="40">
        <f t="shared" si="4"/>
        <v>44.952380952380956</v>
      </c>
      <c r="G108" s="39">
        <v>435</v>
      </c>
      <c r="H108" s="39">
        <v>357</v>
      </c>
      <c r="I108" s="40">
        <f t="shared" si="5"/>
        <v>82.068965517241381</v>
      </c>
    </row>
    <row r="109" spans="1:9" ht="15.75" customHeight="1">
      <c r="A109" s="5">
        <v>21702</v>
      </c>
      <c r="B109" s="4" t="s">
        <v>24</v>
      </c>
      <c r="C109" s="37" t="s">
        <v>96</v>
      </c>
      <c r="D109" s="39">
        <v>143</v>
      </c>
      <c r="E109" s="39">
        <v>76</v>
      </c>
      <c r="F109" s="40">
        <f t="shared" si="4"/>
        <v>53.146853146853147</v>
      </c>
      <c r="G109" s="39">
        <v>233</v>
      </c>
      <c r="H109" s="39">
        <v>214</v>
      </c>
      <c r="I109" s="40">
        <f t="shared" si="5"/>
        <v>91.845493562231766</v>
      </c>
    </row>
    <row r="110" spans="1:9" ht="15.75" customHeight="1">
      <c r="A110" s="5">
        <v>21703</v>
      </c>
      <c r="B110" s="4" t="s">
        <v>24</v>
      </c>
      <c r="C110" s="37" t="s">
        <v>97</v>
      </c>
      <c r="D110" s="39">
        <v>157</v>
      </c>
      <c r="E110" s="39">
        <v>73</v>
      </c>
      <c r="F110" s="40">
        <f t="shared" si="4"/>
        <v>46.496815286624205</v>
      </c>
      <c r="G110" s="39">
        <v>149</v>
      </c>
      <c r="H110" s="39">
        <v>110</v>
      </c>
      <c r="I110" s="40">
        <f t="shared" si="5"/>
        <v>73.825503355704697</v>
      </c>
    </row>
    <row r="111" spans="1:9" ht="15.75" customHeight="1">
      <c r="A111" s="5">
        <v>21801</v>
      </c>
      <c r="B111" s="4" t="s">
        <v>24</v>
      </c>
      <c r="C111" s="37" t="s">
        <v>98</v>
      </c>
      <c r="D111" s="39">
        <v>242</v>
      </c>
      <c r="E111" s="39">
        <v>118</v>
      </c>
      <c r="F111" s="40">
        <f t="shared" si="4"/>
        <v>48.760330578512395</v>
      </c>
      <c r="G111" s="39">
        <v>263</v>
      </c>
      <c r="H111" s="39">
        <v>217</v>
      </c>
      <c r="I111" s="40">
        <f t="shared" si="5"/>
        <v>82.50950570342205</v>
      </c>
    </row>
    <row r="112" spans="1:9" ht="15.75" customHeight="1">
      <c r="A112" s="5">
        <v>21802</v>
      </c>
      <c r="B112" s="4" t="s">
        <v>24</v>
      </c>
      <c r="C112" s="37" t="s">
        <v>99</v>
      </c>
      <c r="D112" s="39">
        <v>285</v>
      </c>
      <c r="E112" s="39">
        <v>134</v>
      </c>
      <c r="F112" s="40">
        <f t="shared" si="4"/>
        <v>47.017543859649123</v>
      </c>
      <c r="G112" s="39">
        <v>172</v>
      </c>
      <c r="H112" s="39">
        <v>155</v>
      </c>
      <c r="I112" s="40">
        <f t="shared" si="5"/>
        <v>90.116279069767444</v>
      </c>
    </row>
    <row r="113" spans="1:9" ht="15.75" customHeight="1">
      <c r="A113" s="5">
        <v>21803</v>
      </c>
      <c r="B113" s="4" t="s">
        <v>24</v>
      </c>
      <c r="C113" s="37" t="s">
        <v>100</v>
      </c>
      <c r="D113" s="39">
        <v>70</v>
      </c>
      <c r="E113" s="39">
        <v>19</v>
      </c>
      <c r="F113" s="40">
        <f t="shared" si="4"/>
        <v>27.142857142857142</v>
      </c>
      <c r="G113" s="39">
        <v>61</v>
      </c>
      <c r="H113" s="39">
        <v>53</v>
      </c>
      <c r="I113" s="40">
        <f t="shared" si="5"/>
        <v>86.885245901639337</v>
      </c>
    </row>
    <row r="114" spans="1:9" ht="15.75" customHeight="1">
      <c r="A114" s="5">
        <v>21901</v>
      </c>
      <c r="B114" s="4" t="s">
        <v>24</v>
      </c>
      <c r="C114" s="37" t="s">
        <v>101</v>
      </c>
      <c r="D114" s="39">
        <v>131</v>
      </c>
      <c r="E114" s="39">
        <v>51</v>
      </c>
      <c r="F114" s="40">
        <f t="shared" si="4"/>
        <v>38.931297709923662</v>
      </c>
      <c r="G114" s="39">
        <v>184</v>
      </c>
      <c r="H114" s="39">
        <v>161</v>
      </c>
      <c r="I114" s="40">
        <f t="shared" si="5"/>
        <v>87.5</v>
      </c>
    </row>
    <row r="115" spans="1:9" ht="15.75" customHeight="1">
      <c r="A115" s="5">
        <v>21902</v>
      </c>
      <c r="B115" s="4" t="s">
        <v>24</v>
      </c>
      <c r="C115" s="37" t="s">
        <v>102</v>
      </c>
      <c r="D115" s="39">
        <v>108</v>
      </c>
      <c r="E115" s="39">
        <v>47</v>
      </c>
      <c r="F115" s="40">
        <f t="shared" si="4"/>
        <v>43.518518518518519</v>
      </c>
      <c r="G115" s="39">
        <v>230</v>
      </c>
      <c r="H115" s="39">
        <v>173</v>
      </c>
      <c r="I115" s="40">
        <f t="shared" si="5"/>
        <v>75.217391304347828</v>
      </c>
    </row>
    <row r="116" spans="1:9" ht="15.75" customHeight="1">
      <c r="A116" s="5">
        <v>22001</v>
      </c>
      <c r="B116" s="4" t="s">
        <v>24</v>
      </c>
      <c r="C116" s="37" t="s">
        <v>103</v>
      </c>
      <c r="D116" s="39">
        <v>2168</v>
      </c>
      <c r="E116" s="39">
        <v>763</v>
      </c>
      <c r="F116" s="40">
        <f t="shared" si="4"/>
        <v>35.193726937269368</v>
      </c>
      <c r="G116" s="39">
        <v>2120</v>
      </c>
      <c r="H116" s="39">
        <v>1418</v>
      </c>
      <c r="I116" s="40">
        <f t="shared" si="5"/>
        <v>66.886792452830193</v>
      </c>
    </row>
    <row r="117" spans="1:9" ht="15.75" customHeight="1">
      <c r="A117" s="5">
        <v>22002</v>
      </c>
      <c r="B117" s="4" t="s">
        <v>24</v>
      </c>
      <c r="C117" s="37" t="s">
        <v>104</v>
      </c>
      <c r="D117" s="39">
        <v>491</v>
      </c>
      <c r="E117" s="39">
        <v>128</v>
      </c>
      <c r="F117" s="40">
        <f t="shared" si="4"/>
        <v>26.069246435845212</v>
      </c>
      <c r="G117" s="39">
        <v>400</v>
      </c>
      <c r="H117" s="39">
        <v>306</v>
      </c>
      <c r="I117" s="40">
        <f t="shared" si="5"/>
        <v>76.5</v>
      </c>
    </row>
    <row r="118" spans="1:9" ht="15.75" customHeight="1">
      <c r="A118" s="5">
        <v>30101</v>
      </c>
      <c r="B118" s="4" t="s">
        <v>105</v>
      </c>
      <c r="C118" s="37" t="s">
        <v>105</v>
      </c>
      <c r="D118" s="39">
        <v>24182</v>
      </c>
      <c r="E118" s="39">
        <v>13165</v>
      </c>
      <c r="F118" s="40">
        <f t="shared" si="4"/>
        <v>54.441319990075264</v>
      </c>
      <c r="G118" s="39">
        <v>20180</v>
      </c>
      <c r="H118" s="39">
        <v>16895</v>
      </c>
      <c r="I118" s="40">
        <f t="shared" si="5"/>
        <v>83.721506442021806</v>
      </c>
    </row>
    <row r="119" spans="1:9" ht="15.75" customHeight="1">
      <c r="A119" s="5">
        <v>30201</v>
      </c>
      <c r="B119" s="4" t="s">
        <v>105</v>
      </c>
      <c r="C119" s="37" t="s">
        <v>106</v>
      </c>
      <c r="D119" s="39">
        <v>1128</v>
      </c>
      <c r="E119" s="39">
        <v>483</v>
      </c>
      <c r="F119" s="40">
        <f t="shared" si="4"/>
        <v>42.819148936170215</v>
      </c>
      <c r="G119" s="39">
        <v>832</v>
      </c>
      <c r="H119" s="39">
        <v>674</v>
      </c>
      <c r="I119" s="40">
        <f t="shared" si="5"/>
        <v>81.009615384615387</v>
      </c>
    </row>
    <row r="120" spans="1:9" ht="15.75" customHeight="1">
      <c r="A120" s="5">
        <v>30202</v>
      </c>
      <c r="B120" s="4" t="s">
        <v>105</v>
      </c>
      <c r="C120" s="37" t="s">
        <v>107</v>
      </c>
      <c r="D120" s="39">
        <v>272</v>
      </c>
      <c r="E120" s="39">
        <v>137</v>
      </c>
      <c r="F120" s="40">
        <f t="shared" si="4"/>
        <v>50.367647058823529</v>
      </c>
      <c r="G120" s="39">
        <v>220</v>
      </c>
      <c r="H120" s="39">
        <v>175</v>
      </c>
      <c r="I120" s="40">
        <f t="shared" si="5"/>
        <v>79.545454545454547</v>
      </c>
    </row>
    <row r="121" spans="1:9" ht="15.75" customHeight="1">
      <c r="A121" s="5">
        <v>30203</v>
      </c>
      <c r="B121" s="4" t="s">
        <v>105</v>
      </c>
      <c r="C121" s="37" t="s">
        <v>108</v>
      </c>
      <c r="D121" s="39">
        <v>270</v>
      </c>
      <c r="E121" s="39">
        <v>104</v>
      </c>
      <c r="F121" s="40">
        <f t="shared" si="4"/>
        <v>38.518518518518519</v>
      </c>
      <c r="G121" s="39">
        <v>233</v>
      </c>
      <c r="H121" s="39">
        <v>200</v>
      </c>
      <c r="I121" s="40">
        <f t="shared" si="5"/>
        <v>85.836909871244643</v>
      </c>
    </row>
    <row r="122" spans="1:9" ht="15.75" customHeight="1">
      <c r="A122" s="5">
        <v>30301</v>
      </c>
      <c r="B122" s="4" t="s">
        <v>105</v>
      </c>
      <c r="C122" s="37" t="s">
        <v>336</v>
      </c>
      <c r="D122" s="39">
        <v>1253</v>
      </c>
      <c r="E122" s="39">
        <v>488</v>
      </c>
      <c r="F122" s="40">
        <f t="shared" si="4"/>
        <v>38.946528332003197</v>
      </c>
      <c r="G122" s="39">
        <v>828</v>
      </c>
      <c r="H122" s="39">
        <v>617</v>
      </c>
      <c r="I122" s="40">
        <f t="shared" si="5"/>
        <v>74.516908212560381</v>
      </c>
    </row>
    <row r="123" spans="1:9" ht="15.75" customHeight="1">
      <c r="A123" s="5">
        <v>30302</v>
      </c>
      <c r="B123" s="4" t="s">
        <v>105</v>
      </c>
      <c r="C123" s="37" t="s">
        <v>109</v>
      </c>
      <c r="D123" s="39">
        <v>625</v>
      </c>
      <c r="E123" s="39">
        <v>211</v>
      </c>
      <c r="F123" s="40">
        <f t="shared" si="4"/>
        <v>33.76</v>
      </c>
      <c r="G123" s="39">
        <v>554</v>
      </c>
      <c r="H123" s="39">
        <v>348</v>
      </c>
      <c r="I123" s="40">
        <f t="shared" si="5"/>
        <v>62.815884476534301</v>
      </c>
    </row>
    <row r="124" spans="1:9" ht="15.75" customHeight="1">
      <c r="A124" s="5">
        <v>30303</v>
      </c>
      <c r="B124" s="4" t="s">
        <v>105</v>
      </c>
      <c r="C124" s="37" t="s">
        <v>110</v>
      </c>
      <c r="D124" s="39">
        <v>1017</v>
      </c>
      <c r="E124" s="39">
        <v>150</v>
      </c>
      <c r="F124" s="40">
        <f t="shared" si="4"/>
        <v>14.749262536873156</v>
      </c>
      <c r="G124" s="39">
        <v>778</v>
      </c>
      <c r="H124" s="39">
        <v>470</v>
      </c>
      <c r="I124" s="40">
        <f t="shared" si="5"/>
        <v>60.411311053984576</v>
      </c>
    </row>
    <row r="125" spans="1:9" ht="15.75" customHeight="1">
      <c r="A125" s="5">
        <v>30401</v>
      </c>
      <c r="B125" s="4" t="s">
        <v>105</v>
      </c>
      <c r="C125" s="37" t="s">
        <v>111</v>
      </c>
      <c r="D125" s="39">
        <v>275</v>
      </c>
      <c r="E125" s="39">
        <v>155</v>
      </c>
      <c r="F125" s="40">
        <f t="shared" si="4"/>
        <v>56.36363636363636</v>
      </c>
      <c r="G125" s="39">
        <v>374</v>
      </c>
      <c r="H125" s="39">
        <v>323</v>
      </c>
      <c r="I125" s="40">
        <f t="shared" si="5"/>
        <v>86.36363636363636</v>
      </c>
    </row>
    <row r="126" spans="1:9" ht="15.75" customHeight="1">
      <c r="A126" s="5">
        <v>30402</v>
      </c>
      <c r="B126" s="4" t="s">
        <v>105</v>
      </c>
      <c r="C126" s="37" t="s">
        <v>112</v>
      </c>
      <c r="D126" s="39">
        <v>355</v>
      </c>
      <c r="E126" s="39">
        <v>124</v>
      </c>
      <c r="F126" s="40">
        <f t="shared" si="4"/>
        <v>34.929577464788728</v>
      </c>
      <c r="G126" s="39">
        <v>226</v>
      </c>
      <c r="H126" s="39">
        <v>185</v>
      </c>
      <c r="I126" s="40">
        <f t="shared" si="5"/>
        <v>81.858407079646028</v>
      </c>
    </row>
    <row r="127" spans="1:9" ht="15.75" customHeight="1">
      <c r="A127" s="5">
        <v>30403</v>
      </c>
      <c r="B127" s="4" t="s">
        <v>105</v>
      </c>
      <c r="C127" s="37" t="s">
        <v>113</v>
      </c>
      <c r="D127" s="39">
        <v>681</v>
      </c>
      <c r="E127" s="39">
        <v>332</v>
      </c>
      <c r="F127" s="40">
        <f t="shared" si="4"/>
        <v>48.751835535976504</v>
      </c>
      <c r="G127" s="39">
        <v>1162</v>
      </c>
      <c r="H127" s="39">
        <v>963</v>
      </c>
      <c r="I127" s="40">
        <f t="shared" si="5"/>
        <v>82.874354561101555</v>
      </c>
    </row>
    <row r="128" spans="1:9" ht="15.75" customHeight="1">
      <c r="A128" s="5">
        <v>30404</v>
      </c>
      <c r="B128" s="4" t="s">
        <v>105</v>
      </c>
      <c r="C128" s="37" t="s">
        <v>114</v>
      </c>
      <c r="D128" s="39">
        <v>214</v>
      </c>
      <c r="E128" s="39">
        <v>99</v>
      </c>
      <c r="F128" s="40">
        <f t="shared" si="4"/>
        <v>46.261682242990652</v>
      </c>
      <c r="G128" s="39">
        <v>152</v>
      </c>
      <c r="H128" s="39">
        <v>118</v>
      </c>
      <c r="I128" s="40">
        <f t="shared" si="5"/>
        <v>77.631578947368425</v>
      </c>
    </row>
    <row r="129" spans="1:9" ht="15.75" customHeight="1">
      <c r="A129" s="5">
        <v>30501</v>
      </c>
      <c r="B129" s="4" t="s">
        <v>105</v>
      </c>
      <c r="C129" s="37" t="s">
        <v>115</v>
      </c>
      <c r="D129" s="39">
        <v>336</v>
      </c>
      <c r="E129" s="39">
        <v>157</v>
      </c>
      <c r="F129" s="40">
        <f t="shared" si="4"/>
        <v>46.726190476190474</v>
      </c>
      <c r="G129" s="39">
        <v>351</v>
      </c>
      <c r="H129" s="39">
        <v>309</v>
      </c>
      <c r="I129" s="40">
        <f t="shared" si="5"/>
        <v>88.034188034188034</v>
      </c>
    </row>
    <row r="130" spans="1:9" ht="15.75" customHeight="1">
      <c r="A130" s="5">
        <v>30502</v>
      </c>
      <c r="B130" s="4" t="s">
        <v>105</v>
      </c>
      <c r="C130" s="37" t="s">
        <v>116</v>
      </c>
      <c r="D130" s="39">
        <v>367</v>
      </c>
      <c r="E130" s="39">
        <v>134</v>
      </c>
      <c r="F130" s="40">
        <f t="shared" si="4"/>
        <v>36.51226158038147</v>
      </c>
      <c r="G130" s="39">
        <v>226</v>
      </c>
      <c r="H130" s="39">
        <v>188</v>
      </c>
      <c r="I130" s="40">
        <f t="shared" si="5"/>
        <v>83.185840707964601</v>
      </c>
    </row>
    <row r="131" spans="1:9" ht="15.75" customHeight="1">
      <c r="A131" s="5">
        <v>30601</v>
      </c>
      <c r="B131" s="4" t="s">
        <v>105</v>
      </c>
      <c r="C131" s="37" t="s">
        <v>117</v>
      </c>
      <c r="D131" s="39">
        <v>574</v>
      </c>
      <c r="E131" s="39">
        <v>116</v>
      </c>
      <c r="F131" s="40">
        <f t="shared" ref="F131:F156" si="6">E131/D131*100</f>
        <v>20.209059233449477</v>
      </c>
      <c r="G131" s="39">
        <v>498</v>
      </c>
      <c r="H131" s="39">
        <v>293</v>
      </c>
      <c r="I131" s="40">
        <f t="shared" ref="I131:I194" si="7">H131/G131*100</f>
        <v>58.835341365461844</v>
      </c>
    </row>
    <row r="132" spans="1:9" ht="15.75" customHeight="1">
      <c r="A132" s="5">
        <v>30602</v>
      </c>
      <c r="B132" s="4" t="s">
        <v>105</v>
      </c>
      <c r="C132" s="37" t="s">
        <v>118</v>
      </c>
      <c r="D132" s="39">
        <v>537</v>
      </c>
      <c r="E132" s="39">
        <v>168</v>
      </c>
      <c r="F132" s="40">
        <f t="shared" si="6"/>
        <v>31.284916201117319</v>
      </c>
      <c r="G132" s="39">
        <v>384</v>
      </c>
      <c r="H132" s="39">
        <v>219</v>
      </c>
      <c r="I132" s="40">
        <f t="shared" si="7"/>
        <v>57.03125</v>
      </c>
    </row>
    <row r="133" spans="1:9" ht="15.75" customHeight="1">
      <c r="A133" s="5">
        <v>30701</v>
      </c>
      <c r="B133" s="4" t="s">
        <v>105</v>
      </c>
      <c r="C133" s="37" t="s">
        <v>119</v>
      </c>
      <c r="D133" s="39">
        <v>887</v>
      </c>
      <c r="E133" s="39">
        <v>413</v>
      </c>
      <c r="F133" s="40">
        <f t="shared" si="6"/>
        <v>46.561443066516347</v>
      </c>
      <c r="G133" s="39">
        <v>698</v>
      </c>
      <c r="H133" s="39">
        <v>608</v>
      </c>
      <c r="I133" s="40">
        <f t="shared" si="7"/>
        <v>87.106017191977088</v>
      </c>
    </row>
    <row r="134" spans="1:9" ht="15.75" customHeight="1">
      <c r="A134" s="5">
        <v>30702</v>
      </c>
      <c r="B134" s="4" t="s">
        <v>105</v>
      </c>
      <c r="C134" s="37" t="s">
        <v>337</v>
      </c>
      <c r="D134" s="39">
        <v>194</v>
      </c>
      <c r="E134" s="39">
        <v>97</v>
      </c>
      <c r="F134" s="40">
        <f t="shared" si="6"/>
        <v>50</v>
      </c>
      <c r="G134" s="39">
        <v>281</v>
      </c>
      <c r="H134" s="39">
        <v>251</v>
      </c>
      <c r="I134" s="40">
        <f t="shared" si="7"/>
        <v>89.32384341637011</v>
      </c>
    </row>
    <row r="135" spans="1:9" ht="15.75" customHeight="1">
      <c r="A135" s="5">
        <v>30703</v>
      </c>
      <c r="B135" s="4" t="s">
        <v>105</v>
      </c>
      <c r="C135" s="37" t="s">
        <v>120</v>
      </c>
      <c r="D135" s="39">
        <v>191</v>
      </c>
      <c r="E135" s="39">
        <v>92</v>
      </c>
      <c r="F135" s="40">
        <f t="shared" si="6"/>
        <v>48.167539267015705</v>
      </c>
      <c r="G135" s="39">
        <v>152</v>
      </c>
      <c r="H135" s="39">
        <v>125</v>
      </c>
      <c r="I135" s="40">
        <f t="shared" si="7"/>
        <v>82.23684210526315</v>
      </c>
    </row>
    <row r="136" spans="1:9" ht="15.75" customHeight="1">
      <c r="A136" s="5">
        <v>30801</v>
      </c>
      <c r="B136" s="4" t="s">
        <v>105</v>
      </c>
      <c r="C136" s="37" t="s">
        <v>121</v>
      </c>
      <c r="D136" s="39">
        <v>773</v>
      </c>
      <c r="E136" s="39">
        <v>390</v>
      </c>
      <c r="F136" s="40">
        <f t="shared" si="6"/>
        <v>50.452781371280722</v>
      </c>
      <c r="G136" s="39">
        <v>676</v>
      </c>
      <c r="H136" s="39">
        <v>534</v>
      </c>
      <c r="I136" s="40">
        <f t="shared" si="7"/>
        <v>78.994082840236686</v>
      </c>
    </row>
    <row r="137" spans="1:9" ht="15.75" customHeight="1">
      <c r="A137" s="5">
        <v>30802</v>
      </c>
      <c r="B137" s="4" t="s">
        <v>105</v>
      </c>
      <c r="C137" s="37" t="s">
        <v>122</v>
      </c>
      <c r="D137" s="39">
        <v>188</v>
      </c>
      <c r="E137" s="39">
        <v>89</v>
      </c>
      <c r="F137" s="40">
        <f t="shared" si="6"/>
        <v>47.340425531914896</v>
      </c>
      <c r="G137" s="39">
        <v>230</v>
      </c>
      <c r="H137" s="39">
        <v>201</v>
      </c>
      <c r="I137" s="40">
        <f t="shared" si="7"/>
        <v>87.391304347826079</v>
      </c>
    </row>
    <row r="138" spans="1:9" ht="15.75" customHeight="1">
      <c r="A138" s="5">
        <v>30803</v>
      </c>
      <c r="B138" s="4" t="s">
        <v>105</v>
      </c>
      <c r="C138" s="37" t="s">
        <v>123</v>
      </c>
      <c r="D138" s="39">
        <v>198</v>
      </c>
      <c r="E138" s="39">
        <v>116</v>
      </c>
      <c r="F138" s="40">
        <f t="shared" si="6"/>
        <v>58.585858585858588</v>
      </c>
      <c r="G138" s="39">
        <v>243</v>
      </c>
      <c r="H138" s="39">
        <v>226</v>
      </c>
      <c r="I138" s="40">
        <f t="shared" si="7"/>
        <v>93.004115226337447</v>
      </c>
    </row>
    <row r="139" spans="1:9" ht="15.75" customHeight="1">
      <c r="A139" s="5">
        <v>30901</v>
      </c>
      <c r="B139" s="4" t="s">
        <v>105</v>
      </c>
      <c r="C139" s="37" t="s">
        <v>124</v>
      </c>
      <c r="D139" s="39">
        <v>5675</v>
      </c>
      <c r="E139" s="39">
        <v>2896</v>
      </c>
      <c r="F139" s="40">
        <f t="shared" si="6"/>
        <v>51.030837004405285</v>
      </c>
      <c r="G139" s="39">
        <v>5639</v>
      </c>
      <c r="H139" s="39">
        <v>4513</v>
      </c>
      <c r="I139" s="40">
        <f t="shared" si="7"/>
        <v>80.031920553289595</v>
      </c>
    </row>
    <row r="140" spans="1:9" ht="15.75" customHeight="1">
      <c r="A140" s="5">
        <v>30902</v>
      </c>
      <c r="B140" s="4" t="s">
        <v>105</v>
      </c>
      <c r="C140" s="37" t="s">
        <v>338</v>
      </c>
      <c r="D140" s="39">
        <v>1935</v>
      </c>
      <c r="E140" s="39">
        <v>775</v>
      </c>
      <c r="F140" s="40">
        <f t="shared" si="6"/>
        <v>40.05167958656331</v>
      </c>
      <c r="G140" s="39">
        <v>2245</v>
      </c>
      <c r="H140" s="39">
        <v>1814</v>
      </c>
      <c r="I140" s="40">
        <f t="shared" si="7"/>
        <v>80.801781737193764</v>
      </c>
    </row>
    <row r="141" spans="1:9" ht="15.75" customHeight="1">
      <c r="A141" s="5">
        <v>30903</v>
      </c>
      <c r="B141" s="4" t="s">
        <v>105</v>
      </c>
      <c r="C141" s="37" t="s">
        <v>125</v>
      </c>
      <c r="D141" s="39">
        <v>2259</v>
      </c>
      <c r="E141" s="39">
        <v>1304</v>
      </c>
      <c r="F141" s="40">
        <f t="shared" si="6"/>
        <v>57.724656927844173</v>
      </c>
      <c r="G141" s="39">
        <v>2128</v>
      </c>
      <c r="H141" s="39">
        <v>1852</v>
      </c>
      <c r="I141" s="40">
        <f t="shared" si="7"/>
        <v>87.030075187969928</v>
      </c>
    </row>
    <row r="142" spans="1:9" ht="15.75" customHeight="1">
      <c r="A142" s="5">
        <v>30904</v>
      </c>
      <c r="B142" s="4" t="s">
        <v>105</v>
      </c>
      <c r="C142" s="37" t="s">
        <v>126</v>
      </c>
      <c r="D142" s="39">
        <v>2290</v>
      </c>
      <c r="E142" s="39">
        <v>1034</v>
      </c>
      <c r="F142" s="40">
        <f t="shared" si="6"/>
        <v>45.1528384279476</v>
      </c>
      <c r="G142" s="39">
        <v>1973</v>
      </c>
      <c r="H142" s="39">
        <v>1438</v>
      </c>
      <c r="I142" s="40">
        <f t="shared" si="7"/>
        <v>72.883933096806899</v>
      </c>
    </row>
    <row r="143" spans="1:9" ht="15.75" customHeight="1">
      <c r="A143" s="5">
        <v>30905</v>
      </c>
      <c r="B143" s="4" t="s">
        <v>105</v>
      </c>
      <c r="C143" s="37" t="s">
        <v>127</v>
      </c>
      <c r="D143" s="39">
        <v>2042</v>
      </c>
      <c r="E143" s="39">
        <v>1112</v>
      </c>
      <c r="F143" s="40">
        <f t="shared" si="6"/>
        <v>54.456415279138106</v>
      </c>
      <c r="G143" s="39">
        <v>2072</v>
      </c>
      <c r="H143" s="39">
        <v>1874</v>
      </c>
      <c r="I143" s="40">
        <f t="shared" si="7"/>
        <v>90.444015444015449</v>
      </c>
    </row>
    <row r="144" spans="1:9" ht="15.75" customHeight="1">
      <c r="A144" s="5">
        <v>31001</v>
      </c>
      <c r="B144" s="4" t="s">
        <v>105</v>
      </c>
      <c r="C144" s="37" t="s">
        <v>128</v>
      </c>
      <c r="D144" s="39">
        <v>7146</v>
      </c>
      <c r="E144" s="39">
        <v>3488</v>
      </c>
      <c r="F144" s="40">
        <f t="shared" si="6"/>
        <v>48.810523369717323</v>
      </c>
      <c r="G144" s="39">
        <v>7299</v>
      </c>
      <c r="H144" s="39">
        <v>6036</v>
      </c>
      <c r="I144" s="40">
        <f t="shared" si="7"/>
        <v>82.696259761611174</v>
      </c>
    </row>
    <row r="145" spans="1:9" ht="15.75" customHeight="1">
      <c r="A145" s="5">
        <v>31002</v>
      </c>
      <c r="B145" s="4" t="s">
        <v>105</v>
      </c>
      <c r="C145" s="37" t="s">
        <v>129</v>
      </c>
      <c r="D145" s="39">
        <v>975</v>
      </c>
      <c r="E145" s="39">
        <v>359</v>
      </c>
      <c r="F145" s="40">
        <f t="shared" si="6"/>
        <v>36.820512820512818</v>
      </c>
      <c r="G145" s="39">
        <v>803</v>
      </c>
      <c r="H145" s="39">
        <v>604</v>
      </c>
      <c r="I145" s="40">
        <f t="shared" si="7"/>
        <v>75.217932752179323</v>
      </c>
    </row>
    <row r="146" spans="1:9" ht="15.75" customHeight="1">
      <c r="A146" s="5">
        <v>31003</v>
      </c>
      <c r="B146" s="4" t="s">
        <v>105</v>
      </c>
      <c r="C146" s="37" t="s">
        <v>130</v>
      </c>
      <c r="D146" s="39">
        <v>3779</v>
      </c>
      <c r="E146" s="39">
        <v>1404</v>
      </c>
      <c r="F146" s="40">
        <f t="shared" si="6"/>
        <v>37.152685895739609</v>
      </c>
      <c r="G146" s="39">
        <v>3633</v>
      </c>
      <c r="H146" s="39">
        <v>2794</v>
      </c>
      <c r="I146" s="40">
        <f t="shared" si="7"/>
        <v>76.906138177814469</v>
      </c>
    </row>
    <row r="147" spans="1:9" ht="15.75" customHeight="1">
      <c r="A147" s="5">
        <v>31101</v>
      </c>
      <c r="B147" s="4" t="s">
        <v>105</v>
      </c>
      <c r="C147" s="37" t="s">
        <v>131</v>
      </c>
      <c r="D147" s="39">
        <v>1121</v>
      </c>
      <c r="E147" s="39">
        <v>431</v>
      </c>
      <c r="F147" s="40">
        <f t="shared" si="6"/>
        <v>38.447814451382698</v>
      </c>
      <c r="G147" s="39">
        <v>941</v>
      </c>
      <c r="H147" s="39">
        <v>471</v>
      </c>
      <c r="I147" s="40">
        <f t="shared" si="7"/>
        <v>50.053134962805522</v>
      </c>
    </row>
    <row r="148" spans="1:9" ht="15.75" customHeight="1">
      <c r="A148" s="5">
        <v>31201</v>
      </c>
      <c r="B148" s="4" t="s">
        <v>105</v>
      </c>
      <c r="C148" s="37" t="s">
        <v>132</v>
      </c>
      <c r="D148" s="39">
        <v>763</v>
      </c>
      <c r="E148" s="39">
        <v>176</v>
      </c>
      <c r="F148" s="40">
        <f t="shared" si="6"/>
        <v>23.066841415465269</v>
      </c>
      <c r="G148" s="39">
        <v>599</v>
      </c>
      <c r="H148" s="39">
        <v>411</v>
      </c>
      <c r="I148" s="40">
        <f t="shared" si="7"/>
        <v>68.61435726210351</v>
      </c>
    </row>
    <row r="149" spans="1:9" ht="15.75" customHeight="1">
      <c r="A149" s="5">
        <v>31202</v>
      </c>
      <c r="B149" s="4" t="s">
        <v>105</v>
      </c>
      <c r="C149" s="37" t="s">
        <v>133</v>
      </c>
      <c r="D149" s="39">
        <v>556</v>
      </c>
      <c r="E149" s="39">
        <v>136</v>
      </c>
      <c r="F149" s="40">
        <f t="shared" si="6"/>
        <v>24.46043165467626</v>
      </c>
      <c r="G149" s="39">
        <v>488</v>
      </c>
      <c r="H149" s="39">
        <v>313</v>
      </c>
      <c r="I149" s="40">
        <f t="shared" si="7"/>
        <v>64.139344262295083</v>
      </c>
    </row>
    <row r="150" spans="1:9" ht="15.75" customHeight="1">
      <c r="A150" s="5">
        <v>31203</v>
      </c>
      <c r="B150" s="4" t="s">
        <v>105</v>
      </c>
      <c r="C150" s="37" t="s">
        <v>134</v>
      </c>
      <c r="D150" s="39">
        <v>476</v>
      </c>
      <c r="E150" s="39">
        <v>172</v>
      </c>
      <c r="F150" s="40">
        <f t="shared" si="6"/>
        <v>36.134453781512605</v>
      </c>
      <c r="G150" s="39">
        <v>401</v>
      </c>
      <c r="H150" s="39">
        <v>318</v>
      </c>
      <c r="I150" s="40">
        <f t="shared" si="7"/>
        <v>79.301745635910223</v>
      </c>
    </row>
    <row r="151" spans="1:9" ht="15.75" customHeight="1">
      <c r="A151" s="5">
        <v>31204</v>
      </c>
      <c r="B151" s="4" t="s">
        <v>105</v>
      </c>
      <c r="C151" s="37" t="s">
        <v>135</v>
      </c>
      <c r="D151" s="39">
        <v>1134</v>
      </c>
      <c r="E151" s="39">
        <v>459</v>
      </c>
      <c r="F151" s="40">
        <f t="shared" si="6"/>
        <v>40.476190476190474</v>
      </c>
      <c r="G151" s="39">
        <v>1024</v>
      </c>
      <c r="H151" s="39">
        <v>844</v>
      </c>
      <c r="I151" s="40">
        <f t="shared" si="7"/>
        <v>82.421875</v>
      </c>
    </row>
    <row r="152" spans="1:9" ht="15.75" customHeight="1">
      <c r="A152" s="5">
        <v>31205</v>
      </c>
      <c r="B152" s="4" t="s">
        <v>105</v>
      </c>
      <c r="C152" s="37" t="s">
        <v>136</v>
      </c>
      <c r="D152" s="39">
        <v>2239</v>
      </c>
      <c r="E152" s="39">
        <v>839</v>
      </c>
      <c r="F152" s="40">
        <f t="shared" si="6"/>
        <v>37.472085752568113</v>
      </c>
      <c r="G152" s="39">
        <v>2634</v>
      </c>
      <c r="H152" s="39">
        <v>1919</v>
      </c>
      <c r="I152" s="40">
        <f t="shared" si="7"/>
        <v>72.854973424449511</v>
      </c>
    </row>
    <row r="153" spans="1:9" ht="15.75" customHeight="1">
      <c r="A153" s="5">
        <v>31206</v>
      </c>
      <c r="B153" s="4" t="s">
        <v>105</v>
      </c>
      <c r="C153" s="37" t="s">
        <v>137</v>
      </c>
      <c r="D153" s="39">
        <v>1520</v>
      </c>
      <c r="E153" s="39">
        <v>485</v>
      </c>
      <c r="F153" s="40">
        <f t="shared" si="6"/>
        <v>31.907894736842106</v>
      </c>
      <c r="G153" s="39">
        <v>1855</v>
      </c>
      <c r="H153" s="39">
        <v>1347</v>
      </c>
      <c r="I153" s="40">
        <f t="shared" si="7"/>
        <v>72.614555256064691</v>
      </c>
    </row>
    <row r="154" spans="1:9" ht="15.75" customHeight="1">
      <c r="A154" s="5">
        <v>31301</v>
      </c>
      <c r="B154" s="4" t="s">
        <v>105</v>
      </c>
      <c r="C154" s="37" t="s">
        <v>138</v>
      </c>
      <c r="D154" s="39">
        <v>1465</v>
      </c>
      <c r="E154" s="39">
        <v>498</v>
      </c>
      <c r="F154" s="40">
        <f t="shared" si="6"/>
        <v>33.993174061433443</v>
      </c>
      <c r="G154" s="39">
        <v>744</v>
      </c>
      <c r="H154" s="39">
        <v>541</v>
      </c>
      <c r="I154" s="40">
        <f t="shared" si="7"/>
        <v>72.715053763440864</v>
      </c>
    </row>
    <row r="155" spans="1:9" ht="15.75" customHeight="1">
      <c r="A155" s="5">
        <v>31302</v>
      </c>
      <c r="B155" s="4" t="s">
        <v>105</v>
      </c>
      <c r="C155" s="37" t="s">
        <v>139</v>
      </c>
      <c r="D155" s="39">
        <v>308</v>
      </c>
      <c r="E155" s="39">
        <v>82</v>
      </c>
      <c r="F155" s="40">
        <f t="shared" si="6"/>
        <v>26.623376623376622</v>
      </c>
      <c r="G155" s="39">
        <v>240</v>
      </c>
      <c r="H155" s="39">
        <v>133</v>
      </c>
      <c r="I155" s="40">
        <f t="shared" si="7"/>
        <v>55.416666666666671</v>
      </c>
    </row>
    <row r="156" spans="1:9" ht="15.75" customHeight="1">
      <c r="A156" s="5">
        <v>31303</v>
      </c>
      <c r="B156" s="4" t="s">
        <v>105</v>
      </c>
      <c r="C156" s="37" t="s">
        <v>140</v>
      </c>
      <c r="D156" s="39">
        <v>182</v>
      </c>
      <c r="E156" s="39">
        <v>43</v>
      </c>
      <c r="F156" s="40">
        <f t="shared" si="6"/>
        <v>23.626373626373624</v>
      </c>
      <c r="G156" s="39">
        <v>115</v>
      </c>
      <c r="H156" s="39">
        <v>76</v>
      </c>
      <c r="I156" s="40">
        <f t="shared" si="7"/>
        <v>66.086956521739125</v>
      </c>
    </row>
    <row r="157" spans="1:9" ht="15.75" customHeight="1">
      <c r="A157" s="5">
        <v>31304</v>
      </c>
      <c r="B157" s="4" t="s">
        <v>105</v>
      </c>
      <c r="C157" s="37" t="s">
        <v>141</v>
      </c>
      <c r="D157" s="38"/>
      <c r="E157" s="38"/>
      <c r="F157" s="40"/>
      <c r="G157" s="39">
        <v>330</v>
      </c>
      <c r="H157" s="39">
        <v>160</v>
      </c>
      <c r="I157" s="40">
        <f t="shared" si="7"/>
        <v>48.484848484848484</v>
      </c>
    </row>
    <row r="158" spans="1:9" ht="15.75" customHeight="1">
      <c r="A158" s="5">
        <v>31401</v>
      </c>
      <c r="B158" s="4" t="s">
        <v>105</v>
      </c>
      <c r="C158" s="37" t="s">
        <v>142</v>
      </c>
      <c r="D158" s="39">
        <v>1047</v>
      </c>
      <c r="E158" s="39">
        <v>476</v>
      </c>
      <c r="F158" s="40">
        <f t="shared" ref="F158:F189" si="8">E158/D158*100</f>
        <v>45.463228271251197</v>
      </c>
      <c r="G158" s="39">
        <v>1108</v>
      </c>
      <c r="H158" s="39">
        <v>888</v>
      </c>
      <c r="I158" s="40">
        <f t="shared" si="7"/>
        <v>80.144404332129966</v>
      </c>
    </row>
    <row r="159" spans="1:9" ht="15.75" customHeight="1">
      <c r="A159" s="5">
        <v>31402</v>
      </c>
      <c r="B159" s="4" t="s">
        <v>105</v>
      </c>
      <c r="C159" s="37" t="s">
        <v>143</v>
      </c>
      <c r="D159" s="39">
        <v>336</v>
      </c>
      <c r="E159" s="39">
        <v>127</v>
      </c>
      <c r="F159" s="40">
        <f t="shared" si="8"/>
        <v>37.797619047619044</v>
      </c>
      <c r="G159" s="39">
        <v>285</v>
      </c>
      <c r="H159" s="39">
        <v>237</v>
      </c>
      <c r="I159" s="40">
        <f t="shared" si="7"/>
        <v>83.15789473684211</v>
      </c>
    </row>
    <row r="160" spans="1:9" ht="15.75" customHeight="1">
      <c r="A160" s="5">
        <v>31403</v>
      </c>
      <c r="B160" s="4" t="s">
        <v>105</v>
      </c>
      <c r="C160" s="37" t="s">
        <v>144</v>
      </c>
      <c r="D160" s="39">
        <v>477</v>
      </c>
      <c r="E160" s="39">
        <v>202</v>
      </c>
      <c r="F160" s="40">
        <f t="shared" si="8"/>
        <v>42.348008385744237</v>
      </c>
      <c r="G160" s="39">
        <v>444</v>
      </c>
      <c r="H160" s="39">
        <v>378</v>
      </c>
      <c r="I160" s="40">
        <f t="shared" si="7"/>
        <v>85.13513513513513</v>
      </c>
    </row>
    <row r="161" spans="1:9" ht="15.75" customHeight="1">
      <c r="A161" s="5">
        <v>31404</v>
      </c>
      <c r="B161" s="4" t="s">
        <v>105</v>
      </c>
      <c r="C161" s="37" t="s">
        <v>145</v>
      </c>
      <c r="D161" s="39">
        <v>44</v>
      </c>
      <c r="E161" s="39">
        <v>20</v>
      </c>
      <c r="F161" s="40">
        <f t="shared" si="8"/>
        <v>45.454545454545453</v>
      </c>
      <c r="G161" s="39">
        <v>37</v>
      </c>
      <c r="H161" s="39">
        <v>33</v>
      </c>
      <c r="I161" s="40">
        <f t="shared" si="7"/>
        <v>89.189189189189193</v>
      </c>
    </row>
    <row r="162" spans="1:9" ht="15.75" customHeight="1">
      <c r="A162" s="5">
        <v>31405</v>
      </c>
      <c r="B162" s="4" t="s">
        <v>105</v>
      </c>
      <c r="C162" s="37" t="s">
        <v>339</v>
      </c>
      <c r="D162" s="39">
        <v>113</v>
      </c>
      <c r="E162" s="39">
        <v>55</v>
      </c>
      <c r="F162" s="40">
        <f t="shared" si="8"/>
        <v>48.672566371681413</v>
      </c>
      <c r="G162" s="39">
        <v>123</v>
      </c>
      <c r="H162" s="39">
        <v>100</v>
      </c>
      <c r="I162" s="40">
        <f t="shared" si="7"/>
        <v>81.300813008130078</v>
      </c>
    </row>
    <row r="163" spans="1:9" ht="15.75" customHeight="1">
      <c r="A163" s="5">
        <v>31501</v>
      </c>
      <c r="B163" s="4" t="s">
        <v>105</v>
      </c>
      <c r="C163" s="37" t="s">
        <v>340</v>
      </c>
      <c r="D163" s="39">
        <v>335</v>
      </c>
      <c r="E163" s="39">
        <v>81</v>
      </c>
      <c r="F163" s="40">
        <f t="shared" si="8"/>
        <v>24.17910447761194</v>
      </c>
      <c r="G163" s="39">
        <v>318</v>
      </c>
      <c r="H163" s="39">
        <v>218</v>
      </c>
      <c r="I163" s="40">
        <f t="shared" si="7"/>
        <v>68.55345911949685</v>
      </c>
    </row>
    <row r="164" spans="1:9" ht="15.75" customHeight="1">
      <c r="A164" s="5">
        <v>31601</v>
      </c>
      <c r="B164" s="4" t="s">
        <v>105</v>
      </c>
      <c r="C164" s="37" t="s">
        <v>146</v>
      </c>
      <c r="D164" s="39">
        <v>1088</v>
      </c>
      <c r="E164" s="39">
        <v>370</v>
      </c>
      <c r="F164" s="40">
        <f t="shared" si="8"/>
        <v>34.007352941176471</v>
      </c>
      <c r="G164" s="39">
        <v>614</v>
      </c>
      <c r="H164" s="39">
        <v>433</v>
      </c>
      <c r="I164" s="40">
        <f t="shared" si="7"/>
        <v>70.521172638436482</v>
      </c>
    </row>
    <row r="165" spans="1:9" ht="15.75" customHeight="1">
      <c r="A165" s="5">
        <v>31602</v>
      </c>
      <c r="B165" s="4" t="s">
        <v>105</v>
      </c>
      <c r="C165" s="37" t="s">
        <v>147</v>
      </c>
      <c r="D165" s="39">
        <v>990</v>
      </c>
      <c r="E165" s="39">
        <v>332</v>
      </c>
      <c r="F165" s="40">
        <f t="shared" si="8"/>
        <v>33.535353535353536</v>
      </c>
      <c r="G165" s="39">
        <v>1073</v>
      </c>
      <c r="H165" s="39">
        <v>825</v>
      </c>
      <c r="I165" s="40">
        <f t="shared" si="7"/>
        <v>76.887232059645854</v>
      </c>
    </row>
    <row r="166" spans="1:9" ht="15.75" customHeight="1">
      <c r="A166" s="5">
        <v>40101</v>
      </c>
      <c r="B166" s="4" t="s">
        <v>148</v>
      </c>
      <c r="C166" s="37" t="s">
        <v>148</v>
      </c>
      <c r="D166" s="39">
        <v>11284</v>
      </c>
      <c r="E166" s="39">
        <v>6021</v>
      </c>
      <c r="F166" s="40">
        <f t="shared" si="8"/>
        <v>53.358738036157391</v>
      </c>
      <c r="G166" s="39">
        <v>9805</v>
      </c>
      <c r="H166" s="39">
        <v>8817</v>
      </c>
      <c r="I166" s="40">
        <f t="shared" si="7"/>
        <v>89.923508414074448</v>
      </c>
    </row>
    <row r="167" spans="1:9" ht="15.75" customHeight="1">
      <c r="A167" s="5">
        <v>40102</v>
      </c>
      <c r="B167" s="4" t="s">
        <v>148</v>
      </c>
      <c r="C167" s="37" t="s">
        <v>149</v>
      </c>
      <c r="D167" s="39">
        <v>1012</v>
      </c>
      <c r="E167" s="39">
        <v>412</v>
      </c>
      <c r="F167" s="40">
        <f t="shared" si="8"/>
        <v>40.711462450592883</v>
      </c>
      <c r="G167" s="39">
        <v>732</v>
      </c>
      <c r="H167" s="39">
        <v>636</v>
      </c>
      <c r="I167" s="40">
        <f t="shared" si="7"/>
        <v>86.885245901639337</v>
      </c>
    </row>
    <row r="168" spans="1:9" ht="15.75" customHeight="1">
      <c r="A168" s="5">
        <v>40103</v>
      </c>
      <c r="B168" s="4" t="s">
        <v>148</v>
      </c>
      <c r="C168" s="37" t="s">
        <v>150</v>
      </c>
      <c r="D168" s="39">
        <v>356</v>
      </c>
      <c r="E168" s="39">
        <v>150</v>
      </c>
      <c r="F168" s="40">
        <f t="shared" si="8"/>
        <v>42.134831460674157</v>
      </c>
      <c r="G168" s="39">
        <v>468</v>
      </c>
      <c r="H168" s="39">
        <v>252</v>
      </c>
      <c r="I168" s="40">
        <f t="shared" si="7"/>
        <v>53.846153846153847</v>
      </c>
    </row>
    <row r="169" spans="1:9" ht="15.75" customHeight="1">
      <c r="A169" s="5">
        <v>40104</v>
      </c>
      <c r="B169" s="4" t="s">
        <v>148</v>
      </c>
      <c r="C169" s="37" t="s">
        <v>341</v>
      </c>
      <c r="D169" s="39">
        <v>530</v>
      </c>
      <c r="E169" s="39">
        <v>202</v>
      </c>
      <c r="F169" s="40">
        <f t="shared" si="8"/>
        <v>38.113207547169814</v>
      </c>
      <c r="G169" s="39">
        <v>569</v>
      </c>
      <c r="H169" s="39">
        <v>494</v>
      </c>
      <c r="I169" s="40">
        <f t="shared" si="7"/>
        <v>86.818980667838304</v>
      </c>
    </row>
    <row r="170" spans="1:9" ht="15.75" customHeight="1">
      <c r="A170" s="5">
        <v>40201</v>
      </c>
      <c r="B170" s="4" t="s">
        <v>148</v>
      </c>
      <c r="C170" s="37" t="s">
        <v>151</v>
      </c>
      <c r="D170" s="39">
        <v>1249</v>
      </c>
      <c r="E170" s="39">
        <v>433</v>
      </c>
      <c r="F170" s="40">
        <f t="shared" si="8"/>
        <v>34.667734187349879</v>
      </c>
      <c r="G170" s="39">
        <v>1299</v>
      </c>
      <c r="H170" s="39">
        <v>1055</v>
      </c>
      <c r="I170" s="40">
        <f t="shared" si="7"/>
        <v>81.216320246343344</v>
      </c>
    </row>
    <row r="171" spans="1:9" ht="15.75" customHeight="1">
      <c r="A171" s="5">
        <v>40202</v>
      </c>
      <c r="B171" s="4" t="s">
        <v>148</v>
      </c>
      <c r="C171" s="37" t="s">
        <v>152</v>
      </c>
      <c r="D171" s="39">
        <v>166</v>
      </c>
      <c r="E171" s="39">
        <v>83</v>
      </c>
      <c r="F171" s="40">
        <f t="shared" si="8"/>
        <v>50</v>
      </c>
      <c r="G171" s="39">
        <v>148</v>
      </c>
      <c r="H171" s="39">
        <v>127</v>
      </c>
      <c r="I171" s="40">
        <f t="shared" si="7"/>
        <v>85.810810810810807</v>
      </c>
    </row>
    <row r="172" spans="1:9" ht="15.75" customHeight="1">
      <c r="A172" s="5">
        <v>40301</v>
      </c>
      <c r="B172" s="4" t="s">
        <v>148</v>
      </c>
      <c r="C172" s="37" t="s">
        <v>154</v>
      </c>
      <c r="D172" s="39">
        <v>382</v>
      </c>
      <c r="E172" s="39">
        <v>177</v>
      </c>
      <c r="F172" s="40">
        <f t="shared" si="8"/>
        <v>46.335078534031418</v>
      </c>
      <c r="G172" s="39">
        <v>532</v>
      </c>
      <c r="H172" s="39">
        <v>435</v>
      </c>
      <c r="I172" s="40">
        <f t="shared" si="7"/>
        <v>81.766917293233092</v>
      </c>
    </row>
    <row r="173" spans="1:9" ht="15.75" customHeight="1">
      <c r="A173" s="5">
        <v>40302</v>
      </c>
      <c r="B173" s="4" t="s">
        <v>148</v>
      </c>
      <c r="C173" s="37" t="s">
        <v>155</v>
      </c>
      <c r="D173" s="39">
        <v>74</v>
      </c>
      <c r="E173" s="39">
        <v>43</v>
      </c>
      <c r="F173" s="40">
        <f t="shared" si="8"/>
        <v>58.108108108108105</v>
      </c>
      <c r="G173" s="39">
        <v>89</v>
      </c>
      <c r="H173" s="39">
        <v>81</v>
      </c>
      <c r="I173" s="40">
        <f t="shared" si="7"/>
        <v>91.011235955056179</v>
      </c>
    </row>
    <row r="174" spans="1:9" ht="15.75" customHeight="1">
      <c r="A174" s="5">
        <v>40401</v>
      </c>
      <c r="B174" s="4" t="s">
        <v>148</v>
      </c>
      <c r="C174" s="37" t="s">
        <v>156</v>
      </c>
      <c r="D174" s="39">
        <v>165</v>
      </c>
      <c r="E174" s="39">
        <v>75</v>
      </c>
      <c r="F174" s="40">
        <f t="shared" si="8"/>
        <v>45.454545454545453</v>
      </c>
      <c r="G174" s="39">
        <v>189</v>
      </c>
      <c r="H174" s="39">
        <v>157</v>
      </c>
      <c r="I174" s="40">
        <f t="shared" si="7"/>
        <v>83.068783068783063</v>
      </c>
    </row>
    <row r="175" spans="1:9" ht="15.75" customHeight="1">
      <c r="A175" s="5">
        <v>40402</v>
      </c>
      <c r="B175" s="4" t="s">
        <v>148</v>
      </c>
      <c r="C175" s="37" t="s">
        <v>157</v>
      </c>
      <c r="D175" s="39">
        <v>201</v>
      </c>
      <c r="E175" s="39">
        <v>107</v>
      </c>
      <c r="F175" s="40">
        <f t="shared" si="8"/>
        <v>53.233830845771145</v>
      </c>
      <c r="G175" s="39">
        <v>166</v>
      </c>
      <c r="H175" s="39">
        <v>137</v>
      </c>
      <c r="I175" s="40">
        <f t="shared" si="7"/>
        <v>82.53012048192771</v>
      </c>
    </row>
    <row r="176" spans="1:9" ht="15.75" customHeight="1">
      <c r="A176" s="5">
        <v>40501</v>
      </c>
      <c r="B176" s="4" t="s">
        <v>148</v>
      </c>
      <c r="C176" s="37" t="s">
        <v>158</v>
      </c>
      <c r="D176" s="39">
        <v>34</v>
      </c>
      <c r="E176" s="39">
        <v>12</v>
      </c>
      <c r="F176" s="40">
        <f t="shared" si="8"/>
        <v>35.294117647058826</v>
      </c>
      <c r="G176" s="39">
        <v>127</v>
      </c>
      <c r="H176" s="39">
        <v>98</v>
      </c>
      <c r="I176" s="40">
        <f t="shared" si="7"/>
        <v>77.165354330708652</v>
      </c>
    </row>
    <row r="177" spans="1:9" ht="15.75" customHeight="1">
      <c r="A177" s="5">
        <v>40502</v>
      </c>
      <c r="B177" s="4" t="s">
        <v>148</v>
      </c>
      <c r="C177" s="37" t="s">
        <v>159</v>
      </c>
      <c r="D177" s="39">
        <v>187</v>
      </c>
      <c r="E177" s="39">
        <v>76</v>
      </c>
      <c r="F177" s="40">
        <f t="shared" si="8"/>
        <v>40.641711229946523</v>
      </c>
      <c r="G177" s="39">
        <v>180</v>
      </c>
      <c r="H177" s="39">
        <v>127</v>
      </c>
      <c r="I177" s="40">
        <f t="shared" si="7"/>
        <v>70.555555555555557</v>
      </c>
    </row>
    <row r="178" spans="1:9" ht="15.75" customHeight="1">
      <c r="A178" s="5">
        <v>40503</v>
      </c>
      <c r="B178" s="4" t="s">
        <v>148</v>
      </c>
      <c r="C178" s="37" t="s">
        <v>160</v>
      </c>
      <c r="D178" s="39">
        <v>80</v>
      </c>
      <c r="E178" s="39">
        <v>26</v>
      </c>
      <c r="F178" s="40">
        <f t="shared" si="8"/>
        <v>32.5</v>
      </c>
      <c r="G178" s="39">
        <v>53</v>
      </c>
      <c r="H178" s="39">
        <v>39</v>
      </c>
      <c r="I178" s="40">
        <f t="shared" si="7"/>
        <v>73.584905660377359</v>
      </c>
    </row>
    <row r="179" spans="1:9" ht="15.75" customHeight="1">
      <c r="A179" s="5">
        <v>40504</v>
      </c>
      <c r="B179" s="4" t="s">
        <v>148</v>
      </c>
      <c r="C179" s="37" t="s">
        <v>161</v>
      </c>
      <c r="D179" s="39">
        <v>24</v>
      </c>
      <c r="E179" s="39">
        <v>12</v>
      </c>
      <c r="F179" s="40">
        <f t="shared" si="8"/>
        <v>50</v>
      </c>
      <c r="G179" s="39">
        <v>34</v>
      </c>
      <c r="H179" s="39">
        <v>28</v>
      </c>
      <c r="I179" s="40">
        <f t="shared" si="7"/>
        <v>82.35294117647058</v>
      </c>
    </row>
    <row r="180" spans="1:9" ht="15.75" customHeight="1">
      <c r="A180" s="5">
        <v>40505</v>
      </c>
      <c r="B180" s="4" t="s">
        <v>148</v>
      </c>
      <c r="C180" s="37" t="s">
        <v>162</v>
      </c>
      <c r="D180" s="39">
        <v>131</v>
      </c>
      <c r="E180" s="39">
        <v>64</v>
      </c>
      <c r="F180" s="40">
        <f t="shared" si="8"/>
        <v>48.854961832061065</v>
      </c>
      <c r="G180" s="39">
        <v>137</v>
      </c>
      <c r="H180" s="39">
        <v>93</v>
      </c>
      <c r="I180" s="40">
        <f t="shared" si="7"/>
        <v>67.883211678832112</v>
      </c>
    </row>
    <row r="181" spans="1:9" ht="15.75" customHeight="1">
      <c r="A181" s="5">
        <v>40601</v>
      </c>
      <c r="B181" s="4" t="s">
        <v>148</v>
      </c>
      <c r="C181" s="37" t="s">
        <v>163</v>
      </c>
      <c r="D181" s="39">
        <v>283</v>
      </c>
      <c r="E181" s="39">
        <v>173</v>
      </c>
      <c r="F181" s="40">
        <f t="shared" si="8"/>
        <v>61.130742049469966</v>
      </c>
      <c r="G181" s="39">
        <v>316</v>
      </c>
      <c r="H181" s="39">
        <v>279</v>
      </c>
      <c r="I181" s="40">
        <f t="shared" si="7"/>
        <v>88.29113924050634</v>
      </c>
    </row>
    <row r="182" spans="1:9" ht="15.75" customHeight="1">
      <c r="A182" s="5">
        <v>40602</v>
      </c>
      <c r="B182" s="4" t="s">
        <v>148</v>
      </c>
      <c r="C182" s="37" t="s">
        <v>164</v>
      </c>
      <c r="D182" s="39">
        <v>289</v>
      </c>
      <c r="E182" s="39">
        <v>154</v>
      </c>
      <c r="F182" s="40">
        <f t="shared" si="8"/>
        <v>53.287197231833908</v>
      </c>
      <c r="G182" s="39">
        <v>118</v>
      </c>
      <c r="H182" s="39">
        <v>102</v>
      </c>
      <c r="I182" s="40">
        <f t="shared" si="7"/>
        <v>86.440677966101703</v>
      </c>
    </row>
    <row r="183" spans="1:9" ht="15.75" customHeight="1">
      <c r="A183" s="5">
        <v>40603</v>
      </c>
      <c r="B183" s="4" t="s">
        <v>148</v>
      </c>
      <c r="C183" s="37" t="s">
        <v>165</v>
      </c>
      <c r="D183" s="39">
        <v>174</v>
      </c>
      <c r="E183" s="39">
        <v>108</v>
      </c>
      <c r="F183" s="40">
        <f t="shared" si="8"/>
        <v>62.068965517241381</v>
      </c>
      <c r="G183" s="39">
        <v>112</v>
      </c>
      <c r="H183" s="39">
        <v>97</v>
      </c>
      <c r="I183" s="40">
        <f t="shared" si="7"/>
        <v>86.607142857142861</v>
      </c>
    </row>
    <row r="184" spans="1:9" ht="15.75" customHeight="1">
      <c r="A184" s="5">
        <v>40701</v>
      </c>
      <c r="B184" s="4" t="s">
        <v>148</v>
      </c>
      <c r="C184" s="37" t="s">
        <v>166</v>
      </c>
      <c r="D184" s="39">
        <v>1204</v>
      </c>
      <c r="E184" s="39">
        <v>602</v>
      </c>
      <c r="F184" s="40">
        <f t="shared" si="8"/>
        <v>50</v>
      </c>
      <c r="G184" s="39">
        <v>660</v>
      </c>
      <c r="H184" s="39">
        <v>578</v>
      </c>
      <c r="I184" s="40">
        <f t="shared" si="7"/>
        <v>87.575757575757578</v>
      </c>
    </row>
    <row r="185" spans="1:9" ht="15.75" customHeight="1">
      <c r="A185" s="5">
        <v>40702</v>
      </c>
      <c r="B185" s="4" t="s">
        <v>148</v>
      </c>
      <c r="C185" s="37" t="s">
        <v>167</v>
      </c>
      <c r="D185" s="39">
        <v>202</v>
      </c>
      <c r="E185" s="39">
        <v>105</v>
      </c>
      <c r="F185" s="40">
        <f t="shared" si="8"/>
        <v>51.980198019801982</v>
      </c>
      <c r="G185" s="39">
        <v>163</v>
      </c>
      <c r="H185" s="39">
        <v>150</v>
      </c>
      <c r="I185" s="40">
        <f t="shared" si="7"/>
        <v>92.024539877300612</v>
      </c>
    </row>
    <row r="186" spans="1:9" ht="15.75" customHeight="1">
      <c r="A186" s="5">
        <v>40801</v>
      </c>
      <c r="B186" s="4" t="s">
        <v>148</v>
      </c>
      <c r="C186" s="37" t="s">
        <v>342</v>
      </c>
      <c r="D186" s="39">
        <v>533</v>
      </c>
      <c r="E186" s="39">
        <v>170</v>
      </c>
      <c r="F186" s="40">
        <f t="shared" si="8"/>
        <v>31.894934333958723</v>
      </c>
      <c r="G186" s="39">
        <v>591</v>
      </c>
      <c r="H186" s="39">
        <v>499</v>
      </c>
      <c r="I186" s="40">
        <f t="shared" si="7"/>
        <v>84.433164128595607</v>
      </c>
    </row>
    <row r="187" spans="1:9" ht="15.75" customHeight="1">
      <c r="A187" s="5">
        <v>40802</v>
      </c>
      <c r="B187" s="4" t="s">
        <v>148</v>
      </c>
      <c r="C187" s="37" t="s">
        <v>168</v>
      </c>
      <c r="D187" s="39">
        <v>147</v>
      </c>
      <c r="E187" s="39">
        <v>37</v>
      </c>
      <c r="F187" s="40">
        <f t="shared" si="8"/>
        <v>25.170068027210885</v>
      </c>
      <c r="G187" s="39">
        <v>93</v>
      </c>
      <c r="H187" s="39">
        <v>80</v>
      </c>
      <c r="I187" s="40">
        <f t="shared" si="7"/>
        <v>86.021505376344081</v>
      </c>
    </row>
    <row r="188" spans="1:9" ht="15.75" customHeight="1">
      <c r="A188" s="5">
        <v>40901</v>
      </c>
      <c r="B188" s="4" t="s">
        <v>148</v>
      </c>
      <c r="C188" s="37" t="s">
        <v>169</v>
      </c>
      <c r="D188" s="39">
        <v>410</v>
      </c>
      <c r="E188" s="39">
        <v>191</v>
      </c>
      <c r="F188" s="40">
        <f t="shared" si="8"/>
        <v>46.585365853658537</v>
      </c>
      <c r="G188" s="39">
        <v>552</v>
      </c>
      <c r="H188" s="39">
        <v>419</v>
      </c>
      <c r="I188" s="40">
        <f t="shared" si="7"/>
        <v>75.905797101449281</v>
      </c>
    </row>
    <row r="189" spans="1:9" ht="15.75" customHeight="1">
      <c r="A189" s="5">
        <v>40902</v>
      </c>
      <c r="B189" s="4" t="s">
        <v>148</v>
      </c>
      <c r="C189" s="37" t="s">
        <v>170</v>
      </c>
      <c r="D189" s="39">
        <v>40</v>
      </c>
      <c r="E189" s="39">
        <v>21</v>
      </c>
      <c r="F189" s="40">
        <f t="shared" si="8"/>
        <v>52.5</v>
      </c>
      <c r="G189" s="39">
        <v>97</v>
      </c>
      <c r="H189" s="39">
        <v>78</v>
      </c>
      <c r="I189" s="40">
        <f t="shared" si="7"/>
        <v>80.412371134020617</v>
      </c>
    </row>
    <row r="190" spans="1:9" ht="15.75" customHeight="1">
      <c r="A190" s="5">
        <v>40903</v>
      </c>
      <c r="B190" s="4" t="s">
        <v>148</v>
      </c>
      <c r="C190" s="37" t="s">
        <v>343</v>
      </c>
      <c r="D190" s="39">
        <v>100</v>
      </c>
      <c r="E190" s="39">
        <v>35</v>
      </c>
      <c r="F190" s="40">
        <f t="shared" ref="F190:F215" si="9">E190/D190*100</f>
        <v>35</v>
      </c>
      <c r="G190" s="39">
        <v>107</v>
      </c>
      <c r="H190" s="39">
        <v>85</v>
      </c>
      <c r="I190" s="40">
        <f t="shared" si="7"/>
        <v>79.43925233644859</v>
      </c>
    </row>
    <row r="191" spans="1:9" ht="15.75" customHeight="1">
      <c r="A191" s="5">
        <v>41001</v>
      </c>
      <c r="B191" s="4" t="s">
        <v>148</v>
      </c>
      <c r="C191" s="37" t="s">
        <v>171</v>
      </c>
      <c r="D191" s="39">
        <v>437</v>
      </c>
      <c r="E191" s="39">
        <v>209</v>
      </c>
      <c r="F191" s="40">
        <f t="shared" si="9"/>
        <v>47.826086956521742</v>
      </c>
      <c r="G191" s="39">
        <v>299</v>
      </c>
      <c r="H191" s="39">
        <v>243</v>
      </c>
      <c r="I191" s="40">
        <f t="shared" si="7"/>
        <v>81.27090301003345</v>
      </c>
    </row>
    <row r="192" spans="1:9" ht="15.75" customHeight="1">
      <c r="A192" s="5">
        <v>41101</v>
      </c>
      <c r="B192" s="4" t="s">
        <v>148</v>
      </c>
      <c r="C192" s="37" t="s">
        <v>172</v>
      </c>
      <c r="D192" s="39">
        <v>223</v>
      </c>
      <c r="E192" s="39">
        <v>114</v>
      </c>
      <c r="F192" s="40">
        <f t="shared" si="9"/>
        <v>51.121076233183857</v>
      </c>
      <c r="G192" s="39">
        <v>175</v>
      </c>
      <c r="H192" s="39">
        <v>148</v>
      </c>
      <c r="I192" s="40">
        <f t="shared" si="7"/>
        <v>84.571428571428569</v>
      </c>
    </row>
    <row r="193" spans="1:9" ht="15.75" customHeight="1">
      <c r="A193" s="5">
        <v>41201</v>
      </c>
      <c r="B193" s="4" t="s">
        <v>148</v>
      </c>
      <c r="C193" s="37" t="s">
        <v>344</v>
      </c>
      <c r="D193" s="39">
        <v>202</v>
      </c>
      <c r="E193" s="39">
        <v>99</v>
      </c>
      <c r="F193" s="40">
        <f t="shared" si="9"/>
        <v>49.009900990099013</v>
      </c>
      <c r="G193" s="39">
        <v>181</v>
      </c>
      <c r="H193" s="39">
        <v>157</v>
      </c>
      <c r="I193" s="40">
        <f t="shared" si="7"/>
        <v>86.740331491712709</v>
      </c>
    </row>
    <row r="194" spans="1:9" ht="15.75" customHeight="1">
      <c r="A194" s="5">
        <v>41202</v>
      </c>
      <c r="B194" s="4" t="s">
        <v>148</v>
      </c>
      <c r="C194" s="37" t="s">
        <v>173</v>
      </c>
      <c r="D194" s="39">
        <v>77</v>
      </c>
      <c r="E194" s="39">
        <v>34</v>
      </c>
      <c r="F194" s="40">
        <f t="shared" si="9"/>
        <v>44.155844155844157</v>
      </c>
      <c r="G194" s="39">
        <v>91</v>
      </c>
      <c r="H194" s="39">
        <v>82</v>
      </c>
      <c r="I194" s="40">
        <f t="shared" si="7"/>
        <v>90.109890109890117</v>
      </c>
    </row>
    <row r="195" spans="1:9" ht="15.75" customHeight="1">
      <c r="A195" s="5">
        <v>41301</v>
      </c>
      <c r="B195" s="4" t="s">
        <v>148</v>
      </c>
      <c r="C195" s="37" t="s">
        <v>174</v>
      </c>
      <c r="D195" s="39">
        <v>247</v>
      </c>
      <c r="E195" s="39">
        <v>108</v>
      </c>
      <c r="F195" s="40">
        <f t="shared" si="9"/>
        <v>43.724696356275302</v>
      </c>
      <c r="G195" s="39">
        <v>200</v>
      </c>
      <c r="H195" s="39">
        <v>159</v>
      </c>
      <c r="I195" s="40">
        <f t="shared" ref="I195:I258" si="10">H195/G195*100</f>
        <v>79.5</v>
      </c>
    </row>
    <row r="196" spans="1:9" ht="15.75" customHeight="1">
      <c r="A196" s="5">
        <v>41401</v>
      </c>
      <c r="B196" s="4" t="s">
        <v>148</v>
      </c>
      <c r="C196" s="37" t="s">
        <v>175</v>
      </c>
      <c r="D196" s="39">
        <v>554</v>
      </c>
      <c r="E196" s="39">
        <v>225</v>
      </c>
      <c r="F196" s="40">
        <f t="shared" si="9"/>
        <v>40.613718411552348</v>
      </c>
      <c r="G196" s="39">
        <v>482</v>
      </c>
      <c r="H196" s="39">
        <v>317</v>
      </c>
      <c r="I196" s="40">
        <f t="shared" si="10"/>
        <v>65.767634854771785</v>
      </c>
    </row>
    <row r="197" spans="1:9" ht="15.75" customHeight="1">
      <c r="A197" s="5">
        <v>41501</v>
      </c>
      <c r="B197" s="4" t="s">
        <v>148</v>
      </c>
      <c r="C197" s="37" t="s">
        <v>176</v>
      </c>
      <c r="D197" s="39">
        <v>25</v>
      </c>
      <c r="E197" s="39">
        <v>13</v>
      </c>
      <c r="F197" s="40">
        <f t="shared" si="9"/>
        <v>52</v>
      </c>
      <c r="G197" s="39">
        <v>38</v>
      </c>
      <c r="H197" s="39">
        <v>32</v>
      </c>
      <c r="I197" s="40">
        <f t="shared" si="10"/>
        <v>84.210526315789465</v>
      </c>
    </row>
    <row r="198" spans="1:9" ht="15.75" customHeight="1">
      <c r="A198" s="5">
        <v>41502</v>
      </c>
      <c r="B198" s="4" t="s">
        <v>148</v>
      </c>
      <c r="C198" s="37" t="s">
        <v>177</v>
      </c>
      <c r="D198" s="39">
        <v>37</v>
      </c>
      <c r="E198" s="39">
        <v>18</v>
      </c>
      <c r="F198" s="40">
        <f t="shared" si="9"/>
        <v>48.648648648648653</v>
      </c>
      <c r="G198" s="39">
        <v>41</v>
      </c>
      <c r="H198" s="39">
        <v>33</v>
      </c>
      <c r="I198" s="40">
        <f t="shared" si="10"/>
        <v>80.487804878048792</v>
      </c>
    </row>
    <row r="199" spans="1:9" ht="15.75" customHeight="1">
      <c r="A199" s="5">
        <v>41503</v>
      </c>
      <c r="B199" s="4" t="s">
        <v>148</v>
      </c>
      <c r="C199" s="37" t="s">
        <v>153</v>
      </c>
      <c r="D199" s="39">
        <v>33</v>
      </c>
      <c r="E199" s="39">
        <v>16</v>
      </c>
      <c r="F199" s="40">
        <f t="shared" si="9"/>
        <v>48.484848484848484</v>
      </c>
      <c r="G199" s="39">
        <v>43</v>
      </c>
      <c r="H199" s="39">
        <v>35</v>
      </c>
      <c r="I199" s="40">
        <f t="shared" si="10"/>
        <v>81.395348837209298</v>
      </c>
    </row>
    <row r="200" spans="1:9" ht="15.75" customHeight="1">
      <c r="A200" s="5">
        <v>41601</v>
      </c>
      <c r="B200" s="4" t="s">
        <v>148</v>
      </c>
      <c r="C200" s="37" t="s">
        <v>345</v>
      </c>
      <c r="D200" s="39">
        <v>180</v>
      </c>
      <c r="E200" s="39">
        <v>80</v>
      </c>
      <c r="F200" s="40">
        <f t="shared" si="9"/>
        <v>44.444444444444443</v>
      </c>
      <c r="G200" s="39">
        <v>132</v>
      </c>
      <c r="H200" s="39">
        <v>111</v>
      </c>
      <c r="I200" s="40">
        <f t="shared" si="10"/>
        <v>84.090909090909093</v>
      </c>
    </row>
    <row r="201" spans="1:9" ht="15.75" customHeight="1">
      <c r="A201" s="5">
        <v>50101</v>
      </c>
      <c r="B201" s="4" t="s">
        <v>178</v>
      </c>
      <c r="C201" s="37" t="s">
        <v>178</v>
      </c>
      <c r="D201" s="39">
        <v>8781</v>
      </c>
      <c r="E201" s="39">
        <v>5192</v>
      </c>
      <c r="F201" s="40">
        <f t="shared" si="9"/>
        <v>59.127661997494599</v>
      </c>
      <c r="G201" s="39">
        <v>8258</v>
      </c>
      <c r="H201" s="39">
        <v>7338</v>
      </c>
      <c r="I201" s="40">
        <f t="shared" si="10"/>
        <v>88.859287963187214</v>
      </c>
    </row>
    <row r="202" spans="1:9" ht="15.75" customHeight="1">
      <c r="A202" s="5">
        <v>50102</v>
      </c>
      <c r="B202" s="4" t="s">
        <v>178</v>
      </c>
      <c r="C202" s="37" t="s">
        <v>179</v>
      </c>
      <c r="D202" s="39">
        <v>1405</v>
      </c>
      <c r="E202" s="39">
        <v>562</v>
      </c>
      <c r="F202" s="40">
        <f t="shared" si="9"/>
        <v>40</v>
      </c>
      <c r="G202" s="39">
        <v>1339</v>
      </c>
      <c r="H202" s="39">
        <v>1106</v>
      </c>
      <c r="I202" s="40">
        <f t="shared" si="10"/>
        <v>82.59895444361463</v>
      </c>
    </row>
    <row r="203" spans="1:9" ht="15.75" customHeight="1">
      <c r="A203" s="5">
        <v>50103</v>
      </c>
      <c r="B203" s="4" t="s">
        <v>178</v>
      </c>
      <c r="C203" s="37" t="s">
        <v>180</v>
      </c>
      <c r="D203" s="39">
        <v>323</v>
      </c>
      <c r="E203" s="39">
        <v>203</v>
      </c>
      <c r="F203" s="40">
        <f t="shared" si="9"/>
        <v>62.848297213622295</v>
      </c>
      <c r="G203" s="39">
        <v>421</v>
      </c>
      <c r="H203" s="39">
        <v>363</v>
      </c>
      <c r="I203" s="40">
        <f t="shared" si="10"/>
        <v>86.223277909738712</v>
      </c>
    </row>
    <row r="204" spans="1:9" ht="15.75" customHeight="1">
      <c r="A204" s="5">
        <v>50104</v>
      </c>
      <c r="B204" s="4" t="s">
        <v>178</v>
      </c>
      <c r="C204" s="37" t="s">
        <v>346</v>
      </c>
      <c r="D204" s="39">
        <v>103</v>
      </c>
      <c r="E204" s="39">
        <v>51</v>
      </c>
      <c r="F204" s="40">
        <f t="shared" si="9"/>
        <v>49.514563106796118</v>
      </c>
      <c r="G204" s="39">
        <v>86</v>
      </c>
      <c r="H204" s="39">
        <v>74</v>
      </c>
      <c r="I204" s="40">
        <f t="shared" si="10"/>
        <v>86.04651162790698</v>
      </c>
    </row>
    <row r="205" spans="1:9" ht="15.75" customHeight="1">
      <c r="A205" s="5">
        <v>50201</v>
      </c>
      <c r="B205" s="4" t="s">
        <v>178</v>
      </c>
      <c r="C205" s="37" t="s">
        <v>181</v>
      </c>
      <c r="D205" s="39">
        <v>955</v>
      </c>
      <c r="E205" s="39">
        <v>518</v>
      </c>
      <c r="F205" s="40">
        <f t="shared" si="9"/>
        <v>54.240837696335078</v>
      </c>
      <c r="G205" s="39">
        <v>873</v>
      </c>
      <c r="H205" s="39">
        <v>774</v>
      </c>
      <c r="I205" s="40">
        <f t="shared" si="10"/>
        <v>88.659793814432987</v>
      </c>
    </row>
    <row r="206" spans="1:9" ht="15.75" customHeight="1">
      <c r="A206" s="5">
        <v>50202</v>
      </c>
      <c r="B206" s="4" t="s">
        <v>178</v>
      </c>
      <c r="C206" s="37" t="s">
        <v>182</v>
      </c>
      <c r="D206" s="39">
        <v>803</v>
      </c>
      <c r="E206" s="39">
        <v>431</v>
      </c>
      <c r="F206" s="40">
        <f t="shared" si="9"/>
        <v>53.673723536737242</v>
      </c>
      <c r="G206" s="39">
        <v>572</v>
      </c>
      <c r="H206" s="39">
        <v>512</v>
      </c>
      <c r="I206" s="40">
        <f t="shared" si="10"/>
        <v>89.510489510489506</v>
      </c>
    </row>
    <row r="207" spans="1:9" ht="15.75" customHeight="1">
      <c r="A207" s="5">
        <v>50203</v>
      </c>
      <c r="B207" s="4" t="s">
        <v>178</v>
      </c>
      <c r="C207" s="37" t="s">
        <v>183</v>
      </c>
      <c r="D207" s="39">
        <v>1884</v>
      </c>
      <c r="E207" s="39">
        <v>963</v>
      </c>
      <c r="F207" s="40">
        <f t="shared" si="9"/>
        <v>51.114649681528668</v>
      </c>
      <c r="G207" s="39">
        <v>1387</v>
      </c>
      <c r="H207" s="39">
        <v>1139</v>
      </c>
      <c r="I207" s="40">
        <f t="shared" si="10"/>
        <v>82.119682768565255</v>
      </c>
    </row>
    <row r="208" spans="1:9" ht="15.75" customHeight="1">
      <c r="A208" s="5">
        <v>50204</v>
      </c>
      <c r="B208" s="4" t="s">
        <v>178</v>
      </c>
      <c r="C208" s="37" t="s">
        <v>347</v>
      </c>
      <c r="D208" s="39">
        <v>422</v>
      </c>
      <c r="E208" s="39">
        <v>223</v>
      </c>
      <c r="F208" s="40">
        <f t="shared" si="9"/>
        <v>52.843601895734594</v>
      </c>
      <c r="G208" s="39">
        <v>325</v>
      </c>
      <c r="H208" s="39">
        <v>268</v>
      </c>
      <c r="I208" s="40">
        <f t="shared" si="10"/>
        <v>82.461538461538467</v>
      </c>
    </row>
    <row r="209" spans="1:9" ht="15.75" customHeight="1">
      <c r="A209" s="5">
        <v>50301</v>
      </c>
      <c r="B209" s="4" t="s">
        <v>178</v>
      </c>
      <c r="C209" s="37" t="s">
        <v>184</v>
      </c>
      <c r="D209" s="39">
        <v>1414</v>
      </c>
      <c r="E209" s="39">
        <v>647</v>
      </c>
      <c r="F209" s="40">
        <f t="shared" si="9"/>
        <v>45.756718528995755</v>
      </c>
      <c r="G209" s="39">
        <v>1169</v>
      </c>
      <c r="H209" s="39">
        <v>980</v>
      </c>
      <c r="I209" s="40">
        <f t="shared" si="10"/>
        <v>83.832335329341305</v>
      </c>
    </row>
    <row r="210" spans="1:9" ht="15.75" customHeight="1">
      <c r="A210" s="5">
        <v>50302</v>
      </c>
      <c r="B210" s="4" t="s">
        <v>178</v>
      </c>
      <c r="C210" s="37" t="s">
        <v>185</v>
      </c>
      <c r="D210" s="39">
        <v>349</v>
      </c>
      <c r="E210" s="39">
        <v>185</v>
      </c>
      <c r="F210" s="40">
        <f t="shared" si="9"/>
        <v>53.008595988538687</v>
      </c>
      <c r="G210" s="39">
        <v>301</v>
      </c>
      <c r="H210" s="39">
        <v>255</v>
      </c>
      <c r="I210" s="40">
        <f t="shared" si="10"/>
        <v>84.71760797342192</v>
      </c>
    </row>
    <row r="211" spans="1:9" ht="15.75" customHeight="1">
      <c r="A211" s="5">
        <v>50303</v>
      </c>
      <c r="B211" s="4" t="s">
        <v>178</v>
      </c>
      <c r="C211" s="37" t="s">
        <v>186</v>
      </c>
      <c r="D211" s="39">
        <v>533</v>
      </c>
      <c r="E211" s="39">
        <v>238</v>
      </c>
      <c r="F211" s="40">
        <f t="shared" si="9"/>
        <v>44.652908067542214</v>
      </c>
      <c r="G211" s="39">
        <v>554</v>
      </c>
      <c r="H211" s="39">
        <v>413</v>
      </c>
      <c r="I211" s="40">
        <f t="shared" si="10"/>
        <v>74.548736462093871</v>
      </c>
    </row>
    <row r="212" spans="1:9" ht="15.75" customHeight="1">
      <c r="A212" s="5">
        <v>50401</v>
      </c>
      <c r="B212" s="4" t="s">
        <v>178</v>
      </c>
      <c r="C212" s="37" t="s">
        <v>187</v>
      </c>
      <c r="D212" s="39">
        <v>1853</v>
      </c>
      <c r="E212" s="39">
        <v>759</v>
      </c>
      <c r="F212" s="40">
        <f t="shared" si="9"/>
        <v>40.960604425256342</v>
      </c>
      <c r="G212" s="39">
        <v>667</v>
      </c>
      <c r="H212" s="39">
        <v>526</v>
      </c>
      <c r="I212" s="40">
        <f t="shared" si="10"/>
        <v>78.860569715142432</v>
      </c>
    </row>
    <row r="213" spans="1:9" ht="15.75" customHeight="1">
      <c r="A213" s="5">
        <v>50402</v>
      </c>
      <c r="B213" s="4" t="s">
        <v>178</v>
      </c>
      <c r="C213" s="37" t="s">
        <v>188</v>
      </c>
      <c r="D213" s="39">
        <v>992</v>
      </c>
      <c r="E213" s="39">
        <v>326</v>
      </c>
      <c r="F213" s="40">
        <f t="shared" si="9"/>
        <v>32.862903225806448</v>
      </c>
      <c r="G213" s="39">
        <v>542</v>
      </c>
      <c r="H213" s="39">
        <v>405</v>
      </c>
      <c r="I213" s="40">
        <f t="shared" si="10"/>
        <v>74.723247232472318</v>
      </c>
    </row>
    <row r="214" spans="1:9" ht="15.75" customHeight="1">
      <c r="A214" s="5">
        <v>50403</v>
      </c>
      <c r="B214" s="4" t="s">
        <v>178</v>
      </c>
      <c r="C214" s="37" t="s">
        <v>189</v>
      </c>
      <c r="D214" s="39">
        <v>1195</v>
      </c>
      <c r="E214" s="39">
        <v>577</v>
      </c>
      <c r="F214" s="40">
        <f t="shared" si="9"/>
        <v>48.28451882845188</v>
      </c>
      <c r="G214" s="39">
        <v>1267</v>
      </c>
      <c r="H214" s="39">
        <v>986</v>
      </c>
      <c r="I214" s="40">
        <f t="shared" si="10"/>
        <v>77.821625887924228</v>
      </c>
    </row>
    <row r="215" spans="1:9" ht="15.75" customHeight="1">
      <c r="A215" s="5">
        <v>50404</v>
      </c>
      <c r="B215" s="4" t="s">
        <v>178</v>
      </c>
      <c r="C215" s="37" t="s">
        <v>190</v>
      </c>
      <c r="D215" s="39">
        <v>863</v>
      </c>
      <c r="E215" s="39">
        <v>302</v>
      </c>
      <c r="F215" s="40">
        <f t="shared" si="9"/>
        <v>34.994206257242176</v>
      </c>
      <c r="G215" s="39">
        <v>553</v>
      </c>
      <c r="H215" s="39">
        <v>421</v>
      </c>
      <c r="I215" s="40">
        <f t="shared" si="10"/>
        <v>76.130198915009046</v>
      </c>
    </row>
    <row r="216" spans="1:9" ht="15.75" customHeight="1">
      <c r="A216" s="5">
        <v>50405</v>
      </c>
      <c r="B216" s="4" t="s">
        <v>178</v>
      </c>
      <c r="C216" s="37" t="s">
        <v>191</v>
      </c>
      <c r="D216" s="38"/>
      <c r="E216" s="38"/>
      <c r="F216" s="40"/>
      <c r="G216" s="39">
        <v>824</v>
      </c>
      <c r="H216" s="39">
        <v>633</v>
      </c>
      <c r="I216" s="40">
        <f t="shared" si="10"/>
        <v>76.820388349514573</v>
      </c>
    </row>
    <row r="217" spans="1:9" ht="15.75" customHeight="1">
      <c r="A217" s="5">
        <v>50501</v>
      </c>
      <c r="B217" s="4" t="s">
        <v>178</v>
      </c>
      <c r="C217" s="37" t="s">
        <v>348</v>
      </c>
      <c r="D217" s="39">
        <v>1412</v>
      </c>
      <c r="E217" s="39">
        <v>635</v>
      </c>
      <c r="F217" s="40">
        <f t="shared" ref="F217:F235" si="11">E217/D217*100</f>
        <v>44.971671388101981</v>
      </c>
      <c r="G217" s="39">
        <v>1211</v>
      </c>
      <c r="H217" s="39">
        <v>921</v>
      </c>
      <c r="I217" s="40">
        <f t="shared" si="10"/>
        <v>76.052848885218822</v>
      </c>
    </row>
    <row r="218" spans="1:9" ht="15.75" customHeight="1">
      <c r="A218" s="5">
        <v>50502</v>
      </c>
      <c r="B218" s="4" t="s">
        <v>178</v>
      </c>
      <c r="C218" s="37" t="s">
        <v>193</v>
      </c>
      <c r="D218" s="39">
        <v>570</v>
      </c>
      <c r="E218" s="39">
        <v>317</v>
      </c>
      <c r="F218" s="40">
        <f t="shared" si="11"/>
        <v>55.614035087719294</v>
      </c>
      <c r="G218" s="39">
        <v>436</v>
      </c>
      <c r="H218" s="39">
        <v>375</v>
      </c>
      <c r="I218" s="40">
        <f t="shared" si="10"/>
        <v>86.0091743119266</v>
      </c>
    </row>
    <row r="219" spans="1:9" ht="15.75" customHeight="1">
      <c r="A219" s="5">
        <v>50601</v>
      </c>
      <c r="B219" s="4" t="s">
        <v>178</v>
      </c>
      <c r="C219" s="37" t="s">
        <v>194</v>
      </c>
      <c r="D219" s="39">
        <v>1273</v>
      </c>
      <c r="E219" s="39">
        <v>776</v>
      </c>
      <c r="F219" s="40">
        <f t="shared" si="11"/>
        <v>60.958366064414768</v>
      </c>
      <c r="G219" s="39">
        <v>911</v>
      </c>
      <c r="H219" s="39">
        <v>812</v>
      </c>
      <c r="I219" s="40">
        <f t="shared" si="10"/>
        <v>89.132821075740935</v>
      </c>
    </row>
    <row r="220" spans="1:9" ht="15.75" customHeight="1">
      <c r="A220" s="5">
        <v>50602</v>
      </c>
      <c r="B220" s="4" t="s">
        <v>178</v>
      </c>
      <c r="C220" s="37" t="s">
        <v>195</v>
      </c>
      <c r="D220" s="39">
        <v>442</v>
      </c>
      <c r="E220" s="39">
        <v>218</v>
      </c>
      <c r="F220" s="40">
        <f t="shared" si="11"/>
        <v>49.321266968325794</v>
      </c>
      <c r="G220" s="39">
        <v>258</v>
      </c>
      <c r="H220" s="39">
        <v>221</v>
      </c>
      <c r="I220" s="40">
        <f t="shared" si="10"/>
        <v>85.658914728682163</v>
      </c>
    </row>
    <row r="221" spans="1:9" ht="15.75" customHeight="1">
      <c r="A221" s="5">
        <v>50701</v>
      </c>
      <c r="B221" s="4" t="s">
        <v>178</v>
      </c>
      <c r="C221" s="37" t="s">
        <v>349</v>
      </c>
      <c r="D221" s="39">
        <v>994</v>
      </c>
      <c r="E221" s="39">
        <v>331</v>
      </c>
      <c r="F221" s="40">
        <f t="shared" si="11"/>
        <v>33.29979879275654</v>
      </c>
      <c r="G221" s="39">
        <v>719</v>
      </c>
      <c r="H221" s="39">
        <v>549</v>
      </c>
      <c r="I221" s="40">
        <f t="shared" si="10"/>
        <v>76.356050069541027</v>
      </c>
    </row>
    <row r="222" spans="1:9" ht="15.75" customHeight="1">
      <c r="A222" s="5">
        <v>50702</v>
      </c>
      <c r="B222" s="4" t="s">
        <v>178</v>
      </c>
      <c r="C222" s="37" t="s">
        <v>196</v>
      </c>
      <c r="D222" s="39">
        <v>424</v>
      </c>
      <c r="E222" s="39">
        <v>236</v>
      </c>
      <c r="F222" s="40">
        <f t="shared" si="11"/>
        <v>55.660377358490564</v>
      </c>
      <c r="G222" s="39">
        <v>287</v>
      </c>
      <c r="H222" s="39">
        <v>236</v>
      </c>
      <c r="I222" s="40">
        <f t="shared" si="10"/>
        <v>82.229965156794421</v>
      </c>
    </row>
    <row r="223" spans="1:9" ht="15.75" customHeight="1">
      <c r="A223" s="5">
        <v>50801</v>
      </c>
      <c r="B223" s="4" t="s">
        <v>178</v>
      </c>
      <c r="C223" s="37" t="s">
        <v>197</v>
      </c>
      <c r="D223" s="39">
        <v>1881</v>
      </c>
      <c r="E223" s="39">
        <v>1170</v>
      </c>
      <c r="F223" s="40">
        <f t="shared" si="11"/>
        <v>62.200956937799049</v>
      </c>
      <c r="G223" s="39">
        <v>1530</v>
      </c>
      <c r="H223" s="39">
        <v>1347</v>
      </c>
      <c r="I223" s="40">
        <f t="shared" si="10"/>
        <v>88.039215686274503</v>
      </c>
    </row>
    <row r="224" spans="1:9" ht="15.75" customHeight="1">
      <c r="A224" s="5">
        <v>50802</v>
      </c>
      <c r="B224" s="4" t="s">
        <v>178</v>
      </c>
      <c r="C224" s="37" t="s">
        <v>198</v>
      </c>
      <c r="D224" s="39">
        <v>578</v>
      </c>
      <c r="E224" s="39">
        <v>361</v>
      </c>
      <c r="F224" s="40">
        <f t="shared" si="11"/>
        <v>62.456747404844293</v>
      </c>
      <c r="G224" s="39">
        <v>397</v>
      </c>
      <c r="H224" s="39">
        <v>369</v>
      </c>
      <c r="I224" s="40">
        <f t="shared" si="10"/>
        <v>92.947103274559197</v>
      </c>
    </row>
    <row r="225" spans="1:9" ht="15.75" customHeight="1">
      <c r="A225" s="5">
        <v>50901</v>
      </c>
      <c r="B225" s="4" t="s">
        <v>178</v>
      </c>
      <c r="C225" s="37" t="s">
        <v>350</v>
      </c>
      <c r="D225" s="39">
        <v>529</v>
      </c>
      <c r="E225" s="39">
        <v>283</v>
      </c>
      <c r="F225" s="40">
        <f t="shared" si="11"/>
        <v>53.497164461247635</v>
      </c>
      <c r="G225" s="39">
        <v>456</v>
      </c>
      <c r="H225" s="39">
        <v>424</v>
      </c>
      <c r="I225" s="40">
        <f t="shared" si="10"/>
        <v>92.982456140350877</v>
      </c>
    </row>
    <row r="226" spans="1:9" ht="15.75" customHeight="1">
      <c r="A226" s="5">
        <v>50902</v>
      </c>
      <c r="B226" s="4" t="s">
        <v>178</v>
      </c>
      <c r="C226" s="37" t="s">
        <v>199</v>
      </c>
      <c r="D226" s="39">
        <v>36</v>
      </c>
      <c r="E226" s="39">
        <v>24</v>
      </c>
      <c r="F226" s="40">
        <f t="shared" si="11"/>
        <v>66.666666666666657</v>
      </c>
      <c r="G226" s="39">
        <v>33</v>
      </c>
      <c r="H226" s="39">
        <v>31</v>
      </c>
      <c r="I226" s="40">
        <f t="shared" si="10"/>
        <v>93.939393939393938</v>
      </c>
    </row>
    <row r="227" spans="1:9" ht="15.75" customHeight="1">
      <c r="A227" s="5">
        <v>51001</v>
      </c>
      <c r="B227" s="4" t="s">
        <v>178</v>
      </c>
      <c r="C227" s="37" t="s">
        <v>351</v>
      </c>
      <c r="D227" s="39">
        <v>168</v>
      </c>
      <c r="E227" s="39">
        <v>98</v>
      </c>
      <c r="F227" s="40">
        <f t="shared" si="11"/>
        <v>58.333333333333336</v>
      </c>
      <c r="G227" s="39">
        <v>134</v>
      </c>
      <c r="H227" s="39">
        <v>123</v>
      </c>
      <c r="I227" s="40">
        <f t="shared" si="10"/>
        <v>91.791044776119406</v>
      </c>
    </row>
    <row r="228" spans="1:9" ht="15.75" customHeight="1">
      <c r="A228" s="5">
        <v>51002</v>
      </c>
      <c r="B228" s="4" t="s">
        <v>178</v>
      </c>
      <c r="C228" s="37" t="s">
        <v>200</v>
      </c>
      <c r="D228" s="39">
        <v>49</v>
      </c>
      <c r="E228" s="39">
        <v>23</v>
      </c>
      <c r="F228" s="40">
        <f t="shared" si="11"/>
        <v>46.938775510204081</v>
      </c>
      <c r="G228" s="39">
        <v>29</v>
      </c>
      <c r="H228" s="39">
        <v>25</v>
      </c>
      <c r="I228" s="40">
        <f t="shared" si="10"/>
        <v>86.206896551724128</v>
      </c>
    </row>
    <row r="229" spans="1:9" ht="15.75" customHeight="1">
      <c r="A229" s="5">
        <v>51003</v>
      </c>
      <c r="B229" s="4" t="s">
        <v>178</v>
      </c>
      <c r="C229" s="37" t="s">
        <v>201</v>
      </c>
      <c r="D229" s="39">
        <v>121</v>
      </c>
      <c r="E229" s="39">
        <v>60</v>
      </c>
      <c r="F229" s="40">
        <f t="shared" si="11"/>
        <v>49.586776859504134</v>
      </c>
      <c r="G229" s="39">
        <v>78</v>
      </c>
      <c r="H229" s="39">
        <v>72</v>
      </c>
      <c r="I229" s="40">
        <f t="shared" si="10"/>
        <v>92.307692307692307</v>
      </c>
    </row>
    <row r="230" spans="1:9" ht="15.75" customHeight="1">
      <c r="A230" s="5">
        <v>51101</v>
      </c>
      <c r="B230" s="4" t="s">
        <v>178</v>
      </c>
      <c r="C230" s="37" t="s">
        <v>202</v>
      </c>
      <c r="D230" s="39">
        <v>866</v>
      </c>
      <c r="E230" s="39">
        <v>422</v>
      </c>
      <c r="F230" s="40">
        <f t="shared" si="11"/>
        <v>48.729792147806009</v>
      </c>
      <c r="G230" s="39">
        <v>421</v>
      </c>
      <c r="H230" s="39">
        <v>370</v>
      </c>
      <c r="I230" s="40">
        <f t="shared" si="10"/>
        <v>87.88598574821853</v>
      </c>
    </row>
    <row r="231" spans="1:9" ht="15.75" customHeight="1">
      <c r="A231" s="5">
        <v>51102</v>
      </c>
      <c r="B231" s="4" t="s">
        <v>178</v>
      </c>
      <c r="C231" s="37" t="s">
        <v>203</v>
      </c>
      <c r="D231" s="39">
        <v>433</v>
      </c>
      <c r="E231" s="39">
        <v>234</v>
      </c>
      <c r="F231" s="40">
        <f t="shared" si="11"/>
        <v>54.041570438799077</v>
      </c>
      <c r="G231" s="39">
        <v>456</v>
      </c>
      <c r="H231" s="39">
        <v>414</v>
      </c>
      <c r="I231" s="40">
        <f t="shared" si="10"/>
        <v>90.789473684210535</v>
      </c>
    </row>
    <row r="232" spans="1:9" ht="15.75" customHeight="1">
      <c r="A232" s="5">
        <v>51103</v>
      </c>
      <c r="B232" s="4" t="s">
        <v>178</v>
      </c>
      <c r="C232" s="37" t="s">
        <v>204</v>
      </c>
      <c r="D232" s="39">
        <v>805</v>
      </c>
      <c r="E232" s="39">
        <v>316</v>
      </c>
      <c r="F232" s="40">
        <f t="shared" si="11"/>
        <v>39.254658385093165</v>
      </c>
      <c r="G232" s="39">
        <v>517</v>
      </c>
      <c r="H232" s="39">
        <v>421</v>
      </c>
      <c r="I232" s="40">
        <f t="shared" si="10"/>
        <v>81.431334622823982</v>
      </c>
    </row>
    <row r="233" spans="1:9" ht="15.75" customHeight="1">
      <c r="A233" s="5">
        <v>51201</v>
      </c>
      <c r="B233" s="4" t="s">
        <v>178</v>
      </c>
      <c r="C233" s="37" t="s">
        <v>205</v>
      </c>
      <c r="D233" s="39">
        <v>1344</v>
      </c>
      <c r="E233" s="39">
        <v>711</v>
      </c>
      <c r="F233" s="40">
        <f t="shared" si="11"/>
        <v>52.901785714285708</v>
      </c>
      <c r="G233" s="39">
        <v>1235</v>
      </c>
      <c r="H233" s="39">
        <v>1073</v>
      </c>
      <c r="I233" s="40">
        <f t="shared" si="10"/>
        <v>86.882591093117412</v>
      </c>
    </row>
    <row r="234" spans="1:9" ht="15.75" customHeight="1">
      <c r="A234" s="5">
        <v>51202</v>
      </c>
      <c r="B234" s="4" t="s">
        <v>178</v>
      </c>
      <c r="C234" s="37" t="s">
        <v>206</v>
      </c>
      <c r="D234" s="39">
        <v>596</v>
      </c>
      <c r="E234" s="39">
        <v>267</v>
      </c>
      <c r="F234" s="40">
        <f t="shared" si="11"/>
        <v>44.798657718120808</v>
      </c>
      <c r="G234" s="39">
        <v>262</v>
      </c>
      <c r="H234" s="39">
        <v>229</v>
      </c>
      <c r="I234" s="40">
        <f t="shared" si="10"/>
        <v>87.404580152671755</v>
      </c>
    </row>
    <row r="235" spans="1:9" ht="15.75" customHeight="1">
      <c r="A235" s="5">
        <v>51203</v>
      </c>
      <c r="B235" s="4" t="s">
        <v>178</v>
      </c>
      <c r="C235" s="37" t="s">
        <v>207</v>
      </c>
      <c r="D235" s="39">
        <v>663</v>
      </c>
      <c r="E235" s="39">
        <v>403</v>
      </c>
      <c r="F235" s="40">
        <f t="shared" si="11"/>
        <v>60.784313725490193</v>
      </c>
      <c r="G235" s="39">
        <v>605</v>
      </c>
      <c r="H235" s="39">
        <v>544</v>
      </c>
      <c r="I235" s="40">
        <f t="shared" si="10"/>
        <v>89.917355371900825</v>
      </c>
    </row>
    <row r="236" spans="1:9" ht="15.75" customHeight="1">
      <c r="A236" s="5">
        <v>51204</v>
      </c>
      <c r="B236" s="4" t="s">
        <v>178</v>
      </c>
      <c r="C236" s="37" t="s">
        <v>208</v>
      </c>
      <c r="D236" s="38"/>
      <c r="E236" s="38"/>
      <c r="F236" s="40"/>
      <c r="G236" s="39">
        <v>198</v>
      </c>
      <c r="H236" s="39">
        <v>154</v>
      </c>
      <c r="I236" s="40">
        <f t="shared" si="10"/>
        <v>77.777777777777786</v>
      </c>
    </row>
    <row r="237" spans="1:9" ht="15.75" customHeight="1">
      <c r="A237" s="5">
        <v>51301</v>
      </c>
      <c r="B237" s="4" t="s">
        <v>178</v>
      </c>
      <c r="C237" s="37" t="s">
        <v>209</v>
      </c>
      <c r="D237" s="39">
        <v>220</v>
      </c>
      <c r="E237" s="39">
        <v>131</v>
      </c>
      <c r="F237" s="40">
        <f t="shared" ref="F237:F268" si="12">E237/D237*100</f>
        <v>59.545454545454547</v>
      </c>
      <c r="G237" s="39">
        <v>132</v>
      </c>
      <c r="H237" s="39">
        <v>101</v>
      </c>
      <c r="I237" s="40">
        <f t="shared" si="10"/>
        <v>76.515151515151516</v>
      </c>
    </row>
    <row r="238" spans="1:9" ht="15.75" customHeight="1">
      <c r="A238" s="5">
        <v>51302</v>
      </c>
      <c r="B238" s="4" t="s">
        <v>178</v>
      </c>
      <c r="C238" s="37" t="s">
        <v>210</v>
      </c>
      <c r="D238" s="39">
        <v>320</v>
      </c>
      <c r="E238" s="39">
        <v>173</v>
      </c>
      <c r="F238" s="40">
        <f t="shared" si="12"/>
        <v>54.0625</v>
      </c>
      <c r="G238" s="39">
        <v>141</v>
      </c>
      <c r="H238" s="39">
        <v>115</v>
      </c>
      <c r="I238" s="40">
        <f t="shared" si="10"/>
        <v>81.560283687943254</v>
      </c>
    </row>
    <row r="239" spans="1:9" ht="15.75" customHeight="1">
      <c r="A239" s="5">
        <v>51401</v>
      </c>
      <c r="B239" s="4" t="s">
        <v>178</v>
      </c>
      <c r="C239" s="37" t="s">
        <v>211</v>
      </c>
      <c r="D239" s="39">
        <v>128</v>
      </c>
      <c r="E239" s="39">
        <v>83</v>
      </c>
      <c r="F239" s="40">
        <f t="shared" si="12"/>
        <v>64.84375</v>
      </c>
      <c r="G239" s="39">
        <v>124</v>
      </c>
      <c r="H239" s="39">
        <v>117</v>
      </c>
      <c r="I239" s="40">
        <f t="shared" si="10"/>
        <v>94.354838709677423</v>
      </c>
    </row>
    <row r="240" spans="1:9" ht="15.75" customHeight="1">
      <c r="A240" s="5">
        <v>51402</v>
      </c>
      <c r="B240" s="4" t="s">
        <v>178</v>
      </c>
      <c r="C240" s="37" t="s">
        <v>212</v>
      </c>
      <c r="D240" s="39">
        <v>80</v>
      </c>
      <c r="E240" s="39">
        <v>53</v>
      </c>
      <c r="F240" s="40">
        <f t="shared" si="12"/>
        <v>66.25</v>
      </c>
      <c r="G240" s="39">
        <v>35</v>
      </c>
      <c r="H240" s="39">
        <v>32</v>
      </c>
      <c r="I240" s="40">
        <f t="shared" si="10"/>
        <v>91.428571428571431</v>
      </c>
    </row>
    <row r="241" spans="1:9" ht="15.75" customHeight="1">
      <c r="A241" s="5">
        <v>51501</v>
      </c>
      <c r="B241" s="4" t="s">
        <v>178</v>
      </c>
      <c r="C241" s="37" t="s">
        <v>213</v>
      </c>
      <c r="D241" s="39">
        <v>1937</v>
      </c>
      <c r="E241" s="39">
        <v>1017</v>
      </c>
      <c r="F241" s="40">
        <f t="shared" si="12"/>
        <v>52.503871966959217</v>
      </c>
      <c r="G241" s="39">
        <v>1734</v>
      </c>
      <c r="H241" s="39">
        <v>1360</v>
      </c>
      <c r="I241" s="40">
        <f t="shared" si="10"/>
        <v>78.431372549019613</v>
      </c>
    </row>
    <row r="242" spans="1:9" ht="15.75" customHeight="1">
      <c r="A242" s="5">
        <v>51601</v>
      </c>
      <c r="B242" s="4" t="s">
        <v>178</v>
      </c>
      <c r="C242" s="37" t="s">
        <v>214</v>
      </c>
      <c r="D242" s="39">
        <v>59</v>
      </c>
      <c r="E242" s="39">
        <v>25</v>
      </c>
      <c r="F242" s="40">
        <f t="shared" si="12"/>
        <v>42.372881355932201</v>
      </c>
      <c r="G242" s="39">
        <v>65</v>
      </c>
      <c r="H242" s="39">
        <v>62</v>
      </c>
      <c r="I242" s="40">
        <f t="shared" si="10"/>
        <v>95.384615384615387</v>
      </c>
    </row>
    <row r="243" spans="1:9" ht="15.75" customHeight="1">
      <c r="A243" s="5">
        <v>60101</v>
      </c>
      <c r="B243" s="4" t="s">
        <v>215</v>
      </c>
      <c r="C243" s="37" t="s">
        <v>215</v>
      </c>
      <c r="D243" s="39">
        <v>7541</v>
      </c>
      <c r="E243" s="39">
        <v>4716</v>
      </c>
      <c r="F243" s="40">
        <f t="shared" si="12"/>
        <v>62.538124917119745</v>
      </c>
      <c r="G243" s="39">
        <v>6786</v>
      </c>
      <c r="H243" s="39">
        <v>6054</v>
      </c>
      <c r="I243" s="40">
        <f t="shared" si="10"/>
        <v>89.213085764809904</v>
      </c>
    </row>
    <row r="244" spans="1:9" ht="15.75" customHeight="1">
      <c r="A244" s="5">
        <v>60201</v>
      </c>
      <c r="B244" s="4" t="s">
        <v>215</v>
      </c>
      <c r="C244" s="37" t="s">
        <v>216</v>
      </c>
      <c r="D244" s="39">
        <v>806</v>
      </c>
      <c r="E244" s="39">
        <v>399</v>
      </c>
      <c r="F244" s="40">
        <f t="shared" si="12"/>
        <v>49.503722084367247</v>
      </c>
      <c r="G244" s="39">
        <v>510</v>
      </c>
      <c r="H244" s="39">
        <v>470</v>
      </c>
      <c r="I244" s="40">
        <f t="shared" si="10"/>
        <v>92.156862745098039</v>
      </c>
    </row>
    <row r="245" spans="1:9" ht="15.75" customHeight="1">
      <c r="A245" s="5">
        <v>60202</v>
      </c>
      <c r="B245" s="4" t="s">
        <v>215</v>
      </c>
      <c r="C245" s="37" t="s">
        <v>217</v>
      </c>
      <c r="D245" s="39">
        <v>1297</v>
      </c>
      <c r="E245" s="39">
        <v>688</v>
      </c>
      <c r="F245" s="40">
        <f t="shared" si="12"/>
        <v>53.045489591364692</v>
      </c>
      <c r="G245" s="39">
        <v>1271</v>
      </c>
      <c r="H245" s="39">
        <v>1051</v>
      </c>
      <c r="I245" s="40">
        <f t="shared" si="10"/>
        <v>82.69079464988198</v>
      </c>
    </row>
    <row r="246" spans="1:9" ht="15.75" customHeight="1">
      <c r="A246" s="5">
        <v>60301</v>
      </c>
      <c r="B246" s="4" t="s">
        <v>215</v>
      </c>
      <c r="C246" s="37" t="s">
        <v>218</v>
      </c>
      <c r="D246" s="39">
        <v>3926</v>
      </c>
      <c r="E246" s="39">
        <v>1749</v>
      </c>
      <c r="F246" s="40">
        <f t="shared" si="12"/>
        <v>44.549159449821701</v>
      </c>
      <c r="G246" s="39">
        <v>3453</v>
      </c>
      <c r="H246" s="39">
        <v>2600</v>
      </c>
      <c r="I246" s="40">
        <f t="shared" si="10"/>
        <v>75.296843324645238</v>
      </c>
    </row>
    <row r="247" spans="1:9" ht="15.75" customHeight="1">
      <c r="A247" s="5">
        <v>60302</v>
      </c>
      <c r="B247" s="4" t="s">
        <v>215</v>
      </c>
      <c r="C247" s="37" t="s">
        <v>219</v>
      </c>
      <c r="D247" s="39">
        <v>572</v>
      </c>
      <c r="E247" s="39">
        <v>347</v>
      </c>
      <c r="F247" s="40">
        <f t="shared" si="12"/>
        <v>60.664335664335667</v>
      </c>
      <c r="G247" s="39">
        <v>577</v>
      </c>
      <c r="H247" s="39">
        <v>544</v>
      </c>
      <c r="I247" s="40">
        <f t="shared" si="10"/>
        <v>94.280762564991335</v>
      </c>
    </row>
    <row r="248" spans="1:9" ht="15.75" customHeight="1">
      <c r="A248" s="5">
        <v>60303</v>
      </c>
      <c r="B248" s="4" t="s">
        <v>215</v>
      </c>
      <c r="C248" s="37" t="s">
        <v>220</v>
      </c>
      <c r="D248" s="39">
        <v>1761</v>
      </c>
      <c r="E248" s="39">
        <v>823</v>
      </c>
      <c r="F248" s="40">
        <f t="shared" si="12"/>
        <v>46.734809767177737</v>
      </c>
      <c r="G248" s="39">
        <v>1759</v>
      </c>
      <c r="H248" s="39">
        <v>1287</v>
      </c>
      <c r="I248" s="40">
        <f t="shared" si="10"/>
        <v>73.166571915861283</v>
      </c>
    </row>
    <row r="249" spans="1:9" ht="15.75" customHeight="1">
      <c r="A249" s="5">
        <v>60401</v>
      </c>
      <c r="B249" s="4" t="s">
        <v>215</v>
      </c>
      <c r="C249" s="37" t="s">
        <v>221</v>
      </c>
      <c r="D249" s="39">
        <v>517</v>
      </c>
      <c r="E249" s="39">
        <v>275</v>
      </c>
      <c r="F249" s="40">
        <f t="shared" si="12"/>
        <v>53.191489361702125</v>
      </c>
      <c r="G249" s="39">
        <v>489</v>
      </c>
      <c r="H249" s="39">
        <v>457</v>
      </c>
      <c r="I249" s="40">
        <f t="shared" si="10"/>
        <v>93.456032719836401</v>
      </c>
    </row>
    <row r="250" spans="1:9" ht="15.75" customHeight="1">
      <c r="A250" s="5">
        <v>60402</v>
      </c>
      <c r="B250" s="4" t="s">
        <v>215</v>
      </c>
      <c r="C250" s="37" t="s">
        <v>222</v>
      </c>
      <c r="D250" s="39">
        <v>259</v>
      </c>
      <c r="E250" s="39">
        <v>112</v>
      </c>
      <c r="F250" s="40">
        <f t="shared" si="12"/>
        <v>43.243243243243242</v>
      </c>
      <c r="G250" s="39">
        <v>151</v>
      </c>
      <c r="H250" s="39">
        <v>136</v>
      </c>
      <c r="I250" s="40">
        <f t="shared" si="10"/>
        <v>90.066225165562912</v>
      </c>
    </row>
    <row r="251" spans="1:9" ht="15.75" customHeight="1">
      <c r="A251" s="5">
        <v>60501</v>
      </c>
      <c r="B251" s="4" t="s">
        <v>215</v>
      </c>
      <c r="C251" s="37" t="s">
        <v>352</v>
      </c>
      <c r="D251" s="39">
        <v>902</v>
      </c>
      <c r="E251" s="39">
        <v>489</v>
      </c>
      <c r="F251" s="40">
        <f t="shared" si="12"/>
        <v>54.212860310421284</v>
      </c>
      <c r="G251" s="39">
        <v>976</v>
      </c>
      <c r="H251" s="39">
        <v>891</v>
      </c>
      <c r="I251" s="40">
        <f t="shared" si="10"/>
        <v>91.290983606557376</v>
      </c>
    </row>
    <row r="252" spans="1:9" ht="15.75" customHeight="1">
      <c r="A252" s="5">
        <v>60502</v>
      </c>
      <c r="B252" s="4" t="s">
        <v>215</v>
      </c>
      <c r="C252" s="37" t="s">
        <v>224</v>
      </c>
      <c r="D252" s="39">
        <v>458</v>
      </c>
      <c r="E252" s="39">
        <v>219</v>
      </c>
      <c r="F252" s="40">
        <f t="shared" si="12"/>
        <v>47.816593886462883</v>
      </c>
      <c r="G252" s="39">
        <v>280</v>
      </c>
      <c r="H252" s="39">
        <v>249</v>
      </c>
      <c r="I252" s="40">
        <f t="shared" si="10"/>
        <v>88.928571428571416</v>
      </c>
    </row>
    <row r="253" spans="1:9" ht="15.75" customHeight="1">
      <c r="A253" s="5">
        <v>60601</v>
      </c>
      <c r="B253" s="4" t="s">
        <v>215</v>
      </c>
      <c r="C253" s="37" t="s">
        <v>137</v>
      </c>
      <c r="D253" s="39">
        <v>977</v>
      </c>
      <c r="E253" s="39">
        <v>469</v>
      </c>
      <c r="F253" s="40">
        <f t="shared" si="12"/>
        <v>48.004094165813719</v>
      </c>
      <c r="G253" s="39">
        <v>686</v>
      </c>
      <c r="H253" s="39">
        <v>606</v>
      </c>
      <c r="I253" s="40">
        <f t="shared" si="10"/>
        <v>88.338192419825063</v>
      </c>
    </row>
    <row r="254" spans="1:9" ht="15.75" customHeight="1">
      <c r="A254" s="5">
        <v>70101</v>
      </c>
      <c r="B254" s="4" t="s">
        <v>225</v>
      </c>
      <c r="C254" s="37" t="s">
        <v>226</v>
      </c>
      <c r="D254" s="39">
        <v>57409</v>
      </c>
      <c r="E254" s="39">
        <v>30307</v>
      </c>
      <c r="F254" s="40">
        <f t="shared" si="12"/>
        <v>52.791374174780955</v>
      </c>
      <c r="G254" s="39">
        <v>54119</v>
      </c>
      <c r="H254" s="39">
        <v>41565</v>
      </c>
      <c r="I254" s="40">
        <f t="shared" si="10"/>
        <v>76.802971230067072</v>
      </c>
    </row>
    <row r="255" spans="1:9" ht="15.75" customHeight="1">
      <c r="A255" s="5">
        <v>70102</v>
      </c>
      <c r="B255" s="4" t="s">
        <v>225</v>
      </c>
      <c r="C255" s="37" t="s">
        <v>227</v>
      </c>
      <c r="D255" s="39">
        <v>2317</v>
      </c>
      <c r="E255" s="39">
        <v>885</v>
      </c>
      <c r="F255" s="40">
        <f t="shared" si="12"/>
        <v>38.19594302977989</v>
      </c>
      <c r="G255" s="39">
        <v>4521</v>
      </c>
      <c r="H255" s="39">
        <v>3047</v>
      </c>
      <c r="I255" s="40">
        <f t="shared" si="10"/>
        <v>67.396593673965938</v>
      </c>
    </row>
    <row r="256" spans="1:9" ht="15.75" customHeight="1">
      <c r="A256" s="5">
        <v>70103</v>
      </c>
      <c r="B256" s="4" t="s">
        <v>225</v>
      </c>
      <c r="C256" s="37" t="s">
        <v>228</v>
      </c>
      <c r="D256" s="39">
        <v>726</v>
      </c>
      <c r="E256" s="39">
        <v>417</v>
      </c>
      <c r="F256" s="40">
        <f t="shared" si="12"/>
        <v>57.438016528925615</v>
      </c>
      <c r="G256" s="39">
        <v>719</v>
      </c>
      <c r="H256" s="39">
        <v>594</v>
      </c>
      <c r="I256" s="40">
        <f t="shared" si="10"/>
        <v>82.614742698191932</v>
      </c>
    </row>
    <row r="257" spans="1:9" ht="15.75" customHeight="1">
      <c r="A257" s="5">
        <v>70104</v>
      </c>
      <c r="B257" s="4" t="s">
        <v>225</v>
      </c>
      <c r="C257" s="37" t="s">
        <v>229</v>
      </c>
      <c r="D257" s="39">
        <v>4029</v>
      </c>
      <c r="E257" s="39">
        <v>1881</v>
      </c>
      <c r="F257" s="40">
        <f t="shared" si="12"/>
        <v>46.686522710349962</v>
      </c>
      <c r="G257" s="39">
        <v>5877</v>
      </c>
      <c r="H257" s="39">
        <v>4310</v>
      </c>
      <c r="I257" s="40">
        <f t="shared" si="10"/>
        <v>73.336736430151433</v>
      </c>
    </row>
    <row r="258" spans="1:9" ht="15.75" customHeight="1">
      <c r="A258" s="5">
        <v>70105</v>
      </c>
      <c r="B258" s="4" t="s">
        <v>225</v>
      </c>
      <c r="C258" s="37" t="s">
        <v>230</v>
      </c>
      <c r="D258" s="39">
        <v>2262</v>
      </c>
      <c r="E258" s="39">
        <v>1012</v>
      </c>
      <c r="F258" s="40">
        <f t="shared" si="12"/>
        <v>44.739168877099914</v>
      </c>
      <c r="G258" s="39">
        <v>2068</v>
      </c>
      <c r="H258" s="39">
        <v>1580</v>
      </c>
      <c r="I258" s="40">
        <f t="shared" si="10"/>
        <v>76.40232108317214</v>
      </c>
    </row>
    <row r="259" spans="1:9" ht="15.75" customHeight="1">
      <c r="A259" s="5">
        <v>70201</v>
      </c>
      <c r="B259" s="4" t="s">
        <v>225</v>
      </c>
      <c r="C259" s="37" t="s">
        <v>231</v>
      </c>
      <c r="D259" s="39">
        <v>4684</v>
      </c>
      <c r="E259" s="39">
        <v>1945</v>
      </c>
      <c r="F259" s="40">
        <f t="shared" si="12"/>
        <v>41.524338172502134</v>
      </c>
      <c r="G259" s="39">
        <v>6126</v>
      </c>
      <c r="H259" s="39">
        <v>4191</v>
      </c>
      <c r="I259" s="40">
        <f t="shared" ref="I259:I322" si="13">H259/G259*100</f>
        <v>68.413320274240945</v>
      </c>
    </row>
    <row r="260" spans="1:9" ht="15.75" customHeight="1">
      <c r="A260" s="5">
        <v>70202</v>
      </c>
      <c r="B260" s="4" t="s">
        <v>225</v>
      </c>
      <c r="C260" s="37" t="s">
        <v>232</v>
      </c>
      <c r="D260" s="39">
        <v>616</v>
      </c>
      <c r="E260" s="39">
        <v>328</v>
      </c>
      <c r="F260" s="40">
        <f t="shared" si="12"/>
        <v>53.246753246753244</v>
      </c>
      <c r="G260" s="39">
        <v>457</v>
      </c>
      <c r="H260" s="39">
        <v>386</v>
      </c>
      <c r="I260" s="40">
        <f t="shared" si="13"/>
        <v>84.463894967177239</v>
      </c>
    </row>
    <row r="261" spans="1:9" ht="15.75" customHeight="1">
      <c r="A261" s="5">
        <v>70301</v>
      </c>
      <c r="B261" s="4" t="s">
        <v>225</v>
      </c>
      <c r="C261" s="37" t="s">
        <v>353</v>
      </c>
      <c r="D261" s="39">
        <v>2699</v>
      </c>
      <c r="E261" s="39">
        <v>926</v>
      </c>
      <c r="F261" s="40">
        <f t="shared" si="12"/>
        <v>34.309003334568359</v>
      </c>
      <c r="G261" s="39">
        <v>3155</v>
      </c>
      <c r="H261" s="39">
        <v>1528</v>
      </c>
      <c r="I261" s="40">
        <f t="shared" si="13"/>
        <v>48.431061806656103</v>
      </c>
    </row>
    <row r="262" spans="1:9" ht="15.75" customHeight="1">
      <c r="A262" s="5">
        <v>70302</v>
      </c>
      <c r="B262" s="4" t="s">
        <v>225</v>
      </c>
      <c r="C262" s="37" t="s">
        <v>354</v>
      </c>
      <c r="D262" s="39">
        <v>548</v>
      </c>
      <c r="E262" s="39">
        <v>227</v>
      </c>
      <c r="F262" s="40">
        <f t="shared" si="12"/>
        <v>41.423357664233578</v>
      </c>
      <c r="G262" s="39">
        <v>604</v>
      </c>
      <c r="H262" s="39">
        <v>310</v>
      </c>
      <c r="I262" s="40">
        <f t="shared" si="13"/>
        <v>51.324503311258276</v>
      </c>
    </row>
    <row r="263" spans="1:9" ht="15.75" customHeight="1">
      <c r="A263" s="5">
        <v>70303</v>
      </c>
      <c r="B263" s="4" t="s">
        <v>225</v>
      </c>
      <c r="C263" s="37" t="s">
        <v>234</v>
      </c>
      <c r="D263" s="39">
        <v>324</v>
      </c>
      <c r="E263" s="39">
        <v>131</v>
      </c>
      <c r="F263" s="40">
        <f t="shared" si="12"/>
        <v>40.432098765432102</v>
      </c>
      <c r="G263" s="39">
        <v>370</v>
      </c>
      <c r="H263" s="39">
        <v>222</v>
      </c>
      <c r="I263" s="40">
        <f t="shared" si="13"/>
        <v>60</v>
      </c>
    </row>
    <row r="264" spans="1:9" ht="15.75" customHeight="1">
      <c r="A264" s="5">
        <v>70401</v>
      </c>
      <c r="B264" s="4" t="s">
        <v>225</v>
      </c>
      <c r="C264" s="37" t="s">
        <v>235</v>
      </c>
      <c r="D264" s="39">
        <v>606</v>
      </c>
      <c r="E264" s="39">
        <v>342</v>
      </c>
      <c r="F264" s="40">
        <f t="shared" si="12"/>
        <v>56.435643564356432</v>
      </c>
      <c r="G264" s="39">
        <v>501</v>
      </c>
      <c r="H264" s="39">
        <v>383</v>
      </c>
      <c r="I264" s="40">
        <f t="shared" si="13"/>
        <v>76.447105788423158</v>
      </c>
    </row>
    <row r="265" spans="1:9" ht="15.75" customHeight="1">
      <c r="A265" s="5">
        <v>70402</v>
      </c>
      <c r="B265" s="4" t="s">
        <v>225</v>
      </c>
      <c r="C265" s="37" t="s">
        <v>236</v>
      </c>
      <c r="D265" s="39">
        <v>996</v>
      </c>
      <c r="E265" s="39">
        <v>577</v>
      </c>
      <c r="F265" s="40">
        <f t="shared" si="12"/>
        <v>57.931726907630519</v>
      </c>
      <c r="G265" s="39">
        <v>707</v>
      </c>
      <c r="H265" s="39">
        <v>638</v>
      </c>
      <c r="I265" s="40">
        <f t="shared" si="13"/>
        <v>90.240452616690234</v>
      </c>
    </row>
    <row r="266" spans="1:9" ht="15.75" customHeight="1">
      <c r="A266" s="5">
        <v>70403</v>
      </c>
      <c r="B266" s="4" t="s">
        <v>225</v>
      </c>
      <c r="C266" s="37" t="s">
        <v>237</v>
      </c>
      <c r="D266" s="39">
        <v>2294</v>
      </c>
      <c r="E266" s="39">
        <v>907</v>
      </c>
      <c r="F266" s="40">
        <f t="shared" si="12"/>
        <v>39.537925021795992</v>
      </c>
      <c r="G266" s="39">
        <v>2091</v>
      </c>
      <c r="H266" s="39">
        <v>1686</v>
      </c>
      <c r="I266" s="40">
        <f t="shared" si="13"/>
        <v>80.631276901004298</v>
      </c>
    </row>
    <row r="267" spans="1:9" ht="15.75" customHeight="1">
      <c r="A267" s="5">
        <v>70404</v>
      </c>
      <c r="B267" s="4" t="s">
        <v>225</v>
      </c>
      <c r="C267" s="37" t="s">
        <v>238</v>
      </c>
      <c r="D267" s="39">
        <v>486</v>
      </c>
      <c r="E267" s="39">
        <v>240</v>
      </c>
      <c r="F267" s="40">
        <f t="shared" si="12"/>
        <v>49.382716049382715</v>
      </c>
      <c r="G267" s="39">
        <v>384</v>
      </c>
      <c r="H267" s="39">
        <v>322</v>
      </c>
      <c r="I267" s="40">
        <f t="shared" si="13"/>
        <v>83.854166666666657</v>
      </c>
    </row>
    <row r="268" spans="1:9" ht="15.75" customHeight="1">
      <c r="A268" s="5">
        <v>70501</v>
      </c>
      <c r="B268" s="4" t="s">
        <v>225</v>
      </c>
      <c r="C268" s="37" t="s">
        <v>355</v>
      </c>
      <c r="D268" s="39">
        <v>1442</v>
      </c>
      <c r="E268" s="39">
        <v>480</v>
      </c>
      <c r="F268" s="40">
        <f t="shared" si="12"/>
        <v>33.287101248266296</v>
      </c>
      <c r="G268" s="39">
        <v>1947</v>
      </c>
      <c r="H268" s="39">
        <v>834</v>
      </c>
      <c r="I268" s="40">
        <f t="shared" si="13"/>
        <v>42.835130970724187</v>
      </c>
    </row>
    <row r="269" spans="1:9" ht="15.75" customHeight="1">
      <c r="A269" s="5">
        <v>70502</v>
      </c>
      <c r="B269" s="4" t="s">
        <v>225</v>
      </c>
      <c r="C269" s="37" t="s">
        <v>239</v>
      </c>
      <c r="D269" s="39">
        <v>2184</v>
      </c>
      <c r="E269" s="39">
        <v>754</v>
      </c>
      <c r="F269" s="40">
        <f t="shared" ref="F269:F300" si="14">E269/D269*100</f>
        <v>34.523809523809526</v>
      </c>
      <c r="G269" s="39">
        <v>2913</v>
      </c>
      <c r="H269" s="39">
        <v>1158</v>
      </c>
      <c r="I269" s="40">
        <f t="shared" si="13"/>
        <v>39.752832131822863</v>
      </c>
    </row>
    <row r="270" spans="1:9" ht="15.75" customHeight="1">
      <c r="A270" s="5">
        <v>70503</v>
      </c>
      <c r="B270" s="4" t="s">
        <v>225</v>
      </c>
      <c r="C270" s="37" t="s">
        <v>240</v>
      </c>
      <c r="D270" s="39">
        <v>649</v>
      </c>
      <c r="E270" s="39">
        <v>371</v>
      </c>
      <c r="F270" s="40">
        <f t="shared" si="14"/>
        <v>57.164869029275813</v>
      </c>
      <c r="G270" s="39">
        <v>729</v>
      </c>
      <c r="H270" s="39">
        <v>547</v>
      </c>
      <c r="I270" s="40">
        <f t="shared" si="13"/>
        <v>75.034293552812073</v>
      </c>
    </row>
    <row r="271" spans="1:9" ht="15.75" customHeight="1">
      <c r="A271" s="5">
        <v>70601</v>
      </c>
      <c r="B271" s="4" t="s">
        <v>225</v>
      </c>
      <c r="C271" s="37" t="s">
        <v>241</v>
      </c>
      <c r="D271" s="39">
        <v>810</v>
      </c>
      <c r="E271" s="39">
        <v>516</v>
      </c>
      <c r="F271" s="40">
        <f t="shared" si="14"/>
        <v>63.703703703703709</v>
      </c>
      <c r="G271" s="39">
        <v>773</v>
      </c>
      <c r="H271" s="39">
        <v>612</v>
      </c>
      <c r="I271" s="40">
        <f t="shared" si="13"/>
        <v>79.172056921086678</v>
      </c>
    </row>
    <row r="272" spans="1:9" ht="15.75" customHeight="1">
      <c r="A272" s="5">
        <v>70602</v>
      </c>
      <c r="B272" s="4" t="s">
        <v>225</v>
      </c>
      <c r="C272" s="37" t="s">
        <v>356</v>
      </c>
      <c r="D272" s="39">
        <v>965</v>
      </c>
      <c r="E272" s="39">
        <v>491</v>
      </c>
      <c r="F272" s="40">
        <f t="shared" si="14"/>
        <v>50.880829015544037</v>
      </c>
      <c r="G272" s="39">
        <v>640</v>
      </c>
      <c r="H272" s="39">
        <v>505</v>
      </c>
      <c r="I272" s="40">
        <f t="shared" si="13"/>
        <v>78.90625</v>
      </c>
    </row>
    <row r="273" spans="1:9" ht="15.75" customHeight="1">
      <c r="A273" s="5">
        <v>70603</v>
      </c>
      <c r="B273" s="4" t="s">
        <v>225</v>
      </c>
      <c r="C273" s="37" t="s">
        <v>243</v>
      </c>
      <c r="D273" s="39">
        <v>289</v>
      </c>
      <c r="E273" s="39">
        <v>159</v>
      </c>
      <c r="F273" s="40">
        <f t="shared" si="14"/>
        <v>55.017301038062286</v>
      </c>
      <c r="G273" s="39">
        <v>216</v>
      </c>
      <c r="H273" s="39">
        <v>169</v>
      </c>
      <c r="I273" s="40">
        <f t="shared" si="13"/>
        <v>78.240740740740748</v>
      </c>
    </row>
    <row r="274" spans="1:9" ht="15.75" customHeight="1">
      <c r="A274" s="5">
        <v>70701</v>
      </c>
      <c r="B274" s="4" t="s">
        <v>225</v>
      </c>
      <c r="C274" s="37" t="s">
        <v>244</v>
      </c>
      <c r="D274" s="39">
        <v>251</v>
      </c>
      <c r="E274" s="39">
        <v>128</v>
      </c>
      <c r="F274" s="40">
        <f t="shared" si="14"/>
        <v>50.996015936254977</v>
      </c>
      <c r="G274" s="39">
        <v>247</v>
      </c>
      <c r="H274" s="39">
        <v>189</v>
      </c>
      <c r="I274" s="40">
        <f t="shared" si="13"/>
        <v>76.518218623481786</v>
      </c>
    </row>
    <row r="275" spans="1:9" ht="15.75" customHeight="1">
      <c r="A275" s="5">
        <v>70702</v>
      </c>
      <c r="B275" s="4" t="s">
        <v>225</v>
      </c>
      <c r="C275" s="37" t="s">
        <v>357</v>
      </c>
      <c r="D275" s="39">
        <v>1880</v>
      </c>
      <c r="E275" s="39">
        <v>852</v>
      </c>
      <c r="F275" s="40">
        <f t="shared" si="14"/>
        <v>45.319148936170208</v>
      </c>
      <c r="G275" s="39">
        <v>1931</v>
      </c>
      <c r="H275" s="39">
        <v>1104</v>
      </c>
      <c r="I275" s="40">
        <f t="shared" si="13"/>
        <v>57.172449508026936</v>
      </c>
    </row>
    <row r="276" spans="1:9" ht="15.75" customHeight="1">
      <c r="A276" s="5">
        <v>70703</v>
      </c>
      <c r="B276" s="4" t="s">
        <v>225</v>
      </c>
      <c r="C276" s="37" t="s">
        <v>245</v>
      </c>
      <c r="D276" s="39">
        <v>1344</v>
      </c>
      <c r="E276" s="39">
        <v>505</v>
      </c>
      <c r="F276" s="40">
        <f t="shared" si="14"/>
        <v>37.574404761904759</v>
      </c>
      <c r="G276" s="39">
        <v>1506</v>
      </c>
      <c r="H276" s="39">
        <v>802</v>
      </c>
      <c r="I276" s="40">
        <f t="shared" si="13"/>
        <v>53.253652058432934</v>
      </c>
    </row>
    <row r="277" spans="1:9" ht="15.75" customHeight="1">
      <c r="A277" s="5">
        <v>70704</v>
      </c>
      <c r="B277" s="4" t="s">
        <v>225</v>
      </c>
      <c r="C277" s="37" t="s">
        <v>246</v>
      </c>
      <c r="D277" s="39">
        <v>226</v>
      </c>
      <c r="E277" s="39">
        <v>141</v>
      </c>
      <c r="F277" s="40">
        <f t="shared" si="14"/>
        <v>62.389380530973447</v>
      </c>
      <c r="G277" s="39">
        <v>208</v>
      </c>
      <c r="H277" s="39">
        <v>177</v>
      </c>
      <c r="I277" s="40">
        <f t="shared" si="13"/>
        <v>85.09615384615384</v>
      </c>
    </row>
    <row r="278" spans="1:9" ht="15.75" customHeight="1">
      <c r="A278" s="5">
        <v>70705</v>
      </c>
      <c r="B278" s="4" t="s">
        <v>225</v>
      </c>
      <c r="C278" s="37" t="s">
        <v>358</v>
      </c>
      <c r="D278" s="39">
        <v>712</v>
      </c>
      <c r="E278" s="39">
        <v>323</v>
      </c>
      <c r="F278" s="40">
        <f t="shared" si="14"/>
        <v>45.365168539325843</v>
      </c>
      <c r="G278" s="39">
        <v>667</v>
      </c>
      <c r="H278" s="39">
        <v>507</v>
      </c>
      <c r="I278" s="40">
        <f t="shared" si="13"/>
        <v>76.011994002998492</v>
      </c>
    </row>
    <row r="279" spans="1:9" ht="15.75" customHeight="1">
      <c r="A279" s="5">
        <v>70706</v>
      </c>
      <c r="B279" s="4" t="s">
        <v>225</v>
      </c>
      <c r="C279" s="37" t="s">
        <v>247</v>
      </c>
      <c r="D279" s="39">
        <v>1220</v>
      </c>
      <c r="E279" s="39">
        <v>762</v>
      </c>
      <c r="F279" s="40">
        <f t="shared" si="14"/>
        <v>62.459016393442624</v>
      </c>
      <c r="G279" s="39">
        <v>1146</v>
      </c>
      <c r="H279" s="39">
        <v>944</v>
      </c>
      <c r="I279" s="40">
        <f t="shared" si="13"/>
        <v>82.373472949389182</v>
      </c>
    </row>
    <row r="280" spans="1:9" ht="15.75" customHeight="1">
      <c r="A280" s="5">
        <v>70707</v>
      </c>
      <c r="B280" s="4" t="s">
        <v>225</v>
      </c>
      <c r="C280" s="37" t="s">
        <v>248</v>
      </c>
      <c r="D280" s="39">
        <v>207</v>
      </c>
      <c r="E280" s="39">
        <v>93</v>
      </c>
      <c r="F280" s="40">
        <f t="shared" si="14"/>
        <v>44.927536231884055</v>
      </c>
      <c r="G280" s="39">
        <v>268</v>
      </c>
      <c r="H280" s="39">
        <v>149</v>
      </c>
      <c r="I280" s="40">
        <f t="shared" si="13"/>
        <v>55.597014925373131</v>
      </c>
    </row>
    <row r="281" spans="1:9" ht="15.75" customHeight="1">
      <c r="A281" s="5">
        <v>70801</v>
      </c>
      <c r="B281" s="4" t="s">
        <v>225</v>
      </c>
      <c r="C281" s="37" t="s">
        <v>249</v>
      </c>
      <c r="D281" s="39">
        <v>640</v>
      </c>
      <c r="E281" s="39">
        <v>389</v>
      </c>
      <c r="F281" s="40">
        <f t="shared" si="14"/>
        <v>60.78125</v>
      </c>
      <c r="G281" s="39">
        <v>513</v>
      </c>
      <c r="H281" s="39">
        <v>477</v>
      </c>
      <c r="I281" s="40">
        <f t="shared" si="13"/>
        <v>92.982456140350877</v>
      </c>
    </row>
    <row r="282" spans="1:9" ht="15.75" customHeight="1">
      <c r="A282" s="5">
        <v>70802</v>
      </c>
      <c r="B282" s="4" t="s">
        <v>225</v>
      </c>
      <c r="C282" s="37" t="s">
        <v>250</v>
      </c>
      <c r="D282" s="39">
        <v>83</v>
      </c>
      <c r="E282" s="39">
        <v>43</v>
      </c>
      <c r="F282" s="40">
        <f t="shared" si="14"/>
        <v>51.807228915662648</v>
      </c>
      <c r="G282" s="39">
        <v>68</v>
      </c>
      <c r="H282" s="39">
        <v>63</v>
      </c>
      <c r="I282" s="40">
        <f t="shared" si="13"/>
        <v>92.64705882352942</v>
      </c>
    </row>
    <row r="283" spans="1:9" ht="15.75" customHeight="1">
      <c r="A283" s="5">
        <v>70803</v>
      </c>
      <c r="B283" s="4" t="s">
        <v>225</v>
      </c>
      <c r="C283" s="37" t="s">
        <v>359</v>
      </c>
      <c r="D283" s="39">
        <v>103</v>
      </c>
      <c r="E283" s="39">
        <v>66</v>
      </c>
      <c r="F283" s="40">
        <f t="shared" si="14"/>
        <v>64.077669902912632</v>
      </c>
      <c r="G283" s="39">
        <v>86</v>
      </c>
      <c r="H283" s="39">
        <v>79</v>
      </c>
      <c r="I283" s="40">
        <f t="shared" si="13"/>
        <v>91.860465116279073</v>
      </c>
    </row>
    <row r="284" spans="1:9" ht="15.75" customHeight="1">
      <c r="A284" s="5">
        <v>70804</v>
      </c>
      <c r="B284" s="4" t="s">
        <v>225</v>
      </c>
      <c r="C284" s="37" t="s">
        <v>251</v>
      </c>
      <c r="D284" s="39">
        <v>96</v>
      </c>
      <c r="E284" s="39">
        <v>55</v>
      </c>
      <c r="F284" s="40">
        <f t="shared" si="14"/>
        <v>57.291666666666664</v>
      </c>
      <c r="G284" s="39">
        <v>50</v>
      </c>
      <c r="H284" s="39">
        <v>46</v>
      </c>
      <c r="I284" s="40">
        <f t="shared" si="13"/>
        <v>92</v>
      </c>
    </row>
    <row r="285" spans="1:9" ht="15.75" customHeight="1">
      <c r="A285" s="5">
        <v>70805</v>
      </c>
      <c r="B285" s="4" t="s">
        <v>225</v>
      </c>
      <c r="C285" s="37" t="s">
        <v>252</v>
      </c>
      <c r="D285" s="39">
        <v>80</v>
      </c>
      <c r="E285" s="39">
        <v>50</v>
      </c>
      <c r="F285" s="40">
        <f t="shared" si="14"/>
        <v>62.5</v>
      </c>
      <c r="G285" s="39">
        <v>70</v>
      </c>
      <c r="H285" s="39">
        <v>62</v>
      </c>
      <c r="I285" s="40">
        <f t="shared" si="13"/>
        <v>88.571428571428569</v>
      </c>
    </row>
    <row r="286" spans="1:9" ht="15.75" customHeight="1">
      <c r="A286" s="5">
        <v>70901</v>
      </c>
      <c r="B286" s="4" t="s">
        <v>225</v>
      </c>
      <c r="C286" s="37" t="s">
        <v>253</v>
      </c>
      <c r="D286" s="39">
        <v>434</v>
      </c>
      <c r="E286" s="39">
        <v>209</v>
      </c>
      <c r="F286" s="40">
        <f t="shared" si="14"/>
        <v>48.156682027649772</v>
      </c>
      <c r="G286" s="39">
        <v>390</v>
      </c>
      <c r="H286" s="39">
        <v>298</v>
      </c>
      <c r="I286" s="40">
        <f t="shared" si="13"/>
        <v>76.410256410256409</v>
      </c>
    </row>
    <row r="287" spans="1:9" ht="15.75" customHeight="1">
      <c r="A287" s="5">
        <v>70902</v>
      </c>
      <c r="B287" s="4" t="s">
        <v>225</v>
      </c>
      <c r="C287" s="37" t="s">
        <v>360</v>
      </c>
      <c r="D287" s="39">
        <v>407</v>
      </c>
      <c r="E287" s="39">
        <v>169</v>
      </c>
      <c r="F287" s="40">
        <f t="shared" si="14"/>
        <v>41.523341523341522</v>
      </c>
      <c r="G287" s="39">
        <v>365</v>
      </c>
      <c r="H287" s="39">
        <v>295</v>
      </c>
      <c r="I287" s="40">
        <f t="shared" si="13"/>
        <v>80.821917808219183</v>
      </c>
    </row>
    <row r="288" spans="1:9" ht="15.75" customHeight="1">
      <c r="A288" s="5">
        <v>70903</v>
      </c>
      <c r="B288" s="4" t="s">
        <v>225</v>
      </c>
      <c r="C288" s="37" t="s">
        <v>254</v>
      </c>
      <c r="D288" s="39">
        <v>503</v>
      </c>
      <c r="E288" s="39">
        <v>234</v>
      </c>
      <c r="F288" s="40">
        <f t="shared" si="14"/>
        <v>46.520874751491057</v>
      </c>
      <c r="G288" s="39">
        <v>458</v>
      </c>
      <c r="H288" s="39">
        <v>381</v>
      </c>
      <c r="I288" s="40">
        <f t="shared" si="13"/>
        <v>83.187772925764193</v>
      </c>
    </row>
    <row r="289" spans="1:9" ht="15.75" customHeight="1">
      <c r="A289" s="5">
        <v>70904</v>
      </c>
      <c r="B289" s="4" t="s">
        <v>225</v>
      </c>
      <c r="C289" s="37" t="s">
        <v>255</v>
      </c>
      <c r="D289" s="39">
        <v>113</v>
      </c>
      <c r="E289" s="39">
        <v>50</v>
      </c>
      <c r="F289" s="40">
        <f t="shared" si="14"/>
        <v>44.247787610619469</v>
      </c>
      <c r="G289" s="39">
        <v>85</v>
      </c>
      <c r="H289" s="39">
        <v>72</v>
      </c>
      <c r="I289" s="40">
        <f t="shared" si="13"/>
        <v>84.705882352941174</v>
      </c>
    </row>
    <row r="290" spans="1:9" ht="15.75" customHeight="1">
      <c r="A290" s="5">
        <v>71001</v>
      </c>
      <c r="B290" s="4" t="s">
        <v>225</v>
      </c>
      <c r="C290" s="37" t="s">
        <v>256</v>
      </c>
      <c r="D290" s="39">
        <v>4690</v>
      </c>
      <c r="E290" s="39">
        <v>2747</v>
      </c>
      <c r="F290" s="40">
        <f t="shared" si="14"/>
        <v>58.571428571428577</v>
      </c>
      <c r="G290" s="39">
        <v>4667</v>
      </c>
      <c r="H290" s="39">
        <v>3698</v>
      </c>
      <c r="I290" s="40">
        <f t="shared" si="13"/>
        <v>79.23719734304693</v>
      </c>
    </row>
    <row r="291" spans="1:9" ht="15.75" customHeight="1">
      <c r="A291" s="5">
        <v>71002</v>
      </c>
      <c r="B291" s="4" t="s">
        <v>225</v>
      </c>
      <c r="C291" s="37" t="s">
        <v>257</v>
      </c>
      <c r="D291" s="39">
        <v>697</v>
      </c>
      <c r="E291" s="39">
        <v>338</v>
      </c>
      <c r="F291" s="40">
        <f t="shared" si="14"/>
        <v>48.493543758967</v>
      </c>
      <c r="G291" s="39">
        <v>669</v>
      </c>
      <c r="H291" s="39">
        <v>556</v>
      </c>
      <c r="I291" s="40">
        <f t="shared" si="13"/>
        <v>83.109118086696569</v>
      </c>
    </row>
    <row r="292" spans="1:9" ht="15.75" customHeight="1">
      <c r="A292" s="5">
        <v>71003</v>
      </c>
      <c r="B292" s="4" t="s">
        <v>225</v>
      </c>
      <c r="C292" s="37" t="s">
        <v>258</v>
      </c>
      <c r="D292" s="39">
        <v>1146</v>
      </c>
      <c r="E292" s="39">
        <v>593</v>
      </c>
      <c r="F292" s="40">
        <f t="shared" si="14"/>
        <v>51.745200698080282</v>
      </c>
      <c r="G292" s="39">
        <v>945</v>
      </c>
      <c r="H292" s="39">
        <v>733</v>
      </c>
      <c r="I292" s="40">
        <f t="shared" si="13"/>
        <v>77.566137566137556</v>
      </c>
    </row>
    <row r="293" spans="1:9" ht="15.75" customHeight="1">
      <c r="A293" s="5">
        <v>71004</v>
      </c>
      <c r="B293" s="4" t="s">
        <v>225</v>
      </c>
      <c r="C293" s="37" t="s">
        <v>259</v>
      </c>
      <c r="D293" s="39">
        <v>698</v>
      </c>
      <c r="E293" s="39">
        <v>326</v>
      </c>
      <c r="F293" s="40">
        <f t="shared" si="14"/>
        <v>46.704871060171918</v>
      </c>
      <c r="G293" s="39">
        <v>524</v>
      </c>
      <c r="H293" s="39">
        <v>441</v>
      </c>
      <c r="I293" s="40">
        <f t="shared" si="13"/>
        <v>84.160305343511453</v>
      </c>
    </row>
    <row r="294" spans="1:9" ht="15.75" customHeight="1">
      <c r="A294" s="5">
        <v>71005</v>
      </c>
      <c r="B294" s="4" t="s">
        <v>225</v>
      </c>
      <c r="C294" s="37" t="s">
        <v>192</v>
      </c>
      <c r="D294" s="39">
        <v>859</v>
      </c>
      <c r="E294" s="39">
        <v>475</v>
      </c>
      <c r="F294" s="40">
        <f t="shared" si="14"/>
        <v>55.296856810244464</v>
      </c>
      <c r="G294" s="39">
        <v>558</v>
      </c>
      <c r="H294" s="39">
        <v>483</v>
      </c>
      <c r="I294" s="40">
        <f t="shared" si="13"/>
        <v>86.55913978494624</v>
      </c>
    </row>
    <row r="295" spans="1:9" ht="15.75" customHeight="1">
      <c r="A295" s="5">
        <v>71101</v>
      </c>
      <c r="B295" s="4" t="s">
        <v>225</v>
      </c>
      <c r="C295" s="37" t="s">
        <v>260</v>
      </c>
      <c r="D295" s="39">
        <v>970</v>
      </c>
      <c r="E295" s="39">
        <v>384</v>
      </c>
      <c r="F295" s="40">
        <f t="shared" si="14"/>
        <v>39.587628865979383</v>
      </c>
      <c r="G295" s="39">
        <v>1281</v>
      </c>
      <c r="H295" s="39">
        <v>786</v>
      </c>
      <c r="I295" s="40">
        <f t="shared" si="13"/>
        <v>61.358313817330213</v>
      </c>
    </row>
    <row r="296" spans="1:9" ht="15.75" customHeight="1">
      <c r="A296" s="5">
        <v>71102</v>
      </c>
      <c r="B296" s="4" t="s">
        <v>225</v>
      </c>
      <c r="C296" s="37" t="s">
        <v>261</v>
      </c>
      <c r="D296" s="39">
        <v>716</v>
      </c>
      <c r="E296" s="39">
        <v>285</v>
      </c>
      <c r="F296" s="40">
        <f t="shared" si="14"/>
        <v>39.804469273743017</v>
      </c>
      <c r="G296" s="39">
        <v>665</v>
      </c>
      <c r="H296" s="39">
        <v>491</v>
      </c>
      <c r="I296" s="40">
        <f t="shared" si="13"/>
        <v>73.834586466165405</v>
      </c>
    </row>
    <row r="297" spans="1:9" ht="15.75" customHeight="1">
      <c r="A297" s="5">
        <v>71103</v>
      </c>
      <c r="B297" s="4" t="s">
        <v>225</v>
      </c>
      <c r="C297" s="37" t="s">
        <v>264</v>
      </c>
      <c r="D297" s="39">
        <v>344</v>
      </c>
      <c r="E297" s="39">
        <v>129</v>
      </c>
      <c r="F297" s="40">
        <f t="shared" si="14"/>
        <v>37.5</v>
      </c>
      <c r="G297" s="39">
        <v>342</v>
      </c>
      <c r="H297" s="39">
        <v>244</v>
      </c>
      <c r="I297" s="40">
        <f t="shared" si="13"/>
        <v>71.345029239766077</v>
      </c>
    </row>
    <row r="298" spans="1:9" ht="15.75" customHeight="1">
      <c r="A298" s="5">
        <v>71104</v>
      </c>
      <c r="B298" s="4" t="s">
        <v>225</v>
      </c>
      <c r="C298" s="37" t="s">
        <v>262</v>
      </c>
      <c r="D298" s="39">
        <v>2421</v>
      </c>
      <c r="E298" s="39">
        <v>1020</v>
      </c>
      <c r="F298" s="40">
        <f t="shared" si="14"/>
        <v>42.131350681536553</v>
      </c>
      <c r="G298" s="39">
        <v>1814</v>
      </c>
      <c r="H298" s="39">
        <v>1430</v>
      </c>
      <c r="I298" s="40">
        <f t="shared" si="13"/>
        <v>78.83131201764057</v>
      </c>
    </row>
    <row r="299" spans="1:9" ht="15.75" customHeight="1">
      <c r="A299" s="5">
        <v>71105</v>
      </c>
      <c r="B299" s="4" t="s">
        <v>225</v>
      </c>
      <c r="C299" s="37" t="s">
        <v>263</v>
      </c>
      <c r="D299" s="39">
        <v>341</v>
      </c>
      <c r="E299" s="39">
        <v>134</v>
      </c>
      <c r="F299" s="40">
        <f t="shared" si="14"/>
        <v>39.296187683284458</v>
      </c>
      <c r="G299" s="39">
        <v>306</v>
      </c>
      <c r="H299" s="39">
        <v>194</v>
      </c>
      <c r="I299" s="40">
        <f t="shared" si="13"/>
        <v>63.398692810457511</v>
      </c>
    </row>
    <row r="300" spans="1:9" ht="15.75" customHeight="1">
      <c r="A300" s="5">
        <v>71106</v>
      </c>
      <c r="B300" s="4" t="s">
        <v>225</v>
      </c>
      <c r="C300" s="37" t="s">
        <v>265</v>
      </c>
      <c r="D300" s="39">
        <v>1150</v>
      </c>
      <c r="E300" s="39">
        <v>395</v>
      </c>
      <c r="F300" s="40">
        <f t="shared" si="14"/>
        <v>34.347826086956523</v>
      </c>
      <c r="G300" s="39">
        <v>1157</v>
      </c>
      <c r="H300" s="39">
        <v>654</v>
      </c>
      <c r="I300" s="40">
        <f t="shared" si="13"/>
        <v>56.525496974935173</v>
      </c>
    </row>
    <row r="301" spans="1:9" ht="15.75" customHeight="1">
      <c r="A301" s="5">
        <v>71201</v>
      </c>
      <c r="B301" s="4" t="s">
        <v>225</v>
      </c>
      <c r="C301" s="37" t="s">
        <v>266</v>
      </c>
      <c r="D301" s="39">
        <v>670</v>
      </c>
      <c r="E301" s="39">
        <v>228</v>
      </c>
      <c r="F301" s="40">
        <f t="shared" ref="F301:F328" si="15">E301/D301*100</f>
        <v>34.029850746268657</v>
      </c>
      <c r="G301" s="39">
        <v>668</v>
      </c>
      <c r="H301" s="39">
        <v>324</v>
      </c>
      <c r="I301" s="40">
        <f t="shared" si="13"/>
        <v>48.50299401197605</v>
      </c>
    </row>
    <row r="302" spans="1:9" ht="15.75" customHeight="1">
      <c r="A302" s="5">
        <v>71301</v>
      </c>
      <c r="B302" s="4" t="s">
        <v>225</v>
      </c>
      <c r="C302" s="37" t="s">
        <v>267</v>
      </c>
      <c r="D302" s="39">
        <v>783</v>
      </c>
      <c r="E302" s="39">
        <v>316</v>
      </c>
      <c r="F302" s="40">
        <f t="shared" si="15"/>
        <v>40.357598978288635</v>
      </c>
      <c r="G302" s="39">
        <v>737</v>
      </c>
      <c r="H302" s="39">
        <v>636</v>
      </c>
      <c r="I302" s="40">
        <f t="shared" si="13"/>
        <v>86.295793758480315</v>
      </c>
    </row>
    <row r="303" spans="1:9" ht="15.75" customHeight="1">
      <c r="A303" s="5">
        <v>71302</v>
      </c>
      <c r="B303" s="4" t="s">
        <v>225</v>
      </c>
      <c r="C303" s="37" t="s">
        <v>268</v>
      </c>
      <c r="D303" s="39">
        <v>380</v>
      </c>
      <c r="E303" s="39">
        <v>188</v>
      </c>
      <c r="F303" s="40">
        <f t="shared" si="15"/>
        <v>49.473684210526315</v>
      </c>
      <c r="G303" s="39">
        <v>220</v>
      </c>
      <c r="H303" s="39">
        <v>199</v>
      </c>
      <c r="I303" s="40">
        <f t="shared" si="13"/>
        <v>90.454545454545453</v>
      </c>
    </row>
    <row r="304" spans="1:9" ht="15.75" customHeight="1">
      <c r="A304" s="5">
        <v>71401</v>
      </c>
      <c r="B304" s="4" t="s">
        <v>225</v>
      </c>
      <c r="C304" s="37" t="s">
        <v>361</v>
      </c>
      <c r="D304" s="39">
        <v>716</v>
      </c>
      <c r="E304" s="39">
        <v>349</v>
      </c>
      <c r="F304" s="40">
        <f t="shared" si="15"/>
        <v>48.743016759776538</v>
      </c>
      <c r="G304" s="39">
        <v>576</v>
      </c>
      <c r="H304" s="39">
        <v>452</v>
      </c>
      <c r="I304" s="40">
        <f t="shared" si="13"/>
        <v>78.472222222222214</v>
      </c>
    </row>
    <row r="305" spans="1:9" ht="15.75" customHeight="1">
      <c r="A305" s="5">
        <v>71402</v>
      </c>
      <c r="B305" s="4" t="s">
        <v>225</v>
      </c>
      <c r="C305" s="37" t="s">
        <v>269</v>
      </c>
      <c r="D305" s="39">
        <v>733</v>
      </c>
      <c r="E305" s="39">
        <v>312</v>
      </c>
      <c r="F305" s="40">
        <f t="shared" si="15"/>
        <v>42.564802182810368</v>
      </c>
      <c r="G305" s="39">
        <v>647</v>
      </c>
      <c r="H305" s="39">
        <v>427</v>
      </c>
      <c r="I305" s="40">
        <f t="shared" si="13"/>
        <v>65.996908809891806</v>
      </c>
    </row>
    <row r="306" spans="1:9" ht="15.75" customHeight="1">
      <c r="A306" s="5">
        <v>71403</v>
      </c>
      <c r="B306" s="4" t="s">
        <v>225</v>
      </c>
      <c r="C306" s="37" t="s">
        <v>270</v>
      </c>
      <c r="D306" s="39">
        <v>315</v>
      </c>
      <c r="E306" s="39">
        <v>136</v>
      </c>
      <c r="F306" s="40">
        <f t="shared" si="15"/>
        <v>43.174603174603178</v>
      </c>
      <c r="G306" s="39">
        <v>420</v>
      </c>
      <c r="H306" s="39">
        <v>215</v>
      </c>
      <c r="I306" s="40">
        <f t="shared" si="13"/>
        <v>51.19047619047619</v>
      </c>
    </row>
    <row r="307" spans="1:9" ht="15.75" customHeight="1">
      <c r="A307" s="5">
        <v>71501</v>
      </c>
      <c r="B307" s="4" t="s">
        <v>225</v>
      </c>
      <c r="C307" s="37" t="s">
        <v>271</v>
      </c>
      <c r="D307" s="39">
        <v>1524</v>
      </c>
      <c r="E307" s="39">
        <v>568</v>
      </c>
      <c r="F307" s="40">
        <f t="shared" si="15"/>
        <v>37.270341207349084</v>
      </c>
      <c r="G307" s="39">
        <v>1401</v>
      </c>
      <c r="H307" s="39">
        <v>839</v>
      </c>
      <c r="I307" s="40">
        <f t="shared" si="13"/>
        <v>59.885795860099932</v>
      </c>
    </row>
    <row r="308" spans="1:9" ht="15.75" customHeight="1">
      <c r="A308" s="5">
        <v>71502</v>
      </c>
      <c r="B308" s="4" t="s">
        <v>225</v>
      </c>
      <c r="C308" s="37" t="s">
        <v>272</v>
      </c>
      <c r="D308" s="39">
        <v>423</v>
      </c>
      <c r="E308" s="39">
        <v>180</v>
      </c>
      <c r="F308" s="40">
        <f t="shared" si="15"/>
        <v>42.553191489361701</v>
      </c>
      <c r="G308" s="39">
        <v>275</v>
      </c>
      <c r="H308" s="39">
        <v>192</v>
      </c>
      <c r="I308" s="40">
        <f t="shared" si="13"/>
        <v>69.818181818181827</v>
      </c>
    </row>
    <row r="309" spans="1:9" ht="15.75" customHeight="1">
      <c r="A309" s="5">
        <v>71503</v>
      </c>
      <c r="B309" s="4" t="s">
        <v>225</v>
      </c>
      <c r="C309" s="37" t="s">
        <v>224</v>
      </c>
      <c r="D309" s="39">
        <v>719</v>
      </c>
      <c r="E309" s="39">
        <v>235</v>
      </c>
      <c r="F309" s="40">
        <f t="shared" si="15"/>
        <v>32.684283727399169</v>
      </c>
      <c r="G309" s="39">
        <v>586</v>
      </c>
      <c r="H309" s="39">
        <v>387</v>
      </c>
      <c r="I309" s="40">
        <f t="shared" si="13"/>
        <v>66.040955631399328</v>
      </c>
    </row>
    <row r="310" spans="1:9" ht="15.75" customHeight="1">
      <c r="A310" s="5">
        <v>80101</v>
      </c>
      <c r="B310" s="4" t="s">
        <v>273</v>
      </c>
      <c r="C310" s="37" t="s">
        <v>274</v>
      </c>
      <c r="D310" s="39">
        <v>4902</v>
      </c>
      <c r="E310" s="39">
        <v>2682</v>
      </c>
      <c r="F310" s="40">
        <f t="shared" si="15"/>
        <v>54.712362301101592</v>
      </c>
      <c r="G310" s="39">
        <v>4789</v>
      </c>
      <c r="H310" s="39">
        <v>3761</v>
      </c>
      <c r="I310" s="40">
        <f t="shared" si="13"/>
        <v>78.534140739193987</v>
      </c>
    </row>
    <row r="311" spans="1:9" ht="15.75" customHeight="1">
      <c r="A311" s="5">
        <v>80102</v>
      </c>
      <c r="B311" s="4" t="s">
        <v>273</v>
      </c>
      <c r="C311" s="37" t="s">
        <v>261</v>
      </c>
      <c r="D311" s="39">
        <v>262</v>
      </c>
      <c r="E311" s="39">
        <v>98</v>
      </c>
      <c r="F311" s="40">
        <f t="shared" si="15"/>
        <v>37.404580152671755</v>
      </c>
      <c r="G311" s="39">
        <v>367</v>
      </c>
      <c r="H311" s="39">
        <v>182</v>
      </c>
      <c r="I311" s="40">
        <f t="shared" si="13"/>
        <v>49.591280653950953</v>
      </c>
    </row>
    <row r="312" spans="1:9" ht="15.75" customHeight="1">
      <c r="A312" s="5">
        <v>80201</v>
      </c>
      <c r="B312" s="4" t="s">
        <v>273</v>
      </c>
      <c r="C312" s="37" t="s">
        <v>275</v>
      </c>
      <c r="D312" s="39">
        <v>4523</v>
      </c>
      <c r="E312" s="39">
        <v>1928</v>
      </c>
      <c r="F312" s="40">
        <f t="shared" si="15"/>
        <v>42.626575281892549</v>
      </c>
      <c r="G312" s="39">
        <v>4709</v>
      </c>
      <c r="H312" s="39">
        <v>3111</v>
      </c>
      <c r="I312" s="40">
        <f t="shared" si="13"/>
        <v>66.064981949458485</v>
      </c>
    </row>
    <row r="313" spans="1:9" ht="15.75" customHeight="1">
      <c r="A313" s="5">
        <v>80202</v>
      </c>
      <c r="B313" s="4" t="s">
        <v>273</v>
      </c>
      <c r="C313" s="37" t="s">
        <v>276</v>
      </c>
      <c r="D313" s="39">
        <v>1876</v>
      </c>
      <c r="E313" s="39">
        <v>1105</v>
      </c>
      <c r="F313" s="40">
        <f t="shared" si="15"/>
        <v>58.901918976545844</v>
      </c>
      <c r="G313" s="39">
        <v>1611</v>
      </c>
      <c r="H313" s="39">
        <v>1219</v>
      </c>
      <c r="I313" s="40">
        <f t="shared" si="13"/>
        <v>75.667287399130984</v>
      </c>
    </row>
    <row r="314" spans="1:9" ht="15.75" customHeight="1">
      <c r="A314" s="5">
        <v>80301</v>
      </c>
      <c r="B314" s="4" t="s">
        <v>273</v>
      </c>
      <c r="C314" s="37" t="s">
        <v>277</v>
      </c>
      <c r="D314" s="39">
        <v>718</v>
      </c>
      <c r="E314" s="39">
        <v>376</v>
      </c>
      <c r="F314" s="40">
        <f t="shared" si="15"/>
        <v>52.367688022284121</v>
      </c>
      <c r="G314" s="39">
        <v>524</v>
      </c>
      <c r="H314" s="39">
        <v>379</v>
      </c>
      <c r="I314" s="40">
        <f t="shared" si="13"/>
        <v>72.328244274809165</v>
      </c>
    </row>
    <row r="315" spans="1:9" ht="15.75" customHeight="1">
      <c r="A315" s="5">
        <v>80302</v>
      </c>
      <c r="B315" s="4" t="s">
        <v>273</v>
      </c>
      <c r="C315" s="37" t="s">
        <v>278</v>
      </c>
      <c r="D315" s="39">
        <v>2282</v>
      </c>
      <c r="E315" s="39">
        <v>748</v>
      </c>
      <c r="F315" s="40">
        <f t="shared" si="15"/>
        <v>32.778264680105174</v>
      </c>
      <c r="G315" s="39">
        <v>2342</v>
      </c>
      <c r="H315" s="39">
        <v>1127</v>
      </c>
      <c r="I315" s="40">
        <f t="shared" si="13"/>
        <v>48.121263877028184</v>
      </c>
    </row>
    <row r="316" spans="1:9" ht="15.75" customHeight="1">
      <c r="A316" s="5">
        <v>80303</v>
      </c>
      <c r="B316" s="4" t="s">
        <v>273</v>
      </c>
      <c r="C316" s="37" t="s">
        <v>242</v>
      </c>
      <c r="D316" s="39">
        <v>506</v>
      </c>
      <c r="E316" s="39">
        <v>243</v>
      </c>
      <c r="F316" s="40">
        <f t="shared" si="15"/>
        <v>48.023715415019765</v>
      </c>
      <c r="G316" s="39">
        <v>548</v>
      </c>
      <c r="H316" s="39">
        <v>354</v>
      </c>
      <c r="I316" s="40">
        <f t="shared" si="13"/>
        <v>64.59854014598541</v>
      </c>
    </row>
    <row r="317" spans="1:9" ht="15.75" customHeight="1">
      <c r="A317" s="5">
        <v>80304</v>
      </c>
      <c r="B317" s="4" t="s">
        <v>273</v>
      </c>
      <c r="C317" s="37" t="s">
        <v>362</v>
      </c>
      <c r="D317" s="39">
        <v>908</v>
      </c>
      <c r="E317" s="39">
        <v>400</v>
      </c>
      <c r="F317" s="40">
        <f t="shared" si="15"/>
        <v>44.052863436123346</v>
      </c>
      <c r="G317" s="39">
        <v>929</v>
      </c>
      <c r="H317" s="39">
        <v>611</v>
      </c>
      <c r="I317" s="40">
        <f t="shared" si="13"/>
        <v>65.769644779332609</v>
      </c>
    </row>
    <row r="318" spans="1:9" ht="15.75" customHeight="1">
      <c r="A318" s="5">
        <v>80401</v>
      </c>
      <c r="B318" s="4" t="s">
        <v>273</v>
      </c>
      <c r="C318" s="37" t="s">
        <v>363</v>
      </c>
      <c r="D318" s="39">
        <v>961</v>
      </c>
      <c r="E318" s="39">
        <v>409</v>
      </c>
      <c r="F318" s="40">
        <f t="shared" si="15"/>
        <v>42.559833506763788</v>
      </c>
      <c r="G318" s="39">
        <v>869</v>
      </c>
      <c r="H318" s="39">
        <v>493</v>
      </c>
      <c r="I318" s="40">
        <f t="shared" si="13"/>
        <v>56.731875719217498</v>
      </c>
    </row>
    <row r="319" spans="1:9" ht="15.75" customHeight="1">
      <c r="A319" s="5">
        <v>80402</v>
      </c>
      <c r="B319" s="4" t="s">
        <v>273</v>
      </c>
      <c r="C319" s="37" t="s">
        <v>279</v>
      </c>
      <c r="D319" s="39">
        <v>361</v>
      </c>
      <c r="E319" s="39">
        <v>98</v>
      </c>
      <c r="F319" s="40">
        <f t="shared" si="15"/>
        <v>27.146814404432135</v>
      </c>
      <c r="G319" s="39">
        <v>311</v>
      </c>
      <c r="H319" s="39">
        <v>150</v>
      </c>
      <c r="I319" s="40">
        <f t="shared" si="13"/>
        <v>48.231511254019296</v>
      </c>
    </row>
    <row r="320" spans="1:9" ht="15.75" customHeight="1">
      <c r="A320" s="5">
        <v>80501</v>
      </c>
      <c r="B320" s="4" t="s">
        <v>273</v>
      </c>
      <c r="C320" s="37" t="s">
        <v>233</v>
      </c>
      <c r="D320" s="39">
        <v>1186</v>
      </c>
      <c r="E320" s="39">
        <v>460</v>
      </c>
      <c r="F320" s="40">
        <f t="shared" si="15"/>
        <v>38.785834738617204</v>
      </c>
      <c r="G320" s="39">
        <v>1056</v>
      </c>
      <c r="H320" s="39">
        <v>730</v>
      </c>
      <c r="I320" s="40">
        <f t="shared" si="13"/>
        <v>69.128787878787875</v>
      </c>
    </row>
    <row r="321" spans="1:9" ht="15.75" customHeight="1">
      <c r="A321" s="5">
        <v>80601</v>
      </c>
      <c r="B321" s="4" t="s">
        <v>273</v>
      </c>
      <c r="C321" s="37" t="s">
        <v>280</v>
      </c>
      <c r="D321" s="39">
        <v>201</v>
      </c>
      <c r="E321" s="39">
        <v>72</v>
      </c>
      <c r="F321" s="40">
        <f t="shared" si="15"/>
        <v>35.820895522388057</v>
      </c>
      <c r="G321" s="39">
        <v>243</v>
      </c>
      <c r="H321" s="39">
        <v>148</v>
      </c>
      <c r="I321" s="40">
        <f t="shared" si="13"/>
        <v>60.905349794238681</v>
      </c>
    </row>
    <row r="322" spans="1:9" ht="15.75" customHeight="1">
      <c r="A322" s="5">
        <v>80602</v>
      </c>
      <c r="B322" s="4" t="s">
        <v>273</v>
      </c>
      <c r="C322" s="37" t="s">
        <v>281</v>
      </c>
      <c r="D322" s="39">
        <v>632</v>
      </c>
      <c r="E322" s="39">
        <v>342</v>
      </c>
      <c r="F322" s="40">
        <f t="shared" si="15"/>
        <v>54.11392405063291</v>
      </c>
      <c r="G322" s="39">
        <v>622</v>
      </c>
      <c r="H322" s="39">
        <v>414</v>
      </c>
      <c r="I322" s="40">
        <f t="shared" si="13"/>
        <v>66.559485530546624</v>
      </c>
    </row>
    <row r="323" spans="1:9" ht="15.75" customHeight="1">
      <c r="A323" s="5">
        <v>80701</v>
      </c>
      <c r="B323" s="4" t="s">
        <v>273</v>
      </c>
      <c r="C323" s="37" t="s">
        <v>282</v>
      </c>
      <c r="D323" s="39">
        <v>318</v>
      </c>
      <c r="E323" s="39">
        <v>167</v>
      </c>
      <c r="F323" s="40">
        <f t="shared" si="15"/>
        <v>52.515723270440247</v>
      </c>
      <c r="G323" s="39">
        <v>287</v>
      </c>
      <c r="H323" s="39">
        <v>193</v>
      </c>
      <c r="I323" s="40">
        <f t="shared" ref="I323:I344" si="16">H323/G323*100</f>
        <v>67.247386759581886</v>
      </c>
    </row>
    <row r="324" spans="1:9" ht="15.75" customHeight="1">
      <c r="A324" s="5">
        <v>80702</v>
      </c>
      <c r="B324" s="4" t="s">
        <v>273</v>
      </c>
      <c r="C324" s="37" t="s">
        <v>264</v>
      </c>
      <c r="D324" s="39">
        <v>282</v>
      </c>
      <c r="E324" s="39">
        <v>165</v>
      </c>
      <c r="F324" s="40">
        <f t="shared" si="15"/>
        <v>58.51063829787234</v>
      </c>
      <c r="G324" s="39">
        <v>208</v>
      </c>
      <c r="H324" s="39">
        <v>164</v>
      </c>
      <c r="I324" s="40">
        <f t="shared" si="16"/>
        <v>78.84615384615384</v>
      </c>
    </row>
    <row r="325" spans="1:9" ht="15.75" customHeight="1">
      <c r="A325" s="5">
        <v>80703</v>
      </c>
      <c r="B325" s="4" t="s">
        <v>273</v>
      </c>
      <c r="C325" s="37" t="s">
        <v>283</v>
      </c>
      <c r="D325" s="39">
        <v>57</v>
      </c>
      <c r="E325" s="39">
        <v>29</v>
      </c>
      <c r="F325" s="40">
        <f t="shared" si="15"/>
        <v>50.877192982456144</v>
      </c>
      <c r="G325" s="39">
        <v>55</v>
      </c>
      <c r="H325" s="39">
        <v>43</v>
      </c>
      <c r="I325" s="40">
        <f t="shared" si="16"/>
        <v>78.181818181818187</v>
      </c>
    </row>
    <row r="326" spans="1:9" ht="15.75" customHeight="1">
      <c r="A326" s="5">
        <v>80801</v>
      </c>
      <c r="B326" s="4" t="s">
        <v>273</v>
      </c>
      <c r="C326" s="37" t="s">
        <v>284</v>
      </c>
      <c r="D326" s="39">
        <v>557</v>
      </c>
      <c r="E326" s="39">
        <v>320</v>
      </c>
      <c r="F326" s="40">
        <f t="shared" si="15"/>
        <v>57.450628366247756</v>
      </c>
      <c r="G326" s="39">
        <v>573</v>
      </c>
      <c r="H326" s="39">
        <v>463</v>
      </c>
      <c r="I326" s="40">
        <f t="shared" si="16"/>
        <v>80.802792321116925</v>
      </c>
    </row>
    <row r="327" spans="1:9" ht="15.75" customHeight="1">
      <c r="A327" s="5">
        <v>80802</v>
      </c>
      <c r="B327" s="4" t="s">
        <v>273</v>
      </c>
      <c r="C327" s="37" t="s">
        <v>285</v>
      </c>
      <c r="D327" s="39">
        <v>246</v>
      </c>
      <c r="E327" s="39">
        <v>141</v>
      </c>
      <c r="F327" s="40">
        <f t="shared" si="15"/>
        <v>57.317073170731703</v>
      </c>
      <c r="G327" s="39">
        <v>235</v>
      </c>
      <c r="H327" s="39">
        <v>191</v>
      </c>
      <c r="I327" s="40">
        <f t="shared" si="16"/>
        <v>81.276595744680847</v>
      </c>
    </row>
    <row r="328" spans="1:9" ht="15.75" customHeight="1">
      <c r="A328" s="5">
        <v>80803</v>
      </c>
      <c r="B328" s="4" t="s">
        <v>273</v>
      </c>
      <c r="C328" s="37" t="s">
        <v>286</v>
      </c>
      <c r="D328" s="39">
        <v>188</v>
      </c>
      <c r="E328" s="39">
        <v>104</v>
      </c>
      <c r="F328" s="40">
        <f t="shared" si="15"/>
        <v>55.319148936170215</v>
      </c>
      <c r="G328" s="39">
        <v>165</v>
      </c>
      <c r="H328" s="39">
        <v>123</v>
      </c>
      <c r="I328" s="40">
        <f t="shared" si="16"/>
        <v>74.545454545454547</v>
      </c>
    </row>
    <row r="329" spans="1:9" ht="15.75" customHeight="1">
      <c r="A329" s="5">
        <v>80901</v>
      </c>
      <c r="B329" s="4" t="s">
        <v>273</v>
      </c>
      <c r="C329" s="37" t="s">
        <v>364</v>
      </c>
      <c r="D329" s="38"/>
      <c r="E329" s="38"/>
      <c r="F329" s="40"/>
      <c r="G329" s="39">
        <v>257</v>
      </c>
      <c r="H329" s="39">
        <v>165</v>
      </c>
      <c r="I329" s="40">
        <f t="shared" si="16"/>
        <v>64.202334630350194</v>
      </c>
    </row>
    <row r="330" spans="1:9" ht="15.75" customHeight="1">
      <c r="A330" s="5">
        <v>90101</v>
      </c>
      <c r="B330" s="4" t="s">
        <v>287</v>
      </c>
      <c r="C330" s="37" t="s">
        <v>288</v>
      </c>
      <c r="D330" s="39">
        <v>1934</v>
      </c>
      <c r="E330" s="39">
        <v>999</v>
      </c>
      <c r="F330" s="40">
        <f t="shared" ref="F330:F344" si="17">E330/D330*100</f>
        <v>51.654601861427096</v>
      </c>
      <c r="G330" s="39">
        <v>1940</v>
      </c>
      <c r="H330" s="39">
        <v>1615</v>
      </c>
      <c r="I330" s="40">
        <f t="shared" si="16"/>
        <v>83.24742268041237</v>
      </c>
    </row>
    <row r="331" spans="1:9" ht="15.75" customHeight="1">
      <c r="A331" s="5">
        <v>90102</v>
      </c>
      <c r="B331" s="4" t="s">
        <v>287</v>
      </c>
      <c r="C331" s="37" t="s">
        <v>289</v>
      </c>
      <c r="D331" s="39">
        <v>341</v>
      </c>
      <c r="E331" s="39">
        <v>190</v>
      </c>
      <c r="F331" s="40">
        <f t="shared" si="17"/>
        <v>55.718475073313776</v>
      </c>
      <c r="G331" s="39">
        <v>409</v>
      </c>
      <c r="H331" s="39">
        <v>312</v>
      </c>
      <c r="I331" s="40">
        <f t="shared" si="16"/>
        <v>76.283618581907092</v>
      </c>
    </row>
    <row r="332" spans="1:9" ht="15.75" customHeight="1">
      <c r="A332" s="5">
        <v>90103</v>
      </c>
      <c r="B332" s="4" t="s">
        <v>287</v>
      </c>
      <c r="C332" s="37" t="s">
        <v>290</v>
      </c>
      <c r="D332" s="39">
        <v>105</v>
      </c>
      <c r="E332" s="39">
        <v>48</v>
      </c>
      <c r="F332" s="40">
        <f t="shared" si="17"/>
        <v>45.714285714285715</v>
      </c>
      <c r="G332" s="39">
        <v>93</v>
      </c>
      <c r="H332" s="39">
        <v>73</v>
      </c>
      <c r="I332" s="40">
        <f t="shared" si="16"/>
        <v>78.494623655913969</v>
      </c>
    </row>
    <row r="333" spans="1:9" ht="15.75" customHeight="1">
      <c r="A333" s="5">
        <v>90104</v>
      </c>
      <c r="B333" s="4" t="s">
        <v>287</v>
      </c>
      <c r="C333" s="37" t="s">
        <v>291</v>
      </c>
      <c r="D333" s="39">
        <v>193</v>
      </c>
      <c r="E333" s="39">
        <v>100</v>
      </c>
      <c r="F333" s="40">
        <f t="shared" si="17"/>
        <v>51.813471502590666</v>
      </c>
      <c r="G333" s="39">
        <v>131</v>
      </c>
      <c r="H333" s="39">
        <v>104</v>
      </c>
      <c r="I333" s="40">
        <f t="shared" si="16"/>
        <v>79.389312977099237</v>
      </c>
    </row>
    <row r="334" spans="1:9" ht="15.75" customHeight="1">
      <c r="A334" s="5">
        <v>90201</v>
      </c>
      <c r="B334" s="4" t="s">
        <v>287</v>
      </c>
      <c r="C334" s="37" t="s">
        <v>292</v>
      </c>
      <c r="D334" s="39">
        <v>330</v>
      </c>
      <c r="E334" s="39">
        <v>173</v>
      </c>
      <c r="F334" s="40">
        <f t="shared" si="17"/>
        <v>52.424242424242429</v>
      </c>
      <c r="G334" s="39">
        <v>313</v>
      </c>
      <c r="H334" s="39">
        <v>266</v>
      </c>
      <c r="I334" s="40">
        <f t="shared" si="16"/>
        <v>84.984025559105433</v>
      </c>
    </row>
    <row r="335" spans="1:9" ht="15.75" customHeight="1">
      <c r="A335" s="5">
        <v>90202</v>
      </c>
      <c r="B335" s="4" t="s">
        <v>287</v>
      </c>
      <c r="C335" s="37" t="s">
        <v>192</v>
      </c>
      <c r="D335" s="39">
        <v>139</v>
      </c>
      <c r="E335" s="39">
        <v>55</v>
      </c>
      <c r="F335" s="40">
        <f t="shared" si="17"/>
        <v>39.568345323741006</v>
      </c>
      <c r="G335" s="39">
        <v>182</v>
      </c>
      <c r="H335" s="39">
        <v>110</v>
      </c>
      <c r="I335" s="40">
        <f t="shared" si="16"/>
        <v>60.439560439560438</v>
      </c>
    </row>
    <row r="336" spans="1:9" ht="15.75" customHeight="1">
      <c r="A336" s="5">
        <v>90203</v>
      </c>
      <c r="B336" s="4" t="s">
        <v>287</v>
      </c>
      <c r="C336" s="37" t="s">
        <v>293</v>
      </c>
      <c r="D336" s="39">
        <v>291</v>
      </c>
      <c r="E336" s="39">
        <v>165</v>
      </c>
      <c r="F336" s="40">
        <f t="shared" si="17"/>
        <v>56.701030927835049</v>
      </c>
      <c r="G336" s="39">
        <v>339</v>
      </c>
      <c r="H336" s="39">
        <v>293</v>
      </c>
      <c r="I336" s="40">
        <f t="shared" si="16"/>
        <v>86.430678466076699</v>
      </c>
    </row>
    <row r="337" spans="1:9" ht="15.75" customHeight="1">
      <c r="A337" s="5">
        <v>90301</v>
      </c>
      <c r="B337" s="4" t="s">
        <v>287</v>
      </c>
      <c r="C337" s="37" t="s">
        <v>294</v>
      </c>
      <c r="D337" s="39">
        <v>460</v>
      </c>
      <c r="E337" s="39">
        <v>238</v>
      </c>
      <c r="F337" s="40">
        <f t="shared" si="17"/>
        <v>51.739130434782609</v>
      </c>
      <c r="G337" s="39">
        <v>633</v>
      </c>
      <c r="H337" s="39">
        <v>403</v>
      </c>
      <c r="I337" s="40">
        <f t="shared" si="16"/>
        <v>63.665086887835699</v>
      </c>
    </row>
    <row r="338" spans="1:9" ht="15.75" customHeight="1">
      <c r="A338" s="5">
        <v>90302</v>
      </c>
      <c r="B338" s="4" t="s">
        <v>287</v>
      </c>
      <c r="C338" s="37" t="s">
        <v>223</v>
      </c>
      <c r="D338" s="39">
        <v>420</v>
      </c>
      <c r="E338" s="39">
        <v>237</v>
      </c>
      <c r="F338" s="40">
        <f t="shared" si="17"/>
        <v>56.428571428571431</v>
      </c>
      <c r="G338" s="39">
        <v>508</v>
      </c>
      <c r="H338" s="39">
        <v>364</v>
      </c>
      <c r="I338" s="40">
        <f t="shared" si="16"/>
        <v>71.653543307086608</v>
      </c>
    </row>
    <row r="339" spans="1:9" ht="15.75" customHeight="1">
      <c r="A339" s="5">
        <v>90303</v>
      </c>
      <c r="B339" s="4" t="s">
        <v>287</v>
      </c>
      <c r="C339" s="37" t="s">
        <v>295</v>
      </c>
      <c r="D339" s="39">
        <v>483</v>
      </c>
      <c r="E339" s="39">
        <v>227</v>
      </c>
      <c r="F339" s="40">
        <f t="shared" si="17"/>
        <v>46.997929606625263</v>
      </c>
      <c r="G339" s="39">
        <v>554</v>
      </c>
      <c r="H339" s="39">
        <v>394</v>
      </c>
      <c r="I339" s="40">
        <f t="shared" si="16"/>
        <v>71.119133574007222</v>
      </c>
    </row>
    <row r="340" spans="1:9" ht="15.75" customHeight="1">
      <c r="A340" s="5">
        <v>90401</v>
      </c>
      <c r="B340" s="4" t="s">
        <v>287</v>
      </c>
      <c r="C340" s="37" t="s">
        <v>365</v>
      </c>
      <c r="D340" s="39">
        <v>121</v>
      </c>
      <c r="E340" s="39">
        <v>61</v>
      </c>
      <c r="F340" s="40">
        <f t="shared" si="17"/>
        <v>50.413223140495866</v>
      </c>
      <c r="G340" s="39">
        <v>124</v>
      </c>
      <c r="H340" s="39">
        <v>102</v>
      </c>
      <c r="I340" s="40">
        <f t="shared" si="16"/>
        <v>82.258064516129039</v>
      </c>
    </row>
    <row r="341" spans="1:9" ht="15.75" customHeight="1">
      <c r="A341" s="5">
        <v>90402</v>
      </c>
      <c r="B341" s="4" t="s">
        <v>287</v>
      </c>
      <c r="C341" s="37" t="s">
        <v>59</v>
      </c>
      <c r="D341" s="39">
        <v>95</v>
      </c>
      <c r="E341" s="39">
        <v>34</v>
      </c>
      <c r="F341" s="40">
        <f t="shared" si="17"/>
        <v>35.789473684210527</v>
      </c>
      <c r="G341" s="39">
        <v>134</v>
      </c>
      <c r="H341" s="39">
        <v>111</v>
      </c>
      <c r="I341" s="40">
        <f t="shared" si="16"/>
        <v>82.835820895522389</v>
      </c>
    </row>
    <row r="342" spans="1:9" ht="15.75" customHeight="1">
      <c r="A342" s="5">
        <v>90501</v>
      </c>
      <c r="B342" s="4" t="s">
        <v>287</v>
      </c>
      <c r="C342" s="37" t="s">
        <v>296</v>
      </c>
      <c r="D342" s="39">
        <v>91</v>
      </c>
      <c r="E342" s="39">
        <v>56</v>
      </c>
      <c r="F342" s="40">
        <f t="shared" si="17"/>
        <v>61.53846153846154</v>
      </c>
      <c r="G342" s="39">
        <v>63</v>
      </c>
      <c r="H342" s="39">
        <v>54</v>
      </c>
      <c r="I342" s="40">
        <f t="shared" si="16"/>
        <v>85.714285714285708</v>
      </c>
    </row>
    <row r="343" spans="1:9" ht="15.75" customHeight="1">
      <c r="A343" s="5">
        <v>90502</v>
      </c>
      <c r="B343" s="4" t="s">
        <v>287</v>
      </c>
      <c r="C343" s="37" t="s">
        <v>366</v>
      </c>
      <c r="D343" s="39">
        <v>163</v>
      </c>
      <c r="E343" s="39">
        <v>85</v>
      </c>
      <c r="F343" s="40">
        <f t="shared" si="17"/>
        <v>52.147239263803677</v>
      </c>
      <c r="G343" s="39">
        <v>107</v>
      </c>
      <c r="H343" s="39">
        <v>87</v>
      </c>
      <c r="I343" s="40">
        <f t="shared" si="16"/>
        <v>81.308411214953267</v>
      </c>
    </row>
    <row r="344" spans="1:9" ht="15.75" customHeight="1">
      <c r="A344" s="5">
        <v>90503</v>
      </c>
      <c r="B344" s="4" t="s">
        <v>287</v>
      </c>
      <c r="C344" s="37" t="s">
        <v>297</v>
      </c>
      <c r="D344" s="39">
        <v>118</v>
      </c>
      <c r="E344" s="39">
        <v>51</v>
      </c>
      <c r="F344" s="40">
        <f t="shared" si="17"/>
        <v>43.220338983050851</v>
      </c>
      <c r="G344" s="39">
        <v>102</v>
      </c>
      <c r="H344" s="39">
        <v>73</v>
      </c>
      <c r="I344" s="40">
        <f t="shared" si="16"/>
        <v>71.568627450980387</v>
      </c>
    </row>
    <row r="345" spans="1:9" ht="15.75" customHeight="1">
      <c r="A345" s="14"/>
      <c r="B345" s="15"/>
      <c r="C345" s="15"/>
      <c r="D345" s="15"/>
      <c r="E345" s="16"/>
      <c r="H345" s="16"/>
    </row>
    <row r="346" spans="1:9" ht="15.75" customHeight="1">
      <c r="A346" s="14"/>
      <c r="B346" s="15"/>
      <c r="C346" s="15"/>
      <c r="D346" s="15"/>
      <c r="E346" s="16"/>
      <c r="H346" s="16"/>
    </row>
    <row r="347" spans="1:9" ht="15.75" customHeight="1">
      <c r="A347" s="14"/>
      <c r="B347" s="15"/>
      <c r="C347" s="15"/>
      <c r="D347" s="15"/>
      <c r="E347" s="16"/>
      <c r="H347" s="16"/>
    </row>
    <row r="348" spans="1:9" ht="15.75" customHeight="1">
      <c r="A348" s="14"/>
      <c r="B348" s="15"/>
      <c r="C348" s="15"/>
      <c r="D348" s="15"/>
      <c r="E348" s="16"/>
      <c r="H348" s="16"/>
    </row>
    <row r="349" spans="1:9" ht="15.75" customHeight="1">
      <c r="A349" s="14"/>
      <c r="B349" s="15"/>
      <c r="C349" s="15"/>
      <c r="D349" s="15"/>
      <c r="E349" s="16"/>
      <c r="H349" s="16"/>
    </row>
    <row r="350" spans="1:9" ht="15.75" customHeight="1">
      <c r="A350" s="14"/>
      <c r="B350" s="15"/>
      <c r="C350" s="15"/>
      <c r="D350" s="15"/>
      <c r="E350" s="16"/>
      <c r="H350" s="16"/>
    </row>
    <row r="351" spans="1:9" ht="15.75" customHeight="1">
      <c r="A351" s="14"/>
      <c r="B351" s="15"/>
      <c r="C351" s="15"/>
      <c r="D351" s="15"/>
      <c r="E351" s="16"/>
      <c r="H351" s="16"/>
    </row>
    <row r="352" spans="1:9" ht="15.75" customHeight="1">
      <c r="A352" s="14"/>
      <c r="B352" s="15"/>
      <c r="C352" s="15"/>
      <c r="D352" s="15"/>
      <c r="E352" s="16"/>
      <c r="H352" s="16"/>
    </row>
    <row r="353" spans="1:8" ht="15.75" customHeight="1">
      <c r="A353" s="14"/>
      <c r="B353" s="15"/>
      <c r="C353" s="15"/>
      <c r="D353" s="15"/>
      <c r="E353" s="16"/>
      <c r="H353" s="16"/>
    </row>
    <row r="354" spans="1:8" ht="15.75" customHeight="1">
      <c r="A354" s="14"/>
      <c r="B354" s="15"/>
      <c r="C354" s="15"/>
      <c r="D354" s="15"/>
      <c r="E354" s="16"/>
      <c r="H354" s="16"/>
    </row>
    <row r="355" spans="1:8" ht="15.75" customHeight="1">
      <c r="A355" s="14"/>
      <c r="B355" s="15"/>
      <c r="C355" s="15"/>
      <c r="D355" s="15"/>
      <c r="E355" s="16"/>
      <c r="H355" s="16"/>
    </row>
    <row r="356" spans="1:8" ht="15.75" customHeight="1">
      <c r="A356" s="14"/>
      <c r="B356" s="15"/>
      <c r="C356" s="15"/>
      <c r="D356" s="15"/>
      <c r="E356" s="16"/>
      <c r="H356" s="16"/>
    </row>
    <row r="357" spans="1:8" ht="15.75" customHeight="1">
      <c r="A357" s="14"/>
      <c r="B357" s="15"/>
      <c r="C357" s="15"/>
      <c r="D357" s="15"/>
      <c r="E357" s="16"/>
      <c r="H357" s="16"/>
    </row>
    <row r="358" spans="1:8" ht="15.75" customHeight="1">
      <c r="A358" s="14"/>
      <c r="B358" s="15"/>
      <c r="C358" s="15"/>
      <c r="D358" s="15"/>
      <c r="E358" s="16"/>
      <c r="H358" s="16"/>
    </row>
    <row r="359" spans="1:8" ht="15.75" customHeight="1">
      <c r="A359" s="14"/>
      <c r="B359" s="15"/>
      <c r="C359" s="15"/>
      <c r="D359" s="15"/>
      <c r="E359" s="16"/>
      <c r="H359" s="16"/>
    </row>
    <row r="360" spans="1:8" ht="15.75" customHeight="1">
      <c r="A360" s="14"/>
      <c r="B360" s="15"/>
      <c r="C360" s="15"/>
      <c r="D360" s="15"/>
      <c r="E360" s="16"/>
      <c r="H360" s="16"/>
    </row>
    <row r="361" spans="1:8" ht="15.75" customHeight="1">
      <c r="A361" s="14"/>
      <c r="B361" s="15"/>
      <c r="C361" s="15"/>
      <c r="D361" s="15"/>
      <c r="E361" s="16"/>
      <c r="H361" s="16"/>
    </row>
    <row r="362" spans="1:8" ht="15.75" customHeight="1">
      <c r="A362" s="14"/>
      <c r="B362" s="15"/>
      <c r="C362" s="15"/>
      <c r="D362" s="15"/>
      <c r="E362" s="16"/>
      <c r="H362" s="16"/>
    </row>
    <row r="363" spans="1:8" ht="15.75" customHeight="1">
      <c r="A363" s="14"/>
      <c r="B363" s="15"/>
      <c r="C363" s="15"/>
      <c r="D363" s="15"/>
      <c r="E363" s="16"/>
      <c r="H363" s="16"/>
    </row>
    <row r="364" spans="1:8" ht="15.75" customHeight="1">
      <c r="A364" s="14"/>
      <c r="B364" s="15"/>
      <c r="C364" s="15"/>
      <c r="D364" s="15"/>
      <c r="E364" s="16"/>
      <c r="H364" s="16"/>
    </row>
    <row r="365" spans="1:8" ht="15.75" customHeight="1">
      <c r="A365" s="14"/>
      <c r="B365" s="15"/>
      <c r="C365" s="15"/>
      <c r="D365" s="15"/>
      <c r="E365" s="16"/>
      <c r="H365" s="16"/>
    </row>
    <row r="366" spans="1:8" ht="15.75" customHeight="1">
      <c r="A366" s="14"/>
      <c r="B366" s="15"/>
      <c r="C366" s="15"/>
      <c r="D366" s="15"/>
      <c r="E366" s="16"/>
      <c r="H366" s="16"/>
    </row>
    <row r="367" spans="1:8" ht="15.75" customHeight="1">
      <c r="A367" s="14"/>
      <c r="B367" s="15"/>
      <c r="C367" s="15"/>
      <c r="D367" s="15"/>
      <c r="E367" s="16"/>
      <c r="H367" s="16"/>
    </row>
    <row r="368" spans="1:8" ht="15.75" customHeight="1">
      <c r="A368" s="14"/>
      <c r="B368" s="15"/>
      <c r="C368" s="15"/>
      <c r="D368" s="15"/>
      <c r="E368" s="16"/>
      <c r="H368" s="16"/>
    </row>
    <row r="369" spans="1:8" ht="15.75" customHeight="1">
      <c r="A369" s="14"/>
      <c r="B369" s="15"/>
      <c r="C369" s="15"/>
      <c r="D369" s="15"/>
      <c r="E369" s="16"/>
      <c r="H369" s="16"/>
    </row>
    <row r="370" spans="1:8" ht="15.75" customHeight="1">
      <c r="A370" s="14"/>
      <c r="B370" s="15"/>
      <c r="C370" s="15"/>
      <c r="D370" s="15"/>
      <c r="E370" s="16"/>
      <c r="H370" s="16"/>
    </row>
    <row r="371" spans="1:8" ht="15.75" customHeight="1">
      <c r="A371" s="14"/>
      <c r="B371" s="15"/>
      <c r="C371" s="15"/>
      <c r="D371" s="15"/>
      <c r="E371" s="16"/>
      <c r="H371" s="16"/>
    </row>
    <row r="372" spans="1:8" ht="15.75" customHeight="1">
      <c r="A372" s="14"/>
      <c r="B372" s="15"/>
      <c r="C372" s="15"/>
      <c r="D372" s="15"/>
      <c r="E372" s="16"/>
      <c r="H372" s="16"/>
    </row>
    <row r="373" spans="1:8" ht="15.75" customHeight="1">
      <c r="A373" s="14"/>
      <c r="B373" s="15"/>
      <c r="C373" s="15"/>
      <c r="D373" s="15"/>
      <c r="E373" s="16"/>
      <c r="H373" s="16"/>
    </row>
    <row r="374" spans="1:8" ht="15.75" customHeight="1">
      <c r="A374" s="14"/>
      <c r="B374" s="15"/>
      <c r="C374" s="15"/>
      <c r="D374" s="15"/>
      <c r="E374" s="16"/>
      <c r="H374" s="16"/>
    </row>
    <row r="375" spans="1:8" ht="15.75" customHeight="1">
      <c r="A375" s="14"/>
      <c r="B375" s="15"/>
      <c r="C375" s="15"/>
      <c r="D375" s="15"/>
      <c r="E375" s="16"/>
      <c r="H375" s="16"/>
    </row>
    <row r="376" spans="1:8" ht="15.75" customHeight="1">
      <c r="A376" s="14"/>
      <c r="B376" s="15"/>
      <c r="C376" s="15"/>
      <c r="D376" s="15"/>
      <c r="E376" s="16"/>
      <c r="H376" s="16"/>
    </row>
    <row r="377" spans="1:8" ht="15.75" customHeight="1">
      <c r="A377" s="14"/>
      <c r="B377" s="15"/>
      <c r="C377" s="15"/>
      <c r="D377" s="15"/>
      <c r="E377" s="16"/>
      <c r="H377" s="16"/>
    </row>
    <row r="378" spans="1:8" ht="15.75" customHeight="1">
      <c r="A378" s="14"/>
      <c r="B378" s="15"/>
      <c r="C378" s="15"/>
      <c r="D378" s="15"/>
      <c r="E378" s="16"/>
      <c r="H378" s="16"/>
    </row>
    <row r="379" spans="1:8" ht="15.75" customHeight="1">
      <c r="A379" s="14"/>
      <c r="B379" s="15"/>
      <c r="C379" s="15"/>
      <c r="D379" s="15"/>
      <c r="E379" s="16"/>
      <c r="H379" s="16"/>
    </row>
    <row r="380" spans="1:8" ht="15.75" customHeight="1">
      <c r="A380" s="14"/>
      <c r="B380" s="15"/>
      <c r="C380" s="15"/>
      <c r="D380" s="15"/>
      <c r="E380" s="16"/>
      <c r="H380" s="16"/>
    </row>
    <row r="381" spans="1:8" ht="15.75" customHeight="1">
      <c r="A381" s="14"/>
      <c r="B381" s="15"/>
      <c r="C381" s="15"/>
      <c r="D381" s="15"/>
      <c r="E381" s="16"/>
      <c r="H381" s="16"/>
    </row>
    <row r="382" spans="1:8" ht="15.75" customHeight="1">
      <c r="A382" s="14"/>
      <c r="B382" s="15"/>
      <c r="C382" s="15"/>
      <c r="D382" s="15"/>
      <c r="E382" s="16"/>
      <c r="H382" s="16"/>
    </row>
    <row r="383" spans="1:8" ht="15.75" customHeight="1">
      <c r="A383" s="14"/>
      <c r="B383" s="15"/>
      <c r="C383" s="15"/>
      <c r="D383" s="15"/>
      <c r="E383" s="16"/>
      <c r="H383" s="16"/>
    </row>
    <row r="384" spans="1:8" ht="15.75" customHeight="1">
      <c r="A384" s="14"/>
      <c r="B384" s="15"/>
      <c r="C384" s="15"/>
      <c r="D384" s="15"/>
      <c r="E384" s="16"/>
      <c r="H384" s="16"/>
    </row>
    <row r="385" spans="1:8" ht="15.75" customHeight="1">
      <c r="A385" s="14"/>
      <c r="B385" s="15"/>
      <c r="C385" s="15"/>
      <c r="D385" s="15"/>
      <c r="E385" s="16"/>
      <c r="H385" s="16"/>
    </row>
    <row r="386" spans="1:8" ht="15.75" customHeight="1">
      <c r="A386" s="14"/>
      <c r="B386" s="15"/>
      <c r="C386" s="15"/>
      <c r="D386" s="15"/>
      <c r="E386" s="16"/>
      <c r="H386" s="16"/>
    </row>
    <row r="387" spans="1:8" ht="15.75" customHeight="1">
      <c r="A387" s="14"/>
      <c r="B387" s="15"/>
      <c r="C387" s="15"/>
      <c r="D387" s="15"/>
      <c r="E387" s="16"/>
      <c r="H387" s="16"/>
    </row>
    <row r="388" spans="1:8" ht="15.75" customHeight="1">
      <c r="A388" s="14"/>
      <c r="B388" s="15"/>
      <c r="C388" s="15"/>
      <c r="D388" s="15"/>
      <c r="E388" s="16"/>
      <c r="H388" s="16"/>
    </row>
    <row r="389" spans="1:8" ht="15.75" customHeight="1">
      <c r="A389" s="14"/>
      <c r="B389" s="15"/>
      <c r="C389" s="15"/>
      <c r="D389" s="15"/>
      <c r="E389" s="16"/>
      <c r="H389" s="16"/>
    </row>
    <row r="390" spans="1:8" ht="15.75" customHeight="1">
      <c r="A390" s="14"/>
      <c r="B390" s="15"/>
      <c r="C390" s="15"/>
      <c r="D390" s="15"/>
      <c r="E390" s="16"/>
      <c r="H390" s="16"/>
    </row>
    <row r="391" spans="1:8" ht="15.75" customHeight="1">
      <c r="A391" s="14"/>
      <c r="B391" s="15"/>
      <c r="C391" s="15"/>
      <c r="D391" s="15"/>
      <c r="E391" s="16"/>
      <c r="H391" s="16"/>
    </row>
    <row r="392" spans="1:8" ht="15.75" customHeight="1">
      <c r="A392" s="14"/>
      <c r="B392" s="15"/>
      <c r="C392" s="15"/>
      <c r="D392" s="15"/>
      <c r="E392" s="16"/>
      <c r="H392" s="16"/>
    </row>
    <row r="393" spans="1:8" ht="15.75" customHeight="1">
      <c r="A393" s="14"/>
      <c r="B393" s="15"/>
      <c r="C393" s="15"/>
      <c r="D393" s="15"/>
      <c r="E393" s="16"/>
      <c r="H393" s="16"/>
    </row>
    <row r="394" spans="1:8" ht="15.75" customHeight="1">
      <c r="A394" s="14"/>
      <c r="B394" s="15"/>
      <c r="C394" s="15"/>
      <c r="D394" s="15"/>
      <c r="E394" s="16"/>
      <c r="H394" s="16"/>
    </row>
    <row r="395" spans="1:8" ht="15.75" customHeight="1">
      <c r="A395" s="14"/>
      <c r="B395" s="15"/>
      <c r="C395" s="15"/>
      <c r="D395" s="15"/>
      <c r="E395" s="16"/>
      <c r="H395" s="16"/>
    </row>
    <row r="396" spans="1:8" ht="15.75" customHeight="1">
      <c r="A396" s="14"/>
      <c r="B396" s="15"/>
      <c r="C396" s="15"/>
      <c r="D396" s="15"/>
      <c r="E396" s="16"/>
      <c r="H396" s="16"/>
    </row>
    <row r="397" spans="1:8" ht="15.75" customHeight="1">
      <c r="A397" s="14"/>
      <c r="B397" s="15"/>
      <c r="C397" s="15"/>
      <c r="D397" s="15"/>
      <c r="E397" s="16"/>
      <c r="H397" s="16"/>
    </row>
    <row r="398" spans="1:8" ht="15.75" customHeight="1">
      <c r="A398" s="14"/>
      <c r="B398" s="15"/>
      <c r="C398" s="15"/>
      <c r="D398" s="15"/>
      <c r="E398" s="16"/>
      <c r="H398" s="16"/>
    </row>
    <row r="399" spans="1:8" ht="15.75" customHeight="1">
      <c r="A399" s="14"/>
      <c r="B399" s="15"/>
      <c r="C399" s="15"/>
      <c r="D399" s="15"/>
      <c r="E399" s="16"/>
      <c r="H399" s="16"/>
    </row>
    <row r="400" spans="1:8" ht="15.75" customHeight="1">
      <c r="A400" s="14"/>
      <c r="B400" s="15"/>
      <c r="C400" s="15"/>
      <c r="D400" s="15"/>
      <c r="E400" s="16"/>
      <c r="H400" s="16"/>
    </row>
    <row r="401" spans="1:8" ht="15.75" customHeight="1">
      <c r="A401" s="14"/>
      <c r="B401" s="15"/>
      <c r="C401" s="15"/>
      <c r="D401" s="15"/>
      <c r="E401" s="16"/>
      <c r="H401" s="16"/>
    </row>
    <row r="402" spans="1:8" ht="15.75" customHeight="1">
      <c r="A402" s="14"/>
      <c r="B402" s="15"/>
      <c r="C402" s="15"/>
      <c r="D402" s="15"/>
      <c r="E402" s="16"/>
      <c r="H402" s="16"/>
    </row>
    <row r="403" spans="1:8" ht="15.75" customHeight="1">
      <c r="A403" s="14"/>
      <c r="B403" s="15"/>
      <c r="C403" s="15"/>
      <c r="D403" s="15"/>
      <c r="E403" s="16"/>
      <c r="H403" s="16"/>
    </row>
    <row r="404" spans="1:8" ht="15.75" customHeight="1">
      <c r="A404" s="14"/>
      <c r="B404" s="15"/>
      <c r="C404" s="15"/>
      <c r="D404" s="15"/>
      <c r="E404" s="16"/>
      <c r="H404" s="16"/>
    </row>
    <row r="405" spans="1:8" ht="15.75" customHeight="1">
      <c r="A405" s="14"/>
      <c r="B405" s="15"/>
      <c r="C405" s="15"/>
      <c r="D405" s="15"/>
      <c r="E405" s="16"/>
      <c r="H405" s="16"/>
    </row>
    <row r="406" spans="1:8" ht="15.75" customHeight="1">
      <c r="A406" s="14"/>
      <c r="B406" s="15"/>
      <c r="C406" s="15"/>
      <c r="D406" s="15"/>
      <c r="E406" s="16"/>
      <c r="H406" s="16"/>
    </row>
    <row r="407" spans="1:8" ht="15.75" customHeight="1">
      <c r="A407" s="14"/>
      <c r="B407" s="15"/>
      <c r="C407" s="15"/>
      <c r="D407" s="15"/>
      <c r="E407" s="16"/>
      <c r="H407" s="16"/>
    </row>
    <row r="408" spans="1:8" ht="15.75" customHeight="1">
      <c r="A408" s="14"/>
      <c r="B408" s="15"/>
      <c r="C408" s="15"/>
      <c r="D408" s="15"/>
      <c r="E408" s="16"/>
      <c r="H408" s="16"/>
    </row>
    <row r="409" spans="1:8" ht="15.75" customHeight="1">
      <c r="A409" s="14"/>
      <c r="B409" s="15"/>
      <c r="C409" s="15"/>
      <c r="D409" s="15"/>
      <c r="E409" s="16"/>
      <c r="H409" s="16"/>
    </row>
    <row r="410" spans="1:8" ht="15.75" customHeight="1">
      <c r="A410" s="14"/>
      <c r="B410" s="15"/>
      <c r="C410" s="15"/>
      <c r="D410" s="15"/>
      <c r="E410" s="16"/>
      <c r="H410" s="16"/>
    </row>
    <row r="411" spans="1:8" ht="15.75" customHeight="1">
      <c r="A411" s="14"/>
      <c r="B411" s="15"/>
      <c r="C411" s="15"/>
      <c r="D411" s="15"/>
      <c r="E411" s="16"/>
      <c r="H411" s="16"/>
    </row>
    <row r="412" spans="1:8" ht="15.75" customHeight="1">
      <c r="A412" s="14"/>
      <c r="B412" s="15"/>
      <c r="C412" s="15"/>
      <c r="D412" s="15"/>
      <c r="E412" s="16"/>
      <c r="H412" s="16"/>
    </row>
    <row r="413" spans="1:8" ht="15.75" customHeight="1">
      <c r="A413" s="14"/>
      <c r="B413" s="15"/>
      <c r="C413" s="15"/>
      <c r="D413" s="15"/>
      <c r="E413" s="16"/>
      <c r="H413" s="16"/>
    </row>
    <row r="414" spans="1:8" ht="15.75" customHeight="1">
      <c r="A414" s="14"/>
      <c r="B414" s="15"/>
      <c r="C414" s="15"/>
      <c r="D414" s="15"/>
      <c r="E414" s="16"/>
      <c r="H414" s="16"/>
    </row>
    <row r="415" spans="1:8" ht="15.75" customHeight="1">
      <c r="A415" s="14"/>
      <c r="B415" s="15"/>
      <c r="C415" s="15"/>
      <c r="D415" s="15"/>
      <c r="E415" s="16"/>
      <c r="H415" s="16"/>
    </row>
    <row r="416" spans="1:8" ht="15.75" customHeight="1">
      <c r="A416" s="14"/>
      <c r="B416" s="15"/>
      <c r="C416" s="15"/>
      <c r="D416" s="15"/>
      <c r="E416" s="16"/>
      <c r="H416" s="16"/>
    </row>
    <row r="417" spans="1:8" ht="15.75" customHeight="1">
      <c r="A417" s="14"/>
      <c r="B417" s="15"/>
      <c r="C417" s="15"/>
      <c r="D417" s="15"/>
      <c r="E417" s="16"/>
      <c r="H417" s="16"/>
    </row>
    <row r="418" spans="1:8" ht="15.75" customHeight="1">
      <c r="A418" s="14"/>
      <c r="B418" s="15"/>
      <c r="C418" s="15"/>
      <c r="D418" s="15"/>
      <c r="E418" s="16"/>
      <c r="H418" s="16"/>
    </row>
    <row r="419" spans="1:8" ht="15.75" customHeight="1">
      <c r="A419" s="14"/>
      <c r="B419" s="15"/>
      <c r="C419" s="15"/>
      <c r="D419" s="15"/>
      <c r="E419" s="16"/>
      <c r="H419" s="16"/>
    </row>
    <row r="420" spans="1:8" ht="15.75" customHeight="1">
      <c r="A420" s="14"/>
      <c r="B420" s="15"/>
      <c r="C420" s="15"/>
      <c r="D420" s="15"/>
      <c r="E420" s="16"/>
      <c r="H420" s="16"/>
    </row>
    <row r="421" spans="1:8" ht="15.75" customHeight="1">
      <c r="A421" s="14"/>
      <c r="B421" s="15"/>
      <c r="C421" s="15"/>
      <c r="D421" s="15"/>
      <c r="E421" s="16"/>
      <c r="H421" s="16"/>
    </row>
    <row r="422" spans="1:8" ht="15.75" customHeight="1">
      <c r="A422" s="14"/>
      <c r="B422" s="15"/>
      <c r="C422" s="15"/>
      <c r="D422" s="15"/>
      <c r="E422" s="16"/>
      <c r="H422" s="16"/>
    </row>
    <row r="423" spans="1:8" ht="15.75" customHeight="1">
      <c r="A423" s="14"/>
      <c r="B423" s="15"/>
      <c r="C423" s="15"/>
      <c r="D423" s="15"/>
      <c r="E423" s="16"/>
      <c r="H423" s="16"/>
    </row>
    <row r="424" spans="1:8" ht="15.75" customHeight="1">
      <c r="A424" s="14"/>
      <c r="B424" s="15"/>
      <c r="C424" s="15"/>
      <c r="D424" s="15"/>
      <c r="E424" s="16"/>
      <c r="H424" s="16"/>
    </row>
    <row r="425" spans="1:8" ht="15.75" customHeight="1">
      <c r="A425" s="14"/>
      <c r="B425" s="15"/>
      <c r="C425" s="15"/>
      <c r="D425" s="15"/>
      <c r="E425" s="16"/>
      <c r="H425" s="16"/>
    </row>
    <row r="426" spans="1:8" ht="15.75" customHeight="1">
      <c r="A426" s="14"/>
      <c r="B426" s="15"/>
      <c r="C426" s="15"/>
      <c r="D426" s="15"/>
      <c r="E426" s="16"/>
      <c r="H426" s="16"/>
    </row>
    <row r="427" spans="1:8" ht="15.75" customHeight="1">
      <c r="A427" s="14"/>
      <c r="B427" s="15"/>
      <c r="C427" s="15"/>
      <c r="D427" s="15"/>
      <c r="E427" s="16"/>
      <c r="H427" s="16"/>
    </row>
    <row r="428" spans="1:8" ht="15.75" customHeight="1">
      <c r="A428" s="14"/>
      <c r="B428" s="15"/>
      <c r="C428" s="15"/>
      <c r="D428" s="15"/>
      <c r="E428" s="16"/>
      <c r="H428" s="16"/>
    </row>
    <row r="429" spans="1:8" ht="15.75" customHeight="1">
      <c r="A429" s="14"/>
      <c r="B429" s="15"/>
      <c r="C429" s="15"/>
      <c r="D429" s="15"/>
      <c r="E429" s="16"/>
      <c r="H429" s="16"/>
    </row>
    <row r="430" spans="1:8" ht="15.75" customHeight="1">
      <c r="A430" s="14"/>
      <c r="B430" s="15"/>
      <c r="C430" s="15"/>
      <c r="D430" s="15"/>
      <c r="E430" s="16"/>
      <c r="H430" s="16"/>
    </row>
    <row r="431" spans="1:8" ht="15.75" customHeight="1">
      <c r="A431" s="14"/>
      <c r="B431" s="15"/>
      <c r="C431" s="15"/>
      <c r="D431" s="15"/>
      <c r="E431" s="16"/>
      <c r="H431" s="16"/>
    </row>
    <row r="432" spans="1:8" ht="15.75" customHeight="1">
      <c r="A432" s="14"/>
      <c r="B432" s="15"/>
      <c r="C432" s="15"/>
      <c r="D432" s="15"/>
      <c r="E432" s="16"/>
      <c r="H432" s="16"/>
    </row>
    <row r="433" spans="1:8" ht="15.75" customHeight="1">
      <c r="A433" s="14"/>
      <c r="B433" s="15"/>
      <c r="C433" s="15"/>
      <c r="D433" s="15"/>
      <c r="E433" s="16"/>
      <c r="H433" s="16"/>
    </row>
    <row r="434" spans="1:8" ht="15.75" customHeight="1">
      <c r="A434" s="14"/>
      <c r="B434" s="15"/>
      <c r="C434" s="15"/>
      <c r="D434" s="15"/>
      <c r="E434" s="16"/>
      <c r="H434" s="16"/>
    </row>
    <row r="435" spans="1:8" ht="15.75" customHeight="1">
      <c r="A435" s="14"/>
      <c r="B435" s="15"/>
      <c r="C435" s="15"/>
      <c r="D435" s="15"/>
      <c r="E435" s="16"/>
      <c r="H435" s="16"/>
    </row>
    <row r="436" spans="1:8" ht="15.75" customHeight="1">
      <c r="A436" s="14"/>
      <c r="B436" s="15"/>
      <c r="C436" s="15"/>
      <c r="D436" s="15"/>
      <c r="E436" s="16"/>
      <c r="H436" s="16"/>
    </row>
    <row r="437" spans="1:8" ht="15.75" customHeight="1">
      <c r="A437" s="14"/>
      <c r="B437" s="15"/>
      <c r="C437" s="15"/>
      <c r="D437" s="15"/>
      <c r="E437" s="16"/>
      <c r="H437" s="16"/>
    </row>
    <row r="438" spans="1:8" ht="15.75" customHeight="1">
      <c r="A438" s="14"/>
      <c r="B438" s="15"/>
      <c r="C438" s="15"/>
      <c r="D438" s="15"/>
      <c r="E438" s="16"/>
      <c r="H438" s="16"/>
    </row>
    <row r="439" spans="1:8" ht="15.75" customHeight="1">
      <c r="A439" s="14"/>
      <c r="B439" s="15"/>
      <c r="C439" s="15"/>
      <c r="D439" s="15"/>
      <c r="E439" s="16"/>
      <c r="H439" s="16"/>
    </row>
    <row r="440" spans="1:8" ht="15.75" customHeight="1">
      <c r="A440" s="14"/>
      <c r="B440" s="15"/>
      <c r="C440" s="15"/>
      <c r="D440" s="15"/>
      <c r="E440" s="16"/>
      <c r="H440" s="16"/>
    </row>
    <row r="441" spans="1:8" ht="15.75" customHeight="1">
      <c r="A441" s="14"/>
      <c r="B441" s="15"/>
      <c r="C441" s="15"/>
      <c r="D441" s="15"/>
      <c r="E441" s="16"/>
      <c r="H441" s="16"/>
    </row>
    <row r="442" spans="1:8" ht="15.75" customHeight="1">
      <c r="A442" s="14"/>
      <c r="B442" s="15"/>
      <c r="C442" s="15"/>
      <c r="D442" s="15"/>
      <c r="E442" s="16"/>
      <c r="H442" s="16"/>
    </row>
    <row r="443" spans="1:8" ht="15.75" customHeight="1">
      <c r="A443" s="14"/>
      <c r="B443" s="15"/>
      <c r="C443" s="15"/>
      <c r="D443" s="15"/>
      <c r="E443" s="16"/>
      <c r="H443" s="16"/>
    </row>
    <row r="444" spans="1:8" ht="15.75" customHeight="1">
      <c r="A444" s="14"/>
      <c r="B444" s="15"/>
      <c r="C444" s="15"/>
      <c r="D444" s="15"/>
      <c r="E444" s="16"/>
      <c r="H444" s="16"/>
    </row>
    <row r="445" spans="1:8" ht="15.75" customHeight="1">
      <c r="A445" s="14"/>
      <c r="B445" s="15"/>
      <c r="C445" s="15"/>
      <c r="D445" s="15"/>
      <c r="E445" s="16"/>
      <c r="H445" s="16"/>
    </row>
    <row r="446" spans="1:8" ht="15.75" customHeight="1">
      <c r="A446" s="14"/>
      <c r="B446" s="15"/>
      <c r="C446" s="15"/>
      <c r="D446" s="15"/>
      <c r="E446" s="16"/>
      <c r="H446" s="16"/>
    </row>
    <row r="447" spans="1:8" ht="15.75" customHeight="1">
      <c r="A447" s="14"/>
      <c r="B447" s="15"/>
      <c r="C447" s="15"/>
      <c r="D447" s="15"/>
      <c r="E447" s="16"/>
      <c r="H447" s="16"/>
    </row>
    <row r="448" spans="1:8" ht="15.75" customHeight="1">
      <c r="A448" s="14"/>
      <c r="B448" s="15"/>
      <c r="C448" s="15"/>
      <c r="D448" s="15"/>
      <c r="E448" s="16"/>
      <c r="H448" s="16"/>
    </row>
    <row r="449" spans="1:8" ht="15.75" customHeight="1">
      <c r="A449" s="14"/>
      <c r="B449" s="15"/>
      <c r="C449" s="15"/>
      <c r="D449" s="15"/>
      <c r="E449" s="16"/>
      <c r="H449" s="16"/>
    </row>
    <row r="450" spans="1:8" ht="15.75" customHeight="1">
      <c r="A450" s="14"/>
      <c r="B450" s="15"/>
      <c r="C450" s="15"/>
      <c r="D450" s="15"/>
      <c r="E450" s="16"/>
      <c r="H450" s="16"/>
    </row>
    <row r="451" spans="1:8" ht="15.75" customHeight="1">
      <c r="A451" s="14"/>
      <c r="B451" s="15"/>
      <c r="C451" s="15"/>
      <c r="D451" s="15"/>
      <c r="E451" s="16"/>
      <c r="H451" s="16"/>
    </row>
    <row r="452" spans="1:8" ht="15.75" customHeight="1">
      <c r="A452" s="14"/>
      <c r="B452" s="15"/>
      <c r="C452" s="15"/>
      <c r="D452" s="15"/>
      <c r="E452" s="16"/>
      <c r="H452" s="16"/>
    </row>
    <row r="453" spans="1:8" ht="15.75" customHeight="1">
      <c r="A453" s="14"/>
      <c r="B453" s="15"/>
      <c r="C453" s="15"/>
      <c r="D453" s="15"/>
      <c r="E453" s="16"/>
      <c r="H453" s="16"/>
    </row>
    <row r="454" spans="1:8" ht="15.75" customHeight="1">
      <c r="A454" s="14"/>
      <c r="B454" s="15"/>
      <c r="C454" s="15"/>
      <c r="D454" s="15"/>
      <c r="E454" s="16"/>
      <c r="H454" s="16"/>
    </row>
    <row r="455" spans="1:8" ht="15.75" customHeight="1">
      <c r="A455" s="14"/>
      <c r="B455" s="15"/>
      <c r="C455" s="15"/>
      <c r="D455" s="15"/>
      <c r="E455" s="16"/>
      <c r="H455" s="16"/>
    </row>
    <row r="456" spans="1:8" ht="15.75" customHeight="1">
      <c r="A456" s="14"/>
      <c r="B456" s="15"/>
      <c r="C456" s="15"/>
      <c r="D456" s="15"/>
      <c r="E456" s="16"/>
      <c r="H456" s="16"/>
    </row>
    <row r="457" spans="1:8" ht="15.75" customHeight="1">
      <c r="A457" s="14"/>
      <c r="B457" s="15"/>
      <c r="C457" s="15"/>
      <c r="D457" s="15"/>
      <c r="E457" s="16"/>
      <c r="H457" s="16"/>
    </row>
    <row r="458" spans="1:8" ht="15.75" customHeight="1">
      <c r="A458" s="14"/>
      <c r="B458" s="15"/>
      <c r="C458" s="15"/>
      <c r="D458" s="15"/>
      <c r="E458" s="16"/>
      <c r="H458" s="16"/>
    </row>
    <row r="459" spans="1:8" ht="15.75" customHeight="1">
      <c r="A459" s="14"/>
      <c r="B459" s="15"/>
      <c r="C459" s="15"/>
      <c r="D459" s="15"/>
      <c r="E459" s="16"/>
      <c r="H459" s="16"/>
    </row>
    <row r="460" spans="1:8" ht="15.75" customHeight="1">
      <c r="A460" s="14"/>
      <c r="B460" s="15"/>
      <c r="C460" s="15"/>
      <c r="D460" s="15"/>
      <c r="E460" s="16"/>
      <c r="H460" s="16"/>
    </row>
    <row r="461" spans="1:8" ht="15.75" customHeight="1">
      <c r="A461" s="14"/>
      <c r="B461" s="15"/>
      <c r="C461" s="15"/>
      <c r="D461" s="15"/>
      <c r="E461" s="16"/>
      <c r="H461" s="16"/>
    </row>
    <row r="462" spans="1:8" ht="15.75" customHeight="1">
      <c r="A462" s="14"/>
      <c r="B462" s="15"/>
      <c r="C462" s="15"/>
      <c r="D462" s="15"/>
      <c r="E462" s="16"/>
      <c r="H462" s="16"/>
    </row>
    <row r="463" spans="1:8" ht="15.75" customHeight="1">
      <c r="A463" s="14"/>
      <c r="B463" s="15"/>
      <c r="C463" s="15"/>
      <c r="D463" s="15"/>
      <c r="E463" s="16"/>
      <c r="H463" s="16"/>
    </row>
    <row r="464" spans="1:8" ht="15.75" customHeight="1">
      <c r="A464" s="14"/>
      <c r="B464" s="15"/>
      <c r="C464" s="15"/>
      <c r="D464" s="15"/>
      <c r="E464" s="16"/>
      <c r="H464" s="16"/>
    </row>
    <row r="465" spans="1:8" ht="15.75" customHeight="1">
      <c r="A465" s="14"/>
      <c r="B465" s="15"/>
      <c r="C465" s="15"/>
      <c r="D465" s="15"/>
      <c r="E465" s="16"/>
      <c r="H465" s="16"/>
    </row>
    <row r="466" spans="1:8" ht="15.75" customHeight="1">
      <c r="A466" s="14"/>
      <c r="B466" s="15"/>
      <c r="C466" s="15"/>
      <c r="D466" s="15"/>
      <c r="E466" s="16"/>
      <c r="H466" s="16"/>
    </row>
    <row r="467" spans="1:8" ht="15.75" customHeight="1">
      <c r="A467" s="14"/>
      <c r="B467" s="15"/>
      <c r="C467" s="15"/>
      <c r="D467" s="15"/>
      <c r="E467" s="16"/>
      <c r="H467" s="16"/>
    </row>
    <row r="468" spans="1:8" ht="15.75" customHeight="1">
      <c r="A468" s="14"/>
      <c r="B468" s="15"/>
      <c r="C468" s="15"/>
      <c r="D468" s="15"/>
      <c r="E468" s="16"/>
      <c r="H468" s="16"/>
    </row>
    <row r="469" spans="1:8" ht="15.75" customHeight="1">
      <c r="A469" s="14"/>
      <c r="B469" s="15"/>
      <c r="C469" s="15"/>
      <c r="D469" s="15"/>
      <c r="E469" s="16"/>
      <c r="H469" s="16"/>
    </row>
    <row r="470" spans="1:8" ht="15.75" customHeight="1">
      <c r="A470" s="14"/>
      <c r="B470" s="15"/>
      <c r="C470" s="15"/>
      <c r="D470" s="15"/>
      <c r="E470" s="16"/>
      <c r="H470" s="16"/>
    </row>
    <row r="471" spans="1:8" ht="15.75" customHeight="1">
      <c r="A471" s="14"/>
      <c r="B471" s="15"/>
      <c r="C471" s="15"/>
      <c r="D471" s="15"/>
      <c r="E471" s="16"/>
      <c r="H471" s="16"/>
    </row>
    <row r="472" spans="1:8" ht="15.75" customHeight="1">
      <c r="A472" s="14"/>
      <c r="B472" s="15"/>
      <c r="C472" s="15"/>
      <c r="D472" s="15"/>
      <c r="E472" s="16"/>
      <c r="H472" s="16"/>
    </row>
    <row r="473" spans="1:8" ht="15.75" customHeight="1">
      <c r="A473" s="14"/>
      <c r="B473" s="15"/>
      <c r="C473" s="15"/>
      <c r="D473" s="15"/>
      <c r="E473" s="16"/>
      <c r="H473" s="16"/>
    </row>
    <row r="474" spans="1:8" ht="15.75" customHeight="1">
      <c r="A474" s="14"/>
      <c r="B474" s="15"/>
      <c r="C474" s="15"/>
      <c r="D474" s="15"/>
      <c r="E474" s="16"/>
      <c r="H474" s="16"/>
    </row>
    <row r="475" spans="1:8" ht="15.75" customHeight="1">
      <c r="A475" s="14"/>
      <c r="B475" s="15"/>
      <c r="C475" s="15"/>
      <c r="D475" s="15"/>
      <c r="E475" s="16"/>
      <c r="H475" s="16"/>
    </row>
    <row r="476" spans="1:8" ht="15.75" customHeight="1">
      <c r="A476" s="14"/>
      <c r="B476" s="15"/>
      <c r="C476" s="15"/>
      <c r="D476" s="15"/>
      <c r="E476" s="16"/>
      <c r="H476" s="16"/>
    </row>
    <row r="477" spans="1:8" ht="15.75" customHeight="1">
      <c r="A477" s="14"/>
      <c r="B477" s="15"/>
      <c r="C477" s="15"/>
      <c r="D477" s="15"/>
      <c r="E477" s="16"/>
      <c r="H477" s="16"/>
    </row>
    <row r="478" spans="1:8" ht="15.75" customHeight="1">
      <c r="A478" s="14"/>
      <c r="B478" s="15"/>
      <c r="C478" s="15"/>
      <c r="D478" s="15"/>
      <c r="E478" s="16"/>
      <c r="H478" s="16"/>
    </row>
    <row r="479" spans="1:8" ht="15.75" customHeight="1">
      <c r="A479" s="14"/>
      <c r="B479" s="15"/>
      <c r="C479" s="15"/>
      <c r="D479" s="15"/>
      <c r="E479" s="16"/>
      <c r="H479" s="16"/>
    </row>
    <row r="480" spans="1:8" ht="15.75" customHeight="1">
      <c r="A480" s="14"/>
      <c r="B480" s="15"/>
      <c r="C480" s="15"/>
      <c r="D480" s="15"/>
      <c r="E480" s="16"/>
      <c r="H480" s="16"/>
    </row>
    <row r="481" spans="1:8" ht="15.75" customHeight="1">
      <c r="A481" s="14"/>
      <c r="B481" s="15"/>
      <c r="C481" s="15"/>
      <c r="D481" s="15"/>
      <c r="E481" s="16"/>
      <c r="H481" s="16"/>
    </row>
    <row r="482" spans="1:8" ht="15.75" customHeight="1">
      <c r="A482" s="14"/>
      <c r="B482" s="15"/>
      <c r="C482" s="15"/>
      <c r="D482" s="15"/>
      <c r="E482" s="16"/>
      <c r="H482" s="16"/>
    </row>
    <row r="483" spans="1:8" ht="15.75" customHeight="1">
      <c r="A483" s="14"/>
      <c r="B483" s="15"/>
      <c r="C483" s="15"/>
      <c r="D483" s="15"/>
      <c r="E483" s="16"/>
      <c r="H483" s="16"/>
    </row>
    <row r="484" spans="1:8" ht="15.75" customHeight="1">
      <c r="A484" s="14"/>
      <c r="B484" s="15"/>
      <c r="C484" s="15"/>
      <c r="D484" s="15"/>
      <c r="E484" s="16"/>
      <c r="H484" s="16"/>
    </row>
    <row r="485" spans="1:8" ht="15.75" customHeight="1">
      <c r="A485" s="14"/>
      <c r="B485" s="15"/>
      <c r="C485" s="15"/>
      <c r="D485" s="15"/>
      <c r="E485" s="16"/>
      <c r="H485" s="16"/>
    </row>
    <row r="486" spans="1:8" ht="15.75" customHeight="1">
      <c r="A486" s="14"/>
      <c r="B486" s="15"/>
      <c r="C486" s="15"/>
      <c r="D486" s="15"/>
      <c r="E486" s="16"/>
      <c r="H486" s="16"/>
    </row>
    <row r="487" spans="1:8" ht="15.75" customHeight="1">
      <c r="A487" s="14"/>
      <c r="B487" s="15"/>
      <c r="C487" s="15"/>
      <c r="D487" s="15"/>
      <c r="E487" s="16"/>
      <c r="H487" s="16"/>
    </row>
    <row r="488" spans="1:8" ht="15.75" customHeight="1">
      <c r="A488" s="14"/>
      <c r="B488" s="15"/>
      <c r="C488" s="15"/>
      <c r="D488" s="15"/>
      <c r="E488" s="16"/>
      <c r="H488" s="16"/>
    </row>
    <row r="489" spans="1:8" ht="15.75" customHeight="1">
      <c r="A489" s="14"/>
      <c r="B489" s="15"/>
      <c r="C489" s="15"/>
      <c r="D489" s="15"/>
      <c r="E489" s="16"/>
      <c r="H489" s="16"/>
    </row>
    <row r="490" spans="1:8" ht="15.75" customHeight="1">
      <c r="A490" s="14"/>
      <c r="B490" s="15"/>
      <c r="C490" s="15"/>
      <c r="D490" s="15"/>
      <c r="E490" s="16"/>
      <c r="H490" s="16"/>
    </row>
    <row r="491" spans="1:8" ht="15.75" customHeight="1">
      <c r="A491" s="14"/>
      <c r="B491" s="15"/>
      <c r="C491" s="15"/>
      <c r="D491" s="15"/>
      <c r="E491" s="16"/>
      <c r="H491" s="16"/>
    </row>
    <row r="492" spans="1:8" ht="15.75" customHeight="1">
      <c r="A492" s="14"/>
      <c r="B492" s="15"/>
      <c r="C492" s="15"/>
      <c r="D492" s="15"/>
      <c r="E492" s="16"/>
      <c r="H492" s="16"/>
    </row>
    <row r="493" spans="1:8" ht="15.75" customHeight="1">
      <c r="A493" s="14"/>
      <c r="B493" s="15"/>
      <c r="C493" s="15"/>
      <c r="D493" s="15"/>
      <c r="E493" s="16"/>
      <c r="H493" s="16"/>
    </row>
    <row r="494" spans="1:8" ht="15.75" customHeight="1">
      <c r="A494" s="14"/>
      <c r="B494" s="15"/>
      <c r="C494" s="15"/>
      <c r="D494" s="15"/>
      <c r="E494" s="16"/>
      <c r="H494" s="16"/>
    </row>
    <row r="495" spans="1:8" ht="15.75" customHeight="1">
      <c r="A495" s="14"/>
      <c r="B495" s="15"/>
      <c r="C495" s="15"/>
      <c r="D495" s="15"/>
      <c r="E495" s="16"/>
      <c r="H495" s="16"/>
    </row>
    <row r="496" spans="1:8" ht="15.75" customHeight="1">
      <c r="A496" s="14"/>
      <c r="B496" s="15"/>
      <c r="C496" s="15"/>
      <c r="D496" s="15"/>
      <c r="E496" s="16"/>
      <c r="H496" s="16"/>
    </row>
    <row r="497" spans="1:8" ht="15.75" customHeight="1">
      <c r="A497" s="14"/>
      <c r="B497" s="15"/>
      <c r="C497" s="15"/>
      <c r="D497" s="15"/>
      <c r="E497" s="16"/>
      <c r="H497" s="16"/>
    </row>
    <row r="498" spans="1:8" ht="15.75" customHeight="1">
      <c r="A498" s="14"/>
      <c r="B498" s="15"/>
      <c r="C498" s="15"/>
      <c r="D498" s="15"/>
      <c r="E498" s="16"/>
      <c r="H498" s="16"/>
    </row>
    <row r="499" spans="1:8" ht="15.75" customHeight="1">
      <c r="A499" s="14"/>
      <c r="B499" s="15"/>
      <c r="C499" s="15"/>
      <c r="D499" s="15"/>
      <c r="E499" s="16"/>
      <c r="H499" s="16"/>
    </row>
    <row r="500" spans="1:8" ht="15.75" customHeight="1">
      <c r="A500" s="14"/>
      <c r="B500" s="15"/>
      <c r="C500" s="15"/>
      <c r="D500" s="15"/>
      <c r="E500" s="16"/>
      <c r="H500" s="16"/>
    </row>
    <row r="501" spans="1:8" ht="15.75" customHeight="1">
      <c r="A501" s="14"/>
      <c r="B501" s="15"/>
      <c r="C501" s="15"/>
      <c r="D501" s="15"/>
      <c r="E501" s="16"/>
      <c r="H501" s="16"/>
    </row>
    <row r="502" spans="1:8" ht="15.75" customHeight="1">
      <c r="A502" s="14"/>
      <c r="B502" s="15"/>
      <c r="C502" s="15"/>
      <c r="D502" s="15"/>
      <c r="E502" s="16"/>
      <c r="H502" s="16"/>
    </row>
    <row r="503" spans="1:8" ht="15.75" customHeight="1">
      <c r="A503" s="14"/>
      <c r="B503" s="15"/>
      <c r="C503" s="15"/>
      <c r="D503" s="15"/>
      <c r="E503" s="16"/>
      <c r="H503" s="16"/>
    </row>
    <row r="504" spans="1:8" ht="15.75" customHeight="1">
      <c r="A504" s="14"/>
      <c r="B504" s="15"/>
      <c r="C504" s="15"/>
      <c r="D504" s="15"/>
      <c r="E504" s="16"/>
      <c r="H504" s="16"/>
    </row>
    <row r="505" spans="1:8" ht="15.75" customHeight="1">
      <c r="A505" s="14"/>
      <c r="B505" s="15"/>
      <c r="C505" s="15"/>
      <c r="D505" s="15"/>
      <c r="E505" s="16"/>
      <c r="H505" s="16"/>
    </row>
    <row r="506" spans="1:8" ht="15.75" customHeight="1">
      <c r="A506" s="14"/>
      <c r="B506" s="15"/>
      <c r="C506" s="15"/>
      <c r="D506" s="15"/>
      <c r="E506" s="16"/>
      <c r="H506" s="16"/>
    </row>
    <row r="507" spans="1:8" ht="15.75" customHeight="1">
      <c r="A507" s="14"/>
      <c r="B507" s="15"/>
      <c r="C507" s="15"/>
      <c r="D507" s="15"/>
      <c r="E507" s="16"/>
      <c r="H507" s="16"/>
    </row>
    <row r="508" spans="1:8" ht="15.75" customHeight="1">
      <c r="A508" s="14"/>
      <c r="B508" s="15"/>
      <c r="C508" s="15"/>
      <c r="D508" s="15"/>
      <c r="E508" s="16"/>
      <c r="H508" s="16"/>
    </row>
    <row r="509" spans="1:8" ht="15.75" customHeight="1">
      <c r="A509" s="14"/>
      <c r="B509" s="15"/>
      <c r="C509" s="15"/>
      <c r="D509" s="15"/>
      <c r="E509" s="16"/>
      <c r="H509" s="16"/>
    </row>
    <row r="510" spans="1:8" ht="15.75" customHeight="1">
      <c r="A510" s="14"/>
      <c r="B510" s="15"/>
      <c r="C510" s="15"/>
      <c r="D510" s="15"/>
      <c r="E510" s="16"/>
      <c r="H510" s="16"/>
    </row>
    <row r="511" spans="1:8" ht="15.75" customHeight="1">
      <c r="A511" s="14"/>
      <c r="B511" s="15"/>
      <c r="C511" s="15"/>
      <c r="D511" s="15"/>
      <c r="E511" s="16"/>
      <c r="H511" s="16"/>
    </row>
    <row r="512" spans="1:8" ht="15.75" customHeight="1">
      <c r="A512" s="14"/>
      <c r="B512" s="15"/>
      <c r="C512" s="15"/>
      <c r="D512" s="15"/>
      <c r="E512" s="16"/>
      <c r="H512" s="16"/>
    </row>
    <row r="513" spans="1:8" ht="15.75" customHeight="1">
      <c r="A513" s="14"/>
      <c r="B513" s="15"/>
      <c r="C513" s="15"/>
      <c r="D513" s="15"/>
      <c r="E513" s="16"/>
      <c r="H513" s="16"/>
    </row>
    <row r="514" spans="1:8" ht="15.75" customHeight="1">
      <c r="A514" s="14"/>
      <c r="B514" s="15"/>
      <c r="C514" s="15"/>
      <c r="D514" s="15"/>
      <c r="E514" s="16"/>
      <c r="H514" s="16"/>
    </row>
    <row r="515" spans="1:8" ht="15.75" customHeight="1">
      <c r="A515" s="14"/>
      <c r="B515" s="15"/>
      <c r="C515" s="15"/>
      <c r="D515" s="15"/>
      <c r="E515" s="16"/>
      <c r="H515" s="16"/>
    </row>
    <row r="516" spans="1:8" ht="15.75" customHeight="1">
      <c r="A516" s="14"/>
      <c r="B516" s="15"/>
      <c r="C516" s="15"/>
      <c r="D516" s="15"/>
      <c r="E516" s="16"/>
      <c r="H516" s="16"/>
    </row>
    <row r="517" spans="1:8" ht="15.75" customHeight="1">
      <c r="A517" s="14"/>
      <c r="B517" s="15"/>
      <c r="C517" s="15"/>
      <c r="D517" s="15"/>
      <c r="E517" s="16"/>
      <c r="H517" s="16"/>
    </row>
    <row r="518" spans="1:8" ht="15.75" customHeight="1">
      <c r="A518" s="14"/>
      <c r="B518" s="15"/>
      <c r="C518" s="15"/>
      <c r="D518" s="15"/>
      <c r="E518" s="16"/>
      <c r="H518" s="16"/>
    </row>
    <row r="519" spans="1:8" ht="15.75" customHeight="1">
      <c r="A519" s="14"/>
      <c r="B519" s="15"/>
      <c r="C519" s="15"/>
      <c r="D519" s="15"/>
      <c r="E519" s="16"/>
      <c r="H519" s="16"/>
    </row>
    <row r="520" spans="1:8" ht="15.75" customHeight="1">
      <c r="A520" s="14"/>
      <c r="B520" s="15"/>
      <c r="C520" s="15"/>
      <c r="D520" s="15"/>
      <c r="E520" s="16"/>
      <c r="H520" s="16"/>
    </row>
    <row r="521" spans="1:8" ht="15.75" customHeight="1">
      <c r="A521" s="14"/>
      <c r="B521" s="15"/>
      <c r="C521" s="15"/>
      <c r="D521" s="15"/>
      <c r="E521" s="16"/>
      <c r="H521" s="16"/>
    </row>
    <row r="522" spans="1:8" ht="15.75" customHeight="1">
      <c r="A522" s="14"/>
      <c r="B522" s="15"/>
      <c r="C522" s="15"/>
      <c r="D522" s="15"/>
      <c r="E522" s="16"/>
      <c r="H522" s="16"/>
    </row>
    <row r="523" spans="1:8" ht="15.75" customHeight="1">
      <c r="A523" s="14"/>
      <c r="B523" s="15"/>
      <c r="C523" s="15"/>
      <c r="D523" s="15"/>
      <c r="E523" s="16"/>
      <c r="H523" s="16"/>
    </row>
    <row r="524" spans="1:8" ht="15.75" customHeight="1">
      <c r="A524" s="14"/>
      <c r="B524" s="15"/>
      <c r="C524" s="15"/>
      <c r="D524" s="15"/>
      <c r="E524" s="16"/>
      <c r="H524" s="16"/>
    </row>
    <row r="525" spans="1:8" ht="15.75" customHeight="1">
      <c r="A525" s="14"/>
      <c r="B525" s="15"/>
      <c r="C525" s="15"/>
      <c r="D525" s="15"/>
      <c r="E525" s="16"/>
      <c r="H525" s="16"/>
    </row>
    <row r="526" spans="1:8" ht="15.75" customHeight="1">
      <c r="A526" s="14"/>
      <c r="B526" s="15"/>
      <c r="C526" s="15"/>
      <c r="D526" s="15"/>
      <c r="E526" s="16"/>
      <c r="H526" s="16"/>
    </row>
    <row r="527" spans="1:8" ht="15.75" customHeight="1">
      <c r="A527" s="14"/>
      <c r="B527" s="15"/>
      <c r="C527" s="15"/>
      <c r="D527" s="15"/>
      <c r="E527" s="16"/>
      <c r="H527" s="16"/>
    </row>
    <row r="528" spans="1:8" ht="15.75" customHeight="1">
      <c r="A528" s="14"/>
      <c r="B528" s="15"/>
      <c r="C528" s="15"/>
      <c r="D528" s="15"/>
      <c r="E528" s="16"/>
      <c r="H528" s="16"/>
    </row>
    <row r="529" spans="1:8" ht="15.75" customHeight="1">
      <c r="A529" s="14"/>
      <c r="B529" s="15"/>
      <c r="C529" s="15"/>
      <c r="D529" s="15"/>
      <c r="E529" s="16"/>
      <c r="H529" s="16"/>
    </row>
    <row r="530" spans="1:8" ht="15.75" customHeight="1">
      <c r="A530" s="14"/>
      <c r="B530" s="15"/>
      <c r="C530" s="15"/>
      <c r="D530" s="15"/>
      <c r="E530" s="16"/>
      <c r="H530" s="16"/>
    </row>
    <row r="531" spans="1:8" ht="15.75" customHeight="1">
      <c r="A531" s="14"/>
      <c r="B531" s="15"/>
      <c r="C531" s="15"/>
      <c r="D531" s="15"/>
      <c r="E531" s="16"/>
      <c r="H531" s="16"/>
    </row>
    <row r="532" spans="1:8" ht="15.75" customHeight="1">
      <c r="A532" s="14"/>
      <c r="B532" s="15"/>
      <c r="C532" s="15"/>
      <c r="D532" s="15"/>
      <c r="E532" s="16"/>
      <c r="H532" s="16"/>
    </row>
    <row r="533" spans="1:8" ht="15.75" customHeight="1">
      <c r="A533" s="14"/>
      <c r="B533" s="15"/>
      <c r="C533" s="15"/>
      <c r="D533" s="15"/>
      <c r="E533" s="16"/>
      <c r="H533" s="16"/>
    </row>
    <row r="534" spans="1:8" ht="15.75" customHeight="1">
      <c r="A534" s="14"/>
      <c r="B534" s="15"/>
      <c r="C534" s="15"/>
      <c r="D534" s="15"/>
      <c r="E534" s="16"/>
      <c r="H534" s="16"/>
    </row>
    <row r="535" spans="1:8" ht="15.75" customHeight="1">
      <c r="A535" s="14"/>
      <c r="B535" s="15"/>
      <c r="C535" s="15"/>
      <c r="D535" s="15"/>
      <c r="E535" s="16"/>
      <c r="H535" s="16"/>
    </row>
    <row r="536" spans="1:8" ht="15.75" customHeight="1">
      <c r="A536" s="14"/>
      <c r="B536" s="15"/>
      <c r="C536" s="15"/>
      <c r="D536" s="15"/>
      <c r="E536" s="16"/>
      <c r="H536" s="16"/>
    </row>
    <row r="537" spans="1:8" ht="15.75" customHeight="1">
      <c r="A537" s="14"/>
      <c r="B537" s="15"/>
      <c r="C537" s="15"/>
      <c r="D537" s="15"/>
      <c r="E537" s="16"/>
      <c r="H537" s="16"/>
    </row>
    <row r="538" spans="1:8" ht="15.75" customHeight="1">
      <c r="A538" s="14"/>
      <c r="B538" s="15"/>
      <c r="C538" s="15"/>
      <c r="D538" s="15"/>
      <c r="E538" s="16"/>
      <c r="H538" s="16"/>
    </row>
    <row r="539" spans="1:8" ht="15.75" customHeight="1">
      <c r="A539" s="14"/>
      <c r="B539" s="15"/>
      <c r="C539" s="15"/>
      <c r="D539" s="15"/>
      <c r="E539" s="16"/>
      <c r="H539" s="16"/>
    </row>
    <row r="540" spans="1:8" ht="15.75" customHeight="1">
      <c r="A540" s="14"/>
      <c r="B540" s="15"/>
      <c r="C540" s="15"/>
      <c r="D540" s="15"/>
      <c r="E540" s="16"/>
      <c r="H540" s="16"/>
    </row>
    <row r="541" spans="1:8" ht="15.75" customHeight="1">
      <c r="A541" s="14"/>
      <c r="B541" s="15"/>
      <c r="C541" s="15"/>
      <c r="D541" s="15"/>
      <c r="E541" s="16"/>
      <c r="H541" s="16"/>
    </row>
    <row r="542" spans="1:8" ht="15.75" customHeight="1">
      <c r="A542" s="14"/>
      <c r="B542" s="15"/>
      <c r="C542" s="15"/>
      <c r="D542" s="15"/>
      <c r="E542" s="16"/>
      <c r="H542" s="16"/>
    </row>
    <row r="543" spans="1:8" ht="15.75" customHeight="1">
      <c r="A543" s="14"/>
      <c r="B543" s="15"/>
      <c r="C543" s="15"/>
      <c r="D543" s="15"/>
      <c r="E543" s="16"/>
      <c r="H543" s="16"/>
    </row>
    <row r="544" spans="1:8" ht="15.75" customHeight="1">
      <c r="A544" s="14"/>
      <c r="B544" s="15"/>
      <c r="C544" s="15"/>
      <c r="D544" s="15"/>
      <c r="E544" s="16"/>
      <c r="H544" s="16"/>
    </row>
    <row r="545" spans="1:8" ht="15.75" customHeight="1">
      <c r="A545" s="14"/>
      <c r="B545" s="17"/>
      <c r="C545" s="17"/>
      <c r="D545" s="17"/>
      <c r="E545" s="16"/>
      <c r="H545" s="16"/>
    </row>
    <row r="546" spans="1:8" ht="15.75" customHeight="1">
      <c r="A546" s="14"/>
      <c r="B546" s="17"/>
      <c r="C546" s="17"/>
      <c r="D546" s="17"/>
      <c r="E546" s="16"/>
      <c r="H546" s="16"/>
    </row>
    <row r="547" spans="1:8" ht="15.75" customHeight="1">
      <c r="A547" s="14"/>
      <c r="B547" s="17"/>
      <c r="C547" s="17"/>
      <c r="D547" s="17"/>
      <c r="E547" s="16"/>
      <c r="H547" s="16"/>
    </row>
    <row r="548" spans="1:8" ht="15.75" customHeight="1">
      <c r="A548" s="14"/>
      <c r="B548" s="17"/>
      <c r="C548" s="17"/>
      <c r="D548" s="17"/>
      <c r="E548" s="16"/>
      <c r="H548" s="16"/>
    </row>
    <row r="549" spans="1:8" ht="15.75" customHeight="1">
      <c r="A549" s="14"/>
      <c r="B549" s="17"/>
      <c r="C549" s="17"/>
      <c r="D549" s="17"/>
      <c r="E549" s="16"/>
      <c r="H549" s="16"/>
    </row>
    <row r="550" spans="1:8" ht="15.75" customHeight="1">
      <c r="A550" s="14"/>
      <c r="B550" s="17"/>
      <c r="C550" s="17"/>
      <c r="D550" s="17"/>
      <c r="E550" s="16"/>
      <c r="H550" s="16"/>
    </row>
    <row r="551" spans="1:8" ht="15.75" customHeight="1">
      <c r="A551" s="14"/>
      <c r="B551" s="17"/>
      <c r="C551" s="17"/>
      <c r="D551" s="17"/>
      <c r="E551" s="16"/>
      <c r="H551" s="16"/>
    </row>
    <row r="552" spans="1:8" ht="15.75" customHeight="1">
      <c r="A552" s="14"/>
      <c r="B552" s="17"/>
      <c r="C552" s="17"/>
      <c r="D552" s="17"/>
      <c r="E552" s="16"/>
      <c r="H552" s="16"/>
    </row>
    <row r="553" spans="1:8" ht="15.75" customHeight="1">
      <c r="A553" s="14"/>
      <c r="B553" s="17"/>
      <c r="C553" s="17"/>
      <c r="D553" s="17"/>
      <c r="E553" s="16"/>
      <c r="H553" s="16"/>
    </row>
    <row r="554" spans="1:8" ht="15.75" customHeight="1">
      <c r="A554" s="14"/>
      <c r="B554" s="17"/>
      <c r="C554" s="17"/>
      <c r="D554" s="17"/>
      <c r="E554" s="16"/>
      <c r="H554" s="16"/>
    </row>
    <row r="555" spans="1:8" ht="15.75" customHeight="1">
      <c r="A555" s="14"/>
      <c r="B555" s="17"/>
      <c r="C555" s="17"/>
      <c r="D555" s="17"/>
      <c r="E555" s="16"/>
      <c r="H555" s="16"/>
    </row>
    <row r="556" spans="1:8" ht="15.75" customHeight="1">
      <c r="A556" s="14"/>
      <c r="B556" s="17"/>
      <c r="C556" s="17"/>
      <c r="D556" s="17"/>
      <c r="E556" s="16"/>
      <c r="H556" s="16"/>
    </row>
    <row r="557" spans="1:8" ht="15.75" customHeight="1">
      <c r="A557" s="14"/>
      <c r="B557" s="17"/>
      <c r="C557" s="17"/>
      <c r="D557" s="17"/>
      <c r="E557" s="16"/>
      <c r="H557" s="16"/>
    </row>
    <row r="558" spans="1:8" ht="15.75" customHeight="1">
      <c r="A558" s="14"/>
      <c r="B558" s="17"/>
      <c r="C558" s="17"/>
      <c r="D558" s="17"/>
      <c r="E558" s="16"/>
      <c r="H558" s="16"/>
    </row>
    <row r="559" spans="1:8" ht="15.75" customHeight="1">
      <c r="A559" s="14"/>
      <c r="B559" s="17"/>
      <c r="C559" s="17"/>
      <c r="D559" s="17"/>
      <c r="E559" s="16"/>
      <c r="H559" s="16"/>
    </row>
    <row r="560" spans="1:8" ht="15.75" customHeight="1">
      <c r="A560" s="14"/>
      <c r="B560" s="17"/>
      <c r="C560" s="17"/>
      <c r="D560" s="17"/>
      <c r="E560" s="16"/>
      <c r="H560" s="16"/>
    </row>
    <row r="561" spans="1:8" ht="15.75" customHeight="1">
      <c r="A561" s="14"/>
      <c r="B561" s="17"/>
      <c r="C561" s="17"/>
      <c r="D561" s="17"/>
      <c r="E561" s="16"/>
      <c r="H561" s="16"/>
    </row>
    <row r="562" spans="1:8" ht="15.75" customHeight="1">
      <c r="A562" s="14"/>
      <c r="B562" s="17"/>
      <c r="C562" s="17"/>
      <c r="D562" s="17"/>
      <c r="E562" s="16"/>
      <c r="H562" s="16"/>
    </row>
    <row r="563" spans="1:8" ht="15.75" customHeight="1">
      <c r="A563" s="14"/>
      <c r="B563" s="17"/>
      <c r="C563" s="17"/>
      <c r="D563" s="17"/>
      <c r="E563" s="16"/>
      <c r="H563" s="16"/>
    </row>
    <row r="564" spans="1:8" ht="15.75" customHeight="1">
      <c r="A564" s="14"/>
      <c r="B564" s="17"/>
      <c r="C564" s="17"/>
      <c r="D564" s="17"/>
      <c r="E564" s="16"/>
      <c r="H564" s="16"/>
    </row>
    <row r="565" spans="1:8" ht="15.75" customHeight="1">
      <c r="A565" s="14"/>
      <c r="B565" s="17"/>
      <c r="C565" s="17"/>
      <c r="D565" s="17"/>
      <c r="E565" s="16"/>
      <c r="H565" s="16"/>
    </row>
    <row r="566" spans="1:8" ht="15.75" customHeight="1">
      <c r="A566" s="14"/>
      <c r="B566" s="17"/>
      <c r="C566" s="17"/>
      <c r="D566" s="17"/>
      <c r="E566" s="16"/>
      <c r="H566" s="16"/>
    </row>
    <row r="567" spans="1:8" ht="15.75" customHeight="1">
      <c r="A567" s="14"/>
      <c r="B567" s="17"/>
      <c r="C567" s="17"/>
      <c r="D567" s="17"/>
      <c r="E567" s="16"/>
      <c r="H567" s="16"/>
    </row>
    <row r="568" spans="1:8" ht="15.75" customHeight="1">
      <c r="A568" s="14"/>
      <c r="B568" s="17"/>
      <c r="C568" s="17"/>
      <c r="D568" s="17"/>
      <c r="E568" s="16"/>
      <c r="H568" s="16"/>
    </row>
    <row r="569" spans="1:8" ht="15.75" customHeight="1">
      <c r="A569" s="14"/>
      <c r="B569" s="17"/>
      <c r="C569" s="17"/>
      <c r="D569" s="17"/>
      <c r="E569" s="16"/>
      <c r="H569" s="16"/>
    </row>
    <row r="570" spans="1:8" ht="15.75" customHeight="1">
      <c r="A570" s="14"/>
      <c r="B570" s="17"/>
      <c r="C570" s="17"/>
      <c r="D570" s="17"/>
      <c r="E570" s="16"/>
      <c r="H570" s="16"/>
    </row>
    <row r="571" spans="1:8" ht="15.75" customHeight="1">
      <c r="A571" s="14"/>
      <c r="B571" s="17"/>
      <c r="C571" s="17"/>
      <c r="D571" s="17"/>
      <c r="E571" s="16"/>
      <c r="H571" s="16"/>
    </row>
    <row r="572" spans="1:8" ht="15.75" customHeight="1">
      <c r="A572" s="14"/>
      <c r="B572" s="17"/>
      <c r="C572" s="17"/>
      <c r="D572" s="17"/>
      <c r="E572" s="16"/>
      <c r="H572" s="16"/>
    </row>
    <row r="573" spans="1:8" ht="15.75" customHeight="1">
      <c r="A573" s="14"/>
      <c r="B573" s="17"/>
      <c r="C573" s="17"/>
      <c r="D573" s="17"/>
      <c r="E573" s="16"/>
      <c r="H573" s="16"/>
    </row>
    <row r="574" spans="1:8" ht="15.75" customHeight="1">
      <c r="A574" s="14"/>
      <c r="B574" s="17"/>
      <c r="C574" s="17"/>
      <c r="D574" s="17"/>
      <c r="E574" s="16"/>
      <c r="H574" s="16"/>
    </row>
    <row r="575" spans="1:8" ht="15.75" customHeight="1">
      <c r="A575" s="14"/>
      <c r="B575" s="17"/>
      <c r="C575" s="17"/>
      <c r="D575" s="17"/>
      <c r="E575" s="16"/>
      <c r="H575" s="16"/>
    </row>
    <row r="576" spans="1:8" ht="15.75" customHeight="1">
      <c r="A576" s="14"/>
      <c r="B576" s="17"/>
      <c r="C576" s="17"/>
      <c r="D576" s="17"/>
      <c r="E576" s="16"/>
      <c r="H576" s="16"/>
    </row>
    <row r="577" spans="1:8" ht="15.75" customHeight="1">
      <c r="A577" s="14"/>
      <c r="B577" s="17"/>
      <c r="C577" s="17"/>
      <c r="D577" s="17"/>
      <c r="E577" s="16"/>
      <c r="H577" s="16"/>
    </row>
    <row r="578" spans="1:8" ht="15.75" customHeight="1">
      <c r="A578" s="14"/>
      <c r="B578" s="17"/>
      <c r="C578" s="17"/>
      <c r="D578" s="17"/>
      <c r="E578" s="16"/>
      <c r="H578" s="16"/>
    </row>
    <row r="579" spans="1:8" ht="15.75" customHeight="1">
      <c r="A579" s="14"/>
      <c r="B579" s="17"/>
      <c r="C579" s="17"/>
      <c r="D579" s="17"/>
      <c r="E579" s="16"/>
      <c r="H579" s="16"/>
    </row>
    <row r="580" spans="1:8" ht="15.75" customHeight="1">
      <c r="A580" s="14"/>
      <c r="B580" s="17"/>
      <c r="C580" s="17"/>
      <c r="D580" s="17"/>
      <c r="E580" s="16"/>
      <c r="H580" s="16"/>
    </row>
    <row r="581" spans="1:8" ht="15.75" customHeight="1">
      <c r="A581" s="14"/>
      <c r="B581" s="17"/>
      <c r="C581" s="17"/>
      <c r="D581" s="17"/>
      <c r="E581" s="16"/>
      <c r="H581" s="16"/>
    </row>
    <row r="582" spans="1:8" ht="15.75" customHeight="1">
      <c r="A582" s="14"/>
      <c r="B582" s="17"/>
      <c r="C582" s="17"/>
      <c r="D582" s="17"/>
      <c r="E582" s="16"/>
      <c r="H582" s="16"/>
    </row>
    <row r="583" spans="1:8" ht="15.75" customHeight="1">
      <c r="A583" s="14"/>
      <c r="B583" s="17"/>
      <c r="C583" s="17"/>
      <c r="D583" s="17"/>
      <c r="E583" s="16"/>
      <c r="H583" s="16"/>
    </row>
    <row r="584" spans="1:8" ht="15.75" customHeight="1">
      <c r="A584" s="14"/>
      <c r="B584" s="17"/>
      <c r="C584" s="17"/>
      <c r="D584" s="17"/>
      <c r="E584" s="16"/>
      <c r="H584" s="16"/>
    </row>
    <row r="585" spans="1:8" ht="15.75" customHeight="1">
      <c r="A585" s="14"/>
      <c r="B585" s="17"/>
      <c r="C585" s="17"/>
      <c r="D585" s="17"/>
      <c r="E585" s="16"/>
      <c r="H585" s="16"/>
    </row>
    <row r="586" spans="1:8" ht="15.75" customHeight="1">
      <c r="A586" s="14"/>
      <c r="B586" s="17"/>
      <c r="C586" s="17"/>
      <c r="D586" s="17"/>
      <c r="E586" s="16"/>
      <c r="H586" s="16"/>
    </row>
    <row r="587" spans="1:8" ht="15.75" customHeight="1">
      <c r="A587" s="14"/>
      <c r="B587" s="17"/>
      <c r="C587" s="17"/>
      <c r="D587" s="17"/>
      <c r="E587" s="16"/>
      <c r="H587" s="16"/>
    </row>
    <row r="588" spans="1:8" ht="15.75" customHeight="1">
      <c r="A588" s="14"/>
      <c r="B588" s="17"/>
      <c r="C588" s="17"/>
      <c r="D588" s="17"/>
      <c r="E588" s="16"/>
      <c r="H588" s="16"/>
    </row>
    <row r="589" spans="1:8" ht="15.75" customHeight="1">
      <c r="A589" s="14"/>
      <c r="B589" s="17"/>
      <c r="C589" s="17"/>
      <c r="D589" s="17"/>
      <c r="E589" s="16"/>
      <c r="H589" s="16"/>
    </row>
    <row r="590" spans="1:8" ht="15.75" customHeight="1">
      <c r="A590" s="14"/>
      <c r="B590" s="17"/>
      <c r="C590" s="17"/>
      <c r="D590" s="17"/>
      <c r="E590" s="16"/>
      <c r="H590" s="16"/>
    </row>
    <row r="591" spans="1:8" ht="15.75" customHeight="1">
      <c r="A591" s="14"/>
      <c r="B591" s="17"/>
      <c r="C591" s="17"/>
      <c r="D591" s="17"/>
      <c r="E591" s="16"/>
      <c r="H591" s="16"/>
    </row>
    <row r="592" spans="1:8" ht="15.75" customHeight="1">
      <c r="A592" s="14"/>
      <c r="B592" s="17"/>
      <c r="C592" s="17"/>
      <c r="D592" s="17"/>
      <c r="E592" s="16"/>
      <c r="H592" s="16"/>
    </row>
    <row r="593" spans="1:8" ht="15.75" customHeight="1">
      <c r="A593" s="14"/>
      <c r="B593" s="17"/>
      <c r="C593" s="17"/>
      <c r="D593" s="17"/>
      <c r="E593" s="16"/>
      <c r="H593" s="16"/>
    </row>
    <row r="594" spans="1:8" ht="15.75" customHeight="1">
      <c r="A594" s="14"/>
      <c r="B594" s="17"/>
      <c r="C594" s="17"/>
      <c r="D594" s="17"/>
      <c r="E594" s="16"/>
      <c r="H594" s="16"/>
    </row>
    <row r="595" spans="1:8" ht="15.75" customHeight="1">
      <c r="A595" s="14"/>
      <c r="B595" s="17"/>
      <c r="C595" s="17"/>
      <c r="D595" s="17"/>
      <c r="E595" s="16"/>
      <c r="H595" s="16"/>
    </row>
    <row r="596" spans="1:8" ht="15.75" customHeight="1">
      <c r="A596" s="14"/>
      <c r="B596" s="17"/>
      <c r="C596" s="17"/>
      <c r="D596" s="17"/>
      <c r="E596" s="16"/>
      <c r="H596" s="16"/>
    </row>
    <row r="597" spans="1:8" ht="15.75" customHeight="1">
      <c r="A597" s="14"/>
      <c r="B597" s="17"/>
      <c r="C597" s="17"/>
      <c r="D597" s="17"/>
      <c r="E597" s="16"/>
      <c r="H597" s="16"/>
    </row>
    <row r="598" spans="1:8" ht="15.75" customHeight="1">
      <c r="A598" s="14"/>
      <c r="B598" s="17"/>
      <c r="C598" s="17"/>
      <c r="D598" s="17"/>
      <c r="E598" s="16"/>
      <c r="H598" s="16"/>
    </row>
    <row r="599" spans="1:8" ht="15.75" customHeight="1">
      <c r="A599" s="14"/>
      <c r="B599" s="17"/>
      <c r="C599" s="17"/>
      <c r="D599" s="17"/>
      <c r="E599" s="16"/>
      <c r="H599" s="16"/>
    </row>
    <row r="600" spans="1:8" ht="15.75" customHeight="1">
      <c r="A600" s="14"/>
      <c r="B600" s="17"/>
      <c r="C600" s="17"/>
      <c r="D600" s="17"/>
      <c r="E600" s="16"/>
      <c r="H600" s="16"/>
    </row>
    <row r="601" spans="1:8" ht="15.75" customHeight="1">
      <c r="A601" s="14"/>
      <c r="B601" s="17"/>
      <c r="C601" s="17"/>
      <c r="D601" s="17"/>
      <c r="E601" s="16"/>
      <c r="H601" s="16"/>
    </row>
    <row r="602" spans="1:8" ht="15.75" customHeight="1">
      <c r="A602" s="14"/>
      <c r="B602" s="17"/>
      <c r="C602" s="17"/>
      <c r="D602" s="17"/>
      <c r="E602" s="16"/>
      <c r="H602" s="16"/>
    </row>
    <row r="603" spans="1:8" ht="15.75" customHeight="1">
      <c r="A603" s="14"/>
      <c r="B603" s="17"/>
      <c r="C603" s="17"/>
      <c r="D603" s="17"/>
      <c r="E603" s="16"/>
      <c r="H603" s="16"/>
    </row>
    <row r="604" spans="1:8" ht="15.75" customHeight="1">
      <c r="A604" s="14"/>
      <c r="B604" s="17"/>
      <c r="C604" s="17"/>
      <c r="D604" s="17"/>
      <c r="E604" s="16"/>
      <c r="H604" s="16"/>
    </row>
    <row r="605" spans="1:8" ht="15.75" customHeight="1">
      <c r="A605" s="14"/>
      <c r="B605" s="17"/>
      <c r="C605" s="17"/>
      <c r="D605" s="17"/>
      <c r="E605" s="16"/>
      <c r="H605" s="16"/>
    </row>
    <row r="606" spans="1:8" ht="15.75" customHeight="1">
      <c r="A606" s="14"/>
      <c r="B606" s="17"/>
      <c r="C606" s="17"/>
      <c r="D606" s="17"/>
      <c r="E606" s="16"/>
      <c r="H606" s="16"/>
    </row>
    <row r="607" spans="1:8" ht="15.75" customHeight="1">
      <c r="A607" s="14"/>
      <c r="B607" s="17"/>
      <c r="C607" s="17"/>
      <c r="D607" s="17"/>
      <c r="E607" s="16"/>
      <c r="H607" s="16"/>
    </row>
    <row r="608" spans="1:8" ht="15.75" customHeight="1">
      <c r="A608" s="14"/>
      <c r="B608" s="17"/>
      <c r="C608" s="17"/>
      <c r="D608" s="17"/>
      <c r="E608" s="16"/>
      <c r="H608" s="16"/>
    </row>
    <row r="609" spans="1:8" ht="15.75" customHeight="1">
      <c r="A609" s="14"/>
      <c r="B609" s="17"/>
      <c r="C609" s="17"/>
      <c r="D609" s="17"/>
      <c r="E609" s="16"/>
      <c r="H609" s="16"/>
    </row>
    <row r="610" spans="1:8" ht="15.75" customHeight="1">
      <c r="A610" s="14"/>
      <c r="B610" s="17"/>
      <c r="C610" s="17"/>
      <c r="D610" s="17"/>
      <c r="E610" s="16"/>
      <c r="H610" s="16"/>
    </row>
    <row r="611" spans="1:8" ht="15.75" customHeight="1">
      <c r="A611" s="14"/>
      <c r="B611" s="17"/>
      <c r="C611" s="17"/>
      <c r="D611" s="17"/>
      <c r="E611" s="16"/>
      <c r="H611" s="16"/>
    </row>
    <row r="612" spans="1:8" ht="15.75" customHeight="1">
      <c r="A612" s="14"/>
      <c r="B612" s="17"/>
      <c r="C612" s="17"/>
      <c r="D612" s="17"/>
      <c r="E612" s="16"/>
      <c r="H612" s="16"/>
    </row>
    <row r="613" spans="1:8" ht="15.75" customHeight="1">
      <c r="A613" s="14"/>
      <c r="B613" s="17"/>
      <c r="C613" s="17"/>
      <c r="D613" s="17"/>
      <c r="E613" s="16"/>
      <c r="H613" s="16"/>
    </row>
    <row r="614" spans="1:8" ht="15.75" customHeight="1">
      <c r="A614" s="14"/>
      <c r="B614" s="17"/>
      <c r="C614" s="17"/>
      <c r="D614" s="17"/>
      <c r="E614" s="16"/>
      <c r="H614" s="16"/>
    </row>
    <row r="615" spans="1:8" ht="15.75" customHeight="1">
      <c r="A615" s="14"/>
      <c r="B615" s="17"/>
      <c r="C615" s="17"/>
      <c r="D615" s="17"/>
      <c r="E615" s="16"/>
      <c r="H615" s="16"/>
    </row>
    <row r="616" spans="1:8" ht="15.75" customHeight="1">
      <c r="A616" s="14"/>
      <c r="B616" s="17"/>
      <c r="C616" s="17"/>
      <c r="D616" s="17"/>
      <c r="E616" s="16"/>
      <c r="H616" s="16"/>
    </row>
    <row r="617" spans="1:8" ht="15.75" customHeight="1">
      <c r="A617" s="14"/>
      <c r="B617" s="17"/>
      <c r="C617" s="17"/>
      <c r="D617" s="17"/>
      <c r="E617" s="16"/>
      <c r="H617" s="16"/>
    </row>
    <row r="618" spans="1:8" ht="15.75" customHeight="1">
      <c r="A618" s="14"/>
      <c r="B618" s="17"/>
      <c r="C618" s="17"/>
      <c r="D618" s="17"/>
      <c r="E618" s="16"/>
      <c r="H618" s="16"/>
    </row>
    <row r="619" spans="1:8" ht="15.75" customHeight="1">
      <c r="A619" s="14"/>
      <c r="B619" s="17"/>
      <c r="C619" s="17"/>
      <c r="D619" s="17"/>
      <c r="E619" s="16"/>
      <c r="H619" s="16"/>
    </row>
    <row r="620" spans="1:8" ht="15.75" customHeight="1">
      <c r="A620" s="14"/>
      <c r="B620" s="17"/>
      <c r="C620" s="17"/>
      <c r="D620" s="17"/>
      <c r="E620" s="16"/>
      <c r="H620" s="16"/>
    </row>
    <row r="621" spans="1:8" ht="15.75" customHeight="1">
      <c r="A621" s="14"/>
      <c r="B621" s="17"/>
      <c r="C621" s="17"/>
      <c r="D621" s="17"/>
      <c r="E621" s="16"/>
      <c r="H621" s="16"/>
    </row>
    <row r="622" spans="1:8" ht="15.75" customHeight="1">
      <c r="A622" s="14"/>
      <c r="B622" s="17"/>
      <c r="C622" s="17"/>
      <c r="D622" s="17"/>
      <c r="E622" s="16"/>
      <c r="H622" s="16"/>
    </row>
    <row r="623" spans="1:8" ht="15.75" customHeight="1">
      <c r="A623" s="14"/>
      <c r="B623" s="17"/>
      <c r="C623" s="17"/>
      <c r="D623" s="17"/>
      <c r="E623" s="16"/>
      <c r="H623" s="16"/>
    </row>
    <row r="624" spans="1:8" ht="15.75" customHeight="1">
      <c r="A624" s="14"/>
      <c r="B624" s="17"/>
      <c r="C624" s="17"/>
      <c r="D624" s="17"/>
      <c r="E624" s="16"/>
      <c r="H624" s="16"/>
    </row>
    <row r="625" spans="1:8" ht="15.75" customHeight="1">
      <c r="A625" s="14"/>
      <c r="B625" s="17"/>
      <c r="C625" s="17"/>
      <c r="D625" s="17"/>
      <c r="E625" s="16"/>
      <c r="H625" s="16"/>
    </row>
    <row r="626" spans="1:8" ht="15.75" customHeight="1">
      <c r="A626" s="14"/>
      <c r="B626" s="17"/>
      <c r="C626" s="17"/>
      <c r="D626" s="17"/>
      <c r="E626" s="16"/>
      <c r="H626" s="16"/>
    </row>
    <row r="627" spans="1:8" ht="15.75" customHeight="1">
      <c r="A627" s="14"/>
      <c r="B627" s="17"/>
      <c r="C627" s="17"/>
      <c r="D627" s="17"/>
      <c r="E627" s="16"/>
      <c r="H627" s="16"/>
    </row>
    <row r="628" spans="1:8" ht="15.75" customHeight="1">
      <c r="A628" s="14"/>
      <c r="B628" s="17"/>
      <c r="C628" s="17"/>
      <c r="D628" s="17"/>
      <c r="E628" s="16"/>
      <c r="H628" s="16"/>
    </row>
    <row r="629" spans="1:8" ht="15.75" customHeight="1">
      <c r="A629" s="14"/>
      <c r="B629" s="17"/>
      <c r="C629" s="17"/>
      <c r="D629" s="17"/>
      <c r="E629" s="16"/>
      <c r="H629" s="16"/>
    </row>
    <row r="630" spans="1:8" ht="15.75" customHeight="1">
      <c r="A630" s="14"/>
      <c r="B630" s="17"/>
      <c r="C630" s="17"/>
      <c r="D630" s="17"/>
      <c r="E630" s="16"/>
      <c r="H630" s="16"/>
    </row>
    <row r="631" spans="1:8" ht="15.75" customHeight="1">
      <c r="A631" s="14"/>
      <c r="B631" s="17"/>
      <c r="C631" s="17"/>
      <c r="D631" s="17"/>
      <c r="E631" s="16"/>
      <c r="H631" s="16"/>
    </row>
    <row r="632" spans="1:8" ht="15.75" customHeight="1">
      <c r="A632" s="14"/>
      <c r="B632" s="17"/>
      <c r="C632" s="17"/>
      <c r="D632" s="17"/>
      <c r="E632" s="16"/>
      <c r="H632" s="16"/>
    </row>
    <row r="633" spans="1:8" ht="15.75" customHeight="1">
      <c r="A633" s="14"/>
      <c r="B633" s="17"/>
      <c r="C633" s="17"/>
      <c r="D633" s="17"/>
      <c r="E633" s="16"/>
      <c r="H633" s="16"/>
    </row>
    <row r="634" spans="1:8" ht="15.75" customHeight="1">
      <c r="A634" s="14"/>
      <c r="B634" s="17"/>
      <c r="C634" s="17"/>
      <c r="D634" s="17"/>
      <c r="E634" s="16"/>
      <c r="H634" s="16"/>
    </row>
    <row r="635" spans="1:8" ht="15.75" customHeight="1">
      <c r="A635" s="14"/>
      <c r="B635" s="17"/>
      <c r="C635" s="17"/>
      <c r="D635" s="17"/>
      <c r="E635" s="16"/>
      <c r="H635" s="16"/>
    </row>
    <row r="636" spans="1:8" ht="15.75" customHeight="1">
      <c r="A636" s="14"/>
      <c r="B636" s="17"/>
      <c r="C636" s="17"/>
      <c r="D636" s="17"/>
      <c r="E636" s="16"/>
      <c r="H636" s="16"/>
    </row>
    <row r="637" spans="1:8" ht="15.75" customHeight="1">
      <c r="A637" s="14"/>
      <c r="B637" s="17"/>
      <c r="C637" s="17"/>
      <c r="D637" s="17"/>
      <c r="E637" s="16"/>
      <c r="H637" s="16"/>
    </row>
    <row r="638" spans="1:8" ht="15.75" customHeight="1">
      <c r="A638" s="14"/>
      <c r="B638" s="17"/>
      <c r="C638" s="17"/>
      <c r="D638" s="17"/>
      <c r="E638" s="16"/>
      <c r="H638" s="16"/>
    </row>
    <row r="639" spans="1:8" ht="15.75" customHeight="1">
      <c r="A639" s="14"/>
      <c r="B639" s="17"/>
      <c r="C639" s="17"/>
      <c r="D639" s="17"/>
      <c r="E639" s="16"/>
      <c r="H639" s="16"/>
    </row>
    <row r="640" spans="1:8" ht="15.75" customHeight="1">
      <c r="A640" s="14"/>
      <c r="B640" s="17"/>
      <c r="C640" s="17"/>
      <c r="D640" s="17"/>
      <c r="E640" s="16"/>
      <c r="H640" s="16"/>
    </row>
    <row r="641" spans="1:8" ht="15.75" customHeight="1">
      <c r="A641" s="14"/>
      <c r="B641" s="17"/>
      <c r="C641" s="17"/>
      <c r="D641" s="17"/>
      <c r="E641" s="16"/>
      <c r="H641" s="16"/>
    </row>
    <row r="642" spans="1:8" ht="15.75" customHeight="1">
      <c r="A642" s="14"/>
      <c r="B642" s="17"/>
      <c r="C642" s="17"/>
      <c r="D642" s="17"/>
      <c r="E642" s="16"/>
      <c r="H642" s="16"/>
    </row>
    <row r="643" spans="1:8" ht="15.75" customHeight="1">
      <c r="A643" s="14"/>
      <c r="B643" s="17"/>
      <c r="C643" s="17"/>
      <c r="D643" s="17"/>
      <c r="E643" s="16"/>
      <c r="H643" s="16"/>
    </row>
    <row r="644" spans="1:8" ht="15.75" customHeight="1">
      <c r="A644" s="14"/>
      <c r="B644" s="17"/>
      <c r="C644" s="17"/>
      <c r="D644" s="17"/>
      <c r="E644" s="16"/>
      <c r="H644" s="16"/>
    </row>
    <row r="645" spans="1:8" ht="15.75" customHeight="1">
      <c r="A645" s="14"/>
      <c r="B645" s="17"/>
      <c r="C645" s="17"/>
      <c r="D645" s="17"/>
      <c r="E645" s="16"/>
      <c r="H645" s="16"/>
    </row>
    <row r="646" spans="1:8" ht="15.75" customHeight="1">
      <c r="A646" s="14"/>
      <c r="B646" s="17"/>
      <c r="C646" s="17"/>
      <c r="D646" s="17"/>
      <c r="E646" s="16"/>
      <c r="H646" s="16"/>
    </row>
    <row r="647" spans="1:8" ht="15.75" customHeight="1">
      <c r="A647" s="14"/>
      <c r="B647" s="17"/>
      <c r="C647" s="17"/>
      <c r="D647" s="17"/>
      <c r="E647" s="16"/>
      <c r="H647" s="16"/>
    </row>
    <row r="648" spans="1:8" ht="15.75" customHeight="1">
      <c r="A648" s="14"/>
      <c r="B648" s="17"/>
      <c r="C648" s="17"/>
      <c r="D648" s="17"/>
      <c r="E648" s="16"/>
      <c r="H648" s="16"/>
    </row>
    <row r="649" spans="1:8" ht="15.75" customHeight="1">
      <c r="A649" s="14"/>
      <c r="B649" s="17"/>
      <c r="C649" s="17"/>
      <c r="D649" s="17"/>
      <c r="E649" s="16"/>
      <c r="H649" s="16"/>
    </row>
    <row r="650" spans="1:8" ht="15.75" customHeight="1">
      <c r="A650" s="14"/>
      <c r="B650" s="17"/>
      <c r="C650" s="17"/>
      <c r="D650" s="17"/>
      <c r="E650" s="16"/>
      <c r="H650" s="16"/>
    </row>
    <row r="651" spans="1:8" ht="15.75" customHeight="1">
      <c r="A651" s="14"/>
      <c r="B651" s="17"/>
      <c r="C651" s="17"/>
      <c r="D651" s="17"/>
      <c r="E651" s="16"/>
      <c r="H651" s="16"/>
    </row>
    <row r="652" spans="1:8" ht="15.75" customHeight="1">
      <c r="A652" s="14"/>
      <c r="B652" s="17"/>
      <c r="C652" s="17"/>
      <c r="D652" s="17"/>
      <c r="E652" s="16"/>
      <c r="H652" s="16"/>
    </row>
    <row r="653" spans="1:8" ht="15.75" customHeight="1">
      <c r="A653" s="14"/>
      <c r="B653" s="17"/>
      <c r="C653" s="17"/>
      <c r="D653" s="17"/>
      <c r="E653" s="16"/>
      <c r="H653" s="16"/>
    </row>
    <row r="654" spans="1:8" ht="15.75" customHeight="1">
      <c r="A654" s="14"/>
      <c r="B654" s="17"/>
      <c r="C654" s="17"/>
      <c r="D654" s="17"/>
      <c r="E654" s="16"/>
      <c r="H654" s="16"/>
    </row>
    <row r="655" spans="1:8" ht="15.75" customHeight="1">
      <c r="A655" s="14"/>
      <c r="B655" s="17"/>
      <c r="C655" s="17"/>
      <c r="D655" s="17"/>
      <c r="E655" s="16"/>
      <c r="H655" s="16"/>
    </row>
    <row r="656" spans="1:8" ht="15.75" customHeight="1">
      <c r="A656" s="14"/>
      <c r="B656" s="17"/>
      <c r="C656" s="17"/>
      <c r="D656" s="17"/>
      <c r="E656" s="16"/>
      <c r="H656" s="16"/>
    </row>
    <row r="657" spans="1:8" ht="15.75" customHeight="1">
      <c r="A657" s="14"/>
      <c r="B657" s="17"/>
      <c r="C657" s="17"/>
      <c r="D657" s="17"/>
      <c r="E657" s="16"/>
      <c r="H657" s="16"/>
    </row>
    <row r="658" spans="1:8" ht="15.75" customHeight="1">
      <c r="A658" s="14"/>
      <c r="B658" s="17"/>
      <c r="C658" s="17"/>
      <c r="D658" s="17"/>
      <c r="E658" s="16"/>
      <c r="H658" s="16"/>
    </row>
    <row r="659" spans="1:8" ht="15.75" customHeight="1">
      <c r="A659" s="14"/>
      <c r="B659" s="17"/>
      <c r="C659" s="17"/>
      <c r="D659" s="17"/>
      <c r="E659" s="16"/>
      <c r="H659" s="16"/>
    </row>
    <row r="660" spans="1:8" ht="15.75" customHeight="1">
      <c r="A660" s="14"/>
      <c r="B660" s="17"/>
      <c r="C660" s="17"/>
      <c r="D660" s="17"/>
      <c r="E660" s="16"/>
      <c r="H660" s="16"/>
    </row>
    <row r="661" spans="1:8" ht="15.75" customHeight="1">
      <c r="A661" s="14"/>
      <c r="B661" s="17"/>
      <c r="C661" s="17"/>
      <c r="D661" s="17"/>
      <c r="E661" s="16"/>
      <c r="H661" s="16"/>
    </row>
    <row r="662" spans="1:8" ht="15.75" customHeight="1">
      <c r="A662" s="14"/>
      <c r="B662" s="17"/>
      <c r="C662" s="17"/>
      <c r="D662" s="17"/>
      <c r="E662" s="16"/>
      <c r="H662" s="16"/>
    </row>
    <row r="663" spans="1:8" ht="15.75" customHeight="1">
      <c r="A663" s="14"/>
      <c r="B663" s="17"/>
      <c r="C663" s="17"/>
      <c r="D663" s="17"/>
      <c r="E663" s="16"/>
      <c r="H663" s="16"/>
    </row>
    <row r="664" spans="1:8" ht="15.75" customHeight="1">
      <c r="A664" s="14"/>
      <c r="B664" s="17"/>
      <c r="C664" s="17"/>
      <c r="D664" s="17"/>
      <c r="E664" s="16"/>
      <c r="H664" s="16"/>
    </row>
    <row r="665" spans="1:8" ht="15.75" customHeight="1">
      <c r="A665" s="14"/>
      <c r="B665" s="17"/>
      <c r="C665" s="17"/>
      <c r="D665" s="17"/>
      <c r="E665" s="16"/>
      <c r="H665" s="16"/>
    </row>
    <row r="666" spans="1:8" ht="15.75" customHeight="1">
      <c r="A666" s="14"/>
      <c r="B666" s="17"/>
      <c r="C666" s="17"/>
      <c r="D666" s="17"/>
      <c r="E666" s="16"/>
      <c r="H666" s="16"/>
    </row>
    <row r="667" spans="1:8" ht="15.75" customHeight="1">
      <c r="A667" s="14"/>
      <c r="B667" s="17"/>
      <c r="C667" s="17"/>
      <c r="D667" s="17"/>
      <c r="E667" s="16"/>
      <c r="H667" s="16"/>
    </row>
    <row r="668" spans="1:8" ht="15.75" customHeight="1">
      <c r="A668" s="14"/>
      <c r="B668" s="17"/>
      <c r="C668" s="17"/>
      <c r="D668" s="17"/>
      <c r="E668" s="16"/>
      <c r="H668" s="16"/>
    </row>
    <row r="669" spans="1:8" ht="15.75" customHeight="1">
      <c r="A669" s="14"/>
      <c r="B669" s="17"/>
      <c r="C669" s="17"/>
      <c r="D669" s="17"/>
      <c r="E669" s="16"/>
      <c r="H669" s="16"/>
    </row>
    <row r="670" spans="1:8" ht="15.75" customHeight="1">
      <c r="A670" s="14"/>
      <c r="B670" s="17"/>
      <c r="C670" s="17"/>
      <c r="D670" s="17"/>
      <c r="E670" s="16"/>
      <c r="H670" s="16"/>
    </row>
    <row r="671" spans="1:8" ht="15.75" customHeight="1">
      <c r="A671" s="14"/>
      <c r="B671" s="17"/>
      <c r="C671" s="17"/>
      <c r="D671" s="17"/>
      <c r="E671" s="16"/>
      <c r="H671" s="16"/>
    </row>
    <row r="672" spans="1:8" ht="15.75" customHeight="1">
      <c r="A672" s="14"/>
      <c r="B672" s="17"/>
      <c r="C672" s="17"/>
      <c r="D672" s="17"/>
      <c r="E672" s="16"/>
      <c r="H672" s="16"/>
    </row>
    <row r="673" spans="1:8" ht="15.75" customHeight="1">
      <c r="A673" s="14"/>
      <c r="B673" s="17"/>
      <c r="C673" s="17"/>
      <c r="D673" s="17"/>
      <c r="E673" s="16"/>
      <c r="H673" s="16"/>
    </row>
    <row r="674" spans="1:8" ht="15.75" customHeight="1">
      <c r="A674" s="14"/>
      <c r="B674" s="17"/>
      <c r="C674" s="17"/>
      <c r="D674" s="17"/>
      <c r="E674" s="16"/>
      <c r="H674" s="16"/>
    </row>
    <row r="675" spans="1:8" ht="15.75" customHeight="1">
      <c r="A675" s="14"/>
      <c r="B675" s="17"/>
      <c r="C675" s="17"/>
      <c r="D675" s="17"/>
      <c r="E675" s="16"/>
      <c r="H675" s="16"/>
    </row>
    <row r="676" spans="1:8" ht="15.75" customHeight="1">
      <c r="A676" s="14"/>
      <c r="B676" s="17"/>
      <c r="C676" s="17"/>
      <c r="D676" s="17"/>
      <c r="E676" s="16"/>
      <c r="H676" s="16"/>
    </row>
    <row r="677" spans="1:8" ht="15.75" customHeight="1">
      <c r="A677" s="14"/>
      <c r="B677" s="17"/>
      <c r="C677" s="17"/>
      <c r="D677" s="17"/>
      <c r="E677" s="16"/>
      <c r="H677" s="16"/>
    </row>
    <row r="678" spans="1:8" ht="15.75" customHeight="1">
      <c r="A678" s="14"/>
      <c r="B678" s="17"/>
      <c r="C678" s="17"/>
      <c r="D678" s="17"/>
      <c r="E678" s="16"/>
      <c r="H678" s="16"/>
    </row>
    <row r="679" spans="1:8" ht="15.75" customHeight="1">
      <c r="A679" s="14"/>
      <c r="B679" s="17"/>
      <c r="C679" s="17"/>
      <c r="D679" s="17"/>
      <c r="E679" s="16"/>
      <c r="H679" s="16"/>
    </row>
    <row r="680" spans="1:8" ht="15.75" customHeight="1">
      <c r="A680" s="14"/>
      <c r="B680" s="17"/>
      <c r="C680" s="17"/>
      <c r="D680" s="17"/>
      <c r="E680" s="16"/>
      <c r="H680" s="16"/>
    </row>
    <row r="681" spans="1:8" ht="15.75" customHeight="1">
      <c r="A681" s="14"/>
      <c r="B681" s="17"/>
      <c r="C681" s="17"/>
      <c r="D681" s="17"/>
      <c r="E681" s="16"/>
      <c r="H681" s="16"/>
    </row>
    <row r="682" spans="1:8" ht="15.75" customHeight="1">
      <c r="A682" s="14"/>
      <c r="B682" s="17"/>
      <c r="C682" s="17"/>
      <c r="D682" s="17"/>
      <c r="E682" s="16"/>
      <c r="H682" s="16"/>
    </row>
    <row r="683" spans="1:8" ht="15.75" customHeight="1">
      <c r="A683" s="14"/>
      <c r="B683" s="17"/>
      <c r="C683" s="17"/>
      <c r="D683" s="17"/>
      <c r="E683" s="16"/>
      <c r="H683" s="16"/>
    </row>
    <row r="684" spans="1:8" ht="15.75" customHeight="1">
      <c r="A684" s="14"/>
      <c r="B684" s="17"/>
      <c r="C684" s="17"/>
      <c r="D684" s="17"/>
      <c r="E684" s="16"/>
      <c r="H684" s="16"/>
    </row>
    <row r="685" spans="1:8" ht="15.75" customHeight="1">
      <c r="A685" s="14"/>
      <c r="B685" s="17"/>
      <c r="C685" s="17"/>
      <c r="D685" s="17"/>
      <c r="E685" s="16"/>
      <c r="H685" s="16"/>
    </row>
    <row r="686" spans="1:8" ht="15.75" customHeight="1">
      <c r="A686" s="14"/>
      <c r="B686" s="17"/>
      <c r="C686" s="17"/>
      <c r="D686" s="17"/>
      <c r="E686" s="16"/>
      <c r="H686" s="16"/>
    </row>
    <row r="687" spans="1:8" ht="15.75" customHeight="1">
      <c r="A687" s="14"/>
      <c r="B687" s="17"/>
      <c r="C687" s="17"/>
      <c r="D687" s="17"/>
      <c r="E687" s="16"/>
      <c r="H687" s="16"/>
    </row>
    <row r="688" spans="1:8" ht="15.75" customHeight="1">
      <c r="A688" s="14"/>
      <c r="B688" s="17"/>
      <c r="C688" s="17"/>
      <c r="D688" s="17"/>
      <c r="E688" s="16"/>
      <c r="H688" s="16"/>
    </row>
    <row r="689" spans="1:8" ht="15.75" customHeight="1">
      <c r="A689" s="14"/>
      <c r="B689" s="17"/>
      <c r="C689" s="17"/>
      <c r="D689" s="17"/>
      <c r="E689" s="16"/>
      <c r="H689" s="16"/>
    </row>
    <row r="690" spans="1:8" ht="15.75" customHeight="1">
      <c r="A690" s="14"/>
      <c r="B690" s="17"/>
      <c r="C690" s="17"/>
      <c r="D690" s="17"/>
      <c r="E690" s="16"/>
      <c r="H690" s="16"/>
    </row>
    <row r="691" spans="1:8" ht="15.75" customHeight="1">
      <c r="A691" s="14"/>
      <c r="B691" s="17"/>
      <c r="C691" s="17"/>
      <c r="D691" s="17"/>
      <c r="E691" s="16"/>
      <c r="H691" s="16"/>
    </row>
    <row r="692" spans="1:8" ht="15.75" customHeight="1">
      <c r="A692" s="14"/>
      <c r="B692" s="17"/>
      <c r="C692" s="17"/>
      <c r="D692" s="17"/>
      <c r="E692" s="16"/>
      <c r="H692" s="16"/>
    </row>
    <row r="693" spans="1:8" ht="15.75" customHeight="1">
      <c r="A693" s="14"/>
      <c r="B693" s="17"/>
      <c r="C693" s="17"/>
      <c r="D693" s="17"/>
      <c r="E693" s="16"/>
      <c r="H693" s="16"/>
    </row>
    <row r="694" spans="1:8" ht="15.75" customHeight="1">
      <c r="A694" s="14"/>
      <c r="B694" s="17"/>
      <c r="C694" s="17"/>
      <c r="D694" s="17"/>
      <c r="E694" s="16"/>
      <c r="H694" s="16"/>
    </row>
    <row r="695" spans="1:8" ht="15.75" customHeight="1">
      <c r="A695" s="14"/>
      <c r="B695" s="17"/>
      <c r="C695" s="17"/>
      <c r="D695" s="17"/>
      <c r="E695" s="16"/>
      <c r="H695" s="16"/>
    </row>
    <row r="696" spans="1:8" ht="15.75" customHeight="1">
      <c r="A696" s="14"/>
      <c r="B696" s="17"/>
      <c r="C696" s="17"/>
      <c r="D696" s="17"/>
      <c r="E696" s="16"/>
      <c r="H696" s="16"/>
    </row>
    <row r="697" spans="1:8" ht="15.75" customHeight="1">
      <c r="A697" s="14"/>
      <c r="B697" s="17"/>
      <c r="C697" s="17"/>
      <c r="D697" s="17"/>
      <c r="E697" s="16"/>
      <c r="H697" s="16"/>
    </row>
    <row r="698" spans="1:8" ht="15.75" customHeight="1">
      <c r="A698" s="14"/>
      <c r="B698" s="17"/>
      <c r="C698" s="17"/>
      <c r="D698" s="17"/>
      <c r="E698" s="16"/>
      <c r="H698" s="16"/>
    </row>
    <row r="699" spans="1:8" ht="15.75" customHeight="1">
      <c r="A699" s="14"/>
      <c r="B699" s="17"/>
      <c r="C699" s="17"/>
      <c r="D699" s="17"/>
      <c r="E699" s="16"/>
      <c r="H699" s="16"/>
    </row>
    <row r="700" spans="1:8" ht="15.75" customHeight="1">
      <c r="A700" s="14"/>
      <c r="B700" s="17"/>
      <c r="C700" s="17"/>
      <c r="D700" s="17"/>
      <c r="E700" s="16"/>
      <c r="H700" s="16"/>
    </row>
    <row r="701" spans="1:8" ht="15.75" customHeight="1">
      <c r="A701" s="14"/>
      <c r="B701" s="17"/>
      <c r="C701" s="17"/>
      <c r="D701" s="17"/>
      <c r="E701" s="16"/>
      <c r="H701" s="16"/>
    </row>
    <row r="702" spans="1:8" ht="15.75" customHeight="1">
      <c r="A702" s="14"/>
      <c r="B702" s="17"/>
      <c r="C702" s="17"/>
      <c r="D702" s="17"/>
      <c r="E702" s="16"/>
      <c r="H702" s="16"/>
    </row>
    <row r="703" spans="1:8" ht="15.75" customHeight="1">
      <c r="A703" s="14"/>
      <c r="B703" s="17"/>
      <c r="C703" s="17"/>
      <c r="D703" s="17"/>
      <c r="E703" s="16"/>
      <c r="H703" s="16"/>
    </row>
    <row r="704" spans="1:8" ht="15.75" customHeight="1">
      <c r="A704" s="14"/>
      <c r="B704" s="17"/>
      <c r="C704" s="17"/>
      <c r="D704" s="17"/>
      <c r="E704" s="16"/>
      <c r="H704" s="16"/>
    </row>
    <row r="705" spans="1:8" ht="15.75" customHeight="1">
      <c r="A705" s="14"/>
      <c r="B705" s="17"/>
      <c r="C705" s="17"/>
      <c r="D705" s="17"/>
      <c r="E705" s="16"/>
      <c r="H705" s="16"/>
    </row>
    <row r="706" spans="1:8" ht="15.75" customHeight="1">
      <c r="A706" s="14"/>
      <c r="B706" s="17"/>
      <c r="C706" s="17"/>
      <c r="D706" s="17"/>
      <c r="E706" s="16"/>
      <c r="H706" s="16"/>
    </row>
    <row r="707" spans="1:8" ht="15.75" customHeight="1">
      <c r="A707" s="14"/>
      <c r="B707" s="17"/>
      <c r="C707" s="17"/>
      <c r="D707" s="17"/>
      <c r="E707" s="16"/>
      <c r="H707" s="16"/>
    </row>
    <row r="708" spans="1:8" ht="15.75" customHeight="1">
      <c r="A708" s="14"/>
      <c r="B708" s="17"/>
      <c r="C708" s="17"/>
      <c r="D708" s="17"/>
      <c r="E708" s="16"/>
      <c r="H708" s="16"/>
    </row>
    <row r="709" spans="1:8" ht="15.75" customHeight="1">
      <c r="A709" s="14"/>
      <c r="B709" s="17"/>
      <c r="C709" s="17"/>
      <c r="D709" s="17"/>
      <c r="E709" s="16"/>
      <c r="H709" s="16"/>
    </row>
    <row r="710" spans="1:8" ht="15.75" customHeight="1">
      <c r="A710" s="14"/>
      <c r="B710" s="17"/>
      <c r="C710" s="17"/>
      <c r="D710" s="17"/>
      <c r="E710" s="16"/>
      <c r="H710" s="16"/>
    </row>
    <row r="711" spans="1:8" ht="15.75" customHeight="1">
      <c r="A711" s="14"/>
      <c r="B711" s="17"/>
      <c r="C711" s="17"/>
      <c r="D711" s="17"/>
      <c r="E711" s="16"/>
      <c r="H711" s="16"/>
    </row>
    <row r="712" spans="1:8" ht="15.75" customHeight="1">
      <c r="A712" s="14"/>
      <c r="B712" s="17"/>
      <c r="C712" s="17"/>
      <c r="D712" s="17"/>
      <c r="E712" s="16"/>
      <c r="H712" s="16"/>
    </row>
    <row r="713" spans="1:8" ht="15.75" customHeight="1">
      <c r="A713" s="14"/>
      <c r="B713" s="17"/>
      <c r="C713" s="17"/>
      <c r="D713" s="17"/>
      <c r="E713" s="16"/>
      <c r="H713" s="16"/>
    </row>
    <row r="714" spans="1:8" ht="15.75" customHeight="1">
      <c r="A714" s="14"/>
      <c r="B714" s="17"/>
      <c r="C714" s="17"/>
      <c r="D714" s="17"/>
      <c r="E714" s="16"/>
      <c r="H714" s="16"/>
    </row>
    <row r="715" spans="1:8" ht="15.75" customHeight="1">
      <c r="A715" s="14"/>
      <c r="B715" s="17"/>
      <c r="C715" s="17"/>
      <c r="D715" s="17"/>
      <c r="E715" s="16"/>
      <c r="H715" s="16"/>
    </row>
    <row r="716" spans="1:8" ht="15.75" customHeight="1">
      <c r="A716" s="14"/>
      <c r="B716" s="17"/>
      <c r="C716" s="17"/>
      <c r="D716" s="17"/>
      <c r="E716" s="16"/>
      <c r="H716" s="16"/>
    </row>
    <row r="717" spans="1:8" ht="15.75" customHeight="1">
      <c r="A717" s="14"/>
      <c r="B717" s="17"/>
      <c r="C717" s="17"/>
      <c r="D717" s="17"/>
      <c r="E717" s="16"/>
      <c r="H717" s="16"/>
    </row>
    <row r="718" spans="1:8" ht="15.75" customHeight="1">
      <c r="A718" s="14"/>
      <c r="B718" s="17"/>
      <c r="C718" s="17"/>
      <c r="D718" s="17"/>
      <c r="E718" s="16"/>
      <c r="H718" s="16"/>
    </row>
    <row r="719" spans="1:8" ht="15.75" customHeight="1">
      <c r="A719" s="14"/>
      <c r="B719" s="17"/>
      <c r="C719" s="17"/>
      <c r="D719" s="17"/>
      <c r="E719" s="16"/>
      <c r="H719" s="16"/>
    </row>
    <row r="720" spans="1:8" ht="15.75" customHeight="1">
      <c r="A720" s="14"/>
      <c r="B720" s="17"/>
      <c r="C720" s="17"/>
      <c r="D720" s="17"/>
      <c r="E720" s="16"/>
      <c r="H720" s="16"/>
    </row>
    <row r="721" spans="1:8" ht="15.75" customHeight="1">
      <c r="A721" s="14"/>
      <c r="B721" s="17"/>
      <c r="C721" s="17"/>
      <c r="D721" s="17"/>
      <c r="E721" s="16"/>
      <c r="H721" s="16"/>
    </row>
    <row r="722" spans="1:8" ht="15.75" customHeight="1">
      <c r="A722" s="14"/>
      <c r="B722" s="17"/>
      <c r="C722" s="17"/>
      <c r="D722" s="17"/>
      <c r="E722" s="16"/>
      <c r="H722" s="16"/>
    </row>
    <row r="723" spans="1:8" ht="15.75" customHeight="1">
      <c r="A723" s="14"/>
      <c r="B723" s="17"/>
      <c r="C723" s="17"/>
      <c r="D723" s="17"/>
      <c r="E723" s="16"/>
      <c r="H723" s="16"/>
    </row>
    <row r="724" spans="1:8" ht="15.75" customHeight="1">
      <c r="A724" s="14"/>
      <c r="B724" s="17"/>
      <c r="C724" s="17"/>
      <c r="D724" s="17"/>
      <c r="E724" s="16"/>
      <c r="H724" s="16"/>
    </row>
    <row r="725" spans="1:8" ht="15.75" customHeight="1">
      <c r="A725" s="14"/>
      <c r="B725" s="17"/>
      <c r="C725" s="17"/>
      <c r="D725" s="17"/>
      <c r="E725" s="16"/>
      <c r="H725" s="16"/>
    </row>
    <row r="726" spans="1:8" ht="15.75" customHeight="1">
      <c r="A726" s="14"/>
      <c r="B726" s="17"/>
      <c r="C726" s="17"/>
      <c r="D726" s="17"/>
      <c r="E726" s="16"/>
      <c r="H726" s="16"/>
    </row>
    <row r="727" spans="1:8" ht="15.75" customHeight="1">
      <c r="A727" s="14"/>
      <c r="B727" s="17"/>
      <c r="C727" s="17"/>
      <c r="D727" s="17"/>
      <c r="E727" s="16"/>
      <c r="H727" s="16"/>
    </row>
    <row r="728" spans="1:8" ht="15.75" customHeight="1">
      <c r="A728" s="14"/>
      <c r="B728" s="17"/>
      <c r="C728" s="17"/>
      <c r="D728" s="17"/>
      <c r="E728" s="16"/>
      <c r="H728" s="16"/>
    </row>
    <row r="729" spans="1:8" ht="15.75" customHeight="1">
      <c r="A729" s="14"/>
      <c r="B729" s="17"/>
      <c r="C729" s="17"/>
      <c r="D729" s="17"/>
      <c r="E729" s="16"/>
      <c r="H729" s="16"/>
    </row>
    <row r="730" spans="1:8" ht="15.75" customHeight="1">
      <c r="A730" s="14"/>
      <c r="B730" s="17"/>
      <c r="C730" s="17"/>
      <c r="D730" s="17"/>
      <c r="E730" s="16"/>
      <c r="H730" s="16"/>
    </row>
    <row r="731" spans="1:8" ht="15.75" customHeight="1">
      <c r="A731" s="14"/>
      <c r="B731" s="17"/>
      <c r="C731" s="17"/>
      <c r="D731" s="17"/>
      <c r="E731" s="16"/>
      <c r="H731" s="16"/>
    </row>
    <row r="732" spans="1:8" ht="15.75" customHeight="1">
      <c r="A732" s="14"/>
      <c r="B732" s="17"/>
      <c r="C732" s="17"/>
      <c r="D732" s="17"/>
      <c r="E732" s="16"/>
      <c r="H732" s="16"/>
    </row>
    <row r="733" spans="1:8" ht="15.75" customHeight="1">
      <c r="A733" s="14"/>
      <c r="B733" s="17"/>
      <c r="C733" s="17"/>
      <c r="D733" s="17"/>
      <c r="E733" s="16"/>
      <c r="H733" s="16"/>
    </row>
    <row r="734" spans="1:8" ht="15.75" customHeight="1">
      <c r="A734" s="14"/>
      <c r="B734" s="17"/>
      <c r="C734" s="17"/>
      <c r="D734" s="17"/>
      <c r="E734" s="16"/>
      <c r="H734" s="16"/>
    </row>
    <row r="735" spans="1:8" ht="15.75" customHeight="1">
      <c r="A735" s="14"/>
      <c r="B735" s="17"/>
      <c r="C735" s="17"/>
      <c r="D735" s="17"/>
      <c r="E735" s="16"/>
      <c r="H735" s="16"/>
    </row>
    <row r="736" spans="1:8" ht="15.75" customHeight="1">
      <c r="A736" s="14"/>
      <c r="B736" s="17"/>
      <c r="C736" s="17"/>
      <c r="D736" s="17"/>
      <c r="E736" s="16"/>
      <c r="H736" s="16"/>
    </row>
    <row r="737" spans="1:8" ht="15.75" customHeight="1">
      <c r="A737" s="14"/>
      <c r="B737" s="17"/>
      <c r="C737" s="17"/>
      <c r="D737" s="17"/>
      <c r="E737" s="16"/>
      <c r="H737" s="16"/>
    </row>
    <row r="738" spans="1:8" ht="15.75" customHeight="1">
      <c r="A738" s="14"/>
      <c r="B738" s="17"/>
      <c r="C738" s="17"/>
      <c r="D738" s="17"/>
      <c r="E738" s="16"/>
      <c r="H738" s="16"/>
    </row>
    <row r="739" spans="1:8" ht="15.75" customHeight="1">
      <c r="A739" s="14"/>
      <c r="B739" s="17"/>
      <c r="C739" s="17"/>
      <c r="D739" s="17"/>
      <c r="E739" s="16"/>
      <c r="H739" s="16"/>
    </row>
    <row r="740" spans="1:8" ht="15.75" customHeight="1">
      <c r="A740" s="14"/>
      <c r="B740" s="17"/>
      <c r="C740" s="17"/>
      <c r="D740" s="17"/>
      <c r="E740" s="16"/>
      <c r="H740" s="16"/>
    </row>
    <row r="741" spans="1:8" ht="15.75" customHeight="1">
      <c r="A741" s="14"/>
      <c r="B741" s="17"/>
      <c r="C741" s="17"/>
      <c r="D741" s="17"/>
      <c r="E741" s="16"/>
      <c r="H741" s="16"/>
    </row>
    <row r="742" spans="1:8" ht="15.75" customHeight="1">
      <c r="A742" s="14"/>
      <c r="B742" s="17"/>
      <c r="C742" s="17"/>
      <c r="D742" s="17"/>
      <c r="E742" s="16"/>
      <c r="H742" s="16"/>
    </row>
    <row r="743" spans="1:8" ht="15.75" customHeight="1">
      <c r="A743" s="14"/>
      <c r="B743" s="17"/>
      <c r="C743" s="17"/>
      <c r="D743" s="17"/>
      <c r="E743" s="16"/>
      <c r="H743" s="16"/>
    </row>
    <row r="744" spans="1:8" ht="15.75" customHeight="1">
      <c r="A744" s="14"/>
      <c r="B744" s="17"/>
      <c r="C744" s="17"/>
      <c r="D744" s="17"/>
      <c r="E744" s="16"/>
      <c r="H744" s="16"/>
    </row>
    <row r="745" spans="1:8" ht="15.75" customHeight="1">
      <c r="A745" s="14"/>
      <c r="B745" s="17"/>
      <c r="C745" s="17"/>
      <c r="D745" s="17"/>
      <c r="E745" s="16"/>
      <c r="H745" s="16"/>
    </row>
    <row r="746" spans="1:8" ht="15.75" customHeight="1">
      <c r="A746" s="14"/>
      <c r="B746" s="17"/>
      <c r="C746" s="17"/>
      <c r="D746" s="17"/>
      <c r="E746" s="16"/>
      <c r="H746" s="16"/>
    </row>
    <row r="747" spans="1:8" ht="15.75" customHeight="1">
      <c r="A747" s="14"/>
      <c r="B747" s="17"/>
      <c r="C747" s="17"/>
      <c r="D747" s="17"/>
      <c r="E747" s="16"/>
      <c r="H747" s="16"/>
    </row>
    <row r="748" spans="1:8" ht="15.75" customHeight="1">
      <c r="A748" s="14"/>
      <c r="B748" s="17"/>
      <c r="C748" s="17"/>
      <c r="D748" s="17"/>
      <c r="E748" s="16"/>
      <c r="H748" s="16"/>
    </row>
    <row r="749" spans="1:8" ht="15.75" customHeight="1">
      <c r="A749" s="14"/>
      <c r="B749" s="17"/>
      <c r="C749" s="17"/>
      <c r="D749" s="17"/>
      <c r="E749" s="16"/>
      <c r="H749" s="16"/>
    </row>
    <row r="750" spans="1:8" ht="15.75" customHeight="1">
      <c r="A750" s="14"/>
      <c r="B750" s="17"/>
      <c r="C750" s="17"/>
      <c r="D750" s="17"/>
      <c r="E750" s="16"/>
      <c r="H750" s="16"/>
    </row>
    <row r="751" spans="1:8" ht="15.75" customHeight="1">
      <c r="A751" s="14"/>
      <c r="B751" s="17"/>
      <c r="C751" s="17"/>
      <c r="D751" s="17"/>
      <c r="E751" s="16"/>
      <c r="H751" s="16"/>
    </row>
    <row r="752" spans="1:8" ht="15.75" customHeight="1">
      <c r="A752" s="14"/>
      <c r="B752" s="17"/>
      <c r="C752" s="17"/>
      <c r="D752" s="17"/>
      <c r="E752" s="16"/>
      <c r="H752" s="16"/>
    </row>
    <row r="753" spans="1:8" ht="15.75" customHeight="1">
      <c r="A753" s="14"/>
      <c r="B753" s="17"/>
      <c r="C753" s="17"/>
      <c r="D753" s="17"/>
      <c r="E753" s="16"/>
      <c r="H753" s="16"/>
    </row>
    <row r="754" spans="1:8" ht="15.75" customHeight="1">
      <c r="A754" s="14"/>
      <c r="B754" s="17"/>
      <c r="C754" s="17"/>
      <c r="D754" s="17"/>
      <c r="E754" s="16"/>
      <c r="H754" s="16"/>
    </row>
    <row r="755" spans="1:8" ht="15.75" customHeight="1">
      <c r="A755" s="14"/>
      <c r="B755" s="17"/>
      <c r="C755" s="17"/>
      <c r="D755" s="17"/>
      <c r="E755" s="16"/>
      <c r="H755" s="16"/>
    </row>
    <row r="756" spans="1:8" ht="15.75" customHeight="1">
      <c r="A756" s="14"/>
      <c r="B756" s="17"/>
      <c r="C756" s="17"/>
      <c r="D756" s="17"/>
      <c r="E756" s="16"/>
      <c r="H756" s="16"/>
    </row>
    <row r="757" spans="1:8" ht="15.75" customHeight="1">
      <c r="A757" s="14"/>
      <c r="B757" s="17"/>
      <c r="C757" s="17"/>
      <c r="D757" s="17"/>
      <c r="E757" s="16"/>
      <c r="H757" s="16"/>
    </row>
    <row r="758" spans="1:8" ht="15.75" customHeight="1">
      <c r="A758" s="14"/>
      <c r="B758" s="17"/>
      <c r="C758" s="17"/>
      <c r="D758" s="17"/>
      <c r="E758" s="16"/>
      <c r="H758" s="16"/>
    </row>
    <row r="759" spans="1:8" ht="15.75" customHeight="1">
      <c r="A759" s="14"/>
      <c r="B759" s="17"/>
      <c r="C759" s="17"/>
      <c r="D759" s="17"/>
      <c r="E759" s="16"/>
      <c r="H759" s="16"/>
    </row>
    <row r="760" spans="1:8" ht="15.75" customHeight="1">
      <c r="A760" s="14"/>
      <c r="B760" s="17"/>
      <c r="C760" s="17"/>
      <c r="D760" s="17"/>
      <c r="E760" s="16"/>
      <c r="H760" s="16"/>
    </row>
    <row r="761" spans="1:8" ht="15.75" customHeight="1">
      <c r="A761" s="14"/>
      <c r="B761" s="17"/>
      <c r="C761" s="17"/>
      <c r="D761" s="17"/>
      <c r="E761" s="16"/>
      <c r="H761" s="16"/>
    </row>
    <row r="762" spans="1:8" ht="15.75" customHeight="1">
      <c r="A762" s="14"/>
      <c r="B762" s="17"/>
      <c r="C762" s="17"/>
      <c r="D762" s="17"/>
      <c r="E762" s="16"/>
      <c r="H762" s="16"/>
    </row>
    <row r="763" spans="1:8" ht="15.75" customHeight="1">
      <c r="A763" s="14"/>
      <c r="B763" s="17"/>
      <c r="C763" s="17"/>
      <c r="D763" s="17"/>
      <c r="E763" s="16"/>
      <c r="H763" s="16"/>
    </row>
    <row r="764" spans="1:8" ht="15.75" customHeight="1">
      <c r="A764" s="14"/>
      <c r="B764" s="17"/>
      <c r="C764" s="17"/>
      <c r="D764" s="17"/>
      <c r="E764" s="16"/>
      <c r="H764" s="16"/>
    </row>
    <row r="765" spans="1:8" ht="15.75" customHeight="1">
      <c r="A765" s="14"/>
      <c r="B765" s="17"/>
      <c r="C765" s="17"/>
      <c r="D765" s="17"/>
      <c r="E765" s="16"/>
      <c r="H765" s="16"/>
    </row>
    <row r="766" spans="1:8" ht="15.75" customHeight="1">
      <c r="A766" s="14"/>
      <c r="B766" s="17"/>
      <c r="C766" s="17"/>
      <c r="D766" s="17"/>
      <c r="E766" s="16"/>
      <c r="H766" s="16"/>
    </row>
    <row r="767" spans="1:8" ht="15.75" customHeight="1">
      <c r="A767" s="14"/>
      <c r="B767" s="17"/>
      <c r="C767" s="17"/>
      <c r="D767" s="17"/>
      <c r="E767" s="16"/>
      <c r="H767" s="16"/>
    </row>
    <row r="768" spans="1:8" ht="15.75" customHeight="1">
      <c r="A768" s="14"/>
      <c r="B768" s="17"/>
      <c r="C768" s="17"/>
      <c r="D768" s="17"/>
      <c r="E768" s="16"/>
      <c r="H768" s="16"/>
    </row>
    <row r="769" spans="1:8" ht="15.75" customHeight="1">
      <c r="A769" s="14"/>
      <c r="B769" s="17"/>
      <c r="C769" s="17"/>
      <c r="D769" s="17"/>
      <c r="E769" s="16"/>
      <c r="H769" s="16"/>
    </row>
    <row r="770" spans="1:8" ht="15.75" customHeight="1">
      <c r="A770" s="14"/>
      <c r="B770" s="17"/>
      <c r="C770" s="17"/>
      <c r="D770" s="17"/>
      <c r="E770" s="16"/>
      <c r="H770" s="16"/>
    </row>
    <row r="771" spans="1:8" ht="15.75" customHeight="1">
      <c r="A771" s="14"/>
      <c r="B771" s="17"/>
      <c r="C771" s="17"/>
      <c r="D771" s="17"/>
      <c r="E771" s="16"/>
      <c r="H771" s="16"/>
    </row>
    <row r="772" spans="1:8" ht="15.75" customHeight="1">
      <c r="A772" s="14"/>
      <c r="B772" s="17"/>
      <c r="C772" s="17"/>
      <c r="D772" s="17"/>
      <c r="E772" s="16"/>
      <c r="H772" s="16"/>
    </row>
    <row r="773" spans="1:8" ht="15.75" customHeight="1">
      <c r="A773" s="14"/>
      <c r="B773" s="17"/>
      <c r="C773" s="17"/>
      <c r="D773" s="17"/>
      <c r="E773" s="16"/>
      <c r="H773" s="16"/>
    </row>
    <row r="774" spans="1:8" ht="15.75" customHeight="1">
      <c r="A774" s="14"/>
      <c r="B774" s="17"/>
      <c r="C774" s="17"/>
      <c r="D774" s="17"/>
      <c r="E774" s="16"/>
      <c r="H774" s="16"/>
    </row>
    <row r="775" spans="1:8" ht="15.75" customHeight="1">
      <c r="A775" s="14"/>
      <c r="B775" s="17"/>
      <c r="C775" s="17"/>
      <c r="D775" s="17"/>
      <c r="E775" s="16"/>
      <c r="H775" s="16"/>
    </row>
    <row r="776" spans="1:8" ht="15.75" customHeight="1">
      <c r="A776" s="14"/>
      <c r="B776" s="17"/>
      <c r="C776" s="17"/>
      <c r="D776" s="17"/>
      <c r="E776" s="16"/>
      <c r="H776" s="16"/>
    </row>
    <row r="777" spans="1:8" ht="15.75" customHeight="1">
      <c r="A777" s="14"/>
      <c r="B777" s="17"/>
      <c r="C777" s="17"/>
      <c r="D777" s="17"/>
      <c r="E777" s="16"/>
      <c r="H777" s="16"/>
    </row>
    <row r="778" spans="1:8" ht="15.75" customHeight="1">
      <c r="A778" s="14"/>
      <c r="B778" s="17"/>
      <c r="C778" s="17"/>
      <c r="D778" s="17"/>
      <c r="E778" s="16"/>
      <c r="H778" s="16"/>
    </row>
    <row r="779" spans="1:8" ht="15.75" customHeight="1">
      <c r="A779" s="14"/>
      <c r="B779" s="17"/>
      <c r="C779" s="17"/>
      <c r="D779" s="17"/>
      <c r="E779" s="16"/>
      <c r="H779" s="16"/>
    </row>
    <row r="780" spans="1:8" ht="15.75" customHeight="1">
      <c r="A780" s="14"/>
      <c r="B780" s="17"/>
      <c r="C780" s="17"/>
      <c r="D780" s="17"/>
      <c r="E780" s="16"/>
      <c r="H780" s="16"/>
    </row>
    <row r="781" spans="1:8" ht="15.75" customHeight="1">
      <c r="A781" s="14"/>
      <c r="B781" s="17"/>
      <c r="C781" s="17"/>
      <c r="D781" s="17"/>
      <c r="E781" s="16"/>
      <c r="H781" s="16"/>
    </row>
    <row r="782" spans="1:8" ht="15.75" customHeight="1">
      <c r="A782" s="14"/>
      <c r="B782" s="17"/>
      <c r="C782" s="17"/>
      <c r="D782" s="17"/>
      <c r="E782" s="16"/>
      <c r="H782" s="16"/>
    </row>
    <row r="783" spans="1:8" ht="15.75" customHeight="1">
      <c r="A783" s="14"/>
      <c r="B783" s="17"/>
      <c r="C783" s="17"/>
      <c r="D783" s="17"/>
      <c r="E783" s="16"/>
      <c r="H783" s="16"/>
    </row>
    <row r="784" spans="1:8" ht="15.75" customHeight="1">
      <c r="A784" s="14"/>
      <c r="B784" s="17"/>
      <c r="C784" s="17"/>
      <c r="D784" s="17"/>
      <c r="E784" s="16"/>
      <c r="H784" s="16"/>
    </row>
    <row r="785" spans="1:8" ht="15.75" customHeight="1">
      <c r="A785" s="14"/>
      <c r="B785" s="17"/>
      <c r="C785" s="17"/>
      <c r="D785" s="17"/>
      <c r="E785" s="16"/>
      <c r="H785" s="16"/>
    </row>
    <row r="786" spans="1:8" ht="15.75" customHeight="1">
      <c r="A786" s="14"/>
      <c r="B786" s="17"/>
      <c r="C786" s="17"/>
      <c r="D786" s="17"/>
      <c r="E786" s="16"/>
      <c r="H786" s="16"/>
    </row>
    <row r="787" spans="1:8" ht="15.75" customHeight="1">
      <c r="A787" s="14"/>
      <c r="B787" s="17"/>
      <c r="C787" s="17"/>
      <c r="D787" s="17"/>
      <c r="E787" s="16"/>
      <c r="H787" s="16"/>
    </row>
    <row r="788" spans="1:8" ht="15.75" customHeight="1">
      <c r="A788" s="14"/>
      <c r="B788" s="17"/>
      <c r="C788" s="17"/>
      <c r="D788" s="17"/>
      <c r="E788" s="16"/>
      <c r="H788" s="16"/>
    </row>
    <row r="789" spans="1:8" ht="15.75" customHeight="1">
      <c r="A789" s="14"/>
      <c r="B789" s="17"/>
      <c r="C789" s="17"/>
      <c r="D789" s="17"/>
      <c r="E789" s="16"/>
      <c r="H789" s="16"/>
    </row>
    <row r="790" spans="1:8" ht="15.75" customHeight="1">
      <c r="A790" s="14"/>
      <c r="B790" s="17"/>
      <c r="C790" s="17"/>
      <c r="D790" s="17"/>
      <c r="E790" s="16"/>
      <c r="H790" s="16"/>
    </row>
    <row r="791" spans="1:8" ht="15.75" customHeight="1">
      <c r="A791" s="14"/>
      <c r="B791" s="17"/>
      <c r="C791" s="17"/>
      <c r="D791" s="17"/>
      <c r="E791" s="16"/>
      <c r="H791" s="16"/>
    </row>
    <row r="792" spans="1:8" ht="15.75" customHeight="1">
      <c r="A792" s="14"/>
      <c r="B792" s="17"/>
      <c r="C792" s="17"/>
      <c r="D792" s="17"/>
      <c r="E792" s="16"/>
      <c r="H792" s="16"/>
    </row>
    <row r="793" spans="1:8" ht="15.75" customHeight="1">
      <c r="A793" s="14"/>
      <c r="B793" s="17"/>
      <c r="C793" s="17"/>
      <c r="D793" s="17"/>
      <c r="E793" s="16"/>
      <c r="H793" s="16"/>
    </row>
    <row r="794" spans="1:8" ht="15.75" customHeight="1">
      <c r="A794" s="14"/>
      <c r="B794" s="17"/>
      <c r="C794" s="17"/>
      <c r="D794" s="17"/>
      <c r="E794" s="16"/>
      <c r="H794" s="16"/>
    </row>
    <row r="795" spans="1:8" ht="15.75" customHeight="1">
      <c r="A795" s="14"/>
      <c r="B795" s="17"/>
      <c r="C795" s="17"/>
      <c r="D795" s="17"/>
      <c r="E795" s="16"/>
      <c r="H795" s="16"/>
    </row>
    <row r="796" spans="1:8" ht="15.75" customHeight="1">
      <c r="A796" s="14"/>
      <c r="B796" s="17"/>
      <c r="C796" s="17"/>
      <c r="D796" s="17"/>
      <c r="E796" s="16"/>
      <c r="H796" s="16"/>
    </row>
    <row r="797" spans="1:8" ht="15.75" customHeight="1">
      <c r="A797" s="14"/>
      <c r="B797" s="17"/>
      <c r="C797" s="17"/>
      <c r="D797" s="17"/>
      <c r="E797" s="16"/>
      <c r="H797" s="16"/>
    </row>
    <row r="798" spans="1:8" ht="15.75" customHeight="1">
      <c r="A798" s="14"/>
      <c r="B798" s="17"/>
      <c r="C798" s="17"/>
      <c r="D798" s="17"/>
      <c r="E798" s="16"/>
      <c r="H798" s="16"/>
    </row>
    <row r="799" spans="1:8" ht="15.75" customHeight="1">
      <c r="A799" s="14"/>
      <c r="B799" s="17"/>
      <c r="C799" s="17"/>
      <c r="D799" s="17"/>
      <c r="E799" s="16"/>
      <c r="H799" s="16"/>
    </row>
    <row r="800" spans="1:8" ht="15.75" customHeight="1">
      <c r="A800" s="14"/>
      <c r="B800" s="17"/>
      <c r="C800" s="17"/>
      <c r="D800" s="17"/>
      <c r="E800" s="16"/>
      <c r="H800" s="16"/>
    </row>
    <row r="801" spans="1:8" ht="15.75" customHeight="1">
      <c r="A801" s="14"/>
      <c r="B801" s="17"/>
      <c r="C801" s="17"/>
      <c r="D801" s="17"/>
      <c r="E801" s="16"/>
      <c r="H801" s="16"/>
    </row>
    <row r="802" spans="1:8" ht="15.75" customHeight="1">
      <c r="A802" s="14"/>
      <c r="B802" s="17"/>
      <c r="C802" s="17"/>
      <c r="D802" s="17"/>
      <c r="E802" s="16"/>
      <c r="H802" s="16"/>
    </row>
    <row r="803" spans="1:8" ht="15.75" customHeight="1">
      <c r="A803" s="14"/>
      <c r="B803" s="17"/>
      <c r="C803" s="17"/>
      <c r="D803" s="17"/>
      <c r="E803" s="16"/>
      <c r="H803" s="16"/>
    </row>
    <row r="804" spans="1:8" ht="15.75" customHeight="1">
      <c r="A804" s="14"/>
      <c r="B804" s="17"/>
      <c r="C804" s="17"/>
      <c r="D804" s="17"/>
      <c r="E804" s="16"/>
      <c r="H804" s="16"/>
    </row>
    <row r="805" spans="1:8" ht="15.75" customHeight="1">
      <c r="A805" s="14"/>
      <c r="B805" s="17"/>
      <c r="C805" s="17"/>
      <c r="D805" s="17"/>
      <c r="E805" s="16"/>
      <c r="H805" s="16"/>
    </row>
    <row r="806" spans="1:8" ht="15.75" customHeight="1">
      <c r="A806" s="14"/>
      <c r="B806" s="17"/>
      <c r="C806" s="17"/>
      <c r="D806" s="17"/>
      <c r="E806" s="16"/>
      <c r="H806" s="16"/>
    </row>
    <row r="807" spans="1:8" ht="15.75" customHeight="1">
      <c r="A807" s="14"/>
      <c r="B807" s="17"/>
      <c r="C807" s="17"/>
      <c r="D807" s="17"/>
      <c r="E807" s="16"/>
      <c r="H807" s="16"/>
    </row>
    <row r="808" spans="1:8" ht="15.75" customHeight="1">
      <c r="A808" s="14"/>
      <c r="B808" s="17"/>
      <c r="C808" s="17"/>
      <c r="D808" s="17"/>
      <c r="E808" s="16"/>
      <c r="H808" s="16"/>
    </row>
    <row r="809" spans="1:8" ht="15.75" customHeight="1">
      <c r="A809" s="14"/>
      <c r="B809" s="17"/>
      <c r="C809" s="17"/>
      <c r="D809" s="17"/>
      <c r="E809" s="16"/>
      <c r="H809" s="16"/>
    </row>
    <row r="810" spans="1:8" ht="15.75" customHeight="1">
      <c r="A810" s="14"/>
      <c r="B810" s="17"/>
      <c r="C810" s="17"/>
      <c r="D810" s="17"/>
      <c r="E810" s="16"/>
      <c r="H810" s="16"/>
    </row>
    <row r="811" spans="1:8" ht="15.75" customHeight="1">
      <c r="A811" s="14"/>
      <c r="B811" s="17"/>
      <c r="C811" s="17"/>
      <c r="D811" s="17"/>
      <c r="E811" s="16"/>
      <c r="H811" s="16"/>
    </row>
    <row r="812" spans="1:8" ht="15.75" customHeight="1">
      <c r="A812" s="14"/>
      <c r="B812" s="17"/>
      <c r="C812" s="17"/>
      <c r="D812" s="17"/>
      <c r="E812" s="16"/>
      <c r="H812" s="16"/>
    </row>
    <row r="813" spans="1:8" ht="15.75" customHeight="1">
      <c r="A813" s="14"/>
      <c r="B813" s="17"/>
      <c r="C813" s="17"/>
      <c r="D813" s="17"/>
      <c r="E813" s="16"/>
      <c r="H813" s="16"/>
    </row>
    <row r="814" spans="1:8" ht="15.75" customHeight="1">
      <c r="A814" s="14"/>
      <c r="B814" s="17"/>
      <c r="C814" s="17"/>
      <c r="D814" s="17"/>
      <c r="E814" s="16"/>
      <c r="H814" s="16"/>
    </row>
    <row r="815" spans="1:8" ht="15.75" customHeight="1">
      <c r="A815" s="14"/>
      <c r="B815" s="17"/>
      <c r="C815" s="17"/>
      <c r="D815" s="17"/>
      <c r="E815" s="16"/>
      <c r="H815" s="16"/>
    </row>
    <row r="816" spans="1:8" ht="15.75" customHeight="1">
      <c r="A816" s="14"/>
      <c r="B816" s="17"/>
      <c r="C816" s="17"/>
      <c r="D816" s="17"/>
      <c r="E816" s="16"/>
      <c r="H816" s="16"/>
    </row>
    <row r="817" spans="1:8" ht="15.75" customHeight="1">
      <c r="A817" s="14"/>
      <c r="B817" s="17"/>
      <c r="C817" s="17"/>
      <c r="D817" s="17"/>
      <c r="E817" s="16"/>
      <c r="H817" s="16"/>
    </row>
    <row r="818" spans="1:8" ht="15.75" customHeight="1">
      <c r="A818" s="14"/>
      <c r="B818" s="17"/>
      <c r="C818" s="17"/>
      <c r="D818" s="17"/>
      <c r="E818" s="16"/>
      <c r="H818" s="16"/>
    </row>
    <row r="819" spans="1:8" ht="15.75" customHeight="1">
      <c r="A819" s="14"/>
      <c r="B819" s="17"/>
      <c r="C819" s="17"/>
      <c r="D819" s="17"/>
      <c r="E819" s="16"/>
      <c r="H819" s="16"/>
    </row>
    <row r="820" spans="1:8" ht="15.75" customHeight="1">
      <c r="A820" s="14"/>
      <c r="B820" s="17"/>
      <c r="C820" s="17"/>
      <c r="D820" s="17"/>
      <c r="E820" s="16"/>
      <c r="H820" s="16"/>
    </row>
    <row r="821" spans="1:8" ht="15.75" customHeight="1">
      <c r="A821" s="14"/>
      <c r="B821" s="17"/>
      <c r="C821" s="17"/>
      <c r="D821" s="17"/>
      <c r="E821" s="16"/>
      <c r="H821" s="16"/>
    </row>
    <row r="822" spans="1:8" ht="15.75" customHeight="1">
      <c r="A822" s="14"/>
      <c r="B822" s="17"/>
      <c r="C822" s="17"/>
      <c r="D822" s="17"/>
      <c r="E822" s="16"/>
      <c r="H822" s="16"/>
    </row>
    <row r="823" spans="1:8" ht="15.75" customHeight="1">
      <c r="A823" s="14"/>
      <c r="B823" s="17"/>
      <c r="C823" s="17"/>
      <c r="D823" s="17"/>
      <c r="E823" s="16"/>
      <c r="H823" s="16"/>
    </row>
    <row r="824" spans="1:8" ht="15.75" customHeight="1">
      <c r="A824" s="14"/>
      <c r="B824" s="17"/>
      <c r="C824" s="17"/>
      <c r="D824" s="17"/>
      <c r="E824" s="16"/>
      <c r="H824" s="16"/>
    </row>
    <row r="825" spans="1:8" ht="15.75" customHeight="1">
      <c r="A825" s="14"/>
      <c r="B825" s="17"/>
      <c r="C825" s="17"/>
      <c r="D825" s="17"/>
      <c r="E825" s="16"/>
      <c r="H825" s="16"/>
    </row>
    <row r="826" spans="1:8" ht="15.75" customHeight="1">
      <c r="A826" s="14"/>
      <c r="B826" s="17"/>
      <c r="C826" s="17"/>
      <c r="D826" s="17"/>
      <c r="E826" s="16"/>
      <c r="H826" s="16"/>
    </row>
    <row r="827" spans="1:8" ht="15.75" customHeight="1">
      <c r="A827" s="14"/>
      <c r="B827" s="17"/>
      <c r="C827" s="17"/>
      <c r="D827" s="17"/>
      <c r="E827" s="16"/>
      <c r="H827" s="16"/>
    </row>
    <row r="828" spans="1:8" ht="15.75" customHeight="1">
      <c r="A828" s="14"/>
      <c r="B828" s="17"/>
      <c r="C828" s="17"/>
      <c r="D828" s="17"/>
      <c r="E828" s="16"/>
      <c r="H828" s="16"/>
    </row>
    <row r="829" spans="1:8" ht="15.75" customHeight="1">
      <c r="A829" s="14"/>
      <c r="B829" s="17"/>
      <c r="C829" s="17"/>
      <c r="D829" s="17"/>
      <c r="E829" s="16"/>
      <c r="H829" s="16"/>
    </row>
    <row r="830" spans="1:8" ht="15.75" customHeight="1">
      <c r="A830" s="14"/>
      <c r="B830" s="17"/>
      <c r="C830" s="17"/>
      <c r="D830" s="17"/>
      <c r="E830" s="16"/>
      <c r="H830" s="16"/>
    </row>
    <row r="831" spans="1:8" ht="15.75" customHeight="1">
      <c r="A831" s="14"/>
      <c r="B831" s="17"/>
      <c r="C831" s="17"/>
      <c r="D831" s="17"/>
      <c r="E831" s="16"/>
      <c r="H831" s="16"/>
    </row>
    <row r="832" spans="1:8" ht="15.75" customHeight="1">
      <c r="A832" s="14"/>
      <c r="B832" s="17"/>
      <c r="C832" s="17"/>
      <c r="D832" s="17"/>
      <c r="E832" s="16"/>
      <c r="H832" s="16"/>
    </row>
    <row r="833" spans="1:8" ht="15.75" customHeight="1">
      <c r="A833" s="14"/>
      <c r="B833" s="17"/>
      <c r="C833" s="17"/>
      <c r="D833" s="17"/>
      <c r="E833" s="16"/>
      <c r="H833" s="16"/>
    </row>
    <row r="834" spans="1:8" ht="15.75" customHeight="1">
      <c r="A834" s="14"/>
      <c r="B834" s="17"/>
      <c r="C834" s="17"/>
      <c r="D834" s="17"/>
      <c r="E834" s="16"/>
      <c r="H834" s="16"/>
    </row>
    <row r="835" spans="1:8" ht="15.75" customHeight="1">
      <c r="A835" s="14"/>
      <c r="B835" s="17"/>
      <c r="C835" s="17"/>
      <c r="D835" s="17"/>
      <c r="E835" s="16"/>
      <c r="H835" s="16"/>
    </row>
    <row r="836" spans="1:8" ht="15.75" customHeight="1">
      <c r="A836" s="14"/>
      <c r="B836" s="17"/>
      <c r="C836" s="17"/>
      <c r="D836" s="17"/>
      <c r="E836" s="16"/>
      <c r="H836" s="16"/>
    </row>
    <row r="837" spans="1:8" ht="15.75" customHeight="1">
      <c r="A837" s="14"/>
      <c r="B837" s="17"/>
      <c r="C837" s="17"/>
      <c r="D837" s="17"/>
      <c r="E837" s="16"/>
      <c r="H837" s="16"/>
    </row>
    <row r="838" spans="1:8" ht="15.75" customHeight="1">
      <c r="A838" s="14"/>
      <c r="B838" s="17"/>
      <c r="C838" s="17"/>
      <c r="D838" s="17"/>
      <c r="E838" s="16"/>
      <c r="H838" s="16"/>
    </row>
    <row r="839" spans="1:8" ht="15.75" customHeight="1">
      <c r="A839" s="14"/>
      <c r="B839" s="17"/>
      <c r="C839" s="17"/>
      <c r="D839" s="17"/>
      <c r="E839" s="16"/>
      <c r="H839" s="16"/>
    </row>
    <row r="840" spans="1:8" ht="15.75" customHeight="1">
      <c r="A840" s="14"/>
      <c r="B840" s="17"/>
      <c r="C840" s="17"/>
      <c r="D840" s="17"/>
      <c r="E840" s="16"/>
      <c r="H840" s="16"/>
    </row>
    <row r="841" spans="1:8" ht="15.75" customHeight="1">
      <c r="A841" s="14"/>
      <c r="B841" s="17"/>
      <c r="C841" s="17"/>
      <c r="D841" s="17"/>
      <c r="E841" s="16"/>
      <c r="H841" s="16"/>
    </row>
    <row r="842" spans="1:8" ht="15.75" customHeight="1">
      <c r="A842" s="14"/>
      <c r="B842" s="17"/>
      <c r="C842" s="17"/>
      <c r="D842" s="17"/>
      <c r="E842" s="16"/>
      <c r="H842" s="16"/>
    </row>
    <row r="843" spans="1:8" ht="15.75" customHeight="1">
      <c r="A843" s="14"/>
      <c r="B843" s="17"/>
      <c r="C843" s="17"/>
      <c r="D843" s="17"/>
      <c r="E843" s="16"/>
      <c r="H843" s="16"/>
    </row>
    <row r="844" spans="1:8" ht="15.75" customHeight="1">
      <c r="A844" s="14"/>
      <c r="B844" s="17"/>
      <c r="C844" s="17"/>
      <c r="D844" s="17"/>
      <c r="E844" s="16"/>
      <c r="H844" s="16"/>
    </row>
    <row r="845" spans="1:8" ht="15.75" customHeight="1">
      <c r="A845" s="14"/>
      <c r="B845" s="17"/>
      <c r="C845" s="17"/>
      <c r="D845" s="17"/>
      <c r="E845" s="16"/>
      <c r="H845" s="16"/>
    </row>
    <row r="846" spans="1:8" ht="15.75" customHeight="1">
      <c r="A846" s="14"/>
      <c r="B846" s="17"/>
      <c r="C846" s="17"/>
      <c r="D846" s="17"/>
      <c r="E846" s="16"/>
      <c r="H846" s="16"/>
    </row>
    <row r="847" spans="1:8" ht="15.75" customHeight="1">
      <c r="A847" s="14"/>
      <c r="B847" s="17"/>
      <c r="C847" s="17"/>
      <c r="D847" s="17"/>
      <c r="E847" s="16"/>
      <c r="H847" s="16"/>
    </row>
    <row r="848" spans="1:8" ht="15.75" customHeight="1">
      <c r="A848" s="14"/>
      <c r="B848" s="17"/>
      <c r="C848" s="17"/>
      <c r="D848" s="17"/>
      <c r="E848" s="16"/>
      <c r="H848" s="16"/>
    </row>
    <row r="849" spans="1:8" ht="15.75" customHeight="1">
      <c r="A849" s="14"/>
      <c r="B849" s="17"/>
      <c r="C849" s="17"/>
      <c r="D849" s="17"/>
      <c r="E849" s="16"/>
      <c r="H849" s="16"/>
    </row>
    <row r="850" spans="1:8" ht="15.75" customHeight="1">
      <c r="A850" s="14"/>
      <c r="B850" s="17"/>
      <c r="C850" s="17"/>
      <c r="D850" s="17"/>
      <c r="E850" s="16"/>
      <c r="H850" s="16"/>
    </row>
    <row r="851" spans="1:8" ht="15.75" customHeight="1">
      <c r="A851" s="14"/>
      <c r="B851" s="17"/>
      <c r="C851" s="17"/>
      <c r="D851" s="17"/>
      <c r="E851" s="16"/>
      <c r="H851" s="16"/>
    </row>
    <row r="852" spans="1:8" ht="15.75" customHeight="1">
      <c r="A852" s="14"/>
      <c r="B852" s="17"/>
      <c r="C852" s="17"/>
      <c r="D852" s="17"/>
      <c r="E852" s="16"/>
      <c r="H852" s="16"/>
    </row>
    <row r="853" spans="1:8" ht="15.75" customHeight="1">
      <c r="A853" s="14"/>
      <c r="B853" s="17"/>
      <c r="C853" s="17"/>
      <c r="D853" s="17"/>
      <c r="E853" s="16"/>
      <c r="H853" s="16"/>
    </row>
    <row r="854" spans="1:8" ht="15.75" customHeight="1">
      <c r="A854" s="14"/>
      <c r="B854" s="17"/>
      <c r="C854" s="17"/>
      <c r="D854" s="17"/>
      <c r="E854" s="16"/>
      <c r="H854" s="16"/>
    </row>
    <row r="855" spans="1:8" ht="15.75" customHeight="1">
      <c r="A855" s="14"/>
      <c r="B855" s="17"/>
      <c r="C855" s="17"/>
      <c r="D855" s="17"/>
      <c r="E855" s="16"/>
      <c r="H855" s="16"/>
    </row>
    <row r="856" spans="1:8" ht="15.75" customHeight="1">
      <c r="A856" s="14"/>
      <c r="B856" s="17"/>
      <c r="C856" s="17"/>
      <c r="D856" s="17"/>
      <c r="E856" s="16"/>
      <c r="H856" s="16"/>
    </row>
    <row r="857" spans="1:8" ht="15.75" customHeight="1">
      <c r="A857" s="14"/>
      <c r="B857" s="17"/>
      <c r="C857" s="17"/>
      <c r="D857" s="17"/>
      <c r="E857" s="16"/>
      <c r="H857" s="16"/>
    </row>
    <row r="858" spans="1:8" ht="15.75" customHeight="1">
      <c r="A858" s="14"/>
      <c r="B858" s="17"/>
      <c r="C858" s="17"/>
      <c r="D858" s="17"/>
      <c r="E858" s="16"/>
      <c r="H858" s="16"/>
    </row>
    <row r="859" spans="1:8" ht="15.75" customHeight="1">
      <c r="A859" s="14"/>
      <c r="B859" s="17"/>
      <c r="C859" s="17"/>
      <c r="D859" s="17"/>
      <c r="E859" s="16"/>
      <c r="H859" s="16"/>
    </row>
    <row r="860" spans="1:8" ht="15.75" customHeight="1">
      <c r="A860" s="14"/>
      <c r="B860" s="17"/>
      <c r="C860" s="17"/>
      <c r="D860" s="17"/>
      <c r="E860" s="16"/>
      <c r="H860" s="16"/>
    </row>
    <row r="861" spans="1:8" ht="15.75" customHeight="1">
      <c r="A861" s="14"/>
      <c r="B861" s="17"/>
      <c r="C861" s="17"/>
      <c r="D861" s="17"/>
      <c r="E861" s="16"/>
      <c r="H861" s="16"/>
    </row>
    <row r="862" spans="1:8" ht="15.75" customHeight="1">
      <c r="A862" s="14"/>
      <c r="B862" s="17"/>
      <c r="C862" s="17"/>
      <c r="D862" s="17"/>
      <c r="E862" s="16"/>
      <c r="H862" s="16"/>
    </row>
    <row r="863" spans="1:8" ht="15.75" customHeight="1">
      <c r="A863" s="14"/>
      <c r="B863" s="17"/>
      <c r="C863" s="17"/>
      <c r="D863" s="17"/>
      <c r="E863" s="16"/>
      <c r="H863" s="16"/>
    </row>
    <row r="864" spans="1:8" ht="15.75" customHeight="1">
      <c r="A864" s="14"/>
      <c r="B864" s="17"/>
      <c r="C864" s="17"/>
      <c r="D864" s="17"/>
      <c r="E864" s="16"/>
      <c r="H864" s="16"/>
    </row>
    <row r="865" spans="1:8" ht="15.75" customHeight="1">
      <c r="A865" s="14"/>
      <c r="B865" s="17"/>
      <c r="C865" s="17"/>
      <c r="D865" s="17"/>
      <c r="E865" s="16"/>
      <c r="H865" s="16"/>
    </row>
    <row r="866" spans="1:8" ht="15.75" customHeight="1">
      <c r="A866" s="14"/>
      <c r="B866" s="17"/>
      <c r="C866" s="17"/>
      <c r="D866" s="17"/>
      <c r="E866" s="16"/>
      <c r="H866" s="16"/>
    </row>
    <row r="867" spans="1:8" ht="15.75" customHeight="1">
      <c r="A867" s="14"/>
      <c r="B867" s="17"/>
      <c r="C867" s="17"/>
      <c r="D867" s="17"/>
      <c r="E867" s="16"/>
      <c r="H867" s="16"/>
    </row>
    <row r="868" spans="1:8" ht="15.75" customHeight="1">
      <c r="A868" s="14"/>
      <c r="B868" s="17"/>
      <c r="C868" s="17"/>
      <c r="D868" s="17"/>
      <c r="E868" s="16"/>
      <c r="H868" s="16"/>
    </row>
    <row r="869" spans="1:8" ht="15.75" customHeight="1">
      <c r="A869" s="14"/>
      <c r="B869" s="17"/>
      <c r="C869" s="17"/>
      <c r="D869" s="17"/>
      <c r="E869" s="16"/>
      <c r="H869" s="16"/>
    </row>
    <row r="870" spans="1:8" ht="15.75" customHeight="1">
      <c r="A870" s="14"/>
      <c r="B870" s="17"/>
      <c r="C870" s="17"/>
      <c r="D870" s="17"/>
      <c r="E870" s="16"/>
      <c r="H870" s="16"/>
    </row>
    <row r="871" spans="1:8" ht="15.75" customHeight="1">
      <c r="A871" s="14"/>
      <c r="B871" s="17"/>
      <c r="C871" s="17"/>
      <c r="D871" s="17"/>
      <c r="E871" s="16"/>
      <c r="H871" s="16"/>
    </row>
    <row r="872" spans="1:8" ht="15.75" customHeight="1">
      <c r="A872" s="14"/>
      <c r="B872" s="17"/>
      <c r="C872" s="17"/>
      <c r="D872" s="17"/>
      <c r="E872" s="16"/>
      <c r="H872" s="16"/>
    </row>
    <row r="873" spans="1:8" ht="15.75" customHeight="1">
      <c r="A873" s="14"/>
      <c r="B873" s="17"/>
      <c r="C873" s="17"/>
      <c r="D873" s="17"/>
      <c r="E873" s="16"/>
      <c r="H873" s="16"/>
    </row>
    <row r="874" spans="1:8" ht="15.75" customHeight="1">
      <c r="A874" s="14"/>
      <c r="B874" s="17"/>
      <c r="C874" s="17"/>
      <c r="D874" s="17"/>
      <c r="E874" s="16"/>
      <c r="H874" s="16"/>
    </row>
    <row r="875" spans="1:8" ht="15.75" customHeight="1">
      <c r="A875" s="14"/>
      <c r="B875" s="17"/>
      <c r="C875" s="17"/>
      <c r="D875" s="17"/>
      <c r="E875" s="16"/>
      <c r="H875" s="16"/>
    </row>
    <row r="876" spans="1:8" ht="15.75" customHeight="1">
      <c r="A876" s="14"/>
      <c r="B876" s="17"/>
      <c r="C876" s="17"/>
      <c r="D876" s="17"/>
      <c r="E876" s="16"/>
      <c r="H876" s="16"/>
    </row>
    <row r="877" spans="1:8" ht="15.75" customHeight="1">
      <c r="A877" s="14"/>
      <c r="B877" s="17"/>
      <c r="C877" s="17"/>
      <c r="D877" s="17"/>
      <c r="E877" s="16"/>
      <c r="H877" s="16"/>
    </row>
    <row r="878" spans="1:8" ht="15.75" customHeight="1">
      <c r="A878" s="14"/>
      <c r="B878" s="17"/>
      <c r="C878" s="17"/>
      <c r="D878" s="17"/>
      <c r="E878" s="16"/>
      <c r="H878" s="16"/>
    </row>
    <row r="879" spans="1:8" ht="15.75" customHeight="1">
      <c r="A879" s="14"/>
      <c r="B879" s="17"/>
      <c r="C879" s="17"/>
      <c r="D879" s="17"/>
      <c r="E879" s="16"/>
      <c r="H879" s="16"/>
    </row>
    <row r="880" spans="1:8" ht="15.75" customHeight="1">
      <c r="A880" s="14"/>
      <c r="B880" s="17"/>
      <c r="C880" s="17"/>
      <c r="D880" s="17"/>
      <c r="E880" s="16"/>
      <c r="H880" s="16"/>
    </row>
    <row r="881" spans="1:8" ht="15.75" customHeight="1">
      <c r="A881" s="14"/>
      <c r="B881" s="17"/>
      <c r="C881" s="17"/>
      <c r="D881" s="17"/>
      <c r="E881" s="16"/>
      <c r="H881" s="16"/>
    </row>
    <row r="882" spans="1:8" ht="15.75" customHeight="1">
      <c r="A882" s="14"/>
      <c r="B882" s="17"/>
      <c r="C882" s="17"/>
      <c r="D882" s="17"/>
      <c r="E882" s="16"/>
      <c r="H882" s="16"/>
    </row>
    <row r="883" spans="1:8" ht="15.75" customHeight="1">
      <c r="A883" s="14"/>
      <c r="B883" s="17"/>
      <c r="C883" s="17"/>
      <c r="D883" s="17"/>
      <c r="E883" s="16"/>
      <c r="H883" s="16"/>
    </row>
    <row r="884" spans="1:8" ht="15.75" customHeight="1">
      <c r="A884" s="14"/>
      <c r="B884" s="17"/>
      <c r="C884" s="17"/>
      <c r="D884" s="17"/>
      <c r="E884" s="16"/>
      <c r="H884" s="16"/>
    </row>
    <row r="885" spans="1:8" ht="15.75" customHeight="1">
      <c r="A885" s="14"/>
      <c r="B885" s="17"/>
      <c r="C885" s="17"/>
      <c r="D885" s="17"/>
      <c r="E885" s="16"/>
      <c r="H885" s="16"/>
    </row>
    <row r="886" spans="1:8" ht="15.75" customHeight="1">
      <c r="A886" s="14"/>
      <c r="B886" s="17"/>
      <c r="C886" s="17"/>
      <c r="D886" s="17"/>
      <c r="E886" s="16"/>
      <c r="H886" s="16"/>
    </row>
    <row r="887" spans="1:8" ht="15.75" customHeight="1">
      <c r="A887" s="14"/>
      <c r="B887" s="17"/>
      <c r="C887" s="17"/>
      <c r="D887" s="17"/>
      <c r="E887" s="16"/>
      <c r="H887" s="16"/>
    </row>
    <row r="888" spans="1:8" ht="15.75" customHeight="1">
      <c r="A888" s="14"/>
      <c r="B888" s="17"/>
      <c r="C888" s="17"/>
      <c r="D888" s="17"/>
      <c r="E888" s="16"/>
      <c r="H888" s="16"/>
    </row>
    <row r="889" spans="1:8" ht="15.75" customHeight="1">
      <c r="A889" s="14"/>
      <c r="B889" s="17"/>
      <c r="C889" s="17"/>
      <c r="D889" s="17"/>
      <c r="E889" s="16"/>
      <c r="H889" s="16"/>
    </row>
    <row r="890" spans="1:8" ht="15.75" customHeight="1">
      <c r="A890" s="14"/>
      <c r="B890" s="17"/>
      <c r="C890" s="17"/>
      <c r="D890" s="17"/>
      <c r="E890" s="16"/>
      <c r="H890" s="16"/>
    </row>
    <row r="891" spans="1:8" ht="15.75" customHeight="1">
      <c r="A891" s="14"/>
      <c r="B891" s="17"/>
      <c r="C891" s="17"/>
      <c r="D891" s="17"/>
      <c r="E891" s="16"/>
      <c r="H891" s="16"/>
    </row>
    <row r="892" spans="1:8" ht="15.75" customHeight="1">
      <c r="A892" s="14"/>
      <c r="B892" s="17"/>
      <c r="C892" s="17"/>
      <c r="D892" s="17"/>
      <c r="E892" s="16"/>
      <c r="H892" s="16"/>
    </row>
    <row r="893" spans="1:8" ht="15.75" customHeight="1">
      <c r="A893" s="14"/>
      <c r="B893" s="17"/>
      <c r="C893" s="17"/>
      <c r="D893" s="17"/>
      <c r="E893" s="16"/>
      <c r="H893" s="16"/>
    </row>
    <row r="894" spans="1:8" ht="15.75" customHeight="1">
      <c r="A894" s="14"/>
      <c r="B894" s="17"/>
      <c r="C894" s="17"/>
      <c r="D894" s="17"/>
      <c r="E894" s="16"/>
      <c r="H894" s="16"/>
    </row>
    <row r="895" spans="1:8" ht="15.75" customHeight="1">
      <c r="A895" s="14"/>
      <c r="B895" s="17"/>
      <c r="C895" s="17"/>
      <c r="D895" s="17"/>
      <c r="E895" s="16"/>
      <c r="H895" s="16"/>
    </row>
    <row r="896" spans="1:8" ht="15.75" customHeight="1">
      <c r="A896" s="14"/>
      <c r="B896" s="17"/>
      <c r="C896" s="17"/>
      <c r="D896" s="17"/>
      <c r="E896" s="16"/>
      <c r="H896" s="16"/>
    </row>
    <row r="897" spans="1:8" ht="15.75" customHeight="1">
      <c r="A897" s="14"/>
      <c r="B897" s="17"/>
      <c r="C897" s="17"/>
      <c r="D897" s="17"/>
      <c r="E897" s="16"/>
      <c r="H897" s="16"/>
    </row>
    <row r="898" spans="1:8" ht="15.75" customHeight="1">
      <c r="A898" s="14"/>
      <c r="B898" s="17"/>
      <c r="C898" s="17"/>
      <c r="D898" s="17"/>
      <c r="E898" s="16"/>
      <c r="H898" s="16"/>
    </row>
    <row r="899" spans="1:8" ht="15.75" customHeight="1">
      <c r="A899" s="14"/>
      <c r="B899" s="17"/>
      <c r="C899" s="17"/>
      <c r="D899" s="17"/>
      <c r="E899" s="16"/>
      <c r="H899" s="16"/>
    </row>
    <row r="900" spans="1:8" ht="15.75" customHeight="1">
      <c r="A900" s="14"/>
      <c r="B900" s="17"/>
      <c r="C900" s="17"/>
      <c r="D900" s="17"/>
      <c r="E900" s="16"/>
      <c r="H900" s="16"/>
    </row>
    <row r="901" spans="1:8" ht="15.75" customHeight="1">
      <c r="A901" s="14"/>
      <c r="B901" s="17"/>
      <c r="C901" s="17"/>
      <c r="D901" s="17"/>
      <c r="E901" s="16"/>
      <c r="H901" s="16"/>
    </row>
    <row r="902" spans="1:8" ht="15.75" customHeight="1">
      <c r="A902" s="14"/>
      <c r="B902" s="17"/>
      <c r="C902" s="17"/>
      <c r="D902" s="17"/>
      <c r="E902" s="16"/>
      <c r="H902" s="16"/>
    </row>
    <row r="903" spans="1:8" ht="15.75" customHeight="1">
      <c r="A903" s="14"/>
      <c r="B903" s="17"/>
      <c r="C903" s="17"/>
      <c r="D903" s="17"/>
      <c r="E903" s="16"/>
      <c r="H903" s="16"/>
    </row>
    <row r="904" spans="1:8" ht="15.75" customHeight="1">
      <c r="A904" s="14"/>
      <c r="B904" s="17"/>
      <c r="C904" s="17"/>
      <c r="D904" s="17"/>
      <c r="E904" s="16"/>
      <c r="H904" s="16"/>
    </row>
    <row r="905" spans="1:8" ht="15.75" customHeight="1">
      <c r="A905" s="14"/>
      <c r="B905" s="17"/>
      <c r="C905" s="17"/>
      <c r="D905" s="17"/>
      <c r="E905" s="16"/>
      <c r="H905" s="16"/>
    </row>
    <row r="906" spans="1:8" ht="15.75" customHeight="1">
      <c r="A906" s="14"/>
      <c r="B906" s="17"/>
      <c r="C906" s="17"/>
      <c r="D906" s="17"/>
      <c r="E906" s="16"/>
      <c r="H906" s="16"/>
    </row>
    <row r="907" spans="1:8" ht="15.75" customHeight="1">
      <c r="A907" s="14"/>
      <c r="B907" s="17"/>
      <c r="C907" s="17"/>
      <c r="D907" s="17"/>
      <c r="E907" s="16"/>
      <c r="H907" s="16"/>
    </row>
    <row r="908" spans="1:8" ht="15.75" customHeight="1">
      <c r="A908" s="14"/>
      <c r="B908" s="17"/>
      <c r="C908" s="17"/>
      <c r="D908" s="17"/>
      <c r="E908" s="16"/>
      <c r="H908" s="16"/>
    </row>
    <row r="909" spans="1:8" ht="15.75" customHeight="1">
      <c r="A909" s="14"/>
      <c r="B909" s="17"/>
      <c r="C909" s="17"/>
      <c r="D909" s="17"/>
      <c r="E909" s="16"/>
      <c r="H909" s="16"/>
    </row>
    <row r="910" spans="1:8" ht="15.75" customHeight="1">
      <c r="A910" s="14"/>
      <c r="B910" s="17"/>
      <c r="C910" s="17"/>
      <c r="D910" s="17"/>
      <c r="E910" s="16"/>
      <c r="H910" s="16"/>
    </row>
    <row r="911" spans="1:8" ht="15.75" customHeight="1">
      <c r="A911" s="14"/>
      <c r="B911" s="17"/>
      <c r="C911" s="17"/>
      <c r="D911" s="17"/>
      <c r="E911" s="16"/>
      <c r="H911" s="16"/>
    </row>
    <row r="912" spans="1:8" ht="15.75" customHeight="1">
      <c r="A912" s="14"/>
      <c r="B912" s="17"/>
      <c r="C912" s="17"/>
      <c r="D912" s="17"/>
      <c r="E912" s="16"/>
      <c r="H912" s="16"/>
    </row>
    <row r="913" spans="1:8" ht="15.75" customHeight="1">
      <c r="A913" s="14"/>
      <c r="B913" s="17"/>
      <c r="C913" s="17"/>
      <c r="D913" s="17"/>
      <c r="E913" s="16"/>
      <c r="H913" s="16"/>
    </row>
    <row r="914" spans="1:8" ht="15.75" customHeight="1">
      <c r="A914" s="14"/>
      <c r="B914" s="17"/>
      <c r="C914" s="17"/>
      <c r="D914" s="17"/>
      <c r="E914" s="16"/>
      <c r="H914" s="16"/>
    </row>
    <row r="915" spans="1:8" ht="15.75" customHeight="1">
      <c r="A915" s="14"/>
      <c r="B915" s="17"/>
      <c r="C915" s="17"/>
      <c r="D915" s="17"/>
      <c r="E915" s="16"/>
      <c r="H915" s="16"/>
    </row>
    <row r="916" spans="1:8" ht="15.75" customHeight="1">
      <c r="A916" s="14"/>
      <c r="B916" s="17"/>
      <c r="C916" s="17"/>
      <c r="D916" s="17"/>
      <c r="E916" s="16"/>
      <c r="H916" s="16"/>
    </row>
    <row r="917" spans="1:8" ht="15.75" customHeight="1">
      <c r="A917" s="14"/>
      <c r="B917" s="17"/>
      <c r="C917" s="17"/>
      <c r="D917" s="17"/>
      <c r="E917" s="16"/>
      <c r="H917" s="16"/>
    </row>
    <row r="918" spans="1:8" ht="15.75" customHeight="1">
      <c r="A918" s="14"/>
      <c r="B918" s="17"/>
      <c r="C918" s="17"/>
      <c r="D918" s="17"/>
      <c r="E918" s="16"/>
      <c r="H918" s="16"/>
    </row>
    <row r="919" spans="1:8" ht="15.75" customHeight="1">
      <c r="A919" s="14"/>
      <c r="B919" s="17"/>
      <c r="C919" s="17"/>
      <c r="D919" s="17"/>
      <c r="E919" s="16"/>
      <c r="H919" s="16"/>
    </row>
    <row r="920" spans="1:8" ht="15.75" customHeight="1">
      <c r="A920" s="14"/>
      <c r="B920" s="17"/>
      <c r="C920" s="17"/>
      <c r="D920" s="17"/>
      <c r="E920" s="16"/>
      <c r="H920" s="16"/>
    </row>
    <row r="921" spans="1:8" ht="15.75" customHeight="1">
      <c r="A921" s="14"/>
      <c r="B921" s="17"/>
      <c r="C921" s="17"/>
      <c r="D921" s="17"/>
      <c r="E921" s="16"/>
      <c r="H921" s="16"/>
    </row>
    <row r="922" spans="1:8" ht="15.75" customHeight="1">
      <c r="A922" s="14"/>
      <c r="B922" s="17"/>
      <c r="C922" s="17"/>
      <c r="D922" s="17"/>
      <c r="E922" s="16"/>
      <c r="H922" s="16"/>
    </row>
    <row r="923" spans="1:8" ht="15.75" customHeight="1">
      <c r="A923" s="14"/>
      <c r="B923" s="17"/>
      <c r="C923" s="17"/>
      <c r="D923" s="17"/>
      <c r="E923" s="16"/>
      <c r="H923" s="16"/>
    </row>
    <row r="924" spans="1:8" ht="15.75" customHeight="1">
      <c r="A924" s="14"/>
      <c r="B924" s="17"/>
      <c r="C924" s="17"/>
      <c r="D924" s="17"/>
      <c r="E924" s="16"/>
      <c r="H924" s="16"/>
    </row>
    <row r="925" spans="1:8" ht="15.75" customHeight="1">
      <c r="A925" s="14"/>
      <c r="B925" s="17"/>
      <c r="C925" s="17"/>
      <c r="D925" s="17"/>
      <c r="E925" s="16"/>
      <c r="H925" s="16"/>
    </row>
    <row r="926" spans="1:8" ht="15.75" customHeight="1">
      <c r="A926" s="14"/>
      <c r="B926" s="17"/>
      <c r="C926" s="17"/>
      <c r="D926" s="17"/>
      <c r="E926" s="16"/>
      <c r="H926" s="16"/>
    </row>
    <row r="927" spans="1:8" ht="15.75" customHeight="1">
      <c r="A927" s="14"/>
      <c r="B927" s="17"/>
      <c r="C927" s="17"/>
      <c r="D927" s="17"/>
      <c r="E927" s="16"/>
      <c r="H927" s="16"/>
    </row>
    <row r="928" spans="1:8" ht="15.75" customHeight="1">
      <c r="A928" s="14"/>
      <c r="B928" s="17"/>
      <c r="C928" s="17"/>
      <c r="D928" s="17"/>
      <c r="E928" s="16"/>
      <c r="H928" s="16"/>
    </row>
    <row r="929" spans="1:8" ht="15.75" customHeight="1">
      <c r="A929" s="14"/>
      <c r="B929" s="17"/>
      <c r="C929" s="17"/>
      <c r="D929" s="17"/>
      <c r="E929" s="16"/>
      <c r="H929" s="16"/>
    </row>
    <row r="930" spans="1:8" ht="15.75" customHeight="1">
      <c r="A930" s="14"/>
      <c r="B930" s="17"/>
      <c r="C930" s="17"/>
      <c r="D930" s="17"/>
      <c r="E930" s="16"/>
      <c r="H930" s="16"/>
    </row>
    <row r="931" spans="1:8" ht="15.75" customHeight="1">
      <c r="A931" s="14"/>
      <c r="B931" s="17"/>
      <c r="C931" s="17"/>
      <c r="D931" s="17"/>
      <c r="E931" s="16"/>
      <c r="H931" s="16"/>
    </row>
    <row r="932" spans="1:8" ht="15.75" customHeight="1">
      <c r="A932" s="14"/>
      <c r="B932" s="17"/>
      <c r="C932" s="17"/>
      <c r="D932" s="17"/>
      <c r="E932" s="16"/>
      <c r="H932" s="16"/>
    </row>
    <row r="933" spans="1:8" ht="15.75" customHeight="1">
      <c r="A933" s="14"/>
      <c r="B933" s="17"/>
      <c r="C933" s="17"/>
      <c r="D933" s="17"/>
      <c r="E933" s="16"/>
      <c r="H933" s="16"/>
    </row>
    <row r="934" spans="1:8" ht="15.75" customHeight="1">
      <c r="A934" s="14"/>
      <c r="B934" s="17"/>
      <c r="C934" s="17"/>
      <c r="D934" s="17"/>
      <c r="E934" s="16"/>
      <c r="H934" s="16"/>
    </row>
    <row r="935" spans="1:8" ht="15.75" customHeight="1">
      <c r="A935" s="14"/>
      <c r="B935" s="17"/>
      <c r="C935" s="17"/>
      <c r="D935" s="17"/>
      <c r="E935" s="16"/>
      <c r="H935" s="16"/>
    </row>
    <row r="936" spans="1:8" ht="15.75" customHeight="1">
      <c r="A936" s="14"/>
      <c r="B936" s="17"/>
      <c r="C936" s="17"/>
      <c r="D936" s="17"/>
      <c r="E936" s="16"/>
      <c r="H936" s="16"/>
    </row>
    <row r="937" spans="1:8" ht="15.75" customHeight="1">
      <c r="A937" s="14"/>
      <c r="B937" s="17"/>
      <c r="C937" s="17"/>
      <c r="D937" s="17"/>
      <c r="E937" s="16"/>
      <c r="H937" s="16"/>
    </row>
    <row r="938" spans="1:8" ht="15.75" customHeight="1">
      <c r="A938" s="14"/>
      <c r="B938" s="17"/>
      <c r="C938" s="17"/>
      <c r="D938" s="17"/>
      <c r="E938" s="16"/>
      <c r="H938" s="16"/>
    </row>
    <row r="939" spans="1:8" ht="15.75" customHeight="1">
      <c r="A939" s="14"/>
      <c r="B939" s="17"/>
      <c r="C939" s="17"/>
      <c r="D939" s="17"/>
      <c r="E939" s="16"/>
      <c r="H939" s="16"/>
    </row>
    <row r="940" spans="1:8" ht="15.75" customHeight="1">
      <c r="A940" s="14"/>
      <c r="B940" s="17"/>
      <c r="C940" s="17"/>
      <c r="D940" s="17"/>
      <c r="E940" s="16"/>
      <c r="H940" s="16"/>
    </row>
    <row r="941" spans="1:8" ht="15.75" customHeight="1">
      <c r="A941" s="14"/>
      <c r="B941" s="17"/>
      <c r="C941" s="17"/>
      <c r="D941" s="17"/>
      <c r="E941" s="16"/>
      <c r="H941" s="16"/>
    </row>
    <row r="942" spans="1:8" ht="15.75" customHeight="1">
      <c r="A942" s="14"/>
      <c r="B942" s="17"/>
      <c r="C942" s="17"/>
      <c r="D942" s="17"/>
      <c r="E942" s="16"/>
      <c r="H942" s="16"/>
    </row>
    <row r="943" spans="1:8" ht="15.75" customHeight="1">
      <c r="A943" s="14"/>
      <c r="B943" s="17"/>
      <c r="C943" s="17"/>
      <c r="D943" s="17"/>
      <c r="E943" s="16"/>
      <c r="H943" s="16"/>
    </row>
    <row r="944" spans="1:8" ht="15.75" customHeight="1">
      <c r="A944" s="14"/>
      <c r="B944" s="17"/>
      <c r="C944" s="17"/>
      <c r="D944" s="17"/>
      <c r="E944" s="16"/>
      <c r="H944" s="16"/>
    </row>
    <row r="945" spans="1:8" ht="15.75" customHeight="1">
      <c r="A945" s="14"/>
      <c r="B945" s="17"/>
      <c r="C945" s="17"/>
      <c r="D945" s="17"/>
      <c r="E945" s="16"/>
      <c r="H945" s="16"/>
    </row>
    <row r="946" spans="1:8" ht="15.75" customHeight="1">
      <c r="A946" s="14"/>
      <c r="B946" s="17"/>
      <c r="C946" s="17"/>
      <c r="D946" s="17"/>
      <c r="E946" s="16"/>
      <c r="H946" s="16"/>
    </row>
    <row r="947" spans="1:8" ht="15.75" customHeight="1">
      <c r="A947" s="14"/>
      <c r="B947" s="17"/>
      <c r="C947" s="17"/>
      <c r="D947" s="17"/>
      <c r="E947" s="16"/>
      <c r="H947" s="16"/>
    </row>
    <row r="948" spans="1:8" ht="15.75" customHeight="1">
      <c r="A948" s="14"/>
      <c r="B948" s="17"/>
      <c r="C948" s="17"/>
      <c r="D948" s="17"/>
      <c r="E948" s="16"/>
      <c r="H948" s="16"/>
    </row>
    <row r="949" spans="1:8" ht="15.75" customHeight="1">
      <c r="A949" s="14"/>
      <c r="B949" s="17"/>
      <c r="C949" s="17"/>
      <c r="D949" s="17"/>
      <c r="E949" s="16"/>
      <c r="H949" s="16"/>
    </row>
    <row r="950" spans="1:8" ht="15.75" customHeight="1">
      <c r="A950" s="14"/>
      <c r="B950" s="17"/>
      <c r="C950" s="17"/>
      <c r="D950" s="17"/>
      <c r="E950" s="16"/>
      <c r="H950" s="16"/>
    </row>
    <row r="951" spans="1:8" ht="15.75" customHeight="1">
      <c r="A951" s="14"/>
      <c r="B951" s="17"/>
      <c r="C951" s="17"/>
      <c r="D951" s="17"/>
      <c r="E951" s="16"/>
      <c r="H951" s="16"/>
    </row>
    <row r="952" spans="1:8" ht="15.75" customHeight="1">
      <c r="A952" s="14"/>
      <c r="B952" s="17"/>
      <c r="C952" s="17"/>
      <c r="D952" s="17"/>
      <c r="E952" s="16"/>
      <c r="H952" s="16"/>
    </row>
    <row r="953" spans="1:8" ht="15.75" customHeight="1">
      <c r="A953" s="14"/>
      <c r="B953" s="17"/>
      <c r="C953" s="17"/>
      <c r="D953" s="17"/>
      <c r="E953" s="16"/>
      <c r="H953" s="16"/>
    </row>
    <row r="954" spans="1:8" ht="15.75" customHeight="1">
      <c r="A954" s="14"/>
      <c r="B954" s="17"/>
      <c r="C954" s="17"/>
      <c r="D954" s="17"/>
      <c r="E954" s="16"/>
      <c r="H954" s="16"/>
    </row>
    <row r="955" spans="1:8" ht="15.75" customHeight="1">
      <c r="A955" s="14"/>
      <c r="B955" s="17"/>
      <c r="C955" s="17"/>
      <c r="D955" s="17"/>
      <c r="E955" s="16"/>
      <c r="H955" s="16"/>
    </row>
    <row r="956" spans="1:8" ht="15.75" customHeight="1">
      <c r="A956" s="14"/>
      <c r="B956" s="17"/>
      <c r="C956" s="17"/>
      <c r="D956" s="17"/>
      <c r="E956" s="16"/>
      <c r="H956" s="16"/>
    </row>
    <row r="957" spans="1:8" ht="15.75" customHeight="1">
      <c r="A957" s="14"/>
      <c r="B957" s="17"/>
      <c r="C957" s="17"/>
      <c r="D957" s="17"/>
      <c r="E957" s="16"/>
      <c r="H957" s="16"/>
    </row>
    <row r="958" spans="1:8" ht="15.75" customHeight="1">
      <c r="A958" s="14"/>
      <c r="B958" s="17"/>
      <c r="C958" s="17"/>
      <c r="D958" s="17"/>
      <c r="E958" s="16"/>
      <c r="H958" s="16"/>
    </row>
    <row r="959" spans="1:8" ht="15.75" customHeight="1">
      <c r="A959" s="14"/>
      <c r="B959" s="17"/>
      <c r="C959" s="17"/>
      <c r="D959" s="17"/>
      <c r="E959" s="16"/>
      <c r="H959" s="16"/>
    </row>
    <row r="960" spans="1:8" ht="15.75" customHeight="1">
      <c r="A960" s="14"/>
      <c r="B960" s="17"/>
      <c r="C960" s="17"/>
      <c r="D960" s="17"/>
      <c r="E960" s="16"/>
      <c r="H960" s="16"/>
    </row>
    <row r="961" spans="1:8" ht="15.75" customHeight="1">
      <c r="A961" s="14"/>
      <c r="B961" s="17"/>
      <c r="C961" s="17"/>
      <c r="D961" s="17"/>
      <c r="E961" s="16"/>
      <c r="H961" s="16"/>
    </row>
    <row r="962" spans="1:8" ht="15.75" customHeight="1">
      <c r="A962" s="14"/>
      <c r="B962" s="17"/>
      <c r="C962" s="17"/>
      <c r="D962" s="17"/>
      <c r="E962" s="16"/>
      <c r="H962" s="16"/>
    </row>
    <row r="963" spans="1:8" ht="15.75" customHeight="1">
      <c r="A963" s="14"/>
      <c r="B963" s="17"/>
      <c r="C963" s="17"/>
      <c r="D963" s="17"/>
      <c r="E963" s="16"/>
      <c r="H963" s="16"/>
    </row>
    <row r="964" spans="1:8" ht="15.75" customHeight="1">
      <c r="A964" s="14"/>
      <c r="B964" s="17"/>
      <c r="C964" s="17"/>
      <c r="D964" s="17"/>
      <c r="E964" s="16"/>
      <c r="H964" s="16"/>
    </row>
    <row r="965" spans="1:8" ht="15.75" customHeight="1">
      <c r="A965" s="14"/>
      <c r="B965" s="17"/>
      <c r="C965" s="17"/>
      <c r="D965" s="17"/>
      <c r="E965" s="16"/>
      <c r="H965" s="16"/>
    </row>
    <row r="966" spans="1:8" ht="15.75" customHeight="1">
      <c r="A966" s="14"/>
      <c r="B966" s="17"/>
      <c r="C966" s="17"/>
      <c r="D966" s="17"/>
      <c r="E966" s="16"/>
      <c r="H966" s="16"/>
    </row>
    <row r="967" spans="1:8" ht="15.75" customHeight="1">
      <c r="A967" s="14"/>
      <c r="B967" s="17"/>
      <c r="C967" s="17"/>
      <c r="D967" s="17"/>
      <c r="E967" s="16"/>
      <c r="H967" s="16"/>
    </row>
    <row r="968" spans="1:8" ht="15.75" customHeight="1">
      <c r="A968" s="14"/>
      <c r="B968" s="17"/>
      <c r="C968" s="17"/>
      <c r="D968" s="17"/>
      <c r="E968" s="16"/>
      <c r="H968" s="16"/>
    </row>
    <row r="969" spans="1:8" ht="15.75" customHeight="1">
      <c r="A969" s="14"/>
      <c r="B969" s="17"/>
      <c r="C969" s="17"/>
      <c r="D969" s="17"/>
      <c r="E969" s="16"/>
      <c r="H969" s="16"/>
    </row>
    <row r="970" spans="1:8" ht="15.75" customHeight="1">
      <c r="A970" s="14"/>
      <c r="B970" s="17"/>
      <c r="C970" s="17"/>
      <c r="D970" s="17"/>
      <c r="E970" s="16"/>
      <c r="H970" s="16"/>
    </row>
    <row r="971" spans="1:8" ht="15.75" customHeight="1">
      <c r="A971" s="14"/>
      <c r="B971" s="17"/>
      <c r="C971" s="17"/>
      <c r="D971" s="17"/>
      <c r="E971" s="16"/>
      <c r="H971" s="16"/>
    </row>
    <row r="972" spans="1:8" ht="15.75" customHeight="1">
      <c r="A972" s="14"/>
      <c r="B972" s="17"/>
      <c r="C972" s="17"/>
      <c r="D972" s="17"/>
      <c r="E972" s="16"/>
      <c r="H972" s="16"/>
    </row>
    <row r="973" spans="1:8" ht="15.75" customHeight="1">
      <c r="A973" s="14"/>
      <c r="B973" s="17"/>
      <c r="C973" s="17"/>
      <c r="D973" s="17"/>
      <c r="E973" s="16"/>
      <c r="H973" s="16"/>
    </row>
    <row r="974" spans="1:8" ht="15.75" customHeight="1">
      <c r="A974" s="14"/>
      <c r="B974" s="17"/>
      <c r="C974" s="17"/>
      <c r="D974" s="17"/>
      <c r="E974" s="16"/>
      <c r="H974" s="16"/>
    </row>
    <row r="975" spans="1:8" ht="15.75" customHeight="1">
      <c r="A975" s="14"/>
      <c r="B975" s="17"/>
      <c r="C975" s="17"/>
      <c r="D975" s="17"/>
      <c r="E975" s="16"/>
      <c r="H975" s="16"/>
    </row>
    <row r="976" spans="1:8" ht="15.75" customHeight="1">
      <c r="A976" s="14"/>
      <c r="B976" s="17"/>
      <c r="C976" s="17"/>
      <c r="D976" s="17"/>
      <c r="E976" s="16"/>
      <c r="H976" s="16"/>
    </row>
    <row r="977" spans="1:8" ht="15.75" customHeight="1">
      <c r="A977" s="14"/>
      <c r="B977" s="17"/>
      <c r="C977" s="17"/>
      <c r="D977" s="17"/>
      <c r="E977" s="16"/>
      <c r="H977" s="16"/>
    </row>
    <row r="978" spans="1:8" ht="15.75" customHeight="1">
      <c r="A978" s="14"/>
      <c r="B978" s="17"/>
      <c r="C978" s="17"/>
      <c r="D978" s="17"/>
      <c r="E978" s="16"/>
      <c r="H978" s="16"/>
    </row>
    <row r="979" spans="1:8" ht="15.75" customHeight="1">
      <c r="A979" s="14"/>
      <c r="B979" s="17"/>
      <c r="C979" s="17"/>
      <c r="D979" s="17"/>
      <c r="E979" s="16"/>
      <c r="H979" s="16"/>
    </row>
    <row r="980" spans="1:8" ht="15.75" customHeight="1">
      <c r="A980" s="14"/>
      <c r="B980" s="17"/>
      <c r="C980" s="17"/>
      <c r="D980" s="17"/>
      <c r="E980" s="16"/>
      <c r="H980" s="16"/>
    </row>
    <row r="981" spans="1:8" ht="15.75" customHeight="1">
      <c r="A981" s="14"/>
      <c r="B981" s="17"/>
      <c r="C981" s="17"/>
      <c r="D981" s="17"/>
      <c r="E981" s="16"/>
      <c r="H981" s="16"/>
    </row>
    <row r="982" spans="1:8" ht="15.75" customHeight="1">
      <c r="A982" s="14"/>
      <c r="B982" s="17"/>
      <c r="C982" s="17"/>
      <c r="D982" s="17"/>
      <c r="E982" s="16"/>
      <c r="H982" s="16"/>
    </row>
    <row r="983" spans="1:8" ht="15.75" customHeight="1">
      <c r="A983" s="14"/>
      <c r="B983" s="17"/>
      <c r="C983" s="17"/>
      <c r="D983" s="17"/>
      <c r="E983" s="16"/>
      <c r="H983" s="16"/>
    </row>
    <row r="984" spans="1:8" ht="15.75" customHeight="1">
      <c r="A984" s="14"/>
      <c r="B984" s="17"/>
      <c r="C984" s="17"/>
      <c r="D984" s="17"/>
      <c r="E984" s="16"/>
      <c r="H984" s="16"/>
    </row>
    <row r="985" spans="1:8" ht="15.75" customHeight="1">
      <c r="A985" s="14"/>
      <c r="B985" s="17"/>
      <c r="C985" s="17"/>
      <c r="D985" s="17"/>
      <c r="E985" s="16"/>
      <c r="H985" s="16"/>
    </row>
    <row r="986" spans="1:8" ht="15.75" customHeight="1">
      <c r="A986" s="14"/>
      <c r="B986" s="17"/>
      <c r="C986" s="17"/>
      <c r="D986" s="17"/>
      <c r="E986" s="16"/>
      <c r="H986" s="16"/>
    </row>
    <row r="987" spans="1:8" ht="15.75" customHeight="1">
      <c r="A987" s="14"/>
      <c r="B987" s="17"/>
      <c r="C987" s="17"/>
      <c r="D987" s="17"/>
      <c r="E987" s="16"/>
      <c r="H987" s="16"/>
    </row>
    <row r="988" spans="1:8" ht="15.75" customHeight="1">
      <c r="A988" s="14"/>
      <c r="B988" s="17"/>
      <c r="C988" s="17"/>
      <c r="D988" s="17"/>
      <c r="E988" s="16"/>
      <c r="H988" s="16"/>
    </row>
    <row r="989" spans="1:8" ht="15.75" customHeight="1">
      <c r="A989" s="14"/>
      <c r="B989" s="17"/>
      <c r="C989" s="17"/>
      <c r="D989" s="17"/>
      <c r="E989" s="16"/>
      <c r="H989" s="16"/>
    </row>
    <row r="990" spans="1:8" ht="15.75" customHeight="1">
      <c r="A990" s="14"/>
      <c r="B990" s="17"/>
      <c r="C990" s="17"/>
      <c r="D990" s="17"/>
      <c r="E990" s="16"/>
      <c r="H990" s="16"/>
    </row>
    <row r="991" spans="1:8" ht="15.75" customHeight="1">
      <c r="A991" s="14"/>
      <c r="B991" s="17"/>
      <c r="C991" s="17"/>
      <c r="D991" s="17"/>
      <c r="E991" s="16"/>
      <c r="H991" s="16"/>
    </row>
    <row r="992" spans="1:8" ht="15.75" customHeight="1">
      <c r="A992" s="14"/>
      <c r="B992" s="17"/>
      <c r="C992" s="17"/>
      <c r="D992" s="17"/>
      <c r="E992" s="16"/>
      <c r="H992" s="16"/>
    </row>
    <row r="993" spans="1:8" ht="15.75" customHeight="1">
      <c r="A993" s="14"/>
      <c r="B993" s="17"/>
      <c r="C993" s="17"/>
      <c r="D993" s="17"/>
      <c r="E993" s="16"/>
      <c r="H993" s="16"/>
    </row>
    <row r="994" spans="1:8" ht="15.75" customHeight="1">
      <c r="A994" s="14"/>
      <c r="B994" s="17"/>
      <c r="C994" s="17"/>
      <c r="D994" s="17"/>
      <c r="E994" s="16"/>
      <c r="H994" s="16"/>
    </row>
    <row r="995" spans="1:8" ht="15.75" customHeight="1">
      <c r="A995" s="14"/>
      <c r="B995" s="17"/>
      <c r="C995" s="17"/>
      <c r="D995" s="17"/>
      <c r="E995" s="16"/>
      <c r="H995" s="16"/>
    </row>
    <row r="996" spans="1:8" ht="15.75" customHeight="1">
      <c r="A996" s="14"/>
      <c r="B996" s="17"/>
      <c r="C996" s="17"/>
      <c r="D996" s="17"/>
      <c r="E996" s="16"/>
      <c r="H996" s="16"/>
    </row>
    <row r="997" spans="1:8" ht="15.75" customHeight="1">
      <c r="A997" s="14"/>
      <c r="B997" s="17"/>
      <c r="C997" s="17"/>
      <c r="D997" s="17"/>
      <c r="E997" s="16"/>
      <c r="H997" s="16"/>
    </row>
    <row r="998" spans="1:8" ht="15.75" customHeight="1">
      <c r="A998" s="14"/>
      <c r="B998" s="17"/>
      <c r="C998" s="17"/>
      <c r="D998" s="17"/>
      <c r="E998" s="16"/>
      <c r="H998" s="16"/>
    </row>
    <row r="999" spans="1:8" ht="15.75" customHeight="1">
      <c r="A999" s="14"/>
      <c r="B999" s="17"/>
      <c r="C999" s="17"/>
      <c r="D999" s="17"/>
      <c r="E999" s="16"/>
      <c r="H999" s="16"/>
    </row>
    <row r="1000" spans="1:8" ht="15.75" customHeight="1">
      <c r="A1000" s="14"/>
      <c r="B1000" s="17"/>
      <c r="C1000" s="17"/>
      <c r="D1000" s="17"/>
      <c r="E1000" s="16"/>
      <c r="H1000" s="16"/>
    </row>
    <row r="1001" spans="1:8" ht="15.75" customHeight="1">
      <c r="A1001" s="14"/>
      <c r="B1001" s="17"/>
      <c r="C1001" s="17"/>
      <c r="D1001" s="17"/>
      <c r="E1001" s="16"/>
      <c r="H1001" s="16"/>
    </row>
  </sheetData>
  <mergeCells count="1">
    <mergeCell ref="K2:L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outlinePr summaryBelow="0" summaryRight="0"/>
  </sheetPr>
  <dimension ref="A1:G1001"/>
  <sheetViews>
    <sheetView topLeftCell="A316" workbookViewId="0">
      <selection activeCell="C330" sqref="C330"/>
    </sheetView>
  </sheetViews>
  <sheetFormatPr baseColWidth="10" defaultColWidth="12.6640625" defaultRowHeight="15" customHeight="1"/>
  <cols>
    <col min="1" max="6" width="12.6640625" customWidth="1"/>
  </cols>
  <sheetData>
    <row r="1" spans="1:7" ht="15.75" customHeight="1">
      <c r="A1" s="3" t="s">
        <v>298</v>
      </c>
      <c r="B1" s="4" t="s">
        <v>300</v>
      </c>
      <c r="C1" s="35" t="s">
        <v>378</v>
      </c>
      <c r="D1" s="35" t="s">
        <v>379</v>
      </c>
      <c r="G1" s="2"/>
    </row>
    <row r="2" spans="1:7" ht="15.75" customHeight="1">
      <c r="A2" s="5">
        <v>10101</v>
      </c>
      <c r="B2" s="4" t="s">
        <v>2</v>
      </c>
      <c r="C2" s="18">
        <v>52.699678957096992</v>
      </c>
      <c r="D2" s="18">
        <v>87.651909722222214</v>
      </c>
      <c r="G2" s="19"/>
    </row>
    <row r="3" spans="1:7" ht="15.75" customHeight="1">
      <c r="A3" s="5">
        <v>10102</v>
      </c>
      <c r="B3" s="4" t="s">
        <v>3</v>
      </c>
      <c r="C3" s="18">
        <v>56.675749318801095</v>
      </c>
      <c r="D3" s="18">
        <v>90.625</v>
      </c>
      <c r="G3" s="19"/>
    </row>
    <row r="4" spans="1:7" ht="15.75" customHeight="1">
      <c r="A4" s="5">
        <v>10103</v>
      </c>
      <c r="B4" s="4" t="s">
        <v>4</v>
      </c>
      <c r="C4" s="18">
        <v>25.079702444208291</v>
      </c>
      <c r="D4" s="18">
        <v>61.770623742454731</v>
      </c>
      <c r="G4" s="19"/>
    </row>
    <row r="5" spans="1:7" ht="15.75" customHeight="1">
      <c r="A5" s="5">
        <v>10201</v>
      </c>
      <c r="B5" s="4" t="s">
        <v>305</v>
      </c>
      <c r="C5" s="18">
        <v>22.99651567944251</v>
      </c>
      <c r="D5" s="18">
        <v>56.92771084337349</v>
      </c>
      <c r="G5" s="19"/>
    </row>
    <row r="6" spans="1:7" ht="15.75" customHeight="1">
      <c r="A6" s="5">
        <v>10202</v>
      </c>
      <c r="B6" s="4" t="s">
        <v>5</v>
      </c>
      <c r="C6" s="18">
        <v>34.390243902439025</v>
      </c>
      <c r="D6" s="18">
        <v>69.58456973293768</v>
      </c>
      <c r="G6" s="19"/>
    </row>
    <row r="7" spans="1:7" ht="15.75" customHeight="1">
      <c r="A7" s="5">
        <v>10301</v>
      </c>
      <c r="B7" s="4" t="s">
        <v>308</v>
      </c>
      <c r="C7" s="18">
        <v>36.344086021505376</v>
      </c>
      <c r="D7" s="18">
        <v>79.625292740046831</v>
      </c>
      <c r="G7" s="19"/>
    </row>
    <row r="8" spans="1:7" ht="15.75" customHeight="1">
      <c r="A8" s="5">
        <v>10302</v>
      </c>
      <c r="B8" s="4" t="s">
        <v>6</v>
      </c>
      <c r="C8" s="18">
        <v>31.188118811881189</v>
      </c>
      <c r="D8" s="18">
        <v>61.135371179039296</v>
      </c>
      <c r="G8" s="19"/>
    </row>
    <row r="9" spans="1:7" ht="15.75" customHeight="1">
      <c r="A9" s="5">
        <v>10303</v>
      </c>
      <c r="B9" s="4" t="s">
        <v>311</v>
      </c>
      <c r="C9" s="18">
        <v>37.569060773480665</v>
      </c>
      <c r="D9" s="18">
        <v>78.648648648648646</v>
      </c>
      <c r="G9" s="19"/>
    </row>
    <row r="10" spans="1:7" ht="15.75" customHeight="1">
      <c r="A10" s="5">
        <v>10304</v>
      </c>
      <c r="B10" s="4" t="s">
        <v>7</v>
      </c>
      <c r="C10" s="18">
        <v>33.51063829787234</v>
      </c>
      <c r="D10" s="18">
        <v>72.118959107806688</v>
      </c>
      <c r="G10" s="19"/>
    </row>
    <row r="11" spans="1:7" ht="15.75" customHeight="1">
      <c r="A11" s="5">
        <v>10401</v>
      </c>
      <c r="B11" s="4" t="s">
        <v>9</v>
      </c>
      <c r="C11" s="18">
        <v>35.626535626535627</v>
      </c>
      <c r="D11" s="18">
        <v>81.456953642384107</v>
      </c>
      <c r="G11" s="19"/>
    </row>
    <row r="12" spans="1:7" ht="15.75" customHeight="1">
      <c r="A12" s="5">
        <v>10402</v>
      </c>
      <c r="B12" s="4" t="s">
        <v>8</v>
      </c>
      <c r="C12" s="18">
        <v>40.897097625329813</v>
      </c>
      <c r="D12" s="18">
        <v>75.912408759124077</v>
      </c>
      <c r="G12" s="19"/>
    </row>
    <row r="13" spans="1:7" ht="15.75" customHeight="1">
      <c r="A13" s="5">
        <v>10403</v>
      </c>
      <c r="B13" s="4" t="s">
        <v>10</v>
      </c>
      <c r="C13" s="18">
        <v>27.64227642276423</v>
      </c>
      <c r="D13" s="18">
        <v>70.281124497991968</v>
      </c>
      <c r="G13" s="19"/>
    </row>
    <row r="14" spans="1:7" ht="15.75" customHeight="1">
      <c r="A14" s="5">
        <v>10404</v>
      </c>
      <c r="B14" s="4" t="s">
        <v>318</v>
      </c>
      <c r="C14" s="18">
        <v>38</v>
      </c>
      <c r="D14" s="18">
        <v>72.115384615384613</v>
      </c>
      <c r="G14" s="19"/>
    </row>
    <row r="15" spans="1:7" ht="15.75" customHeight="1">
      <c r="A15" s="5">
        <v>10405</v>
      </c>
      <c r="B15" s="4" t="s">
        <v>11</v>
      </c>
      <c r="C15" s="18">
        <v>27.683615819209038</v>
      </c>
      <c r="D15" s="18">
        <v>85.638297872340431</v>
      </c>
      <c r="G15" s="19"/>
    </row>
    <row r="16" spans="1:7" ht="15.75" customHeight="1">
      <c r="A16" s="5">
        <v>10501</v>
      </c>
      <c r="B16" s="4" t="s">
        <v>12</v>
      </c>
      <c r="C16" s="18">
        <v>44.630541871921181</v>
      </c>
      <c r="D16" s="18">
        <v>83.042394014962596</v>
      </c>
      <c r="G16" s="19"/>
    </row>
    <row r="17" spans="1:7" ht="15.75" customHeight="1">
      <c r="A17" s="5">
        <v>10502</v>
      </c>
      <c r="B17" s="4" t="s">
        <v>321</v>
      </c>
      <c r="C17" s="18">
        <v>40.437158469945359</v>
      </c>
      <c r="D17" s="18">
        <v>81.090909090909093</v>
      </c>
      <c r="G17" s="19"/>
    </row>
    <row r="18" spans="1:7" ht="15.75" customHeight="1">
      <c r="A18" s="5">
        <v>10601</v>
      </c>
      <c r="B18" s="4" t="s">
        <v>14</v>
      </c>
      <c r="C18" s="18">
        <v>30.024509803921568</v>
      </c>
      <c r="D18" s="18">
        <v>69.849246231155774</v>
      </c>
      <c r="G18" s="19"/>
    </row>
    <row r="19" spans="1:7" ht="15.75" customHeight="1">
      <c r="A19" s="5">
        <v>10602</v>
      </c>
      <c r="B19" s="4" t="s">
        <v>13</v>
      </c>
      <c r="C19" s="18">
        <v>45</v>
      </c>
      <c r="D19" s="18">
        <v>83.856502242152459</v>
      </c>
      <c r="G19" s="19"/>
    </row>
    <row r="20" spans="1:7" ht="15.75" customHeight="1">
      <c r="A20" s="5">
        <v>10701</v>
      </c>
      <c r="B20" s="4" t="s">
        <v>15</v>
      </c>
      <c r="C20" s="18">
        <v>28.700906344410875</v>
      </c>
      <c r="D20" s="18">
        <v>74.318181818181813</v>
      </c>
      <c r="G20" s="19"/>
    </row>
    <row r="21" spans="1:7" ht="15.75" customHeight="1">
      <c r="A21" s="5">
        <v>10702</v>
      </c>
      <c r="B21" s="4" t="s">
        <v>16</v>
      </c>
      <c r="C21" s="18">
        <v>32.07756232686981</v>
      </c>
      <c r="D21" s="18">
        <v>71.660305343511453</v>
      </c>
      <c r="G21" s="19"/>
    </row>
    <row r="22" spans="1:7" ht="15.75" customHeight="1">
      <c r="A22" s="5">
        <v>10703</v>
      </c>
      <c r="B22" s="4" t="s">
        <v>17</v>
      </c>
      <c r="C22" s="18">
        <v>23.192771084337348</v>
      </c>
      <c r="D22" s="18">
        <v>62.201834862385319</v>
      </c>
      <c r="G22" s="19"/>
    </row>
    <row r="23" spans="1:7" ht="15.75" customHeight="1">
      <c r="A23" s="5">
        <v>10704</v>
      </c>
      <c r="B23" s="4" t="s">
        <v>18</v>
      </c>
      <c r="C23" s="18">
        <v>25.310734463276834</v>
      </c>
      <c r="D23" s="18">
        <v>64.587525150905435</v>
      </c>
      <c r="G23" s="19"/>
    </row>
    <row r="24" spans="1:7" ht="15.75" customHeight="1">
      <c r="A24" s="5">
        <v>10801</v>
      </c>
      <c r="B24" s="4" t="s">
        <v>19</v>
      </c>
      <c r="C24" s="18">
        <v>42.923433874709978</v>
      </c>
      <c r="D24" s="18">
        <v>90.460526315789465</v>
      </c>
      <c r="G24" s="19"/>
    </row>
    <row r="25" spans="1:7" ht="15.75" customHeight="1">
      <c r="A25" s="5">
        <v>10901</v>
      </c>
      <c r="B25" s="4" t="s">
        <v>20</v>
      </c>
      <c r="C25" s="18">
        <v>45.569620253164558</v>
      </c>
      <c r="D25" s="18">
        <v>92.41379310344827</v>
      </c>
      <c r="G25" s="19"/>
    </row>
    <row r="26" spans="1:7" ht="15.75" customHeight="1">
      <c r="A26" s="5">
        <v>10902</v>
      </c>
      <c r="B26" s="4" t="s">
        <v>21</v>
      </c>
      <c r="C26" s="18">
        <v>36.971046770601333</v>
      </c>
      <c r="D26" s="18">
        <v>73.44632768361582</v>
      </c>
      <c r="G26" s="19"/>
    </row>
    <row r="27" spans="1:7" ht="15.75" customHeight="1">
      <c r="A27" s="5">
        <v>10903</v>
      </c>
      <c r="B27" s="4" t="s">
        <v>22</v>
      </c>
      <c r="C27" s="18">
        <v>49.390243902439025</v>
      </c>
      <c r="D27" s="18">
        <v>74.796747967479675</v>
      </c>
      <c r="G27" s="19"/>
    </row>
    <row r="28" spans="1:7" ht="15.75" customHeight="1">
      <c r="A28" s="5">
        <v>11001</v>
      </c>
      <c r="B28" s="4" t="s">
        <v>326</v>
      </c>
      <c r="C28" s="18">
        <v>40</v>
      </c>
      <c r="D28" s="18">
        <v>82.399999999999991</v>
      </c>
      <c r="G28" s="19"/>
    </row>
    <row r="29" spans="1:7" ht="15.75" customHeight="1">
      <c r="A29" s="5">
        <v>11002</v>
      </c>
      <c r="B29" s="4" t="s">
        <v>327</v>
      </c>
      <c r="C29" s="18">
        <v>57.894736842105267</v>
      </c>
      <c r="D29" s="18">
        <v>91.666666666666657</v>
      </c>
      <c r="G29" s="19"/>
    </row>
    <row r="30" spans="1:7" ht="15.75" customHeight="1">
      <c r="A30" s="5">
        <v>11003</v>
      </c>
      <c r="B30" s="4" t="s">
        <v>23</v>
      </c>
      <c r="C30" s="18">
        <v>50.308641975308646</v>
      </c>
      <c r="D30" s="18">
        <v>76.170212765957444</v>
      </c>
      <c r="G30" s="19"/>
    </row>
    <row r="31" spans="1:7" ht="15.75" customHeight="1">
      <c r="A31" s="5">
        <v>20101</v>
      </c>
      <c r="B31" s="4" t="s">
        <v>25</v>
      </c>
      <c r="C31" s="18">
        <v>63.904082441537859</v>
      </c>
      <c r="D31" s="18">
        <v>91.161713624083362</v>
      </c>
      <c r="G31" s="19"/>
    </row>
    <row r="32" spans="1:7" ht="15.75" customHeight="1">
      <c r="A32" s="5">
        <v>20102</v>
      </c>
      <c r="B32" s="4" t="s">
        <v>26</v>
      </c>
      <c r="C32" s="18">
        <v>34.265734265734267</v>
      </c>
      <c r="D32" s="18">
        <v>85.623409669211199</v>
      </c>
      <c r="G32" s="19"/>
    </row>
    <row r="33" spans="1:7" ht="15.75" customHeight="1">
      <c r="A33" s="5">
        <v>20103</v>
      </c>
      <c r="B33" s="4" t="s">
        <v>27</v>
      </c>
      <c r="C33" s="18">
        <v>51.499118165784829</v>
      </c>
      <c r="D33" s="18">
        <v>83.695652173913047</v>
      </c>
      <c r="G33" s="19"/>
    </row>
    <row r="34" spans="1:7" ht="15.75" customHeight="1">
      <c r="A34" s="5">
        <v>20104</v>
      </c>
      <c r="B34" s="4" t="s">
        <v>28</v>
      </c>
      <c r="C34" s="18">
        <v>43.443557582668184</v>
      </c>
      <c r="D34" s="18">
        <v>85.931307793923381</v>
      </c>
      <c r="G34" s="19"/>
    </row>
    <row r="35" spans="1:7" ht="15.75" customHeight="1">
      <c r="A35" s="5">
        <v>20105</v>
      </c>
      <c r="B35" s="4" t="s">
        <v>29</v>
      </c>
      <c r="C35" s="18">
        <v>44.943728370166497</v>
      </c>
      <c r="D35" s="18">
        <v>86.58825921908894</v>
      </c>
      <c r="G35" s="19"/>
    </row>
    <row r="36" spans="1:7" ht="15.75" customHeight="1">
      <c r="A36" s="5">
        <v>20201</v>
      </c>
      <c r="B36" s="4" t="s">
        <v>30</v>
      </c>
      <c r="C36" s="18">
        <v>44.180225281602006</v>
      </c>
      <c r="D36" s="18">
        <v>87.096774193548384</v>
      </c>
      <c r="G36" s="19"/>
    </row>
    <row r="37" spans="1:7" ht="15.75" customHeight="1">
      <c r="A37" s="5">
        <v>20202</v>
      </c>
      <c r="B37" s="4" t="s">
        <v>328</v>
      </c>
      <c r="C37" s="18">
        <v>37.560975609756099</v>
      </c>
      <c r="D37" s="18">
        <v>83.044315992292866</v>
      </c>
      <c r="G37" s="19"/>
    </row>
    <row r="38" spans="1:7" ht="15.75" customHeight="1">
      <c r="A38" s="5">
        <v>20203</v>
      </c>
      <c r="B38" s="4" t="s">
        <v>34</v>
      </c>
      <c r="C38" s="18">
        <v>40</v>
      </c>
      <c r="D38" s="18">
        <v>87.5</v>
      </c>
      <c r="G38" s="19"/>
    </row>
    <row r="39" spans="1:7" ht="15.75" customHeight="1">
      <c r="A39" s="5">
        <v>20204</v>
      </c>
      <c r="B39" s="4" t="s">
        <v>31</v>
      </c>
      <c r="C39" s="18">
        <v>39.655172413793103</v>
      </c>
      <c r="D39" s="18">
        <v>82.040816326530603</v>
      </c>
      <c r="G39" s="19"/>
    </row>
    <row r="40" spans="1:7" ht="15.75" customHeight="1">
      <c r="A40" s="5">
        <v>20205</v>
      </c>
      <c r="B40" s="4" t="s">
        <v>32</v>
      </c>
      <c r="C40" s="18">
        <v>53.383458646616546</v>
      </c>
      <c r="D40" s="18">
        <v>81.696428571428569</v>
      </c>
      <c r="G40" s="19"/>
    </row>
    <row r="41" spans="1:7" ht="15.75" customHeight="1">
      <c r="A41" s="5">
        <v>20206</v>
      </c>
      <c r="B41" s="4" t="s">
        <v>33</v>
      </c>
      <c r="C41" s="18">
        <v>40.764331210191088</v>
      </c>
      <c r="D41" s="18">
        <v>84</v>
      </c>
      <c r="G41" s="19"/>
    </row>
    <row r="42" spans="1:7" ht="15.75" customHeight="1">
      <c r="A42" s="5">
        <v>20301</v>
      </c>
      <c r="B42" s="4" t="s">
        <v>329</v>
      </c>
      <c r="C42" s="18">
        <v>38.268156424581008</v>
      </c>
      <c r="D42" s="18">
        <v>79.156908665105391</v>
      </c>
      <c r="G42" s="19"/>
    </row>
    <row r="43" spans="1:7" ht="15.75" customHeight="1">
      <c r="A43" s="5">
        <v>20302</v>
      </c>
      <c r="B43" s="4" t="s">
        <v>35</v>
      </c>
      <c r="C43" s="18">
        <v>41.379310344827587</v>
      </c>
      <c r="D43" s="18">
        <v>82</v>
      </c>
      <c r="G43" s="19"/>
    </row>
    <row r="44" spans="1:7" ht="15.75" customHeight="1">
      <c r="A44" s="5">
        <v>20303</v>
      </c>
      <c r="B44" s="4" t="s">
        <v>36</v>
      </c>
      <c r="C44" s="18">
        <v>41.566265060240966</v>
      </c>
      <c r="D44" s="18">
        <v>83.965014577259481</v>
      </c>
      <c r="G44" s="19"/>
    </row>
    <row r="45" spans="1:7" ht="15.75" customHeight="1">
      <c r="A45" s="5">
        <v>20304</v>
      </c>
      <c r="B45" s="4" t="s">
        <v>37</v>
      </c>
      <c r="C45" s="18">
        <v>44.628099173553721</v>
      </c>
      <c r="D45" s="18">
        <v>81.92771084337349</v>
      </c>
      <c r="G45" s="19"/>
    </row>
    <row r="46" spans="1:7" ht="15.75" customHeight="1">
      <c r="A46" s="5">
        <v>20305</v>
      </c>
      <c r="B46" s="4" t="s">
        <v>38</v>
      </c>
      <c r="C46" s="18">
        <v>35.897435897435898</v>
      </c>
      <c r="D46" s="18">
        <v>82.30088495575221</v>
      </c>
      <c r="G46" s="19"/>
    </row>
    <row r="47" spans="1:7" ht="15.75" customHeight="1">
      <c r="A47" s="5">
        <v>20306</v>
      </c>
      <c r="B47" s="4" t="s">
        <v>330</v>
      </c>
      <c r="C47" s="18">
        <v>46.078431372549019</v>
      </c>
      <c r="D47" s="18">
        <v>67.777777777777786</v>
      </c>
      <c r="G47" s="19"/>
    </row>
    <row r="48" spans="1:7" ht="15.75" customHeight="1">
      <c r="A48" s="5">
        <v>20307</v>
      </c>
      <c r="B48" s="4" t="s">
        <v>39</v>
      </c>
      <c r="C48" s="18">
        <v>25</v>
      </c>
      <c r="D48" s="18">
        <v>88.28125</v>
      </c>
      <c r="G48" s="19"/>
    </row>
    <row r="49" spans="1:7" ht="15.75" customHeight="1">
      <c r="A49" s="5">
        <v>20308</v>
      </c>
      <c r="B49" s="4" t="s">
        <v>40</v>
      </c>
      <c r="C49" s="18">
        <v>35.864978902953588</v>
      </c>
      <c r="D49" s="18">
        <v>79.723502304147459</v>
      </c>
      <c r="G49" s="19"/>
    </row>
    <row r="50" spans="1:7" ht="15.75" customHeight="1">
      <c r="A50" s="5">
        <v>20401</v>
      </c>
      <c r="B50" s="4" t="s">
        <v>41</v>
      </c>
      <c r="C50" s="18">
        <v>37.305699481865283</v>
      </c>
      <c r="D50" s="18">
        <v>81.643835616438352</v>
      </c>
      <c r="G50" s="19"/>
    </row>
    <row r="51" spans="1:7" ht="15.75" customHeight="1">
      <c r="A51" s="5">
        <v>20402</v>
      </c>
      <c r="B51" s="4" t="s">
        <v>42</v>
      </c>
      <c r="C51" s="18">
        <v>32.705479452054789</v>
      </c>
      <c r="D51" s="18">
        <v>77.842003853564549</v>
      </c>
      <c r="G51" s="19"/>
    </row>
    <row r="52" spans="1:7" ht="15.75" customHeight="1">
      <c r="A52" s="5">
        <v>20403</v>
      </c>
      <c r="B52" s="4" t="s">
        <v>43</v>
      </c>
      <c r="C52" s="18">
        <v>43.030303030303031</v>
      </c>
      <c r="D52" s="18">
        <v>79.333333333333329</v>
      </c>
      <c r="G52" s="19"/>
    </row>
    <row r="53" spans="1:7" ht="15.75" customHeight="1">
      <c r="A53" s="5">
        <v>20404</v>
      </c>
      <c r="B53" s="4" t="s">
        <v>44</v>
      </c>
      <c r="C53" s="18">
        <v>22.826086956521738</v>
      </c>
      <c r="D53" s="18">
        <v>69.879518072289159</v>
      </c>
      <c r="G53" s="19"/>
    </row>
    <row r="54" spans="1:7" ht="15.75" customHeight="1">
      <c r="A54" s="5">
        <v>20405</v>
      </c>
      <c r="B54" s="4" t="s">
        <v>45</v>
      </c>
      <c r="C54" s="18">
        <v>54.040404040404042</v>
      </c>
      <c r="D54" s="18">
        <v>79.43925233644859</v>
      </c>
      <c r="G54" s="19"/>
    </row>
    <row r="55" spans="1:7" ht="15.75" customHeight="1">
      <c r="A55" s="5">
        <v>20501</v>
      </c>
      <c r="B55" s="4" t="s">
        <v>46</v>
      </c>
      <c r="C55" s="18">
        <v>39.047619047619051</v>
      </c>
      <c r="D55" s="18">
        <v>63.592233009708742</v>
      </c>
      <c r="G55" s="19"/>
    </row>
    <row r="56" spans="1:7" ht="15.75" customHeight="1">
      <c r="A56" s="5">
        <v>20502</v>
      </c>
      <c r="B56" s="4" t="s">
        <v>47</v>
      </c>
      <c r="C56" s="18">
        <v>31.49847094801223</v>
      </c>
      <c r="D56" s="18">
        <v>75.367647058823522</v>
      </c>
      <c r="G56" s="19"/>
    </row>
    <row r="57" spans="1:7" ht="15.75" customHeight="1">
      <c r="A57" s="5">
        <v>20503</v>
      </c>
      <c r="B57" s="4" t="s">
        <v>48</v>
      </c>
      <c r="C57" s="18">
        <v>21.171171171171171</v>
      </c>
      <c r="D57" s="18">
        <v>76.470588235294116</v>
      </c>
      <c r="G57" s="19"/>
    </row>
    <row r="58" spans="1:7" ht="15.75" customHeight="1">
      <c r="A58" s="5">
        <v>20601</v>
      </c>
      <c r="B58" s="4" t="s">
        <v>49</v>
      </c>
      <c r="C58" s="18">
        <v>32.435597189695557</v>
      </c>
      <c r="D58" s="18">
        <v>82.71844660194175</v>
      </c>
      <c r="G58" s="19"/>
    </row>
    <row r="59" spans="1:7" ht="15.75" customHeight="1">
      <c r="A59" s="5">
        <v>20602</v>
      </c>
      <c r="B59" s="4" t="s">
        <v>50</v>
      </c>
      <c r="C59" s="18">
        <v>32.310177705977381</v>
      </c>
      <c r="D59" s="18">
        <v>79.60526315789474</v>
      </c>
      <c r="G59" s="19"/>
    </row>
    <row r="60" spans="1:7" ht="15.75" customHeight="1">
      <c r="A60" s="5">
        <v>20603</v>
      </c>
      <c r="B60" s="4" t="s">
        <v>51</v>
      </c>
      <c r="C60" s="18">
        <v>37.784090909090914</v>
      </c>
      <c r="D60" s="18">
        <v>82.571428571428569</v>
      </c>
      <c r="G60" s="19"/>
    </row>
    <row r="61" spans="1:7" ht="15.75" customHeight="1">
      <c r="A61" s="5">
        <v>20604</v>
      </c>
      <c r="B61" s="4" t="s">
        <v>52</v>
      </c>
      <c r="C61" s="18">
        <v>35.652173913043477</v>
      </c>
      <c r="D61" s="18">
        <v>75.147928994082832</v>
      </c>
      <c r="G61" s="19"/>
    </row>
    <row r="62" spans="1:7" ht="15.75" customHeight="1">
      <c r="A62" s="5">
        <v>20605</v>
      </c>
      <c r="B62" s="4" t="s">
        <v>53</v>
      </c>
      <c r="C62" s="18">
        <v>36.046511627906973</v>
      </c>
      <c r="D62" s="18">
        <v>79.207920792079207</v>
      </c>
      <c r="G62" s="19"/>
    </row>
    <row r="63" spans="1:7" ht="15.75" customHeight="1">
      <c r="A63" s="5">
        <v>20606</v>
      </c>
      <c r="B63" s="4" t="s">
        <v>54</v>
      </c>
      <c r="C63" s="18">
        <v>49.327354260089685</v>
      </c>
      <c r="D63" s="18">
        <v>82.971014492753625</v>
      </c>
      <c r="G63" s="19"/>
    </row>
    <row r="64" spans="1:7" ht="15.75" customHeight="1">
      <c r="A64" s="5">
        <v>20607</v>
      </c>
      <c r="B64" s="4" t="s">
        <v>55</v>
      </c>
      <c r="C64" s="18">
        <v>42.725880551301685</v>
      </c>
      <c r="D64" s="18">
        <v>77.083333333333343</v>
      </c>
      <c r="G64" s="19"/>
    </row>
    <row r="65" spans="1:7" ht="15.75" customHeight="1">
      <c r="A65" s="5">
        <v>20608</v>
      </c>
      <c r="B65" s="4" t="s">
        <v>56</v>
      </c>
      <c r="C65" s="18">
        <v>36.165048543689323</v>
      </c>
      <c r="D65" s="18">
        <v>72.079207920792072</v>
      </c>
      <c r="G65" s="19"/>
    </row>
    <row r="66" spans="1:7" ht="15.75" customHeight="1">
      <c r="A66" s="5">
        <v>20701</v>
      </c>
      <c r="B66" s="4" t="s">
        <v>57</v>
      </c>
      <c r="C66" s="18">
        <v>34.599589322381931</v>
      </c>
      <c r="D66" s="18">
        <v>63.229813664596271</v>
      </c>
      <c r="G66" s="19"/>
    </row>
    <row r="67" spans="1:7" ht="15.75" customHeight="1">
      <c r="A67" s="5">
        <v>20702</v>
      </c>
      <c r="B67" s="4" t="s">
        <v>58</v>
      </c>
      <c r="C67" s="18">
        <v>25.684931506849317</v>
      </c>
      <c r="D67" s="18">
        <v>74.846625766871171</v>
      </c>
      <c r="G67" s="19"/>
    </row>
    <row r="68" spans="1:7" ht="15.75" customHeight="1">
      <c r="A68" s="5">
        <v>20801</v>
      </c>
      <c r="B68" s="4" t="s">
        <v>60</v>
      </c>
      <c r="C68" s="18">
        <v>43.780940594059402</v>
      </c>
      <c r="D68" s="18">
        <v>79.1926307233812</v>
      </c>
      <c r="G68" s="19"/>
    </row>
    <row r="69" spans="1:7" ht="15.75" customHeight="1">
      <c r="A69" s="5">
        <v>20802</v>
      </c>
      <c r="B69" s="4" t="s">
        <v>331</v>
      </c>
      <c r="C69" s="18">
        <v>46.082949308755758</v>
      </c>
      <c r="D69" s="18">
        <v>86.473429951690818</v>
      </c>
      <c r="G69" s="19"/>
    </row>
    <row r="70" spans="1:7" ht="15.75" customHeight="1">
      <c r="A70" s="5">
        <v>20803</v>
      </c>
      <c r="B70" s="4" t="s">
        <v>61</v>
      </c>
      <c r="C70" s="18">
        <v>38.081395348837212</v>
      </c>
      <c r="D70" s="18">
        <v>77.411764705882362</v>
      </c>
      <c r="G70" s="19"/>
    </row>
    <row r="71" spans="1:7" ht="15.75" customHeight="1">
      <c r="A71" s="5">
        <v>20804</v>
      </c>
      <c r="B71" s="4" t="s">
        <v>62</v>
      </c>
      <c r="C71" s="18">
        <v>46.95945945945946</v>
      </c>
      <c r="D71" s="18">
        <v>88.288288288288285</v>
      </c>
      <c r="G71" s="19"/>
    </row>
    <row r="72" spans="1:7" ht="15.75" customHeight="1">
      <c r="A72" s="5">
        <v>20805</v>
      </c>
      <c r="B72" s="4" t="s">
        <v>332</v>
      </c>
      <c r="C72" s="18">
        <v>28.143712574850298</v>
      </c>
      <c r="D72" s="18">
        <v>89.387755102040813</v>
      </c>
      <c r="G72" s="19"/>
    </row>
    <row r="73" spans="1:7" ht="15.75" customHeight="1">
      <c r="A73" s="5">
        <v>20806</v>
      </c>
      <c r="B73" s="4" t="s">
        <v>333</v>
      </c>
      <c r="C73" s="18">
        <v>46.400000000000006</v>
      </c>
      <c r="D73" s="18">
        <v>85.631067961165058</v>
      </c>
      <c r="G73" s="19"/>
    </row>
    <row r="74" spans="1:7" ht="15.75" customHeight="1">
      <c r="A74" s="5">
        <v>20807</v>
      </c>
      <c r="B74" s="4" t="s">
        <v>63</v>
      </c>
      <c r="C74" s="18">
        <v>40.935672514619881</v>
      </c>
      <c r="D74" s="18">
        <v>84</v>
      </c>
      <c r="G74" s="19"/>
    </row>
    <row r="75" spans="1:7" ht="15.75" customHeight="1">
      <c r="A75" s="5">
        <v>20901</v>
      </c>
      <c r="B75" s="4" t="s">
        <v>64</v>
      </c>
      <c r="C75" s="18">
        <v>45.882352941176471</v>
      </c>
      <c r="D75" s="18">
        <v>82.084690553745929</v>
      </c>
      <c r="G75" s="19"/>
    </row>
    <row r="76" spans="1:7" ht="15.75" customHeight="1">
      <c r="A76" s="5">
        <v>20902</v>
      </c>
      <c r="B76" s="4" t="s">
        <v>65</v>
      </c>
      <c r="C76" s="18">
        <v>39.120370370370374</v>
      </c>
      <c r="D76" s="18">
        <v>83.734939759036138</v>
      </c>
      <c r="G76" s="19"/>
    </row>
    <row r="77" spans="1:7" ht="15.75" customHeight="1">
      <c r="A77" s="5">
        <v>20903</v>
      </c>
      <c r="B77" s="4" t="s">
        <v>66</v>
      </c>
      <c r="C77" s="18">
        <v>33.812949640287769</v>
      </c>
      <c r="D77" s="18">
        <v>70.802919708029194</v>
      </c>
      <c r="G77" s="19"/>
    </row>
    <row r="78" spans="1:7" ht="15.75" customHeight="1">
      <c r="A78" s="5">
        <v>20904</v>
      </c>
      <c r="B78" s="4" t="s">
        <v>67</v>
      </c>
      <c r="C78" s="18">
        <v>34.684684684684683</v>
      </c>
      <c r="D78" s="18">
        <v>63.749999999999993</v>
      </c>
      <c r="G78" s="19"/>
    </row>
    <row r="79" spans="1:7" ht="15.75" customHeight="1">
      <c r="A79" s="5">
        <v>20905</v>
      </c>
      <c r="B79" s="4" t="s">
        <v>68</v>
      </c>
      <c r="C79" s="18">
        <v>39.622641509433961</v>
      </c>
      <c r="D79" s="18">
        <v>79.550102249488759</v>
      </c>
      <c r="G79" s="19"/>
    </row>
    <row r="80" spans="1:7" ht="15.75" customHeight="1">
      <c r="A80" s="5">
        <v>21001</v>
      </c>
      <c r="B80" s="4" t="s">
        <v>69</v>
      </c>
      <c r="C80" s="18">
        <v>30.489731437598738</v>
      </c>
      <c r="D80" s="18">
        <v>78.045112781954884</v>
      </c>
      <c r="G80" s="19"/>
    </row>
    <row r="81" spans="1:7" ht="15.75" customHeight="1">
      <c r="A81" s="5">
        <v>21002</v>
      </c>
      <c r="B81" s="4" t="s">
        <v>70</v>
      </c>
      <c r="C81" s="18">
        <v>32.225913621262457</v>
      </c>
      <c r="D81" s="18">
        <v>76.081424936386767</v>
      </c>
      <c r="G81" s="19"/>
    </row>
    <row r="82" spans="1:7" ht="15.75" customHeight="1">
      <c r="A82" s="5">
        <v>21003</v>
      </c>
      <c r="B82" s="4" t="s">
        <v>71</v>
      </c>
      <c r="C82" s="18">
        <v>31.556503198294244</v>
      </c>
      <c r="D82" s="18">
        <v>69.475357710651835</v>
      </c>
      <c r="G82" s="19"/>
    </row>
    <row r="83" spans="1:7" ht="15.75" customHeight="1">
      <c r="A83" s="5">
        <v>21004</v>
      </c>
      <c r="B83" s="4" t="s">
        <v>72</v>
      </c>
      <c r="C83" s="18">
        <v>29.945945945945944</v>
      </c>
      <c r="D83" s="18">
        <v>81.119648737650934</v>
      </c>
      <c r="G83" s="19"/>
    </row>
    <row r="84" spans="1:7" ht="15.75" customHeight="1">
      <c r="A84" s="5">
        <v>21005</v>
      </c>
      <c r="B84" s="4" t="s">
        <v>73</v>
      </c>
      <c r="C84" s="18">
        <v>29.855072463768117</v>
      </c>
      <c r="D84" s="18">
        <v>64.102564102564102</v>
      </c>
      <c r="G84" s="19"/>
    </row>
    <row r="85" spans="1:7" ht="15.75" customHeight="1">
      <c r="A85" s="5">
        <v>21006</v>
      </c>
      <c r="B85" s="4" t="s">
        <v>74</v>
      </c>
      <c r="C85" s="18">
        <v>43.356643356643353</v>
      </c>
      <c r="D85" s="18">
        <v>72.282608695652172</v>
      </c>
      <c r="G85" s="19"/>
    </row>
    <row r="86" spans="1:7" ht="15.75" customHeight="1">
      <c r="A86" s="5">
        <v>21101</v>
      </c>
      <c r="B86" s="4" t="s">
        <v>75</v>
      </c>
      <c r="C86" s="18">
        <v>46.544428772919602</v>
      </c>
      <c r="D86" s="18">
        <v>85.471406491499224</v>
      </c>
      <c r="G86" s="19"/>
    </row>
    <row r="87" spans="1:7" ht="15.75" customHeight="1">
      <c r="A87" s="5">
        <v>21102</v>
      </c>
      <c r="B87" s="4" t="s">
        <v>76</v>
      </c>
      <c r="C87" s="18">
        <v>42.177914110429448</v>
      </c>
      <c r="D87" s="18">
        <v>80.793854033290657</v>
      </c>
      <c r="G87" s="19"/>
    </row>
    <row r="88" spans="1:7" ht="15.75" customHeight="1">
      <c r="A88" s="5">
        <v>21103</v>
      </c>
      <c r="B88" s="4" t="s">
        <v>77</v>
      </c>
      <c r="C88" s="18">
        <v>55.000000000000007</v>
      </c>
      <c r="D88" s="18">
        <v>88.646288209606979</v>
      </c>
      <c r="G88" s="19"/>
    </row>
    <row r="89" spans="1:7" ht="15.75" customHeight="1">
      <c r="A89" s="5">
        <v>21104</v>
      </c>
      <c r="B89" s="4" t="s">
        <v>78</v>
      </c>
      <c r="C89" s="18">
        <v>32.68892794376098</v>
      </c>
      <c r="D89" s="18">
        <v>69.582504970178931</v>
      </c>
      <c r="G89" s="19"/>
    </row>
    <row r="90" spans="1:7" ht="15.75" customHeight="1">
      <c r="A90" s="5">
        <v>21105</v>
      </c>
      <c r="B90" s="4" t="s">
        <v>79</v>
      </c>
      <c r="C90" s="18">
        <v>28.102345415778252</v>
      </c>
      <c r="D90" s="18">
        <v>59.273527793065497</v>
      </c>
      <c r="G90" s="19"/>
    </row>
    <row r="91" spans="1:7" ht="15.75" customHeight="1">
      <c r="A91" s="5">
        <v>21201</v>
      </c>
      <c r="B91" s="4" t="s">
        <v>80</v>
      </c>
      <c r="C91" s="18">
        <v>35.922330097087382</v>
      </c>
      <c r="D91" s="18">
        <v>84.729344729344717</v>
      </c>
      <c r="G91" s="19"/>
    </row>
    <row r="92" spans="1:7" ht="15.75" customHeight="1">
      <c r="A92" s="5">
        <v>21202</v>
      </c>
      <c r="B92" s="4" t="s">
        <v>81</v>
      </c>
      <c r="C92" s="18">
        <v>37.926972909305064</v>
      </c>
      <c r="D92" s="18">
        <v>83.2012678288431</v>
      </c>
      <c r="G92" s="19"/>
    </row>
    <row r="93" spans="1:7" ht="15.75" customHeight="1">
      <c r="A93" s="5">
        <v>21203</v>
      </c>
      <c r="B93" s="4" t="s">
        <v>82</v>
      </c>
      <c r="C93" s="18">
        <v>38.333333333333336</v>
      </c>
      <c r="D93" s="18">
        <v>86.277602523659297</v>
      </c>
      <c r="G93" s="19"/>
    </row>
    <row r="94" spans="1:7" ht="15.75" customHeight="1">
      <c r="A94" s="5">
        <v>21204</v>
      </c>
      <c r="B94" s="4" t="s">
        <v>83</v>
      </c>
      <c r="C94" s="18">
        <v>29.213483146067414</v>
      </c>
      <c r="D94" s="18">
        <v>82.38095238095238</v>
      </c>
      <c r="G94" s="19"/>
    </row>
    <row r="95" spans="1:7" ht="15.75" customHeight="1">
      <c r="A95" s="5">
        <v>21301</v>
      </c>
      <c r="B95" s="4" t="s">
        <v>334</v>
      </c>
      <c r="C95" s="18">
        <v>33.962264150943398</v>
      </c>
      <c r="D95" s="18">
        <v>77.883850437549711</v>
      </c>
      <c r="G95" s="19"/>
    </row>
    <row r="96" spans="1:7" ht="15.75" customHeight="1">
      <c r="A96" s="5">
        <v>21302</v>
      </c>
      <c r="B96" s="4" t="s">
        <v>84</v>
      </c>
      <c r="C96" s="18">
        <v>37.151702786377712</v>
      </c>
      <c r="D96" s="18">
        <v>79.116465863453811</v>
      </c>
      <c r="G96" s="19"/>
    </row>
    <row r="97" spans="1:7" ht="15.75" customHeight="1">
      <c r="A97" s="5">
        <v>21303</v>
      </c>
      <c r="B97" s="4" t="s">
        <v>85</v>
      </c>
      <c r="C97" s="18">
        <v>28.664495114006517</v>
      </c>
      <c r="D97" s="18">
        <v>79.710144927536234</v>
      </c>
      <c r="G97" s="19"/>
    </row>
    <row r="98" spans="1:7" ht="15.75" customHeight="1">
      <c r="A98" s="5">
        <v>21304</v>
      </c>
      <c r="B98" s="4" t="s">
        <v>86</v>
      </c>
      <c r="C98" s="18">
        <v>34.903640256959321</v>
      </c>
      <c r="D98" s="18">
        <v>82.539682539682531</v>
      </c>
      <c r="G98" s="19"/>
    </row>
    <row r="99" spans="1:7" ht="15.75" customHeight="1">
      <c r="A99" s="5">
        <v>21305</v>
      </c>
      <c r="B99" s="4" t="s">
        <v>87</v>
      </c>
      <c r="C99" s="18">
        <v>35.24096385542169</v>
      </c>
      <c r="D99" s="18">
        <v>73.655323819978051</v>
      </c>
      <c r="G99" s="19"/>
    </row>
    <row r="100" spans="1:7" ht="15.75" customHeight="1">
      <c r="A100" s="5">
        <v>21306</v>
      </c>
      <c r="B100" s="4" t="s">
        <v>88</v>
      </c>
      <c r="C100" s="18">
        <v>35.112359550561798</v>
      </c>
      <c r="D100" s="18">
        <v>71.990740740740748</v>
      </c>
      <c r="G100" s="19"/>
    </row>
    <row r="101" spans="1:7" ht="15.75" customHeight="1">
      <c r="A101" s="5">
        <v>21307</v>
      </c>
      <c r="B101" s="4" t="s">
        <v>89</v>
      </c>
      <c r="C101" s="18">
        <v>41.758241758241759</v>
      </c>
      <c r="D101" s="18">
        <v>67.597765363128488</v>
      </c>
      <c r="G101" s="19"/>
    </row>
    <row r="102" spans="1:7" ht="15.75" customHeight="1">
      <c r="A102" s="5">
        <v>21401</v>
      </c>
      <c r="B102" s="4" t="s">
        <v>90</v>
      </c>
      <c r="C102" s="18">
        <v>41.596638655462186</v>
      </c>
      <c r="D102" s="18">
        <v>79.258400926998846</v>
      </c>
      <c r="G102" s="19"/>
    </row>
    <row r="103" spans="1:7" ht="15.75" customHeight="1">
      <c r="A103" s="5">
        <v>21402</v>
      </c>
      <c r="B103" s="4" t="s">
        <v>91</v>
      </c>
      <c r="C103" s="18">
        <v>35.446685878962533</v>
      </c>
      <c r="D103" s="18">
        <v>78.080415045395597</v>
      </c>
      <c r="G103" s="19"/>
    </row>
    <row r="104" spans="1:7" ht="15.75" customHeight="1">
      <c r="A104" s="5">
        <v>21501</v>
      </c>
      <c r="B104" s="4" t="s">
        <v>92</v>
      </c>
      <c r="C104" s="18">
        <v>39.959432048681542</v>
      </c>
      <c r="D104" s="18">
        <v>61.413043478260867</v>
      </c>
      <c r="G104" s="19"/>
    </row>
    <row r="105" spans="1:7" ht="15.75" customHeight="1">
      <c r="A105" s="5">
        <v>21502</v>
      </c>
      <c r="B105" s="4" t="s">
        <v>93</v>
      </c>
      <c r="C105" s="18">
        <v>35.368421052631575</v>
      </c>
      <c r="D105" s="18">
        <v>78.048780487804876</v>
      </c>
      <c r="G105" s="19"/>
    </row>
    <row r="106" spans="1:7" ht="15.75" customHeight="1">
      <c r="A106" s="5">
        <v>21601</v>
      </c>
      <c r="B106" s="4" t="s">
        <v>335</v>
      </c>
      <c r="C106" s="18">
        <v>29.565217391304348</v>
      </c>
      <c r="D106" s="18">
        <v>76.151315789473685</v>
      </c>
      <c r="G106" s="19"/>
    </row>
    <row r="107" spans="1:7" ht="15.75" customHeight="1">
      <c r="A107" s="5">
        <v>21602</v>
      </c>
      <c r="B107" s="4" t="s">
        <v>94</v>
      </c>
      <c r="C107" s="18">
        <v>30.37974683544304</v>
      </c>
      <c r="D107" s="18">
        <v>68.211920529801333</v>
      </c>
      <c r="G107" s="19"/>
    </row>
    <row r="108" spans="1:7" ht="15.75" customHeight="1">
      <c r="A108" s="5">
        <v>21701</v>
      </c>
      <c r="B108" s="4" t="s">
        <v>95</v>
      </c>
      <c r="C108" s="18">
        <v>44.952380952380956</v>
      </c>
      <c r="D108" s="18">
        <v>82.068965517241381</v>
      </c>
      <c r="G108" s="19"/>
    </row>
    <row r="109" spans="1:7" ht="15.75" customHeight="1">
      <c r="A109" s="5">
        <v>21702</v>
      </c>
      <c r="B109" s="4" t="s">
        <v>96</v>
      </c>
      <c r="C109" s="18">
        <v>53.146853146853147</v>
      </c>
      <c r="D109" s="18">
        <v>91.845493562231766</v>
      </c>
      <c r="G109" s="19"/>
    </row>
    <row r="110" spans="1:7" ht="15.75" customHeight="1">
      <c r="A110" s="5">
        <v>21703</v>
      </c>
      <c r="B110" s="4" t="s">
        <v>97</v>
      </c>
      <c r="C110" s="18">
        <v>46.496815286624205</v>
      </c>
      <c r="D110" s="18">
        <v>73.825503355704697</v>
      </c>
      <c r="G110" s="19"/>
    </row>
    <row r="111" spans="1:7" ht="15.75" customHeight="1">
      <c r="A111" s="5">
        <v>21801</v>
      </c>
      <c r="B111" s="4" t="s">
        <v>98</v>
      </c>
      <c r="C111" s="18">
        <v>48.760330578512395</v>
      </c>
      <c r="D111" s="18">
        <v>82.50950570342205</v>
      </c>
      <c r="G111" s="19"/>
    </row>
    <row r="112" spans="1:7" ht="15.75" customHeight="1">
      <c r="A112" s="5">
        <v>21802</v>
      </c>
      <c r="B112" s="4" t="s">
        <v>99</v>
      </c>
      <c r="C112" s="18">
        <v>47.017543859649123</v>
      </c>
      <c r="D112" s="18">
        <v>90.116279069767444</v>
      </c>
      <c r="G112" s="19"/>
    </row>
    <row r="113" spans="1:7" ht="15.75" customHeight="1">
      <c r="A113" s="5">
        <v>21803</v>
      </c>
      <c r="B113" s="4" t="s">
        <v>100</v>
      </c>
      <c r="C113" s="18">
        <v>27.142857142857142</v>
      </c>
      <c r="D113" s="18">
        <v>86.885245901639337</v>
      </c>
      <c r="G113" s="19"/>
    </row>
    <row r="114" spans="1:7" ht="15.75" customHeight="1">
      <c r="A114" s="5">
        <v>21901</v>
      </c>
      <c r="B114" s="4" t="s">
        <v>101</v>
      </c>
      <c r="C114" s="18">
        <v>38.931297709923662</v>
      </c>
      <c r="D114" s="18">
        <v>87.5</v>
      </c>
      <c r="G114" s="19"/>
    </row>
    <row r="115" spans="1:7" ht="15.75" customHeight="1">
      <c r="A115" s="5">
        <v>21902</v>
      </c>
      <c r="B115" s="4" t="s">
        <v>102</v>
      </c>
      <c r="C115" s="18">
        <v>43.518518518518519</v>
      </c>
      <c r="D115" s="18">
        <v>75.217391304347828</v>
      </c>
      <c r="G115" s="19"/>
    </row>
    <row r="116" spans="1:7" ht="15.75" customHeight="1">
      <c r="A116" s="5">
        <v>22001</v>
      </c>
      <c r="B116" s="4" t="s">
        <v>103</v>
      </c>
      <c r="C116" s="18">
        <v>35.193726937269368</v>
      </c>
      <c r="D116" s="18">
        <v>66.886792452830193</v>
      </c>
      <c r="G116" s="19"/>
    </row>
    <row r="117" spans="1:7" ht="15.75" customHeight="1">
      <c r="A117" s="5">
        <v>22002</v>
      </c>
      <c r="B117" s="4" t="s">
        <v>104</v>
      </c>
      <c r="C117" s="18">
        <v>26.069246435845212</v>
      </c>
      <c r="D117" s="18">
        <v>76.5</v>
      </c>
      <c r="G117" s="19"/>
    </row>
    <row r="118" spans="1:7" ht="15.75" customHeight="1">
      <c r="A118" s="5">
        <v>30101</v>
      </c>
      <c r="B118" s="4" t="s">
        <v>105</v>
      </c>
      <c r="C118" s="18">
        <v>54.441319990075264</v>
      </c>
      <c r="D118" s="18">
        <v>83.721506442021806</v>
      </c>
      <c r="G118" s="19"/>
    </row>
    <row r="119" spans="1:7" ht="15.75" customHeight="1">
      <c r="A119" s="5">
        <v>30201</v>
      </c>
      <c r="B119" s="4" t="s">
        <v>106</v>
      </c>
      <c r="C119" s="18">
        <v>42.819148936170215</v>
      </c>
      <c r="D119" s="18">
        <v>81.009615384615387</v>
      </c>
      <c r="G119" s="19"/>
    </row>
    <row r="120" spans="1:7" ht="15.75" customHeight="1">
      <c r="A120" s="5">
        <v>30202</v>
      </c>
      <c r="B120" s="4" t="s">
        <v>107</v>
      </c>
      <c r="C120" s="18">
        <v>50.367647058823529</v>
      </c>
      <c r="D120" s="18">
        <v>79.545454545454547</v>
      </c>
      <c r="G120" s="19"/>
    </row>
    <row r="121" spans="1:7" ht="15.75" customHeight="1">
      <c r="A121" s="5">
        <v>30203</v>
      </c>
      <c r="B121" s="4" t="s">
        <v>108</v>
      </c>
      <c r="C121" s="18">
        <v>38.518518518518519</v>
      </c>
      <c r="D121" s="18">
        <v>85.836909871244643</v>
      </c>
      <c r="G121" s="19"/>
    </row>
    <row r="122" spans="1:7" ht="15.75" customHeight="1">
      <c r="A122" s="5">
        <v>30301</v>
      </c>
      <c r="B122" s="4" t="s">
        <v>336</v>
      </c>
      <c r="C122" s="18">
        <v>38.946528332003197</v>
      </c>
      <c r="D122" s="18">
        <v>74.516908212560381</v>
      </c>
      <c r="G122" s="19"/>
    </row>
    <row r="123" spans="1:7" ht="15.75" customHeight="1">
      <c r="A123" s="5">
        <v>30302</v>
      </c>
      <c r="B123" s="4" t="s">
        <v>109</v>
      </c>
      <c r="C123" s="18">
        <v>33.76</v>
      </c>
      <c r="D123" s="18">
        <v>62.815884476534301</v>
      </c>
      <c r="G123" s="19"/>
    </row>
    <row r="124" spans="1:7" ht="15.75" customHeight="1">
      <c r="A124" s="5">
        <v>30303</v>
      </c>
      <c r="B124" s="4" t="s">
        <v>110</v>
      </c>
      <c r="C124" s="18">
        <v>14.749262536873156</v>
      </c>
      <c r="D124" s="18">
        <v>60.411311053984576</v>
      </c>
      <c r="G124" s="19"/>
    </row>
    <row r="125" spans="1:7" ht="15.75" customHeight="1">
      <c r="A125" s="5">
        <v>30401</v>
      </c>
      <c r="B125" s="4" t="s">
        <v>111</v>
      </c>
      <c r="C125" s="18">
        <v>56.36363636363636</v>
      </c>
      <c r="D125" s="18">
        <v>86.36363636363636</v>
      </c>
      <c r="G125" s="19"/>
    </row>
    <row r="126" spans="1:7" ht="15.75" customHeight="1">
      <c r="A126" s="5">
        <v>30402</v>
      </c>
      <c r="B126" s="4" t="s">
        <v>112</v>
      </c>
      <c r="C126" s="18">
        <v>34.929577464788728</v>
      </c>
      <c r="D126" s="18">
        <v>81.858407079646028</v>
      </c>
      <c r="G126" s="19"/>
    </row>
    <row r="127" spans="1:7" ht="15.75" customHeight="1">
      <c r="A127" s="5">
        <v>30403</v>
      </c>
      <c r="B127" s="4" t="s">
        <v>113</v>
      </c>
      <c r="C127" s="18">
        <v>48.751835535976504</v>
      </c>
      <c r="D127" s="18">
        <v>82.874354561101555</v>
      </c>
      <c r="G127" s="19"/>
    </row>
    <row r="128" spans="1:7" ht="15.75" customHeight="1">
      <c r="A128" s="5">
        <v>30404</v>
      </c>
      <c r="B128" s="4" t="s">
        <v>114</v>
      </c>
      <c r="C128" s="18">
        <v>46.261682242990652</v>
      </c>
      <c r="D128" s="18">
        <v>77.631578947368425</v>
      </c>
      <c r="G128" s="19"/>
    </row>
    <row r="129" spans="1:7" ht="15.75" customHeight="1">
      <c r="A129" s="5">
        <v>30501</v>
      </c>
      <c r="B129" s="4" t="s">
        <v>115</v>
      </c>
      <c r="C129" s="18">
        <v>46.726190476190474</v>
      </c>
      <c r="D129" s="18">
        <v>88.034188034188034</v>
      </c>
      <c r="G129" s="19"/>
    </row>
    <row r="130" spans="1:7" ht="15.75" customHeight="1">
      <c r="A130" s="5">
        <v>30502</v>
      </c>
      <c r="B130" s="4" t="s">
        <v>116</v>
      </c>
      <c r="C130" s="18">
        <v>36.51226158038147</v>
      </c>
      <c r="D130" s="18">
        <v>83.185840707964601</v>
      </c>
      <c r="G130" s="19"/>
    </row>
    <row r="131" spans="1:7" ht="15.75" customHeight="1">
      <c r="A131" s="5">
        <v>30601</v>
      </c>
      <c r="B131" s="4" t="s">
        <v>117</v>
      </c>
      <c r="C131" s="18">
        <v>20.209059233449477</v>
      </c>
      <c r="D131" s="18">
        <v>58.835341365461844</v>
      </c>
      <c r="G131" s="19"/>
    </row>
    <row r="132" spans="1:7" ht="15.75" customHeight="1">
      <c r="A132" s="5">
        <v>30602</v>
      </c>
      <c r="B132" s="4" t="s">
        <v>118</v>
      </c>
      <c r="C132" s="18">
        <v>31.284916201117319</v>
      </c>
      <c r="D132" s="18">
        <v>57.03125</v>
      </c>
      <c r="G132" s="19"/>
    </row>
    <row r="133" spans="1:7" ht="15.75" customHeight="1">
      <c r="A133" s="5">
        <v>30701</v>
      </c>
      <c r="B133" s="4" t="s">
        <v>119</v>
      </c>
      <c r="C133" s="18">
        <v>46.561443066516347</v>
      </c>
      <c r="D133" s="18">
        <v>87.106017191977088</v>
      </c>
      <c r="G133" s="19"/>
    </row>
    <row r="134" spans="1:7" ht="15.75" customHeight="1">
      <c r="A134" s="5">
        <v>30702</v>
      </c>
      <c r="B134" s="4" t="s">
        <v>337</v>
      </c>
      <c r="C134" s="18">
        <v>50</v>
      </c>
      <c r="D134" s="18">
        <v>89.32384341637011</v>
      </c>
      <c r="G134" s="19"/>
    </row>
    <row r="135" spans="1:7" ht="15.75" customHeight="1">
      <c r="A135" s="5">
        <v>30703</v>
      </c>
      <c r="B135" s="4" t="s">
        <v>120</v>
      </c>
      <c r="C135" s="18">
        <v>48.167539267015705</v>
      </c>
      <c r="D135" s="18">
        <v>82.23684210526315</v>
      </c>
      <c r="G135" s="19"/>
    </row>
    <row r="136" spans="1:7" ht="15.75" customHeight="1">
      <c r="A136" s="5">
        <v>30801</v>
      </c>
      <c r="B136" s="4" t="s">
        <v>121</v>
      </c>
      <c r="C136" s="18">
        <v>50.452781371280722</v>
      </c>
      <c r="D136" s="18">
        <v>78.994082840236686</v>
      </c>
      <c r="G136" s="19"/>
    </row>
    <row r="137" spans="1:7" ht="15.75" customHeight="1">
      <c r="A137" s="5">
        <v>30802</v>
      </c>
      <c r="B137" s="4" t="s">
        <v>122</v>
      </c>
      <c r="C137" s="18">
        <v>47.340425531914896</v>
      </c>
      <c r="D137" s="18">
        <v>87.391304347826079</v>
      </c>
      <c r="G137" s="19"/>
    </row>
    <row r="138" spans="1:7" ht="15.75" customHeight="1">
      <c r="A138" s="5">
        <v>30803</v>
      </c>
      <c r="B138" s="4" t="s">
        <v>123</v>
      </c>
      <c r="C138" s="18">
        <v>58.585858585858588</v>
      </c>
      <c r="D138" s="18">
        <v>93.004115226337447</v>
      </c>
      <c r="G138" s="19"/>
    </row>
    <row r="139" spans="1:7" ht="15.75" customHeight="1">
      <c r="A139" s="5">
        <v>30901</v>
      </c>
      <c r="B139" s="4" t="s">
        <v>124</v>
      </c>
      <c r="C139" s="18">
        <v>51.030837004405285</v>
      </c>
      <c r="D139" s="18">
        <v>80.031920553289595</v>
      </c>
      <c r="G139" s="19"/>
    </row>
    <row r="140" spans="1:7" ht="15.75" customHeight="1">
      <c r="A140" s="5">
        <v>30902</v>
      </c>
      <c r="B140" s="4" t="s">
        <v>338</v>
      </c>
      <c r="C140" s="18">
        <v>40.05167958656331</v>
      </c>
      <c r="D140" s="18">
        <v>80.801781737193764</v>
      </c>
      <c r="G140" s="19"/>
    </row>
    <row r="141" spans="1:7" ht="15.75" customHeight="1">
      <c r="A141" s="5">
        <v>30903</v>
      </c>
      <c r="B141" s="4" t="s">
        <v>125</v>
      </c>
      <c r="C141" s="18">
        <v>57.724656927844173</v>
      </c>
      <c r="D141" s="18">
        <v>87.030075187969928</v>
      </c>
      <c r="G141" s="19"/>
    </row>
    <row r="142" spans="1:7" ht="15.75" customHeight="1">
      <c r="A142" s="5">
        <v>30904</v>
      </c>
      <c r="B142" s="4" t="s">
        <v>126</v>
      </c>
      <c r="C142" s="18">
        <v>45.1528384279476</v>
      </c>
      <c r="D142" s="18">
        <v>72.883933096806899</v>
      </c>
      <c r="G142" s="19"/>
    </row>
    <row r="143" spans="1:7" ht="15.75" customHeight="1">
      <c r="A143" s="5">
        <v>30905</v>
      </c>
      <c r="B143" s="4" t="s">
        <v>127</v>
      </c>
      <c r="C143" s="18">
        <v>54.456415279138106</v>
      </c>
      <c r="D143" s="18">
        <v>90.444015444015449</v>
      </c>
      <c r="G143" s="19"/>
    </row>
    <row r="144" spans="1:7" ht="15.75" customHeight="1">
      <c r="A144" s="5">
        <v>31001</v>
      </c>
      <c r="B144" s="4" t="s">
        <v>128</v>
      </c>
      <c r="C144" s="18">
        <v>48.810523369717323</v>
      </c>
      <c r="D144" s="18">
        <v>82.696259761611174</v>
      </c>
      <c r="G144" s="19"/>
    </row>
    <row r="145" spans="1:7" ht="15.75" customHeight="1">
      <c r="A145" s="5">
        <v>31002</v>
      </c>
      <c r="B145" s="4" t="s">
        <v>129</v>
      </c>
      <c r="C145" s="18">
        <v>36.820512820512818</v>
      </c>
      <c r="D145" s="18">
        <v>75.217932752179323</v>
      </c>
      <c r="G145" s="19"/>
    </row>
    <row r="146" spans="1:7" ht="15.75" customHeight="1">
      <c r="A146" s="5">
        <v>31003</v>
      </c>
      <c r="B146" s="4" t="s">
        <v>130</v>
      </c>
      <c r="C146" s="18">
        <v>37.152685895739609</v>
      </c>
      <c r="D146" s="18">
        <v>76.906138177814469</v>
      </c>
      <c r="G146" s="19"/>
    </row>
    <row r="147" spans="1:7" ht="15.75" customHeight="1">
      <c r="A147" s="5">
        <v>31101</v>
      </c>
      <c r="B147" s="4" t="s">
        <v>131</v>
      </c>
      <c r="C147" s="18">
        <v>38.447814451382698</v>
      </c>
      <c r="D147" s="18">
        <v>50.053134962805522</v>
      </c>
      <c r="G147" s="19"/>
    </row>
    <row r="148" spans="1:7" ht="15.75" customHeight="1">
      <c r="A148" s="5">
        <v>31201</v>
      </c>
      <c r="B148" s="4" t="s">
        <v>132</v>
      </c>
      <c r="C148" s="18">
        <v>23.066841415465269</v>
      </c>
      <c r="D148" s="18">
        <v>68.61435726210351</v>
      </c>
      <c r="G148" s="19"/>
    </row>
    <row r="149" spans="1:7" ht="15.75" customHeight="1">
      <c r="A149" s="5">
        <v>31202</v>
      </c>
      <c r="B149" s="4" t="s">
        <v>133</v>
      </c>
      <c r="C149" s="18">
        <v>24.46043165467626</v>
      </c>
      <c r="D149" s="18">
        <v>64.139344262295083</v>
      </c>
      <c r="G149" s="19"/>
    </row>
    <row r="150" spans="1:7" ht="15.75" customHeight="1">
      <c r="A150" s="5">
        <v>31203</v>
      </c>
      <c r="B150" s="4" t="s">
        <v>134</v>
      </c>
      <c r="C150" s="18">
        <v>36.134453781512605</v>
      </c>
      <c r="D150" s="18">
        <v>79.301745635910223</v>
      </c>
      <c r="G150" s="19"/>
    </row>
    <row r="151" spans="1:7" ht="15.75" customHeight="1">
      <c r="A151" s="5">
        <v>31204</v>
      </c>
      <c r="B151" s="4" t="s">
        <v>135</v>
      </c>
      <c r="C151" s="18">
        <v>40.476190476190474</v>
      </c>
      <c r="D151" s="18">
        <v>82.421875</v>
      </c>
      <c r="G151" s="19"/>
    </row>
    <row r="152" spans="1:7" ht="15.75" customHeight="1">
      <c r="A152" s="5">
        <v>31205</v>
      </c>
      <c r="B152" s="4" t="s">
        <v>136</v>
      </c>
      <c r="C152" s="18">
        <v>37.472085752568113</v>
      </c>
      <c r="D152" s="18">
        <v>72.854973424449511</v>
      </c>
      <c r="G152" s="19"/>
    </row>
    <row r="153" spans="1:7" ht="15.75" customHeight="1">
      <c r="A153" s="5">
        <v>31206</v>
      </c>
      <c r="B153" s="4" t="s">
        <v>137</v>
      </c>
      <c r="C153" s="18">
        <v>31.907894736842106</v>
      </c>
      <c r="D153" s="18">
        <v>72.614555256064691</v>
      </c>
      <c r="G153" s="19"/>
    </row>
    <row r="154" spans="1:7" ht="15.75" customHeight="1">
      <c r="A154" s="5">
        <v>31301</v>
      </c>
      <c r="B154" s="4" t="s">
        <v>138</v>
      </c>
      <c r="C154" s="18">
        <v>33.993174061433443</v>
      </c>
      <c r="D154" s="18">
        <v>72.715053763440864</v>
      </c>
      <c r="G154" s="19"/>
    </row>
    <row r="155" spans="1:7" ht="15.75" customHeight="1">
      <c r="A155" s="5">
        <v>31302</v>
      </c>
      <c r="B155" s="4" t="s">
        <v>139</v>
      </c>
      <c r="C155" s="18">
        <v>26.623376623376622</v>
      </c>
      <c r="D155" s="18">
        <v>55.416666666666671</v>
      </c>
      <c r="G155" s="19"/>
    </row>
    <row r="156" spans="1:7" ht="15.75" customHeight="1">
      <c r="A156" s="5">
        <v>31303</v>
      </c>
      <c r="B156" s="4" t="s">
        <v>140</v>
      </c>
      <c r="C156" s="18">
        <v>23.626373626373624</v>
      </c>
      <c r="D156" s="18">
        <v>66.086956521739125</v>
      </c>
      <c r="G156" s="19"/>
    </row>
    <row r="157" spans="1:7" ht="15.75" customHeight="1">
      <c r="A157" s="5">
        <v>31304</v>
      </c>
      <c r="B157" s="4" t="s">
        <v>141</v>
      </c>
      <c r="C157" s="18">
        <v>33.993174061433443</v>
      </c>
      <c r="D157" s="18">
        <v>48.484848484848484</v>
      </c>
      <c r="G157" s="19"/>
    </row>
    <row r="158" spans="1:7" ht="15.75" customHeight="1">
      <c r="A158" s="5">
        <v>31401</v>
      </c>
      <c r="B158" s="4" t="s">
        <v>142</v>
      </c>
      <c r="C158" s="18">
        <v>45.463228271251197</v>
      </c>
      <c r="D158" s="18">
        <v>80.144404332129966</v>
      </c>
      <c r="G158" s="19"/>
    </row>
    <row r="159" spans="1:7" ht="15.75" customHeight="1">
      <c r="A159" s="5">
        <v>31402</v>
      </c>
      <c r="B159" s="4" t="s">
        <v>143</v>
      </c>
      <c r="C159" s="18">
        <v>37.797619047619044</v>
      </c>
      <c r="D159" s="18">
        <v>83.15789473684211</v>
      </c>
      <c r="G159" s="19"/>
    </row>
    <row r="160" spans="1:7" ht="15.75" customHeight="1">
      <c r="A160" s="5">
        <v>31403</v>
      </c>
      <c r="B160" s="4" t="s">
        <v>144</v>
      </c>
      <c r="C160" s="18">
        <v>42.348008385744237</v>
      </c>
      <c r="D160" s="18">
        <v>85.13513513513513</v>
      </c>
      <c r="G160" s="19"/>
    </row>
    <row r="161" spans="1:7" ht="15.75" customHeight="1">
      <c r="A161" s="5">
        <v>31404</v>
      </c>
      <c r="B161" s="4" t="s">
        <v>145</v>
      </c>
      <c r="C161" s="18">
        <v>45.454545454545453</v>
      </c>
      <c r="D161" s="18">
        <v>89.189189189189193</v>
      </c>
      <c r="G161" s="19"/>
    </row>
    <row r="162" spans="1:7" ht="15.75" customHeight="1">
      <c r="A162" s="5">
        <v>31405</v>
      </c>
      <c r="B162" s="4" t="s">
        <v>339</v>
      </c>
      <c r="C162" s="18">
        <v>48.672566371681413</v>
      </c>
      <c r="D162" s="18">
        <v>81.300813008130078</v>
      </c>
      <c r="G162" s="19"/>
    </row>
    <row r="163" spans="1:7" ht="15.75" customHeight="1">
      <c r="A163" s="5">
        <v>31501</v>
      </c>
      <c r="B163" s="4" t="s">
        <v>340</v>
      </c>
      <c r="C163" s="18">
        <v>24.17910447761194</v>
      </c>
      <c r="D163" s="18">
        <v>68.55345911949685</v>
      </c>
      <c r="G163" s="19"/>
    </row>
    <row r="164" spans="1:7" ht="15.75" customHeight="1">
      <c r="A164" s="5">
        <v>31601</v>
      </c>
      <c r="B164" s="4" t="s">
        <v>146</v>
      </c>
      <c r="C164" s="18">
        <v>34.007352941176471</v>
      </c>
      <c r="D164" s="18">
        <v>70.521172638436482</v>
      </c>
      <c r="G164" s="19"/>
    </row>
    <row r="165" spans="1:7" ht="15.75" customHeight="1">
      <c r="A165" s="5">
        <v>31602</v>
      </c>
      <c r="B165" s="4" t="s">
        <v>147</v>
      </c>
      <c r="C165" s="18">
        <v>33.535353535353536</v>
      </c>
      <c r="D165" s="18">
        <v>76.887232059645854</v>
      </c>
      <c r="G165" s="19"/>
    </row>
    <row r="166" spans="1:7" ht="15.75" customHeight="1">
      <c r="A166" s="5">
        <v>40101</v>
      </c>
      <c r="B166" s="4" t="s">
        <v>148</v>
      </c>
      <c r="C166" s="18">
        <v>53.358738036157391</v>
      </c>
      <c r="D166" s="18">
        <v>89.923508414074448</v>
      </c>
      <c r="G166" s="19"/>
    </row>
    <row r="167" spans="1:7" ht="15.75" customHeight="1">
      <c r="A167" s="5">
        <v>40102</v>
      </c>
      <c r="B167" s="4" t="s">
        <v>149</v>
      </c>
      <c r="C167" s="18">
        <v>40.711462450592883</v>
      </c>
      <c r="D167" s="18">
        <v>86.885245901639337</v>
      </c>
      <c r="G167" s="19"/>
    </row>
    <row r="168" spans="1:7" ht="15.75" customHeight="1">
      <c r="A168" s="5">
        <v>40103</v>
      </c>
      <c r="B168" s="4" t="s">
        <v>150</v>
      </c>
      <c r="C168" s="18">
        <v>42.134831460674157</v>
      </c>
      <c r="D168" s="18">
        <v>53.846153846153847</v>
      </c>
      <c r="G168" s="19"/>
    </row>
    <row r="169" spans="1:7" ht="15.75" customHeight="1">
      <c r="A169" s="5">
        <v>40104</v>
      </c>
      <c r="B169" s="4" t="s">
        <v>341</v>
      </c>
      <c r="C169" s="18">
        <v>38.113207547169814</v>
      </c>
      <c r="D169" s="18">
        <v>86.818980667838304</v>
      </c>
      <c r="G169" s="19"/>
    </row>
    <row r="170" spans="1:7" ht="15.75" customHeight="1">
      <c r="A170" s="5">
        <v>40201</v>
      </c>
      <c r="B170" s="4" t="s">
        <v>151</v>
      </c>
      <c r="C170" s="18">
        <v>34.667734187349879</v>
      </c>
      <c r="D170" s="18">
        <v>81.216320246343344</v>
      </c>
      <c r="G170" s="19"/>
    </row>
    <row r="171" spans="1:7" ht="15.75" customHeight="1">
      <c r="A171" s="5">
        <v>40202</v>
      </c>
      <c r="B171" s="4" t="s">
        <v>152</v>
      </c>
      <c r="C171" s="18">
        <v>50</v>
      </c>
      <c r="D171" s="18">
        <v>85.810810810810807</v>
      </c>
      <c r="G171" s="19"/>
    </row>
    <row r="172" spans="1:7" ht="15.75" customHeight="1">
      <c r="A172" s="5">
        <v>40301</v>
      </c>
      <c r="B172" s="4" t="s">
        <v>154</v>
      </c>
      <c r="C172" s="18">
        <v>46.335078534031418</v>
      </c>
      <c r="D172" s="18">
        <v>81.766917293233092</v>
      </c>
      <c r="G172" s="19"/>
    </row>
    <row r="173" spans="1:7" ht="15.75" customHeight="1">
      <c r="A173" s="5">
        <v>40302</v>
      </c>
      <c r="B173" s="4" t="s">
        <v>155</v>
      </c>
      <c r="C173" s="18">
        <v>58.108108108108105</v>
      </c>
      <c r="D173" s="18">
        <v>91.011235955056179</v>
      </c>
      <c r="G173" s="19"/>
    </row>
    <row r="174" spans="1:7" ht="15.75" customHeight="1">
      <c r="A174" s="5">
        <v>40401</v>
      </c>
      <c r="B174" s="4" t="s">
        <v>156</v>
      </c>
      <c r="C174" s="18">
        <v>45.454545454545453</v>
      </c>
      <c r="D174" s="18">
        <v>83.068783068783063</v>
      </c>
      <c r="G174" s="19"/>
    </row>
    <row r="175" spans="1:7" ht="15.75" customHeight="1">
      <c r="A175" s="5">
        <v>40402</v>
      </c>
      <c r="B175" s="4" t="s">
        <v>157</v>
      </c>
      <c r="C175" s="18">
        <v>53.233830845771145</v>
      </c>
      <c r="D175" s="18">
        <v>82.53012048192771</v>
      </c>
      <c r="G175" s="19"/>
    </row>
    <row r="176" spans="1:7" ht="15.75" customHeight="1">
      <c r="A176" s="5">
        <v>40501</v>
      </c>
      <c r="B176" s="4" t="s">
        <v>158</v>
      </c>
      <c r="C176" s="18">
        <v>35.294117647058826</v>
      </c>
      <c r="D176" s="18">
        <v>77.165354330708652</v>
      </c>
      <c r="G176" s="19"/>
    </row>
    <row r="177" spans="1:7" ht="15.75" customHeight="1">
      <c r="A177" s="5">
        <v>40502</v>
      </c>
      <c r="B177" s="4" t="s">
        <v>159</v>
      </c>
      <c r="C177" s="18">
        <v>40.641711229946523</v>
      </c>
      <c r="D177" s="18">
        <v>70.555555555555557</v>
      </c>
      <c r="G177" s="19"/>
    </row>
    <row r="178" spans="1:7" ht="15.75" customHeight="1">
      <c r="A178" s="5">
        <v>40503</v>
      </c>
      <c r="B178" s="4" t="s">
        <v>160</v>
      </c>
      <c r="C178" s="18">
        <v>32.5</v>
      </c>
      <c r="D178" s="18">
        <v>73.584905660377359</v>
      </c>
      <c r="G178" s="19"/>
    </row>
    <row r="179" spans="1:7" ht="15.75" customHeight="1">
      <c r="A179" s="5">
        <v>40504</v>
      </c>
      <c r="B179" s="4" t="s">
        <v>161</v>
      </c>
      <c r="C179" s="18">
        <v>50</v>
      </c>
      <c r="D179" s="18">
        <v>82.35294117647058</v>
      </c>
      <c r="G179" s="19"/>
    </row>
    <row r="180" spans="1:7" ht="15.75" customHeight="1">
      <c r="A180" s="5">
        <v>40505</v>
      </c>
      <c r="B180" s="4" t="s">
        <v>162</v>
      </c>
      <c r="C180" s="18">
        <v>48.854961832061065</v>
      </c>
      <c r="D180" s="18">
        <v>67.883211678832112</v>
      </c>
      <c r="G180" s="19"/>
    </row>
    <row r="181" spans="1:7" ht="15.75" customHeight="1">
      <c r="A181" s="5">
        <v>40601</v>
      </c>
      <c r="B181" s="4" t="s">
        <v>163</v>
      </c>
      <c r="C181" s="18">
        <v>61.130742049469966</v>
      </c>
      <c r="D181" s="18">
        <v>88.29113924050634</v>
      </c>
      <c r="G181" s="19"/>
    </row>
    <row r="182" spans="1:7" ht="15.75" customHeight="1">
      <c r="A182" s="5">
        <v>40602</v>
      </c>
      <c r="B182" s="4" t="s">
        <v>164</v>
      </c>
      <c r="C182" s="18">
        <v>53.287197231833908</v>
      </c>
      <c r="D182" s="18">
        <v>86.440677966101703</v>
      </c>
      <c r="G182" s="19"/>
    </row>
    <row r="183" spans="1:7" ht="15.75" customHeight="1">
      <c r="A183" s="5">
        <v>40603</v>
      </c>
      <c r="B183" s="4" t="s">
        <v>165</v>
      </c>
      <c r="C183" s="18">
        <v>62.068965517241381</v>
      </c>
      <c r="D183" s="18">
        <v>86.607142857142861</v>
      </c>
      <c r="G183" s="19"/>
    </row>
    <row r="184" spans="1:7" ht="15.75" customHeight="1">
      <c r="A184" s="5">
        <v>40701</v>
      </c>
      <c r="B184" s="4" t="s">
        <v>166</v>
      </c>
      <c r="C184" s="18">
        <v>50</v>
      </c>
      <c r="D184" s="18">
        <v>87.575757575757578</v>
      </c>
      <c r="G184" s="19"/>
    </row>
    <row r="185" spans="1:7" ht="15.75" customHeight="1">
      <c r="A185" s="5">
        <v>40702</v>
      </c>
      <c r="B185" s="4" t="s">
        <v>167</v>
      </c>
      <c r="C185" s="18">
        <v>51.980198019801982</v>
      </c>
      <c r="D185" s="18">
        <v>92.024539877300612</v>
      </c>
      <c r="G185" s="19"/>
    </row>
    <row r="186" spans="1:7" ht="15.75" customHeight="1">
      <c r="A186" s="5">
        <v>40801</v>
      </c>
      <c r="B186" s="4" t="s">
        <v>342</v>
      </c>
      <c r="C186" s="18">
        <v>31.894934333958723</v>
      </c>
      <c r="D186" s="18">
        <v>84.433164128595607</v>
      </c>
      <c r="G186" s="19"/>
    </row>
    <row r="187" spans="1:7" ht="15.75" customHeight="1">
      <c r="A187" s="5">
        <v>40802</v>
      </c>
      <c r="B187" s="4" t="s">
        <v>168</v>
      </c>
      <c r="C187" s="18">
        <v>25.170068027210885</v>
      </c>
      <c r="D187" s="18">
        <v>86.021505376344081</v>
      </c>
      <c r="G187" s="19"/>
    </row>
    <row r="188" spans="1:7" ht="15.75" customHeight="1">
      <c r="A188" s="5">
        <v>40901</v>
      </c>
      <c r="B188" s="4" t="s">
        <v>169</v>
      </c>
      <c r="C188" s="18">
        <v>46.585365853658537</v>
      </c>
      <c r="D188" s="18">
        <v>75.905797101449281</v>
      </c>
      <c r="G188" s="19"/>
    </row>
    <row r="189" spans="1:7" ht="15.75" customHeight="1">
      <c r="A189" s="5">
        <v>40902</v>
      </c>
      <c r="B189" s="4" t="s">
        <v>170</v>
      </c>
      <c r="C189" s="18">
        <v>52.5</v>
      </c>
      <c r="D189" s="18">
        <v>80.412371134020617</v>
      </c>
      <c r="G189" s="19"/>
    </row>
    <row r="190" spans="1:7" ht="15.75" customHeight="1">
      <c r="A190" s="5">
        <v>40903</v>
      </c>
      <c r="B190" s="4" t="s">
        <v>343</v>
      </c>
      <c r="C190" s="18">
        <v>35</v>
      </c>
      <c r="D190" s="18">
        <v>79.43925233644859</v>
      </c>
      <c r="G190" s="19"/>
    </row>
    <row r="191" spans="1:7" ht="15.75" customHeight="1">
      <c r="A191" s="5">
        <v>41001</v>
      </c>
      <c r="B191" s="4" t="s">
        <v>171</v>
      </c>
      <c r="C191" s="18">
        <v>47.826086956521742</v>
      </c>
      <c r="D191" s="18">
        <v>81.27090301003345</v>
      </c>
      <c r="G191" s="19"/>
    </row>
    <row r="192" spans="1:7" ht="15.75" customHeight="1">
      <c r="A192" s="5">
        <v>41101</v>
      </c>
      <c r="B192" s="4" t="s">
        <v>172</v>
      </c>
      <c r="C192" s="18">
        <v>51.121076233183857</v>
      </c>
      <c r="D192" s="18">
        <v>84.571428571428569</v>
      </c>
      <c r="G192" s="19"/>
    </row>
    <row r="193" spans="1:7" ht="15.75" customHeight="1">
      <c r="A193" s="5">
        <v>41201</v>
      </c>
      <c r="B193" s="4" t="s">
        <v>344</v>
      </c>
      <c r="C193" s="18">
        <v>49.009900990099013</v>
      </c>
      <c r="D193" s="18">
        <v>86.740331491712709</v>
      </c>
      <c r="G193" s="19"/>
    </row>
    <row r="194" spans="1:7" ht="15.75" customHeight="1">
      <c r="A194" s="5">
        <v>41202</v>
      </c>
      <c r="B194" s="4" t="s">
        <v>173</v>
      </c>
      <c r="C194" s="18">
        <v>44.155844155844157</v>
      </c>
      <c r="D194" s="18">
        <v>90.109890109890117</v>
      </c>
      <c r="G194" s="19"/>
    </row>
    <row r="195" spans="1:7" ht="15.75" customHeight="1">
      <c r="A195" s="5">
        <v>41301</v>
      </c>
      <c r="B195" s="4" t="s">
        <v>174</v>
      </c>
      <c r="C195" s="18">
        <v>43.724696356275302</v>
      </c>
      <c r="D195" s="18">
        <v>79.5</v>
      </c>
      <c r="G195" s="19"/>
    </row>
    <row r="196" spans="1:7" ht="15.75" customHeight="1">
      <c r="A196" s="5">
        <v>41401</v>
      </c>
      <c r="B196" s="4" t="s">
        <v>175</v>
      </c>
      <c r="C196" s="18">
        <v>40.613718411552348</v>
      </c>
      <c r="D196" s="18">
        <v>65.767634854771785</v>
      </c>
      <c r="G196" s="19"/>
    </row>
    <row r="197" spans="1:7" ht="15.75" customHeight="1">
      <c r="A197" s="5">
        <v>41501</v>
      </c>
      <c r="B197" s="4" t="s">
        <v>176</v>
      </c>
      <c r="C197" s="18">
        <v>52</v>
      </c>
      <c r="D197" s="18">
        <v>84.210526315789465</v>
      </c>
      <c r="G197" s="19"/>
    </row>
    <row r="198" spans="1:7" ht="15.75" customHeight="1">
      <c r="A198" s="5">
        <v>41502</v>
      </c>
      <c r="B198" s="4" t="s">
        <v>177</v>
      </c>
      <c r="C198" s="18">
        <v>48.648648648648653</v>
      </c>
      <c r="D198" s="18">
        <v>80.487804878048792</v>
      </c>
      <c r="G198" s="19"/>
    </row>
    <row r="199" spans="1:7" ht="15.75" customHeight="1">
      <c r="A199" s="5">
        <v>41503</v>
      </c>
      <c r="B199" s="4" t="s">
        <v>153</v>
      </c>
      <c r="C199" s="18">
        <v>48.484848484848484</v>
      </c>
      <c r="D199" s="18">
        <v>81.395348837209298</v>
      </c>
      <c r="G199" s="19"/>
    </row>
    <row r="200" spans="1:7" ht="15.75" customHeight="1">
      <c r="A200" s="5">
        <v>41601</v>
      </c>
      <c r="B200" s="4" t="s">
        <v>345</v>
      </c>
      <c r="C200" s="18">
        <v>44.444444444444443</v>
      </c>
      <c r="D200" s="18">
        <v>84.090909090909093</v>
      </c>
      <c r="G200" s="19"/>
    </row>
    <row r="201" spans="1:7" ht="15.75" customHeight="1">
      <c r="A201" s="5">
        <v>50101</v>
      </c>
      <c r="B201" s="4" t="s">
        <v>178</v>
      </c>
      <c r="C201" s="18">
        <v>59.127661997494599</v>
      </c>
      <c r="D201" s="18">
        <v>88.859287963187214</v>
      </c>
      <c r="G201" s="19"/>
    </row>
    <row r="202" spans="1:7" ht="15.75" customHeight="1">
      <c r="A202" s="5">
        <v>50102</v>
      </c>
      <c r="B202" s="4" t="s">
        <v>179</v>
      </c>
      <c r="C202" s="18">
        <v>40</v>
      </c>
      <c r="D202" s="18">
        <v>82.59895444361463</v>
      </c>
      <c r="G202" s="19"/>
    </row>
    <row r="203" spans="1:7" ht="15.75" customHeight="1">
      <c r="A203" s="5">
        <v>50103</v>
      </c>
      <c r="B203" s="4" t="s">
        <v>180</v>
      </c>
      <c r="C203" s="18">
        <v>62.848297213622295</v>
      </c>
      <c r="D203" s="18">
        <v>86.223277909738712</v>
      </c>
      <c r="G203" s="19"/>
    </row>
    <row r="204" spans="1:7" ht="15.75" customHeight="1">
      <c r="A204" s="5">
        <v>50104</v>
      </c>
      <c r="B204" s="4" t="s">
        <v>346</v>
      </c>
      <c r="C204" s="18">
        <v>49.514563106796118</v>
      </c>
      <c r="D204" s="18">
        <v>86.04651162790698</v>
      </c>
      <c r="G204" s="19"/>
    </row>
    <row r="205" spans="1:7" ht="15.75" customHeight="1">
      <c r="A205" s="5">
        <v>50201</v>
      </c>
      <c r="B205" s="4" t="s">
        <v>181</v>
      </c>
      <c r="C205" s="18">
        <v>54.240837696335078</v>
      </c>
      <c r="D205" s="18">
        <v>88.659793814432987</v>
      </c>
      <c r="G205" s="19"/>
    </row>
    <row r="206" spans="1:7" ht="15.75" customHeight="1">
      <c r="A206" s="5">
        <v>50202</v>
      </c>
      <c r="B206" s="4" t="s">
        <v>182</v>
      </c>
      <c r="C206" s="18">
        <v>53.673723536737242</v>
      </c>
      <c r="D206" s="18">
        <v>89.510489510489506</v>
      </c>
      <c r="G206" s="19"/>
    </row>
    <row r="207" spans="1:7" ht="15.75" customHeight="1">
      <c r="A207" s="5">
        <v>50203</v>
      </c>
      <c r="B207" s="4" t="s">
        <v>183</v>
      </c>
      <c r="C207" s="18">
        <v>51.114649681528668</v>
      </c>
      <c r="D207" s="18">
        <v>82.119682768565255</v>
      </c>
      <c r="G207" s="19"/>
    </row>
    <row r="208" spans="1:7" ht="15.75" customHeight="1">
      <c r="A208" s="5">
        <v>50204</v>
      </c>
      <c r="B208" s="4" t="s">
        <v>347</v>
      </c>
      <c r="C208" s="18">
        <v>52.843601895734594</v>
      </c>
      <c r="D208" s="18">
        <v>82.461538461538467</v>
      </c>
      <c r="G208" s="19"/>
    </row>
    <row r="209" spans="1:7" ht="15.75" customHeight="1">
      <c r="A209" s="5">
        <v>50301</v>
      </c>
      <c r="B209" s="4" t="s">
        <v>184</v>
      </c>
      <c r="C209" s="18">
        <v>45.756718528995755</v>
      </c>
      <c r="D209" s="18">
        <v>83.832335329341305</v>
      </c>
      <c r="G209" s="19"/>
    </row>
    <row r="210" spans="1:7" ht="15.75" customHeight="1">
      <c r="A210" s="5">
        <v>50302</v>
      </c>
      <c r="B210" s="4" t="s">
        <v>185</v>
      </c>
      <c r="C210" s="18">
        <v>53.008595988538687</v>
      </c>
      <c r="D210" s="18">
        <v>84.71760797342192</v>
      </c>
      <c r="G210" s="19"/>
    </row>
    <row r="211" spans="1:7" ht="15.75" customHeight="1">
      <c r="A211" s="5">
        <v>50303</v>
      </c>
      <c r="B211" s="4" t="s">
        <v>186</v>
      </c>
      <c r="C211" s="18">
        <v>44.652908067542214</v>
      </c>
      <c r="D211" s="18">
        <v>74.548736462093871</v>
      </c>
      <c r="G211" s="19"/>
    </row>
    <row r="212" spans="1:7" ht="15.75" customHeight="1">
      <c r="A212" s="5">
        <v>50401</v>
      </c>
      <c r="B212" s="4" t="s">
        <v>187</v>
      </c>
      <c r="C212" s="18">
        <v>40.960604425256342</v>
      </c>
      <c r="D212" s="18">
        <v>78.860569715142432</v>
      </c>
      <c r="G212" s="19"/>
    </row>
    <row r="213" spans="1:7" ht="15.75" customHeight="1">
      <c r="A213" s="5">
        <v>50402</v>
      </c>
      <c r="B213" s="4" t="s">
        <v>188</v>
      </c>
      <c r="C213" s="18">
        <v>32.862903225806448</v>
      </c>
      <c r="D213" s="18">
        <v>74.723247232472318</v>
      </c>
      <c r="G213" s="19"/>
    </row>
    <row r="214" spans="1:7" ht="15.75" customHeight="1">
      <c r="A214" s="5">
        <v>50403</v>
      </c>
      <c r="B214" s="4" t="s">
        <v>189</v>
      </c>
      <c r="C214" s="18">
        <v>48.28451882845188</v>
      </c>
      <c r="D214" s="18">
        <v>77.821625887924228</v>
      </c>
      <c r="G214" s="19"/>
    </row>
    <row r="215" spans="1:7" ht="15.75" customHeight="1">
      <c r="A215" s="5">
        <v>50404</v>
      </c>
      <c r="B215" s="4" t="s">
        <v>190</v>
      </c>
      <c r="C215" s="18">
        <v>34.994206257242176</v>
      </c>
      <c r="D215" s="18">
        <v>76.130198915009046</v>
      </c>
      <c r="G215" s="19"/>
    </row>
    <row r="216" spans="1:7" ht="15.75" customHeight="1">
      <c r="A216" s="5">
        <v>50405</v>
      </c>
      <c r="B216" s="4" t="s">
        <v>191</v>
      </c>
      <c r="C216" s="18">
        <v>40.960604425256342</v>
      </c>
      <c r="D216" s="18">
        <v>76.820388349514573</v>
      </c>
      <c r="G216" s="19"/>
    </row>
    <row r="217" spans="1:7" ht="15.75" customHeight="1">
      <c r="A217" s="5">
        <v>50501</v>
      </c>
      <c r="B217" s="4" t="s">
        <v>348</v>
      </c>
      <c r="C217" s="18">
        <v>44.971671388101981</v>
      </c>
      <c r="D217" s="18">
        <v>76.052848885218822</v>
      </c>
      <c r="G217" s="19"/>
    </row>
    <row r="218" spans="1:7" ht="15.75" customHeight="1">
      <c r="A218" s="5">
        <v>50502</v>
      </c>
      <c r="B218" s="4" t="s">
        <v>193</v>
      </c>
      <c r="C218" s="18">
        <v>55.614035087719294</v>
      </c>
      <c r="D218" s="18">
        <v>86.0091743119266</v>
      </c>
      <c r="G218" s="19"/>
    </row>
    <row r="219" spans="1:7" ht="15.75" customHeight="1">
      <c r="A219" s="5">
        <v>50601</v>
      </c>
      <c r="B219" s="4" t="s">
        <v>194</v>
      </c>
      <c r="C219" s="18">
        <v>60.958366064414768</v>
      </c>
      <c r="D219" s="18">
        <v>89.132821075740935</v>
      </c>
      <c r="G219" s="19"/>
    </row>
    <row r="220" spans="1:7" ht="15.75" customHeight="1">
      <c r="A220" s="5">
        <v>50602</v>
      </c>
      <c r="B220" s="4" t="s">
        <v>195</v>
      </c>
      <c r="C220" s="18">
        <v>49.321266968325794</v>
      </c>
      <c r="D220" s="18">
        <v>85.658914728682163</v>
      </c>
      <c r="G220" s="19"/>
    </row>
    <row r="221" spans="1:7" ht="15.75" customHeight="1">
      <c r="A221" s="5">
        <v>50701</v>
      </c>
      <c r="B221" s="4" t="s">
        <v>349</v>
      </c>
      <c r="C221" s="18">
        <v>33.29979879275654</v>
      </c>
      <c r="D221" s="18">
        <v>76.356050069541027</v>
      </c>
      <c r="G221" s="19"/>
    </row>
    <row r="222" spans="1:7" ht="15.75" customHeight="1">
      <c r="A222" s="5">
        <v>50702</v>
      </c>
      <c r="B222" s="4" t="s">
        <v>196</v>
      </c>
      <c r="C222" s="18">
        <v>55.660377358490564</v>
      </c>
      <c r="D222" s="18">
        <v>82.229965156794421</v>
      </c>
      <c r="G222" s="19"/>
    </row>
    <row r="223" spans="1:7" ht="15.75" customHeight="1">
      <c r="A223" s="5">
        <v>50801</v>
      </c>
      <c r="B223" s="4" t="s">
        <v>197</v>
      </c>
      <c r="C223" s="18">
        <v>62.200956937799049</v>
      </c>
      <c r="D223" s="18">
        <v>88.039215686274503</v>
      </c>
      <c r="G223" s="19"/>
    </row>
    <row r="224" spans="1:7" ht="15.75" customHeight="1">
      <c r="A224" s="5">
        <v>50802</v>
      </c>
      <c r="B224" s="4" t="s">
        <v>198</v>
      </c>
      <c r="C224" s="18">
        <v>62.456747404844293</v>
      </c>
      <c r="D224" s="18">
        <v>92.947103274559197</v>
      </c>
      <c r="G224" s="19"/>
    </row>
    <row r="225" spans="1:7" ht="15.75" customHeight="1">
      <c r="A225" s="5">
        <v>50901</v>
      </c>
      <c r="B225" s="4" t="s">
        <v>350</v>
      </c>
      <c r="C225" s="18">
        <v>53.497164461247635</v>
      </c>
      <c r="D225" s="18">
        <v>92.982456140350877</v>
      </c>
      <c r="G225" s="19"/>
    </row>
    <row r="226" spans="1:7" ht="15.75" customHeight="1">
      <c r="A226" s="5">
        <v>50902</v>
      </c>
      <c r="B226" s="4" t="s">
        <v>199</v>
      </c>
      <c r="C226" s="18">
        <v>66.666666666666657</v>
      </c>
      <c r="D226" s="18">
        <v>93.939393939393938</v>
      </c>
      <c r="G226" s="19"/>
    </row>
    <row r="227" spans="1:7" ht="15.75" customHeight="1">
      <c r="A227" s="5">
        <v>51001</v>
      </c>
      <c r="B227" s="4" t="s">
        <v>351</v>
      </c>
      <c r="C227" s="18">
        <v>58.333333333333336</v>
      </c>
      <c r="D227" s="18">
        <v>91.791044776119406</v>
      </c>
      <c r="G227" s="19"/>
    </row>
    <row r="228" spans="1:7" ht="15.75" customHeight="1">
      <c r="A228" s="5">
        <v>51002</v>
      </c>
      <c r="B228" s="4" t="s">
        <v>200</v>
      </c>
      <c r="C228" s="18">
        <v>46.938775510204081</v>
      </c>
      <c r="D228" s="18">
        <v>86.206896551724128</v>
      </c>
      <c r="G228" s="19"/>
    </row>
    <row r="229" spans="1:7" ht="15.75" customHeight="1">
      <c r="A229" s="5">
        <v>51003</v>
      </c>
      <c r="B229" s="4" t="s">
        <v>201</v>
      </c>
      <c r="C229" s="18">
        <v>49.586776859504134</v>
      </c>
      <c r="D229" s="18">
        <v>92.307692307692307</v>
      </c>
      <c r="G229" s="19"/>
    </row>
    <row r="230" spans="1:7" ht="15.75" customHeight="1">
      <c r="A230" s="5">
        <v>51101</v>
      </c>
      <c r="B230" s="4" t="s">
        <v>202</v>
      </c>
      <c r="C230" s="18">
        <v>48.729792147806009</v>
      </c>
      <c r="D230" s="18">
        <v>87.88598574821853</v>
      </c>
      <c r="G230" s="19"/>
    </row>
    <row r="231" spans="1:7" ht="15.75" customHeight="1">
      <c r="A231" s="5">
        <v>51102</v>
      </c>
      <c r="B231" s="4" t="s">
        <v>203</v>
      </c>
      <c r="C231" s="18">
        <v>54.041570438799077</v>
      </c>
      <c r="D231" s="18">
        <v>90.789473684210535</v>
      </c>
      <c r="G231" s="19"/>
    </row>
    <row r="232" spans="1:7" ht="15.75" customHeight="1">
      <c r="A232" s="5">
        <v>51103</v>
      </c>
      <c r="B232" s="4" t="s">
        <v>204</v>
      </c>
      <c r="C232" s="18">
        <v>39.254658385093165</v>
      </c>
      <c r="D232" s="18">
        <v>81.431334622823982</v>
      </c>
      <c r="G232" s="19"/>
    </row>
    <row r="233" spans="1:7" ht="15.75" customHeight="1">
      <c r="A233" s="5">
        <v>51201</v>
      </c>
      <c r="B233" s="4" t="s">
        <v>205</v>
      </c>
      <c r="C233" s="18">
        <v>52.901785714285708</v>
      </c>
      <c r="D233" s="18">
        <v>86.882591093117412</v>
      </c>
      <c r="G233" s="19"/>
    </row>
    <row r="234" spans="1:7" ht="15.75" customHeight="1">
      <c r="A234" s="5">
        <v>51202</v>
      </c>
      <c r="B234" s="4" t="s">
        <v>206</v>
      </c>
      <c r="C234" s="18">
        <v>44.798657718120808</v>
      </c>
      <c r="D234" s="18">
        <v>87.404580152671755</v>
      </c>
      <c r="G234" s="19"/>
    </row>
    <row r="235" spans="1:7" ht="15.75" customHeight="1">
      <c r="A235" s="5">
        <v>51203</v>
      </c>
      <c r="B235" s="4" t="s">
        <v>207</v>
      </c>
      <c r="C235" s="18">
        <v>60.784313725490193</v>
      </c>
      <c r="D235" s="18">
        <v>89.917355371900825</v>
      </c>
      <c r="G235" s="19"/>
    </row>
    <row r="236" spans="1:7" ht="15.75" customHeight="1">
      <c r="A236" s="5">
        <v>51204</v>
      </c>
      <c r="B236" s="4" t="s">
        <v>208</v>
      </c>
      <c r="C236" s="18">
        <v>44.798657718120808</v>
      </c>
      <c r="D236" s="18">
        <v>77.777777777777786</v>
      </c>
      <c r="G236" s="19"/>
    </row>
    <row r="237" spans="1:7" ht="15.75" customHeight="1">
      <c r="A237" s="5">
        <v>51301</v>
      </c>
      <c r="B237" s="4" t="s">
        <v>209</v>
      </c>
      <c r="C237" s="18">
        <v>59.545454545454547</v>
      </c>
      <c r="D237" s="18">
        <v>76.515151515151516</v>
      </c>
      <c r="G237" s="19"/>
    </row>
    <row r="238" spans="1:7" ht="15.75" customHeight="1">
      <c r="A238" s="5">
        <v>51302</v>
      </c>
      <c r="B238" s="4" t="s">
        <v>210</v>
      </c>
      <c r="C238" s="18">
        <v>54.0625</v>
      </c>
      <c r="D238" s="18">
        <v>81.560283687943254</v>
      </c>
      <c r="G238" s="19"/>
    </row>
    <row r="239" spans="1:7" ht="15.75" customHeight="1">
      <c r="A239" s="5">
        <v>51401</v>
      </c>
      <c r="B239" s="4" t="s">
        <v>211</v>
      </c>
      <c r="C239" s="18">
        <v>64.84375</v>
      </c>
      <c r="D239" s="18">
        <v>94.354838709677423</v>
      </c>
      <c r="G239" s="19"/>
    </row>
    <row r="240" spans="1:7" ht="15.75" customHeight="1">
      <c r="A240" s="5">
        <v>51402</v>
      </c>
      <c r="B240" s="4" t="s">
        <v>212</v>
      </c>
      <c r="C240" s="18">
        <v>66.25</v>
      </c>
      <c r="D240" s="18">
        <v>91.428571428571431</v>
      </c>
      <c r="G240" s="19"/>
    </row>
    <row r="241" spans="1:7" ht="15.75" customHeight="1">
      <c r="A241" s="5">
        <v>51501</v>
      </c>
      <c r="B241" s="4" t="s">
        <v>213</v>
      </c>
      <c r="C241" s="18">
        <v>52.503871966959217</v>
      </c>
      <c r="D241" s="18">
        <v>78.431372549019613</v>
      </c>
      <c r="G241" s="19"/>
    </row>
    <row r="242" spans="1:7" ht="15.75" customHeight="1">
      <c r="A242" s="5">
        <v>51601</v>
      </c>
      <c r="B242" s="4" t="s">
        <v>214</v>
      </c>
      <c r="C242" s="18">
        <v>42.372881355932201</v>
      </c>
      <c r="D242" s="18">
        <v>95.384615384615387</v>
      </c>
      <c r="G242" s="19"/>
    </row>
    <row r="243" spans="1:7" ht="15.75" customHeight="1">
      <c r="A243" s="5">
        <v>60101</v>
      </c>
      <c r="B243" s="4" t="s">
        <v>215</v>
      </c>
      <c r="C243" s="18">
        <v>62.538124917119745</v>
      </c>
      <c r="D243" s="18">
        <v>89.213085764809904</v>
      </c>
      <c r="G243" s="19"/>
    </row>
    <row r="244" spans="1:7" ht="15.75" customHeight="1">
      <c r="A244" s="5">
        <v>60201</v>
      </c>
      <c r="B244" s="4" t="s">
        <v>216</v>
      </c>
      <c r="C244" s="18">
        <v>49.503722084367247</v>
      </c>
      <c r="D244" s="18">
        <v>92.156862745098039</v>
      </c>
      <c r="G244" s="19"/>
    </row>
    <row r="245" spans="1:7" ht="15.75" customHeight="1">
      <c r="A245" s="5">
        <v>60202</v>
      </c>
      <c r="B245" s="4" t="s">
        <v>217</v>
      </c>
      <c r="C245" s="18">
        <v>53.045489591364692</v>
      </c>
      <c r="D245" s="18">
        <v>82.69079464988198</v>
      </c>
      <c r="G245" s="19"/>
    </row>
    <row r="246" spans="1:7" ht="15.75" customHeight="1">
      <c r="A246" s="5">
        <v>60301</v>
      </c>
      <c r="B246" s="4" t="s">
        <v>218</v>
      </c>
      <c r="C246" s="18">
        <v>44.549159449821701</v>
      </c>
      <c r="D246" s="18">
        <v>75.296843324645238</v>
      </c>
      <c r="G246" s="19"/>
    </row>
    <row r="247" spans="1:7" ht="15.75" customHeight="1">
      <c r="A247" s="5">
        <v>60302</v>
      </c>
      <c r="B247" s="4" t="s">
        <v>219</v>
      </c>
      <c r="C247" s="18">
        <v>60.664335664335667</v>
      </c>
      <c r="D247" s="18">
        <v>94.280762564991335</v>
      </c>
      <c r="G247" s="19"/>
    </row>
    <row r="248" spans="1:7" ht="15.75" customHeight="1">
      <c r="A248" s="5">
        <v>60303</v>
      </c>
      <c r="B248" s="4" t="s">
        <v>220</v>
      </c>
      <c r="C248" s="18">
        <v>46.734809767177737</v>
      </c>
      <c r="D248" s="18">
        <v>73.166571915861283</v>
      </c>
      <c r="G248" s="19"/>
    </row>
    <row r="249" spans="1:7" ht="15.75" customHeight="1">
      <c r="A249" s="5">
        <v>60401</v>
      </c>
      <c r="B249" s="4" t="s">
        <v>221</v>
      </c>
      <c r="C249" s="18">
        <v>53.191489361702125</v>
      </c>
      <c r="D249" s="18">
        <v>93.456032719836401</v>
      </c>
      <c r="G249" s="19"/>
    </row>
    <row r="250" spans="1:7" ht="15.75" customHeight="1">
      <c r="A250" s="5">
        <v>60402</v>
      </c>
      <c r="B250" s="4" t="s">
        <v>222</v>
      </c>
      <c r="C250" s="18">
        <v>43.243243243243242</v>
      </c>
      <c r="D250" s="18">
        <v>90.066225165562912</v>
      </c>
      <c r="G250" s="19"/>
    </row>
    <row r="251" spans="1:7" ht="15.75" customHeight="1">
      <c r="A251" s="5">
        <v>60501</v>
      </c>
      <c r="B251" s="4" t="s">
        <v>352</v>
      </c>
      <c r="C251" s="18">
        <v>54.212860310421284</v>
      </c>
      <c r="D251" s="18">
        <v>91.290983606557376</v>
      </c>
      <c r="G251" s="19"/>
    </row>
    <row r="252" spans="1:7" ht="15.75" customHeight="1">
      <c r="A252" s="5">
        <v>60502</v>
      </c>
      <c r="B252" s="4" t="s">
        <v>224</v>
      </c>
      <c r="C252" s="18">
        <v>47.816593886462883</v>
      </c>
      <c r="D252" s="18">
        <v>88.928571428571416</v>
      </c>
      <c r="G252" s="19"/>
    </row>
    <row r="253" spans="1:7" ht="15.75" customHeight="1">
      <c r="A253" s="5">
        <v>60601</v>
      </c>
      <c r="B253" s="4" t="s">
        <v>137</v>
      </c>
      <c r="C253" s="18">
        <v>48.004094165813719</v>
      </c>
      <c r="D253" s="18">
        <v>88.338192419825063</v>
      </c>
      <c r="G253" s="19"/>
    </row>
    <row r="254" spans="1:7" ht="15.75" customHeight="1">
      <c r="A254" s="5">
        <v>70101</v>
      </c>
      <c r="B254" s="4" t="s">
        <v>226</v>
      </c>
      <c r="C254" s="18">
        <v>52.791374174780955</v>
      </c>
      <c r="D254" s="18">
        <v>76.802971230067072</v>
      </c>
      <c r="G254" s="19"/>
    </row>
    <row r="255" spans="1:7" ht="15.75" customHeight="1">
      <c r="A255" s="5">
        <v>70102</v>
      </c>
      <c r="B255" s="4" t="s">
        <v>227</v>
      </c>
      <c r="C255" s="18">
        <v>38.19594302977989</v>
      </c>
      <c r="D255" s="18">
        <v>67.396593673965938</v>
      </c>
      <c r="G255" s="19"/>
    </row>
    <row r="256" spans="1:7" ht="15.75" customHeight="1">
      <c r="A256" s="5">
        <v>70103</v>
      </c>
      <c r="B256" s="4" t="s">
        <v>228</v>
      </c>
      <c r="C256" s="18">
        <v>57.438016528925615</v>
      </c>
      <c r="D256" s="18">
        <v>82.614742698191932</v>
      </c>
      <c r="G256" s="19"/>
    </row>
    <row r="257" spans="1:7" ht="15.75" customHeight="1">
      <c r="A257" s="5">
        <v>70104</v>
      </c>
      <c r="B257" s="4" t="s">
        <v>229</v>
      </c>
      <c r="C257" s="18">
        <v>46.686522710349962</v>
      </c>
      <c r="D257" s="18">
        <v>73.336736430151433</v>
      </c>
      <c r="G257" s="19"/>
    </row>
    <row r="258" spans="1:7" ht="15.75" customHeight="1">
      <c r="A258" s="5">
        <v>70105</v>
      </c>
      <c r="B258" s="4" t="s">
        <v>230</v>
      </c>
      <c r="C258" s="18">
        <v>44.739168877099914</v>
      </c>
      <c r="D258" s="18">
        <v>76.40232108317214</v>
      </c>
      <c r="G258" s="19"/>
    </row>
    <row r="259" spans="1:7" ht="15.75" customHeight="1">
      <c r="A259" s="5">
        <v>70201</v>
      </c>
      <c r="B259" s="4" t="s">
        <v>231</v>
      </c>
      <c r="C259" s="18">
        <v>41.524338172502134</v>
      </c>
      <c r="D259" s="18">
        <v>68.413320274240945</v>
      </c>
      <c r="G259" s="19"/>
    </row>
    <row r="260" spans="1:7" ht="15.75" customHeight="1">
      <c r="A260" s="5">
        <v>70202</v>
      </c>
      <c r="B260" s="4" t="s">
        <v>232</v>
      </c>
      <c r="C260" s="18">
        <v>53.246753246753244</v>
      </c>
      <c r="D260" s="18">
        <v>84.463894967177239</v>
      </c>
      <c r="G260" s="19"/>
    </row>
    <row r="261" spans="1:7" ht="15.75" customHeight="1">
      <c r="A261" s="5">
        <v>70301</v>
      </c>
      <c r="B261" s="4" t="s">
        <v>353</v>
      </c>
      <c r="C261" s="18">
        <v>34.309003334568359</v>
      </c>
      <c r="D261" s="18">
        <v>48.431061806656103</v>
      </c>
      <c r="G261" s="19"/>
    </row>
    <row r="262" spans="1:7" ht="15.75" customHeight="1">
      <c r="A262" s="5">
        <v>70302</v>
      </c>
      <c r="B262" s="4" t="s">
        <v>354</v>
      </c>
      <c r="C262" s="18">
        <v>41.423357664233578</v>
      </c>
      <c r="D262" s="18">
        <v>51.324503311258276</v>
      </c>
      <c r="G262" s="19"/>
    </row>
    <row r="263" spans="1:7" ht="15.75" customHeight="1">
      <c r="A263" s="5">
        <v>70303</v>
      </c>
      <c r="B263" s="4" t="s">
        <v>234</v>
      </c>
      <c r="C263" s="18">
        <v>40.432098765432102</v>
      </c>
      <c r="D263" s="18">
        <v>60</v>
      </c>
      <c r="G263" s="19"/>
    </row>
    <row r="264" spans="1:7" ht="15.75" customHeight="1">
      <c r="A264" s="5">
        <v>70401</v>
      </c>
      <c r="B264" s="4" t="s">
        <v>235</v>
      </c>
      <c r="C264" s="18">
        <v>56.435643564356432</v>
      </c>
      <c r="D264" s="18">
        <v>76.447105788423158</v>
      </c>
      <c r="G264" s="19"/>
    </row>
    <row r="265" spans="1:7" ht="15.75" customHeight="1">
      <c r="A265" s="5">
        <v>70402</v>
      </c>
      <c r="B265" s="4" t="s">
        <v>236</v>
      </c>
      <c r="C265" s="18">
        <v>57.931726907630519</v>
      </c>
      <c r="D265" s="18">
        <v>90.240452616690234</v>
      </c>
      <c r="G265" s="19"/>
    </row>
    <row r="266" spans="1:7" ht="15.75" customHeight="1">
      <c r="A266" s="5">
        <v>70403</v>
      </c>
      <c r="B266" s="4" t="s">
        <v>237</v>
      </c>
      <c r="C266" s="18">
        <v>39.537925021795992</v>
      </c>
      <c r="D266" s="18">
        <v>80.631276901004298</v>
      </c>
      <c r="G266" s="19"/>
    </row>
    <row r="267" spans="1:7" ht="15.75" customHeight="1">
      <c r="A267" s="5">
        <v>70404</v>
      </c>
      <c r="B267" s="4" t="s">
        <v>238</v>
      </c>
      <c r="C267" s="18">
        <v>49.382716049382715</v>
      </c>
      <c r="D267" s="18">
        <v>83.854166666666657</v>
      </c>
      <c r="G267" s="19"/>
    </row>
    <row r="268" spans="1:7" ht="15.75" customHeight="1">
      <c r="A268" s="5">
        <v>70501</v>
      </c>
      <c r="B268" s="4" t="s">
        <v>355</v>
      </c>
      <c r="C268" s="18">
        <v>33.287101248266296</v>
      </c>
      <c r="D268" s="18">
        <v>42.835130970724187</v>
      </c>
      <c r="G268" s="19"/>
    </row>
    <row r="269" spans="1:7" ht="15.75" customHeight="1">
      <c r="A269" s="5">
        <v>70502</v>
      </c>
      <c r="B269" s="4" t="s">
        <v>239</v>
      </c>
      <c r="C269" s="18">
        <v>34.523809523809526</v>
      </c>
      <c r="D269" s="18">
        <v>39.752832131822863</v>
      </c>
      <c r="G269" s="19"/>
    </row>
    <row r="270" spans="1:7" ht="15.75" customHeight="1">
      <c r="A270" s="5">
        <v>70503</v>
      </c>
      <c r="B270" s="4" t="s">
        <v>240</v>
      </c>
      <c r="C270" s="18">
        <v>57.164869029275813</v>
      </c>
      <c r="D270" s="18">
        <v>75.034293552812073</v>
      </c>
      <c r="G270" s="19"/>
    </row>
    <row r="271" spans="1:7" ht="15.75" customHeight="1">
      <c r="A271" s="5">
        <v>70601</v>
      </c>
      <c r="B271" s="4" t="s">
        <v>241</v>
      </c>
      <c r="C271" s="18">
        <v>63.703703703703709</v>
      </c>
      <c r="D271" s="18">
        <v>79.172056921086678</v>
      </c>
      <c r="G271" s="19"/>
    </row>
    <row r="272" spans="1:7" ht="15.75" customHeight="1">
      <c r="A272" s="5">
        <v>70602</v>
      </c>
      <c r="B272" s="4" t="s">
        <v>356</v>
      </c>
      <c r="C272" s="18">
        <v>50.880829015544037</v>
      </c>
      <c r="D272" s="18">
        <v>78.90625</v>
      </c>
      <c r="G272" s="19"/>
    </row>
    <row r="273" spans="1:7" ht="15.75" customHeight="1">
      <c r="A273" s="5">
        <v>70603</v>
      </c>
      <c r="B273" s="4" t="s">
        <v>243</v>
      </c>
      <c r="C273" s="18">
        <v>55.017301038062286</v>
      </c>
      <c r="D273" s="18">
        <v>78.240740740740748</v>
      </c>
      <c r="G273" s="19"/>
    </row>
    <row r="274" spans="1:7" ht="15.75" customHeight="1">
      <c r="A274" s="5">
        <v>70701</v>
      </c>
      <c r="B274" s="4" t="s">
        <v>244</v>
      </c>
      <c r="C274" s="18">
        <v>50.996015936254977</v>
      </c>
      <c r="D274" s="18">
        <v>76.518218623481786</v>
      </c>
      <c r="G274" s="19"/>
    </row>
    <row r="275" spans="1:7" ht="15.75" customHeight="1">
      <c r="A275" s="5">
        <v>70702</v>
      </c>
      <c r="B275" s="4" t="s">
        <v>357</v>
      </c>
      <c r="C275" s="18">
        <v>45.319148936170208</v>
      </c>
      <c r="D275" s="18">
        <v>57.172449508026936</v>
      </c>
      <c r="G275" s="19"/>
    </row>
    <row r="276" spans="1:7" ht="15.75" customHeight="1">
      <c r="A276" s="5">
        <v>70703</v>
      </c>
      <c r="B276" s="4" t="s">
        <v>245</v>
      </c>
      <c r="C276" s="18">
        <v>37.574404761904759</v>
      </c>
      <c r="D276" s="18">
        <v>53.253652058432934</v>
      </c>
      <c r="G276" s="19"/>
    </row>
    <row r="277" spans="1:7" ht="15.75" customHeight="1">
      <c r="A277" s="5">
        <v>70704</v>
      </c>
      <c r="B277" s="4" t="s">
        <v>246</v>
      </c>
      <c r="C277" s="18">
        <v>62.389380530973447</v>
      </c>
      <c r="D277" s="18">
        <v>85.09615384615384</v>
      </c>
      <c r="G277" s="19"/>
    </row>
    <row r="278" spans="1:7" ht="15.75" customHeight="1">
      <c r="A278" s="5">
        <v>70705</v>
      </c>
      <c r="B278" s="4" t="s">
        <v>358</v>
      </c>
      <c r="C278" s="18">
        <v>45.365168539325843</v>
      </c>
      <c r="D278" s="18">
        <v>76.011994002998492</v>
      </c>
      <c r="G278" s="19"/>
    </row>
    <row r="279" spans="1:7" ht="15.75" customHeight="1">
      <c r="A279" s="5">
        <v>70706</v>
      </c>
      <c r="B279" s="4" t="s">
        <v>247</v>
      </c>
      <c r="C279" s="18">
        <v>62.459016393442624</v>
      </c>
      <c r="D279" s="18">
        <v>82.373472949389182</v>
      </c>
      <c r="G279" s="19"/>
    </row>
    <row r="280" spans="1:7" ht="15.75" customHeight="1">
      <c r="A280" s="5">
        <v>70707</v>
      </c>
      <c r="B280" s="4" t="s">
        <v>248</v>
      </c>
      <c r="C280" s="18">
        <v>44.927536231884055</v>
      </c>
      <c r="D280" s="18">
        <v>55.597014925373131</v>
      </c>
      <c r="G280" s="19"/>
    </row>
    <row r="281" spans="1:7" ht="15.75" customHeight="1">
      <c r="A281" s="5">
        <v>70801</v>
      </c>
      <c r="B281" s="4" t="s">
        <v>249</v>
      </c>
      <c r="C281" s="18">
        <v>60.78125</v>
      </c>
      <c r="D281" s="18">
        <v>92.982456140350877</v>
      </c>
      <c r="G281" s="19"/>
    </row>
    <row r="282" spans="1:7" ht="15.75" customHeight="1">
      <c r="A282" s="5">
        <v>70802</v>
      </c>
      <c r="B282" s="4" t="s">
        <v>250</v>
      </c>
      <c r="C282" s="18">
        <v>51.807228915662648</v>
      </c>
      <c r="D282" s="18">
        <v>92.64705882352942</v>
      </c>
      <c r="G282" s="19"/>
    </row>
    <row r="283" spans="1:7" ht="15.75" customHeight="1">
      <c r="A283" s="5">
        <v>70803</v>
      </c>
      <c r="B283" s="4" t="s">
        <v>359</v>
      </c>
      <c r="C283" s="18">
        <v>64.077669902912632</v>
      </c>
      <c r="D283" s="18">
        <v>91.860465116279073</v>
      </c>
      <c r="G283" s="19"/>
    </row>
    <row r="284" spans="1:7" ht="15.75" customHeight="1">
      <c r="A284" s="5">
        <v>70804</v>
      </c>
      <c r="B284" s="4" t="s">
        <v>251</v>
      </c>
      <c r="C284" s="18">
        <v>57.291666666666664</v>
      </c>
      <c r="D284" s="18">
        <v>92</v>
      </c>
      <c r="G284" s="19"/>
    </row>
    <row r="285" spans="1:7" ht="15.75" customHeight="1">
      <c r="A285" s="5">
        <v>70805</v>
      </c>
      <c r="B285" s="4" t="s">
        <v>252</v>
      </c>
      <c r="C285" s="18">
        <v>62.5</v>
      </c>
      <c r="D285" s="18">
        <v>88.571428571428569</v>
      </c>
      <c r="G285" s="19"/>
    </row>
    <row r="286" spans="1:7" ht="15.75" customHeight="1">
      <c r="A286" s="5">
        <v>70901</v>
      </c>
      <c r="B286" s="4" t="s">
        <v>253</v>
      </c>
      <c r="C286" s="18">
        <v>48.156682027649772</v>
      </c>
      <c r="D286" s="18">
        <v>76.410256410256409</v>
      </c>
      <c r="G286" s="19"/>
    </row>
    <row r="287" spans="1:7" ht="15.75" customHeight="1">
      <c r="A287" s="5">
        <v>70902</v>
      </c>
      <c r="B287" s="4" t="s">
        <v>360</v>
      </c>
      <c r="C287" s="18">
        <v>41.523341523341522</v>
      </c>
      <c r="D287" s="18">
        <v>80.821917808219183</v>
      </c>
      <c r="G287" s="19"/>
    </row>
    <row r="288" spans="1:7" ht="15.75" customHeight="1">
      <c r="A288" s="5">
        <v>70903</v>
      </c>
      <c r="B288" s="4" t="s">
        <v>254</v>
      </c>
      <c r="C288" s="18">
        <v>46.520874751491057</v>
      </c>
      <c r="D288" s="18">
        <v>83.187772925764193</v>
      </c>
      <c r="G288" s="19"/>
    </row>
    <row r="289" spans="1:7" ht="15.75" customHeight="1">
      <c r="A289" s="5">
        <v>70904</v>
      </c>
      <c r="B289" s="4" t="s">
        <v>255</v>
      </c>
      <c r="C289" s="18">
        <v>44.247787610619469</v>
      </c>
      <c r="D289" s="18">
        <v>84.705882352941174</v>
      </c>
      <c r="G289" s="19"/>
    </row>
    <row r="290" spans="1:7" ht="15.75" customHeight="1">
      <c r="A290" s="5">
        <v>71001</v>
      </c>
      <c r="B290" s="4" t="s">
        <v>256</v>
      </c>
      <c r="C290" s="18">
        <v>58.571428571428577</v>
      </c>
      <c r="D290" s="18">
        <v>79.23719734304693</v>
      </c>
      <c r="G290" s="19"/>
    </row>
    <row r="291" spans="1:7" ht="15.75" customHeight="1">
      <c r="A291" s="5">
        <v>71002</v>
      </c>
      <c r="B291" s="4" t="s">
        <v>257</v>
      </c>
      <c r="C291" s="18">
        <v>48.493543758967</v>
      </c>
      <c r="D291" s="18">
        <v>83.109118086696569</v>
      </c>
      <c r="G291" s="19"/>
    </row>
    <row r="292" spans="1:7" ht="15.75" customHeight="1">
      <c r="A292" s="5">
        <v>71003</v>
      </c>
      <c r="B292" s="4" t="s">
        <v>258</v>
      </c>
      <c r="C292" s="18">
        <v>51.745200698080282</v>
      </c>
      <c r="D292" s="18">
        <v>77.566137566137556</v>
      </c>
      <c r="G292" s="19"/>
    </row>
    <row r="293" spans="1:7" ht="15.75" customHeight="1">
      <c r="A293" s="5">
        <v>71004</v>
      </c>
      <c r="B293" s="4" t="s">
        <v>259</v>
      </c>
      <c r="C293" s="18">
        <v>46.704871060171918</v>
      </c>
      <c r="D293" s="18">
        <v>84.160305343511453</v>
      </c>
      <c r="G293" s="19"/>
    </row>
    <row r="294" spans="1:7" ht="15.75" customHeight="1">
      <c r="A294" s="5">
        <v>71005</v>
      </c>
      <c r="B294" s="4" t="s">
        <v>192</v>
      </c>
      <c r="C294" s="18">
        <v>55.296856810244464</v>
      </c>
      <c r="D294" s="18">
        <v>86.55913978494624</v>
      </c>
      <c r="G294" s="19"/>
    </row>
    <row r="295" spans="1:7" ht="15.75" customHeight="1">
      <c r="A295" s="5">
        <v>71101</v>
      </c>
      <c r="B295" s="4" t="s">
        <v>260</v>
      </c>
      <c r="C295" s="18">
        <v>39.587628865979383</v>
      </c>
      <c r="D295" s="18">
        <v>61.358313817330213</v>
      </c>
      <c r="G295" s="19"/>
    </row>
    <row r="296" spans="1:7" ht="15.75" customHeight="1">
      <c r="A296" s="5">
        <v>71102</v>
      </c>
      <c r="B296" s="4" t="s">
        <v>261</v>
      </c>
      <c r="C296" s="18">
        <v>39.804469273743017</v>
      </c>
      <c r="D296" s="18">
        <v>73.834586466165405</v>
      </c>
      <c r="G296" s="19"/>
    </row>
    <row r="297" spans="1:7" ht="15.75" customHeight="1">
      <c r="A297" s="5">
        <v>71103</v>
      </c>
      <c r="B297" s="4" t="s">
        <v>264</v>
      </c>
      <c r="C297" s="18">
        <v>37.5</v>
      </c>
      <c r="D297" s="18">
        <v>71.345029239766077</v>
      </c>
      <c r="G297" s="19"/>
    </row>
    <row r="298" spans="1:7" ht="15.75" customHeight="1">
      <c r="A298" s="5">
        <v>71104</v>
      </c>
      <c r="B298" s="4" t="s">
        <v>262</v>
      </c>
      <c r="C298" s="18">
        <v>42.131350681536553</v>
      </c>
      <c r="D298" s="18">
        <v>78.83131201764057</v>
      </c>
      <c r="G298" s="19"/>
    </row>
    <row r="299" spans="1:7" ht="15.75" customHeight="1">
      <c r="A299" s="5">
        <v>71105</v>
      </c>
      <c r="B299" s="4" t="s">
        <v>263</v>
      </c>
      <c r="C299" s="18">
        <v>39.296187683284458</v>
      </c>
      <c r="D299" s="18">
        <v>63.398692810457511</v>
      </c>
      <c r="G299" s="19"/>
    </row>
    <row r="300" spans="1:7" ht="15.75" customHeight="1">
      <c r="A300" s="5">
        <v>71106</v>
      </c>
      <c r="B300" s="4" t="s">
        <v>265</v>
      </c>
      <c r="C300" s="18">
        <v>34.347826086956523</v>
      </c>
      <c r="D300" s="18">
        <v>56.525496974935173</v>
      </c>
      <c r="G300" s="19"/>
    </row>
    <row r="301" spans="1:7" ht="15.75" customHeight="1">
      <c r="A301" s="5">
        <v>71201</v>
      </c>
      <c r="B301" s="4" t="s">
        <v>266</v>
      </c>
      <c r="C301" s="18">
        <v>34.029850746268657</v>
      </c>
      <c r="D301" s="18">
        <v>48.50299401197605</v>
      </c>
      <c r="G301" s="19"/>
    </row>
    <row r="302" spans="1:7" ht="15.75" customHeight="1">
      <c r="A302" s="5">
        <v>71301</v>
      </c>
      <c r="B302" s="4" t="s">
        <v>267</v>
      </c>
      <c r="C302" s="18">
        <v>40.357598978288635</v>
      </c>
      <c r="D302" s="18">
        <v>86.295793758480315</v>
      </c>
      <c r="G302" s="19"/>
    </row>
    <row r="303" spans="1:7" ht="15.75" customHeight="1">
      <c r="A303" s="5">
        <v>71302</v>
      </c>
      <c r="B303" s="4" t="s">
        <v>268</v>
      </c>
      <c r="C303" s="18">
        <v>49.473684210526315</v>
      </c>
      <c r="D303" s="18">
        <v>90.454545454545453</v>
      </c>
      <c r="G303" s="19"/>
    </row>
    <row r="304" spans="1:7" ht="15.75" customHeight="1">
      <c r="A304" s="5">
        <v>71401</v>
      </c>
      <c r="B304" s="4" t="s">
        <v>361</v>
      </c>
      <c r="C304" s="18">
        <v>48.743016759776538</v>
      </c>
      <c r="D304" s="18">
        <v>78.472222222222214</v>
      </c>
      <c r="G304" s="19"/>
    </row>
    <row r="305" spans="1:7" ht="15.75" customHeight="1">
      <c r="A305" s="5">
        <v>71402</v>
      </c>
      <c r="B305" s="4" t="s">
        <v>269</v>
      </c>
      <c r="C305" s="18">
        <v>42.564802182810368</v>
      </c>
      <c r="D305" s="18">
        <v>65.996908809891806</v>
      </c>
      <c r="G305" s="19"/>
    </row>
    <row r="306" spans="1:7" ht="15.75" customHeight="1">
      <c r="A306" s="5">
        <v>71403</v>
      </c>
      <c r="B306" s="4" t="s">
        <v>270</v>
      </c>
      <c r="C306" s="18">
        <v>43.174603174603178</v>
      </c>
      <c r="D306" s="18">
        <v>51.19047619047619</v>
      </c>
      <c r="G306" s="19"/>
    </row>
    <row r="307" spans="1:7" ht="15.75" customHeight="1">
      <c r="A307" s="5">
        <v>71501</v>
      </c>
      <c r="B307" s="4" t="s">
        <v>271</v>
      </c>
      <c r="C307" s="18">
        <v>37.270341207349084</v>
      </c>
      <c r="D307" s="18">
        <v>59.885795860099932</v>
      </c>
      <c r="G307" s="19"/>
    </row>
    <row r="308" spans="1:7" ht="15.75" customHeight="1">
      <c r="A308" s="5">
        <v>71502</v>
      </c>
      <c r="B308" s="4" t="s">
        <v>272</v>
      </c>
      <c r="C308" s="18">
        <v>42.553191489361701</v>
      </c>
      <c r="D308" s="18">
        <v>69.818181818181827</v>
      </c>
      <c r="G308" s="19"/>
    </row>
    <row r="309" spans="1:7" ht="15.75" customHeight="1">
      <c r="A309" s="5">
        <v>71503</v>
      </c>
      <c r="B309" s="4" t="s">
        <v>224</v>
      </c>
      <c r="C309" s="18">
        <v>32.684283727399169</v>
      </c>
      <c r="D309" s="18">
        <v>66.040955631399328</v>
      </c>
      <c r="G309" s="19"/>
    </row>
    <row r="310" spans="1:7" ht="15.75" customHeight="1">
      <c r="A310" s="5">
        <v>80101</v>
      </c>
      <c r="B310" s="4" t="s">
        <v>274</v>
      </c>
      <c r="C310" s="18">
        <v>54.712362301101592</v>
      </c>
      <c r="D310" s="18">
        <v>78.534140739193987</v>
      </c>
      <c r="G310" s="19"/>
    </row>
    <row r="311" spans="1:7" ht="15.75" customHeight="1">
      <c r="A311" s="5">
        <v>80102</v>
      </c>
      <c r="B311" s="4" t="s">
        <v>261</v>
      </c>
      <c r="C311" s="18">
        <v>37.404580152671755</v>
      </c>
      <c r="D311" s="18">
        <v>49.591280653950953</v>
      </c>
      <c r="G311" s="19"/>
    </row>
    <row r="312" spans="1:7" ht="15.75" customHeight="1">
      <c r="A312" s="5">
        <v>80201</v>
      </c>
      <c r="B312" s="4" t="s">
        <v>275</v>
      </c>
      <c r="C312" s="18">
        <v>42.626575281892549</v>
      </c>
      <c r="D312" s="18">
        <v>66.064981949458485</v>
      </c>
      <c r="G312" s="19"/>
    </row>
    <row r="313" spans="1:7" ht="15.75" customHeight="1">
      <c r="A313" s="5">
        <v>80202</v>
      </c>
      <c r="B313" s="4" t="s">
        <v>276</v>
      </c>
      <c r="C313" s="18">
        <v>58.901918976545844</v>
      </c>
      <c r="D313" s="18">
        <v>75.667287399130984</v>
      </c>
      <c r="G313" s="19"/>
    </row>
    <row r="314" spans="1:7" ht="15.75" customHeight="1">
      <c r="A314" s="5">
        <v>80301</v>
      </c>
      <c r="B314" s="4" t="s">
        <v>277</v>
      </c>
      <c r="C314" s="18">
        <v>52.367688022284121</v>
      </c>
      <c r="D314" s="18">
        <v>72.328244274809165</v>
      </c>
      <c r="G314" s="19"/>
    </row>
    <row r="315" spans="1:7" ht="15.75" customHeight="1">
      <c r="A315" s="5">
        <v>80302</v>
      </c>
      <c r="B315" s="4" t="s">
        <v>278</v>
      </c>
      <c r="C315" s="18">
        <v>32.778264680105174</v>
      </c>
      <c r="D315" s="18">
        <v>48.121263877028184</v>
      </c>
      <c r="G315" s="19"/>
    </row>
    <row r="316" spans="1:7" ht="15.75" customHeight="1">
      <c r="A316" s="5">
        <v>80303</v>
      </c>
      <c r="B316" s="4" t="s">
        <v>242</v>
      </c>
      <c r="C316" s="18">
        <v>48.023715415019765</v>
      </c>
      <c r="D316" s="18">
        <v>64.59854014598541</v>
      </c>
      <c r="G316" s="19"/>
    </row>
    <row r="317" spans="1:7" ht="15.75" customHeight="1">
      <c r="A317" s="5">
        <v>80304</v>
      </c>
      <c r="B317" s="4" t="s">
        <v>362</v>
      </c>
      <c r="C317" s="18">
        <v>44.052863436123346</v>
      </c>
      <c r="D317" s="18">
        <v>65.769644779332609</v>
      </c>
      <c r="G317" s="19"/>
    </row>
    <row r="318" spans="1:7" ht="15.75" customHeight="1">
      <c r="A318" s="5">
        <v>80401</v>
      </c>
      <c r="B318" s="4" t="s">
        <v>363</v>
      </c>
      <c r="C318" s="18">
        <v>42.559833506763788</v>
      </c>
      <c r="D318" s="18">
        <v>56.731875719217498</v>
      </c>
      <c r="G318" s="19"/>
    </row>
    <row r="319" spans="1:7" ht="15.75" customHeight="1">
      <c r="A319" s="5">
        <v>80402</v>
      </c>
      <c r="B319" s="4" t="s">
        <v>279</v>
      </c>
      <c r="C319" s="18">
        <v>27.146814404432135</v>
      </c>
      <c r="D319" s="18">
        <v>48.231511254019296</v>
      </c>
      <c r="G319" s="19"/>
    </row>
    <row r="320" spans="1:7" ht="15.75" customHeight="1">
      <c r="A320" s="5">
        <v>80501</v>
      </c>
      <c r="B320" s="4" t="s">
        <v>233</v>
      </c>
      <c r="C320" s="18">
        <v>38.785834738617204</v>
      </c>
      <c r="D320" s="18">
        <v>69.128787878787875</v>
      </c>
      <c r="G320" s="19"/>
    </row>
    <row r="321" spans="1:7" ht="15.75" customHeight="1">
      <c r="A321" s="5">
        <v>80601</v>
      </c>
      <c r="B321" s="4" t="s">
        <v>280</v>
      </c>
      <c r="C321" s="18">
        <v>35.820895522388057</v>
      </c>
      <c r="D321" s="18">
        <v>60.905349794238681</v>
      </c>
      <c r="G321" s="19"/>
    </row>
    <row r="322" spans="1:7" ht="15.75" customHeight="1">
      <c r="A322" s="5">
        <v>80602</v>
      </c>
      <c r="B322" s="4" t="s">
        <v>281</v>
      </c>
      <c r="C322" s="18">
        <v>54.11392405063291</v>
      </c>
      <c r="D322" s="18">
        <v>66.559485530546624</v>
      </c>
      <c r="G322" s="19"/>
    </row>
    <row r="323" spans="1:7" ht="15.75" customHeight="1">
      <c r="A323" s="5">
        <v>80701</v>
      </c>
      <c r="B323" s="4" t="s">
        <v>282</v>
      </c>
      <c r="C323" s="18">
        <v>52.515723270440247</v>
      </c>
      <c r="D323" s="18">
        <v>67.247386759581886</v>
      </c>
      <c r="G323" s="19"/>
    </row>
    <row r="324" spans="1:7" ht="15.75" customHeight="1">
      <c r="A324" s="5">
        <v>80702</v>
      </c>
      <c r="B324" s="4" t="s">
        <v>264</v>
      </c>
      <c r="C324" s="18">
        <v>58.51063829787234</v>
      </c>
      <c r="D324" s="18">
        <v>78.84615384615384</v>
      </c>
      <c r="G324" s="19"/>
    </row>
    <row r="325" spans="1:7" ht="15.75" customHeight="1">
      <c r="A325" s="5">
        <v>80703</v>
      </c>
      <c r="B325" s="4" t="s">
        <v>283</v>
      </c>
      <c r="C325" s="18">
        <v>50.877192982456144</v>
      </c>
      <c r="D325" s="18">
        <v>78.181818181818187</v>
      </c>
      <c r="G325" s="19"/>
    </row>
    <row r="326" spans="1:7" ht="15.75" customHeight="1">
      <c r="A326" s="5">
        <v>80801</v>
      </c>
      <c r="B326" s="4" t="s">
        <v>284</v>
      </c>
      <c r="C326" s="18">
        <v>57.450628366247756</v>
      </c>
      <c r="D326" s="18">
        <v>80.802792321116925</v>
      </c>
      <c r="G326" s="19"/>
    </row>
    <row r="327" spans="1:7" ht="15.75" customHeight="1">
      <c r="A327" s="5">
        <v>80802</v>
      </c>
      <c r="B327" s="4" t="s">
        <v>285</v>
      </c>
      <c r="C327" s="18">
        <v>57.317073170731703</v>
      </c>
      <c r="D327" s="18">
        <v>81.276595744680847</v>
      </c>
      <c r="G327" s="19"/>
    </row>
    <row r="328" spans="1:7" ht="15.75" customHeight="1">
      <c r="A328" s="5">
        <v>80803</v>
      </c>
      <c r="B328" s="4" t="s">
        <v>286</v>
      </c>
      <c r="C328" s="18">
        <v>55.319148936170215</v>
      </c>
      <c r="D328" s="18">
        <v>74.545454545454547</v>
      </c>
      <c r="G328" s="19"/>
    </row>
    <row r="329" spans="1:7" ht="15.75" customHeight="1">
      <c r="A329" s="5">
        <v>80901</v>
      </c>
      <c r="B329" s="4" t="s">
        <v>364</v>
      </c>
      <c r="C329" s="18">
        <f>AVERAGE(C320,C318)</f>
        <v>40.672834122690496</v>
      </c>
      <c r="D329" s="18">
        <v>64.202334630350194</v>
      </c>
      <c r="G329" s="19"/>
    </row>
    <row r="330" spans="1:7" ht="15.75" customHeight="1">
      <c r="A330" s="5">
        <v>90101</v>
      </c>
      <c r="B330" s="4" t="s">
        <v>288</v>
      </c>
      <c r="C330" s="18">
        <v>51.654601861427096</v>
      </c>
      <c r="D330" s="18">
        <v>83.24742268041237</v>
      </c>
      <c r="G330" s="19"/>
    </row>
    <row r="331" spans="1:7" ht="15.75" customHeight="1">
      <c r="A331" s="5">
        <v>90102</v>
      </c>
      <c r="B331" s="4" t="s">
        <v>289</v>
      </c>
      <c r="C331" s="18">
        <v>55.718475073313776</v>
      </c>
      <c r="D331" s="18">
        <v>76.283618581907092</v>
      </c>
      <c r="G331" s="19"/>
    </row>
    <row r="332" spans="1:7" ht="15.75" customHeight="1">
      <c r="A332" s="5">
        <v>90103</v>
      </c>
      <c r="B332" s="4" t="s">
        <v>290</v>
      </c>
      <c r="C332" s="18">
        <v>45.714285714285715</v>
      </c>
      <c r="D332" s="18">
        <v>78.494623655913969</v>
      </c>
      <c r="G332" s="19"/>
    </row>
    <row r="333" spans="1:7" ht="15.75" customHeight="1">
      <c r="A333" s="5">
        <v>90104</v>
      </c>
      <c r="B333" s="4" t="s">
        <v>291</v>
      </c>
      <c r="C333" s="18">
        <v>51.813471502590666</v>
      </c>
      <c r="D333" s="18">
        <v>79.389312977099237</v>
      </c>
      <c r="G333" s="19"/>
    </row>
    <row r="334" spans="1:7" ht="15.75" customHeight="1">
      <c r="A334" s="5">
        <v>90201</v>
      </c>
      <c r="B334" s="4" t="s">
        <v>292</v>
      </c>
      <c r="C334" s="18">
        <v>52.424242424242429</v>
      </c>
      <c r="D334" s="18">
        <v>84.984025559105433</v>
      </c>
      <c r="G334" s="19"/>
    </row>
    <row r="335" spans="1:7" ht="15.75" customHeight="1">
      <c r="A335" s="5">
        <v>90202</v>
      </c>
      <c r="B335" s="4" t="s">
        <v>192</v>
      </c>
      <c r="C335" s="18">
        <v>39.568345323741006</v>
      </c>
      <c r="D335" s="18">
        <v>60.439560439560438</v>
      </c>
      <c r="G335" s="19"/>
    </row>
    <row r="336" spans="1:7" ht="15.75" customHeight="1">
      <c r="A336" s="5">
        <v>90203</v>
      </c>
      <c r="B336" s="4" t="s">
        <v>293</v>
      </c>
      <c r="C336" s="18">
        <v>56.701030927835049</v>
      </c>
      <c r="D336" s="18">
        <v>86.430678466076699</v>
      </c>
      <c r="G336" s="19"/>
    </row>
    <row r="337" spans="1:7" ht="15.75" customHeight="1">
      <c r="A337" s="5">
        <v>90301</v>
      </c>
      <c r="B337" s="4" t="s">
        <v>294</v>
      </c>
      <c r="C337" s="18">
        <v>51.739130434782609</v>
      </c>
      <c r="D337" s="18">
        <v>63.665086887835699</v>
      </c>
      <c r="G337" s="19"/>
    </row>
    <row r="338" spans="1:7" ht="15.75" customHeight="1">
      <c r="A338" s="5">
        <v>90302</v>
      </c>
      <c r="B338" s="4" t="s">
        <v>223</v>
      </c>
      <c r="C338" s="18">
        <v>56.428571428571431</v>
      </c>
      <c r="D338" s="18">
        <v>71.653543307086608</v>
      </c>
      <c r="G338" s="19"/>
    </row>
    <row r="339" spans="1:7" ht="15.75" customHeight="1">
      <c r="A339" s="5">
        <v>90303</v>
      </c>
      <c r="B339" s="4" t="s">
        <v>295</v>
      </c>
      <c r="C339" s="18">
        <v>46.997929606625263</v>
      </c>
      <c r="D339" s="18">
        <v>71.119133574007222</v>
      </c>
      <c r="G339" s="19"/>
    </row>
    <row r="340" spans="1:7" ht="15.75" customHeight="1">
      <c r="A340" s="5">
        <v>90401</v>
      </c>
      <c r="B340" s="4" t="s">
        <v>365</v>
      </c>
      <c r="C340" s="18">
        <v>50.413223140495866</v>
      </c>
      <c r="D340" s="18">
        <v>82.258064516129039</v>
      </c>
      <c r="G340" s="19"/>
    </row>
    <row r="341" spans="1:7" ht="15.75" customHeight="1">
      <c r="A341" s="5">
        <v>90402</v>
      </c>
      <c r="B341" s="4" t="s">
        <v>59</v>
      </c>
      <c r="C341" s="18">
        <v>35.789473684210527</v>
      </c>
      <c r="D341" s="18">
        <v>82.835820895522389</v>
      </c>
      <c r="G341" s="19"/>
    </row>
    <row r="342" spans="1:7" ht="15.75" customHeight="1">
      <c r="A342" s="5">
        <v>90501</v>
      </c>
      <c r="B342" s="4" t="s">
        <v>296</v>
      </c>
      <c r="C342" s="18">
        <v>61.53846153846154</v>
      </c>
      <c r="D342" s="18">
        <v>85.714285714285708</v>
      </c>
      <c r="G342" s="19"/>
    </row>
    <row r="343" spans="1:7" ht="15.75" customHeight="1">
      <c r="A343" s="5">
        <v>90502</v>
      </c>
      <c r="B343" s="4" t="s">
        <v>366</v>
      </c>
      <c r="C343" s="18">
        <v>52.147239263803677</v>
      </c>
      <c r="D343" s="18">
        <v>81.308411214953267</v>
      </c>
      <c r="G343" s="19"/>
    </row>
    <row r="344" spans="1:7" ht="15.75" customHeight="1">
      <c r="A344" s="5">
        <v>90503</v>
      </c>
      <c r="B344" s="4" t="s">
        <v>297</v>
      </c>
      <c r="C344" s="18">
        <v>43.220338983050851</v>
      </c>
      <c r="D344" s="18">
        <v>71.568627450980387</v>
      </c>
      <c r="G344" s="19"/>
    </row>
    <row r="345" spans="1:7" ht="15.75" customHeight="1">
      <c r="A345" s="20"/>
      <c r="B345" s="21"/>
      <c r="C345" s="20"/>
      <c r="D345" s="20"/>
      <c r="G345" s="22"/>
    </row>
    <row r="346" spans="1:7" ht="15.75" customHeight="1">
      <c r="A346" s="20"/>
      <c r="B346" s="21"/>
      <c r="C346" s="20"/>
      <c r="D346" s="20"/>
      <c r="G346" s="22"/>
    </row>
    <row r="347" spans="1:7" ht="15.75" customHeight="1">
      <c r="A347" s="20"/>
      <c r="B347" s="21"/>
      <c r="C347" s="20"/>
      <c r="D347" s="20"/>
      <c r="G347" s="22"/>
    </row>
    <row r="348" spans="1:7" ht="15.75" customHeight="1">
      <c r="A348" s="20"/>
      <c r="B348" s="21"/>
      <c r="C348" s="20"/>
      <c r="D348" s="20"/>
      <c r="G348" s="22"/>
    </row>
    <row r="349" spans="1:7" ht="15.75" customHeight="1">
      <c r="A349" s="20"/>
      <c r="B349" s="21"/>
      <c r="C349" s="20"/>
      <c r="D349" s="20"/>
      <c r="G349" s="22"/>
    </row>
    <row r="350" spans="1:7" ht="15.75" customHeight="1">
      <c r="A350" s="20"/>
      <c r="B350" s="21"/>
      <c r="C350" s="20"/>
      <c r="D350" s="20"/>
      <c r="G350" s="22"/>
    </row>
    <row r="351" spans="1:7" ht="15.75" customHeight="1">
      <c r="A351" s="20"/>
      <c r="B351" s="21"/>
      <c r="C351" s="20"/>
      <c r="D351" s="20"/>
      <c r="G351" s="22"/>
    </row>
    <row r="352" spans="1:7" ht="15.75" customHeight="1">
      <c r="A352" s="20"/>
      <c r="B352" s="21"/>
      <c r="C352" s="20"/>
      <c r="D352" s="20"/>
      <c r="G352" s="22"/>
    </row>
    <row r="353" spans="1:7" ht="15.75" customHeight="1">
      <c r="A353" s="20"/>
      <c r="B353" s="21"/>
      <c r="C353" s="20"/>
      <c r="D353" s="20"/>
      <c r="G353" s="22"/>
    </row>
    <row r="354" spans="1:7" ht="15.75" customHeight="1">
      <c r="A354" s="20"/>
      <c r="B354" s="21"/>
      <c r="C354" s="20"/>
      <c r="D354" s="20"/>
      <c r="G354" s="22"/>
    </row>
    <row r="355" spans="1:7" ht="15.75" customHeight="1">
      <c r="A355" s="20"/>
      <c r="B355" s="21"/>
      <c r="C355" s="20"/>
      <c r="D355" s="20"/>
      <c r="G355" s="22"/>
    </row>
    <row r="356" spans="1:7" ht="15.75" customHeight="1">
      <c r="A356" s="20"/>
      <c r="B356" s="21"/>
      <c r="C356" s="20"/>
      <c r="D356" s="20"/>
      <c r="G356" s="22"/>
    </row>
    <row r="357" spans="1:7" ht="15.75" customHeight="1">
      <c r="A357" s="20"/>
      <c r="B357" s="21"/>
      <c r="C357" s="20"/>
      <c r="D357" s="20"/>
      <c r="G357" s="22"/>
    </row>
    <row r="358" spans="1:7" ht="15.75" customHeight="1">
      <c r="A358" s="20"/>
      <c r="B358" s="21"/>
      <c r="C358" s="20"/>
      <c r="D358" s="20"/>
      <c r="G358" s="22"/>
    </row>
    <row r="359" spans="1:7" ht="15.75" customHeight="1">
      <c r="A359" s="20"/>
      <c r="B359" s="21"/>
      <c r="C359" s="20"/>
      <c r="D359" s="20"/>
      <c r="G359" s="22"/>
    </row>
    <row r="360" spans="1:7" ht="15.75" customHeight="1">
      <c r="A360" s="20"/>
      <c r="B360" s="21"/>
      <c r="C360" s="20"/>
      <c r="D360" s="20"/>
      <c r="G360" s="22"/>
    </row>
    <row r="361" spans="1:7" ht="15.75" customHeight="1">
      <c r="A361" s="20"/>
      <c r="B361" s="21"/>
      <c r="C361" s="20"/>
      <c r="D361" s="20"/>
      <c r="G361" s="22"/>
    </row>
    <row r="362" spans="1:7" ht="15.75" customHeight="1">
      <c r="A362" s="20"/>
      <c r="B362" s="21"/>
      <c r="C362" s="20"/>
      <c r="D362" s="20"/>
      <c r="G362" s="22"/>
    </row>
    <row r="363" spans="1:7" ht="15.75" customHeight="1">
      <c r="A363" s="20"/>
      <c r="B363" s="21"/>
      <c r="C363" s="20"/>
      <c r="D363" s="20"/>
      <c r="G363" s="22"/>
    </row>
    <row r="364" spans="1:7" ht="15.75" customHeight="1">
      <c r="A364" s="20"/>
      <c r="B364" s="21"/>
      <c r="C364" s="20"/>
      <c r="D364" s="20"/>
      <c r="G364" s="22"/>
    </row>
    <row r="365" spans="1:7" ht="15.75" customHeight="1">
      <c r="A365" s="20"/>
      <c r="B365" s="21"/>
      <c r="C365" s="20"/>
      <c r="D365" s="20"/>
      <c r="G365" s="22"/>
    </row>
    <row r="366" spans="1:7" ht="15.75" customHeight="1">
      <c r="A366" s="20"/>
      <c r="B366" s="21"/>
      <c r="C366" s="20"/>
      <c r="D366" s="20"/>
      <c r="G366" s="22"/>
    </row>
    <row r="367" spans="1:7" ht="15.75" customHeight="1">
      <c r="A367" s="20"/>
      <c r="B367" s="21"/>
      <c r="C367" s="20"/>
      <c r="D367" s="20"/>
      <c r="G367" s="22"/>
    </row>
    <row r="368" spans="1:7" ht="15.75" customHeight="1">
      <c r="A368" s="20"/>
      <c r="B368" s="21"/>
      <c r="C368" s="20"/>
      <c r="D368" s="20"/>
      <c r="G368" s="22"/>
    </row>
    <row r="369" spans="1:7" ht="15.75" customHeight="1">
      <c r="A369" s="20"/>
      <c r="B369" s="21"/>
      <c r="C369" s="20"/>
      <c r="D369" s="20"/>
      <c r="G369" s="22"/>
    </row>
    <row r="370" spans="1:7" ht="15.75" customHeight="1">
      <c r="A370" s="20"/>
      <c r="B370" s="21"/>
      <c r="C370" s="20"/>
      <c r="D370" s="20"/>
      <c r="G370" s="22"/>
    </row>
    <row r="371" spans="1:7" ht="15.75" customHeight="1">
      <c r="A371" s="20"/>
      <c r="B371" s="21"/>
      <c r="C371" s="20"/>
      <c r="D371" s="20"/>
      <c r="G371" s="22"/>
    </row>
    <row r="372" spans="1:7" ht="15.75" customHeight="1">
      <c r="A372" s="20"/>
      <c r="B372" s="21"/>
      <c r="C372" s="20"/>
      <c r="D372" s="20"/>
      <c r="G372" s="22"/>
    </row>
    <row r="373" spans="1:7" ht="15.75" customHeight="1">
      <c r="A373" s="20"/>
      <c r="B373" s="21"/>
      <c r="C373" s="20"/>
      <c r="D373" s="20"/>
      <c r="G373" s="22"/>
    </row>
    <row r="374" spans="1:7" ht="15.75" customHeight="1">
      <c r="A374" s="20"/>
      <c r="B374" s="21"/>
      <c r="C374" s="20"/>
      <c r="D374" s="20"/>
      <c r="G374" s="22"/>
    </row>
    <row r="375" spans="1:7" ht="15.75" customHeight="1">
      <c r="A375" s="20"/>
      <c r="B375" s="21"/>
      <c r="C375" s="20"/>
      <c r="D375" s="20"/>
      <c r="G375" s="22"/>
    </row>
    <row r="376" spans="1:7" ht="15.75" customHeight="1">
      <c r="A376" s="20"/>
      <c r="B376" s="21"/>
      <c r="C376" s="20"/>
      <c r="D376" s="20"/>
      <c r="G376" s="22"/>
    </row>
    <row r="377" spans="1:7" ht="15.75" customHeight="1">
      <c r="A377" s="20"/>
      <c r="B377" s="21"/>
      <c r="C377" s="20"/>
      <c r="D377" s="20"/>
      <c r="G377" s="22"/>
    </row>
    <row r="378" spans="1:7" ht="15.75" customHeight="1">
      <c r="A378" s="20"/>
      <c r="B378" s="21"/>
      <c r="C378" s="20"/>
      <c r="D378" s="20"/>
      <c r="G378" s="22"/>
    </row>
    <row r="379" spans="1:7" ht="15.75" customHeight="1">
      <c r="A379" s="20"/>
      <c r="B379" s="21"/>
      <c r="C379" s="20"/>
      <c r="D379" s="20"/>
      <c r="G379" s="22"/>
    </row>
    <row r="380" spans="1:7" ht="15.75" customHeight="1">
      <c r="A380" s="20"/>
      <c r="B380" s="21"/>
      <c r="C380" s="20"/>
      <c r="D380" s="20"/>
      <c r="G380" s="22"/>
    </row>
    <row r="381" spans="1:7" ht="15.75" customHeight="1">
      <c r="A381" s="20"/>
      <c r="B381" s="21"/>
      <c r="C381" s="20"/>
      <c r="D381" s="20"/>
      <c r="G381" s="22"/>
    </row>
    <row r="382" spans="1:7" ht="15.75" customHeight="1">
      <c r="A382" s="20"/>
      <c r="B382" s="21"/>
      <c r="C382" s="20"/>
      <c r="D382" s="20"/>
      <c r="G382" s="22"/>
    </row>
    <row r="383" spans="1:7" ht="15.75" customHeight="1">
      <c r="A383" s="20"/>
      <c r="B383" s="21"/>
      <c r="C383" s="20"/>
      <c r="D383" s="20"/>
      <c r="G383" s="22"/>
    </row>
    <row r="384" spans="1:7" ht="15.75" customHeight="1">
      <c r="A384" s="20"/>
      <c r="B384" s="21"/>
      <c r="C384" s="20"/>
      <c r="D384" s="20"/>
      <c r="G384" s="22"/>
    </row>
    <row r="385" spans="1:7" ht="15.75" customHeight="1">
      <c r="A385" s="20"/>
      <c r="B385" s="21"/>
      <c r="C385" s="20"/>
      <c r="D385" s="20"/>
      <c r="G385" s="22"/>
    </row>
    <row r="386" spans="1:7" ht="15.75" customHeight="1">
      <c r="A386" s="20"/>
      <c r="B386" s="21"/>
      <c r="C386" s="20"/>
      <c r="D386" s="20"/>
      <c r="G386" s="22"/>
    </row>
    <row r="387" spans="1:7" ht="15.75" customHeight="1">
      <c r="A387" s="20"/>
      <c r="B387" s="21"/>
      <c r="C387" s="20"/>
      <c r="D387" s="20"/>
      <c r="G387" s="22"/>
    </row>
    <row r="388" spans="1:7" ht="15.75" customHeight="1">
      <c r="A388" s="20"/>
      <c r="B388" s="21"/>
      <c r="C388" s="20"/>
      <c r="D388" s="20"/>
      <c r="G388" s="22"/>
    </row>
    <row r="389" spans="1:7" ht="15.75" customHeight="1">
      <c r="A389" s="20"/>
      <c r="B389" s="21"/>
      <c r="C389" s="20"/>
      <c r="D389" s="20"/>
      <c r="G389" s="22"/>
    </row>
    <row r="390" spans="1:7" ht="15.75" customHeight="1">
      <c r="A390" s="20"/>
      <c r="B390" s="21"/>
      <c r="C390" s="20"/>
      <c r="D390" s="20"/>
      <c r="G390" s="22"/>
    </row>
    <row r="391" spans="1:7" ht="15.75" customHeight="1">
      <c r="A391" s="20"/>
      <c r="B391" s="21"/>
      <c r="C391" s="20"/>
      <c r="D391" s="20"/>
      <c r="G391" s="22"/>
    </row>
    <row r="392" spans="1:7" ht="15.75" customHeight="1">
      <c r="A392" s="20"/>
      <c r="B392" s="21"/>
      <c r="C392" s="20"/>
      <c r="D392" s="20"/>
      <c r="G392" s="22"/>
    </row>
    <row r="393" spans="1:7" ht="15.75" customHeight="1">
      <c r="A393" s="20"/>
      <c r="B393" s="21"/>
      <c r="C393" s="20"/>
      <c r="D393" s="20"/>
      <c r="G393" s="22"/>
    </row>
    <row r="394" spans="1:7" ht="15.75" customHeight="1">
      <c r="A394" s="20"/>
      <c r="B394" s="21"/>
      <c r="C394" s="20"/>
      <c r="D394" s="20"/>
      <c r="G394" s="22"/>
    </row>
    <row r="395" spans="1:7" ht="15.75" customHeight="1">
      <c r="A395" s="20"/>
      <c r="B395" s="21"/>
      <c r="C395" s="20"/>
      <c r="D395" s="20"/>
      <c r="G395" s="22"/>
    </row>
    <row r="396" spans="1:7" ht="15.75" customHeight="1">
      <c r="A396" s="20"/>
      <c r="B396" s="21"/>
      <c r="C396" s="20"/>
      <c r="D396" s="20"/>
      <c r="G396" s="22"/>
    </row>
    <row r="397" spans="1:7" ht="15.75" customHeight="1">
      <c r="A397" s="20"/>
      <c r="B397" s="21"/>
      <c r="C397" s="20"/>
      <c r="D397" s="20"/>
      <c r="G397" s="22"/>
    </row>
    <row r="398" spans="1:7" ht="15.75" customHeight="1">
      <c r="A398" s="20"/>
      <c r="B398" s="21"/>
      <c r="C398" s="20"/>
      <c r="D398" s="20"/>
      <c r="G398" s="22"/>
    </row>
    <row r="399" spans="1:7" ht="15.75" customHeight="1">
      <c r="A399" s="20"/>
      <c r="B399" s="21"/>
      <c r="C399" s="20"/>
      <c r="D399" s="20"/>
      <c r="G399" s="22"/>
    </row>
    <row r="400" spans="1:7" ht="15.75" customHeight="1">
      <c r="A400" s="20"/>
      <c r="B400" s="21"/>
      <c r="C400" s="20"/>
      <c r="D400" s="20"/>
      <c r="G400" s="22"/>
    </row>
    <row r="401" spans="1:7" ht="15.75" customHeight="1">
      <c r="A401" s="20"/>
      <c r="B401" s="21"/>
      <c r="C401" s="20"/>
      <c r="D401" s="20"/>
      <c r="G401" s="22"/>
    </row>
    <row r="402" spans="1:7" ht="15.75" customHeight="1">
      <c r="A402" s="20"/>
      <c r="B402" s="21"/>
      <c r="C402" s="20"/>
      <c r="D402" s="20"/>
      <c r="G402" s="22"/>
    </row>
    <row r="403" spans="1:7" ht="15.75" customHeight="1">
      <c r="A403" s="20"/>
      <c r="B403" s="21"/>
      <c r="C403" s="20"/>
      <c r="D403" s="20"/>
      <c r="G403" s="22"/>
    </row>
    <row r="404" spans="1:7" ht="15.75" customHeight="1">
      <c r="A404" s="20"/>
      <c r="B404" s="21"/>
      <c r="C404" s="20"/>
      <c r="D404" s="20"/>
      <c r="G404" s="22"/>
    </row>
    <row r="405" spans="1:7" ht="15.75" customHeight="1">
      <c r="A405" s="20"/>
      <c r="B405" s="21"/>
      <c r="C405" s="20"/>
      <c r="D405" s="20"/>
      <c r="G405" s="22"/>
    </row>
    <row r="406" spans="1:7" ht="15.75" customHeight="1">
      <c r="A406" s="20"/>
      <c r="B406" s="21"/>
      <c r="C406" s="20"/>
      <c r="D406" s="20"/>
      <c r="G406" s="22"/>
    </row>
    <row r="407" spans="1:7" ht="15.75" customHeight="1">
      <c r="A407" s="20"/>
      <c r="B407" s="21"/>
      <c r="C407" s="20"/>
      <c r="D407" s="20"/>
      <c r="G407" s="22"/>
    </row>
    <row r="408" spans="1:7" ht="15.75" customHeight="1">
      <c r="A408" s="20"/>
      <c r="B408" s="21"/>
      <c r="C408" s="20"/>
      <c r="D408" s="20"/>
      <c r="G408" s="22"/>
    </row>
    <row r="409" spans="1:7" ht="15.75" customHeight="1">
      <c r="A409" s="20"/>
      <c r="B409" s="21"/>
      <c r="C409" s="20"/>
      <c r="D409" s="20"/>
      <c r="G409" s="22"/>
    </row>
    <row r="410" spans="1:7" ht="15.75" customHeight="1">
      <c r="A410" s="20"/>
      <c r="B410" s="21"/>
      <c r="C410" s="20"/>
      <c r="D410" s="20"/>
      <c r="G410" s="22"/>
    </row>
    <row r="411" spans="1:7" ht="15.75" customHeight="1">
      <c r="A411" s="20"/>
      <c r="B411" s="21"/>
      <c r="C411" s="20"/>
      <c r="D411" s="20"/>
      <c r="G411" s="22"/>
    </row>
    <row r="412" spans="1:7" ht="15.75" customHeight="1">
      <c r="A412" s="20"/>
      <c r="B412" s="21"/>
      <c r="C412" s="20"/>
      <c r="D412" s="20"/>
      <c r="G412" s="22"/>
    </row>
    <row r="413" spans="1:7" ht="15.75" customHeight="1">
      <c r="A413" s="20"/>
      <c r="B413" s="21"/>
      <c r="C413" s="20"/>
      <c r="D413" s="20"/>
      <c r="G413" s="22"/>
    </row>
    <row r="414" spans="1:7" ht="15.75" customHeight="1">
      <c r="A414" s="20"/>
      <c r="B414" s="21"/>
      <c r="C414" s="20"/>
      <c r="D414" s="20"/>
      <c r="G414" s="22"/>
    </row>
    <row r="415" spans="1:7" ht="15.75" customHeight="1">
      <c r="A415" s="20"/>
      <c r="B415" s="21"/>
      <c r="C415" s="20"/>
      <c r="D415" s="20"/>
      <c r="G415" s="22"/>
    </row>
    <row r="416" spans="1:7" ht="15.75" customHeight="1">
      <c r="A416" s="20"/>
      <c r="B416" s="21"/>
      <c r="C416" s="20"/>
      <c r="D416" s="20"/>
      <c r="G416" s="22"/>
    </row>
    <row r="417" spans="1:7" ht="15.75" customHeight="1">
      <c r="A417" s="20"/>
      <c r="B417" s="21"/>
      <c r="C417" s="20"/>
      <c r="D417" s="20"/>
      <c r="G417" s="22"/>
    </row>
    <row r="418" spans="1:7" ht="15.75" customHeight="1">
      <c r="A418" s="20"/>
      <c r="B418" s="21"/>
      <c r="C418" s="20"/>
      <c r="D418" s="20"/>
      <c r="G418" s="22"/>
    </row>
    <row r="419" spans="1:7" ht="15.75" customHeight="1">
      <c r="A419" s="20"/>
      <c r="B419" s="21"/>
      <c r="C419" s="20"/>
      <c r="D419" s="20"/>
      <c r="G419" s="22"/>
    </row>
    <row r="420" spans="1:7" ht="15.75" customHeight="1">
      <c r="A420" s="20"/>
      <c r="B420" s="21"/>
      <c r="C420" s="20"/>
      <c r="D420" s="20"/>
      <c r="G420" s="22"/>
    </row>
    <row r="421" spans="1:7" ht="15.75" customHeight="1">
      <c r="A421" s="20"/>
      <c r="B421" s="21"/>
      <c r="C421" s="20"/>
      <c r="D421" s="20"/>
      <c r="G421" s="22"/>
    </row>
    <row r="422" spans="1:7" ht="15.75" customHeight="1">
      <c r="A422" s="20"/>
      <c r="B422" s="21"/>
      <c r="C422" s="20"/>
      <c r="D422" s="20"/>
      <c r="G422" s="22"/>
    </row>
    <row r="423" spans="1:7" ht="15.75" customHeight="1">
      <c r="A423" s="20"/>
      <c r="B423" s="21"/>
      <c r="C423" s="20"/>
      <c r="D423" s="20"/>
      <c r="G423" s="22"/>
    </row>
    <row r="424" spans="1:7" ht="15.75" customHeight="1">
      <c r="A424" s="20"/>
      <c r="B424" s="21"/>
      <c r="C424" s="20"/>
      <c r="D424" s="20"/>
      <c r="G424" s="22"/>
    </row>
    <row r="425" spans="1:7" ht="15.75" customHeight="1">
      <c r="A425" s="20"/>
      <c r="B425" s="21"/>
      <c r="C425" s="20"/>
      <c r="D425" s="20"/>
      <c r="G425" s="22"/>
    </row>
    <row r="426" spans="1:7" ht="15.75" customHeight="1">
      <c r="A426" s="20"/>
      <c r="B426" s="21"/>
      <c r="C426" s="20"/>
      <c r="D426" s="20"/>
      <c r="G426" s="22"/>
    </row>
    <row r="427" spans="1:7" ht="15.75" customHeight="1">
      <c r="A427" s="20"/>
      <c r="B427" s="21"/>
      <c r="C427" s="20"/>
      <c r="D427" s="20"/>
      <c r="G427" s="22"/>
    </row>
    <row r="428" spans="1:7" ht="15.75" customHeight="1">
      <c r="A428" s="20"/>
      <c r="B428" s="21"/>
      <c r="C428" s="20"/>
      <c r="D428" s="20"/>
      <c r="G428" s="22"/>
    </row>
    <row r="429" spans="1:7" ht="15.75" customHeight="1">
      <c r="A429" s="20"/>
      <c r="B429" s="21"/>
      <c r="C429" s="20"/>
      <c r="D429" s="20"/>
      <c r="G429" s="22"/>
    </row>
    <row r="430" spans="1:7" ht="15.75" customHeight="1">
      <c r="A430" s="20"/>
      <c r="B430" s="21"/>
      <c r="C430" s="20"/>
      <c r="D430" s="20"/>
      <c r="G430" s="22"/>
    </row>
    <row r="431" spans="1:7" ht="15.75" customHeight="1">
      <c r="A431" s="20"/>
      <c r="B431" s="21"/>
      <c r="C431" s="20"/>
      <c r="D431" s="20"/>
      <c r="G431" s="22"/>
    </row>
    <row r="432" spans="1:7" ht="15.75" customHeight="1">
      <c r="A432" s="20"/>
      <c r="B432" s="21"/>
      <c r="C432" s="20"/>
      <c r="D432" s="20"/>
      <c r="G432" s="22"/>
    </row>
    <row r="433" spans="1:7" ht="15.75" customHeight="1">
      <c r="A433" s="20"/>
      <c r="B433" s="21"/>
      <c r="C433" s="20"/>
      <c r="D433" s="20"/>
      <c r="G433" s="22"/>
    </row>
    <row r="434" spans="1:7" ht="15.75" customHeight="1">
      <c r="A434" s="20"/>
      <c r="B434" s="21"/>
      <c r="C434" s="20"/>
      <c r="D434" s="20"/>
      <c r="G434" s="22"/>
    </row>
    <row r="435" spans="1:7" ht="15.75" customHeight="1">
      <c r="A435" s="20"/>
      <c r="B435" s="21"/>
      <c r="C435" s="20"/>
      <c r="D435" s="20"/>
      <c r="G435" s="22"/>
    </row>
    <row r="436" spans="1:7" ht="15.75" customHeight="1">
      <c r="A436" s="20"/>
      <c r="B436" s="21"/>
      <c r="C436" s="20"/>
      <c r="D436" s="20"/>
      <c r="G436" s="22"/>
    </row>
    <row r="437" spans="1:7" ht="15.75" customHeight="1">
      <c r="A437" s="20"/>
      <c r="B437" s="21"/>
      <c r="C437" s="20"/>
      <c r="D437" s="20"/>
      <c r="G437" s="22"/>
    </row>
    <row r="438" spans="1:7" ht="15.75" customHeight="1">
      <c r="A438" s="20"/>
      <c r="B438" s="21"/>
      <c r="C438" s="20"/>
      <c r="D438" s="20"/>
      <c r="G438" s="22"/>
    </row>
    <row r="439" spans="1:7" ht="15.75" customHeight="1">
      <c r="A439" s="20"/>
      <c r="B439" s="21"/>
      <c r="C439" s="20"/>
      <c r="D439" s="20"/>
      <c r="G439" s="22"/>
    </row>
    <row r="440" spans="1:7" ht="15.75" customHeight="1">
      <c r="A440" s="20"/>
      <c r="B440" s="21"/>
      <c r="C440" s="20"/>
      <c r="D440" s="20"/>
      <c r="G440" s="22"/>
    </row>
    <row r="441" spans="1:7" ht="15.75" customHeight="1">
      <c r="A441" s="20"/>
      <c r="B441" s="21"/>
      <c r="C441" s="20"/>
      <c r="D441" s="20"/>
      <c r="G441" s="22"/>
    </row>
    <row r="442" spans="1:7" ht="15.75" customHeight="1">
      <c r="A442" s="20"/>
      <c r="B442" s="21"/>
      <c r="C442" s="20"/>
      <c r="D442" s="20"/>
      <c r="G442" s="22"/>
    </row>
    <row r="443" spans="1:7" ht="15.75" customHeight="1">
      <c r="A443" s="20"/>
      <c r="B443" s="21"/>
      <c r="C443" s="20"/>
      <c r="D443" s="20"/>
      <c r="G443" s="22"/>
    </row>
    <row r="444" spans="1:7" ht="15.75" customHeight="1">
      <c r="A444" s="20"/>
      <c r="B444" s="21"/>
      <c r="C444" s="20"/>
      <c r="D444" s="20"/>
      <c r="G444" s="22"/>
    </row>
    <row r="445" spans="1:7" ht="15.75" customHeight="1">
      <c r="A445" s="20"/>
      <c r="B445" s="21"/>
      <c r="C445" s="20"/>
      <c r="D445" s="20"/>
      <c r="G445" s="22"/>
    </row>
    <row r="446" spans="1:7" ht="15.75" customHeight="1">
      <c r="A446" s="20"/>
      <c r="B446" s="21"/>
      <c r="C446" s="20"/>
      <c r="D446" s="20"/>
      <c r="G446" s="22"/>
    </row>
    <row r="447" spans="1:7" ht="15.75" customHeight="1">
      <c r="A447" s="20"/>
      <c r="B447" s="21"/>
      <c r="C447" s="20"/>
      <c r="D447" s="20"/>
      <c r="G447" s="22"/>
    </row>
    <row r="448" spans="1:7" ht="15.75" customHeight="1">
      <c r="A448" s="20"/>
      <c r="B448" s="21"/>
      <c r="C448" s="20"/>
      <c r="D448" s="20"/>
      <c r="G448" s="22"/>
    </row>
    <row r="449" spans="1:7" ht="15.75" customHeight="1">
      <c r="A449" s="20"/>
      <c r="B449" s="21"/>
      <c r="C449" s="20"/>
      <c r="D449" s="20"/>
      <c r="G449" s="22"/>
    </row>
    <row r="450" spans="1:7" ht="15.75" customHeight="1">
      <c r="A450" s="20"/>
      <c r="B450" s="21"/>
      <c r="C450" s="20"/>
      <c r="D450" s="20"/>
      <c r="G450" s="22"/>
    </row>
    <row r="451" spans="1:7" ht="15.75" customHeight="1">
      <c r="A451" s="20"/>
      <c r="B451" s="21"/>
      <c r="C451" s="20"/>
      <c r="D451" s="20"/>
      <c r="G451" s="22"/>
    </row>
    <row r="452" spans="1:7" ht="15.75" customHeight="1">
      <c r="A452" s="20"/>
      <c r="B452" s="21"/>
      <c r="C452" s="20"/>
      <c r="D452" s="20"/>
      <c r="G452" s="22"/>
    </row>
    <row r="453" spans="1:7" ht="15.75" customHeight="1">
      <c r="A453" s="20"/>
      <c r="B453" s="21"/>
      <c r="C453" s="20"/>
      <c r="D453" s="20"/>
      <c r="G453" s="22"/>
    </row>
    <row r="454" spans="1:7" ht="15.75" customHeight="1">
      <c r="A454" s="20"/>
      <c r="B454" s="21"/>
      <c r="C454" s="20"/>
      <c r="D454" s="20"/>
      <c r="G454" s="22"/>
    </row>
    <row r="455" spans="1:7" ht="15.75" customHeight="1">
      <c r="A455" s="20"/>
      <c r="B455" s="21"/>
      <c r="C455" s="20"/>
      <c r="D455" s="20"/>
      <c r="G455" s="22"/>
    </row>
    <row r="456" spans="1:7" ht="15.75" customHeight="1">
      <c r="A456" s="20"/>
      <c r="B456" s="21"/>
      <c r="C456" s="20"/>
      <c r="D456" s="20"/>
      <c r="G456" s="22"/>
    </row>
    <row r="457" spans="1:7" ht="15.75" customHeight="1">
      <c r="A457" s="20"/>
      <c r="B457" s="21"/>
      <c r="C457" s="20"/>
      <c r="D457" s="20"/>
      <c r="G457" s="22"/>
    </row>
    <row r="458" spans="1:7" ht="15.75" customHeight="1">
      <c r="A458" s="20"/>
      <c r="B458" s="21"/>
      <c r="C458" s="20"/>
      <c r="D458" s="20"/>
      <c r="G458" s="22"/>
    </row>
    <row r="459" spans="1:7" ht="15.75" customHeight="1">
      <c r="A459" s="20"/>
      <c r="B459" s="21"/>
      <c r="C459" s="20"/>
      <c r="D459" s="20"/>
      <c r="G459" s="22"/>
    </row>
    <row r="460" spans="1:7" ht="15.75" customHeight="1">
      <c r="A460" s="20"/>
      <c r="B460" s="21"/>
      <c r="C460" s="20"/>
      <c r="D460" s="20"/>
      <c r="G460" s="22"/>
    </row>
    <row r="461" spans="1:7" ht="15.75" customHeight="1">
      <c r="A461" s="20"/>
      <c r="B461" s="21"/>
      <c r="C461" s="20"/>
      <c r="D461" s="20"/>
      <c r="G461" s="22"/>
    </row>
    <row r="462" spans="1:7" ht="15.75" customHeight="1">
      <c r="A462" s="20"/>
      <c r="B462" s="21"/>
      <c r="C462" s="20"/>
      <c r="D462" s="20"/>
      <c r="G462" s="22"/>
    </row>
    <row r="463" spans="1:7" ht="15.75" customHeight="1">
      <c r="A463" s="20"/>
      <c r="B463" s="21"/>
      <c r="C463" s="20"/>
      <c r="D463" s="20"/>
      <c r="G463" s="22"/>
    </row>
    <row r="464" spans="1:7" ht="15.75" customHeight="1">
      <c r="A464" s="20"/>
      <c r="B464" s="21"/>
      <c r="C464" s="20"/>
      <c r="D464" s="20"/>
      <c r="G464" s="22"/>
    </row>
    <row r="465" spans="1:7" ht="15.75" customHeight="1">
      <c r="A465" s="20"/>
      <c r="B465" s="21"/>
      <c r="C465" s="20"/>
      <c r="D465" s="20"/>
      <c r="G465" s="22"/>
    </row>
    <row r="466" spans="1:7" ht="15.75" customHeight="1">
      <c r="A466" s="20"/>
      <c r="B466" s="21"/>
      <c r="C466" s="20"/>
      <c r="D466" s="20"/>
      <c r="G466" s="22"/>
    </row>
    <row r="467" spans="1:7" ht="15.75" customHeight="1">
      <c r="A467" s="20"/>
      <c r="B467" s="21"/>
      <c r="C467" s="20"/>
      <c r="D467" s="20"/>
      <c r="G467" s="22"/>
    </row>
    <row r="468" spans="1:7" ht="15.75" customHeight="1">
      <c r="A468" s="20"/>
      <c r="B468" s="21"/>
      <c r="C468" s="20"/>
      <c r="D468" s="20"/>
      <c r="G468" s="22"/>
    </row>
    <row r="469" spans="1:7" ht="15.75" customHeight="1">
      <c r="A469" s="20"/>
      <c r="B469" s="21"/>
      <c r="C469" s="20"/>
      <c r="D469" s="20"/>
      <c r="G469" s="22"/>
    </row>
    <row r="470" spans="1:7" ht="15.75" customHeight="1">
      <c r="A470" s="20"/>
      <c r="B470" s="21"/>
      <c r="C470" s="20"/>
      <c r="D470" s="20"/>
      <c r="G470" s="22"/>
    </row>
    <row r="471" spans="1:7" ht="15.75" customHeight="1">
      <c r="A471" s="20"/>
      <c r="B471" s="21"/>
      <c r="C471" s="20"/>
      <c r="D471" s="20"/>
      <c r="G471" s="22"/>
    </row>
    <row r="472" spans="1:7" ht="15.75" customHeight="1">
      <c r="A472" s="20"/>
      <c r="B472" s="21"/>
      <c r="C472" s="20"/>
      <c r="D472" s="20"/>
      <c r="G472" s="22"/>
    </row>
    <row r="473" spans="1:7" ht="15.75" customHeight="1">
      <c r="A473" s="20"/>
      <c r="B473" s="21"/>
      <c r="C473" s="20"/>
      <c r="D473" s="20"/>
      <c r="G473" s="22"/>
    </row>
    <row r="474" spans="1:7" ht="15.75" customHeight="1">
      <c r="A474" s="20"/>
      <c r="B474" s="21"/>
      <c r="C474" s="20"/>
      <c r="D474" s="20"/>
      <c r="G474" s="22"/>
    </row>
    <row r="475" spans="1:7" ht="15.75" customHeight="1">
      <c r="A475" s="20"/>
      <c r="B475" s="21"/>
      <c r="C475" s="20"/>
      <c r="D475" s="20"/>
      <c r="G475" s="22"/>
    </row>
    <row r="476" spans="1:7" ht="15.75" customHeight="1">
      <c r="A476" s="20"/>
      <c r="B476" s="21"/>
      <c r="C476" s="20"/>
      <c r="D476" s="20"/>
      <c r="G476" s="22"/>
    </row>
    <row r="477" spans="1:7" ht="15.75" customHeight="1">
      <c r="A477" s="20"/>
      <c r="B477" s="21"/>
      <c r="C477" s="20"/>
      <c r="D477" s="20"/>
      <c r="G477" s="22"/>
    </row>
    <row r="478" spans="1:7" ht="15.75" customHeight="1">
      <c r="A478" s="20"/>
      <c r="B478" s="21"/>
      <c r="C478" s="20"/>
      <c r="D478" s="20"/>
      <c r="G478" s="22"/>
    </row>
    <row r="479" spans="1:7" ht="15.75" customHeight="1">
      <c r="A479" s="20"/>
      <c r="B479" s="21"/>
      <c r="C479" s="20"/>
      <c r="D479" s="20"/>
      <c r="G479" s="22"/>
    </row>
    <row r="480" spans="1:7" ht="15.75" customHeight="1">
      <c r="A480" s="20"/>
      <c r="B480" s="21"/>
      <c r="C480" s="20"/>
      <c r="D480" s="20"/>
      <c r="G480" s="22"/>
    </row>
    <row r="481" spans="1:7" ht="15.75" customHeight="1">
      <c r="A481" s="20"/>
      <c r="B481" s="21"/>
      <c r="C481" s="20"/>
      <c r="D481" s="20"/>
      <c r="G481" s="22"/>
    </row>
    <row r="482" spans="1:7" ht="15.75" customHeight="1">
      <c r="A482" s="20"/>
      <c r="B482" s="21"/>
      <c r="C482" s="20"/>
      <c r="D482" s="20"/>
      <c r="G482" s="22"/>
    </row>
    <row r="483" spans="1:7" ht="15.75" customHeight="1">
      <c r="A483" s="20"/>
      <c r="B483" s="21"/>
      <c r="C483" s="20"/>
      <c r="D483" s="20"/>
      <c r="G483" s="22"/>
    </row>
    <row r="484" spans="1:7" ht="15.75" customHeight="1">
      <c r="A484" s="20"/>
      <c r="B484" s="21"/>
      <c r="C484" s="20"/>
      <c r="D484" s="20"/>
      <c r="G484" s="22"/>
    </row>
    <row r="485" spans="1:7" ht="15.75" customHeight="1">
      <c r="A485" s="20"/>
      <c r="B485" s="21"/>
      <c r="C485" s="20"/>
      <c r="D485" s="20"/>
      <c r="G485" s="22"/>
    </row>
    <row r="486" spans="1:7" ht="15.75" customHeight="1">
      <c r="A486" s="20"/>
      <c r="B486" s="21"/>
      <c r="C486" s="20"/>
      <c r="D486" s="20"/>
      <c r="G486" s="22"/>
    </row>
    <row r="487" spans="1:7" ht="15.75" customHeight="1">
      <c r="A487" s="20"/>
      <c r="B487" s="21"/>
      <c r="C487" s="20"/>
      <c r="D487" s="20"/>
      <c r="G487" s="22"/>
    </row>
    <row r="488" spans="1:7" ht="15.75" customHeight="1">
      <c r="A488" s="20"/>
      <c r="B488" s="21"/>
      <c r="C488" s="20"/>
      <c r="D488" s="20"/>
      <c r="G488" s="22"/>
    </row>
    <row r="489" spans="1:7" ht="15.75" customHeight="1">
      <c r="A489" s="20"/>
      <c r="B489" s="21"/>
      <c r="C489" s="20"/>
      <c r="D489" s="20"/>
      <c r="G489" s="22"/>
    </row>
    <row r="490" spans="1:7" ht="15.75" customHeight="1">
      <c r="A490" s="20"/>
      <c r="B490" s="21"/>
      <c r="C490" s="20"/>
      <c r="D490" s="20"/>
      <c r="G490" s="22"/>
    </row>
    <row r="491" spans="1:7" ht="15.75" customHeight="1">
      <c r="A491" s="20"/>
      <c r="B491" s="21"/>
      <c r="C491" s="20"/>
      <c r="D491" s="20"/>
      <c r="G491" s="22"/>
    </row>
    <row r="492" spans="1:7" ht="15.75" customHeight="1">
      <c r="A492" s="20"/>
      <c r="B492" s="21"/>
      <c r="C492" s="20"/>
      <c r="D492" s="20"/>
      <c r="G492" s="22"/>
    </row>
    <row r="493" spans="1:7" ht="15.75" customHeight="1">
      <c r="A493" s="20"/>
      <c r="B493" s="21"/>
      <c r="C493" s="20"/>
      <c r="D493" s="20"/>
      <c r="G493" s="22"/>
    </row>
    <row r="494" spans="1:7" ht="15.75" customHeight="1">
      <c r="A494" s="20"/>
      <c r="B494" s="21"/>
      <c r="C494" s="20"/>
      <c r="D494" s="20"/>
      <c r="G494" s="22"/>
    </row>
    <row r="495" spans="1:7" ht="15.75" customHeight="1">
      <c r="A495" s="20"/>
      <c r="B495" s="21"/>
      <c r="C495" s="20"/>
      <c r="D495" s="20"/>
      <c r="G495" s="22"/>
    </row>
    <row r="496" spans="1:7" ht="15.75" customHeight="1">
      <c r="A496" s="20"/>
      <c r="B496" s="21"/>
      <c r="C496" s="20"/>
      <c r="D496" s="20"/>
      <c r="G496" s="22"/>
    </row>
    <row r="497" spans="1:7" ht="15.75" customHeight="1">
      <c r="A497" s="20"/>
      <c r="B497" s="21"/>
      <c r="C497" s="20"/>
      <c r="D497" s="20"/>
      <c r="G497" s="22"/>
    </row>
    <row r="498" spans="1:7" ht="15.75" customHeight="1">
      <c r="A498" s="20"/>
      <c r="B498" s="21"/>
      <c r="C498" s="20"/>
      <c r="D498" s="20"/>
      <c r="G498" s="22"/>
    </row>
    <row r="499" spans="1:7" ht="15.75" customHeight="1">
      <c r="A499" s="20"/>
      <c r="B499" s="21"/>
      <c r="C499" s="20"/>
      <c r="D499" s="20"/>
      <c r="G499" s="22"/>
    </row>
    <row r="500" spans="1:7" ht="15.75" customHeight="1">
      <c r="A500" s="20"/>
      <c r="B500" s="21"/>
      <c r="C500" s="20"/>
      <c r="D500" s="20"/>
      <c r="G500" s="22"/>
    </row>
    <row r="501" spans="1:7" ht="15.75" customHeight="1">
      <c r="A501" s="20"/>
      <c r="B501" s="21"/>
      <c r="C501" s="20"/>
      <c r="D501" s="20"/>
      <c r="G501" s="22"/>
    </row>
    <row r="502" spans="1:7" ht="15.75" customHeight="1">
      <c r="A502" s="20"/>
      <c r="B502" s="21"/>
      <c r="C502" s="20"/>
      <c r="D502" s="20"/>
      <c r="G502" s="22"/>
    </row>
    <row r="503" spans="1:7" ht="15.75" customHeight="1">
      <c r="A503" s="20"/>
      <c r="B503" s="21"/>
      <c r="C503" s="20"/>
      <c r="D503" s="20"/>
      <c r="G503" s="22"/>
    </row>
    <row r="504" spans="1:7" ht="15.75" customHeight="1">
      <c r="A504" s="20"/>
      <c r="B504" s="21"/>
      <c r="C504" s="20"/>
      <c r="D504" s="20"/>
      <c r="G504" s="22"/>
    </row>
    <row r="505" spans="1:7" ht="15.75" customHeight="1">
      <c r="A505" s="20"/>
      <c r="B505" s="21"/>
      <c r="C505" s="20"/>
      <c r="D505" s="20"/>
      <c r="G505" s="22"/>
    </row>
    <row r="506" spans="1:7" ht="15.75" customHeight="1">
      <c r="A506" s="20"/>
      <c r="B506" s="21"/>
      <c r="C506" s="20"/>
      <c r="D506" s="20"/>
      <c r="G506" s="22"/>
    </row>
    <row r="507" spans="1:7" ht="15.75" customHeight="1">
      <c r="A507" s="20"/>
      <c r="B507" s="21"/>
      <c r="C507" s="20"/>
      <c r="D507" s="20"/>
      <c r="G507" s="22"/>
    </row>
    <row r="508" spans="1:7" ht="15.75" customHeight="1">
      <c r="A508" s="20"/>
      <c r="B508" s="21"/>
      <c r="C508" s="20"/>
      <c r="D508" s="20"/>
      <c r="G508" s="22"/>
    </row>
    <row r="509" spans="1:7" ht="15.75" customHeight="1">
      <c r="A509" s="20"/>
      <c r="B509" s="21"/>
      <c r="C509" s="20"/>
      <c r="D509" s="20"/>
      <c r="G509" s="22"/>
    </row>
    <row r="510" spans="1:7" ht="15.75" customHeight="1">
      <c r="A510" s="20"/>
      <c r="B510" s="21"/>
      <c r="C510" s="20"/>
      <c r="D510" s="20"/>
      <c r="G510" s="22"/>
    </row>
    <row r="511" spans="1:7" ht="15.75" customHeight="1">
      <c r="A511" s="20"/>
      <c r="B511" s="21"/>
      <c r="C511" s="20"/>
      <c r="D511" s="20"/>
      <c r="G511" s="22"/>
    </row>
    <row r="512" spans="1:7" ht="15.75" customHeight="1">
      <c r="A512" s="20"/>
      <c r="B512" s="21"/>
      <c r="C512" s="20"/>
      <c r="D512" s="20"/>
      <c r="G512" s="22"/>
    </row>
    <row r="513" spans="1:7" ht="15.75" customHeight="1">
      <c r="A513" s="20"/>
      <c r="B513" s="21"/>
      <c r="C513" s="20"/>
      <c r="D513" s="20"/>
      <c r="G513" s="22"/>
    </row>
    <row r="514" spans="1:7" ht="15.75" customHeight="1">
      <c r="A514" s="20"/>
      <c r="B514" s="21"/>
      <c r="C514" s="20"/>
      <c r="D514" s="20"/>
      <c r="G514" s="22"/>
    </row>
    <row r="515" spans="1:7" ht="15.75" customHeight="1">
      <c r="A515" s="20"/>
      <c r="B515" s="21"/>
      <c r="C515" s="20"/>
      <c r="D515" s="20"/>
      <c r="G515" s="22"/>
    </row>
    <row r="516" spans="1:7" ht="15.75" customHeight="1">
      <c r="A516" s="20"/>
      <c r="B516" s="21"/>
      <c r="C516" s="20"/>
      <c r="D516" s="20"/>
      <c r="G516" s="22"/>
    </row>
    <row r="517" spans="1:7" ht="15.75" customHeight="1">
      <c r="A517" s="20"/>
      <c r="B517" s="21"/>
      <c r="C517" s="20"/>
      <c r="D517" s="20"/>
      <c r="G517" s="22"/>
    </row>
    <row r="518" spans="1:7" ht="15.75" customHeight="1">
      <c r="A518" s="20"/>
      <c r="B518" s="21"/>
      <c r="C518" s="20"/>
      <c r="D518" s="20"/>
      <c r="G518" s="22"/>
    </row>
    <row r="519" spans="1:7" ht="15.75" customHeight="1">
      <c r="A519" s="20"/>
      <c r="B519" s="21"/>
      <c r="C519" s="20"/>
      <c r="D519" s="20"/>
      <c r="G519" s="22"/>
    </row>
    <row r="520" spans="1:7" ht="15.75" customHeight="1">
      <c r="A520" s="20"/>
      <c r="B520" s="21"/>
      <c r="C520" s="20"/>
      <c r="D520" s="20"/>
      <c r="G520" s="22"/>
    </row>
    <row r="521" spans="1:7" ht="15.75" customHeight="1">
      <c r="A521" s="20"/>
      <c r="B521" s="21"/>
      <c r="C521" s="20"/>
      <c r="D521" s="20"/>
      <c r="G521" s="22"/>
    </row>
    <row r="522" spans="1:7" ht="15.75" customHeight="1">
      <c r="A522" s="20"/>
      <c r="B522" s="21"/>
      <c r="C522" s="20"/>
      <c r="D522" s="20"/>
      <c r="G522" s="22"/>
    </row>
    <row r="523" spans="1:7" ht="15.75" customHeight="1">
      <c r="A523" s="20"/>
      <c r="B523" s="21"/>
      <c r="C523" s="20"/>
      <c r="D523" s="20"/>
      <c r="G523" s="22"/>
    </row>
    <row r="524" spans="1:7" ht="15.75" customHeight="1">
      <c r="A524" s="20"/>
      <c r="B524" s="21"/>
      <c r="C524" s="20"/>
      <c r="D524" s="20"/>
      <c r="G524" s="22"/>
    </row>
    <row r="525" spans="1:7" ht="15.75" customHeight="1">
      <c r="A525" s="20"/>
      <c r="B525" s="21"/>
      <c r="C525" s="20"/>
      <c r="D525" s="20"/>
      <c r="G525" s="22"/>
    </row>
    <row r="526" spans="1:7" ht="15.75" customHeight="1">
      <c r="A526" s="20"/>
      <c r="B526" s="21"/>
      <c r="C526" s="20"/>
      <c r="D526" s="20"/>
      <c r="G526" s="22"/>
    </row>
    <row r="527" spans="1:7" ht="15.75" customHeight="1">
      <c r="A527" s="20"/>
      <c r="B527" s="21"/>
      <c r="C527" s="20"/>
      <c r="D527" s="20"/>
      <c r="G527" s="22"/>
    </row>
    <row r="528" spans="1:7" ht="15.75" customHeight="1">
      <c r="A528" s="20"/>
      <c r="B528" s="21"/>
      <c r="C528" s="20"/>
      <c r="D528" s="20"/>
      <c r="G528" s="22"/>
    </row>
    <row r="529" spans="1:7" ht="15.75" customHeight="1">
      <c r="A529" s="20"/>
      <c r="B529" s="21"/>
      <c r="C529" s="20"/>
      <c r="D529" s="20"/>
      <c r="G529" s="22"/>
    </row>
    <row r="530" spans="1:7" ht="15.75" customHeight="1">
      <c r="A530" s="20"/>
      <c r="B530" s="21"/>
      <c r="C530" s="20"/>
      <c r="D530" s="20"/>
      <c r="G530" s="22"/>
    </row>
    <row r="531" spans="1:7" ht="15.75" customHeight="1">
      <c r="A531" s="20"/>
      <c r="B531" s="21"/>
      <c r="C531" s="20"/>
      <c r="D531" s="20"/>
      <c r="G531" s="22"/>
    </row>
    <row r="532" spans="1:7" ht="15.75" customHeight="1">
      <c r="A532" s="20"/>
      <c r="B532" s="21"/>
      <c r="C532" s="20"/>
      <c r="D532" s="20"/>
      <c r="G532" s="22"/>
    </row>
    <row r="533" spans="1:7" ht="15.75" customHeight="1">
      <c r="A533" s="20"/>
      <c r="B533" s="21"/>
      <c r="C533" s="20"/>
      <c r="D533" s="20"/>
      <c r="G533" s="22"/>
    </row>
    <row r="534" spans="1:7" ht="15.75" customHeight="1">
      <c r="A534" s="20"/>
      <c r="B534" s="21"/>
      <c r="C534" s="20"/>
      <c r="D534" s="20"/>
      <c r="G534" s="22"/>
    </row>
    <row r="535" spans="1:7" ht="15.75" customHeight="1">
      <c r="A535" s="20"/>
      <c r="B535" s="21"/>
      <c r="C535" s="20"/>
      <c r="D535" s="20"/>
      <c r="G535" s="22"/>
    </row>
    <row r="536" spans="1:7" ht="15.75" customHeight="1">
      <c r="A536" s="20"/>
      <c r="B536" s="21"/>
      <c r="C536" s="20"/>
      <c r="D536" s="20"/>
      <c r="G536" s="22"/>
    </row>
    <row r="537" spans="1:7" ht="15.75" customHeight="1">
      <c r="A537" s="20"/>
      <c r="B537" s="21"/>
      <c r="C537" s="20"/>
      <c r="D537" s="20"/>
      <c r="G537" s="22"/>
    </row>
    <row r="538" spans="1:7" ht="15.75" customHeight="1">
      <c r="A538" s="20"/>
      <c r="B538" s="21"/>
      <c r="C538" s="20"/>
      <c r="D538" s="20"/>
      <c r="G538" s="22"/>
    </row>
    <row r="539" spans="1:7" ht="15.75" customHeight="1">
      <c r="A539" s="20"/>
      <c r="B539" s="21"/>
      <c r="C539" s="20"/>
      <c r="D539" s="20"/>
      <c r="G539" s="22"/>
    </row>
    <row r="540" spans="1:7" ht="15.75" customHeight="1">
      <c r="A540" s="20"/>
      <c r="B540" s="21"/>
      <c r="C540" s="20"/>
      <c r="D540" s="20"/>
      <c r="G540" s="22"/>
    </row>
    <row r="541" spans="1:7" ht="15.75" customHeight="1">
      <c r="A541" s="20"/>
      <c r="B541" s="21"/>
      <c r="C541" s="20"/>
      <c r="D541" s="20"/>
      <c r="G541" s="22"/>
    </row>
    <row r="542" spans="1:7" ht="15.75" customHeight="1">
      <c r="A542" s="20"/>
      <c r="B542" s="21"/>
      <c r="C542" s="20"/>
      <c r="D542" s="20"/>
      <c r="G542" s="22"/>
    </row>
    <row r="543" spans="1:7" ht="15.75" customHeight="1">
      <c r="A543" s="20"/>
      <c r="B543" s="21"/>
      <c r="C543" s="20"/>
      <c r="D543" s="20"/>
      <c r="G543" s="22"/>
    </row>
    <row r="544" spans="1:7" ht="15.75" customHeight="1">
      <c r="A544" s="20"/>
      <c r="B544" s="21"/>
      <c r="C544" s="20"/>
      <c r="D544" s="20"/>
      <c r="G544" s="22"/>
    </row>
    <row r="545" spans="1:4" ht="15.75" customHeight="1">
      <c r="A545" s="20"/>
      <c r="B545" s="23"/>
      <c r="C545" s="20"/>
      <c r="D545" s="20"/>
    </row>
    <row r="546" spans="1:4" ht="15.75" customHeight="1">
      <c r="A546" s="20"/>
      <c r="B546" s="23"/>
      <c r="C546" s="20"/>
      <c r="D546" s="20"/>
    </row>
    <row r="547" spans="1:4" ht="15.75" customHeight="1">
      <c r="A547" s="20"/>
      <c r="B547" s="23"/>
      <c r="C547" s="20"/>
      <c r="D547" s="20"/>
    </row>
    <row r="548" spans="1:4" ht="15.75" customHeight="1">
      <c r="A548" s="20"/>
      <c r="B548" s="23"/>
      <c r="C548" s="20"/>
      <c r="D548" s="20"/>
    </row>
    <row r="549" spans="1:4" ht="15.75" customHeight="1">
      <c r="A549" s="20"/>
      <c r="B549" s="23"/>
      <c r="C549" s="20"/>
      <c r="D549" s="20"/>
    </row>
    <row r="550" spans="1:4" ht="15.75" customHeight="1">
      <c r="A550" s="20"/>
      <c r="B550" s="23"/>
      <c r="C550" s="20"/>
      <c r="D550" s="20"/>
    </row>
    <row r="551" spans="1:4" ht="15.75" customHeight="1">
      <c r="A551" s="20"/>
      <c r="B551" s="23"/>
      <c r="C551" s="20"/>
      <c r="D551" s="20"/>
    </row>
    <row r="552" spans="1:4" ht="15.75" customHeight="1">
      <c r="A552" s="20"/>
      <c r="B552" s="23"/>
      <c r="C552" s="20"/>
      <c r="D552" s="20"/>
    </row>
    <row r="553" spans="1:4" ht="15.75" customHeight="1">
      <c r="A553" s="20"/>
      <c r="B553" s="23"/>
      <c r="C553" s="20"/>
      <c r="D553" s="20"/>
    </row>
    <row r="554" spans="1:4" ht="15.75" customHeight="1">
      <c r="A554" s="20"/>
      <c r="B554" s="23"/>
      <c r="C554" s="20"/>
      <c r="D554" s="20"/>
    </row>
    <row r="555" spans="1:4" ht="15.75" customHeight="1">
      <c r="A555" s="20"/>
      <c r="B555" s="23"/>
      <c r="C555" s="20"/>
      <c r="D555" s="20"/>
    </row>
    <row r="556" spans="1:4" ht="15.75" customHeight="1">
      <c r="A556" s="20"/>
      <c r="B556" s="23"/>
      <c r="C556" s="20"/>
      <c r="D556" s="20"/>
    </row>
    <row r="557" spans="1:4" ht="15.75" customHeight="1">
      <c r="A557" s="20"/>
      <c r="B557" s="23"/>
      <c r="C557" s="20"/>
      <c r="D557" s="20"/>
    </row>
    <row r="558" spans="1:4" ht="15.75" customHeight="1">
      <c r="A558" s="20"/>
      <c r="B558" s="23"/>
      <c r="C558" s="20"/>
      <c r="D558" s="20"/>
    </row>
    <row r="559" spans="1:4" ht="15.75" customHeight="1">
      <c r="A559" s="20"/>
      <c r="B559" s="23"/>
      <c r="C559" s="20"/>
      <c r="D559" s="20"/>
    </row>
    <row r="560" spans="1:4" ht="15.75" customHeight="1">
      <c r="A560" s="20"/>
      <c r="B560" s="23"/>
      <c r="C560" s="20"/>
      <c r="D560" s="20"/>
    </row>
    <row r="561" spans="1:4" ht="15.75" customHeight="1">
      <c r="A561" s="20"/>
      <c r="B561" s="23"/>
      <c r="C561" s="20"/>
      <c r="D561" s="20"/>
    </row>
    <row r="562" spans="1:4" ht="15.75" customHeight="1">
      <c r="A562" s="20"/>
      <c r="B562" s="23"/>
      <c r="C562" s="20"/>
      <c r="D562" s="20"/>
    </row>
    <row r="563" spans="1:4" ht="15.75" customHeight="1">
      <c r="A563" s="20"/>
      <c r="B563" s="23"/>
      <c r="C563" s="20"/>
      <c r="D563" s="20"/>
    </row>
    <row r="564" spans="1:4" ht="15.75" customHeight="1">
      <c r="A564" s="20"/>
      <c r="B564" s="23"/>
      <c r="C564" s="20"/>
      <c r="D564" s="20"/>
    </row>
    <row r="565" spans="1:4" ht="15.75" customHeight="1">
      <c r="A565" s="20"/>
      <c r="B565" s="23"/>
      <c r="C565" s="20"/>
      <c r="D565" s="20"/>
    </row>
    <row r="566" spans="1:4" ht="15.75" customHeight="1">
      <c r="A566" s="20"/>
      <c r="B566" s="23"/>
      <c r="C566" s="20"/>
      <c r="D566" s="20"/>
    </row>
    <row r="567" spans="1:4" ht="15.75" customHeight="1">
      <c r="A567" s="20"/>
      <c r="B567" s="23"/>
      <c r="C567" s="20"/>
      <c r="D567" s="20"/>
    </row>
    <row r="568" spans="1:4" ht="15.75" customHeight="1">
      <c r="A568" s="20"/>
      <c r="B568" s="23"/>
      <c r="C568" s="20"/>
      <c r="D568" s="20"/>
    </row>
    <row r="569" spans="1:4" ht="15.75" customHeight="1">
      <c r="A569" s="20"/>
      <c r="B569" s="23"/>
      <c r="C569" s="20"/>
      <c r="D569" s="20"/>
    </row>
    <row r="570" spans="1:4" ht="15.75" customHeight="1">
      <c r="A570" s="20"/>
      <c r="B570" s="23"/>
      <c r="C570" s="20"/>
      <c r="D570" s="20"/>
    </row>
    <row r="571" spans="1:4" ht="15.75" customHeight="1">
      <c r="A571" s="20"/>
      <c r="B571" s="23"/>
      <c r="C571" s="20"/>
      <c r="D571" s="20"/>
    </row>
    <row r="572" spans="1:4" ht="15.75" customHeight="1">
      <c r="A572" s="20"/>
      <c r="B572" s="23"/>
      <c r="C572" s="20"/>
      <c r="D572" s="20"/>
    </row>
    <row r="573" spans="1:4" ht="15.75" customHeight="1">
      <c r="A573" s="20"/>
      <c r="B573" s="23"/>
      <c r="C573" s="20"/>
      <c r="D573" s="20"/>
    </row>
    <row r="574" spans="1:4" ht="15.75" customHeight="1">
      <c r="A574" s="20"/>
      <c r="B574" s="23"/>
      <c r="C574" s="20"/>
      <c r="D574" s="20"/>
    </row>
    <row r="575" spans="1:4" ht="15.75" customHeight="1">
      <c r="A575" s="20"/>
      <c r="B575" s="23"/>
      <c r="C575" s="20"/>
      <c r="D575" s="20"/>
    </row>
    <row r="576" spans="1:4" ht="15.75" customHeight="1">
      <c r="A576" s="20"/>
      <c r="B576" s="23"/>
      <c r="C576" s="20"/>
      <c r="D576" s="20"/>
    </row>
    <row r="577" spans="1:4" ht="15.75" customHeight="1">
      <c r="A577" s="20"/>
      <c r="B577" s="23"/>
      <c r="C577" s="20"/>
      <c r="D577" s="20"/>
    </row>
    <row r="578" spans="1:4" ht="15.75" customHeight="1">
      <c r="A578" s="20"/>
      <c r="B578" s="23"/>
      <c r="C578" s="20"/>
      <c r="D578" s="20"/>
    </row>
    <row r="579" spans="1:4" ht="15.75" customHeight="1">
      <c r="A579" s="20"/>
      <c r="B579" s="23"/>
      <c r="C579" s="20"/>
      <c r="D579" s="20"/>
    </row>
    <row r="580" spans="1:4" ht="15.75" customHeight="1">
      <c r="A580" s="20"/>
      <c r="B580" s="23"/>
      <c r="C580" s="20"/>
      <c r="D580" s="20"/>
    </row>
    <row r="581" spans="1:4" ht="15.75" customHeight="1">
      <c r="A581" s="20"/>
      <c r="B581" s="23"/>
      <c r="C581" s="20"/>
      <c r="D581" s="20"/>
    </row>
    <row r="582" spans="1:4" ht="15.75" customHeight="1">
      <c r="A582" s="20"/>
      <c r="B582" s="23"/>
      <c r="C582" s="20"/>
      <c r="D582" s="20"/>
    </row>
    <row r="583" spans="1:4" ht="15.75" customHeight="1">
      <c r="A583" s="20"/>
      <c r="B583" s="23"/>
      <c r="C583" s="20"/>
      <c r="D583" s="20"/>
    </row>
    <row r="584" spans="1:4" ht="15.75" customHeight="1">
      <c r="A584" s="20"/>
      <c r="B584" s="23"/>
      <c r="C584" s="20"/>
      <c r="D584" s="20"/>
    </row>
    <row r="585" spans="1:4" ht="15.75" customHeight="1">
      <c r="A585" s="20"/>
      <c r="B585" s="23"/>
      <c r="C585" s="20"/>
      <c r="D585" s="20"/>
    </row>
    <row r="586" spans="1:4" ht="15.75" customHeight="1">
      <c r="A586" s="20"/>
      <c r="B586" s="23"/>
      <c r="C586" s="20"/>
      <c r="D586" s="20"/>
    </row>
    <row r="587" spans="1:4" ht="15.75" customHeight="1">
      <c r="A587" s="20"/>
      <c r="B587" s="23"/>
      <c r="C587" s="20"/>
      <c r="D587" s="20"/>
    </row>
    <row r="588" spans="1:4" ht="15.75" customHeight="1">
      <c r="A588" s="20"/>
      <c r="B588" s="23"/>
      <c r="C588" s="20"/>
      <c r="D588" s="20"/>
    </row>
    <row r="589" spans="1:4" ht="15.75" customHeight="1">
      <c r="A589" s="20"/>
      <c r="B589" s="23"/>
      <c r="C589" s="20"/>
      <c r="D589" s="20"/>
    </row>
    <row r="590" spans="1:4" ht="15.75" customHeight="1">
      <c r="A590" s="20"/>
      <c r="B590" s="23"/>
      <c r="C590" s="20"/>
      <c r="D590" s="20"/>
    </row>
    <row r="591" spans="1:4" ht="15.75" customHeight="1">
      <c r="A591" s="20"/>
      <c r="B591" s="23"/>
      <c r="C591" s="20"/>
      <c r="D591" s="20"/>
    </row>
    <row r="592" spans="1:4" ht="15.75" customHeight="1">
      <c r="A592" s="20"/>
      <c r="B592" s="23"/>
      <c r="C592" s="20"/>
      <c r="D592" s="20"/>
    </row>
    <row r="593" spans="1:4" ht="15.75" customHeight="1">
      <c r="A593" s="20"/>
      <c r="B593" s="23"/>
      <c r="C593" s="20"/>
      <c r="D593" s="20"/>
    </row>
    <row r="594" spans="1:4" ht="15.75" customHeight="1">
      <c r="A594" s="20"/>
      <c r="B594" s="23"/>
      <c r="C594" s="20"/>
      <c r="D594" s="20"/>
    </row>
    <row r="595" spans="1:4" ht="15.75" customHeight="1">
      <c r="A595" s="20"/>
      <c r="B595" s="23"/>
      <c r="C595" s="20"/>
      <c r="D595" s="20"/>
    </row>
    <row r="596" spans="1:4" ht="15.75" customHeight="1">
      <c r="A596" s="20"/>
      <c r="B596" s="23"/>
      <c r="C596" s="20"/>
      <c r="D596" s="20"/>
    </row>
    <row r="597" spans="1:4" ht="15.75" customHeight="1">
      <c r="A597" s="20"/>
      <c r="B597" s="23"/>
      <c r="C597" s="20"/>
      <c r="D597" s="20"/>
    </row>
    <row r="598" spans="1:4" ht="15.75" customHeight="1">
      <c r="A598" s="20"/>
      <c r="B598" s="23"/>
      <c r="C598" s="20"/>
      <c r="D598" s="20"/>
    </row>
    <row r="599" spans="1:4" ht="15.75" customHeight="1">
      <c r="A599" s="20"/>
      <c r="B599" s="23"/>
      <c r="C599" s="20"/>
      <c r="D599" s="20"/>
    </row>
    <row r="600" spans="1:4" ht="15.75" customHeight="1">
      <c r="A600" s="20"/>
      <c r="B600" s="23"/>
      <c r="C600" s="20"/>
      <c r="D600" s="20"/>
    </row>
    <row r="601" spans="1:4" ht="15.75" customHeight="1">
      <c r="A601" s="20"/>
      <c r="B601" s="23"/>
      <c r="C601" s="20"/>
      <c r="D601" s="20"/>
    </row>
    <row r="602" spans="1:4" ht="15.75" customHeight="1">
      <c r="A602" s="20"/>
      <c r="B602" s="23"/>
      <c r="C602" s="20"/>
      <c r="D602" s="20"/>
    </row>
    <row r="603" spans="1:4" ht="15.75" customHeight="1">
      <c r="A603" s="20"/>
      <c r="B603" s="23"/>
      <c r="C603" s="20"/>
      <c r="D603" s="20"/>
    </row>
    <row r="604" spans="1:4" ht="15.75" customHeight="1">
      <c r="A604" s="20"/>
      <c r="B604" s="23"/>
      <c r="C604" s="20"/>
      <c r="D604" s="20"/>
    </row>
    <row r="605" spans="1:4" ht="15.75" customHeight="1">
      <c r="A605" s="20"/>
      <c r="B605" s="23"/>
      <c r="C605" s="20"/>
      <c r="D605" s="20"/>
    </row>
    <row r="606" spans="1:4" ht="15.75" customHeight="1">
      <c r="A606" s="20"/>
      <c r="B606" s="23"/>
      <c r="C606" s="20"/>
      <c r="D606" s="20"/>
    </row>
    <row r="607" spans="1:4" ht="15.75" customHeight="1">
      <c r="A607" s="20"/>
      <c r="B607" s="23"/>
      <c r="C607" s="20"/>
      <c r="D607" s="20"/>
    </row>
    <row r="608" spans="1:4" ht="15.75" customHeight="1">
      <c r="A608" s="20"/>
      <c r="B608" s="23"/>
      <c r="C608" s="20"/>
      <c r="D608" s="20"/>
    </row>
    <row r="609" spans="1:4" ht="15.75" customHeight="1">
      <c r="A609" s="20"/>
      <c r="B609" s="23"/>
      <c r="C609" s="20"/>
      <c r="D609" s="20"/>
    </row>
    <row r="610" spans="1:4" ht="15.75" customHeight="1">
      <c r="A610" s="20"/>
      <c r="B610" s="23"/>
      <c r="C610" s="20"/>
      <c r="D610" s="20"/>
    </row>
    <row r="611" spans="1:4" ht="15.75" customHeight="1">
      <c r="A611" s="20"/>
      <c r="B611" s="23"/>
      <c r="C611" s="20"/>
      <c r="D611" s="20"/>
    </row>
    <row r="612" spans="1:4" ht="15.75" customHeight="1">
      <c r="A612" s="20"/>
      <c r="B612" s="23"/>
      <c r="C612" s="20"/>
      <c r="D612" s="20"/>
    </row>
    <row r="613" spans="1:4" ht="15.75" customHeight="1">
      <c r="A613" s="20"/>
      <c r="B613" s="23"/>
      <c r="C613" s="20"/>
      <c r="D613" s="20"/>
    </row>
    <row r="614" spans="1:4" ht="15.75" customHeight="1">
      <c r="A614" s="20"/>
      <c r="B614" s="23"/>
      <c r="C614" s="20"/>
      <c r="D614" s="20"/>
    </row>
    <row r="615" spans="1:4" ht="15.75" customHeight="1">
      <c r="A615" s="20"/>
      <c r="B615" s="23"/>
      <c r="C615" s="20"/>
      <c r="D615" s="20"/>
    </row>
    <row r="616" spans="1:4" ht="15.75" customHeight="1">
      <c r="A616" s="20"/>
      <c r="B616" s="23"/>
      <c r="C616" s="20"/>
      <c r="D616" s="20"/>
    </row>
    <row r="617" spans="1:4" ht="15.75" customHeight="1">
      <c r="A617" s="20"/>
      <c r="B617" s="23"/>
      <c r="C617" s="20"/>
      <c r="D617" s="20"/>
    </row>
    <row r="618" spans="1:4" ht="15.75" customHeight="1">
      <c r="A618" s="20"/>
      <c r="B618" s="23"/>
      <c r="C618" s="20"/>
      <c r="D618" s="20"/>
    </row>
    <row r="619" spans="1:4" ht="15.75" customHeight="1">
      <c r="A619" s="20"/>
      <c r="B619" s="23"/>
      <c r="C619" s="20"/>
      <c r="D619" s="20"/>
    </row>
    <row r="620" spans="1:4" ht="15.75" customHeight="1">
      <c r="A620" s="20"/>
      <c r="B620" s="23"/>
      <c r="C620" s="20"/>
      <c r="D620" s="20"/>
    </row>
    <row r="621" spans="1:4" ht="15.75" customHeight="1">
      <c r="A621" s="20"/>
      <c r="B621" s="23"/>
      <c r="C621" s="20"/>
      <c r="D621" s="20"/>
    </row>
    <row r="622" spans="1:4" ht="15.75" customHeight="1">
      <c r="A622" s="20"/>
      <c r="B622" s="23"/>
      <c r="C622" s="20"/>
      <c r="D622" s="20"/>
    </row>
    <row r="623" spans="1:4" ht="15.75" customHeight="1">
      <c r="A623" s="20"/>
      <c r="B623" s="23"/>
      <c r="C623" s="20"/>
      <c r="D623" s="20"/>
    </row>
    <row r="624" spans="1:4" ht="15.75" customHeight="1">
      <c r="A624" s="20"/>
      <c r="B624" s="23"/>
      <c r="C624" s="20"/>
      <c r="D624" s="20"/>
    </row>
    <row r="625" spans="1:4" ht="15.75" customHeight="1">
      <c r="A625" s="20"/>
      <c r="B625" s="23"/>
      <c r="C625" s="20"/>
      <c r="D625" s="20"/>
    </row>
    <row r="626" spans="1:4" ht="15.75" customHeight="1">
      <c r="A626" s="20"/>
      <c r="B626" s="23"/>
      <c r="C626" s="20"/>
      <c r="D626" s="20"/>
    </row>
    <row r="627" spans="1:4" ht="15.75" customHeight="1">
      <c r="A627" s="20"/>
      <c r="B627" s="23"/>
      <c r="C627" s="20"/>
      <c r="D627" s="20"/>
    </row>
    <row r="628" spans="1:4" ht="15.75" customHeight="1">
      <c r="A628" s="20"/>
      <c r="B628" s="23"/>
      <c r="C628" s="20"/>
      <c r="D628" s="20"/>
    </row>
    <row r="629" spans="1:4" ht="15.75" customHeight="1">
      <c r="A629" s="20"/>
      <c r="B629" s="23"/>
      <c r="C629" s="20"/>
      <c r="D629" s="20"/>
    </row>
    <row r="630" spans="1:4" ht="15.75" customHeight="1">
      <c r="A630" s="20"/>
      <c r="B630" s="23"/>
      <c r="C630" s="20"/>
      <c r="D630" s="20"/>
    </row>
    <row r="631" spans="1:4" ht="15.75" customHeight="1">
      <c r="A631" s="20"/>
      <c r="B631" s="23"/>
      <c r="C631" s="20"/>
      <c r="D631" s="20"/>
    </row>
    <row r="632" spans="1:4" ht="15.75" customHeight="1">
      <c r="A632" s="20"/>
      <c r="B632" s="23"/>
      <c r="C632" s="20"/>
      <c r="D632" s="20"/>
    </row>
    <row r="633" spans="1:4" ht="15.75" customHeight="1">
      <c r="A633" s="20"/>
      <c r="B633" s="23"/>
      <c r="C633" s="20"/>
      <c r="D633" s="20"/>
    </row>
    <row r="634" spans="1:4" ht="15.75" customHeight="1">
      <c r="A634" s="20"/>
      <c r="B634" s="23"/>
      <c r="C634" s="20"/>
      <c r="D634" s="20"/>
    </row>
    <row r="635" spans="1:4" ht="15.75" customHeight="1">
      <c r="A635" s="20"/>
      <c r="B635" s="23"/>
      <c r="C635" s="20"/>
      <c r="D635" s="20"/>
    </row>
    <row r="636" spans="1:4" ht="15.75" customHeight="1">
      <c r="A636" s="20"/>
      <c r="B636" s="23"/>
      <c r="C636" s="20"/>
      <c r="D636" s="20"/>
    </row>
    <row r="637" spans="1:4" ht="15.75" customHeight="1">
      <c r="A637" s="20"/>
      <c r="B637" s="23"/>
      <c r="C637" s="20"/>
      <c r="D637" s="20"/>
    </row>
    <row r="638" spans="1:4" ht="15.75" customHeight="1">
      <c r="A638" s="20"/>
      <c r="B638" s="23"/>
      <c r="C638" s="20"/>
      <c r="D638" s="20"/>
    </row>
    <row r="639" spans="1:4" ht="15.75" customHeight="1">
      <c r="A639" s="20"/>
      <c r="B639" s="23"/>
      <c r="C639" s="20"/>
      <c r="D639" s="20"/>
    </row>
    <row r="640" spans="1:4" ht="15.75" customHeight="1">
      <c r="A640" s="20"/>
      <c r="B640" s="23"/>
      <c r="C640" s="20"/>
      <c r="D640" s="20"/>
    </row>
    <row r="641" spans="1:4" ht="15.75" customHeight="1">
      <c r="A641" s="20"/>
      <c r="B641" s="23"/>
      <c r="C641" s="20"/>
      <c r="D641" s="20"/>
    </row>
    <row r="642" spans="1:4" ht="15.75" customHeight="1">
      <c r="A642" s="20"/>
      <c r="B642" s="23"/>
      <c r="C642" s="20"/>
      <c r="D642" s="20"/>
    </row>
    <row r="643" spans="1:4" ht="15.75" customHeight="1">
      <c r="A643" s="20"/>
      <c r="B643" s="23"/>
      <c r="C643" s="20"/>
      <c r="D643" s="20"/>
    </row>
    <row r="644" spans="1:4" ht="15.75" customHeight="1">
      <c r="A644" s="20"/>
      <c r="B644" s="23"/>
      <c r="C644" s="20"/>
      <c r="D644" s="20"/>
    </row>
    <row r="645" spans="1:4" ht="15.75" customHeight="1">
      <c r="A645" s="20"/>
      <c r="B645" s="23"/>
      <c r="C645" s="20"/>
      <c r="D645" s="20"/>
    </row>
    <row r="646" spans="1:4" ht="15.75" customHeight="1">
      <c r="A646" s="20"/>
      <c r="B646" s="23"/>
      <c r="C646" s="20"/>
      <c r="D646" s="20"/>
    </row>
    <row r="647" spans="1:4" ht="15.75" customHeight="1">
      <c r="A647" s="20"/>
      <c r="B647" s="23"/>
      <c r="C647" s="20"/>
      <c r="D647" s="20"/>
    </row>
    <row r="648" spans="1:4" ht="15.75" customHeight="1">
      <c r="A648" s="20"/>
      <c r="B648" s="23"/>
      <c r="C648" s="20"/>
      <c r="D648" s="20"/>
    </row>
    <row r="649" spans="1:4" ht="15.75" customHeight="1">
      <c r="A649" s="20"/>
      <c r="B649" s="23"/>
      <c r="C649" s="20"/>
      <c r="D649" s="20"/>
    </row>
    <row r="650" spans="1:4" ht="15.75" customHeight="1">
      <c r="A650" s="20"/>
      <c r="B650" s="23"/>
      <c r="C650" s="20"/>
      <c r="D650" s="20"/>
    </row>
    <row r="651" spans="1:4" ht="15.75" customHeight="1">
      <c r="A651" s="20"/>
      <c r="B651" s="23"/>
      <c r="C651" s="20"/>
      <c r="D651" s="20"/>
    </row>
    <row r="652" spans="1:4" ht="15.75" customHeight="1">
      <c r="A652" s="20"/>
      <c r="B652" s="23"/>
      <c r="C652" s="20"/>
      <c r="D652" s="20"/>
    </row>
    <row r="653" spans="1:4" ht="15.75" customHeight="1">
      <c r="A653" s="20"/>
      <c r="B653" s="23"/>
      <c r="C653" s="20"/>
      <c r="D653" s="20"/>
    </row>
    <row r="654" spans="1:4" ht="15.75" customHeight="1">
      <c r="A654" s="20"/>
      <c r="B654" s="23"/>
      <c r="C654" s="20"/>
      <c r="D654" s="20"/>
    </row>
    <row r="655" spans="1:4" ht="15.75" customHeight="1">
      <c r="A655" s="20"/>
      <c r="B655" s="23"/>
      <c r="C655" s="20"/>
      <c r="D655" s="20"/>
    </row>
    <row r="656" spans="1:4" ht="15.75" customHeight="1">
      <c r="A656" s="20"/>
      <c r="B656" s="23"/>
      <c r="C656" s="20"/>
      <c r="D656" s="20"/>
    </row>
    <row r="657" spans="1:4" ht="15.75" customHeight="1">
      <c r="A657" s="20"/>
      <c r="B657" s="23"/>
      <c r="C657" s="20"/>
      <c r="D657" s="20"/>
    </row>
    <row r="658" spans="1:4" ht="15.75" customHeight="1">
      <c r="A658" s="20"/>
      <c r="B658" s="23"/>
      <c r="C658" s="20"/>
      <c r="D658" s="20"/>
    </row>
    <row r="659" spans="1:4" ht="15.75" customHeight="1">
      <c r="A659" s="20"/>
      <c r="B659" s="23"/>
      <c r="C659" s="20"/>
      <c r="D659" s="20"/>
    </row>
    <row r="660" spans="1:4" ht="15.75" customHeight="1">
      <c r="A660" s="20"/>
      <c r="B660" s="23"/>
      <c r="C660" s="20"/>
      <c r="D660" s="20"/>
    </row>
    <row r="661" spans="1:4" ht="15.75" customHeight="1">
      <c r="A661" s="20"/>
      <c r="B661" s="23"/>
      <c r="C661" s="20"/>
      <c r="D661" s="20"/>
    </row>
    <row r="662" spans="1:4" ht="15.75" customHeight="1">
      <c r="A662" s="20"/>
      <c r="B662" s="23"/>
      <c r="C662" s="20"/>
      <c r="D662" s="20"/>
    </row>
    <row r="663" spans="1:4" ht="15.75" customHeight="1">
      <c r="A663" s="20"/>
      <c r="B663" s="23"/>
      <c r="C663" s="20"/>
      <c r="D663" s="20"/>
    </row>
    <row r="664" spans="1:4" ht="15.75" customHeight="1">
      <c r="A664" s="20"/>
      <c r="B664" s="23"/>
      <c r="C664" s="20"/>
      <c r="D664" s="20"/>
    </row>
    <row r="665" spans="1:4" ht="15.75" customHeight="1">
      <c r="A665" s="20"/>
      <c r="B665" s="23"/>
      <c r="C665" s="20"/>
      <c r="D665" s="20"/>
    </row>
    <row r="666" spans="1:4" ht="15.75" customHeight="1">
      <c r="A666" s="20"/>
      <c r="B666" s="23"/>
      <c r="C666" s="20"/>
      <c r="D666" s="20"/>
    </row>
    <row r="667" spans="1:4" ht="15.75" customHeight="1">
      <c r="A667" s="20"/>
      <c r="B667" s="23"/>
      <c r="C667" s="20"/>
      <c r="D667" s="20"/>
    </row>
    <row r="668" spans="1:4" ht="15.75" customHeight="1">
      <c r="A668" s="20"/>
      <c r="B668" s="23"/>
      <c r="C668" s="20"/>
      <c r="D668" s="20"/>
    </row>
    <row r="669" spans="1:4" ht="15.75" customHeight="1">
      <c r="A669" s="20"/>
      <c r="B669" s="23"/>
      <c r="C669" s="20"/>
      <c r="D669" s="20"/>
    </row>
    <row r="670" spans="1:4" ht="15.75" customHeight="1">
      <c r="A670" s="20"/>
      <c r="B670" s="23"/>
      <c r="C670" s="20"/>
      <c r="D670" s="20"/>
    </row>
    <row r="671" spans="1:4" ht="15.75" customHeight="1">
      <c r="A671" s="20"/>
      <c r="B671" s="23"/>
      <c r="C671" s="20"/>
      <c r="D671" s="20"/>
    </row>
    <row r="672" spans="1:4" ht="15.75" customHeight="1">
      <c r="A672" s="20"/>
      <c r="B672" s="23"/>
      <c r="C672" s="20"/>
      <c r="D672" s="20"/>
    </row>
    <row r="673" spans="1:4" ht="15.75" customHeight="1">
      <c r="A673" s="20"/>
      <c r="B673" s="23"/>
      <c r="C673" s="20"/>
      <c r="D673" s="20"/>
    </row>
    <row r="674" spans="1:4" ht="15.75" customHeight="1">
      <c r="A674" s="20"/>
      <c r="B674" s="23"/>
      <c r="C674" s="20"/>
      <c r="D674" s="20"/>
    </row>
    <row r="675" spans="1:4" ht="15.75" customHeight="1">
      <c r="A675" s="20"/>
      <c r="B675" s="23"/>
      <c r="C675" s="20"/>
      <c r="D675" s="20"/>
    </row>
    <row r="676" spans="1:4" ht="15.75" customHeight="1">
      <c r="A676" s="20"/>
      <c r="B676" s="23"/>
      <c r="C676" s="20"/>
      <c r="D676" s="20"/>
    </row>
    <row r="677" spans="1:4" ht="15.75" customHeight="1">
      <c r="A677" s="20"/>
      <c r="B677" s="23"/>
      <c r="C677" s="20"/>
      <c r="D677" s="20"/>
    </row>
    <row r="678" spans="1:4" ht="15.75" customHeight="1">
      <c r="A678" s="20"/>
      <c r="B678" s="23"/>
      <c r="C678" s="20"/>
      <c r="D678" s="20"/>
    </row>
    <row r="679" spans="1:4" ht="15.75" customHeight="1">
      <c r="A679" s="20"/>
      <c r="B679" s="23"/>
      <c r="C679" s="20"/>
      <c r="D679" s="20"/>
    </row>
    <row r="680" spans="1:4" ht="15.75" customHeight="1">
      <c r="A680" s="20"/>
      <c r="B680" s="23"/>
      <c r="C680" s="20"/>
      <c r="D680" s="20"/>
    </row>
    <row r="681" spans="1:4" ht="15.75" customHeight="1">
      <c r="A681" s="20"/>
      <c r="B681" s="23"/>
      <c r="C681" s="20"/>
      <c r="D681" s="20"/>
    </row>
    <row r="682" spans="1:4" ht="15.75" customHeight="1">
      <c r="A682" s="20"/>
      <c r="B682" s="23"/>
      <c r="C682" s="20"/>
      <c r="D682" s="20"/>
    </row>
    <row r="683" spans="1:4" ht="15.75" customHeight="1">
      <c r="A683" s="20"/>
      <c r="B683" s="23"/>
      <c r="C683" s="20"/>
      <c r="D683" s="20"/>
    </row>
    <row r="684" spans="1:4" ht="15.75" customHeight="1">
      <c r="A684" s="20"/>
      <c r="B684" s="23"/>
      <c r="C684" s="20"/>
      <c r="D684" s="20"/>
    </row>
    <row r="685" spans="1:4" ht="15.75" customHeight="1">
      <c r="A685" s="20"/>
      <c r="B685" s="23"/>
      <c r="C685" s="20"/>
      <c r="D685" s="20"/>
    </row>
    <row r="686" spans="1:4" ht="15.75" customHeight="1">
      <c r="A686" s="20"/>
      <c r="B686" s="23"/>
      <c r="C686" s="20"/>
      <c r="D686" s="20"/>
    </row>
    <row r="687" spans="1:4" ht="15.75" customHeight="1">
      <c r="A687" s="20"/>
      <c r="B687" s="23"/>
      <c r="C687" s="20"/>
      <c r="D687" s="20"/>
    </row>
    <row r="688" spans="1:4" ht="15.75" customHeight="1">
      <c r="A688" s="20"/>
      <c r="B688" s="23"/>
      <c r="C688" s="20"/>
      <c r="D688" s="20"/>
    </row>
    <row r="689" spans="1:4" ht="15.75" customHeight="1">
      <c r="A689" s="20"/>
      <c r="B689" s="23"/>
      <c r="C689" s="20"/>
      <c r="D689" s="20"/>
    </row>
    <row r="690" spans="1:4" ht="15.75" customHeight="1">
      <c r="A690" s="20"/>
      <c r="B690" s="23"/>
      <c r="C690" s="20"/>
      <c r="D690" s="20"/>
    </row>
    <row r="691" spans="1:4" ht="15.75" customHeight="1">
      <c r="A691" s="20"/>
      <c r="B691" s="23"/>
      <c r="C691" s="20"/>
      <c r="D691" s="20"/>
    </row>
    <row r="692" spans="1:4" ht="15.75" customHeight="1">
      <c r="A692" s="20"/>
      <c r="B692" s="23"/>
      <c r="C692" s="20"/>
      <c r="D692" s="20"/>
    </row>
    <row r="693" spans="1:4" ht="15.75" customHeight="1">
      <c r="A693" s="20"/>
      <c r="B693" s="23"/>
      <c r="C693" s="20"/>
      <c r="D693" s="20"/>
    </row>
    <row r="694" spans="1:4" ht="15.75" customHeight="1">
      <c r="A694" s="20"/>
      <c r="B694" s="23"/>
      <c r="C694" s="20"/>
      <c r="D694" s="20"/>
    </row>
    <row r="695" spans="1:4" ht="15.75" customHeight="1">
      <c r="A695" s="20"/>
      <c r="B695" s="23"/>
      <c r="C695" s="20"/>
      <c r="D695" s="20"/>
    </row>
    <row r="696" spans="1:4" ht="15.75" customHeight="1">
      <c r="A696" s="20"/>
      <c r="B696" s="23"/>
      <c r="C696" s="20"/>
      <c r="D696" s="20"/>
    </row>
    <row r="697" spans="1:4" ht="15.75" customHeight="1">
      <c r="A697" s="20"/>
      <c r="B697" s="23"/>
      <c r="C697" s="20"/>
      <c r="D697" s="20"/>
    </row>
    <row r="698" spans="1:4" ht="15.75" customHeight="1">
      <c r="A698" s="20"/>
      <c r="B698" s="23"/>
      <c r="C698" s="20"/>
      <c r="D698" s="20"/>
    </row>
    <row r="699" spans="1:4" ht="15.75" customHeight="1">
      <c r="A699" s="20"/>
      <c r="B699" s="23"/>
      <c r="C699" s="20"/>
      <c r="D699" s="20"/>
    </row>
    <row r="700" spans="1:4" ht="15.75" customHeight="1">
      <c r="A700" s="20"/>
      <c r="B700" s="23"/>
      <c r="C700" s="20"/>
      <c r="D700" s="20"/>
    </row>
    <row r="701" spans="1:4" ht="15.75" customHeight="1">
      <c r="A701" s="20"/>
      <c r="B701" s="23"/>
      <c r="C701" s="20"/>
      <c r="D701" s="20"/>
    </row>
    <row r="702" spans="1:4" ht="15.75" customHeight="1">
      <c r="A702" s="20"/>
      <c r="B702" s="23"/>
      <c r="C702" s="20"/>
      <c r="D702" s="20"/>
    </row>
    <row r="703" spans="1:4" ht="15.75" customHeight="1">
      <c r="A703" s="20"/>
      <c r="B703" s="23"/>
      <c r="C703" s="20"/>
      <c r="D703" s="20"/>
    </row>
    <row r="704" spans="1:4" ht="15.75" customHeight="1">
      <c r="A704" s="20"/>
      <c r="B704" s="23"/>
      <c r="C704" s="20"/>
      <c r="D704" s="20"/>
    </row>
    <row r="705" spans="1:4" ht="15.75" customHeight="1">
      <c r="A705" s="20"/>
      <c r="B705" s="23"/>
      <c r="C705" s="20"/>
      <c r="D705" s="20"/>
    </row>
    <row r="706" spans="1:4" ht="15.75" customHeight="1">
      <c r="A706" s="20"/>
      <c r="B706" s="23"/>
      <c r="C706" s="20"/>
      <c r="D706" s="20"/>
    </row>
    <row r="707" spans="1:4" ht="15.75" customHeight="1">
      <c r="A707" s="20"/>
      <c r="B707" s="23"/>
      <c r="C707" s="20"/>
      <c r="D707" s="20"/>
    </row>
    <row r="708" spans="1:4" ht="15.75" customHeight="1">
      <c r="A708" s="20"/>
      <c r="B708" s="23"/>
      <c r="C708" s="20"/>
      <c r="D708" s="20"/>
    </row>
    <row r="709" spans="1:4" ht="15.75" customHeight="1">
      <c r="A709" s="20"/>
      <c r="B709" s="23"/>
      <c r="C709" s="20"/>
      <c r="D709" s="20"/>
    </row>
    <row r="710" spans="1:4" ht="15.75" customHeight="1">
      <c r="A710" s="20"/>
      <c r="B710" s="23"/>
      <c r="C710" s="20"/>
      <c r="D710" s="20"/>
    </row>
    <row r="711" spans="1:4" ht="15.75" customHeight="1">
      <c r="A711" s="20"/>
      <c r="B711" s="23"/>
      <c r="C711" s="20"/>
      <c r="D711" s="20"/>
    </row>
    <row r="712" spans="1:4" ht="15.75" customHeight="1">
      <c r="A712" s="20"/>
      <c r="B712" s="23"/>
      <c r="C712" s="20"/>
      <c r="D712" s="20"/>
    </row>
    <row r="713" spans="1:4" ht="15.75" customHeight="1">
      <c r="A713" s="20"/>
      <c r="B713" s="23"/>
      <c r="C713" s="20"/>
      <c r="D713" s="20"/>
    </row>
    <row r="714" spans="1:4" ht="15.75" customHeight="1">
      <c r="A714" s="20"/>
      <c r="B714" s="23"/>
      <c r="C714" s="20"/>
      <c r="D714" s="20"/>
    </row>
    <row r="715" spans="1:4" ht="15.75" customHeight="1">
      <c r="A715" s="20"/>
      <c r="B715" s="23"/>
      <c r="C715" s="20"/>
      <c r="D715" s="20"/>
    </row>
    <row r="716" spans="1:4" ht="15.75" customHeight="1">
      <c r="A716" s="20"/>
      <c r="B716" s="23"/>
      <c r="C716" s="20"/>
      <c r="D716" s="20"/>
    </row>
    <row r="717" spans="1:4" ht="15.75" customHeight="1">
      <c r="A717" s="20"/>
      <c r="B717" s="23"/>
      <c r="C717" s="20"/>
      <c r="D717" s="20"/>
    </row>
    <row r="718" spans="1:4" ht="15.75" customHeight="1">
      <c r="A718" s="20"/>
      <c r="B718" s="23"/>
      <c r="C718" s="20"/>
      <c r="D718" s="20"/>
    </row>
    <row r="719" spans="1:4" ht="15.75" customHeight="1">
      <c r="A719" s="20"/>
      <c r="B719" s="23"/>
      <c r="C719" s="20"/>
      <c r="D719" s="20"/>
    </row>
    <row r="720" spans="1:4" ht="15.75" customHeight="1">
      <c r="A720" s="20"/>
      <c r="B720" s="23"/>
      <c r="C720" s="20"/>
      <c r="D720" s="20"/>
    </row>
    <row r="721" spans="1:4" ht="15.75" customHeight="1">
      <c r="A721" s="20"/>
      <c r="B721" s="23"/>
      <c r="C721" s="20"/>
      <c r="D721" s="20"/>
    </row>
    <row r="722" spans="1:4" ht="15.75" customHeight="1">
      <c r="A722" s="20"/>
      <c r="B722" s="23"/>
      <c r="C722" s="20"/>
      <c r="D722" s="20"/>
    </row>
    <row r="723" spans="1:4" ht="15.75" customHeight="1">
      <c r="A723" s="20"/>
      <c r="B723" s="23"/>
      <c r="C723" s="20"/>
      <c r="D723" s="20"/>
    </row>
    <row r="724" spans="1:4" ht="15.75" customHeight="1">
      <c r="A724" s="20"/>
      <c r="B724" s="23"/>
      <c r="C724" s="20"/>
      <c r="D724" s="20"/>
    </row>
    <row r="725" spans="1:4" ht="15.75" customHeight="1">
      <c r="A725" s="20"/>
      <c r="B725" s="23"/>
      <c r="C725" s="20"/>
      <c r="D725" s="20"/>
    </row>
    <row r="726" spans="1:4" ht="15.75" customHeight="1">
      <c r="A726" s="20"/>
      <c r="B726" s="23"/>
      <c r="C726" s="20"/>
      <c r="D726" s="20"/>
    </row>
    <row r="727" spans="1:4" ht="15.75" customHeight="1">
      <c r="A727" s="20"/>
      <c r="B727" s="23"/>
      <c r="C727" s="20"/>
      <c r="D727" s="20"/>
    </row>
    <row r="728" spans="1:4" ht="15.75" customHeight="1">
      <c r="A728" s="20"/>
      <c r="B728" s="23"/>
      <c r="C728" s="20"/>
      <c r="D728" s="20"/>
    </row>
    <row r="729" spans="1:4" ht="15.75" customHeight="1">
      <c r="A729" s="20"/>
      <c r="B729" s="23"/>
      <c r="C729" s="20"/>
      <c r="D729" s="20"/>
    </row>
    <row r="730" spans="1:4" ht="15.75" customHeight="1">
      <c r="A730" s="20"/>
      <c r="B730" s="23"/>
      <c r="C730" s="20"/>
      <c r="D730" s="20"/>
    </row>
    <row r="731" spans="1:4" ht="15.75" customHeight="1">
      <c r="A731" s="20"/>
      <c r="B731" s="23"/>
      <c r="C731" s="20"/>
      <c r="D731" s="20"/>
    </row>
    <row r="732" spans="1:4" ht="15.75" customHeight="1">
      <c r="A732" s="20"/>
      <c r="B732" s="23"/>
      <c r="C732" s="20"/>
      <c r="D732" s="20"/>
    </row>
    <row r="733" spans="1:4" ht="15.75" customHeight="1">
      <c r="A733" s="20"/>
      <c r="B733" s="23"/>
      <c r="C733" s="20"/>
      <c r="D733" s="20"/>
    </row>
    <row r="734" spans="1:4" ht="15.75" customHeight="1">
      <c r="A734" s="20"/>
      <c r="B734" s="23"/>
      <c r="C734" s="20"/>
      <c r="D734" s="20"/>
    </row>
    <row r="735" spans="1:4" ht="15.75" customHeight="1">
      <c r="A735" s="20"/>
      <c r="B735" s="23"/>
      <c r="C735" s="20"/>
      <c r="D735" s="20"/>
    </row>
    <row r="736" spans="1:4" ht="15.75" customHeight="1">
      <c r="A736" s="20"/>
      <c r="B736" s="23"/>
      <c r="C736" s="20"/>
      <c r="D736" s="20"/>
    </row>
    <row r="737" spans="1:4" ht="15.75" customHeight="1">
      <c r="A737" s="20"/>
      <c r="B737" s="23"/>
      <c r="C737" s="20"/>
      <c r="D737" s="20"/>
    </row>
    <row r="738" spans="1:4" ht="15.75" customHeight="1">
      <c r="A738" s="20"/>
      <c r="B738" s="23"/>
      <c r="C738" s="20"/>
      <c r="D738" s="20"/>
    </row>
    <row r="739" spans="1:4" ht="15.75" customHeight="1">
      <c r="A739" s="20"/>
      <c r="B739" s="23"/>
      <c r="C739" s="20"/>
      <c r="D739" s="20"/>
    </row>
    <row r="740" spans="1:4" ht="15.75" customHeight="1">
      <c r="A740" s="20"/>
      <c r="B740" s="23"/>
      <c r="C740" s="20"/>
      <c r="D740" s="20"/>
    </row>
    <row r="741" spans="1:4" ht="15.75" customHeight="1">
      <c r="A741" s="20"/>
      <c r="B741" s="23"/>
      <c r="C741" s="20"/>
      <c r="D741" s="20"/>
    </row>
    <row r="742" spans="1:4" ht="15.75" customHeight="1">
      <c r="A742" s="20"/>
      <c r="B742" s="23"/>
      <c r="C742" s="20"/>
      <c r="D742" s="20"/>
    </row>
    <row r="743" spans="1:4" ht="15.75" customHeight="1">
      <c r="A743" s="20"/>
      <c r="B743" s="23"/>
      <c r="C743" s="20"/>
      <c r="D743" s="20"/>
    </row>
    <row r="744" spans="1:4" ht="15.75" customHeight="1">
      <c r="A744" s="20"/>
      <c r="B744" s="23"/>
      <c r="C744" s="20"/>
      <c r="D744" s="20"/>
    </row>
    <row r="745" spans="1:4" ht="15.75" customHeight="1">
      <c r="A745" s="20"/>
      <c r="B745" s="23"/>
      <c r="C745" s="20"/>
      <c r="D745" s="20"/>
    </row>
    <row r="746" spans="1:4" ht="15.75" customHeight="1">
      <c r="A746" s="20"/>
      <c r="B746" s="23"/>
      <c r="C746" s="20"/>
      <c r="D746" s="20"/>
    </row>
    <row r="747" spans="1:4" ht="15.75" customHeight="1">
      <c r="A747" s="20"/>
      <c r="B747" s="23"/>
      <c r="C747" s="20"/>
      <c r="D747" s="20"/>
    </row>
    <row r="748" spans="1:4" ht="15.75" customHeight="1">
      <c r="A748" s="20"/>
      <c r="B748" s="23"/>
      <c r="C748" s="20"/>
      <c r="D748" s="20"/>
    </row>
    <row r="749" spans="1:4" ht="15.75" customHeight="1">
      <c r="A749" s="20"/>
      <c r="B749" s="23"/>
      <c r="C749" s="20"/>
      <c r="D749" s="20"/>
    </row>
    <row r="750" spans="1:4" ht="15.75" customHeight="1">
      <c r="A750" s="20"/>
      <c r="B750" s="23"/>
      <c r="C750" s="20"/>
      <c r="D750" s="20"/>
    </row>
    <row r="751" spans="1:4" ht="15.75" customHeight="1">
      <c r="A751" s="20"/>
      <c r="B751" s="23"/>
      <c r="C751" s="20"/>
      <c r="D751" s="20"/>
    </row>
    <row r="752" spans="1:4" ht="15.75" customHeight="1">
      <c r="A752" s="20"/>
      <c r="B752" s="23"/>
      <c r="C752" s="20"/>
      <c r="D752" s="20"/>
    </row>
    <row r="753" spans="1:4" ht="15.75" customHeight="1">
      <c r="A753" s="20"/>
      <c r="B753" s="23"/>
      <c r="C753" s="20"/>
      <c r="D753" s="20"/>
    </row>
    <row r="754" spans="1:4" ht="15.75" customHeight="1">
      <c r="A754" s="20"/>
      <c r="B754" s="23"/>
      <c r="C754" s="20"/>
      <c r="D754" s="20"/>
    </row>
    <row r="755" spans="1:4" ht="15.75" customHeight="1">
      <c r="A755" s="20"/>
      <c r="B755" s="23"/>
      <c r="C755" s="20"/>
      <c r="D755" s="20"/>
    </row>
    <row r="756" spans="1:4" ht="15.75" customHeight="1">
      <c r="A756" s="20"/>
      <c r="B756" s="23"/>
      <c r="C756" s="20"/>
      <c r="D756" s="20"/>
    </row>
    <row r="757" spans="1:4" ht="15.75" customHeight="1">
      <c r="A757" s="20"/>
      <c r="B757" s="23"/>
      <c r="C757" s="20"/>
      <c r="D757" s="20"/>
    </row>
    <row r="758" spans="1:4" ht="15.75" customHeight="1">
      <c r="A758" s="20"/>
      <c r="B758" s="23"/>
      <c r="C758" s="20"/>
      <c r="D758" s="20"/>
    </row>
    <row r="759" spans="1:4" ht="15.75" customHeight="1">
      <c r="A759" s="20"/>
      <c r="B759" s="23"/>
      <c r="C759" s="20"/>
      <c r="D759" s="20"/>
    </row>
    <row r="760" spans="1:4" ht="15.75" customHeight="1">
      <c r="A760" s="20"/>
      <c r="B760" s="23"/>
      <c r="C760" s="20"/>
      <c r="D760" s="20"/>
    </row>
    <row r="761" spans="1:4" ht="15.75" customHeight="1">
      <c r="A761" s="20"/>
      <c r="B761" s="23"/>
      <c r="C761" s="20"/>
      <c r="D761" s="20"/>
    </row>
    <row r="762" spans="1:4" ht="15.75" customHeight="1">
      <c r="A762" s="20"/>
      <c r="B762" s="23"/>
      <c r="C762" s="20"/>
      <c r="D762" s="20"/>
    </row>
    <row r="763" spans="1:4" ht="15.75" customHeight="1">
      <c r="A763" s="20"/>
      <c r="B763" s="23"/>
      <c r="C763" s="20"/>
      <c r="D763" s="20"/>
    </row>
    <row r="764" spans="1:4" ht="15.75" customHeight="1">
      <c r="A764" s="20"/>
      <c r="B764" s="23"/>
      <c r="C764" s="20"/>
      <c r="D764" s="20"/>
    </row>
    <row r="765" spans="1:4" ht="15.75" customHeight="1">
      <c r="A765" s="20"/>
      <c r="B765" s="23"/>
      <c r="C765" s="20"/>
      <c r="D765" s="20"/>
    </row>
    <row r="766" spans="1:4" ht="15.75" customHeight="1">
      <c r="A766" s="20"/>
      <c r="B766" s="23"/>
      <c r="C766" s="20"/>
      <c r="D766" s="20"/>
    </row>
    <row r="767" spans="1:4" ht="15.75" customHeight="1">
      <c r="A767" s="20"/>
      <c r="B767" s="23"/>
      <c r="C767" s="20"/>
      <c r="D767" s="20"/>
    </row>
    <row r="768" spans="1:4" ht="15.75" customHeight="1">
      <c r="A768" s="20"/>
      <c r="B768" s="23"/>
      <c r="C768" s="20"/>
      <c r="D768" s="20"/>
    </row>
    <row r="769" spans="1:4" ht="15.75" customHeight="1">
      <c r="A769" s="20"/>
      <c r="B769" s="23"/>
      <c r="C769" s="20"/>
      <c r="D769" s="20"/>
    </row>
    <row r="770" spans="1:4" ht="15.75" customHeight="1">
      <c r="A770" s="20"/>
      <c r="B770" s="23"/>
      <c r="C770" s="20"/>
      <c r="D770" s="20"/>
    </row>
    <row r="771" spans="1:4" ht="15.75" customHeight="1">
      <c r="A771" s="20"/>
      <c r="B771" s="23"/>
      <c r="C771" s="20"/>
      <c r="D771" s="20"/>
    </row>
    <row r="772" spans="1:4" ht="15.75" customHeight="1">
      <c r="A772" s="20"/>
      <c r="B772" s="23"/>
      <c r="C772" s="20"/>
      <c r="D772" s="20"/>
    </row>
    <row r="773" spans="1:4" ht="15.75" customHeight="1">
      <c r="A773" s="20"/>
      <c r="B773" s="23"/>
      <c r="C773" s="20"/>
      <c r="D773" s="20"/>
    </row>
    <row r="774" spans="1:4" ht="15.75" customHeight="1">
      <c r="A774" s="20"/>
      <c r="B774" s="23"/>
      <c r="C774" s="20"/>
      <c r="D774" s="20"/>
    </row>
    <row r="775" spans="1:4" ht="15.75" customHeight="1">
      <c r="A775" s="20"/>
      <c r="B775" s="23"/>
      <c r="C775" s="20"/>
      <c r="D775" s="20"/>
    </row>
    <row r="776" spans="1:4" ht="15.75" customHeight="1">
      <c r="A776" s="20"/>
      <c r="B776" s="23"/>
      <c r="C776" s="20"/>
      <c r="D776" s="20"/>
    </row>
    <row r="777" spans="1:4" ht="15.75" customHeight="1">
      <c r="A777" s="20"/>
      <c r="B777" s="23"/>
      <c r="C777" s="20"/>
      <c r="D777" s="20"/>
    </row>
    <row r="778" spans="1:4" ht="15.75" customHeight="1">
      <c r="A778" s="20"/>
      <c r="B778" s="23"/>
      <c r="C778" s="20"/>
      <c r="D778" s="20"/>
    </row>
    <row r="779" spans="1:4" ht="15.75" customHeight="1">
      <c r="A779" s="20"/>
      <c r="B779" s="23"/>
      <c r="C779" s="20"/>
      <c r="D779" s="20"/>
    </row>
    <row r="780" spans="1:4" ht="15.75" customHeight="1">
      <c r="A780" s="20"/>
      <c r="B780" s="23"/>
      <c r="C780" s="20"/>
      <c r="D780" s="20"/>
    </row>
    <row r="781" spans="1:4" ht="15.75" customHeight="1">
      <c r="A781" s="20"/>
      <c r="B781" s="23"/>
      <c r="C781" s="20"/>
      <c r="D781" s="20"/>
    </row>
    <row r="782" spans="1:4" ht="15.75" customHeight="1">
      <c r="A782" s="20"/>
      <c r="B782" s="23"/>
      <c r="C782" s="20"/>
      <c r="D782" s="20"/>
    </row>
    <row r="783" spans="1:4" ht="15.75" customHeight="1">
      <c r="A783" s="20"/>
      <c r="B783" s="23"/>
      <c r="C783" s="20"/>
      <c r="D783" s="20"/>
    </row>
    <row r="784" spans="1:4" ht="15.75" customHeight="1">
      <c r="A784" s="20"/>
      <c r="B784" s="23"/>
      <c r="C784" s="20"/>
      <c r="D784" s="20"/>
    </row>
    <row r="785" spans="1:4" ht="15.75" customHeight="1">
      <c r="A785" s="20"/>
      <c r="B785" s="23"/>
      <c r="C785" s="20"/>
      <c r="D785" s="20"/>
    </row>
    <row r="786" spans="1:4" ht="15.75" customHeight="1">
      <c r="A786" s="20"/>
      <c r="B786" s="23"/>
      <c r="C786" s="20"/>
      <c r="D786" s="20"/>
    </row>
    <row r="787" spans="1:4" ht="15.75" customHeight="1">
      <c r="A787" s="20"/>
      <c r="B787" s="23"/>
      <c r="C787" s="20"/>
      <c r="D787" s="20"/>
    </row>
    <row r="788" spans="1:4" ht="15.75" customHeight="1">
      <c r="A788" s="20"/>
      <c r="B788" s="23"/>
      <c r="C788" s="20"/>
      <c r="D788" s="20"/>
    </row>
    <row r="789" spans="1:4" ht="15.75" customHeight="1">
      <c r="A789" s="20"/>
      <c r="B789" s="23"/>
      <c r="C789" s="20"/>
      <c r="D789" s="20"/>
    </row>
    <row r="790" spans="1:4" ht="15.75" customHeight="1">
      <c r="A790" s="20"/>
      <c r="B790" s="23"/>
      <c r="C790" s="20"/>
      <c r="D790" s="20"/>
    </row>
    <row r="791" spans="1:4" ht="15.75" customHeight="1">
      <c r="A791" s="20"/>
      <c r="B791" s="23"/>
      <c r="C791" s="20"/>
      <c r="D791" s="20"/>
    </row>
    <row r="792" spans="1:4" ht="15.75" customHeight="1">
      <c r="A792" s="20"/>
      <c r="B792" s="23"/>
      <c r="C792" s="20"/>
      <c r="D792" s="20"/>
    </row>
    <row r="793" spans="1:4" ht="15.75" customHeight="1">
      <c r="A793" s="20"/>
      <c r="B793" s="23"/>
      <c r="C793" s="20"/>
      <c r="D793" s="20"/>
    </row>
    <row r="794" spans="1:4" ht="15.75" customHeight="1">
      <c r="A794" s="20"/>
      <c r="B794" s="23"/>
      <c r="C794" s="20"/>
      <c r="D794" s="20"/>
    </row>
    <row r="795" spans="1:4" ht="15.75" customHeight="1">
      <c r="A795" s="20"/>
      <c r="B795" s="23"/>
      <c r="C795" s="20"/>
      <c r="D795" s="20"/>
    </row>
    <row r="796" spans="1:4" ht="15.75" customHeight="1">
      <c r="A796" s="20"/>
      <c r="B796" s="23"/>
      <c r="C796" s="20"/>
      <c r="D796" s="20"/>
    </row>
    <row r="797" spans="1:4" ht="15.75" customHeight="1">
      <c r="A797" s="20"/>
      <c r="B797" s="23"/>
      <c r="C797" s="20"/>
      <c r="D797" s="20"/>
    </row>
    <row r="798" spans="1:4" ht="15.75" customHeight="1">
      <c r="A798" s="20"/>
      <c r="B798" s="23"/>
      <c r="C798" s="20"/>
      <c r="D798" s="20"/>
    </row>
    <row r="799" spans="1:4" ht="15.75" customHeight="1">
      <c r="A799" s="20"/>
      <c r="B799" s="23"/>
      <c r="C799" s="20"/>
      <c r="D799" s="20"/>
    </row>
    <row r="800" spans="1:4" ht="15.75" customHeight="1">
      <c r="A800" s="20"/>
      <c r="B800" s="23"/>
      <c r="C800" s="20"/>
      <c r="D800" s="20"/>
    </row>
    <row r="801" spans="1:4" ht="15.75" customHeight="1">
      <c r="A801" s="20"/>
      <c r="B801" s="23"/>
      <c r="C801" s="20"/>
      <c r="D801" s="20"/>
    </row>
    <row r="802" spans="1:4" ht="15.75" customHeight="1">
      <c r="A802" s="20"/>
      <c r="B802" s="23"/>
      <c r="C802" s="20"/>
      <c r="D802" s="20"/>
    </row>
    <row r="803" spans="1:4" ht="15.75" customHeight="1">
      <c r="A803" s="20"/>
      <c r="B803" s="23"/>
      <c r="C803" s="20"/>
      <c r="D803" s="20"/>
    </row>
    <row r="804" spans="1:4" ht="15.75" customHeight="1">
      <c r="A804" s="20"/>
      <c r="B804" s="23"/>
      <c r="C804" s="20"/>
      <c r="D804" s="20"/>
    </row>
    <row r="805" spans="1:4" ht="15.75" customHeight="1">
      <c r="A805" s="20"/>
      <c r="B805" s="23"/>
      <c r="C805" s="20"/>
      <c r="D805" s="20"/>
    </row>
    <row r="806" spans="1:4" ht="15.75" customHeight="1">
      <c r="A806" s="20"/>
      <c r="B806" s="23"/>
      <c r="C806" s="20"/>
      <c r="D806" s="20"/>
    </row>
    <row r="807" spans="1:4" ht="15.75" customHeight="1">
      <c r="A807" s="20"/>
      <c r="B807" s="23"/>
      <c r="C807" s="20"/>
      <c r="D807" s="20"/>
    </row>
    <row r="808" spans="1:4" ht="15.75" customHeight="1">
      <c r="A808" s="20"/>
      <c r="B808" s="23"/>
      <c r="C808" s="20"/>
      <c r="D808" s="20"/>
    </row>
    <row r="809" spans="1:4" ht="15.75" customHeight="1">
      <c r="A809" s="20"/>
      <c r="B809" s="23"/>
      <c r="C809" s="20"/>
      <c r="D809" s="20"/>
    </row>
    <row r="810" spans="1:4" ht="15.75" customHeight="1">
      <c r="A810" s="20"/>
      <c r="B810" s="23"/>
      <c r="C810" s="20"/>
      <c r="D810" s="20"/>
    </row>
    <row r="811" spans="1:4" ht="15.75" customHeight="1">
      <c r="A811" s="20"/>
      <c r="B811" s="23"/>
      <c r="C811" s="20"/>
      <c r="D811" s="20"/>
    </row>
    <row r="812" spans="1:4" ht="15.75" customHeight="1">
      <c r="A812" s="20"/>
      <c r="B812" s="23"/>
      <c r="C812" s="20"/>
      <c r="D812" s="20"/>
    </row>
    <row r="813" spans="1:4" ht="15.75" customHeight="1">
      <c r="A813" s="20"/>
      <c r="B813" s="23"/>
      <c r="C813" s="20"/>
      <c r="D813" s="20"/>
    </row>
    <row r="814" spans="1:4" ht="15.75" customHeight="1">
      <c r="A814" s="20"/>
      <c r="B814" s="23"/>
      <c r="C814" s="20"/>
      <c r="D814" s="20"/>
    </row>
    <row r="815" spans="1:4" ht="15.75" customHeight="1">
      <c r="A815" s="20"/>
      <c r="B815" s="23"/>
      <c r="C815" s="20"/>
      <c r="D815" s="20"/>
    </row>
    <row r="816" spans="1:4" ht="15.75" customHeight="1">
      <c r="A816" s="20"/>
      <c r="B816" s="23"/>
      <c r="C816" s="20"/>
      <c r="D816" s="20"/>
    </row>
    <row r="817" spans="1:4" ht="15.75" customHeight="1">
      <c r="A817" s="20"/>
      <c r="B817" s="23"/>
      <c r="C817" s="20"/>
      <c r="D817" s="20"/>
    </row>
    <row r="818" spans="1:4" ht="15.75" customHeight="1">
      <c r="A818" s="20"/>
      <c r="B818" s="23"/>
      <c r="C818" s="20"/>
      <c r="D818" s="20"/>
    </row>
    <row r="819" spans="1:4" ht="15.75" customHeight="1">
      <c r="A819" s="20"/>
      <c r="B819" s="23"/>
      <c r="C819" s="20"/>
      <c r="D819" s="20"/>
    </row>
    <row r="820" spans="1:4" ht="15.75" customHeight="1">
      <c r="A820" s="20"/>
      <c r="B820" s="23"/>
      <c r="C820" s="20"/>
      <c r="D820" s="20"/>
    </row>
    <row r="821" spans="1:4" ht="15.75" customHeight="1">
      <c r="A821" s="20"/>
      <c r="B821" s="23"/>
      <c r="C821" s="20"/>
      <c r="D821" s="20"/>
    </row>
    <row r="822" spans="1:4" ht="15.75" customHeight="1">
      <c r="A822" s="20"/>
      <c r="B822" s="23"/>
      <c r="C822" s="20"/>
      <c r="D822" s="20"/>
    </row>
    <row r="823" spans="1:4" ht="15.75" customHeight="1">
      <c r="A823" s="20"/>
      <c r="B823" s="23"/>
      <c r="C823" s="20"/>
      <c r="D823" s="20"/>
    </row>
    <row r="824" spans="1:4" ht="15.75" customHeight="1">
      <c r="A824" s="20"/>
      <c r="B824" s="23"/>
      <c r="C824" s="20"/>
      <c r="D824" s="20"/>
    </row>
    <row r="825" spans="1:4" ht="15.75" customHeight="1">
      <c r="A825" s="20"/>
      <c r="B825" s="23"/>
      <c r="C825" s="20"/>
      <c r="D825" s="20"/>
    </row>
    <row r="826" spans="1:4" ht="15.75" customHeight="1">
      <c r="A826" s="20"/>
      <c r="B826" s="23"/>
      <c r="C826" s="20"/>
      <c r="D826" s="20"/>
    </row>
    <row r="827" spans="1:4" ht="15.75" customHeight="1">
      <c r="A827" s="20"/>
      <c r="B827" s="23"/>
      <c r="C827" s="20"/>
      <c r="D827" s="20"/>
    </row>
    <row r="828" spans="1:4" ht="15.75" customHeight="1">
      <c r="A828" s="20"/>
      <c r="B828" s="23"/>
      <c r="C828" s="20"/>
      <c r="D828" s="20"/>
    </row>
    <row r="829" spans="1:4" ht="15.75" customHeight="1">
      <c r="A829" s="20"/>
      <c r="B829" s="23"/>
      <c r="C829" s="20"/>
      <c r="D829" s="20"/>
    </row>
    <row r="830" spans="1:4" ht="15.75" customHeight="1">
      <c r="A830" s="20"/>
      <c r="B830" s="23"/>
      <c r="C830" s="20"/>
      <c r="D830" s="20"/>
    </row>
    <row r="831" spans="1:4" ht="15.75" customHeight="1">
      <c r="A831" s="20"/>
      <c r="B831" s="23"/>
      <c r="C831" s="20"/>
      <c r="D831" s="20"/>
    </row>
    <row r="832" spans="1:4" ht="15.75" customHeight="1">
      <c r="A832" s="20"/>
      <c r="B832" s="23"/>
      <c r="C832" s="20"/>
      <c r="D832" s="20"/>
    </row>
    <row r="833" spans="1:4" ht="15.75" customHeight="1">
      <c r="A833" s="20"/>
      <c r="B833" s="23"/>
      <c r="C833" s="20"/>
      <c r="D833" s="20"/>
    </row>
    <row r="834" spans="1:4" ht="15.75" customHeight="1">
      <c r="A834" s="20"/>
      <c r="B834" s="23"/>
      <c r="C834" s="20"/>
      <c r="D834" s="20"/>
    </row>
    <row r="835" spans="1:4" ht="15.75" customHeight="1">
      <c r="A835" s="20"/>
      <c r="B835" s="23"/>
      <c r="C835" s="20"/>
      <c r="D835" s="20"/>
    </row>
    <row r="836" spans="1:4" ht="15.75" customHeight="1">
      <c r="A836" s="20"/>
      <c r="B836" s="23"/>
      <c r="C836" s="20"/>
      <c r="D836" s="20"/>
    </row>
    <row r="837" spans="1:4" ht="15.75" customHeight="1">
      <c r="A837" s="20"/>
      <c r="B837" s="23"/>
      <c r="C837" s="20"/>
      <c r="D837" s="20"/>
    </row>
    <row r="838" spans="1:4" ht="15.75" customHeight="1">
      <c r="A838" s="20"/>
      <c r="B838" s="23"/>
      <c r="C838" s="20"/>
      <c r="D838" s="20"/>
    </row>
    <row r="839" spans="1:4" ht="15.75" customHeight="1">
      <c r="A839" s="20"/>
      <c r="B839" s="23"/>
      <c r="C839" s="20"/>
      <c r="D839" s="20"/>
    </row>
    <row r="840" spans="1:4" ht="15.75" customHeight="1">
      <c r="A840" s="20"/>
      <c r="B840" s="23"/>
      <c r="C840" s="20"/>
      <c r="D840" s="20"/>
    </row>
    <row r="841" spans="1:4" ht="15.75" customHeight="1">
      <c r="A841" s="20"/>
      <c r="B841" s="23"/>
      <c r="C841" s="20"/>
      <c r="D841" s="20"/>
    </row>
    <row r="842" spans="1:4" ht="15.75" customHeight="1">
      <c r="A842" s="20"/>
      <c r="B842" s="23"/>
      <c r="C842" s="20"/>
      <c r="D842" s="20"/>
    </row>
    <row r="843" spans="1:4" ht="15.75" customHeight="1">
      <c r="A843" s="20"/>
      <c r="B843" s="23"/>
      <c r="C843" s="20"/>
      <c r="D843" s="20"/>
    </row>
    <row r="844" spans="1:4" ht="15.75" customHeight="1">
      <c r="A844" s="20"/>
      <c r="B844" s="23"/>
      <c r="C844" s="20"/>
      <c r="D844" s="20"/>
    </row>
    <row r="845" spans="1:4" ht="15.75" customHeight="1">
      <c r="A845" s="20"/>
      <c r="B845" s="23"/>
      <c r="C845" s="20"/>
      <c r="D845" s="20"/>
    </row>
    <row r="846" spans="1:4" ht="15.75" customHeight="1">
      <c r="A846" s="20"/>
      <c r="B846" s="23"/>
      <c r="C846" s="20"/>
      <c r="D846" s="20"/>
    </row>
    <row r="847" spans="1:4" ht="15.75" customHeight="1">
      <c r="A847" s="20"/>
      <c r="B847" s="23"/>
      <c r="C847" s="20"/>
      <c r="D847" s="20"/>
    </row>
    <row r="848" spans="1:4" ht="15.75" customHeight="1">
      <c r="A848" s="20"/>
      <c r="B848" s="23"/>
      <c r="C848" s="20"/>
      <c r="D848" s="20"/>
    </row>
    <row r="849" spans="1:4" ht="15.75" customHeight="1">
      <c r="A849" s="20"/>
      <c r="B849" s="23"/>
      <c r="C849" s="20"/>
      <c r="D849" s="20"/>
    </row>
    <row r="850" spans="1:4" ht="15.75" customHeight="1">
      <c r="A850" s="20"/>
      <c r="B850" s="23"/>
      <c r="C850" s="20"/>
      <c r="D850" s="20"/>
    </row>
    <row r="851" spans="1:4" ht="15.75" customHeight="1">
      <c r="A851" s="20"/>
      <c r="B851" s="23"/>
      <c r="C851" s="20"/>
      <c r="D851" s="20"/>
    </row>
    <row r="852" spans="1:4" ht="15.75" customHeight="1">
      <c r="A852" s="20"/>
      <c r="B852" s="23"/>
      <c r="C852" s="20"/>
      <c r="D852" s="20"/>
    </row>
    <row r="853" spans="1:4" ht="15.75" customHeight="1">
      <c r="A853" s="20"/>
      <c r="B853" s="23"/>
      <c r="C853" s="20"/>
      <c r="D853" s="20"/>
    </row>
    <row r="854" spans="1:4" ht="15.75" customHeight="1">
      <c r="A854" s="20"/>
      <c r="B854" s="23"/>
      <c r="C854" s="20"/>
      <c r="D854" s="20"/>
    </row>
    <row r="855" spans="1:4" ht="15.75" customHeight="1">
      <c r="A855" s="20"/>
      <c r="B855" s="23"/>
      <c r="C855" s="20"/>
      <c r="D855" s="20"/>
    </row>
    <row r="856" spans="1:4" ht="15.75" customHeight="1">
      <c r="A856" s="20"/>
      <c r="B856" s="23"/>
      <c r="C856" s="20"/>
      <c r="D856" s="20"/>
    </row>
    <row r="857" spans="1:4" ht="15.75" customHeight="1">
      <c r="A857" s="20"/>
      <c r="B857" s="23"/>
      <c r="C857" s="20"/>
      <c r="D857" s="20"/>
    </row>
    <row r="858" spans="1:4" ht="15.75" customHeight="1">
      <c r="A858" s="20"/>
      <c r="B858" s="23"/>
      <c r="C858" s="20"/>
      <c r="D858" s="20"/>
    </row>
    <row r="859" spans="1:4" ht="15.75" customHeight="1">
      <c r="A859" s="20"/>
      <c r="B859" s="23"/>
      <c r="C859" s="20"/>
      <c r="D859" s="20"/>
    </row>
    <row r="860" spans="1:4" ht="15.75" customHeight="1">
      <c r="A860" s="20"/>
      <c r="B860" s="23"/>
      <c r="C860" s="20"/>
      <c r="D860" s="20"/>
    </row>
    <row r="861" spans="1:4" ht="15.75" customHeight="1">
      <c r="A861" s="20"/>
      <c r="B861" s="23"/>
      <c r="C861" s="20"/>
      <c r="D861" s="20"/>
    </row>
    <row r="862" spans="1:4" ht="15.75" customHeight="1">
      <c r="A862" s="20"/>
      <c r="B862" s="23"/>
      <c r="C862" s="20"/>
      <c r="D862" s="20"/>
    </row>
    <row r="863" spans="1:4" ht="15.75" customHeight="1">
      <c r="A863" s="20"/>
      <c r="B863" s="23"/>
      <c r="C863" s="20"/>
      <c r="D863" s="20"/>
    </row>
    <row r="864" spans="1:4" ht="15.75" customHeight="1">
      <c r="A864" s="20"/>
      <c r="B864" s="23"/>
      <c r="C864" s="20"/>
      <c r="D864" s="20"/>
    </row>
    <row r="865" spans="1:4" ht="15.75" customHeight="1">
      <c r="A865" s="20"/>
      <c r="B865" s="23"/>
      <c r="C865" s="20"/>
      <c r="D865" s="20"/>
    </row>
    <row r="866" spans="1:4" ht="15.75" customHeight="1">
      <c r="A866" s="20"/>
      <c r="B866" s="23"/>
      <c r="C866" s="20"/>
      <c r="D866" s="20"/>
    </row>
    <row r="867" spans="1:4" ht="15.75" customHeight="1">
      <c r="A867" s="20"/>
      <c r="B867" s="23"/>
      <c r="C867" s="20"/>
      <c r="D867" s="20"/>
    </row>
    <row r="868" spans="1:4" ht="15.75" customHeight="1">
      <c r="A868" s="20"/>
      <c r="B868" s="23"/>
      <c r="C868" s="20"/>
      <c r="D868" s="20"/>
    </row>
    <row r="869" spans="1:4" ht="15.75" customHeight="1">
      <c r="A869" s="20"/>
      <c r="B869" s="23"/>
      <c r="C869" s="20"/>
      <c r="D869" s="20"/>
    </row>
    <row r="870" spans="1:4" ht="15.75" customHeight="1">
      <c r="A870" s="20"/>
      <c r="B870" s="23"/>
      <c r="C870" s="20"/>
      <c r="D870" s="20"/>
    </row>
    <row r="871" spans="1:4" ht="15.75" customHeight="1">
      <c r="A871" s="20"/>
      <c r="B871" s="23"/>
      <c r="C871" s="20"/>
      <c r="D871" s="20"/>
    </row>
    <row r="872" spans="1:4" ht="15.75" customHeight="1">
      <c r="A872" s="20"/>
      <c r="B872" s="23"/>
      <c r="C872" s="20"/>
      <c r="D872" s="20"/>
    </row>
    <row r="873" spans="1:4" ht="15.75" customHeight="1">
      <c r="A873" s="20"/>
      <c r="B873" s="23"/>
      <c r="C873" s="20"/>
      <c r="D873" s="20"/>
    </row>
    <row r="874" spans="1:4" ht="15.75" customHeight="1">
      <c r="A874" s="20"/>
      <c r="B874" s="23"/>
      <c r="C874" s="20"/>
      <c r="D874" s="20"/>
    </row>
    <row r="875" spans="1:4" ht="15.75" customHeight="1">
      <c r="A875" s="20"/>
      <c r="B875" s="23"/>
      <c r="C875" s="20"/>
      <c r="D875" s="20"/>
    </row>
    <row r="876" spans="1:4" ht="15.75" customHeight="1">
      <c r="A876" s="20"/>
      <c r="B876" s="23"/>
      <c r="C876" s="20"/>
      <c r="D876" s="20"/>
    </row>
    <row r="877" spans="1:4" ht="15.75" customHeight="1">
      <c r="A877" s="20"/>
      <c r="B877" s="23"/>
      <c r="C877" s="20"/>
      <c r="D877" s="20"/>
    </row>
    <row r="878" spans="1:4" ht="15.75" customHeight="1">
      <c r="A878" s="20"/>
      <c r="B878" s="23"/>
      <c r="C878" s="20"/>
      <c r="D878" s="20"/>
    </row>
    <row r="879" spans="1:4" ht="15.75" customHeight="1">
      <c r="A879" s="20"/>
      <c r="B879" s="23"/>
      <c r="C879" s="20"/>
      <c r="D879" s="20"/>
    </row>
    <row r="880" spans="1:4" ht="15.75" customHeight="1">
      <c r="A880" s="20"/>
      <c r="B880" s="23"/>
      <c r="C880" s="20"/>
      <c r="D880" s="20"/>
    </row>
    <row r="881" spans="1:4" ht="15.75" customHeight="1">
      <c r="A881" s="20"/>
      <c r="B881" s="23"/>
      <c r="C881" s="20"/>
      <c r="D881" s="20"/>
    </row>
    <row r="882" spans="1:4" ht="15.75" customHeight="1">
      <c r="A882" s="20"/>
      <c r="B882" s="23"/>
      <c r="C882" s="20"/>
      <c r="D882" s="20"/>
    </row>
    <row r="883" spans="1:4" ht="15.75" customHeight="1">
      <c r="A883" s="20"/>
      <c r="B883" s="23"/>
      <c r="C883" s="20"/>
      <c r="D883" s="20"/>
    </row>
    <row r="884" spans="1:4" ht="15.75" customHeight="1">
      <c r="A884" s="20"/>
      <c r="B884" s="23"/>
      <c r="C884" s="20"/>
      <c r="D884" s="20"/>
    </row>
    <row r="885" spans="1:4" ht="15.75" customHeight="1">
      <c r="A885" s="20"/>
      <c r="B885" s="23"/>
      <c r="C885" s="20"/>
      <c r="D885" s="20"/>
    </row>
    <row r="886" spans="1:4" ht="15.75" customHeight="1">
      <c r="A886" s="20"/>
      <c r="B886" s="23"/>
      <c r="C886" s="20"/>
      <c r="D886" s="20"/>
    </row>
    <row r="887" spans="1:4" ht="15.75" customHeight="1">
      <c r="A887" s="20"/>
      <c r="B887" s="23"/>
      <c r="C887" s="20"/>
      <c r="D887" s="20"/>
    </row>
    <row r="888" spans="1:4" ht="15.75" customHeight="1">
      <c r="A888" s="20"/>
      <c r="B888" s="23"/>
      <c r="C888" s="20"/>
      <c r="D888" s="20"/>
    </row>
    <row r="889" spans="1:4" ht="15.75" customHeight="1">
      <c r="A889" s="20"/>
      <c r="B889" s="23"/>
      <c r="C889" s="20"/>
      <c r="D889" s="20"/>
    </row>
    <row r="890" spans="1:4" ht="15.75" customHeight="1">
      <c r="A890" s="20"/>
      <c r="B890" s="23"/>
      <c r="C890" s="20"/>
      <c r="D890" s="20"/>
    </row>
    <row r="891" spans="1:4" ht="15.75" customHeight="1">
      <c r="A891" s="20"/>
      <c r="B891" s="23"/>
      <c r="C891" s="20"/>
      <c r="D891" s="20"/>
    </row>
    <row r="892" spans="1:4" ht="15.75" customHeight="1">
      <c r="A892" s="20"/>
      <c r="B892" s="23"/>
      <c r="C892" s="20"/>
      <c r="D892" s="20"/>
    </row>
    <row r="893" spans="1:4" ht="15.75" customHeight="1">
      <c r="A893" s="20"/>
      <c r="B893" s="23"/>
      <c r="C893" s="20"/>
      <c r="D893" s="20"/>
    </row>
    <row r="894" spans="1:4" ht="15.75" customHeight="1">
      <c r="A894" s="20"/>
      <c r="B894" s="23"/>
      <c r="C894" s="20"/>
      <c r="D894" s="20"/>
    </row>
    <row r="895" spans="1:4" ht="15.75" customHeight="1">
      <c r="A895" s="20"/>
      <c r="B895" s="23"/>
      <c r="C895" s="20"/>
      <c r="D895" s="20"/>
    </row>
    <row r="896" spans="1:4" ht="15.75" customHeight="1">
      <c r="A896" s="20"/>
      <c r="B896" s="23"/>
      <c r="C896" s="20"/>
      <c r="D896" s="20"/>
    </row>
    <row r="897" spans="1:4" ht="15.75" customHeight="1">
      <c r="A897" s="20"/>
      <c r="B897" s="23"/>
      <c r="C897" s="20"/>
      <c r="D897" s="20"/>
    </row>
    <row r="898" spans="1:4" ht="15.75" customHeight="1">
      <c r="A898" s="20"/>
      <c r="B898" s="23"/>
      <c r="C898" s="20"/>
      <c r="D898" s="20"/>
    </row>
    <row r="899" spans="1:4" ht="15.75" customHeight="1">
      <c r="A899" s="20"/>
      <c r="B899" s="23"/>
      <c r="C899" s="20"/>
      <c r="D899" s="20"/>
    </row>
    <row r="900" spans="1:4" ht="15.75" customHeight="1">
      <c r="A900" s="20"/>
      <c r="B900" s="23"/>
      <c r="C900" s="20"/>
      <c r="D900" s="20"/>
    </row>
    <row r="901" spans="1:4" ht="15.75" customHeight="1">
      <c r="A901" s="20"/>
      <c r="B901" s="23"/>
      <c r="C901" s="20"/>
      <c r="D901" s="20"/>
    </row>
    <row r="902" spans="1:4" ht="15.75" customHeight="1">
      <c r="A902" s="20"/>
      <c r="B902" s="23"/>
      <c r="C902" s="20"/>
      <c r="D902" s="20"/>
    </row>
    <row r="903" spans="1:4" ht="15.75" customHeight="1">
      <c r="A903" s="20"/>
      <c r="B903" s="23"/>
      <c r="C903" s="20"/>
      <c r="D903" s="20"/>
    </row>
    <row r="904" spans="1:4" ht="15.75" customHeight="1">
      <c r="A904" s="20"/>
      <c r="B904" s="23"/>
      <c r="C904" s="20"/>
      <c r="D904" s="20"/>
    </row>
    <row r="905" spans="1:4" ht="15.75" customHeight="1">
      <c r="A905" s="20"/>
      <c r="B905" s="23"/>
      <c r="C905" s="20"/>
      <c r="D905" s="20"/>
    </row>
    <row r="906" spans="1:4" ht="15.75" customHeight="1">
      <c r="A906" s="20"/>
      <c r="B906" s="23"/>
      <c r="C906" s="20"/>
      <c r="D906" s="20"/>
    </row>
    <row r="907" spans="1:4" ht="15.75" customHeight="1">
      <c r="A907" s="20"/>
      <c r="B907" s="23"/>
      <c r="C907" s="20"/>
      <c r="D907" s="20"/>
    </row>
    <row r="908" spans="1:4" ht="15.75" customHeight="1">
      <c r="A908" s="20"/>
      <c r="B908" s="23"/>
      <c r="C908" s="20"/>
      <c r="D908" s="20"/>
    </row>
    <row r="909" spans="1:4" ht="15.75" customHeight="1">
      <c r="A909" s="20"/>
      <c r="B909" s="23"/>
      <c r="C909" s="20"/>
      <c r="D909" s="20"/>
    </row>
    <row r="910" spans="1:4" ht="15.75" customHeight="1">
      <c r="A910" s="20"/>
      <c r="B910" s="23"/>
      <c r="C910" s="20"/>
      <c r="D910" s="20"/>
    </row>
    <row r="911" spans="1:4" ht="15.75" customHeight="1">
      <c r="A911" s="20"/>
      <c r="B911" s="23"/>
      <c r="C911" s="20"/>
      <c r="D911" s="20"/>
    </row>
    <row r="912" spans="1:4" ht="15.75" customHeight="1">
      <c r="A912" s="20"/>
      <c r="B912" s="23"/>
      <c r="C912" s="20"/>
      <c r="D912" s="20"/>
    </row>
    <row r="913" spans="1:4" ht="15.75" customHeight="1">
      <c r="A913" s="20"/>
      <c r="B913" s="23"/>
      <c r="C913" s="20"/>
      <c r="D913" s="20"/>
    </row>
    <row r="914" spans="1:4" ht="15.75" customHeight="1">
      <c r="A914" s="20"/>
      <c r="B914" s="23"/>
      <c r="C914" s="20"/>
      <c r="D914" s="20"/>
    </row>
    <row r="915" spans="1:4" ht="15.75" customHeight="1">
      <c r="A915" s="20"/>
      <c r="B915" s="23"/>
      <c r="C915" s="20"/>
      <c r="D915" s="20"/>
    </row>
    <row r="916" spans="1:4" ht="15.75" customHeight="1">
      <c r="A916" s="20"/>
      <c r="B916" s="23"/>
      <c r="C916" s="20"/>
      <c r="D916" s="20"/>
    </row>
    <row r="917" spans="1:4" ht="15.75" customHeight="1">
      <c r="A917" s="20"/>
      <c r="B917" s="23"/>
      <c r="C917" s="20"/>
      <c r="D917" s="20"/>
    </row>
    <row r="918" spans="1:4" ht="15.75" customHeight="1">
      <c r="A918" s="20"/>
      <c r="B918" s="23"/>
      <c r="C918" s="20"/>
      <c r="D918" s="20"/>
    </row>
    <row r="919" spans="1:4" ht="15.75" customHeight="1">
      <c r="A919" s="20"/>
      <c r="B919" s="23"/>
      <c r="C919" s="20"/>
      <c r="D919" s="20"/>
    </row>
    <row r="920" spans="1:4" ht="15.75" customHeight="1">
      <c r="A920" s="20"/>
      <c r="B920" s="23"/>
      <c r="C920" s="20"/>
      <c r="D920" s="20"/>
    </row>
    <row r="921" spans="1:4" ht="15.75" customHeight="1">
      <c r="A921" s="20"/>
      <c r="B921" s="23"/>
      <c r="C921" s="20"/>
      <c r="D921" s="20"/>
    </row>
    <row r="922" spans="1:4" ht="15.75" customHeight="1">
      <c r="A922" s="20"/>
      <c r="B922" s="23"/>
      <c r="C922" s="20"/>
      <c r="D922" s="20"/>
    </row>
    <row r="923" spans="1:4" ht="15.75" customHeight="1">
      <c r="A923" s="20"/>
      <c r="B923" s="23"/>
      <c r="C923" s="20"/>
      <c r="D923" s="20"/>
    </row>
    <row r="924" spans="1:4" ht="15.75" customHeight="1">
      <c r="A924" s="20"/>
      <c r="B924" s="23"/>
      <c r="C924" s="20"/>
      <c r="D924" s="20"/>
    </row>
    <row r="925" spans="1:4" ht="15.75" customHeight="1">
      <c r="A925" s="20"/>
      <c r="B925" s="23"/>
      <c r="C925" s="20"/>
      <c r="D925" s="20"/>
    </row>
    <row r="926" spans="1:4" ht="15.75" customHeight="1">
      <c r="A926" s="20"/>
      <c r="B926" s="23"/>
      <c r="C926" s="20"/>
      <c r="D926" s="20"/>
    </row>
    <row r="927" spans="1:4" ht="15.75" customHeight="1">
      <c r="A927" s="20"/>
      <c r="B927" s="23"/>
      <c r="C927" s="20"/>
      <c r="D927" s="20"/>
    </row>
    <row r="928" spans="1:4" ht="15.75" customHeight="1">
      <c r="A928" s="20"/>
      <c r="B928" s="23"/>
      <c r="C928" s="20"/>
      <c r="D928" s="20"/>
    </row>
    <row r="929" spans="1:4" ht="15.75" customHeight="1">
      <c r="A929" s="20"/>
      <c r="B929" s="23"/>
      <c r="C929" s="20"/>
      <c r="D929" s="20"/>
    </row>
    <row r="930" spans="1:4" ht="15.75" customHeight="1">
      <c r="A930" s="20"/>
      <c r="B930" s="23"/>
      <c r="C930" s="20"/>
      <c r="D930" s="20"/>
    </row>
    <row r="931" spans="1:4" ht="15.75" customHeight="1">
      <c r="A931" s="20"/>
      <c r="B931" s="23"/>
      <c r="C931" s="20"/>
      <c r="D931" s="20"/>
    </row>
    <row r="932" spans="1:4" ht="15.75" customHeight="1">
      <c r="A932" s="20"/>
      <c r="B932" s="23"/>
      <c r="C932" s="20"/>
      <c r="D932" s="20"/>
    </row>
    <row r="933" spans="1:4" ht="15.75" customHeight="1">
      <c r="A933" s="20"/>
      <c r="B933" s="23"/>
      <c r="C933" s="20"/>
      <c r="D933" s="20"/>
    </row>
    <row r="934" spans="1:4" ht="15.75" customHeight="1">
      <c r="A934" s="20"/>
      <c r="B934" s="23"/>
      <c r="C934" s="20"/>
      <c r="D934" s="20"/>
    </row>
    <row r="935" spans="1:4" ht="15.75" customHeight="1">
      <c r="A935" s="20"/>
      <c r="B935" s="23"/>
      <c r="C935" s="20"/>
      <c r="D935" s="20"/>
    </row>
    <row r="936" spans="1:4" ht="15.75" customHeight="1">
      <c r="A936" s="20"/>
      <c r="B936" s="23"/>
      <c r="C936" s="20"/>
      <c r="D936" s="20"/>
    </row>
    <row r="937" spans="1:4" ht="15.75" customHeight="1">
      <c r="A937" s="20"/>
      <c r="B937" s="23"/>
      <c r="C937" s="20"/>
      <c r="D937" s="20"/>
    </row>
    <row r="938" spans="1:4" ht="15.75" customHeight="1">
      <c r="A938" s="20"/>
      <c r="B938" s="23"/>
      <c r="C938" s="20"/>
      <c r="D938" s="20"/>
    </row>
    <row r="939" spans="1:4" ht="15.75" customHeight="1">
      <c r="A939" s="20"/>
      <c r="B939" s="23"/>
      <c r="C939" s="20"/>
      <c r="D939" s="20"/>
    </row>
    <row r="940" spans="1:4" ht="15.75" customHeight="1">
      <c r="A940" s="20"/>
      <c r="B940" s="23"/>
      <c r="C940" s="20"/>
      <c r="D940" s="20"/>
    </row>
    <row r="941" spans="1:4" ht="15.75" customHeight="1">
      <c r="A941" s="20"/>
      <c r="B941" s="23"/>
      <c r="C941" s="20"/>
      <c r="D941" s="20"/>
    </row>
    <row r="942" spans="1:4" ht="15.75" customHeight="1">
      <c r="A942" s="20"/>
      <c r="B942" s="23"/>
      <c r="C942" s="20"/>
      <c r="D942" s="20"/>
    </row>
    <row r="943" spans="1:4" ht="15.75" customHeight="1">
      <c r="A943" s="20"/>
      <c r="B943" s="23"/>
      <c r="C943" s="20"/>
      <c r="D943" s="20"/>
    </row>
    <row r="944" spans="1:4" ht="15.75" customHeight="1">
      <c r="A944" s="20"/>
      <c r="B944" s="23"/>
      <c r="C944" s="20"/>
      <c r="D944" s="20"/>
    </row>
    <row r="945" spans="1:4" ht="15.75" customHeight="1">
      <c r="A945" s="20"/>
      <c r="B945" s="23"/>
      <c r="C945" s="20"/>
      <c r="D945" s="20"/>
    </row>
    <row r="946" spans="1:4" ht="15.75" customHeight="1">
      <c r="A946" s="20"/>
      <c r="B946" s="23"/>
      <c r="C946" s="20"/>
      <c r="D946" s="20"/>
    </row>
    <row r="947" spans="1:4" ht="15.75" customHeight="1">
      <c r="A947" s="20"/>
      <c r="B947" s="23"/>
      <c r="C947" s="20"/>
      <c r="D947" s="20"/>
    </row>
    <row r="948" spans="1:4" ht="15.75" customHeight="1">
      <c r="A948" s="20"/>
      <c r="B948" s="23"/>
      <c r="C948" s="20"/>
      <c r="D948" s="20"/>
    </row>
    <row r="949" spans="1:4" ht="15.75" customHeight="1">
      <c r="A949" s="20"/>
      <c r="B949" s="23"/>
      <c r="C949" s="20"/>
      <c r="D949" s="20"/>
    </row>
    <row r="950" spans="1:4" ht="15.75" customHeight="1">
      <c r="A950" s="20"/>
      <c r="B950" s="23"/>
      <c r="C950" s="20"/>
      <c r="D950" s="20"/>
    </row>
    <row r="951" spans="1:4" ht="15.75" customHeight="1">
      <c r="A951" s="20"/>
      <c r="B951" s="23"/>
      <c r="C951" s="20"/>
      <c r="D951" s="20"/>
    </row>
    <row r="952" spans="1:4" ht="15.75" customHeight="1">
      <c r="A952" s="20"/>
      <c r="B952" s="23"/>
      <c r="C952" s="20"/>
      <c r="D952" s="20"/>
    </row>
    <row r="953" spans="1:4" ht="15.75" customHeight="1">
      <c r="A953" s="20"/>
      <c r="B953" s="23"/>
      <c r="C953" s="20"/>
      <c r="D953" s="20"/>
    </row>
    <row r="954" spans="1:4" ht="15.75" customHeight="1">
      <c r="A954" s="20"/>
      <c r="B954" s="23"/>
      <c r="C954" s="20"/>
      <c r="D954" s="20"/>
    </row>
    <row r="955" spans="1:4" ht="15.75" customHeight="1">
      <c r="A955" s="20"/>
      <c r="B955" s="23"/>
      <c r="C955" s="20"/>
      <c r="D955" s="20"/>
    </row>
    <row r="956" spans="1:4" ht="15.75" customHeight="1">
      <c r="A956" s="20"/>
      <c r="B956" s="23"/>
      <c r="C956" s="20"/>
      <c r="D956" s="20"/>
    </row>
    <row r="957" spans="1:4" ht="15.75" customHeight="1">
      <c r="A957" s="20"/>
      <c r="B957" s="23"/>
      <c r="C957" s="20"/>
      <c r="D957" s="20"/>
    </row>
    <row r="958" spans="1:4" ht="15.75" customHeight="1">
      <c r="A958" s="20"/>
      <c r="B958" s="23"/>
      <c r="C958" s="20"/>
      <c r="D958" s="20"/>
    </row>
    <row r="959" spans="1:4" ht="15.75" customHeight="1">
      <c r="A959" s="20"/>
      <c r="B959" s="23"/>
      <c r="C959" s="20"/>
      <c r="D959" s="20"/>
    </row>
    <row r="960" spans="1:4" ht="15.75" customHeight="1">
      <c r="A960" s="20"/>
      <c r="B960" s="23"/>
      <c r="C960" s="20"/>
      <c r="D960" s="20"/>
    </row>
    <row r="961" spans="1:4" ht="15.75" customHeight="1">
      <c r="A961" s="20"/>
      <c r="B961" s="23"/>
      <c r="C961" s="20"/>
      <c r="D961" s="20"/>
    </row>
    <row r="962" spans="1:4" ht="15.75" customHeight="1">
      <c r="A962" s="20"/>
      <c r="B962" s="23"/>
      <c r="C962" s="20"/>
      <c r="D962" s="20"/>
    </row>
    <row r="963" spans="1:4" ht="15.75" customHeight="1">
      <c r="A963" s="20"/>
      <c r="B963" s="23"/>
      <c r="C963" s="20"/>
      <c r="D963" s="20"/>
    </row>
    <row r="964" spans="1:4" ht="15.75" customHeight="1">
      <c r="A964" s="20"/>
      <c r="B964" s="23"/>
      <c r="C964" s="20"/>
      <c r="D964" s="20"/>
    </row>
    <row r="965" spans="1:4" ht="15.75" customHeight="1">
      <c r="A965" s="20"/>
      <c r="B965" s="23"/>
      <c r="C965" s="20"/>
      <c r="D965" s="20"/>
    </row>
    <row r="966" spans="1:4" ht="15.75" customHeight="1">
      <c r="A966" s="20"/>
      <c r="B966" s="23"/>
      <c r="C966" s="20"/>
      <c r="D966" s="20"/>
    </row>
    <row r="967" spans="1:4" ht="15.75" customHeight="1">
      <c r="A967" s="20"/>
      <c r="B967" s="23"/>
      <c r="C967" s="20"/>
      <c r="D967" s="20"/>
    </row>
    <row r="968" spans="1:4" ht="15.75" customHeight="1">
      <c r="A968" s="20"/>
      <c r="B968" s="23"/>
      <c r="C968" s="20"/>
      <c r="D968" s="20"/>
    </row>
    <row r="969" spans="1:4" ht="15.75" customHeight="1">
      <c r="A969" s="20"/>
      <c r="B969" s="23"/>
      <c r="C969" s="20"/>
      <c r="D969" s="20"/>
    </row>
    <row r="970" spans="1:4" ht="15.75" customHeight="1">
      <c r="A970" s="20"/>
      <c r="B970" s="23"/>
      <c r="C970" s="20"/>
      <c r="D970" s="20"/>
    </row>
    <row r="971" spans="1:4" ht="15.75" customHeight="1">
      <c r="A971" s="20"/>
      <c r="B971" s="23"/>
      <c r="C971" s="20"/>
      <c r="D971" s="20"/>
    </row>
    <row r="972" spans="1:4" ht="15.75" customHeight="1">
      <c r="A972" s="20"/>
      <c r="B972" s="23"/>
      <c r="C972" s="20"/>
      <c r="D972" s="20"/>
    </row>
    <row r="973" spans="1:4" ht="15.75" customHeight="1">
      <c r="A973" s="20"/>
      <c r="B973" s="23"/>
      <c r="C973" s="20"/>
      <c r="D973" s="20"/>
    </row>
    <row r="974" spans="1:4" ht="15.75" customHeight="1">
      <c r="A974" s="20"/>
      <c r="B974" s="23"/>
      <c r="C974" s="20"/>
      <c r="D974" s="20"/>
    </row>
    <row r="975" spans="1:4" ht="15.75" customHeight="1">
      <c r="A975" s="20"/>
      <c r="B975" s="23"/>
      <c r="C975" s="20"/>
      <c r="D975" s="20"/>
    </row>
    <row r="976" spans="1:4" ht="15.75" customHeight="1">
      <c r="A976" s="20"/>
      <c r="B976" s="23"/>
      <c r="C976" s="20"/>
      <c r="D976" s="20"/>
    </row>
    <row r="977" spans="1:4" ht="15.75" customHeight="1">
      <c r="A977" s="20"/>
      <c r="B977" s="23"/>
      <c r="C977" s="20"/>
      <c r="D977" s="20"/>
    </row>
    <row r="978" spans="1:4" ht="15.75" customHeight="1">
      <c r="A978" s="20"/>
      <c r="B978" s="23"/>
      <c r="C978" s="20"/>
      <c r="D978" s="20"/>
    </row>
    <row r="979" spans="1:4" ht="15.75" customHeight="1">
      <c r="A979" s="20"/>
      <c r="B979" s="23"/>
      <c r="C979" s="20"/>
      <c r="D979" s="20"/>
    </row>
    <row r="980" spans="1:4" ht="15.75" customHeight="1">
      <c r="A980" s="20"/>
      <c r="B980" s="23"/>
      <c r="C980" s="20"/>
      <c r="D980" s="20"/>
    </row>
    <row r="981" spans="1:4" ht="15.75" customHeight="1">
      <c r="A981" s="20"/>
      <c r="B981" s="23"/>
      <c r="C981" s="20"/>
      <c r="D981" s="20"/>
    </row>
    <row r="982" spans="1:4" ht="15.75" customHeight="1">
      <c r="A982" s="20"/>
      <c r="B982" s="23"/>
      <c r="C982" s="20"/>
      <c r="D982" s="20"/>
    </row>
    <row r="983" spans="1:4" ht="15.75" customHeight="1">
      <c r="A983" s="20"/>
      <c r="B983" s="23"/>
      <c r="C983" s="20"/>
      <c r="D983" s="20"/>
    </row>
    <row r="984" spans="1:4" ht="15.75" customHeight="1">
      <c r="A984" s="20"/>
      <c r="B984" s="23"/>
      <c r="C984" s="20"/>
      <c r="D984" s="20"/>
    </row>
    <row r="985" spans="1:4" ht="15.75" customHeight="1">
      <c r="A985" s="20"/>
      <c r="B985" s="23"/>
      <c r="C985" s="20"/>
      <c r="D985" s="20"/>
    </row>
    <row r="986" spans="1:4" ht="15.75" customHeight="1">
      <c r="A986" s="20"/>
      <c r="B986" s="23"/>
      <c r="C986" s="20"/>
      <c r="D986" s="20"/>
    </row>
    <row r="987" spans="1:4" ht="15.75" customHeight="1">
      <c r="A987" s="20"/>
      <c r="B987" s="23"/>
      <c r="C987" s="20"/>
      <c r="D987" s="20"/>
    </row>
    <row r="988" spans="1:4" ht="15.75" customHeight="1">
      <c r="A988" s="20"/>
      <c r="B988" s="23"/>
      <c r="C988" s="20"/>
      <c r="D988" s="20"/>
    </row>
    <row r="989" spans="1:4" ht="15.75" customHeight="1">
      <c r="A989" s="20"/>
      <c r="B989" s="23"/>
      <c r="C989" s="20"/>
      <c r="D989" s="20"/>
    </row>
    <row r="990" spans="1:4" ht="15.75" customHeight="1">
      <c r="A990" s="20"/>
      <c r="B990" s="23"/>
      <c r="C990" s="20"/>
      <c r="D990" s="20"/>
    </row>
    <row r="991" spans="1:4" ht="15.75" customHeight="1">
      <c r="A991" s="20"/>
      <c r="B991" s="23"/>
      <c r="C991" s="20"/>
      <c r="D991" s="20"/>
    </row>
    <row r="992" spans="1:4" ht="15.75" customHeight="1">
      <c r="A992" s="20"/>
      <c r="B992" s="23"/>
      <c r="C992" s="20"/>
      <c r="D992" s="20"/>
    </row>
    <row r="993" spans="1:4" ht="15.75" customHeight="1">
      <c r="A993" s="20"/>
      <c r="B993" s="23"/>
      <c r="C993" s="20"/>
      <c r="D993" s="20"/>
    </row>
    <row r="994" spans="1:4" ht="15.75" customHeight="1">
      <c r="A994" s="20"/>
      <c r="B994" s="23"/>
      <c r="C994" s="20"/>
      <c r="D994" s="20"/>
    </row>
    <row r="995" spans="1:4" ht="15.75" customHeight="1">
      <c r="A995" s="20"/>
      <c r="B995" s="23"/>
      <c r="C995" s="20"/>
      <c r="D995" s="20"/>
    </row>
    <row r="996" spans="1:4" ht="15.75" customHeight="1">
      <c r="A996" s="20"/>
      <c r="B996" s="23"/>
      <c r="C996" s="20"/>
      <c r="D996" s="20"/>
    </row>
    <row r="997" spans="1:4" ht="15.75" customHeight="1">
      <c r="A997" s="20"/>
      <c r="B997" s="23"/>
      <c r="C997" s="20"/>
      <c r="D997" s="20"/>
    </row>
    <row r="998" spans="1:4" ht="15.75" customHeight="1">
      <c r="A998" s="20"/>
      <c r="B998" s="23"/>
      <c r="C998" s="20"/>
      <c r="D998" s="20"/>
    </row>
    <row r="999" spans="1:4" ht="15.75" customHeight="1">
      <c r="A999" s="20"/>
      <c r="B999" s="23"/>
      <c r="C999" s="20"/>
      <c r="D999" s="20"/>
    </row>
    <row r="1000" spans="1:4" ht="15.75" customHeight="1">
      <c r="A1000" s="20"/>
      <c r="B1000" s="23"/>
      <c r="C1000" s="20"/>
      <c r="D1000" s="20"/>
    </row>
    <row r="1001" spans="1:4" ht="15.75" customHeight="1">
      <c r="A1001" s="20"/>
      <c r="B1001" s="23"/>
      <c r="C1001" s="20"/>
      <c r="D1001" s="20"/>
    </row>
  </sheetData>
  <phoneticPr fontId="9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D1001"/>
  <sheetViews>
    <sheetView topLeftCell="A310" workbookViewId="0">
      <selection activeCell="C330" sqref="C330"/>
    </sheetView>
  </sheetViews>
  <sheetFormatPr baseColWidth="10" defaultColWidth="12.6640625" defaultRowHeight="15" customHeight="1"/>
  <cols>
    <col min="1" max="2" width="12.6640625" customWidth="1"/>
    <col min="3" max="4" width="18.6640625" customWidth="1"/>
    <col min="5" max="6" width="12.6640625" customWidth="1"/>
  </cols>
  <sheetData>
    <row r="1" spans="1:4" ht="15.75" customHeight="1">
      <c r="A1" s="3" t="s">
        <v>298</v>
      </c>
      <c r="B1" s="4" t="s">
        <v>300</v>
      </c>
      <c r="C1" s="36" t="s">
        <v>380</v>
      </c>
      <c r="D1" s="36" t="s">
        <v>381</v>
      </c>
    </row>
    <row r="2" spans="1:4" ht="15.75" customHeight="1">
      <c r="A2" s="5">
        <v>10101</v>
      </c>
      <c r="B2" s="4" t="s">
        <v>2</v>
      </c>
      <c r="C2" s="18">
        <v>5417</v>
      </c>
      <c r="D2" s="18">
        <v>8078</v>
      </c>
    </row>
    <row r="3" spans="1:4" ht="15.75" customHeight="1">
      <c r="A3" s="5">
        <v>10102</v>
      </c>
      <c r="B3" s="4" t="s">
        <v>3</v>
      </c>
      <c r="C3" s="18">
        <v>208</v>
      </c>
      <c r="D3" s="18">
        <v>261</v>
      </c>
    </row>
    <row r="4" spans="1:4" ht="15.75" customHeight="1">
      <c r="A4" s="5">
        <v>10103</v>
      </c>
      <c r="B4" s="4" t="s">
        <v>4</v>
      </c>
      <c r="C4" s="18">
        <v>236</v>
      </c>
      <c r="D4" s="18">
        <v>307</v>
      </c>
    </row>
    <row r="5" spans="1:4" ht="15.75" customHeight="1">
      <c r="A5" s="5">
        <v>10201</v>
      </c>
      <c r="B5" s="4" t="s">
        <v>305</v>
      </c>
      <c r="C5" s="18">
        <v>132</v>
      </c>
      <c r="D5" s="18">
        <v>189</v>
      </c>
    </row>
    <row r="6" spans="1:4" ht="15.75" customHeight="1">
      <c r="A6" s="5">
        <v>10202</v>
      </c>
      <c r="B6" s="4" t="s">
        <v>5</v>
      </c>
      <c r="C6" s="18">
        <v>282</v>
      </c>
      <c r="D6" s="18">
        <v>469</v>
      </c>
    </row>
    <row r="7" spans="1:4" ht="15.75" customHeight="1">
      <c r="A7" s="5">
        <v>10301</v>
      </c>
      <c r="B7" s="4" t="s">
        <v>308</v>
      </c>
      <c r="C7" s="18">
        <v>169</v>
      </c>
      <c r="D7" s="18">
        <v>340</v>
      </c>
    </row>
    <row r="8" spans="1:4" ht="15.75" customHeight="1">
      <c r="A8" s="5">
        <v>10302</v>
      </c>
      <c r="B8" s="4" t="s">
        <v>6</v>
      </c>
      <c r="C8" s="18">
        <v>189</v>
      </c>
      <c r="D8" s="18">
        <v>280</v>
      </c>
    </row>
    <row r="9" spans="1:4" ht="15.75" customHeight="1">
      <c r="A9" s="5">
        <v>10303</v>
      </c>
      <c r="B9" s="4" t="s">
        <v>311</v>
      </c>
      <c r="C9" s="18">
        <v>136</v>
      </c>
      <c r="D9" s="18">
        <v>291</v>
      </c>
    </row>
    <row r="10" spans="1:4" ht="15.75" customHeight="1">
      <c r="A10" s="5">
        <v>10304</v>
      </c>
      <c r="B10" s="4" t="s">
        <v>7</v>
      </c>
      <c r="C10" s="18">
        <v>126</v>
      </c>
      <c r="D10" s="18">
        <v>194</v>
      </c>
    </row>
    <row r="11" spans="1:4" ht="15.75" customHeight="1">
      <c r="A11" s="5">
        <v>10401</v>
      </c>
      <c r="B11" s="4" t="s">
        <v>9</v>
      </c>
      <c r="C11" s="18">
        <v>145</v>
      </c>
      <c r="D11" s="18">
        <v>246</v>
      </c>
    </row>
    <row r="12" spans="1:4" ht="15.75" customHeight="1">
      <c r="A12" s="5">
        <v>10402</v>
      </c>
      <c r="B12" s="4" t="s">
        <v>8</v>
      </c>
      <c r="C12" s="18">
        <v>155</v>
      </c>
      <c r="D12" s="18">
        <v>208</v>
      </c>
    </row>
    <row r="13" spans="1:4" ht="15.75" customHeight="1">
      <c r="A13" s="5">
        <v>10403</v>
      </c>
      <c r="B13" s="4" t="s">
        <v>10</v>
      </c>
      <c r="C13" s="18">
        <v>102</v>
      </c>
      <c r="D13" s="18">
        <v>175</v>
      </c>
    </row>
    <row r="14" spans="1:4" ht="15.75" customHeight="1">
      <c r="A14" s="5">
        <v>10404</v>
      </c>
      <c r="B14" s="4" t="s">
        <v>318</v>
      </c>
      <c r="C14" s="18">
        <v>76</v>
      </c>
      <c r="D14" s="18">
        <v>75</v>
      </c>
    </row>
    <row r="15" spans="1:4" ht="15.75" customHeight="1">
      <c r="A15" s="5">
        <v>10405</v>
      </c>
      <c r="B15" s="4" t="s">
        <v>11</v>
      </c>
      <c r="C15" s="18">
        <v>49</v>
      </c>
      <c r="D15" s="18">
        <v>161</v>
      </c>
    </row>
    <row r="16" spans="1:4" ht="15.75" customHeight="1">
      <c r="A16" s="5">
        <v>10501</v>
      </c>
      <c r="B16" s="4" t="s">
        <v>12</v>
      </c>
      <c r="C16" s="18">
        <v>453</v>
      </c>
      <c r="D16" s="18">
        <v>666</v>
      </c>
    </row>
    <row r="17" spans="1:4" ht="15.75" customHeight="1">
      <c r="A17" s="5">
        <v>10502</v>
      </c>
      <c r="B17" s="4" t="s">
        <v>321</v>
      </c>
      <c r="C17" s="18">
        <v>148</v>
      </c>
      <c r="D17" s="18">
        <v>223</v>
      </c>
    </row>
    <row r="18" spans="1:4" ht="15.75" customHeight="1">
      <c r="A18" s="5">
        <v>10601</v>
      </c>
      <c r="B18" s="4" t="s">
        <v>14</v>
      </c>
      <c r="C18" s="18">
        <v>245</v>
      </c>
      <c r="D18" s="18">
        <v>278</v>
      </c>
    </row>
    <row r="19" spans="1:4" ht="15.75" customHeight="1">
      <c r="A19" s="5">
        <v>10602</v>
      </c>
      <c r="B19" s="4" t="s">
        <v>13</v>
      </c>
      <c r="C19" s="18">
        <v>180</v>
      </c>
      <c r="D19" s="18">
        <v>187</v>
      </c>
    </row>
    <row r="20" spans="1:4" ht="15.75" customHeight="1">
      <c r="A20" s="5">
        <v>10701</v>
      </c>
      <c r="B20" s="4" t="s">
        <v>15</v>
      </c>
      <c r="C20" s="18">
        <v>190</v>
      </c>
      <c r="D20" s="18">
        <v>327</v>
      </c>
    </row>
    <row r="21" spans="1:4" ht="15.75" customHeight="1">
      <c r="A21" s="5">
        <v>10702</v>
      </c>
      <c r="B21" s="4" t="s">
        <v>16</v>
      </c>
      <c r="C21" s="18">
        <v>579</v>
      </c>
      <c r="D21" s="18">
        <v>751</v>
      </c>
    </row>
    <row r="22" spans="1:4" ht="15.75" customHeight="1">
      <c r="A22" s="5">
        <v>10703</v>
      </c>
      <c r="B22" s="4" t="s">
        <v>17</v>
      </c>
      <c r="C22" s="18">
        <v>154</v>
      </c>
      <c r="D22" s="18">
        <v>339</v>
      </c>
    </row>
    <row r="23" spans="1:4" ht="15.75" customHeight="1">
      <c r="A23" s="5">
        <v>10704</v>
      </c>
      <c r="B23" s="4" t="s">
        <v>18</v>
      </c>
      <c r="C23" s="18">
        <v>224</v>
      </c>
      <c r="D23" s="18">
        <v>321</v>
      </c>
    </row>
    <row r="24" spans="1:4" ht="15.75" customHeight="1">
      <c r="A24" s="5">
        <v>10801</v>
      </c>
      <c r="B24" s="4" t="s">
        <v>19</v>
      </c>
      <c r="C24" s="18">
        <v>185</v>
      </c>
      <c r="D24" s="18">
        <v>275</v>
      </c>
    </row>
    <row r="25" spans="1:4" ht="15.75" customHeight="1">
      <c r="A25" s="5">
        <v>10901</v>
      </c>
      <c r="B25" s="4" t="s">
        <v>20</v>
      </c>
      <c r="C25" s="18">
        <v>72</v>
      </c>
      <c r="D25" s="18">
        <v>134</v>
      </c>
    </row>
    <row r="26" spans="1:4" ht="15.75" customHeight="1">
      <c r="A26" s="5">
        <v>10902</v>
      </c>
      <c r="B26" s="4" t="s">
        <v>21</v>
      </c>
      <c r="C26" s="18">
        <v>332</v>
      </c>
      <c r="D26" s="18">
        <v>390</v>
      </c>
    </row>
    <row r="27" spans="1:4" ht="15.75" customHeight="1">
      <c r="A27" s="5">
        <v>10903</v>
      </c>
      <c r="B27" s="4" t="s">
        <v>22</v>
      </c>
      <c r="C27" s="18">
        <v>81</v>
      </c>
      <c r="D27" s="18">
        <v>92</v>
      </c>
    </row>
    <row r="28" spans="1:4" ht="15.75" customHeight="1">
      <c r="A28" s="5">
        <v>11001</v>
      </c>
      <c r="B28" s="4" t="s">
        <v>326</v>
      </c>
      <c r="C28" s="18">
        <v>162</v>
      </c>
      <c r="D28" s="18">
        <v>412</v>
      </c>
    </row>
    <row r="29" spans="1:4" ht="15.75" customHeight="1">
      <c r="A29" s="5">
        <v>11002</v>
      </c>
      <c r="B29" s="4" t="s">
        <v>327</v>
      </c>
      <c r="C29" s="18">
        <v>66</v>
      </c>
      <c r="D29" s="18">
        <v>99</v>
      </c>
    </row>
    <row r="30" spans="1:4" ht="15.75" customHeight="1">
      <c r="A30" s="5">
        <v>11003</v>
      </c>
      <c r="B30" s="4" t="s">
        <v>23</v>
      </c>
      <c r="C30" s="18">
        <v>163</v>
      </c>
      <c r="D30" s="18">
        <v>179</v>
      </c>
    </row>
    <row r="31" spans="1:4" ht="15.75" customHeight="1">
      <c r="A31" s="5">
        <v>20101</v>
      </c>
      <c r="B31" s="4" t="s">
        <v>25</v>
      </c>
      <c r="C31" s="18">
        <v>16123</v>
      </c>
      <c r="D31" s="18">
        <v>16534</v>
      </c>
    </row>
    <row r="32" spans="1:4" ht="15.75" customHeight="1">
      <c r="A32" s="5">
        <v>20102</v>
      </c>
      <c r="B32" s="4" t="s">
        <v>26</v>
      </c>
      <c r="C32" s="18">
        <v>245</v>
      </c>
      <c r="D32" s="18">
        <v>673</v>
      </c>
    </row>
    <row r="33" spans="1:4" ht="15.75" customHeight="1">
      <c r="A33" s="5">
        <v>20103</v>
      </c>
      <c r="B33" s="4" t="s">
        <v>27</v>
      </c>
      <c r="C33" s="18">
        <v>292</v>
      </c>
      <c r="D33" s="18">
        <v>539</v>
      </c>
    </row>
    <row r="34" spans="1:4" ht="15.75" customHeight="1">
      <c r="A34" s="5">
        <v>20104</v>
      </c>
      <c r="B34" s="4" t="s">
        <v>28</v>
      </c>
      <c r="C34" s="18">
        <v>381</v>
      </c>
      <c r="D34" s="18">
        <v>1301</v>
      </c>
    </row>
    <row r="35" spans="1:4" ht="15.75" customHeight="1">
      <c r="A35" s="5">
        <v>20105</v>
      </c>
      <c r="B35" s="4" t="s">
        <v>29</v>
      </c>
      <c r="C35" s="18">
        <v>16493</v>
      </c>
      <c r="D35" s="18">
        <v>25547</v>
      </c>
    </row>
    <row r="36" spans="1:4" ht="15.75" customHeight="1">
      <c r="A36" s="5">
        <v>20201</v>
      </c>
      <c r="B36" s="4" t="s">
        <v>30</v>
      </c>
      <c r="C36" s="18">
        <v>706</v>
      </c>
      <c r="D36" s="18">
        <v>1188</v>
      </c>
    </row>
    <row r="37" spans="1:4" ht="15.75" customHeight="1">
      <c r="A37" s="5">
        <v>20202</v>
      </c>
      <c r="B37" s="4" t="s">
        <v>328</v>
      </c>
      <c r="C37" s="18">
        <v>154</v>
      </c>
      <c r="D37" s="18">
        <v>431</v>
      </c>
    </row>
    <row r="38" spans="1:4" ht="15.75" customHeight="1">
      <c r="A38" s="5">
        <v>20203</v>
      </c>
      <c r="B38" s="4" t="s">
        <v>34</v>
      </c>
      <c r="C38" s="18">
        <v>52</v>
      </c>
      <c r="D38" s="18">
        <v>168</v>
      </c>
    </row>
    <row r="39" spans="1:4" ht="15.75" customHeight="1">
      <c r="A39" s="5">
        <v>20204</v>
      </c>
      <c r="B39" s="4" t="s">
        <v>31</v>
      </c>
      <c r="C39" s="18">
        <v>92</v>
      </c>
      <c r="D39" s="18">
        <v>201</v>
      </c>
    </row>
    <row r="40" spans="1:4" ht="15.75" customHeight="1">
      <c r="A40" s="5">
        <v>20205</v>
      </c>
      <c r="B40" s="4" t="s">
        <v>32</v>
      </c>
      <c r="C40" s="18">
        <v>142</v>
      </c>
      <c r="D40" s="18">
        <v>183</v>
      </c>
    </row>
    <row r="41" spans="1:4" ht="15.75" customHeight="1">
      <c r="A41" s="5">
        <v>20206</v>
      </c>
      <c r="B41" s="4" t="s">
        <v>33</v>
      </c>
      <c r="C41" s="18">
        <v>64</v>
      </c>
      <c r="D41" s="18">
        <v>105</v>
      </c>
    </row>
    <row r="42" spans="1:4" ht="15.75" customHeight="1">
      <c r="A42" s="5">
        <v>20301</v>
      </c>
      <c r="B42" s="4" t="s">
        <v>329</v>
      </c>
      <c r="C42" s="18">
        <v>137</v>
      </c>
      <c r="D42" s="18">
        <v>338</v>
      </c>
    </row>
    <row r="43" spans="1:4" ht="15.75" customHeight="1">
      <c r="A43" s="5">
        <v>20302</v>
      </c>
      <c r="B43" s="4" t="s">
        <v>35</v>
      </c>
      <c r="C43" s="18">
        <v>204</v>
      </c>
      <c r="D43" s="18">
        <v>410</v>
      </c>
    </row>
    <row r="44" spans="1:4" ht="15.75" customHeight="1">
      <c r="A44" s="5">
        <v>20303</v>
      </c>
      <c r="B44" s="4" t="s">
        <v>36</v>
      </c>
      <c r="C44" s="18">
        <v>138</v>
      </c>
      <c r="D44" s="18">
        <v>288</v>
      </c>
    </row>
    <row r="45" spans="1:4" ht="15.75" customHeight="1">
      <c r="A45" s="5">
        <v>20304</v>
      </c>
      <c r="B45" s="4" t="s">
        <v>37</v>
      </c>
      <c r="C45" s="18">
        <v>54</v>
      </c>
      <c r="D45" s="18">
        <v>136</v>
      </c>
    </row>
    <row r="46" spans="1:4" ht="15.75" customHeight="1">
      <c r="A46" s="5">
        <v>20305</v>
      </c>
      <c r="B46" s="4" t="s">
        <v>38</v>
      </c>
      <c r="C46" s="18">
        <v>42</v>
      </c>
      <c r="D46" s="18">
        <v>93</v>
      </c>
    </row>
    <row r="47" spans="1:4" ht="15.75" customHeight="1">
      <c r="A47" s="5">
        <v>20306</v>
      </c>
      <c r="B47" s="4" t="s">
        <v>330</v>
      </c>
      <c r="C47" s="18">
        <v>94</v>
      </c>
      <c r="D47" s="18">
        <v>122</v>
      </c>
    </row>
    <row r="48" spans="1:4" ht="15.75" customHeight="1">
      <c r="A48" s="5">
        <v>20307</v>
      </c>
      <c r="B48" s="4" t="s">
        <v>39</v>
      </c>
      <c r="C48" s="18">
        <v>4</v>
      </c>
      <c r="D48" s="18">
        <v>113</v>
      </c>
    </row>
    <row r="49" spans="1:4" ht="15.75" customHeight="1">
      <c r="A49" s="5">
        <v>20308</v>
      </c>
      <c r="B49" s="4" t="s">
        <v>40</v>
      </c>
      <c r="C49" s="18">
        <v>85</v>
      </c>
      <c r="D49" s="18">
        <v>173</v>
      </c>
    </row>
    <row r="50" spans="1:4" ht="15.75" customHeight="1">
      <c r="A50" s="5">
        <v>20401</v>
      </c>
      <c r="B50" s="4" t="s">
        <v>41</v>
      </c>
      <c r="C50" s="18">
        <v>144</v>
      </c>
      <c r="D50" s="18">
        <v>298</v>
      </c>
    </row>
    <row r="51" spans="1:4" ht="15.75" customHeight="1">
      <c r="A51" s="5">
        <v>20402</v>
      </c>
      <c r="B51" s="4" t="s">
        <v>42</v>
      </c>
      <c r="C51" s="18">
        <v>191</v>
      </c>
      <c r="D51" s="18">
        <v>404</v>
      </c>
    </row>
    <row r="52" spans="1:4" ht="15.75" customHeight="1">
      <c r="A52" s="5">
        <v>20403</v>
      </c>
      <c r="B52" s="4" t="s">
        <v>43</v>
      </c>
      <c r="C52" s="18">
        <v>213</v>
      </c>
      <c r="D52" s="18">
        <v>357</v>
      </c>
    </row>
    <row r="53" spans="1:4" ht="15.75" customHeight="1">
      <c r="A53" s="5">
        <v>20404</v>
      </c>
      <c r="B53" s="4" t="s">
        <v>44</v>
      </c>
      <c r="C53" s="18">
        <v>42</v>
      </c>
      <c r="D53" s="18">
        <v>116</v>
      </c>
    </row>
    <row r="54" spans="1:4" ht="15.75" customHeight="1">
      <c r="A54" s="5">
        <v>20405</v>
      </c>
      <c r="B54" s="4" t="s">
        <v>45</v>
      </c>
      <c r="C54" s="18">
        <v>107</v>
      </c>
      <c r="D54" s="18">
        <v>170</v>
      </c>
    </row>
    <row r="55" spans="1:4" ht="15.75" customHeight="1">
      <c r="A55" s="5">
        <v>20501</v>
      </c>
      <c r="B55" s="4" t="s">
        <v>46</v>
      </c>
      <c r="C55" s="18">
        <v>164</v>
      </c>
      <c r="D55" s="18">
        <v>393</v>
      </c>
    </row>
    <row r="56" spans="1:4" ht="15.75" customHeight="1">
      <c r="A56" s="5">
        <v>20502</v>
      </c>
      <c r="B56" s="4" t="s">
        <v>47</v>
      </c>
      <c r="C56" s="18">
        <v>103</v>
      </c>
      <c r="D56" s="18">
        <v>205</v>
      </c>
    </row>
    <row r="57" spans="1:4" ht="15.75" customHeight="1">
      <c r="A57" s="5">
        <v>20503</v>
      </c>
      <c r="B57" s="4" t="s">
        <v>48</v>
      </c>
      <c r="C57" s="18">
        <v>47</v>
      </c>
      <c r="D57" s="18">
        <v>169</v>
      </c>
    </row>
    <row r="58" spans="1:4" ht="15.75" customHeight="1">
      <c r="A58" s="5">
        <v>20601</v>
      </c>
      <c r="B58" s="4" t="s">
        <v>49</v>
      </c>
      <c r="C58" s="18">
        <v>277</v>
      </c>
      <c r="D58" s="18">
        <v>852</v>
      </c>
    </row>
    <row r="59" spans="1:4" ht="15.75" customHeight="1">
      <c r="A59" s="5">
        <v>20602</v>
      </c>
      <c r="B59" s="4" t="s">
        <v>50</v>
      </c>
      <c r="C59" s="18">
        <v>200</v>
      </c>
      <c r="D59" s="18">
        <v>484</v>
      </c>
    </row>
    <row r="60" spans="1:4" ht="15.75" customHeight="1">
      <c r="A60" s="5">
        <v>20603</v>
      </c>
      <c r="B60" s="4" t="s">
        <v>51</v>
      </c>
      <c r="C60" s="18">
        <v>133</v>
      </c>
      <c r="D60" s="18">
        <v>289</v>
      </c>
    </row>
    <row r="61" spans="1:4" ht="15.75" customHeight="1">
      <c r="A61" s="5">
        <v>20604</v>
      </c>
      <c r="B61" s="4" t="s">
        <v>52</v>
      </c>
      <c r="C61" s="18">
        <v>41</v>
      </c>
      <c r="D61" s="18">
        <v>127</v>
      </c>
    </row>
    <row r="62" spans="1:4" ht="15.75" customHeight="1">
      <c r="A62" s="5">
        <v>20605</v>
      </c>
      <c r="B62" s="4" t="s">
        <v>53</v>
      </c>
      <c r="C62" s="18">
        <v>31</v>
      </c>
      <c r="D62" s="18">
        <v>80</v>
      </c>
    </row>
    <row r="63" spans="1:4" ht="15.75" customHeight="1">
      <c r="A63" s="5">
        <v>20606</v>
      </c>
      <c r="B63" s="4" t="s">
        <v>54</v>
      </c>
      <c r="C63" s="18">
        <v>220</v>
      </c>
      <c r="D63" s="18">
        <v>229</v>
      </c>
    </row>
    <row r="64" spans="1:4" ht="15.75" customHeight="1">
      <c r="A64" s="5">
        <v>20607</v>
      </c>
      <c r="B64" s="4" t="s">
        <v>55</v>
      </c>
      <c r="C64" s="18">
        <v>279</v>
      </c>
      <c r="D64" s="18">
        <v>666</v>
      </c>
    </row>
    <row r="65" spans="1:4" ht="15.75" customHeight="1">
      <c r="A65" s="5">
        <v>20608</v>
      </c>
      <c r="B65" s="4" t="s">
        <v>56</v>
      </c>
      <c r="C65" s="18">
        <v>149</v>
      </c>
      <c r="D65" s="18">
        <v>364</v>
      </c>
    </row>
    <row r="66" spans="1:4" ht="15.75" customHeight="1">
      <c r="A66" s="5">
        <v>20701</v>
      </c>
      <c r="B66" s="4" t="s">
        <v>57</v>
      </c>
      <c r="C66" s="18">
        <v>337</v>
      </c>
      <c r="D66" s="18">
        <v>509</v>
      </c>
    </row>
    <row r="67" spans="1:4" ht="15.75" customHeight="1">
      <c r="A67" s="5">
        <v>20702</v>
      </c>
      <c r="B67" s="4" t="s">
        <v>58</v>
      </c>
      <c r="C67" s="18">
        <v>75</v>
      </c>
      <c r="D67" s="18">
        <v>244</v>
      </c>
    </row>
    <row r="68" spans="1:4" ht="15.75" customHeight="1">
      <c r="A68" s="5">
        <v>20801</v>
      </c>
      <c r="B68" s="4" t="s">
        <v>60</v>
      </c>
      <c r="C68" s="18">
        <v>1415</v>
      </c>
      <c r="D68" s="18">
        <v>2923</v>
      </c>
    </row>
    <row r="69" spans="1:4" ht="15.75" customHeight="1">
      <c r="A69" s="5">
        <v>20802</v>
      </c>
      <c r="B69" s="4" t="s">
        <v>331</v>
      </c>
      <c r="C69" s="18">
        <v>100</v>
      </c>
      <c r="D69" s="18">
        <v>179</v>
      </c>
    </row>
    <row r="70" spans="1:4" ht="15.75" customHeight="1">
      <c r="A70" s="5">
        <v>20803</v>
      </c>
      <c r="B70" s="4" t="s">
        <v>61</v>
      </c>
      <c r="C70" s="18">
        <v>131</v>
      </c>
      <c r="D70" s="18">
        <v>329</v>
      </c>
    </row>
    <row r="71" spans="1:4" ht="15.75" customHeight="1">
      <c r="A71" s="5">
        <v>20804</v>
      </c>
      <c r="B71" s="4" t="s">
        <v>62</v>
      </c>
      <c r="C71" s="18">
        <v>139</v>
      </c>
      <c r="D71" s="18">
        <v>196</v>
      </c>
    </row>
    <row r="72" spans="1:4" ht="15.75" customHeight="1">
      <c r="A72" s="5">
        <v>20805</v>
      </c>
      <c r="B72" s="4" t="s">
        <v>332</v>
      </c>
      <c r="C72" s="18">
        <v>47</v>
      </c>
      <c r="D72" s="18">
        <v>219</v>
      </c>
    </row>
    <row r="73" spans="1:4" ht="15.75" customHeight="1">
      <c r="A73" s="5">
        <v>20806</v>
      </c>
      <c r="B73" s="4" t="s">
        <v>333</v>
      </c>
      <c r="C73" s="18">
        <v>232</v>
      </c>
      <c r="D73" s="18">
        <v>441</v>
      </c>
    </row>
    <row r="74" spans="1:4" ht="15.75" customHeight="1">
      <c r="A74" s="5">
        <v>20807</v>
      </c>
      <c r="B74" s="4" t="s">
        <v>63</v>
      </c>
      <c r="C74" s="18">
        <v>70</v>
      </c>
      <c r="D74" s="18">
        <v>189</v>
      </c>
    </row>
    <row r="75" spans="1:4" ht="15.75" customHeight="1">
      <c r="A75" s="5">
        <v>20901</v>
      </c>
      <c r="B75" s="4" t="s">
        <v>64</v>
      </c>
      <c r="C75" s="18">
        <v>156</v>
      </c>
      <c r="D75" s="18">
        <v>252</v>
      </c>
    </row>
    <row r="76" spans="1:4" ht="15.75" customHeight="1">
      <c r="A76" s="5">
        <v>20902</v>
      </c>
      <c r="B76" s="4" t="s">
        <v>65</v>
      </c>
      <c r="C76" s="18">
        <v>169</v>
      </c>
      <c r="D76" s="18">
        <v>417</v>
      </c>
    </row>
    <row r="77" spans="1:4" ht="15.75" customHeight="1">
      <c r="A77" s="5">
        <v>20903</v>
      </c>
      <c r="B77" s="4" t="s">
        <v>66</v>
      </c>
      <c r="C77" s="18">
        <v>94</v>
      </c>
      <c r="D77" s="18">
        <v>291</v>
      </c>
    </row>
    <row r="78" spans="1:4" ht="15.75" customHeight="1">
      <c r="A78" s="5">
        <v>20904</v>
      </c>
      <c r="B78" s="4" t="s">
        <v>67</v>
      </c>
      <c r="C78" s="18">
        <v>77</v>
      </c>
      <c r="D78" s="18">
        <v>153</v>
      </c>
    </row>
    <row r="79" spans="1:4" ht="15.75" customHeight="1">
      <c r="A79" s="5">
        <v>20905</v>
      </c>
      <c r="B79" s="4" t="s">
        <v>68</v>
      </c>
      <c r="C79" s="18">
        <v>189</v>
      </c>
      <c r="D79" s="18">
        <v>389</v>
      </c>
    </row>
    <row r="80" spans="1:4" ht="15.75" customHeight="1">
      <c r="A80" s="5">
        <v>21001</v>
      </c>
      <c r="B80" s="4" t="s">
        <v>69</v>
      </c>
      <c r="C80" s="18">
        <v>193</v>
      </c>
      <c r="D80" s="18">
        <v>519</v>
      </c>
    </row>
    <row r="81" spans="1:4" ht="15.75" customHeight="1">
      <c r="A81" s="5">
        <v>21002</v>
      </c>
      <c r="B81" s="4" t="s">
        <v>70</v>
      </c>
      <c r="C81" s="18">
        <v>97</v>
      </c>
      <c r="D81" s="18">
        <v>299</v>
      </c>
    </row>
    <row r="82" spans="1:4" ht="15.75" customHeight="1">
      <c r="A82" s="5">
        <v>21003</v>
      </c>
      <c r="B82" s="4" t="s">
        <v>71</v>
      </c>
      <c r="C82" s="18">
        <v>148</v>
      </c>
      <c r="D82" s="18">
        <v>437</v>
      </c>
    </row>
    <row r="83" spans="1:4" ht="15.75" customHeight="1">
      <c r="A83" s="5">
        <v>21004</v>
      </c>
      <c r="B83" s="4" t="s">
        <v>72</v>
      </c>
      <c r="C83" s="18">
        <v>277</v>
      </c>
      <c r="D83" s="18">
        <v>739</v>
      </c>
    </row>
    <row r="84" spans="1:4" ht="15.75" customHeight="1">
      <c r="A84" s="5">
        <v>21005</v>
      </c>
      <c r="B84" s="4" t="s">
        <v>73</v>
      </c>
      <c r="C84" s="18">
        <v>103</v>
      </c>
      <c r="D84" s="18">
        <v>225</v>
      </c>
    </row>
    <row r="85" spans="1:4" ht="15.75" customHeight="1">
      <c r="A85" s="5">
        <v>21006</v>
      </c>
      <c r="B85" s="4" t="s">
        <v>74</v>
      </c>
      <c r="C85" s="18">
        <v>62</v>
      </c>
      <c r="D85" s="18">
        <v>266</v>
      </c>
    </row>
    <row r="86" spans="1:4" ht="15.75" customHeight="1">
      <c r="A86" s="5">
        <v>21101</v>
      </c>
      <c r="B86" s="4" t="s">
        <v>75</v>
      </c>
      <c r="C86" s="18">
        <v>330</v>
      </c>
      <c r="D86" s="18">
        <v>553</v>
      </c>
    </row>
    <row r="87" spans="1:4" ht="15.75" customHeight="1">
      <c r="A87" s="5">
        <v>21102</v>
      </c>
      <c r="B87" s="4" t="s">
        <v>76</v>
      </c>
      <c r="C87" s="18">
        <v>275</v>
      </c>
      <c r="D87" s="18">
        <v>631</v>
      </c>
    </row>
    <row r="88" spans="1:4" ht="15.75" customHeight="1">
      <c r="A88" s="5">
        <v>21103</v>
      </c>
      <c r="B88" s="4" t="s">
        <v>77</v>
      </c>
      <c r="C88" s="18">
        <v>121</v>
      </c>
      <c r="D88" s="18">
        <v>203</v>
      </c>
    </row>
    <row r="89" spans="1:4" ht="15.75" customHeight="1">
      <c r="A89" s="5">
        <v>21104</v>
      </c>
      <c r="B89" s="4" t="s">
        <v>78</v>
      </c>
      <c r="C89" s="18">
        <v>372</v>
      </c>
      <c r="D89" s="18">
        <v>700</v>
      </c>
    </row>
    <row r="90" spans="1:4" ht="15.75" customHeight="1">
      <c r="A90" s="5">
        <v>21105</v>
      </c>
      <c r="B90" s="4" t="s">
        <v>79</v>
      </c>
      <c r="C90" s="18">
        <v>659</v>
      </c>
      <c r="D90" s="18">
        <v>1077</v>
      </c>
    </row>
    <row r="91" spans="1:4" ht="15.75" customHeight="1">
      <c r="A91" s="5">
        <v>21201</v>
      </c>
      <c r="B91" s="4" t="s">
        <v>80</v>
      </c>
      <c r="C91" s="18">
        <v>407</v>
      </c>
      <c r="D91" s="18">
        <v>1487</v>
      </c>
    </row>
    <row r="92" spans="1:4" ht="15.75" customHeight="1">
      <c r="A92" s="5">
        <v>21202</v>
      </c>
      <c r="B92" s="4" t="s">
        <v>81</v>
      </c>
      <c r="C92" s="18">
        <v>322</v>
      </c>
      <c r="D92" s="18">
        <v>1050</v>
      </c>
    </row>
    <row r="93" spans="1:4" ht="15.75" customHeight="1">
      <c r="A93" s="5">
        <v>21203</v>
      </c>
      <c r="B93" s="4" t="s">
        <v>82</v>
      </c>
      <c r="C93" s="18">
        <v>230</v>
      </c>
      <c r="D93" s="18">
        <v>547</v>
      </c>
    </row>
    <row r="94" spans="1:4" ht="15.75" customHeight="1">
      <c r="A94" s="5">
        <v>21204</v>
      </c>
      <c r="B94" s="4" t="s">
        <v>83</v>
      </c>
      <c r="C94" s="18">
        <v>78</v>
      </c>
      <c r="D94" s="18">
        <v>173</v>
      </c>
    </row>
    <row r="95" spans="1:4" ht="15.75" customHeight="1">
      <c r="A95" s="5">
        <v>21301</v>
      </c>
      <c r="B95" s="4" t="s">
        <v>334</v>
      </c>
      <c r="C95" s="18">
        <v>432</v>
      </c>
      <c r="D95" s="18">
        <v>979</v>
      </c>
    </row>
    <row r="96" spans="1:4" ht="15.75" customHeight="1">
      <c r="A96" s="5">
        <v>21302</v>
      </c>
      <c r="B96" s="4" t="s">
        <v>84</v>
      </c>
      <c r="C96" s="18">
        <v>120</v>
      </c>
      <c r="D96" s="18">
        <v>197</v>
      </c>
    </row>
    <row r="97" spans="1:4" ht="15.75" customHeight="1">
      <c r="A97" s="5">
        <v>21303</v>
      </c>
      <c r="B97" s="4" t="s">
        <v>85</v>
      </c>
      <c r="C97" s="18">
        <v>88</v>
      </c>
      <c r="D97" s="18">
        <v>275</v>
      </c>
    </row>
    <row r="98" spans="1:4" ht="15.75" customHeight="1">
      <c r="A98" s="5">
        <v>21304</v>
      </c>
      <c r="B98" s="4" t="s">
        <v>86</v>
      </c>
      <c r="C98" s="18">
        <v>163</v>
      </c>
      <c r="D98" s="18">
        <v>416</v>
      </c>
    </row>
    <row r="99" spans="1:4" ht="15.75" customHeight="1">
      <c r="A99" s="5">
        <v>21305</v>
      </c>
      <c r="B99" s="4" t="s">
        <v>87</v>
      </c>
      <c r="C99" s="18">
        <v>351</v>
      </c>
      <c r="D99" s="18">
        <v>671</v>
      </c>
    </row>
    <row r="100" spans="1:4" ht="15.75" customHeight="1">
      <c r="A100" s="5">
        <v>21306</v>
      </c>
      <c r="B100" s="4" t="s">
        <v>88</v>
      </c>
      <c r="C100" s="18">
        <v>125</v>
      </c>
      <c r="D100" s="18">
        <v>311</v>
      </c>
    </row>
    <row r="101" spans="1:4" ht="15.75" customHeight="1">
      <c r="A101" s="5">
        <v>21307</v>
      </c>
      <c r="B101" s="4" t="s">
        <v>89</v>
      </c>
      <c r="C101" s="18">
        <v>76</v>
      </c>
      <c r="D101" s="18">
        <v>121</v>
      </c>
    </row>
    <row r="102" spans="1:4" ht="15.75" customHeight="1">
      <c r="A102" s="5">
        <v>21401</v>
      </c>
      <c r="B102" s="4" t="s">
        <v>90</v>
      </c>
      <c r="C102" s="18">
        <v>297</v>
      </c>
      <c r="D102" s="18">
        <v>684</v>
      </c>
    </row>
    <row r="103" spans="1:4" ht="15.75" customHeight="1">
      <c r="A103" s="5">
        <v>21402</v>
      </c>
      <c r="B103" s="4" t="s">
        <v>91</v>
      </c>
      <c r="C103" s="18">
        <v>246</v>
      </c>
      <c r="D103" s="18">
        <v>602</v>
      </c>
    </row>
    <row r="104" spans="1:4" ht="15.75" customHeight="1">
      <c r="A104" s="5">
        <v>21501</v>
      </c>
      <c r="B104" s="4" t="s">
        <v>92</v>
      </c>
      <c r="C104" s="18">
        <v>197</v>
      </c>
      <c r="D104" s="18">
        <v>339</v>
      </c>
    </row>
    <row r="105" spans="1:4" ht="15.75" customHeight="1">
      <c r="A105" s="5">
        <v>21502</v>
      </c>
      <c r="B105" s="4" t="s">
        <v>93</v>
      </c>
      <c r="C105" s="18">
        <v>168</v>
      </c>
      <c r="D105" s="18">
        <v>352</v>
      </c>
    </row>
    <row r="106" spans="1:4" ht="15.75" customHeight="1">
      <c r="A106" s="5">
        <v>21601</v>
      </c>
      <c r="B106" s="4" t="s">
        <v>335</v>
      </c>
      <c r="C106" s="18">
        <v>170</v>
      </c>
      <c r="D106" s="18">
        <v>463</v>
      </c>
    </row>
    <row r="107" spans="1:4" ht="15.75" customHeight="1">
      <c r="A107" s="5">
        <v>21602</v>
      </c>
      <c r="B107" s="4" t="s">
        <v>94</v>
      </c>
      <c r="C107" s="18">
        <v>48</v>
      </c>
      <c r="D107" s="18">
        <v>206</v>
      </c>
    </row>
    <row r="108" spans="1:4" ht="15.75" customHeight="1">
      <c r="A108" s="5">
        <v>21701</v>
      </c>
      <c r="B108" s="4" t="s">
        <v>95</v>
      </c>
      <c r="C108" s="18">
        <v>236</v>
      </c>
      <c r="D108" s="18">
        <v>357</v>
      </c>
    </row>
    <row r="109" spans="1:4" ht="15.75" customHeight="1">
      <c r="A109" s="5">
        <v>21702</v>
      </c>
      <c r="B109" s="4" t="s">
        <v>96</v>
      </c>
      <c r="C109" s="18">
        <v>76</v>
      </c>
      <c r="D109" s="18">
        <v>214</v>
      </c>
    </row>
    <row r="110" spans="1:4" ht="15.75" customHeight="1">
      <c r="A110" s="5">
        <v>21703</v>
      </c>
      <c r="B110" s="4" t="s">
        <v>97</v>
      </c>
      <c r="C110" s="18">
        <v>73</v>
      </c>
      <c r="D110" s="18">
        <v>110</v>
      </c>
    </row>
    <row r="111" spans="1:4" ht="15.75" customHeight="1">
      <c r="A111" s="5">
        <v>21801</v>
      </c>
      <c r="B111" s="4" t="s">
        <v>98</v>
      </c>
      <c r="C111" s="18">
        <v>118</v>
      </c>
      <c r="D111" s="18">
        <v>217</v>
      </c>
    </row>
    <row r="112" spans="1:4" ht="15.75" customHeight="1">
      <c r="A112" s="5">
        <v>21802</v>
      </c>
      <c r="B112" s="4" t="s">
        <v>99</v>
      </c>
      <c r="C112" s="18">
        <v>134</v>
      </c>
      <c r="D112" s="18">
        <v>155</v>
      </c>
    </row>
    <row r="113" spans="1:4" ht="15.75" customHeight="1">
      <c r="A113" s="5">
        <v>21803</v>
      </c>
      <c r="B113" s="4" t="s">
        <v>100</v>
      </c>
      <c r="C113" s="18">
        <v>19</v>
      </c>
      <c r="D113" s="18">
        <v>53</v>
      </c>
    </row>
    <row r="114" spans="1:4" ht="15.75" customHeight="1">
      <c r="A114" s="5">
        <v>21901</v>
      </c>
      <c r="B114" s="4" t="s">
        <v>101</v>
      </c>
      <c r="C114" s="18">
        <v>51</v>
      </c>
      <c r="D114" s="18">
        <v>161</v>
      </c>
    </row>
    <row r="115" spans="1:4" ht="15.75" customHeight="1">
      <c r="A115" s="5">
        <v>21902</v>
      </c>
      <c r="B115" s="4" t="s">
        <v>102</v>
      </c>
      <c r="C115" s="18">
        <v>47</v>
      </c>
      <c r="D115" s="18">
        <v>173</v>
      </c>
    </row>
    <row r="116" spans="1:4" ht="15.75" customHeight="1">
      <c r="A116" s="5">
        <v>22001</v>
      </c>
      <c r="B116" s="4" t="s">
        <v>103</v>
      </c>
      <c r="C116" s="18">
        <v>763</v>
      </c>
      <c r="D116" s="18">
        <v>1418</v>
      </c>
    </row>
    <row r="117" spans="1:4" ht="15.75" customHeight="1">
      <c r="A117" s="5">
        <v>22002</v>
      </c>
      <c r="B117" s="4" t="s">
        <v>104</v>
      </c>
      <c r="C117" s="18">
        <v>128</v>
      </c>
      <c r="D117" s="18">
        <v>306</v>
      </c>
    </row>
    <row r="118" spans="1:4" ht="15.75" customHeight="1">
      <c r="A118" s="5">
        <v>30101</v>
      </c>
      <c r="B118" s="4" t="s">
        <v>105</v>
      </c>
      <c r="C118" s="18">
        <v>13165</v>
      </c>
      <c r="D118" s="18">
        <v>16895</v>
      </c>
    </row>
    <row r="119" spans="1:4" ht="15.75" customHeight="1">
      <c r="A119" s="5">
        <v>30201</v>
      </c>
      <c r="B119" s="4" t="s">
        <v>106</v>
      </c>
      <c r="C119" s="18">
        <v>483</v>
      </c>
      <c r="D119" s="18">
        <v>674</v>
      </c>
    </row>
    <row r="120" spans="1:4" ht="15.75" customHeight="1">
      <c r="A120" s="5">
        <v>30202</v>
      </c>
      <c r="B120" s="4" t="s">
        <v>107</v>
      </c>
      <c r="C120" s="18">
        <v>137</v>
      </c>
      <c r="D120" s="18">
        <v>175</v>
      </c>
    </row>
    <row r="121" spans="1:4" ht="15.75" customHeight="1">
      <c r="A121" s="5">
        <v>30203</v>
      </c>
      <c r="B121" s="4" t="s">
        <v>108</v>
      </c>
      <c r="C121" s="18">
        <v>104</v>
      </c>
      <c r="D121" s="18">
        <v>200</v>
      </c>
    </row>
    <row r="122" spans="1:4" ht="15.75" customHeight="1">
      <c r="A122" s="5">
        <v>30301</v>
      </c>
      <c r="B122" s="4" t="s">
        <v>336</v>
      </c>
      <c r="C122" s="18">
        <v>488</v>
      </c>
      <c r="D122" s="18">
        <v>617</v>
      </c>
    </row>
    <row r="123" spans="1:4" ht="15.75" customHeight="1">
      <c r="A123" s="5">
        <v>30302</v>
      </c>
      <c r="B123" s="4" t="s">
        <v>109</v>
      </c>
      <c r="C123" s="18">
        <v>211</v>
      </c>
      <c r="D123" s="18">
        <v>348</v>
      </c>
    </row>
    <row r="124" spans="1:4" ht="15.75" customHeight="1">
      <c r="A124" s="5">
        <v>30303</v>
      </c>
      <c r="B124" s="4" t="s">
        <v>110</v>
      </c>
      <c r="C124" s="18">
        <v>150</v>
      </c>
      <c r="D124" s="18">
        <v>470</v>
      </c>
    </row>
    <row r="125" spans="1:4" ht="15.75" customHeight="1">
      <c r="A125" s="5">
        <v>30401</v>
      </c>
      <c r="B125" s="4" t="s">
        <v>111</v>
      </c>
      <c r="C125" s="18">
        <v>155</v>
      </c>
      <c r="D125" s="18">
        <v>323</v>
      </c>
    </row>
    <row r="126" spans="1:4" ht="15.75" customHeight="1">
      <c r="A126" s="5">
        <v>30402</v>
      </c>
      <c r="B126" s="4" t="s">
        <v>112</v>
      </c>
      <c r="C126" s="18">
        <v>124</v>
      </c>
      <c r="D126" s="18">
        <v>185</v>
      </c>
    </row>
    <row r="127" spans="1:4" ht="15.75" customHeight="1">
      <c r="A127" s="5">
        <v>30403</v>
      </c>
      <c r="B127" s="4" t="s">
        <v>113</v>
      </c>
      <c r="C127" s="18">
        <v>332</v>
      </c>
      <c r="D127" s="18">
        <v>963</v>
      </c>
    </row>
    <row r="128" spans="1:4" ht="15.75" customHeight="1">
      <c r="A128" s="5">
        <v>30404</v>
      </c>
      <c r="B128" s="4" t="s">
        <v>114</v>
      </c>
      <c r="C128" s="18">
        <v>99</v>
      </c>
      <c r="D128" s="18">
        <v>118</v>
      </c>
    </row>
    <row r="129" spans="1:4" ht="15.75" customHeight="1">
      <c r="A129" s="5">
        <v>30501</v>
      </c>
      <c r="B129" s="4" t="s">
        <v>115</v>
      </c>
      <c r="C129" s="18">
        <v>157</v>
      </c>
      <c r="D129" s="18">
        <v>309</v>
      </c>
    </row>
    <row r="130" spans="1:4" ht="15.75" customHeight="1">
      <c r="A130" s="5">
        <v>30502</v>
      </c>
      <c r="B130" s="4" t="s">
        <v>116</v>
      </c>
      <c r="C130" s="18">
        <v>134</v>
      </c>
      <c r="D130" s="18">
        <v>188</v>
      </c>
    </row>
    <row r="131" spans="1:4" ht="15.75" customHeight="1">
      <c r="A131" s="5">
        <v>30601</v>
      </c>
      <c r="B131" s="4" t="s">
        <v>117</v>
      </c>
      <c r="C131" s="18">
        <v>116</v>
      </c>
      <c r="D131" s="18">
        <v>293</v>
      </c>
    </row>
    <row r="132" spans="1:4" ht="15.75" customHeight="1">
      <c r="A132" s="5">
        <v>30602</v>
      </c>
      <c r="B132" s="4" t="s">
        <v>118</v>
      </c>
      <c r="C132" s="18">
        <v>168</v>
      </c>
      <c r="D132" s="18">
        <v>219</v>
      </c>
    </row>
    <row r="133" spans="1:4" ht="15.75" customHeight="1">
      <c r="A133" s="5">
        <v>30701</v>
      </c>
      <c r="B133" s="4" t="s">
        <v>119</v>
      </c>
      <c r="C133" s="18">
        <v>413</v>
      </c>
      <c r="D133" s="18">
        <v>608</v>
      </c>
    </row>
    <row r="134" spans="1:4" ht="15.75" customHeight="1">
      <c r="A134" s="5">
        <v>30702</v>
      </c>
      <c r="B134" s="4" t="s">
        <v>337</v>
      </c>
      <c r="C134" s="18">
        <v>97</v>
      </c>
      <c r="D134" s="18">
        <v>251</v>
      </c>
    </row>
    <row r="135" spans="1:4" ht="15.75" customHeight="1">
      <c r="A135" s="5">
        <v>30703</v>
      </c>
      <c r="B135" s="4" t="s">
        <v>120</v>
      </c>
      <c r="C135" s="18">
        <v>92</v>
      </c>
      <c r="D135" s="18">
        <v>125</v>
      </c>
    </row>
    <row r="136" spans="1:4" ht="15.75" customHeight="1">
      <c r="A136" s="5">
        <v>30801</v>
      </c>
      <c r="B136" s="4" t="s">
        <v>121</v>
      </c>
      <c r="C136" s="18">
        <v>390</v>
      </c>
      <c r="D136" s="18">
        <v>534</v>
      </c>
    </row>
    <row r="137" spans="1:4" ht="15.75" customHeight="1">
      <c r="A137" s="5">
        <v>30802</v>
      </c>
      <c r="B137" s="4" t="s">
        <v>122</v>
      </c>
      <c r="C137" s="18">
        <v>89</v>
      </c>
      <c r="D137" s="18">
        <v>201</v>
      </c>
    </row>
    <row r="138" spans="1:4" ht="15.75" customHeight="1">
      <c r="A138" s="5">
        <v>30803</v>
      </c>
      <c r="B138" s="4" t="s">
        <v>123</v>
      </c>
      <c r="C138" s="18">
        <v>116</v>
      </c>
      <c r="D138" s="18">
        <v>226</v>
      </c>
    </row>
    <row r="139" spans="1:4" ht="15.75" customHeight="1">
      <c r="A139" s="5">
        <v>30901</v>
      </c>
      <c r="B139" s="4" t="s">
        <v>124</v>
      </c>
      <c r="C139" s="18">
        <v>2896</v>
      </c>
      <c r="D139" s="18">
        <v>4513</v>
      </c>
    </row>
    <row r="140" spans="1:4" ht="15.75" customHeight="1">
      <c r="A140" s="5">
        <v>30902</v>
      </c>
      <c r="B140" s="4" t="s">
        <v>338</v>
      </c>
      <c r="C140" s="18">
        <v>775</v>
      </c>
      <c r="D140" s="18">
        <v>1814</v>
      </c>
    </row>
    <row r="141" spans="1:4" ht="15.75" customHeight="1">
      <c r="A141" s="5">
        <v>30903</v>
      </c>
      <c r="B141" s="4" t="s">
        <v>125</v>
      </c>
      <c r="C141" s="18">
        <v>1304</v>
      </c>
      <c r="D141" s="18">
        <v>1852</v>
      </c>
    </row>
    <row r="142" spans="1:4" ht="15.75" customHeight="1">
      <c r="A142" s="5">
        <v>30904</v>
      </c>
      <c r="B142" s="4" t="s">
        <v>126</v>
      </c>
      <c r="C142" s="18">
        <v>1034</v>
      </c>
      <c r="D142" s="18">
        <v>1438</v>
      </c>
    </row>
    <row r="143" spans="1:4" ht="15.75" customHeight="1">
      <c r="A143" s="5">
        <v>30905</v>
      </c>
      <c r="B143" s="4" t="s">
        <v>127</v>
      </c>
      <c r="C143" s="18">
        <v>1112</v>
      </c>
      <c r="D143" s="18">
        <v>1874</v>
      </c>
    </row>
    <row r="144" spans="1:4" ht="15.75" customHeight="1">
      <c r="A144" s="5">
        <v>31001</v>
      </c>
      <c r="B144" s="4" t="s">
        <v>128</v>
      </c>
      <c r="C144" s="18">
        <v>3488</v>
      </c>
      <c r="D144" s="18">
        <v>6036</v>
      </c>
    </row>
    <row r="145" spans="1:4" ht="15.75" customHeight="1">
      <c r="A145" s="5">
        <v>31002</v>
      </c>
      <c r="B145" s="4" t="s">
        <v>129</v>
      </c>
      <c r="C145" s="18">
        <v>359</v>
      </c>
      <c r="D145" s="18">
        <v>604</v>
      </c>
    </row>
    <row r="146" spans="1:4" ht="15.75" customHeight="1">
      <c r="A146" s="5">
        <v>31003</v>
      </c>
      <c r="B146" s="4" t="s">
        <v>130</v>
      </c>
      <c r="C146" s="18">
        <v>1404</v>
      </c>
      <c r="D146" s="18">
        <v>2794</v>
      </c>
    </row>
    <row r="147" spans="1:4" ht="15.75" customHeight="1">
      <c r="A147" s="5">
        <v>31101</v>
      </c>
      <c r="B147" s="4" t="s">
        <v>131</v>
      </c>
      <c r="C147" s="18">
        <v>431</v>
      </c>
      <c r="D147" s="18">
        <v>471</v>
      </c>
    </row>
    <row r="148" spans="1:4" ht="15.75" customHeight="1">
      <c r="A148" s="5">
        <v>31201</v>
      </c>
      <c r="B148" s="4" t="s">
        <v>132</v>
      </c>
      <c r="C148" s="18">
        <v>176</v>
      </c>
      <c r="D148" s="18">
        <v>411</v>
      </c>
    </row>
    <row r="149" spans="1:4" ht="15.75" customHeight="1">
      <c r="A149" s="5">
        <v>31202</v>
      </c>
      <c r="B149" s="4" t="s">
        <v>133</v>
      </c>
      <c r="C149" s="18">
        <v>136</v>
      </c>
      <c r="D149" s="18">
        <v>313</v>
      </c>
    </row>
    <row r="150" spans="1:4" ht="15.75" customHeight="1">
      <c r="A150" s="5">
        <v>31203</v>
      </c>
      <c r="B150" s="4" t="s">
        <v>134</v>
      </c>
      <c r="C150" s="18">
        <v>172</v>
      </c>
      <c r="D150" s="18">
        <v>318</v>
      </c>
    </row>
    <row r="151" spans="1:4" ht="15.75" customHeight="1">
      <c r="A151" s="5">
        <v>31204</v>
      </c>
      <c r="B151" s="4" t="s">
        <v>135</v>
      </c>
      <c r="C151" s="18">
        <v>459</v>
      </c>
      <c r="D151" s="18">
        <v>844</v>
      </c>
    </row>
    <row r="152" spans="1:4" ht="15.75" customHeight="1">
      <c r="A152" s="5">
        <v>31205</v>
      </c>
      <c r="B152" s="4" t="s">
        <v>136</v>
      </c>
      <c r="C152" s="18">
        <v>839</v>
      </c>
      <c r="D152" s="18">
        <v>1919</v>
      </c>
    </row>
    <row r="153" spans="1:4" ht="15.75" customHeight="1">
      <c r="A153" s="5">
        <v>31206</v>
      </c>
      <c r="B153" s="4" t="s">
        <v>137</v>
      </c>
      <c r="C153" s="18">
        <v>485</v>
      </c>
      <c r="D153" s="18">
        <v>1347</v>
      </c>
    </row>
    <row r="154" spans="1:4" ht="15.75" customHeight="1">
      <c r="A154" s="5">
        <v>31301</v>
      </c>
      <c r="B154" s="4" t="s">
        <v>138</v>
      </c>
      <c r="C154" s="18">
        <v>498</v>
      </c>
      <c r="D154" s="18">
        <v>541</v>
      </c>
    </row>
    <row r="155" spans="1:4" ht="15.75" customHeight="1">
      <c r="A155" s="5">
        <v>31302</v>
      </c>
      <c r="B155" s="4" t="s">
        <v>139</v>
      </c>
      <c r="C155" s="18">
        <v>82</v>
      </c>
      <c r="D155" s="18">
        <v>133</v>
      </c>
    </row>
    <row r="156" spans="1:4" ht="15.75" customHeight="1">
      <c r="A156" s="5">
        <v>31303</v>
      </c>
      <c r="B156" s="4" t="s">
        <v>140</v>
      </c>
      <c r="C156" s="18">
        <v>43</v>
      </c>
      <c r="D156" s="18">
        <v>76</v>
      </c>
    </row>
    <row r="157" spans="1:4" ht="15.75" customHeight="1">
      <c r="A157" s="5">
        <v>31304</v>
      </c>
      <c r="B157" s="4" t="s">
        <v>141</v>
      </c>
      <c r="C157" s="18">
        <v>498</v>
      </c>
      <c r="D157" s="18">
        <v>160</v>
      </c>
    </row>
    <row r="158" spans="1:4" ht="15.75" customHeight="1">
      <c r="A158" s="5">
        <v>31401</v>
      </c>
      <c r="B158" s="4" t="s">
        <v>142</v>
      </c>
      <c r="C158" s="18">
        <v>476</v>
      </c>
      <c r="D158" s="18">
        <v>888</v>
      </c>
    </row>
    <row r="159" spans="1:4" ht="15.75" customHeight="1">
      <c r="A159" s="5">
        <v>31402</v>
      </c>
      <c r="B159" s="4" t="s">
        <v>143</v>
      </c>
      <c r="C159" s="18">
        <v>127</v>
      </c>
      <c r="D159" s="18">
        <v>237</v>
      </c>
    </row>
    <row r="160" spans="1:4" ht="15.75" customHeight="1">
      <c r="A160" s="5">
        <v>31403</v>
      </c>
      <c r="B160" s="4" t="s">
        <v>144</v>
      </c>
      <c r="C160" s="18">
        <v>202</v>
      </c>
      <c r="D160" s="18">
        <v>378</v>
      </c>
    </row>
    <row r="161" spans="1:4" ht="15.75" customHeight="1">
      <c r="A161" s="5">
        <v>31404</v>
      </c>
      <c r="B161" s="4" t="s">
        <v>145</v>
      </c>
      <c r="C161" s="18">
        <v>20</v>
      </c>
      <c r="D161" s="18">
        <v>33</v>
      </c>
    </row>
    <row r="162" spans="1:4" ht="15.75" customHeight="1">
      <c r="A162" s="5">
        <v>31405</v>
      </c>
      <c r="B162" s="4" t="s">
        <v>339</v>
      </c>
      <c r="C162" s="18">
        <v>55</v>
      </c>
      <c r="D162" s="18">
        <v>100</v>
      </c>
    </row>
    <row r="163" spans="1:4" ht="15.75" customHeight="1">
      <c r="A163" s="5">
        <v>31501</v>
      </c>
      <c r="B163" s="4" t="s">
        <v>340</v>
      </c>
      <c r="C163" s="18">
        <v>81</v>
      </c>
      <c r="D163" s="18">
        <v>218</v>
      </c>
    </row>
    <row r="164" spans="1:4" ht="15.75" customHeight="1">
      <c r="A164" s="5">
        <v>31601</v>
      </c>
      <c r="B164" s="4" t="s">
        <v>146</v>
      </c>
      <c r="C164" s="18">
        <v>370</v>
      </c>
      <c r="D164" s="18">
        <v>433</v>
      </c>
    </row>
    <row r="165" spans="1:4" ht="15.75" customHeight="1">
      <c r="A165" s="5">
        <v>31602</v>
      </c>
      <c r="B165" s="4" t="s">
        <v>147</v>
      </c>
      <c r="C165" s="18">
        <v>332</v>
      </c>
      <c r="D165" s="18">
        <v>825</v>
      </c>
    </row>
    <row r="166" spans="1:4" ht="15.75" customHeight="1">
      <c r="A166" s="5">
        <v>40101</v>
      </c>
      <c r="B166" s="4" t="s">
        <v>148</v>
      </c>
      <c r="C166" s="18">
        <v>6021</v>
      </c>
      <c r="D166" s="18">
        <v>8817</v>
      </c>
    </row>
    <row r="167" spans="1:4" ht="15.75" customHeight="1">
      <c r="A167" s="5">
        <v>40102</v>
      </c>
      <c r="B167" s="4" t="s">
        <v>149</v>
      </c>
      <c r="C167" s="18">
        <v>412</v>
      </c>
      <c r="D167" s="18">
        <v>636</v>
      </c>
    </row>
    <row r="168" spans="1:4" ht="15.75" customHeight="1">
      <c r="A168" s="5">
        <v>40103</v>
      </c>
      <c r="B168" s="4" t="s">
        <v>150</v>
      </c>
      <c r="C168" s="18">
        <v>150</v>
      </c>
      <c r="D168" s="18">
        <v>252</v>
      </c>
    </row>
    <row r="169" spans="1:4" ht="15.75" customHeight="1">
      <c r="A169" s="5">
        <v>40104</v>
      </c>
      <c r="B169" s="4" t="s">
        <v>341</v>
      </c>
      <c r="C169" s="18">
        <v>202</v>
      </c>
      <c r="D169" s="18">
        <v>494</v>
      </c>
    </row>
    <row r="170" spans="1:4" ht="15.75" customHeight="1">
      <c r="A170" s="5">
        <v>40201</v>
      </c>
      <c r="B170" s="4" t="s">
        <v>151</v>
      </c>
      <c r="C170" s="18">
        <v>433</v>
      </c>
      <c r="D170" s="18">
        <v>1055</v>
      </c>
    </row>
    <row r="171" spans="1:4" ht="15.75" customHeight="1">
      <c r="A171" s="5">
        <v>40202</v>
      </c>
      <c r="B171" s="4" t="s">
        <v>152</v>
      </c>
      <c r="C171" s="18">
        <v>83</v>
      </c>
      <c r="D171" s="18">
        <v>127</v>
      </c>
    </row>
    <row r="172" spans="1:4" ht="15.75" customHeight="1">
      <c r="A172" s="5">
        <v>40301</v>
      </c>
      <c r="B172" s="4" t="s">
        <v>154</v>
      </c>
      <c r="C172" s="18">
        <v>177</v>
      </c>
      <c r="D172" s="18">
        <v>435</v>
      </c>
    </row>
    <row r="173" spans="1:4" ht="15.75" customHeight="1">
      <c r="A173" s="5">
        <v>40302</v>
      </c>
      <c r="B173" s="4" t="s">
        <v>155</v>
      </c>
      <c r="C173" s="18">
        <v>43</v>
      </c>
      <c r="D173" s="18">
        <v>81</v>
      </c>
    </row>
    <row r="174" spans="1:4" ht="15.75" customHeight="1">
      <c r="A174" s="5">
        <v>40401</v>
      </c>
      <c r="B174" s="4" t="s">
        <v>156</v>
      </c>
      <c r="C174" s="18">
        <v>75</v>
      </c>
      <c r="D174" s="18">
        <v>157</v>
      </c>
    </row>
    <row r="175" spans="1:4" ht="15.75" customHeight="1">
      <c r="A175" s="5">
        <v>40402</v>
      </c>
      <c r="B175" s="4" t="s">
        <v>157</v>
      </c>
      <c r="C175" s="18">
        <v>107</v>
      </c>
      <c r="D175" s="18">
        <v>137</v>
      </c>
    </row>
    <row r="176" spans="1:4" ht="15.75" customHeight="1">
      <c r="A176" s="5">
        <v>40501</v>
      </c>
      <c r="B176" s="4" t="s">
        <v>158</v>
      </c>
      <c r="C176" s="18">
        <v>12</v>
      </c>
      <c r="D176" s="18">
        <v>98</v>
      </c>
    </row>
    <row r="177" spans="1:4" ht="15.75" customHeight="1">
      <c r="A177" s="5">
        <v>40502</v>
      </c>
      <c r="B177" s="4" t="s">
        <v>159</v>
      </c>
      <c r="C177" s="18">
        <v>76</v>
      </c>
      <c r="D177" s="18">
        <v>127</v>
      </c>
    </row>
    <row r="178" spans="1:4" ht="15.75" customHeight="1">
      <c r="A178" s="5">
        <v>40503</v>
      </c>
      <c r="B178" s="4" t="s">
        <v>160</v>
      </c>
      <c r="C178" s="18">
        <v>26</v>
      </c>
      <c r="D178" s="18">
        <v>39</v>
      </c>
    </row>
    <row r="179" spans="1:4" ht="15.75" customHeight="1">
      <c r="A179" s="5">
        <v>40504</v>
      </c>
      <c r="B179" s="4" t="s">
        <v>161</v>
      </c>
      <c r="C179" s="18">
        <v>12</v>
      </c>
      <c r="D179" s="18">
        <v>28</v>
      </c>
    </row>
    <row r="180" spans="1:4" ht="15.75" customHeight="1">
      <c r="A180" s="5">
        <v>40505</v>
      </c>
      <c r="B180" s="4" t="s">
        <v>162</v>
      </c>
      <c r="C180" s="18">
        <v>64</v>
      </c>
      <c r="D180" s="18">
        <v>93</v>
      </c>
    </row>
    <row r="181" spans="1:4" ht="15.75" customHeight="1">
      <c r="A181" s="5">
        <v>40601</v>
      </c>
      <c r="B181" s="4" t="s">
        <v>163</v>
      </c>
      <c r="C181" s="18">
        <v>173</v>
      </c>
      <c r="D181" s="18">
        <v>279</v>
      </c>
    </row>
    <row r="182" spans="1:4" ht="15.75" customHeight="1">
      <c r="A182" s="5">
        <v>40602</v>
      </c>
      <c r="B182" s="4" t="s">
        <v>164</v>
      </c>
      <c r="C182" s="18">
        <v>154</v>
      </c>
      <c r="D182" s="18">
        <v>102</v>
      </c>
    </row>
    <row r="183" spans="1:4" ht="15.75" customHeight="1">
      <c r="A183" s="5">
        <v>40603</v>
      </c>
      <c r="B183" s="4" t="s">
        <v>165</v>
      </c>
      <c r="C183" s="18">
        <v>108</v>
      </c>
      <c r="D183" s="18">
        <v>97</v>
      </c>
    </row>
    <row r="184" spans="1:4" ht="15.75" customHeight="1">
      <c r="A184" s="5">
        <v>40701</v>
      </c>
      <c r="B184" s="4" t="s">
        <v>166</v>
      </c>
      <c r="C184" s="18">
        <v>602</v>
      </c>
      <c r="D184" s="18">
        <v>578</v>
      </c>
    </row>
    <row r="185" spans="1:4" ht="15.75" customHeight="1">
      <c r="A185" s="5">
        <v>40702</v>
      </c>
      <c r="B185" s="4" t="s">
        <v>167</v>
      </c>
      <c r="C185" s="18">
        <v>105</v>
      </c>
      <c r="D185" s="18">
        <v>150</v>
      </c>
    </row>
    <row r="186" spans="1:4" ht="15.75" customHeight="1">
      <c r="A186" s="5">
        <v>40801</v>
      </c>
      <c r="B186" s="4" t="s">
        <v>342</v>
      </c>
      <c r="C186" s="18">
        <v>170</v>
      </c>
      <c r="D186" s="18">
        <v>499</v>
      </c>
    </row>
    <row r="187" spans="1:4" ht="15.75" customHeight="1">
      <c r="A187" s="5">
        <v>40802</v>
      </c>
      <c r="B187" s="4" t="s">
        <v>168</v>
      </c>
      <c r="C187" s="18">
        <v>37</v>
      </c>
      <c r="D187" s="18">
        <v>80</v>
      </c>
    </row>
    <row r="188" spans="1:4" ht="15.75" customHeight="1">
      <c r="A188" s="5">
        <v>40901</v>
      </c>
      <c r="B188" s="4" t="s">
        <v>169</v>
      </c>
      <c r="C188" s="18">
        <v>191</v>
      </c>
      <c r="D188" s="18">
        <v>419</v>
      </c>
    </row>
    <row r="189" spans="1:4" ht="15.75" customHeight="1">
      <c r="A189" s="5">
        <v>40902</v>
      </c>
      <c r="B189" s="4" t="s">
        <v>170</v>
      </c>
      <c r="C189" s="18">
        <v>21</v>
      </c>
      <c r="D189" s="18">
        <v>78</v>
      </c>
    </row>
    <row r="190" spans="1:4" ht="15.75" customHeight="1">
      <c r="A190" s="5">
        <v>40903</v>
      </c>
      <c r="B190" s="4" t="s">
        <v>343</v>
      </c>
      <c r="C190" s="18">
        <v>35</v>
      </c>
      <c r="D190" s="18">
        <v>85</v>
      </c>
    </row>
    <row r="191" spans="1:4" ht="15.75" customHeight="1">
      <c r="A191" s="5">
        <v>41001</v>
      </c>
      <c r="B191" s="4" t="s">
        <v>171</v>
      </c>
      <c r="C191" s="18">
        <v>209</v>
      </c>
      <c r="D191" s="18">
        <v>243</v>
      </c>
    </row>
    <row r="192" spans="1:4" ht="15.75" customHeight="1">
      <c r="A192" s="5">
        <v>41101</v>
      </c>
      <c r="B192" s="4" t="s">
        <v>172</v>
      </c>
      <c r="C192" s="18">
        <v>114</v>
      </c>
      <c r="D192" s="18">
        <v>148</v>
      </c>
    </row>
    <row r="193" spans="1:4" ht="15.75" customHeight="1">
      <c r="A193" s="5">
        <v>41201</v>
      </c>
      <c r="B193" s="4" t="s">
        <v>344</v>
      </c>
      <c r="C193" s="18">
        <v>99</v>
      </c>
      <c r="D193" s="18">
        <v>157</v>
      </c>
    </row>
    <row r="194" spans="1:4" ht="15.75" customHeight="1">
      <c r="A194" s="5">
        <v>41202</v>
      </c>
      <c r="B194" s="4" t="s">
        <v>173</v>
      </c>
      <c r="C194" s="18">
        <v>34</v>
      </c>
      <c r="D194" s="18">
        <v>82</v>
      </c>
    </row>
    <row r="195" spans="1:4" ht="15.75" customHeight="1">
      <c r="A195" s="5">
        <v>41301</v>
      </c>
      <c r="B195" s="4" t="s">
        <v>174</v>
      </c>
      <c r="C195" s="18">
        <v>108</v>
      </c>
      <c r="D195" s="18">
        <v>159</v>
      </c>
    </row>
    <row r="196" spans="1:4" ht="15.75" customHeight="1">
      <c r="A196" s="5">
        <v>41401</v>
      </c>
      <c r="B196" s="4" t="s">
        <v>175</v>
      </c>
      <c r="C196" s="18">
        <v>225</v>
      </c>
      <c r="D196" s="18">
        <v>317</v>
      </c>
    </row>
    <row r="197" spans="1:4" ht="15.75" customHeight="1">
      <c r="A197" s="5">
        <v>41501</v>
      </c>
      <c r="B197" s="4" t="s">
        <v>176</v>
      </c>
      <c r="C197" s="18">
        <v>13</v>
      </c>
      <c r="D197" s="18">
        <v>32</v>
      </c>
    </row>
    <row r="198" spans="1:4" ht="15.75" customHeight="1">
      <c r="A198" s="5">
        <v>41502</v>
      </c>
      <c r="B198" s="4" t="s">
        <v>177</v>
      </c>
      <c r="C198" s="18">
        <v>18</v>
      </c>
      <c r="D198" s="18">
        <v>33</v>
      </c>
    </row>
    <row r="199" spans="1:4" ht="15.75" customHeight="1">
      <c r="A199" s="5">
        <v>41503</v>
      </c>
      <c r="B199" s="4" t="s">
        <v>153</v>
      </c>
      <c r="C199" s="18">
        <v>16</v>
      </c>
      <c r="D199" s="18">
        <v>35</v>
      </c>
    </row>
    <row r="200" spans="1:4" ht="15.75" customHeight="1">
      <c r="A200" s="5">
        <v>41601</v>
      </c>
      <c r="B200" s="4" t="s">
        <v>345</v>
      </c>
      <c r="C200" s="18">
        <v>80</v>
      </c>
      <c r="D200" s="18">
        <v>111</v>
      </c>
    </row>
    <row r="201" spans="1:4" ht="15.75" customHeight="1">
      <c r="A201" s="5">
        <v>50101</v>
      </c>
      <c r="B201" s="4" t="s">
        <v>178</v>
      </c>
      <c r="C201" s="18">
        <v>5192</v>
      </c>
      <c r="D201" s="18">
        <v>7338</v>
      </c>
    </row>
    <row r="202" spans="1:4" ht="15.75" customHeight="1">
      <c r="A202" s="5">
        <v>50102</v>
      </c>
      <c r="B202" s="4" t="s">
        <v>179</v>
      </c>
      <c r="C202" s="18">
        <v>562</v>
      </c>
      <c r="D202" s="18">
        <v>1106</v>
      </c>
    </row>
    <row r="203" spans="1:4" ht="15.75" customHeight="1">
      <c r="A203" s="5">
        <v>50103</v>
      </c>
      <c r="B203" s="4" t="s">
        <v>180</v>
      </c>
      <c r="C203" s="18">
        <v>203</v>
      </c>
      <c r="D203" s="18">
        <v>363</v>
      </c>
    </row>
    <row r="204" spans="1:4" ht="15.75" customHeight="1">
      <c r="A204" s="5">
        <v>50104</v>
      </c>
      <c r="B204" s="4" t="s">
        <v>346</v>
      </c>
      <c r="C204" s="18">
        <v>51</v>
      </c>
      <c r="D204" s="18">
        <v>74</v>
      </c>
    </row>
    <row r="205" spans="1:4" ht="15.75" customHeight="1">
      <c r="A205" s="5">
        <v>50201</v>
      </c>
      <c r="B205" s="4" t="s">
        <v>181</v>
      </c>
      <c r="C205" s="18">
        <v>518</v>
      </c>
      <c r="D205" s="18">
        <v>774</v>
      </c>
    </row>
    <row r="206" spans="1:4" ht="15.75" customHeight="1">
      <c r="A206" s="5">
        <v>50202</v>
      </c>
      <c r="B206" s="4" t="s">
        <v>182</v>
      </c>
      <c r="C206" s="18">
        <v>431</v>
      </c>
      <c r="D206" s="18">
        <v>512</v>
      </c>
    </row>
    <row r="207" spans="1:4" ht="15.75" customHeight="1">
      <c r="A207" s="5">
        <v>50203</v>
      </c>
      <c r="B207" s="4" t="s">
        <v>183</v>
      </c>
      <c r="C207" s="18">
        <v>963</v>
      </c>
      <c r="D207" s="18">
        <v>1139</v>
      </c>
    </row>
    <row r="208" spans="1:4" ht="15.75" customHeight="1">
      <c r="A208" s="5">
        <v>50204</v>
      </c>
      <c r="B208" s="4" t="s">
        <v>347</v>
      </c>
      <c r="C208" s="18">
        <v>223</v>
      </c>
      <c r="D208" s="18">
        <v>268</v>
      </c>
    </row>
    <row r="209" spans="1:4" ht="15.75" customHeight="1">
      <c r="A209" s="5">
        <v>50301</v>
      </c>
      <c r="B209" s="4" t="s">
        <v>184</v>
      </c>
      <c r="C209" s="18">
        <v>647</v>
      </c>
      <c r="D209" s="18">
        <v>980</v>
      </c>
    </row>
    <row r="210" spans="1:4" ht="15.75" customHeight="1">
      <c r="A210" s="5">
        <v>50302</v>
      </c>
      <c r="B210" s="4" t="s">
        <v>185</v>
      </c>
      <c r="C210" s="18">
        <v>185</v>
      </c>
      <c r="D210" s="18">
        <v>255</v>
      </c>
    </row>
    <row r="211" spans="1:4" ht="15.75" customHeight="1">
      <c r="A211" s="5">
        <v>50303</v>
      </c>
      <c r="B211" s="4" t="s">
        <v>186</v>
      </c>
      <c r="C211" s="18">
        <v>238</v>
      </c>
      <c r="D211" s="18">
        <v>413</v>
      </c>
    </row>
    <row r="212" spans="1:4" ht="15.75" customHeight="1">
      <c r="A212" s="5">
        <v>50401</v>
      </c>
      <c r="B212" s="4" t="s">
        <v>187</v>
      </c>
      <c r="C212" s="18">
        <v>759</v>
      </c>
      <c r="D212" s="18">
        <v>526</v>
      </c>
    </row>
    <row r="213" spans="1:4" ht="15.75" customHeight="1">
      <c r="A213" s="5">
        <v>50402</v>
      </c>
      <c r="B213" s="4" t="s">
        <v>188</v>
      </c>
      <c r="C213" s="18">
        <v>326</v>
      </c>
      <c r="D213" s="18">
        <v>405</v>
      </c>
    </row>
    <row r="214" spans="1:4" ht="15.75" customHeight="1">
      <c r="A214" s="5">
        <v>50403</v>
      </c>
      <c r="B214" s="4" t="s">
        <v>189</v>
      </c>
      <c r="C214" s="18">
        <v>577</v>
      </c>
      <c r="D214" s="18">
        <v>986</v>
      </c>
    </row>
    <row r="215" spans="1:4" ht="15.75" customHeight="1">
      <c r="A215" s="5">
        <v>50404</v>
      </c>
      <c r="B215" s="4" t="s">
        <v>190</v>
      </c>
      <c r="C215" s="18">
        <v>302</v>
      </c>
      <c r="D215" s="18">
        <v>421</v>
      </c>
    </row>
    <row r="216" spans="1:4" ht="15.75" customHeight="1">
      <c r="A216" s="5">
        <v>50405</v>
      </c>
      <c r="B216" s="4" t="s">
        <v>191</v>
      </c>
      <c r="C216" s="18">
        <v>759</v>
      </c>
      <c r="D216" s="18">
        <v>633</v>
      </c>
    </row>
    <row r="217" spans="1:4" ht="15.75" customHeight="1">
      <c r="A217" s="5">
        <v>50501</v>
      </c>
      <c r="B217" s="4" t="s">
        <v>348</v>
      </c>
      <c r="C217" s="18">
        <v>635</v>
      </c>
      <c r="D217" s="18">
        <v>921</v>
      </c>
    </row>
    <row r="218" spans="1:4" ht="15.75" customHeight="1">
      <c r="A218" s="5">
        <v>50502</v>
      </c>
      <c r="B218" s="4" t="s">
        <v>193</v>
      </c>
      <c r="C218" s="18">
        <v>317</v>
      </c>
      <c r="D218" s="18">
        <v>375</v>
      </c>
    </row>
    <row r="219" spans="1:4" ht="15.75" customHeight="1">
      <c r="A219" s="5">
        <v>50601</v>
      </c>
      <c r="B219" s="4" t="s">
        <v>194</v>
      </c>
      <c r="C219" s="18">
        <v>776</v>
      </c>
      <c r="D219" s="18">
        <v>812</v>
      </c>
    </row>
    <row r="220" spans="1:4" ht="15.75" customHeight="1">
      <c r="A220" s="5">
        <v>50602</v>
      </c>
      <c r="B220" s="4" t="s">
        <v>195</v>
      </c>
      <c r="C220" s="18">
        <v>218</v>
      </c>
      <c r="D220" s="18">
        <v>221</v>
      </c>
    </row>
    <row r="221" spans="1:4" ht="15.75" customHeight="1">
      <c r="A221" s="5">
        <v>50701</v>
      </c>
      <c r="B221" s="4" t="s">
        <v>349</v>
      </c>
      <c r="C221" s="18">
        <v>331</v>
      </c>
      <c r="D221" s="18">
        <v>549</v>
      </c>
    </row>
    <row r="222" spans="1:4" ht="15.75" customHeight="1">
      <c r="A222" s="5">
        <v>50702</v>
      </c>
      <c r="B222" s="4" t="s">
        <v>196</v>
      </c>
      <c r="C222" s="18">
        <v>236</v>
      </c>
      <c r="D222" s="18">
        <v>236</v>
      </c>
    </row>
    <row r="223" spans="1:4" ht="15.75" customHeight="1">
      <c r="A223" s="5">
        <v>50801</v>
      </c>
      <c r="B223" s="4" t="s">
        <v>197</v>
      </c>
      <c r="C223" s="18">
        <v>1170</v>
      </c>
      <c r="D223" s="18">
        <v>1347</v>
      </c>
    </row>
    <row r="224" spans="1:4" ht="15.75" customHeight="1">
      <c r="A224" s="5">
        <v>50802</v>
      </c>
      <c r="B224" s="4" t="s">
        <v>198</v>
      </c>
      <c r="C224" s="18">
        <v>361</v>
      </c>
      <c r="D224" s="18">
        <v>369</v>
      </c>
    </row>
    <row r="225" spans="1:4" ht="15.75" customHeight="1">
      <c r="A225" s="5">
        <v>50901</v>
      </c>
      <c r="B225" s="4" t="s">
        <v>350</v>
      </c>
      <c r="C225" s="18">
        <v>283</v>
      </c>
      <c r="D225" s="18">
        <v>424</v>
      </c>
    </row>
    <row r="226" spans="1:4" ht="15.75" customHeight="1">
      <c r="A226" s="5">
        <v>50902</v>
      </c>
      <c r="B226" s="4" t="s">
        <v>199</v>
      </c>
      <c r="C226" s="18">
        <v>24</v>
      </c>
      <c r="D226" s="18">
        <v>31</v>
      </c>
    </row>
    <row r="227" spans="1:4" ht="15.75" customHeight="1">
      <c r="A227" s="5">
        <v>51001</v>
      </c>
      <c r="B227" s="4" t="s">
        <v>351</v>
      </c>
      <c r="C227" s="18">
        <v>98</v>
      </c>
      <c r="D227" s="18">
        <v>123</v>
      </c>
    </row>
    <row r="228" spans="1:4" ht="15.75" customHeight="1">
      <c r="A228" s="5">
        <v>51002</v>
      </c>
      <c r="B228" s="4" t="s">
        <v>200</v>
      </c>
      <c r="C228" s="18">
        <v>23</v>
      </c>
      <c r="D228" s="18">
        <v>25</v>
      </c>
    </row>
    <row r="229" spans="1:4" ht="15.75" customHeight="1">
      <c r="A229" s="5">
        <v>51003</v>
      </c>
      <c r="B229" s="4" t="s">
        <v>201</v>
      </c>
      <c r="C229" s="18">
        <v>60</v>
      </c>
      <c r="D229" s="18">
        <v>72</v>
      </c>
    </row>
    <row r="230" spans="1:4" ht="15.75" customHeight="1">
      <c r="A230" s="5">
        <v>51101</v>
      </c>
      <c r="B230" s="4" t="s">
        <v>202</v>
      </c>
      <c r="C230" s="18">
        <v>422</v>
      </c>
      <c r="D230" s="18">
        <v>370</v>
      </c>
    </row>
    <row r="231" spans="1:4" ht="15.75" customHeight="1">
      <c r="A231" s="5">
        <v>51102</v>
      </c>
      <c r="B231" s="4" t="s">
        <v>203</v>
      </c>
      <c r="C231" s="18">
        <v>234</v>
      </c>
      <c r="D231" s="18">
        <v>414</v>
      </c>
    </row>
    <row r="232" spans="1:4" ht="15.75" customHeight="1">
      <c r="A232" s="5">
        <v>51103</v>
      </c>
      <c r="B232" s="4" t="s">
        <v>204</v>
      </c>
      <c r="C232" s="18">
        <v>316</v>
      </c>
      <c r="D232" s="18">
        <v>421</v>
      </c>
    </row>
    <row r="233" spans="1:4" ht="15.75" customHeight="1">
      <c r="A233" s="5">
        <v>51201</v>
      </c>
      <c r="B233" s="4" t="s">
        <v>205</v>
      </c>
      <c r="C233" s="18">
        <v>711</v>
      </c>
      <c r="D233" s="18">
        <v>1073</v>
      </c>
    </row>
    <row r="234" spans="1:4" ht="15.75" customHeight="1">
      <c r="A234" s="5">
        <v>51202</v>
      </c>
      <c r="B234" s="4" t="s">
        <v>206</v>
      </c>
      <c r="C234" s="18">
        <v>267</v>
      </c>
      <c r="D234" s="18">
        <v>229</v>
      </c>
    </row>
    <row r="235" spans="1:4" ht="15.75" customHeight="1">
      <c r="A235" s="5">
        <v>51203</v>
      </c>
      <c r="B235" s="4" t="s">
        <v>207</v>
      </c>
      <c r="C235" s="18">
        <v>403</v>
      </c>
      <c r="D235" s="18">
        <v>544</v>
      </c>
    </row>
    <row r="236" spans="1:4" ht="15.75" customHeight="1">
      <c r="A236" s="5">
        <v>51204</v>
      </c>
      <c r="B236" s="4" t="s">
        <v>208</v>
      </c>
      <c r="C236" s="18">
        <v>267</v>
      </c>
      <c r="D236" s="18">
        <v>154</v>
      </c>
    </row>
    <row r="237" spans="1:4" ht="15.75" customHeight="1">
      <c r="A237" s="5">
        <v>51301</v>
      </c>
      <c r="B237" s="4" t="s">
        <v>209</v>
      </c>
      <c r="C237" s="18">
        <v>131</v>
      </c>
      <c r="D237" s="18">
        <v>101</v>
      </c>
    </row>
    <row r="238" spans="1:4" ht="15.75" customHeight="1">
      <c r="A238" s="5">
        <v>51302</v>
      </c>
      <c r="B238" s="4" t="s">
        <v>210</v>
      </c>
      <c r="C238" s="18">
        <v>173</v>
      </c>
      <c r="D238" s="18">
        <v>115</v>
      </c>
    </row>
    <row r="239" spans="1:4" ht="15.75" customHeight="1">
      <c r="A239" s="5">
        <v>51401</v>
      </c>
      <c r="B239" s="4" t="s">
        <v>211</v>
      </c>
      <c r="C239" s="18">
        <v>83</v>
      </c>
      <c r="D239" s="18">
        <v>117</v>
      </c>
    </row>
    <row r="240" spans="1:4" ht="15.75" customHeight="1">
      <c r="A240" s="5">
        <v>51402</v>
      </c>
      <c r="B240" s="4" t="s">
        <v>212</v>
      </c>
      <c r="C240" s="18">
        <v>53</v>
      </c>
      <c r="D240" s="18">
        <v>32</v>
      </c>
    </row>
    <row r="241" spans="1:4" ht="15.75" customHeight="1">
      <c r="A241" s="5">
        <v>51501</v>
      </c>
      <c r="B241" s="4" t="s">
        <v>213</v>
      </c>
      <c r="C241" s="18">
        <v>1017</v>
      </c>
      <c r="D241" s="18">
        <v>1360</v>
      </c>
    </row>
    <row r="242" spans="1:4" ht="15.75" customHeight="1">
      <c r="A242" s="5">
        <v>51601</v>
      </c>
      <c r="B242" s="4" t="s">
        <v>214</v>
      </c>
      <c r="C242" s="18">
        <v>25</v>
      </c>
      <c r="D242" s="18">
        <v>62</v>
      </c>
    </row>
    <row r="243" spans="1:4" ht="15.75" customHeight="1">
      <c r="A243" s="5">
        <v>60101</v>
      </c>
      <c r="B243" s="4" t="s">
        <v>215</v>
      </c>
      <c r="C243" s="18">
        <v>4716</v>
      </c>
      <c r="D243" s="18">
        <v>6054</v>
      </c>
    </row>
    <row r="244" spans="1:4" ht="15.75" customHeight="1">
      <c r="A244" s="5">
        <v>60201</v>
      </c>
      <c r="B244" s="4" t="s">
        <v>216</v>
      </c>
      <c r="C244" s="18">
        <v>399</v>
      </c>
      <c r="D244" s="18">
        <v>470</v>
      </c>
    </row>
    <row r="245" spans="1:4" ht="15.75" customHeight="1">
      <c r="A245" s="5">
        <v>60202</v>
      </c>
      <c r="B245" s="4" t="s">
        <v>217</v>
      </c>
      <c r="C245" s="18">
        <v>688</v>
      </c>
      <c r="D245" s="18">
        <v>1051</v>
      </c>
    </row>
    <row r="246" spans="1:4" ht="15.75" customHeight="1">
      <c r="A246" s="5">
        <v>60301</v>
      </c>
      <c r="B246" s="4" t="s">
        <v>218</v>
      </c>
      <c r="C246" s="18">
        <v>1749</v>
      </c>
      <c r="D246" s="18">
        <v>2600</v>
      </c>
    </row>
    <row r="247" spans="1:4" ht="15.75" customHeight="1">
      <c r="A247" s="5">
        <v>60302</v>
      </c>
      <c r="B247" s="4" t="s">
        <v>219</v>
      </c>
      <c r="C247" s="18">
        <v>347</v>
      </c>
      <c r="D247" s="18">
        <v>544</v>
      </c>
    </row>
    <row r="248" spans="1:4" ht="15.75" customHeight="1">
      <c r="A248" s="5">
        <v>60303</v>
      </c>
      <c r="B248" s="4" t="s">
        <v>220</v>
      </c>
      <c r="C248" s="18">
        <v>823</v>
      </c>
      <c r="D248" s="18">
        <v>1287</v>
      </c>
    </row>
    <row r="249" spans="1:4" ht="15.75" customHeight="1">
      <c r="A249" s="5">
        <v>60401</v>
      </c>
      <c r="B249" s="4" t="s">
        <v>221</v>
      </c>
      <c r="C249" s="18">
        <v>275</v>
      </c>
      <c r="D249" s="18">
        <v>457</v>
      </c>
    </row>
    <row r="250" spans="1:4" ht="15.75" customHeight="1">
      <c r="A250" s="5">
        <v>60402</v>
      </c>
      <c r="B250" s="4" t="s">
        <v>222</v>
      </c>
      <c r="C250" s="18">
        <v>112</v>
      </c>
      <c r="D250" s="18">
        <v>136</v>
      </c>
    </row>
    <row r="251" spans="1:4" ht="15.75" customHeight="1">
      <c r="A251" s="5">
        <v>60501</v>
      </c>
      <c r="B251" s="4" t="s">
        <v>352</v>
      </c>
      <c r="C251" s="18">
        <v>489</v>
      </c>
      <c r="D251" s="18">
        <v>891</v>
      </c>
    </row>
    <row r="252" spans="1:4" ht="15.75" customHeight="1">
      <c r="A252" s="5">
        <v>60502</v>
      </c>
      <c r="B252" s="4" t="s">
        <v>224</v>
      </c>
      <c r="C252" s="18">
        <v>219</v>
      </c>
      <c r="D252" s="18">
        <v>249</v>
      </c>
    </row>
    <row r="253" spans="1:4" ht="15.75" customHeight="1">
      <c r="A253" s="5">
        <v>60601</v>
      </c>
      <c r="B253" s="4" t="s">
        <v>137</v>
      </c>
      <c r="C253" s="18">
        <v>469</v>
      </c>
      <c r="D253" s="18">
        <v>606</v>
      </c>
    </row>
    <row r="254" spans="1:4" ht="15.75" customHeight="1">
      <c r="A254" s="5">
        <v>70101</v>
      </c>
      <c r="B254" s="4" t="s">
        <v>226</v>
      </c>
      <c r="C254" s="18">
        <v>30307</v>
      </c>
      <c r="D254" s="18">
        <v>41565</v>
      </c>
    </row>
    <row r="255" spans="1:4" ht="15.75" customHeight="1">
      <c r="A255" s="5">
        <v>70102</v>
      </c>
      <c r="B255" s="4" t="s">
        <v>227</v>
      </c>
      <c r="C255" s="18">
        <v>885</v>
      </c>
      <c r="D255" s="18">
        <v>3047</v>
      </c>
    </row>
    <row r="256" spans="1:4" ht="15.75" customHeight="1">
      <c r="A256" s="5">
        <v>70103</v>
      </c>
      <c r="B256" s="4" t="s">
        <v>228</v>
      </c>
      <c r="C256" s="18">
        <v>417</v>
      </c>
      <c r="D256" s="18">
        <v>594</v>
      </c>
    </row>
    <row r="257" spans="1:4" ht="15.75" customHeight="1">
      <c r="A257" s="5">
        <v>70104</v>
      </c>
      <c r="B257" s="4" t="s">
        <v>229</v>
      </c>
      <c r="C257" s="18">
        <v>1881</v>
      </c>
      <c r="D257" s="18">
        <v>4310</v>
      </c>
    </row>
    <row r="258" spans="1:4" ht="15.75" customHeight="1">
      <c r="A258" s="5">
        <v>70105</v>
      </c>
      <c r="B258" s="4" t="s">
        <v>230</v>
      </c>
      <c r="C258" s="18">
        <v>1012</v>
      </c>
      <c r="D258" s="18">
        <v>1580</v>
      </c>
    </row>
    <row r="259" spans="1:4" ht="15.75" customHeight="1">
      <c r="A259" s="5">
        <v>70201</v>
      </c>
      <c r="B259" s="4" t="s">
        <v>231</v>
      </c>
      <c r="C259" s="18">
        <v>1945</v>
      </c>
      <c r="D259" s="18">
        <v>4191</v>
      </c>
    </row>
    <row r="260" spans="1:4" ht="15.75" customHeight="1">
      <c r="A260" s="5">
        <v>70202</v>
      </c>
      <c r="B260" s="4" t="s">
        <v>232</v>
      </c>
      <c r="C260" s="18">
        <v>328</v>
      </c>
      <c r="D260" s="18">
        <v>386</v>
      </c>
    </row>
    <row r="261" spans="1:4" ht="15.75" customHeight="1">
      <c r="A261" s="5">
        <v>70301</v>
      </c>
      <c r="B261" s="4" t="s">
        <v>353</v>
      </c>
      <c r="C261" s="18">
        <v>926</v>
      </c>
      <c r="D261" s="18">
        <v>1528</v>
      </c>
    </row>
    <row r="262" spans="1:4" ht="15.75" customHeight="1">
      <c r="A262" s="5">
        <v>70302</v>
      </c>
      <c r="B262" s="4" t="s">
        <v>354</v>
      </c>
      <c r="C262" s="18">
        <v>227</v>
      </c>
      <c r="D262" s="18">
        <v>310</v>
      </c>
    </row>
    <row r="263" spans="1:4" ht="15.75" customHeight="1">
      <c r="A263" s="5">
        <v>70303</v>
      </c>
      <c r="B263" s="4" t="s">
        <v>234</v>
      </c>
      <c r="C263" s="18">
        <v>131</v>
      </c>
      <c r="D263" s="18">
        <v>222</v>
      </c>
    </row>
    <row r="264" spans="1:4" ht="15.75" customHeight="1">
      <c r="A264" s="5">
        <v>70401</v>
      </c>
      <c r="B264" s="4" t="s">
        <v>235</v>
      </c>
      <c r="C264" s="18">
        <v>342</v>
      </c>
      <c r="D264" s="18">
        <v>383</v>
      </c>
    </row>
    <row r="265" spans="1:4" ht="15.75" customHeight="1">
      <c r="A265" s="5">
        <v>70402</v>
      </c>
      <c r="B265" s="4" t="s">
        <v>236</v>
      </c>
      <c r="C265" s="18">
        <v>577</v>
      </c>
      <c r="D265" s="18">
        <v>638</v>
      </c>
    </row>
    <row r="266" spans="1:4" ht="15.75" customHeight="1">
      <c r="A266" s="5">
        <v>70403</v>
      </c>
      <c r="B266" s="4" t="s">
        <v>237</v>
      </c>
      <c r="C266" s="18">
        <v>907</v>
      </c>
      <c r="D266" s="18">
        <v>1686</v>
      </c>
    </row>
    <row r="267" spans="1:4" ht="15.75" customHeight="1">
      <c r="A267" s="5">
        <v>70404</v>
      </c>
      <c r="B267" s="4" t="s">
        <v>238</v>
      </c>
      <c r="C267" s="18">
        <v>240</v>
      </c>
      <c r="D267" s="18">
        <v>322</v>
      </c>
    </row>
    <row r="268" spans="1:4" ht="15.75" customHeight="1">
      <c r="A268" s="5">
        <v>70501</v>
      </c>
      <c r="B268" s="4" t="s">
        <v>355</v>
      </c>
      <c r="C268" s="18">
        <v>480</v>
      </c>
      <c r="D268" s="18">
        <v>834</v>
      </c>
    </row>
    <row r="269" spans="1:4" ht="15.75" customHeight="1">
      <c r="A269" s="5">
        <v>70502</v>
      </c>
      <c r="B269" s="4" t="s">
        <v>239</v>
      </c>
      <c r="C269" s="18">
        <v>754</v>
      </c>
      <c r="D269" s="18">
        <v>1158</v>
      </c>
    </row>
    <row r="270" spans="1:4" ht="15.75" customHeight="1">
      <c r="A270" s="5">
        <v>70503</v>
      </c>
      <c r="B270" s="4" t="s">
        <v>240</v>
      </c>
      <c r="C270" s="18">
        <v>371</v>
      </c>
      <c r="D270" s="18">
        <v>547</v>
      </c>
    </row>
    <row r="271" spans="1:4" ht="15.75" customHeight="1">
      <c r="A271" s="5">
        <v>70601</v>
      </c>
      <c r="B271" s="4" t="s">
        <v>241</v>
      </c>
      <c r="C271" s="18">
        <v>516</v>
      </c>
      <c r="D271" s="18">
        <v>612</v>
      </c>
    </row>
    <row r="272" spans="1:4" ht="15.75" customHeight="1">
      <c r="A272" s="5">
        <v>70602</v>
      </c>
      <c r="B272" s="4" t="s">
        <v>356</v>
      </c>
      <c r="C272" s="18">
        <v>491</v>
      </c>
      <c r="D272" s="18">
        <v>505</v>
      </c>
    </row>
    <row r="273" spans="1:4" ht="15.75" customHeight="1">
      <c r="A273" s="5">
        <v>70603</v>
      </c>
      <c r="B273" s="4" t="s">
        <v>243</v>
      </c>
      <c r="C273" s="18">
        <v>159</v>
      </c>
      <c r="D273" s="18">
        <v>169</v>
      </c>
    </row>
    <row r="274" spans="1:4" ht="15.75" customHeight="1">
      <c r="A274" s="5">
        <v>70701</v>
      </c>
      <c r="B274" s="4" t="s">
        <v>244</v>
      </c>
      <c r="C274" s="18">
        <v>128</v>
      </c>
      <c r="D274" s="18">
        <v>189</v>
      </c>
    </row>
    <row r="275" spans="1:4" ht="15.75" customHeight="1">
      <c r="A275" s="5">
        <v>70702</v>
      </c>
      <c r="B275" s="4" t="s">
        <v>357</v>
      </c>
      <c r="C275" s="18">
        <v>852</v>
      </c>
      <c r="D275" s="18">
        <v>1104</v>
      </c>
    </row>
    <row r="276" spans="1:4" ht="15.75" customHeight="1">
      <c r="A276" s="5">
        <v>70703</v>
      </c>
      <c r="B276" s="4" t="s">
        <v>245</v>
      </c>
      <c r="C276" s="18">
        <v>505</v>
      </c>
      <c r="D276" s="18">
        <v>802</v>
      </c>
    </row>
    <row r="277" spans="1:4" ht="15.75" customHeight="1">
      <c r="A277" s="5">
        <v>70704</v>
      </c>
      <c r="B277" s="4" t="s">
        <v>246</v>
      </c>
      <c r="C277" s="18">
        <v>141</v>
      </c>
      <c r="D277" s="18">
        <v>177</v>
      </c>
    </row>
    <row r="278" spans="1:4" ht="15.75" customHeight="1">
      <c r="A278" s="5">
        <v>70705</v>
      </c>
      <c r="B278" s="4" t="s">
        <v>358</v>
      </c>
      <c r="C278" s="18">
        <v>323</v>
      </c>
      <c r="D278" s="18">
        <v>507</v>
      </c>
    </row>
    <row r="279" spans="1:4" ht="15.75" customHeight="1">
      <c r="A279" s="5">
        <v>70706</v>
      </c>
      <c r="B279" s="4" t="s">
        <v>247</v>
      </c>
      <c r="C279" s="18">
        <v>762</v>
      </c>
      <c r="D279" s="18">
        <v>944</v>
      </c>
    </row>
    <row r="280" spans="1:4" ht="15.75" customHeight="1">
      <c r="A280" s="5">
        <v>70707</v>
      </c>
      <c r="B280" s="4" t="s">
        <v>248</v>
      </c>
      <c r="C280" s="18">
        <v>93</v>
      </c>
      <c r="D280" s="18">
        <v>149</v>
      </c>
    </row>
    <row r="281" spans="1:4" ht="15.75" customHeight="1">
      <c r="A281" s="5">
        <v>70801</v>
      </c>
      <c r="B281" s="4" t="s">
        <v>249</v>
      </c>
      <c r="C281" s="18">
        <v>389</v>
      </c>
      <c r="D281" s="18">
        <v>477</v>
      </c>
    </row>
    <row r="282" spans="1:4" ht="15.75" customHeight="1">
      <c r="A282" s="5">
        <v>70802</v>
      </c>
      <c r="B282" s="4" t="s">
        <v>250</v>
      </c>
      <c r="C282" s="18">
        <v>43</v>
      </c>
      <c r="D282" s="18">
        <v>63</v>
      </c>
    </row>
    <row r="283" spans="1:4" ht="15.75" customHeight="1">
      <c r="A283" s="5">
        <v>70803</v>
      </c>
      <c r="B283" s="4" t="s">
        <v>359</v>
      </c>
      <c r="C283" s="18">
        <v>66</v>
      </c>
      <c r="D283" s="18">
        <v>79</v>
      </c>
    </row>
    <row r="284" spans="1:4" ht="15.75" customHeight="1">
      <c r="A284" s="5">
        <v>70804</v>
      </c>
      <c r="B284" s="4" t="s">
        <v>251</v>
      </c>
      <c r="C284" s="18">
        <v>55</v>
      </c>
      <c r="D284" s="18">
        <v>46</v>
      </c>
    </row>
    <row r="285" spans="1:4" ht="15.75" customHeight="1">
      <c r="A285" s="5">
        <v>70805</v>
      </c>
      <c r="B285" s="4" t="s">
        <v>252</v>
      </c>
      <c r="C285" s="18">
        <v>50</v>
      </c>
      <c r="D285" s="18">
        <v>62</v>
      </c>
    </row>
    <row r="286" spans="1:4" ht="15.75" customHeight="1">
      <c r="A286" s="5">
        <v>70901</v>
      </c>
      <c r="B286" s="4" t="s">
        <v>253</v>
      </c>
      <c r="C286" s="18">
        <v>209</v>
      </c>
      <c r="D286" s="18">
        <v>298</v>
      </c>
    </row>
    <row r="287" spans="1:4" ht="15.75" customHeight="1">
      <c r="A287" s="5">
        <v>70902</v>
      </c>
      <c r="B287" s="4" t="s">
        <v>360</v>
      </c>
      <c r="C287" s="18">
        <v>169</v>
      </c>
      <c r="D287" s="18">
        <v>295</v>
      </c>
    </row>
    <row r="288" spans="1:4" ht="15.75" customHeight="1">
      <c r="A288" s="5">
        <v>70903</v>
      </c>
      <c r="B288" s="4" t="s">
        <v>254</v>
      </c>
      <c r="C288" s="18">
        <v>234</v>
      </c>
      <c r="D288" s="18">
        <v>381</v>
      </c>
    </row>
    <row r="289" spans="1:4" ht="15.75" customHeight="1">
      <c r="A289" s="5">
        <v>70904</v>
      </c>
      <c r="B289" s="4" t="s">
        <v>255</v>
      </c>
      <c r="C289" s="18">
        <v>50</v>
      </c>
      <c r="D289" s="18">
        <v>72</v>
      </c>
    </row>
    <row r="290" spans="1:4" ht="15.75" customHeight="1">
      <c r="A290" s="5">
        <v>71001</v>
      </c>
      <c r="B290" s="4" t="s">
        <v>256</v>
      </c>
      <c r="C290" s="18">
        <v>2747</v>
      </c>
      <c r="D290" s="18">
        <v>3698</v>
      </c>
    </row>
    <row r="291" spans="1:4" ht="15.75" customHeight="1">
      <c r="A291" s="5">
        <v>71002</v>
      </c>
      <c r="B291" s="4" t="s">
        <v>257</v>
      </c>
      <c r="C291" s="18">
        <v>338</v>
      </c>
      <c r="D291" s="18">
        <v>556</v>
      </c>
    </row>
    <row r="292" spans="1:4" ht="15.75" customHeight="1">
      <c r="A292" s="5">
        <v>71003</v>
      </c>
      <c r="B292" s="4" t="s">
        <v>258</v>
      </c>
      <c r="C292" s="18">
        <v>593</v>
      </c>
      <c r="D292" s="18">
        <v>733</v>
      </c>
    </row>
    <row r="293" spans="1:4" ht="15.75" customHeight="1">
      <c r="A293" s="5">
        <v>71004</v>
      </c>
      <c r="B293" s="4" t="s">
        <v>259</v>
      </c>
      <c r="C293" s="18">
        <v>326</v>
      </c>
      <c r="D293" s="18">
        <v>441</v>
      </c>
    </row>
    <row r="294" spans="1:4" ht="15.75" customHeight="1">
      <c r="A294" s="5">
        <v>71005</v>
      </c>
      <c r="B294" s="4" t="s">
        <v>192</v>
      </c>
      <c r="C294" s="18">
        <v>475</v>
      </c>
      <c r="D294" s="18">
        <v>483</v>
      </c>
    </row>
    <row r="295" spans="1:4" ht="15.75" customHeight="1">
      <c r="A295" s="5">
        <v>71101</v>
      </c>
      <c r="B295" s="4" t="s">
        <v>260</v>
      </c>
      <c r="C295" s="18">
        <v>384</v>
      </c>
      <c r="D295" s="18">
        <v>786</v>
      </c>
    </row>
    <row r="296" spans="1:4" ht="15.75" customHeight="1">
      <c r="A296" s="5">
        <v>71102</v>
      </c>
      <c r="B296" s="4" t="s">
        <v>261</v>
      </c>
      <c r="C296" s="18">
        <v>285</v>
      </c>
      <c r="D296" s="18">
        <v>491</v>
      </c>
    </row>
    <row r="297" spans="1:4" ht="15.75" customHeight="1">
      <c r="A297" s="5">
        <v>71103</v>
      </c>
      <c r="B297" s="4" t="s">
        <v>264</v>
      </c>
      <c r="C297" s="18">
        <v>129</v>
      </c>
      <c r="D297" s="18">
        <v>244</v>
      </c>
    </row>
    <row r="298" spans="1:4" ht="15.75" customHeight="1">
      <c r="A298" s="5">
        <v>71104</v>
      </c>
      <c r="B298" s="4" t="s">
        <v>262</v>
      </c>
      <c r="C298" s="18">
        <v>1020</v>
      </c>
      <c r="D298" s="18">
        <v>1430</v>
      </c>
    </row>
    <row r="299" spans="1:4" ht="15.75" customHeight="1">
      <c r="A299" s="5">
        <v>71105</v>
      </c>
      <c r="B299" s="4" t="s">
        <v>263</v>
      </c>
      <c r="C299" s="18">
        <v>134</v>
      </c>
      <c r="D299" s="18">
        <v>194</v>
      </c>
    </row>
    <row r="300" spans="1:4" ht="15.75" customHeight="1">
      <c r="A300" s="5">
        <v>71106</v>
      </c>
      <c r="B300" s="4" t="s">
        <v>265</v>
      </c>
      <c r="C300" s="18">
        <v>395</v>
      </c>
      <c r="D300" s="18">
        <v>654</v>
      </c>
    </row>
    <row r="301" spans="1:4" ht="15.75" customHeight="1">
      <c r="A301" s="5">
        <v>71201</v>
      </c>
      <c r="B301" s="4" t="s">
        <v>266</v>
      </c>
      <c r="C301" s="18">
        <v>228</v>
      </c>
      <c r="D301" s="18">
        <v>324</v>
      </c>
    </row>
    <row r="302" spans="1:4" ht="15.75" customHeight="1">
      <c r="A302" s="5">
        <v>71301</v>
      </c>
      <c r="B302" s="4" t="s">
        <v>267</v>
      </c>
      <c r="C302" s="18">
        <v>316</v>
      </c>
      <c r="D302" s="18">
        <v>636</v>
      </c>
    </row>
    <row r="303" spans="1:4" ht="15.75" customHeight="1">
      <c r="A303" s="5">
        <v>71302</v>
      </c>
      <c r="B303" s="4" t="s">
        <v>268</v>
      </c>
      <c r="C303" s="18">
        <v>188</v>
      </c>
      <c r="D303" s="18">
        <v>199</v>
      </c>
    </row>
    <row r="304" spans="1:4" ht="15.75" customHeight="1">
      <c r="A304" s="5">
        <v>71401</v>
      </c>
      <c r="B304" s="4" t="s">
        <v>361</v>
      </c>
      <c r="C304" s="18">
        <v>349</v>
      </c>
      <c r="D304" s="18">
        <v>452</v>
      </c>
    </row>
    <row r="305" spans="1:4" ht="15.75" customHeight="1">
      <c r="A305" s="5">
        <v>71402</v>
      </c>
      <c r="B305" s="4" t="s">
        <v>269</v>
      </c>
      <c r="C305" s="18">
        <v>312</v>
      </c>
      <c r="D305" s="18">
        <v>427</v>
      </c>
    </row>
    <row r="306" spans="1:4" ht="15.75" customHeight="1">
      <c r="A306" s="5">
        <v>71403</v>
      </c>
      <c r="B306" s="4" t="s">
        <v>270</v>
      </c>
      <c r="C306" s="18">
        <v>136</v>
      </c>
      <c r="D306" s="18">
        <v>215</v>
      </c>
    </row>
    <row r="307" spans="1:4" ht="15.75" customHeight="1">
      <c r="A307" s="5">
        <v>71501</v>
      </c>
      <c r="B307" s="4" t="s">
        <v>271</v>
      </c>
      <c r="C307" s="18">
        <v>568</v>
      </c>
      <c r="D307" s="18">
        <v>839</v>
      </c>
    </row>
    <row r="308" spans="1:4" ht="15.75" customHeight="1">
      <c r="A308" s="5">
        <v>71502</v>
      </c>
      <c r="B308" s="4" t="s">
        <v>272</v>
      </c>
      <c r="C308" s="18">
        <v>180</v>
      </c>
      <c r="D308" s="18">
        <v>192</v>
      </c>
    </row>
    <row r="309" spans="1:4" ht="15.75" customHeight="1">
      <c r="A309" s="5">
        <v>71503</v>
      </c>
      <c r="B309" s="4" t="s">
        <v>224</v>
      </c>
      <c r="C309" s="18">
        <v>235</v>
      </c>
      <c r="D309" s="18">
        <v>387</v>
      </c>
    </row>
    <row r="310" spans="1:4" ht="15.75" customHeight="1">
      <c r="A310" s="5">
        <v>80101</v>
      </c>
      <c r="B310" s="4" t="s">
        <v>274</v>
      </c>
      <c r="C310" s="18">
        <v>2682</v>
      </c>
      <c r="D310" s="18">
        <v>3761</v>
      </c>
    </row>
    <row r="311" spans="1:4" ht="15.75" customHeight="1">
      <c r="A311" s="5">
        <v>80102</v>
      </c>
      <c r="B311" s="4" t="s">
        <v>261</v>
      </c>
      <c r="C311" s="18">
        <v>98</v>
      </c>
      <c r="D311" s="18">
        <v>182</v>
      </c>
    </row>
    <row r="312" spans="1:4" ht="15.75" customHeight="1">
      <c r="A312" s="5">
        <v>80201</v>
      </c>
      <c r="B312" s="4" t="s">
        <v>275</v>
      </c>
      <c r="C312" s="18">
        <v>1928</v>
      </c>
      <c r="D312" s="18">
        <v>3111</v>
      </c>
    </row>
    <row r="313" spans="1:4" ht="15.75" customHeight="1">
      <c r="A313" s="5">
        <v>80202</v>
      </c>
      <c r="B313" s="4" t="s">
        <v>276</v>
      </c>
      <c r="C313" s="18">
        <v>1105</v>
      </c>
      <c r="D313" s="18">
        <v>1219</v>
      </c>
    </row>
    <row r="314" spans="1:4" ht="15.75" customHeight="1">
      <c r="A314" s="5">
        <v>80301</v>
      </c>
      <c r="B314" s="4" t="s">
        <v>277</v>
      </c>
      <c r="C314" s="18">
        <v>376</v>
      </c>
      <c r="D314" s="18">
        <v>379</v>
      </c>
    </row>
    <row r="315" spans="1:4" ht="15.75" customHeight="1">
      <c r="A315" s="5">
        <v>80302</v>
      </c>
      <c r="B315" s="4" t="s">
        <v>278</v>
      </c>
      <c r="C315" s="18">
        <v>748</v>
      </c>
      <c r="D315" s="18">
        <v>1127</v>
      </c>
    </row>
    <row r="316" spans="1:4" ht="15.75" customHeight="1">
      <c r="A316" s="5">
        <v>80303</v>
      </c>
      <c r="B316" s="4" t="s">
        <v>242</v>
      </c>
      <c r="C316" s="18">
        <v>243</v>
      </c>
      <c r="D316" s="18">
        <v>354</v>
      </c>
    </row>
    <row r="317" spans="1:4" ht="15.75" customHeight="1">
      <c r="A317" s="5">
        <v>80304</v>
      </c>
      <c r="B317" s="4" t="s">
        <v>362</v>
      </c>
      <c r="C317" s="18">
        <v>400</v>
      </c>
      <c r="D317" s="18">
        <v>611</v>
      </c>
    </row>
    <row r="318" spans="1:4" ht="15.75" customHeight="1">
      <c r="A318" s="5">
        <v>80401</v>
      </c>
      <c r="B318" s="4" t="s">
        <v>363</v>
      </c>
      <c r="C318" s="18">
        <v>409</v>
      </c>
      <c r="D318" s="18">
        <v>493</v>
      </c>
    </row>
    <row r="319" spans="1:4" ht="15.75" customHeight="1">
      <c r="A319" s="5">
        <v>80402</v>
      </c>
      <c r="B319" s="4" t="s">
        <v>279</v>
      </c>
      <c r="C319" s="18">
        <v>98</v>
      </c>
      <c r="D319" s="18">
        <v>150</v>
      </c>
    </row>
    <row r="320" spans="1:4" ht="15.75" customHeight="1">
      <c r="A320" s="5">
        <v>80501</v>
      </c>
      <c r="B320" s="4" t="s">
        <v>233</v>
      </c>
      <c r="C320" s="18">
        <v>460</v>
      </c>
      <c r="D320" s="18">
        <v>730</v>
      </c>
    </row>
    <row r="321" spans="1:4" ht="15.75" customHeight="1">
      <c r="A321" s="5">
        <v>80601</v>
      </c>
      <c r="B321" s="4" t="s">
        <v>280</v>
      </c>
      <c r="C321" s="18">
        <v>72</v>
      </c>
      <c r="D321" s="18">
        <v>148</v>
      </c>
    </row>
    <row r="322" spans="1:4" ht="15.75" customHeight="1">
      <c r="A322" s="5">
        <v>80602</v>
      </c>
      <c r="B322" s="4" t="s">
        <v>281</v>
      </c>
      <c r="C322" s="18">
        <v>342</v>
      </c>
      <c r="D322" s="18">
        <v>414</v>
      </c>
    </row>
    <row r="323" spans="1:4" ht="15.75" customHeight="1">
      <c r="A323" s="5">
        <v>80701</v>
      </c>
      <c r="B323" s="4" t="s">
        <v>282</v>
      </c>
      <c r="C323" s="18">
        <v>167</v>
      </c>
      <c r="D323" s="18">
        <v>193</v>
      </c>
    </row>
    <row r="324" spans="1:4" ht="15.75" customHeight="1">
      <c r="A324" s="5">
        <v>80702</v>
      </c>
      <c r="B324" s="4" t="s">
        <v>264</v>
      </c>
      <c r="C324" s="18">
        <v>165</v>
      </c>
      <c r="D324" s="18">
        <v>164</v>
      </c>
    </row>
    <row r="325" spans="1:4" ht="15.75" customHeight="1">
      <c r="A325" s="5">
        <v>80703</v>
      </c>
      <c r="B325" s="4" t="s">
        <v>283</v>
      </c>
      <c r="C325" s="18">
        <v>29</v>
      </c>
      <c r="D325" s="18">
        <v>43</v>
      </c>
    </row>
    <row r="326" spans="1:4" ht="15.75" customHeight="1">
      <c r="A326" s="5">
        <v>80801</v>
      </c>
      <c r="B326" s="4" t="s">
        <v>284</v>
      </c>
      <c r="C326" s="18">
        <v>320</v>
      </c>
      <c r="D326" s="18">
        <v>463</v>
      </c>
    </row>
    <row r="327" spans="1:4" ht="15.75" customHeight="1">
      <c r="A327" s="5">
        <v>80802</v>
      </c>
      <c r="B327" s="4" t="s">
        <v>285</v>
      </c>
      <c r="C327" s="18">
        <v>141</v>
      </c>
      <c r="D327" s="18">
        <v>191</v>
      </c>
    </row>
    <row r="328" spans="1:4" ht="15.75" customHeight="1">
      <c r="A328" s="5">
        <v>80803</v>
      </c>
      <c r="B328" s="4" t="s">
        <v>286</v>
      </c>
      <c r="C328" s="18">
        <v>104</v>
      </c>
      <c r="D328" s="18">
        <v>123</v>
      </c>
    </row>
    <row r="329" spans="1:4" ht="15.75" customHeight="1">
      <c r="A329" s="5">
        <v>80901</v>
      </c>
      <c r="B329" s="4" t="s">
        <v>364</v>
      </c>
      <c r="C329" s="18">
        <f>AVERAGE(C320,C318)</f>
        <v>434.5</v>
      </c>
      <c r="D329" s="18">
        <v>165</v>
      </c>
    </row>
    <row r="330" spans="1:4" ht="15.75" customHeight="1">
      <c r="A330" s="5">
        <v>90101</v>
      </c>
      <c r="B330" s="4" t="s">
        <v>288</v>
      </c>
      <c r="C330" s="18">
        <v>999</v>
      </c>
      <c r="D330" s="18">
        <v>1615</v>
      </c>
    </row>
    <row r="331" spans="1:4" ht="15.75" customHeight="1">
      <c r="A331" s="5">
        <v>90102</v>
      </c>
      <c r="B331" s="4" t="s">
        <v>289</v>
      </c>
      <c r="C331" s="18">
        <v>190</v>
      </c>
      <c r="D331" s="18">
        <v>312</v>
      </c>
    </row>
    <row r="332" spans="1:4" ht="15.75" customHeight="1">
      <c r="A332" s="5">
        <v>90103</v>
      </c>
      <c r="B332" s="4" t="s">
        <v>290</v>
      </c>
      <c r="C332" s="18">
        <v>48</v>
      </c>
      <c r="D332" s="18">
        <v>73</v>
      </c>
    </row>
    <row r="333" spans="1:4" ht="15.75" customHeight="1">
      <c r="A333" s="5">
        <v>90104</v>
      </c>
      <c r="B333" s="4" t="s">
        <v>291</v>
      </c>
      <c r="C333" s="18">
        <v>100</v>
      </c>
      <c r="D333" s="18">
        <v>104</v>
      </c>
    </row>
    <row r="334" spans="1:4" ht="15.75" customHeight="1">
      <c r="A334" s="5">
        <v>90201</v>
      </c>
      <c r="B334" s="4" t="s">
        <v>292</v>
      </c>
      <c r="C334" s="18">
        <v>173</v>
      </c>
      <c r="D334" s="18">
        <v>266</v>
      </c>
    </row>
    <row r="335" spans="1:4" ht="15.75" customHeight="1">
      <c r="A335" s="5">
        <v>90202</v>
      </c>
      <c r="B335" s="4" t="s">
        <v>192</v>
      </c>
      <c r="C335" s="18">
        <v>55</v>
      </c>
      <c r="D335" s="18">
        <v>110</v>
      </c>
    </row>
    <row r="336" spans="1:4" ht="15.75" customHeight="1">
      <c r="A336" s="5">
        <v>90203</v>
      </c>
      <c r="B336" s="4" t="s">
        <v>293</v>
      </c>
      <c r="C336" s="18">
        <v>165</v>
      </c>
      <c r="D336" s="18">
        <v>293</v>
      </c>
    </row>
    <row r="337" spans="1:4" ht="15.75" customHeight="1">
      <c r="A337" s="5">
        <v>90301</v>
      </c>
      <c r="B337" s="4" t="s">
        <v>294</v>
      </c>
      <c r="C337" s="18">
        <v>238</v>
      </c>
      <c r="D337" s="18">
        <v>403</v>
      </c>
    </row>
    <row r="338" spans="1:4" ht="15.75" customHeight="1">
      <c r="A338" s="5">
        <v>90302</v>
      </c>
      <c r="B338" s="4" t="s">
        <v>223</v>
      </c>
      <c r="C338" s="18">
        <v>237</v>
      </c>
      <c r="D338" s="18">
        <v>364</v>
      </c>
    </row>
    <row r="339" spans="1:4" ht="15.75" customHeight="1">
      <c r="A339" s="5">
        <v>90303</v>
      </c>
      <c r="B339" s="4" t="s">
        <v>295</v>
      </c>
      <c r="C339" s="18">
        <v>227</v>
      </c>
      <c r="D339" s="18">
        <v>394</v>
      </c>
    </row>
    <row r="340" spans="1:4" ht="15.75" customHeight="1">
      <c r="A340" s="5">
        <v>90401</v>
      </c>
      <c r="B340" s="4" t="s">
        <v>365</v>
      </c>
      <c r="C340" s="18">
        <v>61</v>
      </c>
      <c r="D340" s="18">
        <v>102</v>
      </c>
    </row>
    <row r="341" spans="1:4" ht="15.75" customHeight="1">
      <c r="A341" s="5">
        <v>90402</v>
      </c>
      <c r="B341" s="4" t="s">
        <v>59</v>
      </c>
      <c r="C341" s="18">
        <v>34</v>
      </c>
      <c r="D341" s="18">
        <v>111</v>
      </c>
    </row>
    <row r="342" spans="1:4" ht="15.75" customHeight="1">
      <c r="A342" s="5">
        <v>90501</v>
      </c>
      <c r="B342" s="4" t="s">
        <v>296</v>
      </c>
      <c r="C342" s="18">
        <v>56</v>
      </c>
      <c r="D342" s="18">
        <v>54</v>
      </c>
    </row>
    <row r="343" spans="1:4" ht="15.75" customHeight="1">
      <c r="A343" s="5">
        <v>90502</v>
      </c>
      <c r="B343" s="4" t="s">
        <v>366</v>
      </c>
      <c r="C343" s="18">
        <v>85</v>
      </c>
      <c r="D343" s="18">
        <v>87</v>
      </c>
    </row>
    <row r="344" spans="1:4" ht="15.75" customHeight="1">
      <c r="A344" s="5">
        <v>90503</v>
      </c>
      <c r="B344" s="4" t="s">
        <v>297</v>
      </c>
      <c r="C344" s="18">
        <v>51</v>
      </c>
      <c r="D344" s="18">
        <v>73</v>
      </c>
    </row>
    <row r="345" spans="1:4" ht="15.75" customHeight="1">
      <c r="A345" s="20"/>
      <c r="B345" s="21"/>
      <c r="C345" s="23"/>
      <c r="D345" s="23"/>
    </row>
    <row r="346" spans="1:4" ht="15.75" customHeight="1">
      <c r="A346" s="20"/>
      <c r="B346" s="21"/>
      <c r="C346" s="23"/>
      <c r="D346" s="23"/>
    </row>
    <row r="347" spans="1:4" ht="15.75" customHeight="1">
      <c r="A347" s="20"/>
      <c r="B347" s="21"/>
      <c r="C347" s="23"/>
      <c r="D347" s="23"/>
    </row>
    <row r="348" spans="1:4" ht="15.75" customHeight="1">
      <c r="A348" s="20"/>
      <c r="B348" s="21"/>
      <c r="C348" s="23"/>
      <c r="D348" s="23"/>
    </row>
    <row r="349" spans="1:4" ht="15.75" customHeight="1">
      <c r="A349" s="20"/>
      <c r="B349" s="21"/>
      <c r="C349" s="23"/>
      <c r="D349" s="23"/>
    </row>
    <row r="350" spans="1:4" ht="15.75" customHeight="1">
      <c r="A350" s="20"/>
      <c r="B350" s="21"/>
      <c r="C350" s="23"/>
      <c r="D350" s="23"/>
    </row>
    <row r="351" spans="1:4" ht="15.75" customHeight="1">
      <c r="A351" s="20"/>
      <c r="B351" s="21"/>
      <c r="C351" s="23"/>
      <c r="D351" s="23"/>
    </row>
    <row r="352" spans="1:4" ht="15.75" customHeight="1">
      <c r="A352" s="20"/>
      <c r="B352" s="21"/>
      <c r="C352" s="23"/>
      <c r="D352" s="23"/>
    </row>
    <row r="353" spans="1:4" ht="15.75" customHeight="1">
      <c r="A353" s="20"/>
      <c r="B353" s="21"/>
      <c r="C353" s="23"/>
      <c r="D353" s="23"/>
    </row>
    <row r="354" spans="1:4" ht="15.75" customHeight="1">
      <c r="A354" s="20"/>
      <c r="B354" s="21"/>
      <c r="C354" s="23"/>
      <c r="D354" s="23"/>
    </row>
    <row r="355" spans="1:4" ht="15.75" customHeight="1">
      <c r="A355" s="20"/>
      <c r="B355" s="21"/>
      <c r="C355" s="23"/>
      <c r="D355" s="23"/>
    </row>
    <row r="356" spans="1:4" ht="15.75" customHeight="1">
      <c r="A356" s="20"/>
      <c r="B356" s="21"/>
      <c r="C356" s="23"/>
      <c r="D356" s="23"/>
    </row>
    <row r="357" spans="1:4" ht="15.75" customHeight="1">
      <c r="A357" s="20"/>
      <c r="B357" s="21"/>
      <c r="C357" s="23"/>
      <c r="D357" s="23"/>
    </row>
    <row r="358" spans="1:4" ht="15.75" customHeight="1">
      <c r="A358" s="20"/>
      <c r="B358" s="21"/>
      <c r="C358" s="23"/>
      <c r="D358" s="23"/>
    </row>
    <row r="359" spans="1:4" ht="15.75" customHeight="1">
      <c r="A359" s="20"/>
      <c r="B359" s="21"/>
      <c r="C359" s="23"/>
      <c r="D359" s="23"/>
    </row>
    <row r="360" spans="1:4" ht="15.75" customHeight="1">
      <c r="A360" s="20"/>
      <c r="B360" s="21"/>
      <c r="C360" s="23"/>
      <c r="D360" s="23"/>
    </row>
    <row r="361" spans="1:4" ht="15.75" customHeight="1">
      <c r="A361" s="20"/>
      <c r="B361" s="21"/>
      <c r="C361" s="23"/>
      <c r="D361" s="23"/>
    </row>
    <row r="362" spans="1:4" ht="15.75" customHeight="1">
      <c r="A362" s="20"/>
      <c r="B362" s="21"/>
      <c r="C362" s="23"/>
      <c r="D362" s="23"/>
    </row>
    <row r="363" spans="1:4" ht="15.75" customHeight="1">
      <c r="A363" s="20"/>
      <c r="B363" s="21"/>
      <c r="C363" s="23"/>
      <c r="D363" s="23"/>
    </row>
    <row r="364" spans="1:4" ht="15.75" customHeight="1">
      <c r="A364" s="20"/>
      <c r="B364" s="21"/>
      <c r="C364" s="23"/>
      <c r="D364" s="23"/>
    </row>
    <row r="365" spans="1:4" ht="15.75" customHeight="1">
      <c r="A365" s="20"/>
      <c r="B365" s="21"/>
      <c r="C365" s="23"/>
      <c r="D365" s="23"/>
    </row>
    <row r="366" spans="1:4" ht="15.75" customHeight="1">
      <c r="A366" s="20"/>
      <c r="B366" s="21"/>
      <c r="C366" s="23"/>
      <c r="D366" s="23"/>
    </row>
    <row r="367" spans="1:4" ht="15.75" customHeight="1">
      <c r="A367" s="20"/>
      <c r="B367" s="21"/>
      <c r="C367" s="23"/>
      <c r="D367" s="23"/>
    </row>
    <row r="368" spans="1:4" ht="15.75" customHeight="1">
      <c r="A368" s="20"/>
      <c r="B368" s="21"/>
      <c r="C368" s="23"/>
      <c r="D368" s="23"/>
    </row>
    <row r="369" spans="1:4" ht="15.75" customHeight="1">
      <c r="A369" s="20"/>
      <c r="B369" s="21"/>
      <c r="C369" s="23"/>
      <c r="D369" s="23"/>
    </row>
    <row r="370" spans="1:4" ht="15.75" customHeight="1">
      <c r="A370" s="20"/>
      <c r="B370" s="21"/>
      <c r="C370" s="23"/>
      <c r="D370" s="23"/>
    </row>
    <row r="371" spans="1:4" ht="15.75" customHeight="1">
      <c r="A371" s="20"/>
      <c r="B371" s="21"/>
      <c r="C371" s="23"/>
      <c r="D371" s="23"/>
    </row>
    <row r="372" spans="1:4" ht="15.75" customHeight="1">
      <c r="A372" s="20"/>
      <c r="B372" s="21"/>
      <c r="C372" s="23"/>
      <c r="D372" s="23"/>
    </row>
    <row r="373" spans="1:4" ht="15.75" customHeight="1">
      <c r="A373" s="20"/>
      <c r="B373" s="21"/>
      <c r="C373" s="23"/>
      <c r="D373" s="23"/>
    </row>
    <row r="374" spans="1:4" ht="15.75" customHeight="1">
      <c r="A374" s="20"/>
      <c r="B374" s="21"/>
      <c r="C374" s="23"/>
      <c r="D374" s="23"/>
    </row>
    <row r="375" spans="1:4" ht="15.75" customHeight="1">
      <c r="A375" s="20"/>
      <c r="B375" s="21"/>
      <c r="C375" s="23"/>
      <c r="D375" s="23"/>
    </row>
    <row r="376" spans="1:4" ht="15.75" customHeight="1">
      <c r="A376" s="20"/>
      <c r="B376" s="21"/>
      <c r="C376" s="23"/>
      <c r="D376" s="23"/>
    </row>
    <row r="377" spans="1:4" ht="15.75" customHeight="1">
      <c r="A377" s="20"/>
      <c r="B377" s="21"/>
      <c r="C377" s="23"/>
      <c r="D377" s="23"/>
    </row>
    <row r="378" spans="1:4" ht="15.75" customHeight="1">
      <c r="A378" s="20"/>
      <c r="B378" s="21"/>
      <c r="C378" s="23"/>
      <c r="D378" s="23"/>
    </row>
    <row r="379" spans="1:4" ht="15.75" customHeight="1">
      <c r="A379" s="20"/>
      <c r="B379" s="21"/>
      <c r="C379" s="23"/>
      <c r="D379" s="23"/>
    </row>
    <row r="380" spans="1:4" ht="15.75" customHeight="1">
      <c r="A380" s="20"/>
      <c r="B380" s="21"/>
      <c r="C380" s="23"/>
      <c r="D380" s="23"/>
    </row>
    <row r="381" spans="1:4" ht="15.75" customHeight="1">
      <c r="A381" s="20"/>
      <c r="B381" s="21"/>
      <c r="C381" s="23"/>
      <c r="D381" s="23"/>
    </row>
    <row r="382" spans="1:4" ht="15.75" customHeight="1">
      <c r="A382" s="20"/>
      <c r="B382" s="21"/>
      <c r="C382" s="23"/>
      <c r="D382" s="23"/>
    </row>
    <row r="383" spans="1:4" ht="15.75" customHeight="1">
      <c r="A383" s="20"/>
      <c r="B383" s="21"/>
      <c r="C383" s="23"/>
      <c r="D383" s="23"/>
    </row>
    <row r="384" spans="1:4" ht="15.75" customHeight="1">
      <c r="A384" s="20"/>
      <c r="B384" s="21"/>
      <c r="C384" s="23"/>
      <c r="D384" s="23"/>
    </row>
    <row r="385" spans="1:4" ht="15.75" customHeight="1">
      <c r="A385" s="20"/>
      <c r="B385" s="21"/>
      <c r="C385" s="23"/>
      <c r="D385" s="23"/>
    </row>
    <row r="386" spans="1:4" ht="15.75" customHeight="1">
      <c r="A386" s="20"/>
      <c r="B386" s="21"/>
      <c r="C386" s="23"/>
      <c r="D386" s="23"/>
    </row>
    <row r="387" spans="1:4" ht="15.75" customHeight="1">
      <c r="A387" s="20"/>
      <c r="B387" s="21"/>
      <c r="C387" s="23"/>
      <c r="D387" s="23"/>
    </row>
    <row r="388" spans="1:4" ht="15.75" customHeight="1">
      <c r="A388" s="20"/>
      <c r="B388" s="21"/>
      <c r="C388" s="23"/>
      <c r="D388" s="23"/>
    </row>
    <row r="389" spans="1:4" ht="15.75" customHeight="1">
      <c r="A389" s="20"/>
      <c r="B389" s="21"/>
      <c r="C389" s="23"/>
      <c r="D389" s="23"/>
    </row>
    <row r="390" spans="1:4" ht="15.75" customHeight="1">
      <c r="A390" s="20"/>
      <c r="B390" s="21"/>
      <c r="C390" s="23"/>
      <c r="D390" s="23"/>
    </row>
    <row r="391" spans="1:4" ht="15.75" customHeight="1">
      <c r="A391" s="20"/>
      <c r="B391" s="21"/>
      <c r="C391" s="23"/>
      <c r="D391" s="23"/>
    </row>
    <row r="392" spans="1:4" ht="15.75" customHeight="1">
      <c r="A392" s="20"/>
      <c r="B392" s="21"/>
      <c r="C392" s="23"/>
      <c r="D392" s="23"/>
    </row>
    <row r="393" spans="1:4" ht="15.75" customHeight="1">
      <c r="A393" s="20"/>
      <c r="B393" s="21"/>
      <c r="C393" s="23"/>
      <c r="D393" s="23"/>
    </row>
    <row r="394" spans="1:4" ht="15.75" customHeight="1">
      <c r="A394" s="20"/>
      <c r="B394" s="21"/>
      <c r="C394" s="23"/>
      <c r="D394" s="23"/>
    </row>
    <row r="395" spans="1:4" ht="15.75" customHeight="1">
      <c r="A395" s="20"/>
      <c r="B395" s="21"/>
      <c r="C395" s="23"/>
      <c r="D395" s="23"/>
    </row>
    <row r="396" spans="1:4" ht="15.75" customHeight="1">
      <c r="A396" s="20"/>
      <c r="B396" s="21"/>
      <c r="C396" s="23"/>
      <c r="D396" s="23"/>
    </row>
    <row r="397" spans="1:4" ht="15.75" customHeight="1">
      <c r="A397" s="20"/>
      <c r="B397" s="21"/>
      <c r="C397" s="23"/>
      <c r="D397" s="23"/>
    </row>
    <row r="398" spans="1:4" ht="15.75" customHeight="1">
      <c r="A398" s="20"/>
      <c r="B398" s="21"/>
      <c r="C398" s="23"/>
      <c r="D398" s="23"/>
    </row>
    <row r="399" spans="1:4" ht="15.75" customHeight="1">
      <c r="A399" s="20"/>
      <c r="B399" s="21"/>
      <c r="C399" s="23"/>
      <c r="D399" s="23"/>
    </row>
    <row r="400" spans="1:4" ht="15.75" customHeight="1">
      <c r="A400" s="20"/>
      <c r="B400" s="21"/>
      <c r="C400" s="23"/>
      <c r="D400" s="23"/>
    </row>
    <row r="401" spans="1:4" ht="15.75" customHeight="1">
      <c r="A401" s="20"/>
      <c r="B401" s="21"/>
      <c r="C401" s="23"/>
      <c r="D401" s="23"/>
    </row>
    <row r="402" spans="1:4" ht="15.75" customHeight="1">
      <c r="A402" s="20"/>
      <c r="B402" s="21"/>
      <c r="C402" s="23"/>
      <c r="D402" s="23"/>
    </row>
    <row r="403" spans="1:4" ht="15.75" customHeight="1">
      <c r="A403" s="20"/>
      <c r="B403" s="21"/>
      <c r="C403" s="23"/>
      <c r="D403" s="23"/>
    </row>
    <row r="404" spans="1:4" ht="15.75" customHeight="1">
      <c r="A404" s="20"/>
      <c r="B404" s="21"/>
      <c r="C404" s="23"/>
      <c r="D404" s="23"/>
    </row>
    <row r="405" spans="1:4" ht="15.75" customHeight="1">
      <c r="A405" s="20"/>
      <c r="B405" s="21"/>
      <c r="C405" s="23"/>
      <c r="D405" s="23"/>
    </row>
    <row r="406" spans="1:4" ht="15.75" customHeight="1">
      <c r="A406" s="20"/>
      <c r="B406" s="21"/>
      <c r="C406" s="23"/>
      <c r="D406" s="23"/>
    </row>
    <row r="407" spans="1:4" ht="15.75" customHeight="1">
      <c r="A407" s="20"/>
      <c r="B407" s="21"/>
      <c r="C407" s="23"/>
      <c r="D407" s="23"/>
    </row>
    <row r="408" spans="1:4" ht="15.75" customHeight="1">
      <c r="A408" s="20"/>
      <c r="B408" s="21"/>
      <c r="C408" s="23"/>
      <c r="D408" s="23"/>
    </row>
    <row r="409" spans="1:4" ht="15.75" customHeight="1">
      <c r="A409" s="20"/>
      <c r="B409" s="21"/>
      <c r="C409" s="23"/>
      <c r="D409" s="23"/>
    </row>
    <row r="410" spans="1:4" ht="15.75" customHeight="1">
      <c r="A410" s="20"/>
      <c r="B410" s="21"/>
      <c r="C410" s="23"/>
      <c r="D410" s="23"/>
    </row>
    <row r="411" spans="1:4" ht="15.75" customHeight="1">
      <c r="A411" s="20"/>
      <c r="B411" s="21"/>
      <c r="C411" s="23"/>
      <c r="D411" s="23"/>
    </row>
    <row r="412" spans="1:4" ht="15.75" customHeight="1">
      <c r="A412" s="20"/>
      <c r="B412" s="21"/>
      <c r="C412" s="23"/>
      <c r="D412" s="23"/>
    </row>
    <row r="413" spans="1:4" ht="15.75" customHeight="1">
      <c r="A413" s="20"/>
      <c r="B413" s="21"/>
      <c r="C413" s="23"/>
      <c r="D413" s="23"/>
    </row>
    <row r="414" spans="1:4" ht="15.75" customHeight="1">
      <c r="A414" s="20"/>
      <c r="B414" s="21"/>
      <c r="C414" s="23"/>
      <c r="D414" s="23"/>
    </row>
    <row r="415" spans="1:4" ht="15.75" customHeight="1">
      <c r="A415" s="20"/>
      <c r="B415" s="21"/>
      <c r="C415" s="23"/>
      <c r="D415" s="23"/>
    </row>
    <row r="416" spans="1:4" ht="15.75" customHeight="1">
      <c r="A416" s="20"/>
      <c r="B416" s="21"/>
      <c r="C416" s="23"/>
      <c r="D416" s="23"/>
    </row>
    <row r="417" spans="1:4" ht="15.75" customHeight="1">
      <c r="A417" s="20"/>
      <c r="B417" s="21"/>
      <c r="C417" s="23"/>
      <c r="D417" s="23"/>
    </row>
    <row r="418" spans="1:4" ht="15.75" customHeight="1">
      <c r="A418" s="20"/>
      <c r="B418" s="21"/>
      <c r="C418" s="23"/>
      <c r="D418" s="23"/>
    </row>
    <row r="419" spans="1:4" ht="15.75" customHeight="1">
      <c r="A419" s="20"/>
      <c r="B419" s="21"/>
      <c r="C419" s="23"/>
      <c r="D419" s="23"/>
    </row>
    <row r="420" spans="1:4" ht="15.75" customHeight="1">
      <c r="A420" s="20"/>
      <c r="B420" s="21"/>
      <c r="C420" s="23"/>
      <c r="D420" s="23"/>
    </row>
    <row r="421" spans="1:4" ht="15.75" customHeight="1">
      <c r="A421" s="20"/>
      <c r="B421" s="21"/>
      <c r="C421" s="23"/>
      <c r="D421" s="23"/>
    </row>
    <row r="422" spans="1:4" ht="15.75" customHeight="1">
      <c r="A422" s="20"/>
      <c r="B422" s="21"/>
      <c r="C422" s="23"/>
      <c r="D422" s="23"/>
    </row>
    <row r="423" spans="1:4" ht="15.75" customHeight="1">
      <c r="A423" s="20"/>
      <c r="B423" s="21"/>
      <c r="C423" s="23"/>
      <c r="D423" s="23"/>
    </row>
    <row r="424" spans="1:4" ht="15.75" customHeight="1">
      <c r="A424" s="20"/>
      <c r="B424" s="21"/>
      <c r="C424" s="23"/>
      <c r="D424" s="23"/>
    </row>
    <row r="425" spans="1:4" ht="15.75" customHeight="1">
      <c r="A425" s="20"/>
      <c r="B425" s="21"/>
      <c r="C425" s="23"/>
      <c r="D425" s="23"/>
    </row>
    <row r="426" spans="1:4" ht="15.75" customHeight="1">
      <c r="A426" s="20"/>
      <c r="B426" s="21"/>
      <c r="C426" s="23"/>
      <c r="D426" s="23"/>
    </row>
    <row r="427" spans="1:4" ht="15.75" customHeight="1">
      <c r="A427" s="20"/>
      <c r="B427" s="21"/>
      <c r="C427" s="23"/>
      <c r="D427" s="23"/>
    </row>
    <row r="428" spans="1:4" ht="15.75" customHeight="1">
      <c r="A428" s="20"/>
      <c r="B428" s="21"/>
      <c r="C428" s="23"/>
      <c r="D428" s="23"/>
    </row>
    <row r="429" spans="1:4" ht="15.75" customHeight="1">
      <c r="A429" s="20"/>
      <c r="B429" s="21"/>
      <c r="C429" s="23"/>
      <c r="D429" s="23"/>
    </row>
    <row r="430" spans="1:4" ht="15.75" customHeight="1">
      <c r="A430" s="20"/>
      <c r="B430" s="21"/>
      <c r="C430" s="23"/>
      <c r="D430" s="23"/>
    </row>
    <row r="431" spans="1:4" ht="15.75" customHeight="1">
      <c r="A431" s="20"/>
      <c r="B431" s="21"/>
      <c r="C431" s="23"/>
      <c r="D431" s="23"/>
    </row>
    <row r="432" spans="1:4" ht="15.75" customHeight="1">
      <c r="A432" s="20"/>
      <c r="B432" s="21"/>
      <c r="C432" s="23"/>
      <c r="D432" s="23"/>
    </row>
    <row r="433" spans="1:4" ht="15.75" customHeight="1">
      <c r="A433" s="20"/>
      <c r="B433" s="21"/>
      <c r="C433" s="23"/>
      <c r="D433" s="23"/>
    </row>
    <row r="434" spans="1:4" ht="15.75" customHeight="1">
      <c r="A434" s="20"/>
      <c r="B434" s="21"/>
      <c r="C434" s="23"/>
      <c r="D434" s="23"/>
    </row>
    <row r="435" spans="1:4" ht="15.75" customHeight="1">
      <c r="A435" s="20"/>
      <c r="B435" s="21"/>
      <c r="C435" s="23"/>
      <c r="D435" s="23"/>
    </row>
    <row r="436" spans="1:4" ht="15.75" customHeight="1">
      <c r="A436" s="20"/>
      <c r="B436" s="21"/>
      <c r="C436" s="23"/>
      <c r="D436" s="23"/>
    </row>
    <row r="437" spans="1:4" ht="15.75" customHeight="1">
      <c r="A437" s="20"/>
      <c r="B437" s="21"/>
      <c r="C437" s="23"/>
      <c r="D437" s="23"/>
    </row>
    <row r="438" spans="1:4" ht="15.75" customHeight="1">
      <c r="A438" s="20"/>
      <c r="B438" s="21"/>
      <c r="C438" s="23"/>
      <c r="D438" s="23"/>
    </row>
    <row r="439" spans="1:4" ht="15.75" customHeight="1">
      <c r="A439" s="20"/>
      <c r="B439" s="21"/>
      <c r="C439" s="23"/>
      <c r="D439" s="23"/>
    </row>
    <row r="440" spans="1:4" ht="15.75" customHeight="1">
      <c r="A440" s="20"/>
      <c r="B440" s="21"/>
      <c r="C440" s="23"/>
      <c r="D440" s="23"/>
    </row>
    <row r="441" spans="1:4" ht="15.75" customHeight="1">
      <c r="A441" s="20"/>
      <c r="B441" s="21"/>
      <c r="C441" s="23"/>
      <c r="D441" s="23"/>
    </row>
    <row r="442" spans="1:4" ht="15.75" customHeight="1">
      <c r="A442" s="20"/>
      <c r="B442" s="21"/>
      <c r="C442" s="23"/>
      <c r="D442" s="23"/>
    </row>
    <row r="443" spans="1:4" ht="15.75" customHeight="1">
      <c r="A443" s="20"/>
      <c r="B443" s="21"/>
      <c r="C443" s="23"/>
      <c r="D443" s="23"/>
    </row>
    <row r="444" spans="1:4" ht="15.75" customHeight="1">
      <c r="A444" s="20"/>
      <c r="B444" s="21"/>
      <c r="C444" s="23"/>
      <c r="D444" s="23"/>
    </row>
    <row r="445" spans="1:4" ht="15.75" customHeight="1">
      <c r="A445" s="20"/>
      <c r="B445" s="21"/>
      <c r="C445" s="23"/>
      <c r="D445" s="23"/>
    </row>
    <row r="446" spans="1:4" ht="15.75" customHeight="1">
      <c r="A446" s="20"/>
      <c r="B446" s="21"/>
      <c r="C446" s="23"/>
      <c r="D446" s="23"/>
    </row>
    <row r="447" spans="1:4" ht="15.75" customHeight="1">
      <c r="A447" s="20"/>
      <c r="B447" s="21"/>
      <c r="C447" s="23"/>
      <c r="D447" s="23"/>
    </row>
    <row r="448" spans="1:4" ht="15.75" customHeight="1">
      <c r="A448" s="20"/>
      <c r="B448" s="21"/>
      <c r="C448" s="23"/>
      <c r="D448" s="23"/>
    </row>
    <row r="449" spans="1:4" ht="15.75" customHeight="1">
      <c r="A449" s="20"/>
      <c r="B449" s="21"/>
      <c r="C449" s="23"/>
      <c r="D449" s="23"/>
    </row>
    <row r="450" spans="1:4" ht="15.75" customHeight="1">
      <c r="A450" s="20"/>
      <c r="B450" s="21"/>
      <c r="C450" s="23"/>
      <c r="D450" s="23"/>
    </row>
    <row r="451" spans="1:4" ht="15.75" customHeight="1">
      <c r="A451" s="20"/>
      <c r="B451" s="21"/>
      <c r="C451" s="23"/>
      <c r="D451" s="23"/>
    </row>
    <row r="452" spans="1:4" ht="15.75" customHeight="1">
      <c r="A452" s="20"/>
      <c r="B452" s="21"/>
      <c r="C452" s="23"/>
      <c r="D452" s="23"/>
    </row>
    <row r="453" spans="1:4" ht="15.75" customHeight="1">
      <c r="A453" s="20"/>
      <c r="B453" s="21"/>
      <c r="C453" s="23"/>
      <c r="D453" s="23"/>
    </row>
    <row r="454" spans="1:4" ht="15.75" customHeight="1">
      <c r="A454" s="20"/>
      <c r="B454" s="21"/>
      <c r="C454" s="23"/>
      <c r="D454" s="23"/>
    </row>
    <row r="455" spans="1:4" ht="15.75" customHeight="1">
      <c r="A455" s="20"/>
      <c r="B455" s="21"/>
      <c r="C455" s="23"/>
      <c r="D455" s="23"/>
    </row>
    <row r="456" spans="1:4" ht="15.75" customHeight="1">
      <c r="A456" s="20"/>
      <c r="B456" s="21"/>
      <c r="C456" s="23"/>
      <c r="D456" s="23"/>
    </row>
    <row r="457" spans="1:4" ht="15.75" customHeight="1">
      <c r="A457" s="20"/>
      <c r="B457" s="21"/>
      <c r="C457" s="23"/>
      <c r="D457" s="23"/>
    </row>
    <row r="458" spans="1:4" ht="15.75" customHeight="1">
      <c r="A458" s="20"/>
      <c r="B458" s="21"/>
      <c r="C458" s="23"/>
      <c r="D458" s="23"/>
    </row>
    <row r="459" spans="1:4" ht="15.75" customHeight="1">
      <c r="A459" s="20"/>
      <c r="B459" s="21"/>
      <c r="C459" s="23"/>
      <c r="D459" s="23"/>
    </row>
    <row r="460" spans="1:4" ht="15.75" customHeight="1">
      <c r="A460" s="20"/>
      <c r="B460" s="21"/>
      <c r="C460" s="23"/>
      <c r="D460" s="23"/>
    </row>
    <row r="461" spans="1:4" ht="15.75" customHeight="1">
      <c r="A461" s="20"/>
      <c r="B461" s="21"/>
      <c r="C461" s="23"/>
      <c r="D461" s="23"/>
    </row>
    <row r="462" spans="1:4" ht="15.75" customHeight="1">
      <c r="A462" s="20"/>
      <c r="B462" s="21"/>
      <c r="C462" s="23"/>
      <c r="D462" s="23"/>
    </row>
    <row r="463" spans="1:4" ht="15.75" customHeight="1">
      <c r="A463" s="20"/>
      <c r="B463" s="21"/>
      <c r="C463" s="23"/>
      <c r="D463" s="23"/>
    </row>
    <row r="464" spans="1:4" ht="15.75" customHeight="1">
      <c r="A464" s="20"/>
      <c r="B464" s="21"/>
      <c r="C464" s="23"/>
      <c r="D464" s="23"/>
    </row>
    <row r="465" spans="1:4" ht="15.75" customHeight="1">
      <c r="A465" s="20"/>
      <c r="B465" s="21"/>
      <c r="C465" s="23"/>
      <c r="D465" s="23"/>
    </row>
    <row r="466" spans="1:4" ht="15.75" customHeight="1">
      <c r="A466" s="20"/>
      <c r="B466" s="21"/>
      <c r="C466" s="23"/>
      <c r="D466" s="23"/>
    </row>
    <row r="467" spans="1:4" ht="15.75" customHeight="1">
      <c r="A467" s="20"/>
      <c r="B467" s="21"/>
      <c r="C467" s="23"/>
      <c r="D467" s="23"/>
    </row>
    <row r="468" spans="1:4" ht="15.75" customHeight="1">
      <c r="A468" s="20"/>
      <c r="B468" s="21"/>
      <c r="C468" s="23"/>
      <c r="D468" s="23"/>
    </row>
    <row r="469" spans="1:4" ht="15.75" customHeight="1">
      <c r="A469" s="20"/>
      <c r="B469" s="21"/>
      <c r="C469" s="23"/>
      <c r="D469" s="23"/>
    </row>
    <row r="470" spans="1:4" ht="15.75" customHeight="1">
      <c r="A470" s="20"/>
      <c r="B470" s="21"/>
      <c r="C470" s="23"/>
      <c r="D470" s="23"/>
    </row>
    <row r="471" spans="1:4" ht="15.75" customHeight="1">
      <c r="A471" s="20"/>
      <c r="B471" s="21"/>
      <c r="C471" s="23"/>
      <c r="D471" s="23"/>
    </row>
    <row r="472" spans="1:4" ht="15.75" customHeight="1">
      <c r="A472" s="20"/>
      <c r="B472" s="21"/>
      <c r="C472" s="23"/>
      <c r="D472" s="23"/>
    </row>
    <row r="473" spans="1:4" ht="15.75" customHeight="1">
      <c r="A473" s="20"/>
      <c r="B473" s="21"/>
      <c r="C473" s="23"/>
      <c r="D473" s="23"/>
    </row>
    <row r="474" spans="1:4" ht="15.75" customHeight="1">
      <c r="A474" s="20"/>
      <c r="B474" s="21"/>
      <c r="C474" s="23"/>
      <c r="D474" s="23"/>
    </row>
    <row r="475" spans="1:4" ht="15.75" customHeight="1">
      <c r="A475" s="20"/>
      <c r="B475" s="21"/>
      <c r="C475" s="23"/>
      <c r="D475" s="23"/>
    </row>
    <row r="476" spans="1:4" ht="15.75" customHeight="1">
      <c r="A476" s="20"/>
      <c r="B476" s="21"/>
      <c r="C476" s="23"/>
      <c r="D476" s="23"/>
    </row>
    <row r="477" spans="1:4" ht="15.75" customHeight="1">
      <c r="A477" s="20"/>
      <c r="B477" s="21"/>
      <c r="C477" s="23"/>
      <c r="D477" s="23"/>
    </row>
    <row r="478" spans="1:4" ht="15.75" customHeight="1">
      <c r="A478" s="20"/>
      <c r="B478" s="21"/>
      <c r="C478" s="23"/>
      <c r="D478" s="23"/>
    </row>
    <row r="479" spans="1:4" ht="15.75" customHeight="1">
      <c r="A479" s="20"/>
      <c r="B479" s="21"/>
      <c r="C479" s="23"/>
      <c r="D479" s="23"/>
    </row>
    <row r="480" spans="1:4" ht="15.75" customHeight="1">
      <c r="A480" s="20"/>
      <c r="B480" s="21"/>
      <c r="C480" s="23"/>
      <c r="D480" s="23"/>
    </row>
    <row r="481" spans="1:4" ht="15.75" customHeight="1">
      <c r="A481" s="20"/>
      <c r="B481" s="21"/>
      <c r="C481" s="23"/>
      <c r="D481" s="23"/>
    </row>
    <row r="482" spans="1:4" ht="15.75" customHeight="1">
      <c r="A482" s="20"/>
      <c r="B482" s="21"/>
      <c r="C482" s="23"/>
      <c r="D482" s="23"/>
    </row>
    <row r="483" spans="1:4" ht="15.75" customHeight="1">
      <c r="A483" s="20"/>
      <c r="B483" s="21"/>
      <c r="C483" s="23"/>
      <c r="D483" s="23"/>
    </row>
    <row r="484" spans="1:4" ht="15.75" customHeight="1">
      <c r="A484" s="20"/>
      <c r="B484" s="21"/>
      <c r="C484" s="23"/>
      <c r="D484" s="23"/>
    </row>
    <row r="485" spans="1:4" ht="15.75" customHeight="1">
      <c r="A485" s="20"/>
      <c r="B485" s="21"/>
      <c r="C485" s="23"/>
      <c r="D485" s="23"/>
    </row>
    <row r="486" spans="1:4" ht="15.75" customHeight="1">
      <c r="A486" s="20"/>
      <c r="B486" s="21"/>
      <c r="C486" s="23"/>
      <c r="D486" s="23"/>
    </row>
    <row r="487" spans="1:4" ht="15.75" customHeight="1">
      <c r="A487" s="20"/>
      <c r="B487" s="21"/>
      <c r="C487" s="23"/>
      <c r="D487" s="23"/>
    </row>
    <row r="488" spans="1:4" ht="15.75" customHeight="1">
      <c r="A488" s="20"/>
      <c r="B488" s="21"/>
      <c r="C488" s="23"/>
      <c r="D488" s="23"/>
    </row>
    <row r="489" spans="1:4" ht="15.75" customHeight="1">
      <c r="A489" s="20"/>
      <c r="B489" s="21"/>
      <c r="C489" s="23"/>
      <c r="D489" s="23"/>
    </row>
    <row r="490" spans="1:4" ht="15.75" customHeight="1">
      <c r="A490" s="20"/>
      <c r="B490" s="21"/>
      <c r="C490" s="23"/>
      <c r="D490" s="23"/>
    </row>
    <row r="491" spans="1:4" ht="15.75" customHeight="1">
      <c r="A491" s="20"/>
      <c r="B491" s="21"/>
      <c r="C491" s="23"/>
      <c r="D491" s="23"/>
    </row>
    <row r="492" spans="1:4" ht="15.75" customHeight="1">
      <c r="A492" s="20"/>
      <c r="B492" s="21"/>
      <c r="C492" s="23"/>
      <c r="D492" s="23"/>
    </row>
    <row r="493" spans="1:4" ht="15.75" customHeight="1">
      <c r="A493" s="20"/>
      <c r="B493" s="21"/>
      <c r="C493" s="23"/>
      <c r="D493" s="23"/>
    </row>
    <row r="494" spans="1:4" ht="15.75" customHeight="1">
      <c r="A494" s="20"/>
      <c r="B494" s="21"/>
      <c r="C494" s="23"/>
      <c r="D494" s="23"/>
    </row>
    <row r="495" spans="1:4" ht="15.75" customHeight="1">
      <c r="A495" s="20"/>
      <c r="B495" s="21"/>
      <c r="C495" s="23"/>
      <c r="D495" s="23"/>
    </row>
    <row r="496" spans="1:4" ht="15.75" customHeight="1">
      <c r="A496" s="20"/>
      <c r="B496" s="21"/>
      <c r="C496" s="23"/>
      <c r="D496" s="23"/>
    </row>
    <row r="497" spans="1:4" ht="15.75" customHeight="1">
      <c r="A497" s="20"/>
      <c r="B497" s="21"/>
      <c r="C497" s="23"/>
      <c r="D497" s="23"/>
    </row>
    <row r="498" spans="1:4" ht="15.75" customHeight="1">
      <c r="A498" s="20"/>
      <c r="B498" s="21"/>
      <c r="C498" s="23"/>
      <c r="D498" s="23"/>
    </row>
    <row r="499" spans="1:4" ht="15.75" customHeight="1">
      <c r="A499" s="20"/>
      <c r="B499" s="21"/>
      <c r="C499" s="23"/>
      <c r="D499" s="23"/>
    </row>
    <row r="500" spans="1:4" ht="15.75" customHeight="1">
      <c r="A500" s="20"/>
      <c r="B500" s="21"/>
      <c r="C500" s="23"/>
      <c r="D500" s="23"/>
    </row>
    <row r="501" spans="1:4" ht="15.75" customHeight="1">
      <c r="A501" s="20"/>
      <c r="B501" s="21"/>
      <c r="C501" s="23"/>
      <c r="D501" s="23"/>
    </row>
    <row r="502" spans="1:4" ht="15.75" customHeight="1">
      <c r="A502" s="20"/>
      <c r="B502" s="21"/>
      <c r="C502" s="23"/>
      <c r="D502" s="23"/>
    </row>
    <row r="503" spans="1:4" ht="15.75" customHeight="1">
      <c r="A503" s="20"/>
      <c r="B503" s="21"/>
      <c r="C503" s="23"/>
      <c r="D503" s="23"/>
    </row>
    <row r="504" spans="1:4" ht="15.75" customHeight="1">
      <c r="A504" s="20"/>
      <c r="B504" s="21"/>
      <c r="C504" s="23"/>
      <c r="D504" s="23"/>
    </row>
    <row r="505" spans="1:4" ht="15.75" customHeight="1">
      <c r="A505" s="20"/>
      <c r="B505" s="21"/>
      <c r="C505" s="23"/>
      <c r="D505" s="23"/>
    </row>
    <row r="506" spans="1:4" ht="15.75" customHeight="1">
      <c r="A506" s="20"/>
      <c r="B506" s="21"/>
      <c r="C506" s="23"/>
      <c r="D506" s="23"/>
    </row>
    <row r="507" spans="1:4" ht="15.75" customHeight="1">
      <c r="A507" s="20"/>
      <c r="B507" s="21"/>
      <c r="C507" s="23"/>
      <c r="D507" s="23"/>
    </row>
    <row r="508" spans="1:4" ht="15.75" customHeight="1">
      <c r="A508" s="20"/>
      <c r="B508" s="21"/>
      <c r="C508" s="23"/>
      <c r="D508" s="23"/>
    </row>
    <row r="509" spans="1:4" ht="15.75" customHeight="1">
      <c r="A509" s="20"/>
      <c r="B509" s="21"/>
      <c r="C509" s="23"/>
      <c r="D509" s="23"/>
    </row>
    <row r="510" spans="1:4" ht="15.75" customHeight="1">
      <c r="A510" s="20"/>
      <c r="B510" s="21"/>
      <c r="C510" s="23"/>
      <c r="D510" s="23"/>
    </row>
    <row r="511" spans="1:4" ht="15.75" customHeight="1">
      <c r="A511" s="20"/>
      <c r="B511" s="21"/>
      <c r="C511" s="23"/>
      <c r="D511" s="23"/>
    </row>
    <row r="512" spans="1:4" ht="15.75" customHeight="1">
      <c r="A512" s="20"/>
      <c r="B512" s="21"/>
      <c r="C512" s="23"/>
      <c r="D512" s="23"/>
    </row>
    <row r="513" spans="1:4" ht="15.75" customHeight="1">
      <c r="A513" s="20"/>
      <c r="B513" s="21"/>
      <c r="C513" s="23"/>
      <c r="D513" s="23"/>
    </row>
    <row r="514" spans="1:4" ht="15.75" customHeight="1">
      <c r="A514" s="20"/>
      <c r="B514" s="21"/>
      <c r="C514" s="23"/>
      <c r="D514" s="23"/>
    </row>
    <row r="515" spans="1:4" ht="15.75" customHeight="1">
      <c r="A515" s="20"/>
      <c r="B515" s="21"/>
      <c r="C515" s="23"/>
      <c r="D515" s="23"/>
    </row>
    <row r="516" spans="1:4" ht="15.75" customHeight="1">
      <c r="A516" s="20"/>
      <c r="B516" s="21"/>
      <c r="C516" s="23"/>
      <c r="D516" s="23"/>
    </row>
    <row r="517" spans="1:4" ht="15.75" customHeight="1">
      <c r="A517" s="20"/>
      <c r="B517" s="21"/>
      <c r="C517" s="23"/>
      <c r="D517" s="23"/>
    </row>
    <row r="518" spans="1:4" ht="15.75" customHeight="1">
      <c r="A518" s="20"/>
      <c r="B518" s="21"/>
      <c r="C518" s="23"/>
      <c r="D518" s="23"/>
    </row>
    <row r="519" spans="1:4" ht="15.75" customHeight="1">
      <c r="A519" s="20"/>
      <c r="B519" s="21"/>
      <c r="C519" s="23"/>
      <c r="D519" s="23"/>
    </row>
    <row r="520" spans="1:4" ht="15.75" customHeight="1">
      <c r="A520" s="20"/>
      <c r="B520" s="21"/>
      <c r="C520" s="23"/>
      <c r="D520" s="23"/>
    </row>
    <row r="521" spans="1:4" ht="15.75" customHeight="1">
      <c r="A521" s="20"/>
      <c r="B521" s="21"/>
      <c r="C521" s="23"/>
      <c r="D521" s="23"/>
    </row>
    <row r="522" spans="1:4" ht="15.75" customHeight="1">
      <c r="A522" s="20"/>
      <c r="B522" s="21"/>
      <c r="C522" s="23"/>
      <c r="D522" s="23"/>
    </row>
    <row r="523" spans="1:4" ht="15.75" customHeight="1">
      <c r="A523" s="20"/>
      <c r="B523" s="21"/>
      <c r="C523" s="23"/>
      <c r="D523" s="23"/>
    </row>
    <row r="524" spans="1:4" ht="15.75" customHeight="1">
      <c r="A524" s="20"/>
      <c r="B524" s="21"/>
      <c r="C524" s="23"/>
      <c r="D524" s="23"/>
    </row>
    <row r="525" spans="1:4" ht="15.75" customHeight="1">
      <c r="A525" s="20"/>
      <c r="B525" s="21"/>
      <c r="C525" s="23"/>
      <c r="D525" s="23"/>
    </row>
    <row r="526" spans="1:4" ht="15.75" customHeight="1">
      <c r="A526" s="20"/>
      <c r="B526" s="21"/>
      <c r="C526" s="23"/>
      <c r="D526" s="23"/>
    </row>
    <row r="527" spans="1:4" ht="15.75" customHeight="1">
      <c r="A527" s="20"/>
      <c r="B527" s="21"/>
      <c r="C527" s="23"/>
      <c r="D527" s="23"/>
    </row>
    <row r="528" spans="1:4" ht="15.75" customHeight="1">
      <c r="A528" s="20"/>
      <c r="B528" s="21"/>
      <c r="C528" s="23"/>
      <c r="D528" s="23"/>
    </row>
    <row r="529" spans="1:4" ht="15.75" customHeight="1">
      <c r="A529" s="20"/>
      <c r="B529" s="21"/>
      <c r="C529" s="23"/>
      <c r="D529" s="23"/>
    </row>
    <row r="530" spans="1:4" ht="15.75" customHeight="1">
      <c r="A530" s="20"/>
      <c r="B530" s="21"/>
      <c r="C530" s="23"/>
      <c r="D530" s="23"/>
    </row>
    <row r="531" spans="1:4" ht="15.75" customHeight="1">
      <c r="A531" s="20"/>
      <c r="B531" s="21"/>
      <c r="C531" s="23"/>
      <c r="D531" s="23"/>
    </row>
    <row r="532" spans="1:4" ht="15.75" customHeight="1">
      <c r="A532" s="20"/>
      <c r="B532" s="21"/>
      <c r="C532" s="23"/>
      <c r="D532" s="23"/>
    </row>
    <row r="533" spans="1:4" ht="15.75" customHeight="1">
      <c r="A533" s="20"/>
      <c r="B533" s="21"/>
      <c r="C533" s="23"/>
      <c r="D533" s="23"/>
    </row>
    <row r="534" spans="1:4" ht="15.75" customHeight="1">
      <c r="A534" s="20"/>
      <c r="B534" s="21"/>
      <c r="C534" s="23"/>
      <c r="D534" s="23"/>
    </row>
    <row r="535" spans="1:4" ht="15.75" customHeight="1">
      <c r="A535" s="20"/>
      <c r="B535" s="21"/>
      <c r="C535" s="23"/>
      <c r="D535" s="23"/>
    </row>
    <row r="536" spans="1:4" ht="15.75" customHeight="1">
      <c r="A536" s="20"/>
      <c r="B536" s="21"/>
      <c r="C536" s="23"/>
      <c r="D536" s="23"/>
    </row>
    <row r="537" spans="1:4" ht="15.75" customHeight="1">
      <c r="A537" s="20"/>
      <c r="B537" s="21"/>
      <c r="C537" s="23"/>
      <c r="D537" s="23"/>
    </row>
    <row r="538" spans="1:4" ht="15.75" customHeight="1">
      <c r="A538" s="20"/>
      <c r="B538" s="21"/>
      <c r="C538" s="23"/>
      <c r="D538" s="23"/>
    </row>
    <row r="539" spans="1:4" ht="15.75" customHeight="1">
      <c r="A539" s="20"/>
      <c r="B539" s="21"/>
      <c r="C539" s="23"/>
      <c r="D539" s="23"/>
    </row>
    <row r="540" spans="1:4" ht="15.75" customHeight="1">
      <c r="A540" s="20"/>
      <c r="B540" s="21"/>
      <c r="C540" s="23"/>
      <c r="D540" s="23"/>
    </row>
    <row r="541" spans="1:4" ht="15.75" customHeight="1">
      <c r="A541" s="20"/>
      <c r="B541" s="21"/>
      <c r="C541" s="23"/>
      <c r="D541" s="23"/>
    </row>
    <row r="542" spans="1:4" ht="15.75" customHeight="1">
      <c r="A542" s="20"/>
      <c r="B542" s="21"/>
      <c r="C542" s="23"/>
      <c r="D542" s="23"/>
    </row>
    <row r="543" spans="1:4" ht="15.75" customHeight="1">
      <c r="A543" s="20"/>
      <c r="B543" s="21"/>
      <c r="C543" s="23"/>
      <c r="D543" s="23"/>
    </row>
    <row r="544" spans="1:4" ht="15.75" customHeight="1">
      <c r="A544" s="20"/>
      <c r="B544" s="21"/>
      <c r="C544" s="23"/>
      <c r="D544" s="23"/>
    </row>
    <row r="545" spans="1:4" ht="15.75" customHeight="1">
      <c r="A545" s="20"/>
      <c r="B545" s="23"/>
      <c r="C545" s="23"/>
      <c r="D545" s="23"/>
    </row>
    <row r="546" spans="1:4" ht="15.75" customHeight="1">
      <c r="A546" s="20"/>
      <c r="B546" s="23"/>
      <c r="C546" s="23"/>
      <c r="D546" s="23"/>
    </row>
    <row r="547" spans="1:4" ht="15.75" customHeight="1">
      <c r="A547" s="20"/>
      <c r="B547" s="23"/>
      <c r="C547" s="23"/>
      <c r="D547" s="23"/>
    </row>
    <row r="548" spans="1:4" ht="15.75" customHeight="1">
      <c r="A548" s="20"/>
      <c r="B548" s="23"/>
      <c r="C548" s="23"/>
      <c r="D548" s="23"/>
    </row>
    <row r="549" spans="1:4" ht="15.75" customHeight="1">
      <c r="A549" s="20"/>
      <c r="B549" s="23"/>
      <c r="C549" s="23"/>
      <c r="D549" s="23"/>
    </row>
    <row r="550" spans="1:4" ht="15.75" customHeight="1">
      <c r="A550" s="20"/>
      <c r="B550" s="23"/>
      <c r="C550" s="23"/>
      <c r="D550" s="23"/>
    </row>
    <row r="551" spans="1:4" ht="15.75" customHeight="1">
      <c r="A551" s="20"/>
      <c r="B551" s="23"/>
      <c r="C551" s="23"/>
      <c r="D551" s="23"/>
    </row>
    <row r="552" spans="1:4" ht="15.75" customHeight="1">
      <c r="A552" s="20"/>
      <c r="B552" s="23"/>
      <c r="C552" s="23"/>
      <c r="D552" s="23"/>
    </row>
    <row r="553" spans="1:4" ht="15.75" customHeight="1">
      <c r="A553" s="20"/>
      <c r="B553" s="23"/>
      <c r="C553" s="23"/>
      <c r="D553" s="23"/>
    </row>
    <row r="554" spans="1:4" ht="15.75" customHeight="1">
      <c r="A554" s="20"/>
      <c r="B554" s="23"/>
      <c r="C554" s="23"/>
      <c r="D554" s="23"/>
    </row>
    <row r="555" spans="1:4" ht="15.75" customHeight="1">
      <c r="A555" s="20"/>
      <c r="B555" s="23"/>
      <c r="C555" s="23"/>
      <c r="D555" s="23"/>
    </row>
    <row r="556" spans="1:4" ht="15.75" customHeight="1">
      <c r="A556" s="20"/>
      <c r="B556" s="23"/>
      <c r="C556" s="23"/>
      <c r="D556" s="23"/>
    </row>
    <row r="557" spans="1:4" ht="15.75" customHeight="1">
      <c r="A557" s="20"/>
      <c r="B557" s="23"/>
      <c r="C557" s="23"/>
      <c r="D557" s="23"/>
    </row>
    <row r="558" spans="1:4" ht="15.75" customHeight="1">
      <c r="A558" s="20"/>
      <c r="B558" s="23"/>
      <c r="C558" s="23"/>
      <c r="D558" s="23"/>
    </row>
    <row r="559" spans="1:4" ht="15.75" customHeight="1">
      <c r="A559" s="20"/>
      <c r="B559" s="23"/>
      <c r="C559" s="23"/>
      <c r="D559" s="23"/>
    </row>
    <row r="560" spans="1:4" ht="15.75" customHeight="1">
      <c r="A560" s="20"/>
      <c r="B560" s="23"/>
      <c r="C560" s="23"/>
      <c r="D560" s="23"/>
    </row>
    <row r="561" spans="1:4" ht="15.75" customHeight="1">
      <c r="A561" s="20"/>
      <c r="B561" s="23"/>
      <c r="C561" s="23"/>
      <c r="D561" s="23"/>
    </row>
    <row r="562" spans="1:4" ht="15.75" customHeight="1">
      <c r="A562" s="20"/>
      <c r="B562" s="23"/>
      <c r="C562" s="23"/>
      <c r="D562" s="23"/>
    </row>
    <row r="563" spans="1:4" ht="15.75" customHeight="1">
      <c r="A563" s="20"/>
      <c r="B563" s="23"/>
      <c r="C563" s="23"/>
      <c r="D563" s="23"/>
    </row>
    <row r="564" spans="1:4" ht="15.75" customHeight="1">
      <c r="A564" s="20"/>
      <c r="B564" s="23"/>
      <c r="C564" s="23"/>
      <c r="D564" s="23"/>
    </row>
    <row r="565" spans="1:4" ht="15.75" customHeight="1">
      <c r="A565" s="20"/>
      <c r="B565" s="23"/>
      <c r="C565" s="23"/>
      <c r="D565" s="23"/>
    </row>
    <row r="566" spans="1:4" ht="15.75" customHeight="1">
      <c r="A566" s="20"/>
      <c r="B566" s="23"/>
      <c r="C566" s="23"/>
      <c r="D566" s="23"/>
    </row>
    <row r="567" spans="1:4" ht="15.75" customHeight="1">
      <c r="A567" s="20"/>
      <c r="B567" s="23"/>
      <c r="C567" s="23"/>
      <c r="D567" s="23"/>
    </row>
    <row r="568" spans="1:4" ht="15.75" customHeight="1">
      <c r="A568" s="20"/>
      <c r="B568" s="23"/>
      <c r="C568" s="23"/>
      <c r="D568" s="23"/>
    </row>
    <row r="569" spans="1:4" ht="15.75" customHeight="1">
      <c r="A569" s="20"/>
      <c r="B569" s="23"/>
      <c r="C569" s="23"/>
      <c r="D569" s="23"/>
    </row>
    <row r="570" spans="1:4" ht="15.75" customHeight="1">
      <c r="A570" s="20"/>
      <c r="B570" s="23"/>
      <c r="C570" s="23"/>
      <c r="D570" s="23"/>
    </row>
    <row r="571" spans="1:4" ht="15.75" customHeight="1">
      <c r="A571" s="20"/>
      <c r="B571" s="23"/>
      <c r="C571" s="23"/>
      <c r="D571" s="23"/>
    </row>
    <row r="572" spans="1:4" ht="15.75" customHeight="1">
      <c r="A572" s="20"/>
      <c r="B572" s="23"/>
      <c r="C572" s="23"/>
      <c r="D572" s="23"/>
    </row>
    <row r="573" spans="1:4" ht="15.75" customHeight="1">
      <c r="A573" s="20"/>
      <c r="B573" s="23"/>
      <c r="C573" s="23"/>
      <c r="D573" s="23"/>
    </row>
    <row r="574" spans="1:4" ht="15.75" customHeight="1">
      <c r="A574" s="20"/>
      <c r="B574" s="23"/>
      <c r="C574" s="23"/>
      <c r="D574" s="23"/>
    </row>
    <row r="575" spans="1:4" ht="15.75" customHeight="1">
      <c r="A575" s="20"/>
      <c r="B575" s="23"/>
      <c r="C575" s="23"/>
      <c r="D575" s="23"/>
    </row>
    <row r="576" spans="1:4" ht="15.75" customHeight="1">
      <c r="A576" s="20"/>
      <c r="B576" s="23"/>
      <c r="C576" s="23"/>
      <c r="D576" s="23"/>
    </row>
    <row r="577" spans="1:4" ht="15.75" customHeight="1">
      <c r="A577" s="20"/>
      <c r="B577" s="23"/>
      <c r="C577" s="23"/>
      <c r="D577" s="23"/>
    </row>
    <row r="578" spans="1:4" ht="15.75" customHeight="1">
      <c r="A578" s="20"/>
      <c r="B578" s="23"/>
      <c r="C578" s="23"/>
      <c r="D578" s="23"/>
    </row>
    <row r="579" spans="1:4" ht="15.75" customHeight="1">
      <c r="A579" s="20"/>
      <c r="B579" s="23"/>
      <c r="C579" s="23"/>
      <c r="D579" s="23"/>
    </row>
    <row r="580" spans="1:4" ht="15.75" customHeight="1">
      <c r="A580" s="20"/>
      <c r="B580" s="23"/>
      <c r="C580" s="23"/>
      <c r="D580" s="23"/>
    </row>
    <row r="581" spans="1:4" ht="15.75" customHeight="1">
      <c r="A581" s="20"/>
      <c r="B581" s="23"/>
      <c r="C581" s="23"/>
      <c r="D581" s="23"/>
    </row>
    <row r="582" spans="1:4" ht="15.75" customHeight="1">
      <c r="A582" s="20"/>
      <c r="B582" s="23"/>
      <c r="C582" s="23"/>
      <c r="D582" s="23"/>
    </row>
    <row r="583" spans="1:4" ht="15.75" customHeight="1">
      <c r="A583" s="20"/>
      <c r="B583" s="23"/>
      <c r="C583" s="23"/>
      <c r="D583" s="23"/>
    </row>
    <row r="584" spans="1:4" ht="15.75" customHeight="1">
      <c r="A584" s="20"/>
      <c r="B584" s="23"/>
      <c r="C584" s="23"/>
      <c r="D584" s="23"/>
    </row>
    <row r="585" spans="1:4" ht="15.75" customHeight="1">
      <c r="A585" s="20"/>
      <c r="B585" s="23"/>
      <c r="C585" s="23"/>
      <c r="D585" s="23"/>
    </row>
    <row r="586" spans="1:4" ht="15.75" customHeight="1">
      <c r="A586" s="20"/>
      <c r="B586" s="23"/>
      <c r="C586" s="23"/>
      <c r="D586" s="23"/>
    </row>
    <row r="587" spans="1:4" ht="15.75" customHeight="1">
      <c r="A587" s="20"/>
      <c r="B587" s="23"/>
      <c r="C587" s="23"/>
      <c r="D587" s="23"/>
    </row>
    <row r="588" spans="1:4" ht="15.75" customHeight="1">
      <c r="A588" s="20"/>
      <c r="B588" s="23"/>
      <c r="C588" s="23"/>
      <c r="D588" s="23"/>
    </row>
    <row r="589" spans="1:4" ht="15.75" customHeight="1">
      <c r="A589" s="20"/>
      <c r="B589" s="23"/>
      <c r="C589" s="23"/>
      <c r="D589" s="23"/>
    </row>
    <row r="590" spans="1:4" ht="15.75" customHeight="1">
      <c r="A590" s="20"/>
      <c r="B590" s="23"/>
      <c r="C590" s="23"/>
      <c r="D590" s="23"/>
    </row>
    <row r="591" spans="1:4" ht="15.75" customHeight="1">
      <c r="A591" s="20"/>
      <c r="B591" s="23"/>
      <c r="C591" s="23"/>
      <c r="D591" s="23"/>
    </row>
    <row r="592" spans="1:4" ht="15.75" customHeight="1">
      <c r="A592" s="20"/>
      <c r="B592" s="23"/>
      <c r="C592" s="23"/>
      <c r="D592" s="23"/>
    </row>
    <row r="593" spans="1:4" ht="15.75" customHeight="1">
      <c r="A593" s="20"/>
      <c r="B593" s="23"/>
      <c r="C593" s="23"/>
      <c r="D593" s="23"/>
    </row>
    <row r="594" spans="1:4" ht="15.75" customHeight="1">
      <c r="A594" s="20"/>
      <c r="B594" s="23"/>
      <c r="C594" s="23"/>
      <c r="D594" s="23"/>
    </row>
    <row r="595" spans="1:4" ht="15.75" customHeight="1">
      <c r="A595" s="20"/>
      <c r="B595" s="23"/>
      <c r="C595" s="23"/>
      <c r="D595" s="23"/>
    </row>
    <row r="596" spans="1:4" ht="15.75" customHeight="1">
      <c r="A596" s="20"/>
      <c r="B596" s="23"/>
      <c r="C596" s="23"/>
      <c r="D596" s="23"/>
    </row>
    <row r="597" spans="1:4" ht="15.75" customHeight="1">
      <c r="A597" s="20"/>
      <c r="B597" s="23"/>
      <c r="C597" s="23"/>
      <c r="D597" s="23"/>
    </row>
    <row r="598" spans="1:4" ht="15.75" customHeight="1">
      <c r="A598" s="20"/>
      <c r="B598" s="23"/>
      <c r="C598" s="23"/>
      <c r="D598" s="23"/>
    </row>
    <row r="599" spans="1:4" ht="15.75" customHeight="1">
      <c r="A599" s="20"/>
      <c r="B599" s="23"/>
      <c r="C599" s="23"/>
      <c r="D599" s="23"/>
    </row>
    <row r="600" spans="1:4" ht="15.75" customHeight="1">
      <c r="A600" s="20"/>
      <c r="B600" s="23"/>
      <c r="C600" s="23"/>
      <c r="D600" s="23"/>
    </row>
    <row r="601" spans="1:4" ht="15.75" customHeight="1">
      <c r="A601" s="20"/>
      <c r="B601" s="23"/>
      <c r="C601" s="23"/>
      <c r="D601" s="23"/>
    </row>
    <row r="602" spans="1:4" ht="15.75" customHeight="1">
      <c r="A602" s="20"/>
      <c r="B602" s="23"/>
      <c r="C602" s="23"/>
      <c r="D602" s="23"/>
    </row>
    <row r="603" spans="1:4" ht="15.75" customHeight="1">
      <c r="A603" s="20"/>
      <c r="B603" s="23"/>
      <c r="C603" s="23"/>
      <c r="D603" s="23"/>
    </row>
    <row r="604" spans="1:4" ht="15.75" customHeight="1">
      <c r="A604" s="20"/>
      <c r="B604" s="23"/>
      <c r="C604" s="23"/>
      <c r="D604" s="23"/>
    </row>
    <row r="605" spans="1:4" ht="15.75" customHeight="1">
      <c r="A605" s="20"/>
      <c r="B605" s="23"/>
      <c r="C605" s="23"/>
      <c r="D605" s="23"/>
    </row>
    <row r="606" spans="1:4" ht="15.75" customHeight="1">
      <c r="A606" s="20"/>
      <c r="B606" s="23"/>
      <c r="C606" s="23"/>
      <c r="D606" s="23"/>
    </row>
    <row r="607" spans="1:4" ht="15.75" customHeight="1">
      <c r="A607" s="20"/>
      <c r="B607" s="23"/>
      <c r="C607" s="23"/>
      <c r="D607" s="23"/>
    </row>
    <row r="608" spans="1:4" ht="15.75" customHeight="1">
      <c r="A608" s="20"/>
      <c r="B608" s="23"/>
      <c r="C608" s="23"/>
      <c r="D608" s="23"/>
    </row>
    <row r="609" spans="1:4" ht="15.75" customHeight="1">
      <c r="A609" s="20"/>
      <c r="B609" s="23"/>
      <c r="C609" s="23"/>
      <c r="D609" s="23"/>
    </row>
    <row r="610" spans="1:4" ht="15.75" customHeight="1">
      <c r="A610" s="20"/>
      <c r="B610" s="23"/>
      <c r="C610" s="23"/>
      <c r="D610" s="23"/>
    </row>
    <row r="611" spans="1:4" ht="15.75" customHeight="1">
      <c r="A611" s="20"/>
      <c r="B611" s="23"/>
      <c r="C611" s="23"/>
      <c r="D611" s="23"/>
    </row>
    <row r="612" spans="1:4" ht="15.75" customHeight="1">
      <c r="A612" s="20"/>
      <c r="B612" s="23"/>
      <c r="C612" s="23"/>
      <c r="D612" s="23"/>
    </row>
    <row r="613" spans="1:4" ht="15.75" customHeight="1">
      <c r="A613" s="20"/>
      <c r="B613" s="23"/>
      <c r="C613" s="23"/>
      <c r="D613" s="23"/>
    </row>
    <row r="614" spans="1:4" ht="15.75" customHeight="1">
      <c r="A614" s="20"/>
      <c r="B614" s="23"/>
      <c r="C614" s="23"/>
      <c r="D614" s="23"/>
    </row>
    <row r="615" spans="1:4" ht="15.75" customHeight="1">
      <c r="A615" s="20"/>
      <c r="B615" s="23"/>
      <c r="C615" s="23"/>
      <c r="D615" s="23"/>
    </row>
    <row r="616" spans="1:4" ht="15.75" customHeight="1">
      <c r="A616" s="20"/>
      <c r="B616" s="23"/>
      <c r="C616" s="23"/>
      <c r="D616" s="23"/>
    </row>
    <row r="617" spans="1:4" ht="15.75" customHeight="1">
      <c r="A617" s="20"/>
      <c r="B617" s="23"/>
      <c r="C617" s="23"/>
      <c r="D617" s="23"/>
    </row>
    <row r="618" spans="1:4" ht="15.75" customHeight="1">
      <c r="A618" s="20"/>
      <c r="B618" s="23"/>
      <c r="C618" s="23"/>
      <c r="D618" s="23"/>
    </row>
    <row r="619" spans="1:4" ht="15.75" customHeight="1">
      <c r="A619" s="20"/>
      <c r="B619" s="23"/>
      <c r="C619" s="23"/>
      <c r="D619" s="23"/>
    </row>
    <row r="620" spans="1:4" ht="15.75" customHeight="1">
      <c r="A620" s="20"/>
      <c r="B620" s="23"/>
      <c r="C620" s="23"/>
      <c r="D620" s="23"/>
    </row>
    <row r="621" spans="1:4" ht="15.75" customHeight="1">
      <c r="A621" s="20"/>
      <c r="B621" s="23"/>
      <c r="C621" s="23"/>
      <c r="D621" s="23"/>
    </row>
    <row r="622" spans="1:4" ht="15.75" customHeight="1">
      <c r="A622" s="20"/>
      <c r="B622" s="23"/>
      <c r="C622" s="23"/>
      <c r="D622" s="23"/>
    </row>
    <row r="623" spans="1:4" ht="15.75" customHeight="1">
      <c r="A623" s="20"/>
      <c r="B623" s="23"/>
      <c r="C623" s="23"/>
      <c r="D623" s="23"/>
    </row>
    <row r="624" spans="1:4" ht="15.75" customHeight="1">
      <c r="A624" s="20"/>
      <c r="B624" s="23"/>
      <c r="C624" s="23"/>
      <c r="D624" s="23"/>
    </row>
    <row r="625" spans="1:4" ht="15.75" customHeight="1">
      <c r="A625" s="20"/>
      <c r="B625" s="23"/>
      <c r="C625" s="23"/>
      <c r="D625" s="23"/>
    </row>
    <row r="626" spans="1:4" ht="15.75" customHeight="1">
      <c r="A626" s="20"/>
      <c r="B626" s="23"/>
      <c r="C626" s="23"/>
      <c r="D626" s="23"/>
    </row>
    <row r="627" spans="1:4" ht="15.75" customHeight="1">
      <c r="A627" s="20"/>
      <c r="B627" s="23"/>
      <c r="C627" s="23"/>
      <c r="D627" s="23"/>
    </row>
    <row r="628" spans="1:4" ht="15.75" customHeight="1">
      <c r="A628" s="20"/>
      <c r="B628" s="23"/>
      <c r="C628" s="23"/>
      <c r="D628" s="23"/>
    </row>
    <row r="629" spans="1:4" ht="15.75" customHeight="1">
      <c r="A629" s="20"/>
      <c r="B629" s="23"/>
      <c r="C629" s="23"/>
      <c r="D629" s="23"/>
    </row>
    <row r="630" spans="1:4" ht="15.75" customHeight="1">
      <c r="A630" s="20"/>
      <c r="B630" s="23"/>
      <c r="C630" s="23"/>
      <c r="D630" s="23"/>
    </row>
    <row r="631" spans="1:4" ht="15.75" customHeight="1">
      <c r="A631" s="20"/>
      <c r="B631" s="23"/>
      <c r="C631" s="23"/>
      <c r="D631" s="23"/>
    </row>
    <row r="632" spans="1:4" ht="15.75" customHeight="1">
      <c r="A632" s="20"/>
      <c r="B632" s="23"/>
      <c r="C632" s="23"/>
      <c r="D632" s="23"/>
    </row>
    <row r="633" spans="1:4" ht="15.75" customHeight="1">
      <c r="A633" s="20"/>
      <c r="B633" s="23"/>
      <c r="C633" s="23"/>
      <c r="D633" s="23"/>
    </row>
    <row r="634" spans="1:4" ht="15.75" customHeight="1">
      <c r="A634" s="20"/>
      <c r="B634" s="23"/>
      <c r="C634" s="23"/>
      <c r="D634" s="23"/>
    </row>
    <row r="635" spans="1:4" ht="15.75" customHeight="1">
      <c r="A635" s="20"/>
      <c r="B635" s="23"/>
      <c r="C635" s="23"/>
      <c r="D635" s="23"/>
    </row>
    <row r="636" spans="1:4" ht="15.75" customHeight="1">
      <c r="A636" s="20"/>
      <c r="B636" s="23"/>
      <c r="C636" s="23"/>
      <c r="D636" s="23"/>
    </row>
    <row r="637" spans="1:4" ht="15.75" customHeight="1">
      <c r="A637" s="20"/>
      <c r="B637" s="23"/>
      <c r="C637" s="23"/>
      <c r="D637" s="23"/>
    </row>
    <row r="638" spans="1:4" ht="15.75" customHeight="1">
      <c r="A638" s="20"/>
      <c r="B638" s="23"/>
      <c r="C638" s="23"/>
      <c r="D638" s="23"/>
    </row>
    <row r="639" spans="1:4" ht="15.75" customHeight="1">
      <c r="A639" s="20"/>
      <c r="B639" s="23"/>
      <c r="C639" s="23"/>
      <c r="D639" s="23"/>
    </row>
    <row r="640" spans="1:4" ht="15.75" customHeight="1">
      <c r="A640" s="20"/>
      <c r="B640" s="23"/>
      <c r="C640" s="23"/>
      <c r="D640" s="23"/>
    </row>
    <row r="641" spans="1:4" ht="15.75" customHeight="1">
      <c r="A641" s="20"/>
      <c r="B641" s="23"/>
      <c r="C641" s="23"/>
      <c r="D641" s="23"/>
    </row>
    <row r="642" spans="1:4" ht="15.75" customHeight="1">
      <c r="A642" s="20"/>
      <c r="B642" s="23"/>
      <c r="C642" s="23"/>
      <c r="D642" s="23"/>
    </row>
    <row r="643" spans="1:4" ht="15.75" customHeight="1">
      <c r="A643" s="20"/>
      <c r="B643" s="23"/>
      <c r="C643" s="23"/>
      <c r="D643" s="23"/>
    </row>
    <row r="644" spans="1:4" ht="15.75" customHeight="1">
      <c r="A644" s="20"/>
      <c r="B644" s="23"/>
      <c r="C644" s="23"/>
      <c r="D644" s="23"/>
    </row>
    <row r="645" spans="1:4" ht="15.75" customHeight="1">
      <c r="A645" s="20"/>
      <c r="B645" s="23"/>
      <c r="C645" s="23"/>
      <c r="D645" s="23"/>
    </row>
    <row r="646" spans="1:4" ht="15.75" customHeight="1">
      <c r="A646" s="20"/>
      <c r="B646" s="23"/>
      <c r="C646" s="23"/>
      <c r="D646" s="23"/>
    </row>
    <row r="647" spans="1:4" ht="15.75" customHeight="1">
      <c r="A647" s="20"/>
      <c r="B647" s="23"/>
      <c r="C647" s="23"/>
      <c r="D647" s="23"/>
    </row>
    <row r="648" spans="1:4" ht="15.75" customHeight="1">
      <c r="A648" s="20"/>
      <c r="B648" s="23"/>
      <c r="C648" s="23"/>
      <c r="D648" s="23"/>
    </row>
    <row r="649" spans="1:4" ht="15.75" customHeight="1">
      <c r="A649" s="20"/>
      <c r="B649" s="23"/>
      <c r="C649" s="23"/>
      <c r="D649" s="23"/>
    </row>
    <row r="650" spans="1:4" ht="15.75" customHeight="1">
      <c r="A650" s="20"/>
      <c r="B650" s="23"/>
      <c r="C650" s="23"/>
      <c r="D650" s="23"/>
    </row>
    <row r="651" spans="1:4" ht="15.75" customHeight="1">
      <c r="A651" s="20"/>
      <c r="B651" s="23"/>
      <c r="C651" s="23"/>
      <c r="D651" s="23"/>
    </row>
    <row r="652" spans="1:4" ht="15.75" customHeight="1">
      <c r="A652" s="20"/>
      <c r="B652" s="23"/>
      <c r="C652" s="23"/>
      <c r="D652" s="23"/>
    </row>
    <row r="653" spans="1:4" ht="15.75" customHeight="1">
      <c r="A653" s="20"/>
      <c r="B653" s="23"/>
      <c r="C653" s="23"/>
      <c r="D653" s="23"/>
    </row>
    <row r="654" spans="1:4" ht="15.75" customHeight="1">
      <c r="A654" s="20"/>
      <c r="B654" s="23"/>
      <c r="C654" s="23"/>
      <c r="D654" s="23"/>
    </row>
    <row r="655" spans="1:4" ht="15.75" customHeight="1">
      <c r="A655" s="20"/>
      <c r="B655" s="23"/>
      <c r="C655" s="23"/>
      <c r="D655" s="23"/>
    </row>
    <row r="656" spans="1:4" ht="15.75" customHeight="1">
      <c r="A656" s="20"/>
      <c r="B656" s="23"/>
      <c r="C656" s="23"/>
      <c r="D656" s="23"/>
    </row>
    <row r="657" spans="1:4" ht="15.75" customHeight="1">
      <c r="A657" s="20"/>
      <c r="B657" s="23"/>
      <c r="C657" s="23"/>
      <c r="D657" s="23"/>
    </row>
    <row r="658" spans="1:4" ht="15.75" customHeight="1">
      <c r="A658" s="20"/>
      <c r="B658" s="23"/>
      <c r="C658" s="23"/>
      <c r="D658" s="23"/>
    </row>
    <row r="659" spans="1:4" ht="15.75" customHeight="1">
      <c r="A659" s="20"/>
      <c r="B659" s="23"/>
      <c r="C659" s="23"/>
      <c r="D659" s="23"/>
    </row>
    <row r="660" spans="1:4" ht="15.75" customHeight="1">
      <c r="A660" s="20"/>
      <c r="B660" s="23"/>
      <c r="C660" s="23"/>
      <c r="D660" s="23"/>
    </row>
    <row r="661" spans="1:4" ht="15.75" customHeight="1">
      <c r="A661" s="20"/>
      <c r="B661" s="23"/>
      <c r="C661" s="23"/>
      <c r="D661" s="23"/>
    </row>
    <row r="662" spans="1:4" ht="15.75" customHeight="1">
      <c r="A662" s="20"/>
      <c r="B662" s="23"/>
      <c r="C662" s="23"/>
      <c r="D662" s="23"/>
    </row>
    <row r="663" spans="1:4" ht="15.75" customHeight="1">
      <c r="A663" s="20"/>
      <c r="B663" s="23"/>
      <c r="C663" s="23"/>
      <c r="D663" s="23"/>
    </row>
    <row r="664" spans="1:4" ht="15.75" customHeight="1">
      <c r="A664" s="20"/>
      <c r="B664" s="23"/>
      <c r="C664" s="23"/>
      <c r="D664" s="23"/>
    </row>
    <row r="665" spans="1:4" ht="15.75" customHeight="1">
      <c r="A665" s="20"/>
      <c r="B665" s="23"/>
      <c r="C665" s="23"/>
      <c r="D665" s="23"/>
    </row>
    <row r="666" spans="1:4" ht="15.75" customHeight="1">
      <c r="A666" s="20"/>
      <c r="B666" s="23"/>
      <c r="C666" s="23"/>
      <c r="D666" s="23"/>
    </row>
    <row r="667" spans="1:4" ht="15.75" customHeight="1">
      <c r="A667" s="20"/>
      <c r="B667" s="23"/>
      <c r="C667" s="23"/>
      <c r="D667" s="23"/>
    </row>
    <row r="668" spans="1:4" ht="15.75" customHeight="1">
      <c r="A668" s="20"/>
      <c r="B668" s="23"/>
      <c r="C668" s="23"/>
      <c r="D668" s="23"/>
    </row>
    <row r="669" spans="1:4" ht="15.75" customHeight="1">
      <c r="A669" s="20"/>
      <c r="B669" s="23"/>
      <c r="C669" s="23"/>
      <c r="D669" s="23"/>
    </row>
    <row r="670" spans="1:4" ht="15.75" customHeight="1">
      <c r="A670" s="20"/>
      <c r="B670" s="23"/>
      <c r="C670" s="23"/>
      <c r="D670" s="23"/>
    </row>
    <row r="671" spans="1:4" ht="15.75" customHeight="1">
      <c r="A671" s="20"/>
      <c r="B671" s="23"/>
      <c r="C671" s="23"/>
      <c r="D671" s="23"/>
    </row>
    <row r="672" spans="1:4" ht="15.75" customHeight="1">
      <c r="A672" s="20"/>
      <c r="B672" s="23"/>
      <c r="C672" s="23"/>
      <c r="D672" s="23"/>
    </row>
    <row r="673" spans="1:4" ht="15.75" customHeight="1">
      <c r="A673" s="20"/>
      <c r="B673" s="23"/>
      <c r="C673" s="23"/>
      <c r="D673" s="23"/>
    </row>
    <row r="674" spans="1:4" ht="15.75" customHeight="1">
      <c r="A674" s="20"/>
      <c r="B674" s="23"/>
      <c r="C674" s="23"/>
      <c r="D674" s="23"/>
    </row>
    <row r="675" spans="1:4" ht="15.75" customHeight="1">
      <c r="A675" s="20"/>
      <c r="B675" s="23"/>
      <c r="C675" s="23"/>
      <c r="D675" s="23"/>
    </row>
    <row r="676" spans="1:4" ht="15.75" customHeight="1">
      <c r="A676" s="20"/>
      <c r="B676" s="23"/>
      <c r="C676" s="23"/>
      <c r="D676" s="23"/>
    </row>
    <row r="677" spans="1:4" ht="15.75" customHeight="1">
      <c r="A677" s="20"/>
      <c r="B677" s="23"/>
      <c r="C677" s="23"/>
      <c r="D677" s="23"/>
    </row>
    <row r="678" spans="1:4" ht="15.75" customHeight="1">
      <c r="A678" s="20"/>
      <c r="B678" s="23"/>
      <c r="C678" s="23"/>
      <c r="D678" s="23"/>
    </row>
    <row r="679" spans="1:4" ht="15.75" customHeight="1">
      <c r="A679" s="20"/>
      <c r="B679" s="23"/>
      <c r="C679" s="23"/>
      <c r="D679" s="23"/>
    </row>
    <row r="680" spans="1:4" ht="15.75" customHeight="1">
      <c r="A680" s="20"/>
      <c r="B680" s="23"/>
      <c r="C680" s="23"/>
      <c r="D680" s="23"/>
    </row>
    <row r="681" spans="1:4" ht="15.75" customHeight="1">
      <c r="A681" s="20"/>
      <c r="B681" s="23"/>
      <c r="C681" s="23"/>
      <c r="D681" s="23"/>
    </row>
    <row r="682" spans="1:4" ht="15.75" customHeight="1">
      <c r="A682" s="20"/>
      <c r="B682" s="23"/>
      <c r="C682" s="23"/>
      <c r="D682" s="23"/>
    </row>
    <row r="683" spans="1:4" ht="15.75" customHeight="1">
      <c r="A683" s="20"/>
      <c r="B683" s="23"/>
      <c r="C683" s="23"/>
      <c r="D683" s="23"/>
    </row>
    <row r="684" spans="1:4" ht="15.75" customHeight="1">
      <c r="A684" s="20"/>
      <c r="B684" s="23"/>
      <c r="C684" s="23"/>
      <c r="D684" s="23"/>
    </row>
    <row r="685" spans="1:4" ht="15.75" customHeight="1">
      <c r="A685" s="20"/>
      <c r="B685" s="23"/>
      <c r="C685" s="23"/>
      <c r="D685" s="23"/>
    </row>
    <row r="686" spans="1:4" ht="15.75" customHeight="1">
      <c r="A686" s="20"/>
      <c r="B686" s="23"/>
      <c r="C686" s="23"/>
      <c r="D686" s="23"/>
    </row>
    <row r="687" spans="1:4" ht="15.75" customHeight="1">
      <c r="A687" s="20"/>
      <c r="B687" s="23"/>
      <c r="C687" s="23"/>
      <c r="D687" s="23"/>
    </row>
    <row r="688" spans="1:4" ht="15.75" customHeight="1">
      <c r="A688" s="20"/>
      <c r="B688" s="23"/>
      <c r="C688" s="23"/>
      <c r="D688" s="23"/>
    </row>
    <row r="689" spans="1:4" ht="15.75" customHeight="1">
      <c r="A689" s="20"/>
      <c r="B689" s="23"/>
      <c r="C689" s="23"/>
      <c r="D689" s="23"/>
    </row>
    <row r="690" spans="1:4" ht="15.75" customHeight="1">
      <c r="A690" s="20"/>
      <c r="B690" s="23"/>
      <c r="C690" s="23"/>
      <c r="D690" s="23"/>
    </row>
    <row r="691" spans="1:4" ht="15.75" customHeight="1">
      <c r="A691" s="20"/>
      <c r="B691" s="23"/>
      <c r="C691" s="23"/>
      <c r="D691" s="23"/>
    </row>
    <row r="692" spans="1:4" ht="15.75" customHeight="1">
      <c r="A692" s="20"/>
      <c r="B692" s="23"/>
      <c r="C692" s="23"/>
      <c r="D692" s="23"/>
    </row>
    <row r="693" spans="1:4" ht="15.75" customHeight="1">
      <c r="A693" s="20"/>
      <c r="B693" s="23"/>
      <c r="C693" s="23"/>
      <c r="D693" s="23"/>
    </row>
    <row r="694" spans="1:4" ht="15.75" customHeight="1">
      <c r="A694" s="20"/>
      <c r="B694" s="23"/>
      <c r="C694" s="23"/>
      <c r="D694" s="23"/>
    </row>
    <row r="695" spans="1:4" ht="15.75" customHeight="1">
      <c r="A695" s="20"/>
      <c r="B695" s="23"/>
      <c r="C695" s="23"/>
      <c r="D695" s="23"/>
    </row>
    <row r="696" spans="1:4" ht="15.75" customHeight="1">
      <c r="A696" s="20"/>
      <c r="B696" s="23"/>
      <c r="C696" s="23"/>
      <c r="D696" s="23"/>
    </row>
    <row r="697" spans="1:4" ht="15.75" customHeight="1">
      <c r="A697" s="20"/>
      <c r="B697" s="23"/>
      <c r="C697" s="23"/>
      <c r="D697" s="23"/>
    </row>
    <row r="698" spans="1:4" ht="15.75" customHeight="1">
      <c r="A698" s="20"/>
      <c r="B698" s="23"/>
      <c r="C698" s="23"/>
      <c r="D698" s="23"/>
    </row>
    <row r="699" spans="1:4" ht="15.75" customHeight="1">
      <c r="A699" s="20"/>
      <c r="B699" s="23"/>
      <c r="C699" s="23"/>
      <c r="D699" s="23"/>
    </row>
    <row r="700" spans="1:4" ht="15.75" customHeight="1">
      <c r="A700" s="20"/>
      <c r="B700" s="23"/>
      <c r="C700" s="23"/>
      <c r="D700" s="23"/>
    </row>
    <row r="701" spans="1:4" ht="15.75" customHeight="1">
      <c r="A701" s="20"/>
      <c r="B701" s="23"/>
      <c r="C701" s="23"/>
      <c r="D701" s="23"/>
    </row>
    <row r="702" spans="1:4" ht="15.75" customHeight="1">
      <c r="A702" s="20"/>
      <c r="B702" s="23"/>
      <c r="C702" s="23"/>
      <c r="D702" s="23"/>
    </row>
    <row r="703" spans="1:4" ht="15.75" customHeight="1">
      <c r="A703" s="20"/>
      <c r="B703" s="23"/>
      <c r="C703" s="23"/>
      <c r="D703" s="23"/>
    </row>
    <row r="704" spans="1:4" ht="15.75" customHeight="1">
      <c r="A704" s="20"/>
      <c r="B704" s="23"/>
      <c r="C704" s="23"/>
      <c r="D704" s="23"/>
    </row>
    <row r="705" spans="1:4" ht="15.75" customHeight="1">
      <c r="A705" s="20"/>
      <c r="B705" s="23"/>
      <c r="C705" s="23"/>
      <c r="D705" s="23"/>
    </row>
    <row r="706" spans="1:4" ht="15.75" customHeight="1">
      <c r="A706" s="20"/>
      <c r="B706" s="23"/>
      <c r="C706" s="23"/>
      <c r="D706" s="23"/>
    </row>
    <row r="707" spans="1:4" ht="15.75" customHeight="1">
      <c r="A707" s="20"/>
      <c r="B707" s="23"/>
      <c r="C707" s="23"/>
      <c r="D707" s="23"/>
    </row>
    <row r="708" spans="1:4" ht="15.75" customHeight="1">
      <c r="A708" s="20"/>
      <c r="B708" s="23"/>
      <c r="C708" s="23"/>
      <c r="D708" s="23"/>
    </row>
    <row r="709" spans="1:4" ht="15.75" customHeight="1">
      <c r="A709" s="20"/>
      <c r="B709" s="23"/>
      <c r="C709" s="23"/>
      <c r="D709" s="23"/>
    </row>
    <row r="710" spans="1:4" ht="15.75" customHeight="1">
      <c r="A710" s="20"/>
      <c r="B710" s="23"/>
      <c r="C710" s="23"/>
      <c r="D710" s="23"/>
    </row>
    <row r="711" spans="1:4" ht="15.75" customHeight="1">
      <c r="A711" s="20"/>
      <c r="B711" s="23"/>
      <c r="C711" s="23"/>
      <c r="D711" s="23"/>
    </row>
    <row r="712" spans="1:4" ht="15.75" customHeight="1">
      <c r="A712" s="20"/>
      <c r="B712" s="23"/>
      <c r="C712" s="23"/>
      <c r="D712" s="23"/>
    </row>
    <row r="713" spans="1:4" ht="15.75" customHeight="1">
      <c r="A713" s="20"/>
      <c r="B713" s="23"/>
      <c r="C713" s="23"/>
      <c r="D713" s="23"/>
    </row>
    <row r="714" spans="1:4" ht="15.75" customHeight="1">
      <c r="A714" s="20"/>
      <c r="B714" s="23"/>
      <c r="C714" s="23"/>
      <c r="D714" s="23"/>
    </row>
    <row r="715" spans="1:4" ht="15.75" customHeight="1">
      <c r="A715" s="20"/>
      <c r="B715" s="23"/>
      <c r="C715" s="23"/>
      <c r="D715" s="23"/>
    </row>
    <row r="716" spans="1:4" ht="15.75" customHeight="1">
      <c r="A716" s="20"/>
      <c r="B716" s="23"/>
      <c r="C716" s="23"/>
      <c r="D716" s="23"/>
    </row>
    <row r="717" spans="1:4" ht="15.75" customHeight="1">
      <c r="A717" s="20"/>
      <c r="B717" s="23"/>
      <c r="C717" s="23"/>
      <c r="D717" s="23"/>
    </row>
    <row r="718" spans="1:4" ht="15.75" customHeight="1">
      <c r="A718" s="20"/>
      <c r="B718" s="23"/>
      <c r="C718" s="23"/>
      <c r="D718" s="23"/>
    </row>
    <row r="719" spans="1:4" ht="15.75" customHeight="1">
      <c r="A719" s="20"/>
      <c r="B719" s="23"/>
      <c r="C719" s="23"/>
      <c r="D719" s="23"/>
    </row>
    <row r="720" spans="1:4" ht="15.75" customHeight="1">
      <c r="A720" s="20"/>
      <c r="B720" s="23"/>
      <c r="C720" s="23"/>
      <c r="D720" s="23"/>
    </row>
    <row r="721" spans="1:4" ht="15.75" customHeight="1">
      <c r="A721" s="20"/>
      <c r="B721" s="23"/>
      <c r="C721" s="23"/>
      <c r="D721" s="23"/>
    </row>
    <row r="722" spans="1:4" ht="15.75" customHeight="1">
      <c r="A722" s="20"/>
      <c r="B722" s="23"/>
      <c r="C722" s="23"/>
      <c r="D722" s="23"/>
    </row>
    <row r="723" spans="1:4" ht="15.75" customHeight="1">
      <c r="A723" s="20"/>
      <c r="B723" s="23"/>
      <c r="C723" s="23"/>
      <c r="D723" s="23"/>
    </row>
    <row r="724" spans="1:4" ht="15.75" customHeight="1">
      <c r="A724" s="20"/>
      <c r="B724" s="23"/>
      <c r="C724" s="23"/>
      <c r="D724" s="23"/>
    </row>
    <row r="725" spans="1:4" ht="15.75" customHeight="1">
      <c r="A725" s="20"/>
      <c r="B725" s="23"/>
      <c r="C725" s="23"/>
      <c r="D725" s="23"/>
    </row>
    <row r="726" spans="1:4" ht="15.75" customHeight="1">
      <c r="A726" s="20"/>
      <c r="B726" s="23"/>
      <c r="C726" s="23"/>
      <c r="D726" s="23"/>
    </row>
    <row r="727" spans="1:4" ht="15.75" customHeight="1">
      <c r="A727" s="20"/>
      <c r="B727" s="23"/>
      <c r="C727" s="23"/>
      <c r="D727" s="23"/>
    </row>
    <row r="728" spans="1:4" ht="15.75" customHeight="1">
      <c r="A728" s="20"/>
      <c r="B728" s="23"/>
      <c r="C728" s="23"/>
      <c r="D728" s="23"/>
    </row>
    <row r="729" spans="1:4" ht="15.75" customHeight="1">
      <c r="A729" s="20"/>
      <c r="B729" s="23"/>
      <c r="C729" s="23"/>
      <c r="D729" s="23"/>
    </row>
    <row r="730" spans="1:4" ht="15.75" customHeight="1">
      <c r="A730" s="20"/>
      <c r="B730" s="23"/>
      <c r="C730" s="23"/>
      <c r="D730" s="23"/>
    </row>
    <row r="731" spans="1:4" ht="15.75" customHeight="1">
      <c r="A731" s="20"/>
      <c r="B731" s="23"/>
      <c r="C731" s="23"/>
      <c r="D731" s="23"/>
    </row>
    <row r="732" spans="1:4" ht="15.75" customHeight="1">
      <c r="A732" s="20"/>
      <c r="B732" s="23"/>
      <c r="C732" s="23"/>
      <c r="D732" s="23"/>
    </row>
    <row r="733" spans="1:4" ht="15.75" customHeight="1">
      <c r="A733" s="20"/>
      <c r="B733" s="23"/>
      <c r="C733" s="23"/>
      <c r="D733" s="23"/>
    </row>
    <row r="734" spans="1:4" ht="15.75" customHeight="1">
      <c r="A734" s="20"/>
      <c r="B734" s="23"/>
      <c r="C734" s="23"/>
      <c r="D734" s="23"/>
    </row>
    <row r="735" spans="1:4" ht="15.75" customHeight="1">
      <c r="A735" s="20"/>
      <c r="B735" s="23"/>
      <c r="C735" s="23"/>
      <c r="D735" s="23"/>
    </row>
    <row r="736" spans="1:4" ht="15.75" customHeight="1">
      <c r="A736" s="20"/>
      <c r="B736" s="23"/>
      <c r="C736" s="23"/>
      <c r="D736" s="23"/>
    </row>
    <row r="737" spans="1:4" ht="15.75" customHeight="1">
      <c r="A737" s="20"/>
      <c r="B737" s="23"/>
      <c r="C737" s="23"/>
      <c r="D737" s="23"/>
    </row>
    <row r="738" spans="1:4" ht="15.75" customHeight="1">
      <c r="A738" s="20"/>
      <c r="B738" s="23"/>
      <c r="C738" s="23"/>
      <c r="D738" s="23"/>
    </row>
    <row r="739" spans="1:4" ht="15.75" customHeight="1">
      <c r="A739" s="20"/>
      <c r="B739" s="23"/>
      <c r="C739" s="23"/>
      <c r="D739" s="23"/>
    </row>
    <row r="740" spans="1:4" ht="15.75" customHeight="1">
      <c r="A740" s="20"/>
      <c r="B740" s="23"/>
      <c r="C740" s="23"/>
      <c r="D740" s="23"/>
    </row>
    <row r="741" spans="1:4" ht="15.75" customHeight="1">
      <c r="A741" s="20"/>
      <c r="B741" s="23"/>
      <c r="C741" s="23"/>
      <c r="D741" s="23"/>
    </row>
    <row r="742" spans="1:4" ht="15.75" customHeight="1">
      <c r="A742" s="20"/>
      <c r="B742" s="23"/>
      <c r="C742" s="23"/>
      <c r="D742" s="23"/>
    </row>
    <row r="743" spans="1:4" ht="15.75" customHeight="1">
      <c r="A743" s="20"/>
      <c r="B743" s="23"/>
      <c r="C743" s="23"/>
      <c r="D743" s="23"/>
    </row>
    <row r="744" spans="1:4" ht="15.75" customHeight="1">
      <c r="A744" s="20"/>
      <c r="B744" s="23"/>
      <c r="C744" s="23"/>
      <c r="D744" s="23"/>
    </row>
    <row r="745" spans="1:4" ht="15.75" customHeight="1">
      <c r="A745" s="20"/>
      <c r="B745" s="23"/>
      <c r="C745" s="23"/>
      <c r="D745" s="23"/>
    </row>
    <row r="746" spans="1:4" ht="15.75" customHeight="1">
      <c r="A746" s="20"/>
      <c r="B746" s="23"/>
      <c r="C746" s="23"/>
      <c r="D746" s="23"/>
    </row>
    <row r="747" spans="1:4" ht="15.75" customHeight="1">
      <c r="A747" s="20"/>
      <c r="B747" s="23"/>
      <c r="C747" s="23"/>
      <c r="D747" s="23"/>
    </row>
    <row r="748" spans="1:4" ht="15.75" customHeight="1">
      <c r="A748" s="20"/>
      <c r="B748" s="23"/>
      <c r="C748" s="23"/>
      <c r="D748" s="23"/>
    </row>
    <row r="749" spans="1:4" ht="15.75" customHeight="1">
      <c r="A749" s="20"/>
      <c r="B749" s="23"/>
      <c r="C749" s="23"/>
      <c r="D749" s="23"/>
    </row>
    <row r="750" spans="1:4" ht="15.75" customHeight="1">
      <c r="A750" s="20"/>
      <c r="B750" s="23"/>
      <c r="C750" s="23"/>
      <c r="D750" s="23"/>
    </row>
    <row r="751" spans="1:4" ht="15.75" customHeight="1">
      <c r="A751" s="20"/>
      <c r="B751" s="23"/>
      <c r="C751" s="23"/>
      <c r="D751" s="23"/>
    </row>
    <row r="752" spans="1:4" ht="15.75" customHeight="1">
      <c r="A752" s="20"/>
      <c r="B752" s="23"/>
      <c r="C752" s="23"/>
      <c r="D752" s="23"/>
    </row>
    <row r="753" spans="1:4" ht="15.75" customHeight="1">
      <c r="A753" s="20"/>
      <c r="B753" s="23"/>
      <c r="C753" s="23"/>
      <c r="D753" s="23"/>
    </row>
    <row r="754" spans="1:4" ht="15.75" customHeight="1">
      <c r="A754" s="20"/>
      <c r="B754" s="23"/>
      <c r="C754" s="23"/>
      <c r="D754" s="23"/>
    </row>
    <row r="755" spans="1:4" ht="15.75" customHeight="1">
      <c r="A755" s="20"/>
      <c r="B755" s="23"/>
      <c r="C755" s="23"/>
      <c r="D755" s="23"/>
    </row>
    <row r="756" spans="1:4" ht="15.75" customHeight="1">
      <c r="A756" s="20"/>
      <c r="B756" s="23"/>
      <c r="C756" s="23"/>
      <c r="D756" s="23"/>
    </row>
    <row r="757" spans="1:4" ht="15.75" customHeight="1">
      <c r="A757" s="20"/>
      <c r="B757" s="23"/>
      <c r="C757" s="23"/>
      <c r="D757" s="23"/>
    </row>
    <row r="758" spans="1:4" ht="15.75" customHeight="1">
      <c r="A758" s="20"/>
      <c r="B758" s="23"/>
      <c r="C758" s="23"/>
      <c r="D758" s="23"/>
    </row>
    <row r="759" spans="1:4" ht="15.75" customHeight="1">
      <c r="A759" s="20"/>
      <c r="B759" s="23"/>
      <c r="C759" s="23"/>
      <c r="D759" s="23"/>
    </row>
    <row r="760" spans="1:4" ht="15.75" customHeight="1">
      <c r="A760" s="20"/>
      <c r="B760" s="23"/>
      <c r="C760" s="23"/>
      <c r="D760" s="23"/>
    </row>
    <row r="761" spans="1:4" ht="15.75" customHeight="1">
      <c r="A761" s="20"/>
      <c r="B761" s="23"/>
      <c r="C761" s="23"/>
      <c r="D761" s="23"/>
    </row>
    <row r="762" spans="1:4" ht="15.75" customHeight="1">
      <c r="A762" s="20"/>
      <c r="B762" s="23"/>
      <c r="C762" s="23"/>
      <c r="D762" s="23"/>
    </row>
    <row r="763" spans="1:4" ht="15.75" customHeight="1">
      <c r="A763" s="20"/>
      <c r="B763" s="23"/>
      <c r="C763" s="23"/>
      <c r="D763" s="23"/>
    </row>
    <row r="764" spans="1:4" ht="15.75" customHeight="1">
      <c r="A764" s="20"/>
      <c r="B764" s="23"/>
      <c r="C764" s="23"/>
      <c r="D764" s="23"/>
    </row>
    <row r="765" spans="1:4" ht="15.75" customHeight="1">
      <c r="A765" s="20"/>
      <c r="B765" s="23"/>
      <c r="C765" s="23"/>
      <c r="D765" s="23"/>
    </row>
    <row r="766" spans="1:4" ht="15.75" customHeight="1">
      <c r="A766" s="20"/>
      <c r="B766" s="23"/>
      <c r="C766" s="23"/>
      <c r="D766" s="23"/>
    </row>
    <row r="767" spans="1:4" ht="15.75" customHeight="1">
      <c r="A767" s="20"/>
      <c r="B767" s="23"/>
      <c r="C767" s="23"/>
      <c r="D767" s="23"/>
    </row>
    <row r="768" spans="1:4" ht="15.75" customHeight="1">
      <c r="A768" s="20"/>
      <c r="B768" s="23"/>
      <c r="C768" s="23"/>
      <c r="D768" s="23"/>
    </row>
    <row r="769" spans="1:4" ht="15.75" customHeight="1">
      <c r="A769" s="20"/>
      <c r="B769" s="23"/>
      <c r="C769" s="23"/>
      <c r="D769" s="23"/>
    </row>
    <row r="770" spans="1:4" ht="15.75" customHeight="1">
      <c r="A770" s="20"/>
      <c r="B770" s="23"/>
      <c r="C770" s="23"/>
      <c r="D770" s="23"/>
    </row>
    <row r="771" spans="1:4" ht="15.75" customHeight="1">
      <c r="A771" s="20"/>
      <c r="B771" s="23"/>
      <c r="C771" s="23"/>
      <c r="D771" s="23"/>
    </row>
    <row r="772" spans="1:4" ht="15.75" customHeight="1">
      <c r="A772" s="20"/>
      <c r="B772" s="23"/>
      <c r="C772" s="23"/>
      <c r="D772" s="23"/>
    </row>
    <row r="773" spans="1:4" ht="15.75" customHeight="1">
      <c r="A773" s="20"/>
      <c r="B773" s="23"/>
      <c r="C773" s="23"/>
      <c r="D773" s="23"/>
    </row>
    <row r="774" spans="1:4" ht="15.75" customHeight="1">
      <c r="A774" s="20"/>
      <c r="B774" s="23"/>
      <c r="C774" s="23"/>
      <c r="D774" s="23"/>
    </row>
    <row r="775" spans="1:4" ht="15.75" customHeight="1">
      <c r="A775" s="20"/>
      <c r="B775" s="23"/>
      <c r="C775" s="23"/>
      <c r="D775" s="23"/>
    </row>
    <row r="776" spans="1:4" ht="15.75" customHeight="1">
      <c r="A776" s="20"/>
      <c r="B776" s="23"/>
      <c r="C776" s="23"/>
      <c r="D776" s="23"/>
    </row>
    <row r="777" spans="1:4" ht="15.75" customHeight="1">
      <c r="A777" s="20"/>
      <c r="B777" s="23"/>
      <c r="C777" s="23"/>
      <c r="D777" s="23"/>
    </row>
    <row r="778" spans="1:4" ht="15.75" customHeight="1">
      <c r="A778" s="20"/>
      <c r="B778" s="23"/>
      <c r="C778" s="23"/>
      <c r="D778" s="23"/>
    </row>
    <row r="779" spans="1:4" ht="15.75" customHeight="1">
      <c r="A779" s="20"/>
      <c r="B779" s="23"/>
      <c r="C779" s="23"/>
      <c r="D779" s="23"/>
    </row>
    <row r="780" spans="1:4" ht="15.75" customHeight="1">
      <c r="A780" s="20"/>
      <c r="B780" s="23"/>
      <c r="C780" s="23"/>
      <c r="D780" s="23"/>
    </row>
    <row r="781" spans="1:4" ht="15.75" customHeight="1">
      <c r="A781" s="20"/>
      <c r="B781" s="23"/>
      <c r="C781" s="23"/>
      <c r="D781" s="23"/>
    </row>
    <row r="782" spans="1:4" ht="15.75" customHeight="1">
      <c r="A782" s="20"/>
      <c r="B782" s="23"/>
      <c r="C782" s="23"/>
      <c r="D782" s="23"/>
    </row>
    <row r="783" spans="1:4" ht="15.75" customHeight="1">
      <c r="A783" s="20"/>
      <c r="B783" s="23"/>
      <c r="C783" s="23"/>
      <c r="D783" s="23"/>
    </row>
    <row r="784" spans="1:4" ht="15.75" customHeight="1">
      <c r="A784" s="20"/>
      <c r="B784" s="23"/>
      <c r="C784" s="23"/>
      <c r="D784" s="23"/>
    </row>
    <row r="785" spans="1:4" ht="15.75" customHeight="1">
      <c r="A785" s="20"/>
      <c r="B785" s="23"/>
      <c r="C785" s="23"/>
      <c r="D785" s="23"/>
    </row>
    <row r="786" spans="1:4" ht="15.75" customHeight="1">
      <c r="A786" s="20"/>
      <c r="B786" s="23"/>
      <c r="C786" s="23"/>
      <c r="D786" s="23"/>
    </row>
    <row r="787" spans="1:4" ht="15.75" customHeight="1">
      <c r="A787" s="20"/>
      <c r="B787" s="23"/>
      <c r="C787" s="23"/>
      <c r="D787" s="23"/>
    </row>
    <row r="788" spans="1:4" ht="15.75" customHeight="1">
      <c r="A788" s="20"/>
      <c r="B788" s="23"/>
      <c r="C788" s="23"/>
      <c r="D788" s="23"/>
    </row>
    <row r="789" spans="1:4" ht="15.75" customHeight="1">
      <c r="A789" s="20"/>
      <c r="B789" s="23"/>
      <c r="C789" s="23"/>
      <c r="D789" s="23"/>
    </row>
    <row r="790" spans="1:4" ht="15.75" customHeight="1">
      <c r="A790" s="20"/>
      <c r="B790" s="23"/>
      <c r="C790" s="23"/>
      <c r="D790" s="23"/>
    </row>
    <row r="791" spans="1:4" ht="15.75" customHeight="1">
      <c r="A791" s="20"/>
      <c r="B791" s="23"/>
      <c r="C791" s="23"/>
      <c r="D791" s="23"/>
    </row>
    <row r="792" spans="1:4" ht="15.75" customHeight="1">
      <c r="A792" s="20"/>
      <c r="B792" s="23"/>
      <c r="C792" s="23"/>
      <c r="D792" s="23"/>
    </row>
    <row r="793" spans="1:4" ht="15.75" customHeight="1">
      <c r="A793" s="20"/>
      <c r="B793" s="23"/>
      <c r="C793" s="23"/>
      <c r="D793" s="23"/>
    </row>
    <row r="794" spans="1:4" ht="15.75" customHeight="1">
      <c r="A794" s="20"/>
      <c r="B794" s="23"/>
      <c r="C794" s="23"/>
      <c r="D794" s="23"/>
    </row>
    <row r="795" spans="1:4" ht="15.75" customHeight="1">
      <c r="A795" s="20"/>
      <c r="B795" s="23"/>
      <c r="C795" s="23"/>
      <c r="D795" s="23"/>
    </row>
    <row r="796" spans="1:4" ht="15.75" customHeight="1">
      <c r="A796" s="20"/>
      <c r="B796" s="23"/>
      <c r="C796" s="23"/>
      <c r="D796" s="23"/>
    </row>
    <row r="797" spans="1:4" ht="15.75" customHeight="1">
      <c r="A797" s="20"/>
      <c r="B797" s="23"/>
      <c r="C797" s="23"/>
      <c r="D797" s="23"/>
    </row>
    <row r="798" spans="1:4" ht="15.75" customHeight="1">
      <c r="A798" s="20"/>
      <c r="B798" s="23"/>
      <c r="C798" s="23"/>
      <c r="D798" s="23"/>
    </row>
    <row r="799" spans="1:4" ht="15.75" customHeight="1">
      <c r="A799" s="20"/>
      <c r="B799" s="23"/>
      <c r="C799" s="23"/>
      <c r="D799" s="23"/>
    </row>
    <row r="800" spans="1:4" ht="15.75" customHeight="1">
      <c r="A800" s="20"/>
      <c r="B800" s="23"/>
      <c r="C800" s="23"/>
      <c r="D800" s="23"/>
    </row>
    <row r="801" spans="1:4" ht="15.75" customHeight="1">
      <c r="A801" s="20"/>
      <c r="B801" s="23"/>
      <c r="C801" s="23"/>
      <c r="D801" s="23"/>
    </row>
    <row r="802" spans="1:4" ht="15.75" customHeight="1">
      <c r="A802" s="20"/>
      <c r="B802" s="23"/>
      <c r="C802" s="23"/>
      <c r="D802" s="23"/>
    </row>
    <row r="803" spans="1:4" ht="15.75" customHeight="1">
      <c r="A803" s="20"/>
      <c r="B803" s="23"/>
      <c r="C803" s="23"/>
      <c r="D803" s="23"/>
    </row>
    <row r="804" spans="1:4" ht="15.75" customHeight="1">
      <c r="A804" s="20"/>
      <c r="B804" s="23"/>
      <c r="C804" s="23"/>
      <c r="D804" s="23"/>
    </row>
    <row r="805" spans="1:4" ht="15.75" customHeight="1">
      <c r="A805" s="20"/>
      <c r="B805" s="23"/>
      <c r="C805" s="23"/>
      <c r="D805" s="23"/>
    </row>
    <row r="806" spans="1:4" ht="15.75" customHeight="1">
      <c r="A806" s="20"/>
      <c r="B806" s="23"/>
      <c r="C806" s="23"/>
      <c r="D806" s="23"/>
    </row>
    <row r="807" spans="1:4" ht="15.75" customHeight="1">
      <c r="A807" s="20"/>
      <c r="B807" s="23"/>
      <c r="C807" s="23"/>
      <c r="D807" s="23"/>
    </row>
    <row r="808" spans="1:4" ht="15.75" customHeight="1">
      <c r="A808" s="20"/>
      <c r="B808" s="23"/>
      <c r="C808" s="23"/>
      <c r="D808" s="23"/>
    </row>
    <row r="809" spans="1:4" ht="15.75" customHeight="1">
      <c r="A809" s="20"/>
      <c r="B809" s="23"/>
      <c r="C809" s="23"/>
      <c r="D809" s="23"/>
    </row>
    <row r="810" spans="1:4" ht="15.75" customHeight="1">
      <c r="A810" s="20"/>
      <c r="B810" s="23"/>
      <c r="C810" s="23"/>
      <c r="D810" s="23"/>
    </row>
    <row r="811" spans="1:4" ht="15.75" customHeight="1">
      <c r="A811" s="20"/>
      <c r="B811" s="23"/>
      <c r="C811" s="23"/>
      <c r="D811" s="23"/>
    </row>
    <row r="812" spans="1:4" ht="15.75" customHeight="1">
      <c r="A812" s="20"/>
      <c r="B812" s="23"/>
      <c r="C812" s="23"/>
      <c r="D812" s="23"/>
    </row>
    <row r="813" spans="1:4" ht="15.75" customHeight="1">
      <c r="A813" s="20"/>
      <c r="B813" s="23"/>
      <c r="C813" s="23"/>
      <c r="D813" s="23"/>
    </row>
    <row r="814" spans="1:4" ht="15.75" customHeight="1">
      <c r="A814" s="20"/>
      <c r="B814" s="23"/>
      <c r="C814" s="23"/>
      <c r="D814" s="23"/>
    </row>
    <row r="815" spans="1:4" ht="15.75" customHeight="1">
      <c r="A815" s="20"/>
      <c r="B815" s="23"/>
      <c r="C815" s="23"/>
      <c r="D815" s="23"/>
    </row>
    <row r="816" spans="1:4" ht="15.75" customHeight="1">
      <c r="A816" s="20"/>
      <c r="B816" s="23"/>
      <c r="C816" s="23"/>
      <c r="D816" s="23"/>
    </row>
    <row r="817" spans="1:4" ht="15.75" customHeight="1">
      <c r="A817" s="20"/>
      <c r="B817" s="23"/>
      <c r="C817" s="23"/>
      <c r="D817" s="23"/>
    </row>
    <row r="818" spans="1:4" ht="15.75" customHeight="1">
      <c r="A818" s="20"/>
      <c r="B818" s="23"/>
      <c r="C818" s="23"/>
      <c r="D818" s="23"/>
    </row>
    <row r="819" spans="1:4" ht="15.75" customHeight="1">
      <c r="A819" s="20"/>
      <c r="B819" s="23"/>
      <c r="C819" s="23"/>
      <c r="D819" s="23"/>
    </row>
    <row r="820" spans="1:4" ht="15.75" customHeight="1">
      <c r="A820" s="20"/>
      <c r="B820" s="23"/>
      <c r="C820" s="23"/>
      <c r="D820" s="23"/>
    </row>
    <row r="821" spans="1:4" ht="15.75" customHeight="1">
      <c r="A821" s="20"/>
      <c r="B821" s="23"/>
      <c r="C821" s="23"/>
      <c r="D821" s="23"/>
    </row>
    <row r="822" spans="1:4" ht="15.75" customHeight="1">
      <c r="A822" s="20"/>
      <c r="B822" s="23"/>
      <c r="C822" s="23"/>
      <c r="D822" s="23"/>
    </row>
    <row r="823" spans="1:4" ht="15.75" customHeight="1">
      <c r="A823" s="20"/>
      <c r="B823" s="23"/>
      <c r="C823" s="23"/>
      <c r="D823" s="23"/>
    </row>
    <row r="824" spans="1:4" ht="15.75" customHeight="1">
      <c r="A824" s="20"/>
      <c r="B824" s="23"/>
      <c r="C824" s="23"/>
      <c r="D824" s="23"/>
    </row>
    <row r="825" spans="1:4" ht="15.75" customHeight="1">
      <c r="A825" s="20"/>
      <c r="B825" s="23"/>
      <c r="C825" s="23"/>
      <c r="D825" s="23"/>
    </row>
    <row r="826" spans="1:4" ht="15.75" customHeight="1">
      <c r="A826" s="20"/>
      <c r="B826" s="23"/>
      <c r="C826" s="23"/>
      <c r="D826" s="23"/>
    </row>
    <row r="827" spans="1:4" ht="15.75" customHeight="1">
      <c r="A827" s="20"/>
      <c r="B827" s="23"/>
      <c r="C827" s="23"/>
      <c r="D827" s="23"/>
    </row>
    <row r="828" spans="1:4" ht="15.75" customHeight="1">
      <c r="A828" s="20"/>
      <c r="B828" s="23"/>
      <c r="C828" s="23"/>
      <c r="D828" s="23"/>
    </row>
    <row r="829" spans="1:4" ht="15.75" customHeight="1">
      <c r="A829" s="20"/>
      <c r="B829" s="23"/>
      <c r="C829" s="23"/>
      <c r="D829" s="23"/>
    </row>
    <row r="830" spans="1:4" ht="15.75" customHeight="1">
      <c r="A830" s="20"/>
      <c r="B830" s="23"/>
      <c r="C830" s="23"/>
      <c r="D830" s="23"/>
    </row>
    <row r="831" spans="1:4" ht="15.75" customHeight="1">
      <c r="A831" s="20"/>
      <c r="B831" s="23"/>
      <c r="C831" s="23"/>
      <c r="D831" s="23"/>
    </row>
    <row r="832" spans="1:4" ht="15.75" customHeight="1">
      <c r="A832" s="20"/>
      <c r="B832" s="23"/>
      <c r="C832" s="23"/>
      <c r="D832" s="23"/>
    </row>
    <row r="833" spans="1:4" ht="15.75" customHeight="1">
      <c r="A833" s="20"/>
      <c r="B833" s="23"/>
      <c r="C833" s="23"/>
      <c r="D833" s="23"/>
    </row>
    <row r="834" spans="1:4" ht="15.75" customHeight="1">
      <c r="A834" s="20"/>
      <c r="B834" s="23"/>
      <c r="C834" s="23"/>
      <c r="D834" s="23"/>
    </row>
    <row r="835" spans="1:4" ht="15.75" customHeight="1">
      <c r="A835" s="20"/>
      <c r="B835" s="23"/>
      <c r="C835" s="23"/>
      <c r="D835" s="23"/>
    </row>
    <row r="836" spans="1:4" ht="15.75" customHeight="1">
      <c r="A836" s="20"/>
      <c r="B836" s="23"/>
      <c r="C836" s="23"/>
      <c r="D836" s="23"/>
    </row>
    <row r="837" spans="1:4" ht="15.75" customHeight="1">
      <c r="A837" s="20"/>
      <c r="B837" s="23"/>
      <c r="C837" s="23"/>
      <c r="D837" s="23"/>
    </row>
    <row r="838" spans="1:4" ht="15.75" customHeight="1">
      <c r="A838" s="20"/>
      <c r="B838" s="23"/>
      <c r="C838" s="23"/>
      <c r="D838" s="23"/>
    </row>
    <row r="839" spans="1:4" ht="15.75" customHeight="1">
      <c r="A839" s="20"/>
      <c r="B839" s="23"/>
      <c r="C839" s="23"/>
      <c r="D839" s="23"/>
    </row>
    <row r="840" spans="1:4" ht="15.75" customHeight="1">
      <c r="A840" s="20"/>
      <c r="B840" s="23"/>
      <c r="C840" s="23"/>
      <c r="D840" s="23"/>
    </row>
    <row r="841" spans="1:4" ht="15.75" customHeight="1">
      <c r="A841" s="20"/>
      <c r="B841" s="23"/>
      <c r="C841" s="23"/>
      <c r="D841" s="23"/>
    </row>
    <row r="842" spans="1:4" ht="15.75" customHeight="1">
      <c r="A842" s="20"/>
      <c r="B842" s="23"/>
      <c r="C842" s="23"/>
      <c r="D842" s="23"/>
    </row>
    <row r="843" spans="1:4" ht="15.75" customHeight="1">
      <c r="A843" s="20"/>
      <c r="B843" s="23"/>
      <c r="C843" s="23"/>
      <c r="D843" s="23"/>
    </row>
    <row r="844" spans="1:4" ht="15.75" customHeight="1">
      <c r="A844" s="20"/>
      <c r="B844" s="23"/>
      <c r="C844" s="23"/>
      <c r="D844" s="23"/>
    </row>
    <row r="845" spans="1:4" ht="15.75" customHeight="1">
      <c r="A845" s="20"/>
      <c r="B845" s="23"/>
      <c r="C845" s="23"/>
      <c r="D845" s="23"/>
    </row>
    <row r="846" spans="1:4" ht="15.75" customHeight="1">
      <c r="A846" s="20"/>
      <c r="B846" s="23"/>
      <c r="C846" s="23"/>
      <c r="D846" s="23"/>
    </row>
    <row r="847" spans="1:4" ht="15.75" customHeight="1">
      <c r="A847" s="20"/>
      <c r="B847" s="23"/>
      <c r="C847" s="23"/>
      <c r="D847" s="23"/>
    </row>
    <row r="848" spans="1:4" ht="15.75" customHeight="1">
      <c r="A848" s="20"/>
      <c r="B848" s="23"/>
      <c r="C848" s="23"/>
      <c r="D848" s="23"/>
    </row>
    <row r="849" spans="1:4" ht="15.75" customHeight="1">
      <c r="A849" s="20"/>
      <c r="B849" s="23"/>
      <c r="C849" s="23"/>
      <c r="D849" s="23"/>
    </row>
    <row r="850" spans="1:4" ht="15.75" customHeight="1">
      <c r="A850" s="20"/>
      <c r="B850" s="23"/>
      <c r="C850" s="23"/>
      <c r="D850" s="23"/>
    </row>
    <row r="851" spans="1:4" ht="15.75" customHeight="1">
      <c r="A851" s="20"/>
      <c r="B851" s="23"/>
      <c r="C851" s="23"/>
      <c r="D851" s="23"/>
    </row>
    <row r="852" spans="1:4" ht="15.75" customHeight="1">
      <c r="A852" s="20"/>
      <c r="B852" s="23"/>
      <c r="C852" s="23"/>
      <c r="D852" s="23"/>
    </row>
    <row r="853" spans="1:4" ht="15.75" customHeight="1">
      <c r="A853" s="20"/>
      <c r="B853" s="23"/>
      <c r="C853" s="23"/>
      <c r="D853" s="23"/>
    </row>
    <row r="854" spans="1:4" ht="15.75" customHeight="1">
      <c r="A854" s="20"/>
      <c r="B854" s="23"/>
      <c r="C854" s="23"/>
      <c r="D854" s="23"/>
    </row>
    <row r="855" spans="1:4" ht="15.75" customHeight="1">
      <c r="A855" s="20"/>
      <c r="B855" s="23"/>
      <c r="C855" s="23"/>
      <c r="D855" s="23"/>
    </row>
    <row r="856" spans="1:4" ht="15.75" customHeight="1">
      <c r="A856" s="20"/>
      <c r="B856" s="23"/>
      <c r="C856" s="23"/>
      <c r="D856" s="23"/>
    </row>
    <row r="857" spans="1:4" ht="15.75" customHeight="1">
      <c r="A857" s="20"/>
      <c r="B857" s="23"/>
      <c r="C857" s="23"/>
      <c r="D857" s="23"/>
    </row>
    <row r="858" spans="1:4" ht="15.75" customHeight="1">
      <c r="A858" s="20"/>
      <c r="B858" s="23"/>
      <c r="C858" s="23"/>
      <c r="D858" s="23"/>
    </row>
    <row r="859" spans="1:4" ht="15.75" customHeight="1">
      <c r="A859" s="20"/>
      <c r="B859" s="23"/>
      <c r="C859" s="23"/>
      <c r="D859" s="23"/>
    </row>
    <row r="860" spans="1:4" ht="15.75" customHeight="1">
      <c r="A860" s="20"/>
      <c r="B860" s="23"/>
      <c r="C860" s="23"/>
      <c r="D860" s="23"/>
    </row>
    <row r="861" spans="1:4" ht="15.75" customHeight="1">
      <c r="A861" s="20"/>
      <c r="B861" s="23"/>
      <c r="C861" s="23"/>
      <c r="D861" s="23"/>
    </row>
    <row r="862" spans="1:4" ht="15.75" customHeight="1">
      <c r="A862" s="20"/>
      <c r="B862" s="23"/>
      <c r="C862" s="23"/>
      <c r="D862" s="23"/>
    </row>
    <row r="863" spans="1:4" ht="15.75" customHeight="1">
      <c r="A863" s="20"/>
      <c r="B863" s="23"/>
      <c r="C863" s="23"/>
      <c r="D863" s="23"/>
    </row>
    <row r="864" spans="1:4" ht="15.75" customHeight="1">
      <c r="A864" s="20"/>
      <c r="B864" s="23"/>
      <c r="C864" s="23"/>
      <c r="D864" s="23"/>
    </row>
    <row r="865" spans="1:4" ht="15.75" customHeight="1">
      <c r="A865" s="20"/>
      <c r="B865" s="23"/>
      <c r="C865" s="23"/>
      <c r="D865" s="23"/>
    </row>
    <row r="866" spans="1:4" ht="15.75" customHeight="1">
      <c r="A866" s="20"/>
      <c r="B866" s="23"/>
      <c r="C866" s="23"/>
      <c r="D866" s="23"/>
    </row>
    <row r="867" spans="1:4" ht="15.75" customHeight="1">
      <c r="A867" s="20"/>
      <c r="B867" s="23"/>
      <c r="C867" s="23"/>
      <c r="D867" s="23"/>
    </row>
    <row r="868" spans="1:4" ht="15.75" customHeight="1">
      <c r="A868" s="20"/>
      <c r="B868" s="23"/>
      <c r="C868" s="23"/>
      <c r="D868" s="23"/>
    </row>
    <row r="869" spans="1:4" ht="15.75" customHeight="1">
      <c r="A869" s="20"/>
      <c r="B869" s="23"/>
      <c r="C869" s="23"/>
      <c r="D869" s="23"/>
    </row>
    <row r="870" spans="1:4" ht="15.75" customHeight="1">
      <c r="A870" s="20"/>
      <c r="B870" s="23"/>
      <c r="C870" s="23"/>
      <c r="D870" s="23"/>
    </row>
    <row r="871" spans="1:4" ht="15.75" customHeight="1">
      <c r="A871" s="20"/>
      <c r="B871" s="23"/>
      <c r="C871" s="23"/>
      <c r="D871" s="23"/>
    </row>
    <row r="872" spans="1:4" ht="15.75" customHeight="1">
      <c r="A872" s="20"/>
      <c r="B872" s="23"/>
      <c r="C872" s="23"/>
      <c r="D872" s="23"/>
    </row>
    <row r="873" spans="1:4" ht="15.75" customHeight="1">
      <c r="A873" s="20"/>
      <c r="B873" s="23"/>
      <c r="C873" s="23"/>
      <c r="D873" s="23"/>
    </row>
    <row r="874" spans="1:4" ht="15.75" customHeight="1">
      <c r="A874" s="20"/>
      <c r="B874" s="23"/>
      <c r="C874" s="23"/>
      <c r="D874" s="23"/>
    </row>
    <row r="875" spans="1:4" ht="15.75" customHeight="1">
      <c r="A875" s="20"/>
      <c r="B875" s="23"/>
      <c r="C875" s="23"/>
      <c r="D875" s="23"/>
    </row>
    <row r="876" spans="1:4" ht="15.75" customHeight="1">
      <c r="A876" s="20"/>
      <c r="B876" s="23"/>
      <c r="C876" s="23"/>
      <c r="D876" s="23"/>
    </row>
    <row r="877" spans="1:4" ht="15.75" customHeight="1">
      <c r="A877" s="20"/>
      <c r="B877" s="23"/>
      <c r="C877" s="23"/>
      <c r="D877" s="23"/>
    </row>
    <row r="878" spans="1:4" ht="15.75" customHeight="1">
      <c r="A878" s="20"/>
      <c r="B878" s="23"/>
      <c r="C878" s="23"/>
      <c r="D878" s="23"/>
    </row>
    <row r="879" spans="1:4" ht="15.75" customHeight="1">
      <c r="A879" s="20"/>
      <c r="B879" s="23"/>
      <c r="C879" s="23"/>
      <c r="D879" s="23"/>
    </row>
    <row r="880" spans="1:4" ht="15.75" customHeight="1">
      <c r="A880" s="20"/>
      <c r="B880" s="23"/>
      <c r="C880" s="23"/>
      <c r="D880" s="23"/>
    </row>
    <row r="881" spans="1:4" ht="15.75" customHeight="1">
      <c r="A881" s="20"/>
      <c r="B881" s="23"/>
      <c r="C881" s="23"/>
      <c r="D881" s="23"/>
    </row>
    <row r="882" spans="1:4" ht="15.75" customHeight="1">
      <c r="A882" s="20"/>
      <c r="B882" s="23"/>
      <c r="C882" s="23"/>
      <c r="D882" s="23"/>
    </row>
    <row r="883" spans="1:4" ht="15.75" customHeight="1">
      <c r="A883" s="20"/>
      <c r="B883" s="23"/>
      <c r="C883" s="23"/>
      <c r="D883" s="23"/>
    </row>
    <row r="884" spans="1:4" ht="15.75" customHeight="1">
      <c r="A884" s="20"/>
      <c r="B884" s="23"/>
      <c r="C884" s="23"/>
      <c r="D884" s="23"/>
    </row>
    <row r="885" spans="1:4" ht="15.75" customHeight="1">
      <c r="A885" s="20"/>
      <c r="B885" s="23"/>
      <c r="C885" s="23"/>
      <c r="D885" s="23"/>
    </row>
    <row r="886" spans="1:4" ht="15.75" customHeight="1">
      <c r="A886" s="20"/>
      <c r="B886" s="23"/>
      <c r="C886" s="23"/>
      <c r="D886" s="23"/>
    </row>
    <row r="887" spans="1:4" ht="15.75" customHeight="1">
      <c r="A887" s="20"/>
      <c r="B887" s="23"/>
      <c r="C887" s="23"/>
      <c r="D887" s="23"/>
    </row>
    <row r="888" spans="1:4" ht="15.75" customHeight="1">
      <c r="A888" s="20"/>
      <c r="B888" s="23"/>
      <c r="C888" s="23"/>
      <c r="D888" s="23"/>
    </row>
    <row r="889" spans="1:4" ht="15.75" customHeight="1">
      <c r="A889" s="20"/>
      <c r="B889" s="23"/>
      <c r="C889" s="23"/>
      <c r="D889" s="23"/>
    </row>
    <row r="890" spans="1:4" ht="15.75" customHeight="1">
      <c r="A890" s="20"/>
      <c r="B890" s="23"/>
      <c r="C890" s="23"/>
      <c r="D890" s="23"/>
    </row>
    <row r="891" spans="1:4" ht="15.75" customHeight="1">
      <c r="A891" s="20"/>
      <c r="B891" s="23"/>
      <c r="C891" s="23"/>
      <c r="D891" s="23"/>
    </row>
    <row r="892" spans="1:4" ht="15.75" customHeight="1">
      <c r="A892" s="20"/>
      <c r="B892" s="23"/>
      <c r="C892" s="23"/>
      <c r="D892" s="23"/>
    </row>
    <row r="893" spans="1:4" ht="15.75" customHeight="1">
      <c r="A893" s="20"/>
      <c r="B893" s="23"/>
      <c r="C893" s="23"/>
      <c r="D893" s="23"/>
    </row>
    <row r="894" spans="1:4" ht="15.75" customHeight="1">
      <c r="A894" s="20"/>
      <c r="B894" s="23"/>
      <c r="C894" s="23"/>
      <c r="D894" s="23"/>
    </row>
    <row r="895" spans="1:4" ht="15.75" customHeight="1">
      <c r="A895" s="20"/>
      <c r="B895" s="23"/>
      <c r="C895" s="23"/>
      <c r="D895" s="23"/>
    </row>
    <row r="896" spans="1:4" ht="15.75" customHeight="1">
      <c r="A896" s="20"/>
      <c r="B896" s="23"/>
      <c r="C896" s="23"/>
      <c r="D896" s="23"/>
    </row>
    <row r="897" spans="1:4" ht="15.75" customHeight="1">
      <c r="A897" s="20"/>
      <c r="B897" s="23"/>
      <c r="C897" s="23"/>
      <c r="D897" s="23"/>
    </row>
    <row r="898" spans="1:4" ht="15.75" customHeight="1">
      <c r="A898" s="20"/>
      <c r="B898" s="23"/>
      <c r="C898" s="23"/>
      <c r="D898" s="23"/>
    </row>
    <row r="899" spans="1:4" ht="15.75" customHeight="1">
      <c r="A899" s="20"/>
      <c r="B899" s="23"/>
      <c r="C899" s="23"/>
      <c r="D899" s="23"/>
    </row>
    <row r="900" spans="1:4" ht="15.75" customHeight="1">
      <c r="A900" s="20"/>
      <c r="B900" s="23"/>
      <c r="C900" s="23"/>
      <c r="D900" s="23"/>
    </row>
    <row r="901" spans="1:4" ht="15.75" customHeight="1">
      <c r="A901" s="20"/>
      <c r="B901" s="23"/>
      <c r="C901" s="23"/>
      <c r="D901" s="23"/>
    </row>
    <row r="902" spans="1:4" ht="15.75" customHeight="1">
      <c r="A902" s="20"/>
      <c r="B902" s="23"/>
      <c r="C902" s="23"/>
      <c r="D902" s="23"/>
    </row>
    <row r="903" spans="1:4" ht="15.75" customHeight="1">
      <c r="A903" s="20"/>
      <c r="B903" s="23"/>
      <c r="C903" s="23"/>
      <c r="D903" s="23"/>
    </row>
    <row r="904" spans="1:4" ht="15.75" customHeight="1">
      <c r="A904" s="20"/>
      <c r="B904" s="23"/>
      <c r="C904" s="23"/>
      <c r="D904" s="23"/>
    </row>
    <row r="905" spans="1:4" ht="15.75" customHeight="1">
      <c r="A905" s="20"/>
      <c r="B905" s="23"/>
      <c r="C905" s="23"/>
      <c r="D905" s="23"/>
    </row>
    <row r="906" spans="1:4" ht="15.75" customHeight="1">
      <c r="A906" s="20"/>
      <c r="B906" s="23"/>
      <c r="C906" s="23"/>
      <c r="D906" s="23"/>
    </row>
    <row r="907" spans="1:4" ht="15.75" customHeight="1">
      <c r="A907" s="20"/>
      <c r="B907" s="23"/>
      <c r="C907" s="23"/>
      <c r="D907" s="23"/>
    </row>
    <row r="908" spans="1:4" ht="15.75" customHeight="1">
      <c r="A908" s="20"/>
      <c r="B908" s="23"/>
      <c r="C908" s="23"/>
      <c r="D908" s="23"/>
    </row>
    <row r="909" spans="1:4" ht="15.75" customHeight="1">
      <c r="A909" s="20"/>
      <c r="B909" s="23"/>
      <c r="C909" s="23"/>
      <c r="D909" s="23"/>
    </row>
    <row r="910" spans="1:4" ht="15.75" customHeight="1">
      <c r="A910" s="20"/>
      <c r="B910" s="23"/>
      <c r="C910" s="23"/>
      <c r="D910" s="23"/>
    </row>
    <row r="911" spans="1:4" ht="15.75" customHeight="1">
      <c r="A911" s="20"/>
      <c r="B911" s="23"/>
      <c r="C911" s="23"/>
      <c r="D911" s="23"/>
    </row>
    <row r="912" spans="1:4" ht="15.75" customHeight="1">
      <c r="A912" s="20"/>
      <c r="B912" s="23"/>
      <c r="C912" s="23"/>
      <c r="D912" s="23"/>
    </row>
    <row r="913" spans="1:4" ht="15.75" customHeight="1">
      <c r="A913" s="20"/>
      <c r="B913" s="23"/>
      <c r="C913" s="23"/>
      <c r="D913" s="23"/>
    </row>
    <row r="914" spans="1:4" ht="15.75" customHeight="1">
      <c r="A914" s="20"/>
      <c r="B914" s="23"/>
      <c r="C914" s="23"/>
      <c r="D914" s="23"/>
    </row>
    <row r="915" spans="1:4" ht="15.75" customHeight="1">
      <c r="A915" s="20"/>
      <c r="B915" s="23"/>
      <c r="C915" s="23"/>
      <c r="D915" s="23"/>
    </row>
    <row r="916" spans="1:4" ht="15.75" customHeight="1">
      <c r="A916" s="20"/>
      <c r="B916" s="23"/>
      <c r="C916" s="23"/>
      <c r="D916" s="23"/>
    </row>
    <row r="917" spans="1:4" ht="15.75" customHeight="1">
      <c r="A917" s="20"/>
      <c r="B917" s="23"/>
      <c r="C917" s="23"/>
      <c r="D917" s="23"/>
    </row>
    <row r="918" spans="1:4" ht="15.75" customHeight="1">
      <c r="A918" s="20"/>
      <c r="B918" s="23"/>
      <c r="C918" s="23"/>
      <c r="D918" s="23"/>
    </row>
    <row r="919" spans="1:4" ht="15.75" customHeight="1">
      <c r="A919" s="20"/>
      <c r="B919" s="23"/>
      <c r="C919" s="23"/>
      <c r="D919" s="23"/>
    </row>
    <row r="920" spans="1:4" ht="15.75" customHeight="1">
      <c r="A920" s="20"/>
      <c r="B920" s="23"/>
      <c r="C920" s="23"/>
      <c r="D920" s="23"/>
    </row>
    <row r="921" spans="1:4" ht="15.75" customHeight="1">
      <c r="A921" s="20"/>
      <c r="B921" s="23"/>
      <c r="C921" s="23"/>
      <c r="D921" s="23"/>
    </row>
    <row r="922" spans="1:4" ht="15.75" customHeight="1">
      <c r="A922" s="20"/>
      <c r="B922" s="23"/>
      <c r="C922" s="23"/>
      <c r="D922" s="23"/>
    </row>
    <row r="923" spans="1:4" ht="15.75" customHeight="1">
      <c r="A923" s="20"/>
      <c r="B923" s="23"/>
      <c r="C923" s="23"/>
      <c r="D923" s="23"/>
    </row>
    <row r="924" spans="1:4" ht="15.75" customHeight="1">
      <c r="A924" s="20"/>
      <c r="B924" s="23"/>
      <c r="C924" s="23"/>
      <c r="D924" s="23"/>
    </row>
    <row r="925" spans="1:4" ht="15.75" customHeight="1">
      <c r="A925" s="20"/>
      <c r="B925" s="23"/>
      <c r="C925" s="23"/>
      <c r="D925" s="23"/>
    </row>
    <row r="926" spans="1:4" ht="15.75" customHeight="1">
      <c r="A926" s="20"/>
      <c r="B926" s="23"/>
      <c r="C926" s="23"/>
      <c r="D926" s="23"/>
    </row>
    <row r="927" spans="1:4" ht="15.75" customHeight="1">
      <c r="A927" s="20"/>
      <c r="B927" s="23"/>
      <c r="C927" s="23"/>
      <c r="D927" s="23"/>
    </row>
    <row r="928" spans="1:4" ht="15.75" customHeight="1">
      <c r="A928" s="20"/>
      <c r="B928" s="23"/>
      <c r="C928" s="23"/>
      <c r="D928" s="23"/>
    </row>
    <row r="929" spans="1:4" ht="15.75" customHeight="1">
      <c r="A929" s="20"/>
      <c r="B929" s="23"/>
      <c r="C929" s="23"/>
      <c r="D929" s="23"/>
    </row>
    <row r="930" spans="1:4" ht="15.75" customHeight="1">
      <c r="A930" s="20"/>
      <c r="B930" s="23"/>
      <c r="C930" s="23"/>
      <c r="D930" s="23"/>
    </row>
    <row r="931" spans="1:4" ht="15.75" customHeight="1">
      <c r="A931" s="20"/>
      <c r="B931" s="23"/>
      <c r="C931" s="23"/>
      <c r="D931" s="23"/>
    </row>
    <row r="932" spans="1:4" ht="15.75" customHeight="1">
      <c r="A932" s="20"/>
      <c r="B932" s="23"/>
      <c r="C932" s="23"/>
      <c r="D932" s="23"/>
    </row>
    <row r="933" spans="1:4" ht="15.75" customHeight="1">
      <c r="A933" s="20"/>
      <c r="B933" s="23"/>
      <c r="C933" s="23"/>
      <c r="D933" s="23"/>
    </row>
    <row r="934" spans="1:4" ht="15.75" customHeight="1">
      <c r="A934" s="20"/>
      <c r="B934" s="23"/>
      <c r="C934" s="23"/>
      <c r="D934" s="23"/>
    </row>
    <row r="935" spans="1:4" ht="15.75" customHeight="1">
      <c r="A935" s="20"/>
      <c r="B935" s="23"/>
      <c r="C935" s="23"/>
      <c r="D935" s="23"/>
    </row>
    <row r="936" spans="1:4" ht="15.75" customHeight="1">
      <c r="A936" s="20"/>
      <c r="B936" s="23"/>
      <c r="C936" s="23"/>
      <c r="D936" s="23"/>
    </row>
    <row r="937" spans="1:4" ht="15.75" customHeight="1">
      <c r="A937" s="20"/>
      <c r="B937" s="23"/>
      <c r="C937" s="23"/>
      <c r="D937" s="23"/>
    </row>
    <row r="938" spans="1:4" ht="15.75" customHeight="1">
      <c r="A938" s="20"/>
      <c r="B938" s="23"/>
      <c r="C938" s="23"/>
      <c r="D938" s="23"/>
    </row>
    <row r="939" spans="1:4" ht="15.75" customHeight="1">
      <c r="A939" s="20"/>
      <c r="B939" s="23"/>
      <c r="C939" s="23"/>
      <c r="D939" s="23"/>
    </row>
    <row r="940" spans="1:4" ht="15.75" customHeight="1">
      <c r="A940" s="20"/>
      <c r="B940" s="23"/>
      <c r="C940" s="23"/>
      <c r="D940" s="23"/>
    </row>
    <row r="941" spans="1:4" ht="15.75" customHeight="1">
      <c r="A941" s="20"/>
      <c r="B941" s="23"/>
      <c r="C941" s="23"/>
      <c r="D941" s="23"/>
    </row>
    <row r="942" spans="1:4" ht="15.75" customHeight="1">
      <c r="A942" s="20"/>
      <c r="B942" s="23"/>
      <c r="C942" s="23"/>
      <c r="D942" s="23"/>
    </row>
    <row r="943" spans="1:4" ht="15.75" customHeight="1">
      <c r="A943" s="20"/>
      <c r="B943" s="23"/>
      <c r="C943" s="23"/>
      <c r="D943" s="23"/>
    </row>
    <row r="944" spans="1:4" ht="15.75" customHeight="1">
      <c r="A944" s="20"/>
      <c r="B944" s="23"/>
      <c r="C944" s="23"/>
      <c r="D944" s="23"/>
    </row>
    <row r="945" spans="1:4" ht="15.75" customHeight="1">
      <c r="A945" s="20"/>
      <c r="B945" s="23"/>
      <c r="C945" s="23"/>
      <c r="D945" s="23"/>
    </row>
    <row r="946" spans="1:4" ht="15.75" customHeight="1">
      <c r="A946" s="20"/>
      <c r="B946" s="23"/>
      <c r="C946" s="23"/>
      <c r="D946" s="23"/>
    </row>
    <row r="947" spans="1:4" ht="15.75" customHeight="1">
      <c r="A947" s="20"/>
      <c r="B947" s="23"/>
      <c r="C947" s="23"/>
      <c r="D947" s="23"/>
    </row>
    <row r="948" spans="1:4" ht="15.75" customHeight="1">
      <c r="A948" s="20"/>
      <c r="B948" s="23"/>
      <c r="C948" s="23"/>
      <c r="D948" s="23"/>
    </row>
    <row r="949" spans="1:4" ht="15.75" customHeight="1">
      <c r="A949" s="20"/>
      <c r="B949" s="23"/>
      <c r="C949" s="23"/>
      <c r="D949" s="23"/>
    </row>
    <row r="950" spans="1:4" ht="15.75" customHeight="1">
      <c r="A950" s="20"/>
      <c r="B950" s="23"/>
      <c r="C950" s="23"/>
      <c r="D950" s="23"/>
    </row>
    <row r="951" spans="1:4" ht="15.75" customHeight="1">
      <c r="A951" s="20"/>
      <c r="B951" s="23"/>
      <c r="C951" s="23"/>
      <c r="D951" s="23"/>
    </row>
    <row r="952" spans="1:4" ht="15.75" customHeight="1">
      <c r="A952" s="20"/>
      <c r="B952" s="23"/>
      <c r="C952" s="23"/>
      <c r="D952" s="23"/>
    </row>
    <row r="953" spans="1:4" ht="15.75" customHeight="1">
      <c r="A953" s="20"/>
      <c r="B953" s="23"/>
      <c r="C953" s="23"/>
      <c r="D953" s="23"/>
    </row>
    <row r="954" spans="1:4" ht="15.75" customHeight="1">
      <c r="A954" s="20"/>
      <c r="B954" s="23"/>
      <c r="C954" s="23"/>
      <c r="D954" s="23"/>
    </row>
    <row r="955" spans="1:4" ht="15.75" customHeight="1">
      <c r="A955" s="20"/>
      <c r="B955" s="23"/>
      <c r="C955" s="23"/>
      <c r="D955" s="23"/>
    </row>
    <row r="956" spans="1:4" ht="15.75" customHeight="1">
      <c r="A956" s="20"/>
      <c r="B956" s="23"/>
      <c r="C956" s="23"/>
      <c r="D956" s="23"/>
    </row>
    <row r="957" spans="1:4" ht="15.75" customHeight="1">
      <c r="A957" s="20"/>
      <c r="B957" s="23"/>
      <c r="C957" s="23"/>
      <c r="D957" s="23"/>
    </row>
    <row r="958" spans="1:4" ht="15.75" customHeight="1">
      <c r="A958" s="20"/>
      <c r="B958" s="23"/>
      <c r="C958" s="23"/>
      <c r="D958" s="23"/>
    </row>
    <row r="959" spans="1:4" ht="15.75" customHeight="1">
      <c r="A959" s="20"/>
      <c r="B959" s="23"/>
      <c r="C959" s="23"/>
      <c r="D959" s="23"/>
    </row>
    <row r="960" spans="1:4" ht="15.75" customHeight="1">
      <c r="A960" s="20"/>
      <c r="B960" s="23"/>
      <c r="C960" s="23"/>
      <c r="D960" s="23"/>
    </row>
    <row r="961" spans="1:4" ht="15.75" customHeight="1">
      <c r="A961" s="20"/>
      <c r="B961" s="23"/>
      <c r="C961" s="23"/>
      <c r="D961" s="23"/>
    </row>
    <row r="962" spans="1:4" ht="15.75" customHeight="1">
      <c r="A962" s="20"/>
      <c r="B962" s="23"/>
      <c r="C962" s="23"/>
      <c r="D962" s="23"/>
    </row>
    <row r="963" spans="1:4" ht="15.75" customHeight="1">
      <c r="A963" s="20"/>
      <c r="B963" s="23"/>
      <c r="C963" s="23"/>
      <c r="D963" s="23"/>
    </row>
    <row r="964" spans="1:4" ht="15.75" customHeight="1">
      <c r="A964" s="20"/>
      <c r="B964" s="23"/>
      <c r="C964" s="23"/>
      <c r="D964" s="23"/>
    </row>
    <row r="965" spans="1:4" ht="15.75" customHeight="1">
      <c r="A965" s="20"/>
      <c r="B965" s="23"/>
      <c r="C965" s="23"/>
      <c r="D965" s="23"/>
    </row>
    <row r="966" spans="1:4" ht="15.75" customHeight="1">
      <c r="A966" s="20"/>
      <c r="B966" s="23"/>
      <c r="C966" s="23"/>
      <c r="D966" s="23"/>
    </row>
    <row r="967" spans="1:4" ht="15.75" customHeight="1">
      <c r="A967" s="20"/>
      <c r="B967" s="23"/>
      <c r="C967" s="23"/>
      <c r="D967" s="23"/>
    </row>
    <row r="968" spans="1:4" ht="15.75" customHeight="1">
      <c r="A968" s="20"/>
      <c r="B968" s="23"/>
      <c r="C968" s="23"/>
      <c r="D968" s="23"/>
    </row>
    <row r="969" spans="1:4" ht="15.75" customHeight="1">
      <c r="A969" s="20"/>
      <c r="B969" s="23"/>
      <c r="C969" s="23"/>
      <c r="D969" s="23"/>
    </row>
    <row r="970" spans="1:4" ht="15.75" customHeight="1">
      <c r="A970" s="20"/>
      <c r="B970" s="23"/>
      <c r="C970" s="23"/>
      <c r="D970" s="23"/>
    </row>
    <row r="971" spans="1:4" ht="15.75" customHeight="1">
      <c r="A971" s="20"/>
      <c r="B971" s="23"/>
      <c r="C971" s="23"/>
      <c r="D971" s="23"/>
    </row>
    <row r="972" spans="1:4" ht="15.75" customHeight="1">
      <c r="A972" s="20"/>
      <c r="B972" s="23"/>
      <c r="C972" s="23"/>
      <c r="D972" s="23"/>
    </row>
    <row r="973" spans="1:4" ht="15.75" customHeight="1">
      <c r="A973" s="20"/>
      <c r="B973" s="23"/>
      <c r="C973" s="23"/>
      <c r="D973" s="23"/>
    </row>
    <row r="974" spans="1:4" ht="15.75" customHeight="1">
      <c r="A974" s="20"/>
      <c r="B974" s="23"/>
      <c r="C974" s="23"/>
      <c r="D974" s="23"/>
    </row>
    <row r="975" spans="1:4" ht="15.75" customHeight="1">
      <c r="A975" s="20"/>
      <c r="B975" s="23"/>
      <c r="C975" s="23"/>
      <c r="D975" s="23"/>
    </row>
    <row r="976" spans="1:4" ht="15.75" customHeight="1">
      <c r="A976" s="20"/>
      <c r="B976" s="23"/>
      <c r="C976" s="23"/>
      <c r="D976" s="23"/>
    </row>
    <row r="977" spans="1:4" ht="15.75" customHeight="1">
      <c r="A977" s="20"/>
      <c r="B977" s="23"/>
      <c r="C977" s="23"/>
      <c r="D977" s="23"/>
    </row>
    <row r="978" spans="1:4" ht="15.75" customHeight="1">
      <c r="A978" s="20"/>
      <c r="B978" s="23"/>
      <c r="C978" s="23"/>
      <c r="D978" s="23"/>
    </row>
    <row r="979" spans="1:4" ht="15.75" customHeight="1">
      <c r="A979" s="20"/>
      <c r="B979" s="23"/>
      <c r="C979" s="23"/>
      <c r="D979" s="23"/>
    </row>
    <row r="980" spans="1:4" ht="15.75" customHeight="1">
      <c r="A980" s="20"/>
      <c r="B980" s="23"/>
      <c r="C980" s="23"/>
      <c r="D980" s="23"/>
    </row>
    <row r="981" spans="1:4" ht="15.75" customHeight="1">
      <c r="A981" s="20"/>
      <c r="B981" s="23"/>
      <c r="C981" s="23"/>
      <c r="D981" s="23"/>
    </row>
    <row r="982" spans="1:4" ht="15.75" customHeight="1">
      <c r="A982" s="20"/>
      <c r="B982" s="23"/>
      <c r="C982" s="23"/>
      <c r="D982" s="23"/>
    </row>
    <row r="983" spans="1:4" ht="15.75" customHeight="1">
      <c r="A983" s="20"/>
      <c r="B983" s="23"/>
      <c r="C983" s="23"/>
      <c r="D983" s="23"/>
    </row>
    <row r="984" spans="1:4" ht="15.75" customHeight="1">
      <c r="A984" s="20"/>
      <c r="B984" s="23"/>
      <c r="C984" s="23"/>
      <c r="D984" s="23"/>
    </row>
    <row r="985" spans="1:4" ht="15.75" customHeight="1">
      <c r="A985" s="20"/>
      <c r="B985" s="23"/>
      <c r="C985" s="23"/>
      <c r="D985" s="23"/>
    </row>
    <row r="986" spans="1:4" ht="15.75" customHeight="1">
      <c r="A986" s="20"/>
      <c r="B986" s="23"/>
      <c r="C986" s="23"/>
      <c r="D986" s="23"/>
    </row>
    <row r="987" spans="1:4" ht="15.75" customHeight="1">
      <c r="A987" s="20"/>
      <c r="B987" s="23"/>
      <c r="C987" s="23"/>
      <c r="D987" s="23"/>
    </row>
    <row r="988" spans="1:4" ht="15.75" customHeight="1">
      <c r="A988" s="20"/>
      <c r="B988" s="23"/>
      <c r="C988" s="23"/>
      <c r="D988" s="23"/>
    </row>
    <row r="989" spans="1:4" ht="15.75" customHeight="1">
      <c r="A989" s="20"/>
      <c r="B989" s="23"/>
      <c r="C989" s="23"/>
      <c r="D989" s="23"/>
    </row>
    <row r="990" spans="1:4" ht="15.75" customHeight="1">
      <c r="A990" s="20"/>
      <c r="B990" s="23"/>
      <c r="C990" s="23"/>
      <c r="D990" s="23"/>
    </row>
    <row r="991" spans="1:4" ht="15.75" customHeight="1">
      <c r="A991" s="20"/>
      <c r="B991" s="23"/>
      <c r="C991" s="23"/>
      <c r="D991" s="23"/>
    </row>
    <row r="992" spans="1:4" ht="15.75" customHeight="1">
      <c r="A992" s="20"/>
      <c r="B992" s="23"/>
      <c r="C992" s="23"/>
      <c r="D992" s="23"/>
    </row>
    <row r="993" spans="1:4" ht="15.75" customHeight="1">
      <c r="A993" s="20"/>
      <c r="B993" s="23"/>
      <c r="C993" s="23"/>
      <c r="D993" s="23"/>
    </row>
    <row r="994" spans="1:4" ht="15.75" customHeight="1">
      <c r="A994" s="20"/>
      <c r="B994" s="23"/>
      <c r="C994" s="23"/>
      <c r="D994" s="23"/>
    </row>
    <row r="995" spans="1:4" ht="15.75" customHeight="1">
      <c r="A995" s="20"/>
      <c r="B995" s="23"/>
      <c r="C995" s="23"/>
      <c r="D995" s="23"/>
    </row>
    <row r="996" spans="1:4" ht="15.75" customHeight="1">
      <c r="A996" s="20"/>
      <c r="B996" s="23"/>
      <c r="C996" s="23"/>
      <c r="D996" s="23"/>
    </row>
    <row r="997" spans="1:4" ht="15.75" customHeight="1">
      <c r="A997" s="20"/>
      <c r="B997" s="23"/>
      <c r="C997" s="23"/>
      <c r="D997" s="23"/>
    </row>
    <row r="998" spans="1:4" ht="15.75" customHeight="1">
      <c r="A998" s="20"/>
      <c r="B998" s="23"/>
      <c r="C998" s="23"/>
      <c r="D998" s="23"/>
    </row>
    <row r="999" spans="1:4" ht="15.75" customHeight="1">
      <c r="A999" s="20"/>
      <c r="B999" s="23"/>
      <c r="C999" s="23"/>
      <c r="D999" s="23"/>
    </row>
    <row r="1000" spans="1:4" ht="15.75" customHeight="1">
      <c r="A1000" s="20"/>
      <c r="B1000" s="23"/>
      <c r="C1000" s="23"/>
      <c r="D1000" s="23"/>
    </row>
    <row r="1001" spans="1:4" ht="15.75" customHeight="1">
      <c r="A1001" s="20"/>
      <c r="B1001" s="23"/>
      <c r="C1001" s="23"/>
      <c r="D1001" s="23"/>
    </row>
  </sheetData>
  <phoneticPr fontId="9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S1000"/>
  <sheetViews>
    <sheetView workbookViewId="0">
      <selection activeCell="I18" sqref="I18"/>
    </sheetView>
  </sheetViews>
  <sheetFormatPr baseColWidth="10" defaultColWidth="12.6640625" defaultRowHeight="15" customHeight="1"/>
  <cols>
    <col min="1" max="1" width="16.77734375" customWidth="1"/>
    <col min="2" max="2" width="14.21875" customWidth="1"/>
    <col min="3" max="6" width="11.33203125" customWidth="1"/>
    <col min="7" max="19" width="10.6640625" customWidth="1"/>
  </cols>
  <sheetData>
    <row r="1" spans="1:19" ht="14.4">
      <c r="A1" s="7" t="s">
        <v>367</v>
      </c>
      <c r="B1" s="7" t="s">
        <v>299</v>
      </c>
      <c r="C1" s="7" t="s">
        <v>378</v>
      </c>
      <c r="D1" s="7" t="s">
        <v>379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4.4">
      <c r="A2" s="24">
        <v>1</v>
      </c>
      <c r="B2" s="7" t="s">
        <v>1</v>
      </c>
      <c r="C2" s="25">
        <v>41.904911714971092</v>
      </c>
      <c r="D2" s="25">
        <v>80.451014024820907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4">
      <c r="A3" s="24">
        <v>2</v>
      </c>
      <c r="B3" s="7" t="s">
        <v>24</v>
      </c>
      <c r="C3" s="25">
        <v>46.496627439041795</v>
      </c>
      <c r="D3" s="25">
        <v>83.16008979583151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.4">
      <c r="A4" s="24">
        <v>3</v>
      </c>
      <c r="B4" s="7" t="s">
        <v>105</v>
      </c>
      <c r="C4" s="25">
        <v>46.217184408918357</v>
      </c>
      <c r="D4" s="25">
        <v>79.6166152857122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4.4">
      <c r="A5" s="24">
        <v>4</v>
      </c>
      <c r="B5" s="7" t="s">
        <v>148</v>
      </c>
      <c r="C5" s="25">
        <v>48.914065438134635</v>
      </c>
      <c r="D5" s="25">
        <v>85.493453914506546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.4">
      <c r="A6" s="24">
        <v>5</v>
      </c>
      <c r="B6" s="7" t="s">
        <v>178</v>
      </c>
      <c r="C6" s="25">
        <v>51.699600560802054</v>
      </c>
      <c r="D6" s="25">
        <v>84.61733561600407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4.4">
      <c r="A7" s="24">
        <v>6</v>
      </c>
      <c r="B7" s="7" t="s">
        <v>215</v>
      </c>
      <c r="C7" s="25">
        <v>54.091291543962981</v>
      </c>
      <c r="D7" s="25">
        <v>84.691226827252336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4.4">
      <c r="A8" s="24">
        <v>7</v>
      </c>
      <c r="B8" s="7" t="s">
        <v>225</v>
      </c>
      <c r="C8" s="25">
        <v>48.989376049561031</v>
      </c>
      <c r="D8" s="25">
        <v>72.434225914599821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4.4">
      <c r="A9" s="24">
        <v>8</v>
      </c>
      <c r="B9" s="7" t="s">
        <v>273</v>
      </c>
      <c r="C9" s="25">
        <v>47.157302298960218</v>
      </c>
      <c r="D9" s="25">
        <v>67.734299516908209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4.4">
      <c r="A10" s="53">
        <v>9</v>
      </c>
      <c r="B10" s="54" t="s">
        <v>287</v>
      </c>
      <c r="C10" s="55">
        <v>51.457229371688115</v>
      </c>
      <c r="D10" s="55">
        <v>77.432528409090907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4">
      <c r="A11" s="56">
        <v>10</v>
      </c>
      <c r="B11" s="49" t="s">
        <v>387</v>
      </c>
      <c r="C11" s="57">
        <v>46.636842946157529</v>
      </c>
      <c r="D11" s="57">
        <v>76.541717049576789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4.4">
      <c r="A12" s="56">
        <v>11</v>
      </c>
      <c r="B12" s="49" t="s">
        <v>386</v>
      </c>
      <c r="C12" s="57">
        <v>47.865876634387128</v>
      </c>
      <c r="D12" s="57">
        <v>78.640171638741322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S1000"/>
  <sheetViews>
    <sheetView tabSelected="1" workbookViewId="0">
      <selection activeCell="K20" sqref="K20"/>
    </sheetView>
  </sheetViews>
  <sheetFormatPr baseColWidth="10" defaultColWidth="12.6640625" defaultRowHeight="15" customHeight="1"/>
  <cols>
    <col min="1" max="6" width="11.33203125" customWidth="1"/>
    <col min="7" max="19" width="10.6640625" customWidth="1"/>
  </cols>
  <sheetData>
    <row r="1" spans="1:19" ht="14.4">
      <c r="A1" s="7" t="s">
        <v>367</v>
      </c>
      <c r="B1" s="7" t="s">
        <v>299</v>
      </c>
      <c r="C1" s="7" t="s">
        <v>380</v>
      </c>
      <c r="D1" s="7" t="s">
        <v>381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4.4">
      <c r="A2" s="24">
        <v>1</v>
      </c>
      <c r="B2" s="7" t="s">
        <v>1</v>
      </c>
      <c r="C2" s="5">
        <v>10656</v>
      </c>
      <c r="D2" s="5">
        <v>15947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4">
      <c r="A3" s="24">
        <v>2</v>
      </c>
      <c r="B3" s="7" t="s">
        <v>24</v>
      </c>
      <c r="C3" s="5">
        <v>48874</v>
      </c>
      <c r="D3" s="5">
        <v>78163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4.4">
      <c r="A4" s="24">
        <v>3</v>
      </c>
      <c r="B4" s="7" t="s">
        <v>105</v>
      </c>
      <c r="C4" s="5">
        <v>34576</v>
      </c>
      <c r="D4" s="5">
        <v>54492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4.4">
      <c r="A5" s="24">
        <v>4</v>
      </c>
      <c r="B5" s="7" t="s">
        <v>148</v>
      </c>
      <c r="C5" s="5">
        <v>10405</v>
      </c>
      <c r="D5" s="5">
        <v>16260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4.4">
      <c r="A6" s="24">
        <v>5</v>
      </c>
      <c r="B6" s="7" t="s">
        <v>178</v>
      </c>
      <c r="C6" s="5">
        <v>19544</v>
      </c>
      <c r="D6" s="5">
        <v>26690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4.4">
      <c r="A7" s="24">
        <v>6</v>
      </c>
      <c r="B7" s="7" t="s">
        <v>215</v>
      </c>
      <c r="C7" s="5">
        <v>10286</v>
      </c>
      <c r="D7" s="5">
        <v>14345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4.4">
      <c r="A8" s="24">
        <v>7</v>
      </c>
      <c r="B8" s="7" t="s">
        <v>225</v>
      </c>
      <c r="C8" s="5">
        <v>56303</v>
      </c>
      <c r="D8" s="5">
        <v>83613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4.4">
      <c r="A9" s="24">
        <v>8</v>
      </c>
      <c r="B9" s="7" t="s">
        <v>273</v>
      </c>
      <c r="C9" s="5">
        <v>9887</v>
      </c>
      <c r="D9" s="5">
        <v>14021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4.4">
      <c r="A10" s="24">
        <v>9</v>
      </c>
      <c r="B10" s="7" t="s">
        <v>287</v>
      </c>
      <c r="C10" s="58">
        <v>2719</v>
      </c>
      <c r="D10" s="58">
        <v>4361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4">
      <c r="A11" s="56">
        <v>10</v>
      </c>
      <c r="B11" s="49" t="s">
        <v>387</v>
      </c>
      <c r="C11" s="49">
        <v>2919</v>
      </c>
      <c r="D11" s="49">
        <v>4431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4.4">
      <c r="A12" s="56">
        <v>11</v>
      </c>
      <c r="B12" s="49" t="s">
        <v>386</v>
      </c>
      <c r="C12" s="49">
        <v>203250</v>
      </c>
      <c r="D12" s="49">
        <v>307892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Z1000"/>
  <sheetViews>
    <sheetView workbookViewId="0">
      <selection activeCell="D13" sqref="D13"/>
    </sheetView>
  </sheetViews>
  <sheetFormatPr baseColWidth="10" defaultColWidth="12.6640625" defaultRowHeight="15" customHeight="1"/>
  <cols>
    <col min="1" max="1" width="14.77734375" customWidth="1"/>
    <col min="2" max="2" width="25.21875" customWidth="1"/>
    <col min="3" max="8" width="14.77734375" customWidth="1"/>
    <col min="9" max="26" width="9.109375" customWidth="1"/>
  </cols>
  <sheetData>
    <row r="1" spans="1:26" ht="30.75" customHeight="1">
      <c r="A1" s="26" t="s">
        <v>368</v>
      </c>
      <c r="B1" s="26" t="s">
        <v>369</v>
      </c>
      <c r="C1" s="27" t="s">
        <v>370</v>
      </c>
      <c r="D1" s="27" t="s">
        <v>371</v>
      </c>
      <c r="E1" s="28" t="s">
        <v>372</v>
      </c>
      <c r="F1" s="28" t="s">
        <v>373</v>
      </c>
      <c r="G1" s="29" t="s">
        <v>374</v>
      </c>
      <c r="H1" s="29" t="s">
        <v>375</v>
      </c>
      <c r="I1" s="30" t="s">
        <v>376</v>
      </c>
      <c r="J1" s="30" t="s">
        <v>377</v>
      </c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4.4">
      <c r="A2" s="7">
        <v>4</v>
      </c>
      <c r="B2" s="32" t="s">
        <v>384</v>
      </c>
      <c r="C2" s="7">
        <v>100</v>
      </c>
      <c r="D2" s="7">
        <v>53.9</v>
      </c>
      <c r="E2" s="7">
        <v>53.9</v>
      </c>
      <c r="F2" s="7">
        <v>43.8</v>
      </c>
      <c r="G2" s="7">
        <v>43.8</v>
      </c>
      <c r="H2" s="7">
        <v>33.799999999999997</v>
      </c>
      <c r="I2" s="7">
        <v>33.799999999999997</v>
      </c>
      <c r="J2" s="7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"/>
      <c r="B5" s="1"/>
      <c r="C5" s="1"/>
      <c r="D5" s="33"/>
      <c r="E5" s="33"/>
      <c r="F5" s="3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1"/>
      <c r="B6" s="1"/>
      <c r="C6" s="34"/>
      <c r="D6" s="34"/>
      <c r="E6" s="3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Oriana</dc:creator>
  <cp:lastModifiedBy>Paolo</cp:lastModifiedBy>
  <dcterms:created xsi:type="dcterms:W3CDTF">2026-02-09T20:20:52Z</dcterms:created>
  <dcterms:modified xsi:type="dcterms:W3CDTF">2026-05-08T13:11:20Z</dcterms:modified>
</cp:coreProperties>
</file>