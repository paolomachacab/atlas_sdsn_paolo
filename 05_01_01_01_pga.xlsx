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DCA6B343-A327-4FBF-AECD-61E414CDDD4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os Procesados" sheetId="1" r:id="rId1"/>
    <sheet name="Indicador_MUN" sheetId="2" r:id="rId2"/>
    <sheet name="Absoluto_MUN" sheetId="5" r:id="rId3"/>
    <sheet name="Indicador_DEP" sheetId="3" r:id="rId4"/>
    <sheet name="Absoluto_DEP " sheetId="6" r:id="rId5"/>
    <sheet name="Umbral" sheetId="4" r:id="rId6"/>
  </sheets>
  <calcPr calcId="191029"/>
  <extLst>
    <ext uri="GoogleSheetsCustomDataVersion2">
      <go:sheetsCustomData xmlns:go="http://customooxmlschemas.google.com/" r:id="rId8" roundtripDataChecksum="XSN7qC3+yceUyc67VjvG7UpDl9OlrHZHmkR5QcJV7+w="/>
    </ext>
  </extLst>
</workbook>
</file>

<file path=xl/calcChain.xml><?xml version="1.0" encoding="utf-8"?>
<calcChain xmlns="http://schemas.openxmlformats.org/spreadsheetml/2006/main">
  <c r="AQ12" i="1" l="1"/>
  <c r="AP12" i="1"/>
  <c r="AS12" i="1" s="1"/>
  <c r="AO12" i="1"/>
  <c r="AR12" i="1" s="1"/>
  <c r="AN12" i="1"/>
  <c r="AM12" i="1"/>
  <c r="AL12" i="1"/>
  <c r="AJ12" i="1"/>
  <c r="AH12" i="1"/>
  <c r="AK12" i="1" s="1"/>
  <c r="AC12" i="1"/>
  <c r="AI12" i="1" s="1"/>
  <c r="AD12" i="1"/>
  <c r="AE12" i="1"/>
  <c r="AF12" i="1"/>
  <c r="AG12" i="1"/>
  <c r="AB12" i="1"/>
  <c r="W344" i="1"/>
  <c r="V344" i="1"/>
  <c r="U344" i="1"/>
  <c r="M344" i="1"/>
  <c r="L344" i="1"/>
  <c r="K344" i="1"/>
  <c r="W343" i="1"/>
  <c r="V343" i="1"/>
  <c r="U343" i="1"/>
  <c r="X343" i="1" s="1"/>
  <c r="M343" i="1"/>
  <c r="L343" i="1"/>
  <c r="K343" i="1"/>
  <c r="N343" i="1" s="1"/>
  <c r="W342" i="1"/>
  <c r="V342" i="1"/>
  <c r="U342" i="1"/>
  <c r="X342" i="1" s="1"/>
  <c r="M342" i="1"/>
  <c r="L342" i="1"/>
  <c r="K342" i="1"/>
  <c r="W341" i="1"/>
  <c r="V341" i="1"/>
  <c r="U341" i="1"/>
  <c r="X341" i="1" s="1"/>
  <c r="M341" i="1"/>
  <c r="L341" i="1"/>
  <c r="W340" i="1"/>
  <c r="V340" i="1"/>
  <c r="U340" i="1"/>
  <c r="X340" i="1" s="1"/>
  <c r="M340" i="1"/>
  <c r="L340" i="1"/>
  <c r="K340" i="1"/>
  <c r="N340" i="1" s="1"/>
  <c r="X339" i="1"/>
  <c r="W339" i="1"/>
  <c r="V339" i="1"/>
  <c r="U339" i="1"/>
  <c r="M339" i="1"/>
  <c r="L339" i="1"/>
  <c r="K339" i="1"/>
  <c r="N339" i="1" s="1"/>
  <c r="W338" i="1"/>
  <c r="X338" i="1" s="1"/>
  <c r="V338" i="1"/>
  <c r="U338" i="1"/>
  <c r="M338" i="1"/>
  <c r="L338" i="1"/>
  <c r="K338" i="1"/>
  <c r="N338" i="1" s="1"/>
  <c r="W337" i="1"/>
  <c r="V337" i="1"/>
  <c r="X337" i="1" s="1"/>
  <c r="U337" i="1"/>
  <c r="M337" i="1"/>
  <c r="L337" i="1"/>
  <c r="K337" i="1"/>
  <c r="W336" i="1"/>
  <c r="V336" i="1"/>
  <c r="U336" i="1"/>
  <c r="X336" i="1" s="1"/>
  <c r="M336" i="1"/>
  <c r="L336" i="1"/>
  <c r="K336" i="1"/>
  <c r="W335" i="1"/>
  <c r="V335" i="1"/>
  <c r="U335" i="1"/>
  <c r="X335" i="1" s="1"/>
  <c r="M335" i="1"/>
  <c r="L335" i="1"/>
  <c r="K335" i="1"/>
  <c r="W334" i="1"/>
  <c r="V334" i="1"/>
  <c r="U334" i="1"/>
  <c r="X334" i="1" s="1"/>
  <c r="M334" i="1"/>
  <c r="L334" i="1"/>
  <c r="K334" i="1"/>
  <c r="W333" i="1"/>
  <c r="V333" i="1"/>
  <c r="U333" i="1"/>
  <c r="X333" i="1" s="1"/>
  <c r="M333" i="1"/>
  <c r="L333" i="1"/>
  <c r="K333" i="1"/>
  <c r="N333" i="1" s="1"/>
  <c r="W332" i="1"/>
  <c r="V332" i="1"/>
  <c r="U332" i="1"/>
  <c r="X332" i="1" s="1"/>
  <c r="M332" i="1"/>
  <c r="L332" i="1"/>
  <c r="K332" i="1"/>
  <c r="N332" i="1" s="1"/>
  <c r="X331" i="1"/>
  <c r="W331" i="1"/>
  <c r="V331" i="1"/>
  <c r="U331" i="1"/>
  <c r="M331" i="1"/>
  <c r="L331" i="1"/>
  <c r="K331" i="1"/>
  <c r="N331" i="1" s="1"/>
  <c r="W330" i="1"/>
  <c r="X330" i="1" s="1"/>
  <c r="V330" i="1"/>
  <c r="U330" i="1"/>
  <c r="M330" i="1"/>
  <c r="L330" i="1"/>
  <c r="K330" i="1"/>
  <c r="N330" i="1" s="1"/>
  <c r="V329" i="1"/>
  <c r="U329" i="1"/>
  <c r="X329" i="1" s="1"/>
  <c r="M329" i="1"/>
  <c r="L329" i="1"/>
  <c r="K329" i="1"/>
  <c r="W328" i="1"/>
  <c r="V328" i="1"/>
  <c r="U328" i="1"/>
  <c r="M328" i="1"/>
  <c r="L328" i="1"/>
  <c r="K328" i="1"/>
  <c r="W327" i="1"/>
  <c r="V327" i="1"/>
  <c r="U327" i="1"/>
  <c r="M327" i="1"/>
  <c r="L327" i="1"/>
  <c r="K327" i="1"/>
  <c r="N327" i="1" s="1"/>
  <c r="W326" i="1"/>
  <c r="X326" i="1" s="1"/>
  <c r="V326" i="1"/>
  <c r="U326" i="1"/>
  <c r="M326" i="1"/>
  <c r="L326" i="1"/>
  <c r="K326" i="1"/>
  <c r="N326" i="1" s="1"/>
  <c r="W325" i="1"/>
  <c r="V325" i="1"/>
  <c r="M325" i="1"/>
  <c r="L325" i="1"/>
  <c r="K325" i="1"/>
  <c r="W324" i="1"/>
  <c r="V324" i="1"/>
  <c r="U324" i="1"/>
  <c r="M324" i="1"/>
  <c r="L324" i="1"/>
  <c r="K324" i="1"/>
  <c r="N324" i="1" s="1"/>
  <c r="W323" i="1"/>
  <c r="V323" i="1"/>
  <c r="U323" i="1"/>
  <c r="X323" i="1" s="1"/>
  <c r="M323" i="1"/>
  <c r="L323" i="1"/>
  <c r="K323" i="1"/>
  <c r="N323" i="1" s="1"/>
  <c r="X322" i="1"/>
  <c r="W322" i="1"/>
  <c r="V322" i="1"/>
  <c r="U322" i="1"/>
  <c r="M322" i="1"/>
  <c r="L322" i="1"/>
  <c r="K322" i="1"/>
  <c r="N322" i="1" s="1"/>
  <c r="W321" i="1"/>
  <c r="X321" i="1" s="1"/>
  <c r="V321" i="1"/>
  <c r="U321" i="1"/>
  <c r="M321" i="1"/>
  <c r="L321" i="1"/>
  <c r="K321" i="1"/>
  <c r="N321" i="1" s="1"/>
  <c r="W320" i="1"/>
  <c r="V320" i="1"/>
  <c r="X320" i="1" s="1"/>
  <c r="U320" i="1"/>
  <c r="M320" i="1"/>
  <c r="L320" i="1"/>
  <c r="K320" i="1"/>
  <c r="N320" i="1" s="1"/>
  <c r="W319" i="1"/>
  <c r="V319" i="1"/>
  <c r="U319" i="1"/>
  <c r="M319" i="1"/>
  <c r="L319" i="1"/>
  <c r="K319" i="1"/>
  <c r="W318" i="1"/>
  <c r="V318" i="1"/>
  <c r="U318" i="1"/>
  <c r="M318" i="1"/>
  <c r="L318" i="1"/>
  <c r="K318" i="1"/>
  <c r="N318" i="1" s="1"/>
  <c r="W317" i="1"/>
  <c r="V317" i="1"/>
  <c r="X317" i="1" s="1"/>
  <c r="U317" i="1"/>
  <c r="M317" i="1"/>
  <c r="L317" i="1"/>
  <c r="K317" i="1"/>
  <c r="N317" i="1" s="1"/>
  <c r="W316" i="1"/>
  <c r="V316" i="1"/>
  <c r="X316" i="1" s="1"/>
  <c r="U316" i="1"/>
  <c r="M316" i="1"/>
  <c r="L316" i="1"/>
  <c r="K316" i="1"/>
  <c r="N316" i="1" s="1"/>
  <c r="W315" i="1"/>
  <c r="V315" i="1"/>
  <c r="U315" i="1"/>
  <c r="X315" i="1" s="1"/>
  <c r="M315" i="1"/>
  <c r="L315" i="1"/>
  <c r="K315" i="1"/>
  <c r="W314" i="1"/>
  <c r="V314" i="1"/>
  <c r="U314" i="1"/>
  <c r="X314" i="1" s="1"/>
  <c r="M314" i="1"/>
  <c r="L314" i="1"/>
  <c r="K314" i="1"/>
  <c r="W313" i="1"/>
  <c r="V313" i="1"/>
  <c r="U313" i="1"/>
  <c r="M313" i="1"/>
  <c r="L313" i="1"/>
  <c r="K313" i="1"/>
  <c r="W312" i="1"/>
  <c r="V312" i="1"/>
  <c r="U312" i="1"/>
  <c r="X312" i="1" s="1"/>
  <c r="M312" i="1"/>
  <c r="L312" i="1"/>
  <c r="K312" i="1"/>
  <c r="N312" i="1" s="1"/>
  <c r="W311" i="1"/>
  <c r="V311" i="1"/>
  <c r="U311" i="1"/>
  <c r="M311" i="1"/>
  <c r="L311" i="1"/>
  <c r="K311" i="1"/>
  <c r="N311" i="1" s="1"/>
  <c r="W310" i="1"/>
  <c r="V310" i="1"/>
  <c r="X310" i="1" s="1"/>
  <c r="U310" i="1"/>
  <c r="M310" i="1"/>
  <c r="L310" i="1"/>
  <c r="K310" i="1"/>
  <c r="W309" i="1"/>
  <c r="V309" i="1"/>
  <c r="U309" i="1"/>
  <c r="M309" i="1"/>
  <c r="L309" i="1"/>
  <c r="K309" i="1"/>
  <c r="W308" i="1"/>
  <c r="V308" i="1"/>
  <c r="U308" i="1"/>
  <c r="M308" i="1"/>
  <c r="L308" i="1"/>
  <c r="K308" i="1"/>
  <c r="N308" i="1" s="1"/>
  <c r="X307" i="1"/>
  <c r="W307" i="1"/>
  <c r="V307" i="1"/>
  <c r="U307" i="1"/>
  <c r="M307" i="1"/>
  <c r="L307" i="1"/>
  <c r="K307" i="1"/>
  <c r="N307" i="1" s="1"/>
  <c r="X306" i="1"/>
  <c r="W306" i="1"/>
  <c r="V306" i="1"/>
  <c r="U306" i="1"/>
  <c r="M306" i="1"/>
  <c r="L306" i="1"/>
  <c r="K306" i="1"/>
  <c r="N306" i="1" s="1"/>
  <c r="W305" i="1"/>
  <c r="V305" i="1"/>
  <c r="X305" i="1" s="1"/>
  <c r="U305" i="1"/>
  <c r="M305" i="1"/>
  <c r="L305" i="1"/>
  <c r="K305" i="1"/>
  <c r="N305" i="1" s="1"/>
  <c r="W304" i="1"/>
  <c r="V304" i="1"/>
  <c r="U304" i="1"/>
  <c r="X304" i="1" s="1"/>
  <c r="M304" i="1"/>
  <c r="L304" i="1"/>
  <c r="K304" i="1"/>
  <c r="W303" i="1"/>
  <c r="V303" i="1"/>
  <c r="U303" i="1"/>
  <c r="M303" i="1"/>
  <c r="L303" i="1"/>
  <c r="K303" i="1"/>
  <c r="W302" i="1"/>
  <c r="V302" i="1"/>
  <c r="U302" i="1"/>
  <c r="M302" i="1"/>
  <c r="L302" i="1"/>
  <c r="K302" i="1"/>
  <c r="N302" i="1" s="1"/>
  <c r="W301" i="1"/>
  <c r="V301" i="1"/>
  <c r="U301" i="1"/>
  <c r="M301" i="1"/>
  <c r="L301" i="1"/>
  <c r="K301" i="1"/>
  <c r="N301" i="1" s="1"/>
  <c r="W300" i="1"/>
  <c r="V300" i="1"/>
  <c r="U300" i="1"/>
  <c r="M300" i="1"/>
  <c r="L300" i="1"/>
  <c r="K300" i="1"/>
  <c r="W299" i="1"/>
  <c r="V299" i="1"/>
  <c r="U299" i="1"/>
  <c r="X299" i="1" s="1"/>
  <c r="M299" i="1"/>
  <c r="L299" i="1"/>
  <c r="K299" i="1"/>
  <c r="W298" i="1"/>
  <c r="V298" i="1"/>
  <c r="U298" i="1"/>
  <c r="X298" i="1" s="1"/>
  <c r="M298" i="1"/>
  <c r="L298" i="1"/>
  <c r="K298" i="1"/>
  <c r="W297" i="1"/>
  <c r="V297" i="1"/>
  <c r="U297" i="1"/>
  <c r="M297" i="1"/>
  <c r="L297" i="1"/>
  <c r="K297" i="1"/>
  <c r="N297" i="1" s="1"/>
  <c r="X296" i="1"/>
  <c r="W296" i="1"/>
  <c r="V296" i="1"/>
  <c r="U296" i="1"/>
  <c r="M296" i="1"/>
  <c r="L296" i="1"/>
  <c r="K296" i="1"/>
  <c r="N296" i="1" s="1"/>
  <c r="W295" i="1"/>
  <c r="V295" i="1"/>
  <c r="X295" i="1" s="1"/>
  <c r="U295" i="1"/>
  <c r="M295" i="1"/>
  <c r="L295" i="1"/>
  <c r="K295" i="1"/>
  <c r="N295" i="1" s="1"/>
  <c r="W294" i="1"/>
  <c r="V294" i="1"/>
  <c r="U294" i="1"/>
  <c r="M294" i="1"/>
  <c r="L294" i="1"/>
  <c r="K294" i="1"/>
  <c r="W293" i="1"/>
  <c r="V293" i="1"/>
  <c r="U293" i="1"/>
  <c r="M293" i="1"/>
  <c r="L293" i="1"/>
  <c r="K293" i="1"/>
  <c r="N293" i="1" s="1"/>
  <c r="W292" i="1"/>
  <c r="V292" i="1"/>
  <c r="U292" i="1"/>
  <c r="M292" i="1"/>
  <c r="L292" i="1"/>
  <c r="K292" i="1"/>
  <c r="N292" i="1" s="1"/>
  <c r="W291" i="1"/>
  <c r="X291" i="1" s="1"/>
  <c r="V291" i="1"/>
  <c r="U291" i="1"/>
  <c r="M291" i="1"/>
  <c r="L291" i="1"/>
  <c r="K291" i="1"/>
  <c r="N291" i="1" s="1"/>
  <c r="W290" i="1"/>
  <c r="V290" i="1"/>
  <c r="X290" i="1" s="1"/>
  <c r="U290" i="1"/>
  <c r="M290" i="1"/>
  <c r="L290" i="1"/>
  <c r="K290" i="1"/>
  <c r="N290" i="1" s="1"/>
  <c r="W289" i="1"/>
  <c r="V289" i="1"/>
  <c r="X289" i="1" s="1"/>
  <c r="N289" i="1"/>
  <c r="M289" i="1"/>
  <c r="L289" i="1"/>
  <c r="K289" i="1"/>
  <c r="W288" i="1"/>
  <c r="V288" i="1"/>
  <c r="U288" i="1"/>
  <c r="X288" i="1" s="1"/>
  <c r="M288" i="1"/>
  <c r="N288" i="1" s="1"/>
  <c r="L288" i="1"/>
  <c r="K288" i="1"/>
  <c r="W287" i="1"/>
  <c r="V287" i="1"/>
  <c r="U287" i="1"/>
  <c r="M287" i="1"/>
  <c r="L287" i="1"/>
  <c r="N287" i="1" s="1"/>
  <c r="K287" i="1"/>
  <c r="W286" i="1"/>
  <c r="V286" i="1"/>
  <c r="U286" i="1"/>
  <c r="M286" i="1"/>
  <c r="L286" i="1"/>
  <c r="K286" i="1"/>
  <c r="M285" i="1"/>
  <c r="L285" i="1"/>
  <c r="K285" i="1"/>
  <c r="W284" i="1"/>
  <c r="V284" i="1"/>
  <c r="X284" i="1" s="1"/>
  <c r="M284" i="1"/>
  <c r="L284" i="1"/>
  <c r="K284" i="1"/>
  <c r="W283" i="1"/>
  <c r="V283" i="1"/>
  <c r="U283" i="1"/>
  <c r="X283" i="1" s="1"/>
  <c r="M283" i="1"/>
  <c r="L283" i="1"/>
  <c r="K283" i="1"/>
  <c r="N283" i="1" s="1"/>
  <c r="X282" i="1"/>
  <c r="U282" i="1"/>
  <c r="M282" i="1"/>
  <c r="L282" i="1"/>
  <c r="K282" i="1"/>
  <c r="N282" i="1" s="1"/>
  <c r="W281" i="1"/>
  <c r="V281" i="1"/>
  <c r="U281" i="1"/>
  <c r="M281" i="1"/>
  <c r="L281" i="1"/>
  <c r="K281" i="1"/>
  <c r="W280" i="1"/>
  <c r="V280" i="1"/>
  <c r="U280" i="1"/>
  <c r="M280" i="1"/>
  <c r="L280" i="1"/>
  <c r="K280" i="1"/>
  <c r="W279" i="1"/>
  <c r="V279" i="1"/>
  <c r="U279" i="1"/>
  <c r="M279" i="1"/>
  <c r="L279" i="1"/>
  <c r="K279" i="1"/>
  <c r="N279" i="1" s="1"/>
  <c r="X278" i="1"/>
  <c r="W278" i="1"/>
  <c r="V278" i="1"/>
  <c r="U278" i="1"/>
  <c r="M278" i="1"/>
  <c r="L278" i="1"/>
  <c r="K278" i="1"/>
  <c r="N278" i="1" s="1"/>
  <c r="W277" i="1"/>
  <c r="X277" i="1" s="1"/>
  <c r="V277" i="1"/>
  <c r="U277" i="1"/>
  <c r="M277" i="1"/>
  <c r="L277" i="1"/>
  <c r="K277" i="1"/>
  <c r="N277" i="1" s="1"/>
  <c r="W276" i="1"/>
  <c r="V276" i="1"/>
  <c r="X276" i="1" s="1"/>
  <c r="U276" i="1"/>
  <c r="M276" i="1"/>
  <c r="L276" i="1"/>
  <c r="K276" i="1"/>
  <c r="N276" i="1" s="1"/>
  <c r="W275" i="1"/>
  <c r="V275" i="1"/>
  <c r="U275" i="1"/>
  <c r="X275" i="1" s="1"/>
  <c r="M275" i="1"/>
  <c r="L275" i="1"/>
  <c r="K275" i="1"/>
  <c r="W274" i="1"/>
  <c r="V274" i="1"/>
  <c r="U274" i="1"/>
  <c r="M274" i="1"/>
  <c r="L274" i="1"/>
  <c r="K274" i="1"/>
  <c r="W273" i="1"/>
  <c r="V273" i="1"/>
  <c r="U273" i="1"/>
  <c r="M273" i="1"/>
  <c r="L273" i="1"/>
  <c r="K273" i="1"/>
  <c r="N273" i="1" s="1"/>
  <c r="W272" i="1"/>
  <c r="V272" i="1"/>
  <c r="U272" i="1"/>
  <c r="M272" i="1"/>
  <c r="L272" i="1"/>
  <c r="K272" i="1"/>
  <c r="N272" i="1" s="1"/>
  <c r="W271" i="1"/>
  <c r="V271" i="1"/>
  <c r="U271" i="1"/>
  <c r="M271" i="1"/>
  <c r="L271" i="1"/>
  <c r="K271" i="1"/>
  <c r="W270" i="1"/>
  <c r="V270" i="1"/>
  <c r="U270" i="1"/>
  <c r="X270" i="1" s="1"/>
  <c r="M270" i="1"/>
  <c r="L270" i="1"/>
  <c r="K270" i="1"/>
  <c r="W269" i="1"/>
  <c r="V269" i="1"/>
  <c r="U269" i="1"/>
  <c r="X269" i="1" s="1"/>
  <c r="M269" i="1"/>
  <c r="L269" i="1"/>
  <c r="K269" i="1"/>
  <c r="W268" i="1"/>
  <c r="V268" i="1"/>
  <c r="U268" i="1"/>
  <c r="X268" i="1" s="1"/>
  <c r="M268" i="1"/>
  <c r="L268" i="1"/>
  <c r="K268" i="1"/>
  <c r="N268" i="1" s="1"/>
  <c r="W267" i="1"/>
  <c r="V267" i="1"/>
  <c r="U267" i="1"/>
  <c r="X267" i="1" s="1"/>
  <c r="M267" i="1"/>
  <c r="L267" i="1"/>
  <c r="K267" i="1"/>
  <c r="N267" i="1" s="1"/>
  <c r="W266" i="1"/>
  <c r="V266" i="1"/>
  <c r="U266" i="1"/>
  <c r="M266" i="1"/>
  <c r="L266" i="1"/>
  <c r="K266" i="1"/>
  <c r="N266" i="1" s="1"/>
  <c r="W265" i="1"/>
  <c r="V265" i="1"/>
  <c r="X265" i="1" s="1"/>
  <c r="U265" i="1"/>
  <c r="M265" i="1"/>
  <c r="L265" i="1"/>
  <c r="K265" i="1"/>
  <c r="W264" i="1"/>
  <c r="V264" i="1"/>
  <c r="U264" i="1"/>
  <c r="M264" i="1"/>
  <c r="L264" i="1"/>
  <c r="K264" i="1"/>
  <c r="W263" i="1"/>
  <c r="V263" i="1"/>
  <c r="U263" i="1"/>
  <c r="M263" i="1"/>
  <c r="L263" i="1"/>
  <c r="K263" i="1"/>
  <c r="N263" i="1" s="1"/>
  <c r="X262" i="1"/>
  <c r="W262" i="1"/>
  <c r="V262" i="1"/>
  <c r="U262" i="1"/>
  <c r="M262" i="1"/>
  <c r="L262" i="1"/>
  <c r="K262" i="1"/>
  <c r="N262" i="1" s="1"/>
  <c r="X261" i="1"/>
  <c r="W261" i="1"/>
  <c r="V261" i="1"/>
  <c r="U261" i="1"/>
  <c r="M261" i="1"/>
  <c r="L261" i="1"/>
  <c r="K261" i="1"/>
  <c r="N261" i="1" s="1"/>
  <c r="W260" i="1"/>
  <c r="V260" i="1"/>
  <c r="X260" i="1" s="1"/>
  <c r="U260" i="1"/>
  <c r="M260" i="1"/>
  <c r="L260" i="1"/>
  <c r="K260" i="1"/>
  <c r="N260" i="1" s="1"/>
  <c r="W259" i="1"/>
  <c r="V259" i="1"/>
  <c r="U259" i="1"/>
  <c r="X259" i="1" s="1"/>
  <c r="M259" i="1"/>
  <c r="L259" i="1"/>
  <c r="K259" i="1"/>
  <c r="W258" i="1"/>
  <c r="V258" i="1"/>
  <c r="U258" i="1"/>
  <c r="M258" i="1"/>
  <c r="L258" i="1"/>
  <c r="K258" i="1"/>
  <c r="W257" i="1"/>
  <c r="V257" i="1"/>
  <c r="U257" i="1"/>
  <c r="M257" i="1"/>
  <c r="L257" i="1"/>
  <c r="K257" i="1"/>
  <c r="N257" i="1" s="1"/>
  <c r="W256" i="1"/>
  <c r="V256" i="1"/>
  <c r="U256" i="1"/>
  <c r="M256" i="1"/>
  <c r="L256" i="1"/>
  <c r="K256" i="1"/>
  <c r="N256" i="1" s="1"/>
  <c r="W255" i="1"/>
  <c r="V255" i="1"/>
  <c r="U255" i="1"/>
  <c r="M255" i="1"/>
  <c r="L255" i="1"/>
  <c r="K255" i="1"/>
  <c r="W254" i="1"/>
  <c r="V254" i="1"/>
  <c r="U254" i="1"/>
  <c r="X254" i="1" s="1"/>
  <c r="M254" i="1"/>
  <c r="L254" i="1"/>
  <c r="K254" i="1"/>
  <c r="W253" i="1"/>
  <c r="V253" i="1"/>
  <c r="U253" i="1"/>
  <c r="X253" i="1" s="1"/>
  <c r="M253" i="1"/>
  <c r="L253" i="1"/>
  <c r="K253" i="1"/>
  <c r="W252" i="1"/>
  <c r="V252" i="1"/>
  <c r="U252" i="1"/>
  <c r="X252" i="1" s="1"/>
  <c r="M252" i="1"/>
  <c r="L252" i="1"/>
  <c r="K252" i="1"/>
  <c r="N252" i="1" s="1"/>
  <c r="W251" i="1"/>
  <c r="V251" i="1"/>
  <c r="U251" i="1"/>
  <c r="X251" i="1" s="1"/>
  <c r="M251" i="1"/>
  <c r="L251" i="1"/>
  <c r="K251" i="1"/>
  <c r="N251" i="1" s="1"/>
  <c r="W250" i="1"/>
  <c r="V250" i="1"/>
  <c r="U250" i="1"/>
  <c r="M250" i="1"/>
  <c r="L250" i="1"/>
  <c r="K250" i="1"/>
  <c r="N250" i="1" s="1"/>
  <c r="W249" i="1"/>
  <c r="V249" i="1"/>
  <c r="X249" i="1" s="1"/>
  <c r="U249" i="1"/>
  <c r="M249" i="1"/>
  <c r="L249" i="1"/>
  <c r="K249" i="1"/>
  <c r="W248" i="1"/>
  <c r="V248" i="1"/>
  <c r="U248" i="1"/>
  <c r="M248" i="1"/>
  <c r="L248" i="1"/>
  <c r="K248" i="1"/>
  <c r="W247" i="1"/>
  <c r="V247" i="1"/>
  <c r="U247" i="1"/>
  <c r="M247" i="1"/>
  <c r="L247" i="1"/>
  <c r="K247" i="1"/>
  <c r="N247" i="1" s="1"/>
  <c r="X246" i="1"/>
  <c r="W246" i="1"/>
  <c r="V246" i="1"/>
  <c r="U246" i="1"/>
  <c r="M246" i="1"/>
  <c r="L246" i="1"/>
  <c r="K246" i="1"/>
  <c r="N246" i="1" s="1"/>
  <c r="X245" i="1"/>
  <c r="W245" i="1"/>
  <c r="V245" i="1"/>
  <c r="U245" i="1"/>
  <c r="M245" i="1"/>
  <c r="L245" i="1"/>
  <c r="K245" i="1"/>
  <c r="N245" i="1" s="1"/>
  <c r="W244" i="1"/>
  <c r="V244" i="1"/>
  <c r="X244" i="1" s="1"/>
  <c r="U244" i="1"/>
  <c r="M244" i="1"/>
  <c r="L244" i="1"/>
  <c r="K244" i="1"/>
  <c r="N244" i="1" s="1"/>
  <c r="W243" i="1"/>
  <c r="V243" i="1"/>
  <c r="U243" i="1"/>
  <c r="M243" i="1"/>
  <c r="L243" i="1"/>
  <c r="K243" i="1"/>
  <c r="V242" i="1"/>
  <c r="U242" i="1"/>
  <c r="X242" i="1" s="1"/>
  <c r="M242" i="1"/>
  <c r="L242" i="1"/>
  <c r="N242" i="1" s="1"/>
  <c r="K242" i="1"/>
  <c r="W241" i="1"/>
  <c r="V241" i="1"/>
  <c r="U241" i="1"/>
  <c r="X241" i="1" s="1"/>
  <c r="M241" i="1"/>
  <c r="L241" i="1"/>
  <c r="K241" i="1"/>
  <c r="N241" i="1" s="1"/>
  <c r="X240" i="1"/>
  <c r="W240" i="1"/>
  <c r="M240" i="1"/>
  <c r="L240" i="1"/>
  <c r="K240" i="1"/>
  <c r="W239" i="1"/>
  <c r="V239" i="1"/>
  <c r="U239" i="1"/>
  <c r="X239" i="1" s="1"/>
  <c r="M239" i="1"/>
  <c r="L239" i="1"/>
  <c r="K239" i="1"/>
  <c r="W238" i="1"/>
  <c r="V238" i="1"/>
  <c r="U238" i="1"/>
  <c r="X238" i="1" s="1"/>
  <c r="M238" i="1"/>
  <c r="L238" i="1"/>
  <c r="N238" i="1" s="1"/>
  <c r="K238" i="1"/>
  <c r="V237" i="1"/>
  <c r="U237" i="1"/>
  <c r="X237" i="1" s="1"/>
  <c r="M237" i="1"/>
  <c r="L237" i="1"/>
  <c r="K237" i="1"/>
  <c r="V236" i="1"/>
  <c r="U236" i="1"/>
  <c r="M236" i="1"/>
  <c r="L236" i="1"/>
  <c r="K236" i="1"/>
  <c r="N236" i="1" s="1"/>
  <c r="W235" i="1"/>
  <c r="V235" i="1"/>
  <c r="U235" i="1"/>
  <c r="X235" i="1" s="1"/>
  <c r="M235" i="1"/>
  <c r="L235" i="1"/>
  <c r="K235" i="1"/>
  <c r="W234" i="1"/>
  <c r="V234" i="1"/>
  <c r="U234" i="1"/>
  <c r="X234" i="1" s="1"/>
  <c r="M234" i="1"/>
  <c r="L234" i="1"/>
  <c r="K234" i="1"/>
  <c r="W233" i="1"/>
  <c r="V233" i="1"/>
  <c r="U233" i="1"/>
  <c r="X233" i="1" s="1"/>
  <c r="M233" i="1"/>
  <c r="L233" i="1"/>
  <c r="K233" i="1"/>
  <c r="N233" i="1" s="1"/>
  <c r="W232" i="1"/>
  <c r="V232" i="1"/>
  <c r="U232" i="1"/>
  <c r="X232" i="1" s="1"/>
  <c r="M232" i="1"/>
  <c r="N232" i="1" s="1"/>
  <c r="W231" i="1"/>
  <c r="V231" i="1"/>
  <c r="U231" i="1"/>
  <c r="M231" i="1"/>
  <c r="L231" i="1"/>
  <c r="K231" i="1"/>
  <c r="N231" i="1" s="1"/>
  <c r="W230" i="1"/>
  <c r="V230" i="1"/>
  <c r="U230" i="1"/>
  <c r="M230" i="1"/>
  <c r="L230" i="1"/>
  <c r="K230" i="1"/>
  <c r="W229" i="1"/>
  <c r="U229" i="1"/>
  <c r="M229" i="1"/>
  <c r="L229" i="1"/>
  <c r="K229" i="1"/>
  <c r="N229" i="1" s="1"/>
  <c r="N228" i="1"/>
  <c r="M228" i="1"/>
  <c r="L228" i="1"/>
  <c r="K228" i="1"/>
  <c r="W227" i="1"/>
  <c r="U227" i="1"/>
  <c r="X227" i="1" s="1"/>
  <c r="M227" i="1"/>
  <c r="L227" i="1"/>
  <c r="K227" i="1"/>
  <c r="W226" i="1"/>
  <c r="V226" i="1"/>
  <c r="U226" i="1"/>
  <c r="X226" i="1" s="1"/>
  <c r="L226" i="1"/>
  <c r="N226" i="1" s="1"/>
  <c r="W225" i="1"/>
  <c r="X225" i="1" s="1"/>
  <c r="V225" i="1"/>
  <c r="U225" i="1"/>
  <c r="M225" i="1"/>
  <c r="L225" i="1"/>
  <c r="K225" i="1"/>
  <c r="N225" i="1" s="1"/>
  <c r="W224" i="1"/>
  <c r="V224" i="1"/>
  <c r="U224" i="1"/>
  <c r="M224" i="1"/>
  <c r="L224" i="1"/>
  <c r="K224" i="1"/>
  <c r="N224" i="1" s="1"/>
  <c r="W223" i="1"/>
  <c r="V223" i="1"/>
  <c r="U223" i="1"/>
  <c r="M223" i="1"/>
  <c r="L223" i="1"/>
  <c r="K223" i="1"/>
  <c r="W222" i="1"/>
  <c r="V222" i="1"/>
  <c r="U222" i="1"/>
  <c r="M222" i="1"/>
  <c r="L222" i="1"/>
  <c r="K222" i="1"/>
  <c r="W221" i="1"/>
  <c r="X221" i="1" s="1"/>
  <c r="V221" i="1"/>
  <c r="U221" i="1"/>
  <c r="M221" i="1"/>
  <c r="L221" i="1"/>
  <c r="K221" i="1"/>
  <c r="N221" i="1" s="1"/>
  <c r="W220" i="1"/>
  <c r="V220" i="1"/>
  <c r="U220" i="1"/>
  <c r="M220" i="1"/>
  <c r="L220" i="1"/>
  <c r="K220" i="1"/>
  <c r="N220" i="1" s="1"/>
  <c r="W219" i="1"/>
  <c r="V219" i="1"/>
  <c r="U219" i="1"/>
  <c r="M219" i="1"/>
  <c r="L219" i="1"/>
  <c r="K219" i="1"/>
  <c r="W218" i="1"/>
  <c r="V218" i="1"/>
  <c r="U218" i="1"/>
  <c r="M218" i="1"/>
  <c r="L218" i="1"/>
  <c r="K218" i="1"/>
  <c r="W217" i="1"/>
  <c r="X217" i="1" s="1"/>
  <c r="V217" i="1"/>
  <c r="U217" i="1"/>
  <c r="M217" i="1"/>
  <c r="L217" i="1"/>
  <c r="K217" i="1"/>
  <c r="N217" i="1" s="1"/>
  <c r="V216" i="1"/>
  <c r="U216" i="1"/>
  <c r="X216" i="1" s="1"/>
  <c r="M216" i="1"/>
  <c r="L216" i="1"/>
  <c r="K216" i="1"/>
  <c r="N216" i="1" s="1"/>
  <c r="W215" i="1"/>
  <c r="V215" i="1"/>
  <c r="U215" i="1"/>
  <c r="M215" i="1"/>
  <c r="L215" i="1"/>
  <c r="K215" i="1"/>
  <c r="W214" i="1"/>
  <c r="V214" i="1"/>
  <c r="U214" i="1"/>
  <c r="M214" i="1"/>
  <c r="L214" i="1"/>
  <c r="K214" i="1"/>
  <c r="N214" i="1" s="1"/>
  <c r="W213" i="1"/>
  <c r="V213" i="1"/>
  <c r="U213" i="1"/>
  <c r="M213" i="1"/>
  <c r="L213" i="1"/>
  <c r="K213" i="1"/>
  <c r="N213" i="1" s="1"/>
  <c r="W212" i="1"/>
  <c r="V212" i="1"/>
  <c r="U212" i="1"/>
  <c r="M212" i="1"/>
  <c r="L212" i="1"/>
  <c r="K212" i="1"/>
  <c r="N212" i="1" s="1"/>
  <c r="W211" i="1"/>
  <c r="V211" i="1"/>
  <c r="U211" i="1"/>
  <c r="X211" i="1" s="1"/>
  <c r="M211" i="1"/>
  <c r="L211" i="1"/>
  <c r="K211" i="1"/>
  <c r="W210" i="1"/>
  <c r="V210" i="1"/>
  <c r="U210" i="1"/>
  <c r="M210" i="1"/>
  <c r="L210" i="1"/>
  <c r="K210" i="1"/>
  <c r="N210" i="1" s="1"/>
  <c r="W209" i="1"/>
  <c r="V209" i="1"/>
  <c r="U209" i="1"/>
  <c r="X209" i="1" s="1"/>
  <c r="M209" i="1"/>
  <c r="L209" i="1"/>
  <c r="K209" i="1"/>
  <c r="N209" i="1" s="1"/>
  <c r="W208" i="1"/>
  <c r="V208" i="1"/>
  <c r="U208" i="1"/>
  <c r="N208" i="1"/>
  <c r="M208" i="1"/>
  <c r="W207" i="1"/>
  <c r="V207" i="1"/>
  <c r="U207" i="1"/>
  <c r="X207" i="1" s="1"/>
  <c r="M207" i="1"/>
  <c r="N207" i="1" s="1"/>
  <c r="L207" i="1"/>
  <c r="K207" i="1"/>
  <c r="W206" i="1"/>
  <c r="V206" i="1"/>
  <c r="U206" i="1"/>
  <c r="X206" i="1" s="1"/>
  <c r="M206" i="1"/>
  <c r="L206" i="1"/>
  <c r="K206" i="1"/>
  <c r="W205" i="1"/>
  <c r="V205" i="1"/>
  <c r="U205" i="1"/>
  <c r="X205" i="1" s="1"/>
  <c r="M205" i="1"/>
  <c r="L205" i="1"/>
  <c r="K205" i="1"/>
  <c r="M204" i="1"/>
  <c r="L204" i="1"/>
  <c r="K204" i="1"/>
  <c r="W203" i="1"/>
  <c r="V203" i="1"/>
  <c r="U203" i="1"/>
  <c r="M203" i="1"/>
  <c r="L203" i="1"/>
  <c r="K203" i="1"/>
  <c r="N203" i="1" s="1"/>
  <c r="W202" i="1"/>
  <c r="X202" i="1" s="1"/>
  <c r="V202" i="1"/>
  <c r="U202" i="1"/>
  <c r="M202" i="1"/>
  <c r="L202" i="1"/>
  <c r="K202" i="1"/>
  <c r="N202" i="1" s="1"/>
  <c r="W201" i="1"/>
  <c r="V201" i="1"/>
  <c r="U201" i="1"/>
  <c r="M201" i="1"/>
  <c r="L201" i="1"/>
  <c r="K201" i="1"/>
  <c r="N201" i="1" s="1"/>
  <c r="W200" i="1"/>
  <c r="V200" i="1"/>
  <c r="U200" i="1"/>
  <c r="M200" i="1"/>
  <c r="L200" i="1"/>
  <c r="K200" i="1"/>
  <c r="K199" i="1"/>
  <c r="N199" i="1" s="1"/>
  <c r="W198" i="1"/>
  <c r="X198" i="1" s="1"/>
  <c r="L198" i="1"/>
  <c r="N198" i="1" s="1"/>
  <c r="W197" i="1"/>
  <c r="U197" i="1"/>
  <c r="X197" i="1" s="1"/>
  <c r="N197" i="1"/>
  <c r="K197" i="1"/>
  <c r="W196" i="1"/>
  <c r="V196" i="1"/>
  <c r="U196" i="1"/>
  <c r="X196" i="1" s="1"/>
  <c r="M196" i="1"/>
  <c r="L196" i="1"/>
  <c r="K196" i="1"/>
  <c r="W195" i="1"/>
  <c r="V195" i="1"/>
  <c r="U195" i="1"/>
  <c r="M195" i="1"/>
  <c r="L195" i="1"/>
  <c r="K195" i="1"/>
  <c r="W194" i="1"/>
  <c r="V194" i="1"/>
  <c r="X194" i="1" s="1"/>
  <c r="N194" i="1"/>
  <c r="M194" i="1"/>
  <c r="L194" i="1"/>
  <c r="K194" i="1"/>
  <c r="W193" i="1"/>
  <c r="V193" i="1"/>
  <c r="U193" i="1"/>
  <c r="X193" i="1" s="1"/>
  <c r="M193" i="1"/>
  <c r="N193" i="1" s="1"/>
  <c r="L193" i="1"/>
  <c r="K193" i="1"/>
  <c r="W192" i="1"/>
  <c r="V192" i="1"/>
  <c r="U192" i="1"/>
  <c r="X192" i="1" s="1"/>
  <c r="M192" i="1"/>
  <c r="L192" i="1"/>
  <c r="K192" i="1"/>
  <c r="W191" i="1"/>
  <c r="V191" i="1"/>
  <c r="U191" i="1"/>
  <c r="X191" i="1" s="1"/>
  <c r="M191" i="1"/>
  <c r="L191" i="1"/>
  <c r="K191" i="1"/>
  <c r="W190" i="1"/>
  <c r="V190" i="1"/>
  <c r="U190" i="1"/>
  <c r="M190" i="1"/>
  <c r="L190" i="1"/>
  <c r="N190" i="1" s="1"/>
  <c r="K190" i="1"/>
  <c r="U189" i="1"/>
  <c r="X189" i="1" s="1"/>
  <c r="M189" i="1"/>
  <c r="L189" i="1"/>
  <c r="K189" i="1"/>
  <c r="W188" i="1"/>
  <c r="V188" i="1"/>
  <c r="U188" i="1"/>
  <c r="X188" i="1" s="1"/>
  <c r="M188" i="1"/>
  <c r="L188" i="1"/>
  <c r="K188" i="1"/>
  <c r="N188" i="1" s="1"/>
  <c r="X187" i="1"/>
  <c r="W187" i="1"/>
  <c r="V187" i="1"/>
  <c r="U187" i="1"/>
  <c r="M187" i="1"/>
  <c r="L187" i="1"/>
  <c r="K187" i="1"/>
  <c r="W186" i="1"/>
  <c r="X186" i="1" s="1"/>
  <c r="V186" i="1"/>
  <c r="U186" i="1"/>
  <c r="M186" i="1"/>
  <c r="L186" i="1"/>
  <c r="K186" i="1"/>
  <c r="N186" i="1" s="1"/>
  <c r="W185" i="1"/>
  <c r="V185" i="1"/>
  <c r="U185" i="1"/>
  <c r="M185" i="1"/>
  <c r="L185" i="1"/>
  <c r="K185" i="1"/>
  <c r="W184" i="1"/>
  <c r="V184" i="1"/>
  <c r="U184" i="1"/>
  <c r="X184" i="1" s="1"/>
  <c r="M184" i="1"/>
  <c r="L184" i="1"/>
  <c r="K184" i="1"/>
  <c r="N184" i="1" s="1"/>
  <c r="W183" i="1"/>
  <c r="U183" i="1"/>
  <c r="X183" i="1" s="1"/>
  <c r="M183" i="1"/>
  <c r="L183" i="1"/>
  <c r="K183" i="1"/>
  <c r="W182" i="1"/>
  <c r="V182" i="1"/>
  <c r="U182" i="1"/>
  <c r="M182" i="1"/>
  <c r="L182" i="1"/>
  <c r="K182" i="1"/>
  <c r="N182" i="1" s="1"/>
  <c r="W181" i="1"/>
  <c r="X181" i="1" s="1"/>
  <c r="V181" i="1"/>
  <c r="U181" i="1"/>
  <c r="M181" i="1"/>
  <c r="L181" i="1"/>
  <c r="K181" i="1"/>
  <c r="N181" i="1" s="1"/>
  <c r="L180" i="1"/>
  <c r="N180" i="1" s="1"/>
  <c r="M179" i="1"/>
  <c r="N179" i="1" s="1"/>
  <c r="M178" i="1"/>
  <c r="N178" i="1" s="1"/>
  <c r="U177" i="1"/>
  <c r="X177" i="1" s="1"/>
  <c r="K177" i="1"/>
  <c r="N177" i="1" s="1"/>
  <c r="W176" i="1"/>
  <c r="X176" i="1" s="1"/>
  <c r="M176" i="1"/>
  <c r="L176" i="1"/>
  <c r="K176" i="1"/>
  <c r="N176" i="1" s="1"/>
  <c r="W175" i="1"/>
  <c r="X175" i="1" s="1"/>
  <c r="V175" i="1"/>
  <c r="U175" i="1"/>
  <c r="M175" i="1"/>
  <c r="L175" i="1"/>
  <c r="K175" i="1"/>
  <c r="N175" i="1" s="1"/>
  <c r="W174" i="1"/>
  <c r="V174" i="1"/>
  <c r="U174" i="1"/>
  <c r="M174" i="1"/>
  <c r="L174" i="1"/>
  <c r="K174" i="1"/>
  <c r="N174" i="1" s="1"/>
  <c r="M173" i="1"/>
  <c r="L173" i="1"/>
  <c r="K173" i="1"/>
  <c r="W172" i="1"/>
  <c r="V172" i="1"/>
  <c r="U172" i="1"/>
  <c r="M172" i="1"/>
  <c r="L172" i="1"/>
  <c r="K172" i="1"/>
  <c r="W171" i="1"/>
  <c r="V171" i="1"/>
  <c r="U171" i="1"/>
  <c r="X171" i="1" s="1"/>
  <c r="M171" i="1"/>
  <c r="N171" i="1" s="1"/>
  <c r="L171" i="1"/>
  <c r="K171" i="1"/>
  <c r="W170" i="1"/>
  <c r="V170" i="1"/>
  <c r="U170" i="1"/>
  <c r="X170" i="1" s="1"/>
  <c r="M170" i="1"/>
  <c r="L170" i="1"/>
  <c r="K170" i="1"/>
  <c r="W169" i="1"/>
  <c r="V169" i="1"/>
  <c r="U169" i="1"/>
  <c r="X169" i="1" s="1"/>
  <c r="M169" i="1"/>
  <c r="L169" i="1"/>
  <c r="K169" i="1"/>
  <c r="W168" i="1"/>
  <c r="V168" i="1"/>
  <c r="U168" i="1"/>
  <c r="M168" i="1"/>
  <c r="L168" i="1"/>
  <c r="K168" i="1"/>
  <c r="W167" i="1"/>
  <c r="V167" i="1"/>
  <c r="U167" i="1"/>
  <c r="X167" i="1" s="1"/>
  <c r="M167" i="1"/>
  <c r="N167" i="1" s="1"/>
  <c r="L167" i="1"/>
  <c r="K167" i="1"/>
  <c r="W166" i="1"/>
  <c r="V166" i="1"/>
  <c r="U166" i="1"/>
  <c r="X166" i="1" s="1"/>
  <c r="M166" i="1"/>
  <c r="L166" i="1"/>
  <c r="K166" i="1"/>
  <c r="W165" i="1"/>
  <c r="V165" i="1"/>
  <c r="U165" i="1"/>
  <c r="M165" i="1"/>
  <c r="N165" i="1" s="1"/>
  <c r="W164" i="1"/>
  <c r="V164" i="1"/>
  <c r="U164" i="1"/>
  <c r="X164" i="1" s="1"/>
  <c r="M164" i="1"/>
  <c r="L164" i="1"/>
  <c r="K164" i="1"/>
  <c r="W163" i="1"/>
  <c r="V163" i="1"/>
  <c r="U163" i="1"/>
  <c r="X163" i="1" s="1"/>
  <c r="M163" i="1"/>
  <c r="L163" i="1"/>
  <c r="K163" i="1"/>
  <c r="N163" i="1" s="1"/>
  <c r="M162" i="1"/>
  <c r="L162" i="1"/>
  <c r="K162" i="1"/>
  <c r="N162" i="1" s="1"/>
  <c r="M161" i="1"/>
  <c r="N161" i="1" s="1"/>
  <c r="W160" i="1"/>
  <c r="V160" i="1"/>
  <c r="U160" i="1"/>
  <c r="M160" i="1"/>
  <c r="L160" i="1"/>
  <c r="K160" i="1"/>
  <c r="W159" i="1"/>
  <c r="V159" i="1"/>
  <c r="U159" i="1"/>
  <c r="M159" i="1"/>
  <c r="L159" i="1"/>
  <c r="K159" i="1"/>
  <c r="N159" i="1" s="1"/>
  <c r="W158" i="1"/>
  <c r="V158" i="1"/>
  <c r="U158" i="1"/>
  <c r="M158" i="1"/>
  <c r="L158" i="1"/>
  <c r="K158" i="1"/>
  <c r="N158" i="1" s="1"/>
  <c r="V157" i="1"/>
  <c r="U157" i="1"/>
  <c r="M157" i="1"/>
  <c r="L157" i="1"/>
  <c r="K157" i="1"/>
  <c r="N157" i="1" s="1"/>
  <c r="W156" i="1"/>
  <c r="V156" i="1"/>
  <c r="U156" i="1"/>
  <c r="X156" i="1" s="1"/>
  <c r="M156" i="1"/>
  <c r="L156" i="1"/>
  <c r="K156" i="1"/>
  <c r="W155" i="1"/>
  <c r="V155" i="1"/>
  <c r="U155" i="1"/>
  <c r="M155" i="1"/>
  <c r="L155" i="1"/>
  <c r="K155" i="1"/>
  <c r="N155" i="1" s="1"/>
  <c r="W154" i="1"/>
  <c r="V154" i="1"/>
  <c r="U154" i="1"/>
  <c r="M154" i="1"/>
  <c r="L154" i="1"/>
  <c r="K154" i="1"/>
  <c r="N154" i="1" s="1"/>
  <c r="W153" i="1"/>
  <c r="V153" i="1"/>
  <c r="X153" i="1" s="1"/>
  <c r="U153" i="1"/>
  <c r="M153" i="1"/>
  <c r="L153" i="1"/>
  <c r="K153" i="1"/>
  <c r="N153" i="1" s="1"/>
  <c r="W152" i="1"/>
  <c r="V152" i="1"/>
  <c r="U152" i="1"/>
  <c r="X152" i="1" s="1"/>
  <c r="M152" i="1"/>
  <c r="L152" i="1"/>
  <c r="K152" i="1"/>
  <c r="W151" i="1"/>
  <c r="V151" i="1"/>
  <c r="U151" i="1"/>
  <c r="X151" i="1" s="1"/>
  <c r="M151" i="1"/>
  <c r="L151" i="1"/>
  <c r="K151" i="1"/>
  <c r="W150" i="1"/>
  <c r="V150" i="1"/>
  <c r="U150" i="1"/>
  <c r="X150" i="1" s="1"/>
  <c r="M150" i="1"/>
  <c r="L150" i="1"/>
  <c r="K150" i="1"/>
  <c r="N150" i="1" s="1"/>
  <c r="X149" i="1"/>
  <c r="W149" i="1"/>
  <c r="V149" i="1"/>
  <c r="U149" i="1"/>
  <c r="M149" i="1"/>
  <c r="L149" i="1"/>
  <c r="K149" i="1"/>
  <c r="N149" i="1" s="1"/>
  <c r="W148" i="1"/>
  <c r="X148" i="1" s="1"/>
  <c r="V148" i="1"/>
  <c r="U148" i="1"/>
  <c r="M148" i="1"/>
  <c r="L148" i="1"/>
  <c r="K148" i="1"/>
  <c r="N148" i="1" s="1"/>
  <c r="W147" i="1"/>
  <c r="V147" i="1"/>
  <c r="U147" i="1"/>
  <c r="M147" i="1"/>
  <c r="L147" i="1"/>
  <c r="K147" i="1"/>
  <c r="N147" i="1" s="1"/>
  <c r="W146" i="1"/>
  <c r="V146" i="1"/>
  <c r="U146" i="1"/>
  <c r="X146" i="1" s="1"/>
  <c r="M146" i="1"/>
  <c r="L146" i="1"/>
  <c r="K146" i="1"/>
  <c r="W145" i="1"/>
  <c r="V145" i="1"/>
  <c r="U145" i="1"/>
  <c r="X145" i="1" s="1"/>
  <c r="M145" i="1"/>
  <c r="L145" i="1"/>
  <c r="K145" i="1"/>
  <c r="N145" i="1" s="1"/>
  <c r="W144" i="1"/>
  <c r="V144" i="1"/>
  <c r="U144" i="1"/>
  <c r="M144" i="1"/>
  <c r="L144" i="1"/>
  <c r="K144" i="1"/>
  <c r="N144" i="1" s="1"/>
  <c r="W143" i="1"/>
  <c r="V143" i="1"/>
  <c r="X143" i="1" s="1"/>
  <c r="U143" i="1"/>
  <c r="M143" i="1"/>
  <c r="L143" i="1"/>
  <c r="K143" i="1"/>
  <c r="N143" i="1" s="1"/>
  <c r="W142" i="1"/>
  <c r="V142" i="1"/>
  <c r="U142" i="1"/>
  <c r="X142" i="1" s="1"/>
  <c r="M142" i="1"/>
  <c r="L142" i="1"/>
  <c r="K142" i="1"/>
  <c r="W141" i="1"/>
  <c r="V141" i="1"/>
  <c r="U141" i="1"/>
  <c r="X141" i="1" s="1"/>
  <c r="M141" i="1"/>
  <c r="L141" i="1"/>
  <c r="K141" i="1"/>
  <c r="W140" i="1"/>
  <c r="V140" i="1"/>
  <c r="U140" i="1"/>
  <c r="X140" i="1" s="1"/>
  <c r="M140" i="1"/>
  <c r="L140" i="1"/>
  <c r="K140" i="1"/>
  <c r="N140" i="1" s="1"/>
  <c r="W139" i="1"/>
  <c r="V139" i="1"/>
  <c r="X139" i="1" s="1"/>
  <c r="U139" i="1"/>
  <c r="M139" i="1"/>
  <c r="L139" i="1"/>
  <c r="K139" i="1"/>
  <c r="N139" i="1" s="1"/>
  <c r="W138" i="1"/>
  <c r="V138" i="1"/>
  <c r="U138" i="1"/>
  <c r="M138" i="1"/>
  <c r="L138" i="1"/>
  <c r="K138" i="1"/>
  <c r="N138" i="1" s="1"/>
  <c r="W137" i="1"/>
  <c r="V137" i="1"/>
  <c r="U137" i="1"/>
  <c r="X137" i="1" s="1"/>
  <c r="M137" i="1"/>
  <c r="L137" i="1"/>
  <c r="K137" i="1"/>
  <c r="W136" i="1"/>
  <c r="V136" i="1"/>
  <c r="U136" i="1"/>
  <c r="X136" i="1" s="1"/>
  <c r="M136" i="1"/>
  <c r="L136" i="1"/>
  <c r="K136" i="1"/>
  <c r="N136" i="1" s="1"/>
  <c r="W135" i="1"/>
  <c r="V135" i="1"/>
  <c r="U135" i="1"/>
  <c r="X135" i="1" s="1"/>
  <c r="M135" i="1"/>
  <c r="L135" i="1"/>
  <c r="K135" i="1"/>
  <c r="N135" i="1" s="1"/>
  <c r="W134" i="1"/>
  <c r="V134" i="1"/>
  <c r="U134" i="1"/>
  <c r="M134" i="1"/>
  <c r="L134" i="1"/>
  <c r="K134" i="1"/>
  <c r="W133" i="1"/>
  <c r="V133" i="1"/>
  <c r="X133" i="1" s="1"/>
  <c r="U133" i="1"/>
  <c r="M133" i="1"/>
  <c r="L133" i="1"/>
  <c r="K133" i="1"/>
  <c r="N133" i="1" s="1"/>
  <c r="W132" i="1"/>
  <c r="V132" i="1"/>
  <c r="X132" i="1" s="1"/>
  <c r="U132" i="1"/>
  <c r="M132" i="1"/>
  <c r="L132" i="1"/>
  <c r="K132" i="1"/>
  <c r="N132" i="1" s="1"/>
  <c r="W131" i="1"/>
  <c r="V131" i="1"/>
  <c r="X131" i="1" s="1"/>
  <c r="U131" i="1"/>
  <c r="M131" i="1"/>
  <c r="L131" i="1"/>
  <c r="K131" i="1"/>
  <c r="N131" i="1" s="1"/>
  <c r="W130" i="1"/>
  <c r="V130" i="1"/>
  <c r="X130" i="1" s="1"/>
  <c r="U130" i="1"/>
  <c r="M130" i="1"/>
  <c r="L130" i="1"/>
  <c r="K130" i="1"/>
  <c r="N130" i="1" s="1"/>
  <c r="W129" i="1"/>
  <c r="V129" i="1"/>
  <c r="X129" i="1" s="1"/>
  <c r="U129" i="1"/>
  <c r="M129" i="1"/>
  <c r="L129" i="1"/>
  <c r="K129" i="1"/>
  <c r="N129" i="1" s="1"/>
  <c r="W128" i="1"/>
  <c r="V128" i="1"/>
  <c r="X128" i="1" s="1"/>
  <c r="U128" i="1"/>
  <c r="M128" i="1"/>
  <c r="L128" i="1"/>
  <c r="K128" i="1"/>
  <c r="N128" i="1" s="1"/>
  <c r="W127" i="1"/>
  <c r="V127" i="1"/>
  <c r="X127" i="1" s="1"/>
  <c r="U127" i="1"/>
  <c r="M127" i="1"/>
  <c r="L127" i="1"/>
  <c r="K127" i="1"/>
  <c r="N127" i="1" s="1"/>
  <c r="W126" i="1"/>
  <c r="V126" i="1"/>
  <c r="X126" i="1" s="1"/>
  <c r="U126" i="1"/>
  <c r="M126" i="1"/>
  <c r="L126" i="1"/>
  <c r="K126" i="1"/>
  <c r="N126" i="1" s="1"/>
  <c r="W125" i="1"/>
  <c r="V125" i="1"/>
  <c r="X125" i="1" s="1"/>
  <c r="U125" i="1"/>
  <c r="M125" i="1"/>
  <c r="L125" i="1"/>
  <c r="K125" i="1"/>
  <c r="N125" i="1" s="1"/>
  <c r="W124" i="1"/>
  <c r="V124" i="1"/>
  <c r="X124" i="1" s="1"/>
  <c r="U124" i="1"/>
  <c r="N124" i="1"/>
  <c r="M124" i="1"/>
  <c r="W123" i="1"/>
  <c r="V123" i="1"/>
  <c r="U123" i="1"/>
  <c r="X123" i="1" s="1"/>
  <c r="M123" i="1"/>
  <c r="L123" i="1"/>
  <c r="K123" i="1"/>
  <c r="W122" i="1"/>
  <c r="V122" i="1"/>
  <c r="U122" i="1"/>
  <c r="M122" i="1"/>
  <c r="L122" i="1"/>
  <c r="K122" i="1"/>
  <c r="N122" i="1" s="1"/>
  <c r="W121" i="1"/>
  <c r="U121" i="1"/>
  <c r="X121" i="1" s="1"/>
  <c r="M121" i="1"/>
  <c r="L121" i="1"/>
  <c r="K121" i="1"/>
  <c r="W120" i="1"/>
  <c r="U120" i="1"/>
  <c r="X120" i="1" s="1"/>
  <c r="M120" i="1"/>
  <c r="L120" i="1"/>
  <c r="K120" i="1"/>
  <c r="W119" i="1"/>
  <c r="V119" i="1"/>
  <c r="U119" i="1"/>
  <c r="X119" i="1" s="1"/>
  <c r="M119" i="1"/>
  <c r="L119" i="1"/>
  <c r="N119" i="1" s="1"/>
  <c r="K119" i="1"/>
  <c r="W118" i="1"/>
  <c r="V118" i="1"/>
  <c r="U118" i="1"/>
  <c r="X118" i="1" s="1"/>
  <c r="M118" i="1"/>
  <c r="L118" i="1"/>
  <c r="N118" i="1" s="1"/>
  <c r="K118" i="1"/>
  <c r="W117" i="1"/>
  <c r="V117" i="1"/>
  <c r="U117" i="1"/>
  <c r="X117" i="1" s="1"/>
  <c r="M117" i="1"/>
  <c r="N117" i="1" s="1"/>
  <c r="X116" i="1"/>
  <c r="W116" i="1"/>
  <c r="V116" i="1"/>
  <c r="U116" i="1"/>
  <c r="M116" i="1"/>
  <c r="L116" i="1"/>
  <c r="K116" i="1"/>
  <c r="N116" i="1" s="1"/>
  <c r="U115" i="1"/>
  <c r="X115" i="1" s="1"/>
  <c r="M115" i="1"/>
  <c r="L115" i="1"/>
  <c r="K115" i="1"/>
  <c r="W114" i="1"/>
  <c r="V114" i="1"/>
  <c r="U114" i="1"/>
  <c r="X114" i="1" s="1"/>
  <c r="M114" i="1"/>
  <c r="L114" i="1"/>
  <c r="K114" i="1"/>
  <c r="W113" i="1"/>
  <c r="V113" i="1"/>
  <c r="X113" i="1" s="1"/>
  <c r="M113" i="1"/>
  <c r="L113" i="1"/>
  <c r="N113" i="1" s="1"/>
  <c r="K113" i="1"/>
  <c r="W112" i="1"/>
  <c r="V112" i="1"/>
  <c r="U112" i="1"/>
  <c r="M112" i="1"/>
  <c r="L112" i="1"/>
  <c r="K112" i="1"/>
  <c r="N112" i="1" s="1"/>
  <c r="W111" i="1"/>
  <c r="V111" i="1"/>
  <c r="U111" i="1"/>
  <c r="M111" i="1"/>
  <c r="L111" i="1"/>
  <c r="K111" i="1"/>
  <c r="N111" i="1" s="1"/>
  <c r="W110" i="1"/>
  <c r="X110" i="1" s="1"/>
  <c r="M110" i="1"/>
  <c r="L110" i="1"/>
  <c r="N110" i="1" s="1"/>
  <c r="K110" i="1"/>
  <c r="W109" i="1"/>
  <c r="V109" i="1"/>
  <c r="X109" i="1" s="1"/>
  <c r="M109" i="1"/>
  <c r="L109" i="1"/>
  <c r="N109" i="1" s="1"/>
  <c r="K109" i="1"/>
  <c r="W108" i="1"/>
  <c r="V108" i="1"/>
  <c r="U108" i="1"/>
  <c r="M108" i="1"/>
  <c r="L108" i="1"/>
  <c r="K108" i="1"/>
  <c r="N108" i="1" s="1"/>
  <c r="W107" i="1"/>
  <c r="V107" i="1"/>
  <c r="U107" i="1"/>
  <c r="M107" i="1"/>
  <c r="L107" i="1"/>
  <c r="K107" i="1"/>
  <c r="N107" i="1" s="1"/>
  <c r="W106" i="1"/>
  <c r="V106" i="1"/>
  <c r="U106" i="1"/>
  <c r="M106" i="1"/>
  <c r="L106" i="1"/>
  <c r="K106" i="1"/>
  <c r="N106" i="1" s="1"/>
  <c r="W105" i="1"/>
  <c r="V105" i="1"/>
  <c r="U105" i="1"/>
  <c r="X105" i="1" s="1"/>
  <c r="M105" i="1"/>
  <c r="L105" i="1"/>
  <c r="N105" i="1" s="1"/>
  <c r="K105" i="1"/>
  <c r="W104" i="1"/>
  <c r="V104" i="1"/>
  <c r="U104" i="1"/>
  <c r="X104" i="1" s="1"/>
  <c r="M104" i="1"/>
  <c r="L104" i="1"/>
  <c r="K104" i="1"/>
  <c r="W103" i="1"/>
  <c r="V103" i="1"/>
  <c r="U103" i="1"/>
  <c r="M103" i="1"/>
  <c r="L103" i="1"/>
  <c r="K103" i="1"/>
  <c r="N103" i="1" s="1"/>
  <c r="W102" i="1"/>
  <c r="V102" i="1"/>
  <c r="U102" i="1"/>
  <c r="M102" i="1"/>
  <c r="L102" i="1"/>
  <c r="K102" i="1"/>
  <c r="N102" i="1" s="1"/>
  <c r="W101" i="1"/>
  <c r="V101" i="1"/>
  <c r="U101" i="1"/>
  <c r="X101" i="1" s="1"/>
  <c r="M101" i="1"/>
  <c r="N101" i="1" s="1"/>
  <c r="L101" i="1"/>
  <c r="W100" i="1"/>
  <c r="V100" i="1"/>
  <c r="U100" i="1"/>
  <c r="X100" i="1" s="1"/>
  <c r="M100" i="1"/>
  <c r="L100" i="1"/>
  <c r="K100" i="1"/>
  <c r="W99" i="1"/>
  <c r="V99" i="1"/>
  <c r="U99" i="1"/>
  <c r="X99" i="1" s="1"/>
  <c r="M99" i="1"/>
  <c r="L99" i="1"/>
  <c r="K99" i="1"/>
  <c r="W98" i="1"/>
  <c r="V98" i="1"/>
  <c r="U98" i="1"/>
  <c r="X98" i="1" s="1"/>
  <c r="M98" i="1"/>
  <c r="L98" i="1"/>
  <c r="K98" i="1"/>
  <c r="W97" i="1"/>
  <c r="V97" i="1"/>
  <c r="U97" i="1"/>
  <c r="X97" i="1" s="1"/>
  <c r="M97" i="1"/>
  <c r="L97" i="1"/>
  <c r="K97" i="1"/>
  <c r="N97" i="1" s="1"/>
  <c r="X96" i="1"/>
  <c r="W96" i="1"/>
  <c r="V96" i="1"/>
  <c r="U96" i="1"/>
  <c r="M96" i="1"/>
  <c r="L96" i="1"/>
  <c r="K96" i="1"/>
  <c r="N96" i="1" s="1"/>
  <c r="X95" i="1"/>
  <c r="W95" i="1"/>
  <c r="V95" i="1"/>
  <c r="U95" i="1"/>
  <c r="M95" i="1"/>
  <c r="L95" i="1"/>
  <c r="K95" i="1"/>
  <c r="N95" i="1" s="1"/>
  <c r="W94" i="1"/>
  <c r="V94" i="1"/>
  <c r="X94" i="1" s="1"/>
  <c r="U94" i="1"/>
  <c r="M94" i="1"/>
  <c r="L94" i="1"/>
  <c r="K94" i="1"/>
  <c r="W93" i="1"/>
  <c r="V93" i="1"/>
  <c r="U93" i="1"/>
  <c r="M93" i="1"/>
  <c r="L93" i="1"/>
  <c r="K93" i="1"/>
  <c r="W92" i="1"/>
  <c r="V92" i="1"/>
  <c r="U92" i="1"/>
  <c r="X92" i="1" s="1"/>
  <c r="M92" i="1"/>
  <c r="L92" i="1"/>
  <c r="K92" i="1"/>
  <c r="W91" i="1"/>
  <c r="V91" i="1"/>
  <c r="U91" i="1"/>
  <c r="X91" i="1" s="1"/>
  <c r="M91" i="1"/>
  <c r="L91" i="1"/>
  <c r="K91" i="1"/>
  <c r="W90" i="1"/>
  <c r="V90" i="1"/>
  <c r="U90" i="1"/>
  <c r="X90" i="1" s="1"/>
  <c r="M90" i="1"/>
  <c r="L90" i="1"/>
  <c r="K90" i="1"/>
  <c r="W89" i="1"/>
  <c r="V89" i="1"/>
  <c r="U89" i="1"/>
  <c r="X89" i="1" s="1"/>
  <c r="M89" i="1"/>
  <c r="L89" i="1"/>
  <c r="K89" i="1"/>
  <c r="N89" i="1" s="1"/>
  <c r="X88" i="1"/>
  <c r="W88" i="1"/>
  <c r="V88" i="1"/>
  <c r="U88" i="1"/>
  <c r="M88" i="1"/>
  <c r="L88" i="1"/>
  <c r="K88" i="1"/>
  <c r="N88" i="1" s="1"/>
  <c r="W87" i="1"/>
  <c r="X87" i="1" s="1"/>
  <c r="V87" i="1"/>
  <c r="U87" i="1"/>
  <c r="M87" i="1"/>
  <c r="L87" i="1"/>
  <c r="K87" i="1"/>
  <c r="N87" i="1" s="1"/>
  <c r="W86" i="1"/>
  <c r="V86" i="1"/>
  <c r="X86" i="1" s="1"/>
  <c r="U86" i="1"/>
  <c r="M86" i="1"/>
  <c r="L86" i="1"/>
  <c r="K86" i="1"/>
  <c r="W85" i="1"/>
  <c r="V85" i="1"/>
  <c r="U85" i="1"/>
  <c r="M85" i="1"/>
  <c r="L85" i="1"/>
  <c r="K85" i="1"/>
  <c r="W84" i="1"/>
  <c r="V84" i="1"/>
  <c r="U84" i="1"/>
  <c r="X84" i="1" s="1"/>
  <c r="M84" i="1"/>
  <c r="L84" i="1"/>
  <c r="K84" i="1"/>
  <c r="W83" i="1"/>
  <c r="V83" i="1"/>
  <c r="U83" i="1"/>
  <c r="X83" i="1" s="1"/>
  <c r="M83" i="1"/>
  <c r="L83" i="1"/>
  <c r="K83" i="1"/>
  <c r="W82" i="1"/>
  <c r="V82" i="1"/>
  <c r="U82" i="1"/>
  <c r="X82" i="1" s="1"/>
  <c r="M82" i="1"/>
  <c r="L82" i="1"/>
  <c r="K82" i="1"/>
  <c r="W81" i="1"/>
  <c r="V81" i="1"/>
  <c r="U81" i="1"/>
  <c r="X81" i="1" s="1"/>
  <c r="M81" i="1"/>
  <c r="L81" i="1"/>
  <c r="K81" i="1"/>
  <c r="N81" i="1" s="1"/>
  <c r="X80" i="1"/>
  <c r="W80" i="1"/>
  <c r="V80" i="1"/>
  <c r="U80" i="1"/>
  <c r="M80" i="1"/>
  <c r="L80" i="1"/>
  <c r="K80" i="1"/>
  <c r="N80" i="1" s="1"/>
  <c r="W79" i="1"/>
  <c r="X79" i="1" s="1"/>
  <c r="V79" i="1"/>
  <c r="U79" i="1"/>
  <c r="M79" i="1"/>
  <c r="L79" i="1"/>
  <c r="K79" i="1"/>
  <c r="N79" i="1" s="1"/>
  <c r="U78" i="1"/>
  <c r="X78" i="1" s="1"/>
  <c r="M78" i="1"/>
  <c r="L78" i="1"/>
  <c r="K78" i="1"/>
  <c r="W77" i="1"/>
  <c r="V77" i="1"/>
  <c r="U77" i="1"/>
  <c r="X77" i="1" s="1"/>
  <c r="M77" i="1"/>
  <c r="L77" i="1"/>
  <c r="K77" i="1"/>
  <c r="N77" i="1" s="1"/>
  <c r="W76" i="1"/>
  <c r="V76" i="1"/>
  <c r="U76" i="1"/>
  <c r="M76" i="1"/>
  <c r="L76" i="1"/>
  <c r="K76" i="1"/>
  <c r="N76" i="1" s="1"/>
  <c r="W75" i="1"/>
  <c r="V75" i="1"/>
  <c r="U75" i="1"/>
  <c r="M75" i="1"/>
  <c r="L75" i="1"/>
  <c r="K75" i="1"/>
  <c r="N75" i="1" s="1"/>
  <c r="W74" i="1"/>
  <c r="V74" i="1"/>
  <c r="U74" i="1"/>
  <c r="M74" i="1"/>
  <c r="L74" i="1"/>
  <c r="K74" i="1"/>
  <c r="W73" i="1"/>
  <c r="V73" i="1"/>
  <c r="U73" i="1"/>
  <c r="M73" i="1"/>
  <c r="L73" i="1"/>
  <c r="K73" i="1"/>
  <c r="N73" i="1" s="1"/>
  <c r="W72" i="1"/>
  <c r="V72" i="1"/>
  <c r="U72" i="1"/>
  <c r="M72" i="1"/>
  <c r="L72" i="1"/>
  <c r="K72" i="1"/>
  <c r="N72" i="1" s="1"/>
  <c r="W71" i="1"/>
  <c r="V71" i="1"/>
  <c r="U71" i="1"/>
  <c r="M71" i="1"/>
  <c r="L71" i="1"/>
  <c r="K71" i="1"/>
  <c r="N71" i="1" s="1"/>
  <c r="W70" i="1"/>
  <c r="V70" i="1"/>
  <c r="U70" i="1"/>
  <c r="M70" i="1"/>
  <c r="L70" i="1"/>
  <c r="K70" i="1"/>
  <c r="W69" i="1"/>
  <c r="V69" i="1"/>
  <c r="U69" i="1"/>
  <c r="M69" i="1"/>
  <c r="L69" i="1"/>
  <c r="K69" i="1"/>
  <c r="N69" i="1" s="1"/>
  <c r="W68" i="1"/>
  <c r="V68" i="1"/>
  <c r="U68" i="1"/>
  <c r="M68" i="1"/>
  <c r="L68" i="1"/>
  <c r="K68" i="1"/>
  <c r="N68" i="1" s="1"/>
  <c r="W67" i="1"/>
  <c r="V67" i="1"/>
  <c r="U67" i="1"/>
  <c r="M67" i="1"/>
  <c r="L67" i="1"/>
  <c r="K67" i="1"/>
  <c r="N67" i="1" s="1"/>
  <c r="W66" i="1"/>
  <c r="V66" i="1"/>
  <c r="U66" i="1"/>
  <c r="M66" i="1"/>
  <c r="L66" i="1"/>
  <c r="K66" i="1"/>
  <c r="W65" i="1"/>
  <c r="V65" i="1"/>
  <c r="U65" i="1"/>
  <c r="M65" i="1"/>
  <c r="L65" i="1"/>
  <c r="K65" i="1"/>
  <c r="N65" i="1" s="1"/>
  <c r="W64" i="1"/>
  <c r="V64" i="1"/>
  <c r="U64" i="1"/>
  <c r="M64" i="1"/>
  <c r="L64" i="1"/>
  <c r="K64" i="1"/>
  <c r="N64" i="1" s="1"/>
  <c r="W63" i="1"/>
  <c r="V63" i="1"/>
  <c r="U63" i="1"/>
  <c r="M63" i="1"/>
  <c r="L63" i="1"/>
  <c r="K63" i="1"/>
  <c r="W62" i="1"/>
  <c r="V62" i="1"/>
  <c r="U62" i="1"/>
  <c r="M62" i="1"/>
  <c r="L62" i="1"/>
  <c r="K62" i="1"/>
  <c r="W61" i="1"/>
  <c r="V61" i="1"/>
  <c r="U61" i="1"/>
  <c r="M61" i="1"/>
  <c r="L61" i="1"/>
  <c r="K61" i="1"/>
  <c r="N61" i="1" s="1"/>
  <c r="W60" i="1"/>
  <c r="V60" i="1"/>
  <c r="U60" i="1"/>
  <c r="M60" i="1"/>
  <c r="L60" i="1"/>
  <c r="K60" i="1"/>
  <c r="N60" i="1" s="1"/>
  <c r="W59" i="1"/>
  <c r="V59" i="1"/>
  <c r="U59" i="1"/>
  <c r="M59" i="1"/>
  <c r="L59" i="1"/>
  <c r="K59" i="1"/>
  <c r="W58" i="1"/>
  <c r="V58" i="1"/>
  <c r="U58" i="1"/>
  <c r="M58" i="1"/>
  <c r="L58" i="1"/>
  <c r="K58" i="1"/>
  <c r="W57" i="1"/>
  <c r="V57" i="1"/>
  <c r="U57" i="1"/>
  <c r="M57" i="1"/>
  <c r="L57" i="1"/>
  <c r="K57" i="1"/>
  <c r="N57" i="1" s="1"/>
  <c r="W56" i="1"/>
  <c r="V56" i="1"/>
  <c r="U56" i="1"/>
  <c r="M56" i="1"/>
  <c r="L56" i="1"/>
  <c r="K56" i="1"/>
  <c r="N56" i="1" s="1"/>
  <c r="W55" i="1"/>
  <c r="V55" i="1"/>
  <c r="U55" i="1"/>
  <c r="M55" i="1"/>
  <c r="L55" i="1"/>
  <c r="K55" i="1"/>
  <c r="W54" i="1"/>
  <c r="V54" i="1"/>
  <c r="U54" i="1"/>
  <c r="N54" i="1"/>
  <c r="M54" i="1"/>
  <c r="W53" i="1"/>
  <c r="V53" i="1"/>
  <c r="U53" i="1"/>
  <c r="M53" i="1"/>
  <c r="N53" i="1" s="1"/>
  <c r="W52" i="1"/>
  <c r="V52" i="1"/>
  <c r="U52" i="1"/>
  <c r="M52" i="1"/>
  <c r="L52" i="1"/>
  <c r="K52" i="1"/>
  <c r="W51" i="1"/>
  <c r="V51" i="1"/>
  <c r="U51" i="1"/>
  <c r="X51" i="1" s="1"/>
  <c r="M51" i="1"/>
  <c r="L51" i="1"/>
  <c r="K51" i="1"/>
  <c r="W50" i="1"/>
  <c r="V50" i="1"/>
  <c r="U50" i="1"/>
  <c r="X50" i="1" s="1"/>
  <c r="M50" i="1"/>
  <c r="L50" i="1"/>
  <c r="K50" i="1"/>
  <c r="W49" i="1"/>
  <c r="V49" i="1"/>
  <c r="U49" i="1"/>
  <c r="M49" i="1"/>
  <c r="L49" i="1"/>
  <c r="K49" i="1"/>
  <c r="W48" i="1"/>
  <c r="V48" i="1"/>
  <c r="U48" i="1"/>
  <c r="M48" i="1"/>
  <c r="L48" i="1"/>
  <c r="K48" i="1"/>
  <c r="W47" i="1"/>
  <c r="U47" i="1"/>
  <c r="X47" i="1" s="1"/>
  <c r="M47" i="1"/>
  <c r="L47" i="1"/>
  <c r="K47" i="1"/>
  <c r="W46" i="1"/>
  <c r="V46" i="1"/>
  <c r="U46" i="1"/>
  <c r="X46" i="1" s="1"/>
  <c r="M46" i="1"/>
  <c r="L46" i="1"/>
  <c r="N46" i="1" s="1"/>
  <c r="K46" i="1"/>
  <c r="W45" i="1"/>
  <c r="V45" i="1"/>
  <c r="U45" i="1"/>
  <c r="X45" i="1" s="1"/>
  <c r="M45" i="1"/>
  <c r="L45" i="1"/>
  <c r="K45" i="1"/>
  <c r="N45" i="1" s="1"/>
  <c r="W44" i="1"/>
  <c r="V44" i="1"/>
  <c r="U44" i="1"/>
  <c r="M44" i="1"/>
  <c r="L44" i="1"/>
  <c r="K44" i="1"/>
  <c r="W43" i="1"/>
  <c r="V43" i="1"/>
  <c r="X43" i="1" s="1"/>
  <c r="U43" i="1"/>
  <c r="M43" i="1"/>
  <c r="L43" i="1"/>
  <c r="K43" i="1"/>
  <c r="N43" i="1" s="1"/>
  <c r="W42" i="1"/>
  <c r="V42" i="1"/>
  <c r="U42" i="1"/>
  <c r="M42" i="1"/>
  <c r="L42" i="1"/>
  <c r="K42" i="1"/>
  <c r="N42" i="1" s="1"/>
  <c r="V41" i="1"/>
  <c r="X41" i="1" s="1"/>
  <c r="M41" i="1"/>
  <c r="N41" i="1" s="1"/>
  <c r="W40" i="1"/>
  <c r="V40" i="1"/>
  <c r="U40" i="1"/>
  <c r="M40" i="1"/>
  <c r="N40" i="1" s="1"/>
  <c r="W39" i="1"/>
  <c r="V39" i="1"/>
  <c r="U39" i="1"/>
  <c r="M39" i="1"/>
  <c r="N39" i="1" s="1"/>
  <c r="W38" i="1"/>
  <c r="V38" i="1"/>
  <c r="U38" i="1"/>
  <c r="M38" i="1"/>
  <c r="N38" i="1" s="1"/>
  <c r="W37" i="1"/>
  <c r="V37" i="1"/>
  <c r="U37" i="1"/>
  <c r="X37" i="1" s="1"/>
  <c r="M37" i="1"/>
  <c r="L37" i="1"/>
  <c r="K37" i="1"/>
  <c r="W36" i="1"/>
  <c r="V36" i="1"/>
  <c r="U36" i="1"/>
  <c r="X36" i="1" s="1"/>
  <c r="M36" i="1"/>
  <c r="L36" i="1"/>
  <c r="K36" i="1"/>
  <c r="W35" i="1"/>
  <c r="V35" i="1"/>
  <c r="U35" i="1"/>
  <c r="M35" i="1"/>
  <c r="L35" i="1"/>
  <c r="K35" i="1"/>
  <c r="N35" i="1" s="1"/>
  <c r="W34" i="1"/>
  <c r="V34" i="1"/>
  <c r="U34" i="1"/>
  <c r="X34" i="1" s="1"/>
  <c r="M34" i="1"/>
  <c r="L34" i="1"/>
  <c r="K34" i="1"/>
  <c r="N34" i="1" s="1"/>
  <c r="W33" i="1"/>
  <c r="X33" i="1" s="1"/>
  <c r="V33" i="1"/>
  <c r="U33" i="1"/>
  <c r="M33" i="1"/>
  <c r="L33" i="1"/>
  <c r="K33" i="1"/>
  <c r="W32" i="1"/>
  <c r="V32" i="1"/>
  <c r="U32" i="1"/>
  <c r="M32" i="1"/>
  <c r="L32" i="1"/>
  <c r="K32" i="1"/>
  <c r="W31" i="1"/>
  <c r="V31" i="1"/>
  <c r="U31" i="1"/>
  <c r="M31" i="1"/>
  <c r="L31" i="1"/>
  <c r="K31" i="1"/>
  <c r="W30" i="1"/>
  <c r="V30" i="1"/>
  <c r="U30" i="1"/>
  <c r="X30" i="1" s="1"/>
  <c r="M30" i="1"/>
  <c r="L30" i="1"/>
  <c r="K30" i="1"/>
  <c r="N30" i="1" s="1"/>
  <c r="W29" i="1"/>
  <c r="V29" i="1"/>
  <c r="U29" i="1"/>
  <c r="X29" i="1" s="1"/>
  <c r="M29" i="1"/>
  <c r="L29" i="1"/>
  <c r="K29" i="1"/>
  <c r="X28" i="1"/>
  <c r="W28" i="1"/>
  <c r="V28" i="1"/>
  <c r="U28" i="1"/>
  <c r="M28" i="1"/>
  <c r="L28" i="1"/>
  <c r="K28" i="1"/>
  <c r="N28" i="1" s="1"/>
  <c r="U27" i="1"/>
  <c r="X27" i="1" s="1"/>
  <c r="M27" i="1"/>
  <c r="L27" i="1"/>
  <c r="K27" i="1"/>
  <c r="W26" i="1"/>
  <c r="V26" i="1"/>
  <c r="U26" i="1"/>
  <c r="M26" i="1"/>
  <c r="L26" i="1"/>
  <c r="K26" i="1"/>
  <c r="N26" i="1" s="1"/>
  <c r="W25" i="1"/>
  <c r="U25" i="1"/>
  <c r="X25" i="1" s="1"/>
  <c r="M25" i="1"/>
  <c r="L25" i="1"/>
  <c r="K25" i="1"/>
  <c r="N25" i="1" s="1"/>
  <c r="W24" i="1"/>
  <c r="V24" i="1"/>
  <c r="U24" i="1"/>
  <c r="M24" i="1"/>
  <c r="L24" i="1"/>
  <c r="K24" i="1"/>
  <c r="N24" i="1" s="1"/>
  <c r="W23" i="1"/>
  <c r="V23" i="1"/>
  <c r="U23" i="1"/>
  <c r="M23" i="1"/>
  <c r="N23" i="1" s="1"/>
  <c r="W22" i="1"/>
  <c r="V22" i="1"/>
  <c r="U22" i="1"/>
  <c r="M22" i="1"/>
  <c r="L22" i="1"/>
  <c r="K22" i="1"/>
  <c r="N22" i="1" s="1"/>
  <c r="W21" i="1"/>
  <c r="V21" i="1"/>
  <c r="U21" i="1"/>
  <c r="M21" i="1"/>
  <c r="L21" i="1"/>
  <c r="K21" i="1"/>
  <c r="W20" i="1"/>
  <c r="V20" i="1"/>
  <c r="U20" i="1"/>
  <c r="M20" i="1"/>
  <c r="L20" i="1"/>
  <c r="K20" i="1"/>
  <c r="W19" i="1"/>
  <c r="V19" i="1"/>
  <c r="U19" i="1"/>
  <c r="X19" i="1" s="1"/>
  <c r="M19" i="1"/>
  <c r="L19" i="1"/>
  <c r="K19" i="1"/>
  <c r="W18" i="1"/>
  <c r="V18" i="1"/>
  <c r="U18" i="1"/>
  <c r="M18" i="1"/>
  <c r="L18" i="1"/>
  <c r="K18" i="1"/>
  <c r="N18" i="1" s="1"/>
  <c r="W17" i="1"/>
  <c r="V17" i="1"/>
  <c r="U17" i="1"/>
  <c r="M17" i="1"/>
  <c r="L17" i="1"/>
  <c r="K17" i="1"/>
  <c r="W16" i="1"/>
  <c r="V16" i="1"/>
  <c r="U16" i="1"/>
  <c r="M16" i="1"/>
  <c r="L16" i="1"/>
  <c r="K16" i="1"/>
  <c r="V15" i="1"/>
  <c r="U15" i="1"/>
  <c r="X15" i="1" s="1"/>
  <c r="M15" i="1"/>
  <c r="L15" i="1"/>
  <c r="N15" i="1" s="1"/>
  <c r="K15" i="1"/>
  <c r="V14" i="1"/>
  <c r="U14" i="1"/>
  <c r="X14" i="1" s="1"/>
  <c r="M14" i="1"/>
  <c r="L14" i="1"/>
  <c r="K14" i="1"/>
  <c r="N14" i="1" s="1"/>
  <c r="W13" i="1"/>
  <c r="X13" i="1" s="1"/>
  <c r="V13" i="1"/>
  <c r="U13" i="1"/>
  <c r="M13" i="1"/>
  <c r="L13" i="1"/>
  <c r="K13" i="1"/>
  <c r="N13" i="1" s="1"/>
  <c r="W12" i="1"/>
  <c r="V12" i="1"/>
  <c r="X12" i="1" s="1"/>
  <c r="U12" i="1"/>
  <c r="M12" i="1"/>
  <c r="L12" i="1"/>
  <c r="K12" i="1"/>
  <c r="N12" i="1" s="1"/>
  <c r="AS11" i="1"/>
  <c r="AR11" i="1"/>
  <c r="AJ11" i="1"/>
  <c r="AI11" i="1"/>
  <c r="AH11" i="1"/>
  <c r="W11" i="1"/>
  <c r="V11" i="1"/>
  <c r="U11" i="1"/>
  <c r="X11" i="1" s="1"/>
  <c r="M11" i="1"/>
  <c r="L11" i="1"/>
  <c r="K11" i="1"/>
  <c r="AS10" i="1"/>
  <c r="AR10" i="1"/>
  <c r="AQ10" i="1"/>
  <c r="AT10" i="1" s="1"/>
  <c r="AN10" i="1"/>
  <c r="AJ10" i="1"/>
  <c r="AI10" i="1"/>
  <c r="AH10" i="1"/>
  <c r="AK10" i="1" s="1"/>
  <c r="W10" i="1"/>
  <c r="X10" i="1" s="1"/>
  <c r="V10" i="1"/>
  <c r="U10" i="1"/>
  <c r="M10" i="1"/>
  <c r="L10" i="1"/>
  <c r="K10" i="1"/>
  <c r="N10" i="1" s="1"/>
  <c r="AT9" i="1"/>
  <c r="AS9" i="1"/>
  <c r="AR9" i="1"/>
  <c r="AQ9" i="1"/>
  <c r="AN9" i="1"/>
  <c r="AJ9" i="1"/>
  <c r="AI9" i="1"/>
  <c r="AH9" i="1"/>
  <c r="AK9" i="1" s="1"/>
  <c r="W9" i="1"/>
  <c r="V9" i="1"/>
  <c r="U9" i="1"/>
  <c r="M9" i="1"/>
  <c r="L9" i="1"/>
  <c r="K9" i="1"/>
  <c r="AS8" i="1"/>
  <c r="AR8" i="1"/>
  <c r="AQ8" i="1"/>
  <c r="AT8" i="1" s="1"/>
  <c r="AN8" i="1"/>
  <c r="AJ8" i="1"/>
  <c r="AI8" i="1"/>
  <c r="AH8" i="1"/>
  <c r="AK8" i="1" s="1"/>
  <c r="W8" i="1"/>
  <c r="V8" i="1"/>
  <c r="X8" i="1" s="1"/>
  <c r="U8" i="1"/>
  <c r="M8" i="1"/>
  <c r="L8" i="1"/>
  <c r="K8" i="1"/>
  <c r="N8" i="1" s="1"/>
  <c r="AS7" i="1"/>
  <c r="AR7" i="1"/>
  <c r="AQ7" i="1"/>
  <c r="AN7" i="1"/>
  <c r="AJ7" i="1"/>
  <c r="AI7" i="1"/>
  <c r="AH7" i="1"/>
  <c r="W7" i="1"/>
  <c r="V7" i="1"/>
  <c r="U7" i="1"/>
  <c r="X7" i="1" s="1"/>
  <c r="M7" i="1"/>
  <c r="L7" i="1"/>
  <c r="K7" i="1"/>
  <c r="AS6" i="1"/>
  <c r="AR6" i="1"/>
  <c r="AQ6" i="1"/>
  <c r="AN6" i="1"/>
  <c r="AJ6" i="1"/>
  <c r="AK6" i="1" s="1"/>
  <c r="AI6" i="1"/>
  <c r="AH6" i="1"/>
  <c r="W6" i="1"/>
  <c r="V6" i="1"/>
  <c r="U6" i="1"/>
  <c r="X6" i="1" s="1"/>
  <c r="M6" i="1"/>
  <c r="L6" i="1"/>
  <c r="N6" i="1" s="1"/>
  <c r="K6" i="1"/>
  <c r="AS5" i="1"/>
  <c r="AR5" i="1"/>
  <c r="AQ5" i="1"/>
  <c r="AN5" i="1"/>
  <c r="AJ5" i="1"/>
  <c r="AI5" i="1"/>
  <c r="AH5" i="1"/>
  <c r="W5" i="1"/>
  <c r="V5" i="1"/>
  <c r="U5" i="1"/>
  <c r="X5" i="1" s="1"/>
  <c r="M5" i="1"/>
  <c r="L5" i="1"/>
  <c r="K5" i="1"/>
  <c r="AS4" i="1"/>
  <c r="AR4" i="1"/>
  <c r="AQ4" i="1"/>
  <c r="AT4" i="1" s="1"/>
  <c r="AN4" i="1"/>
  <c r="AJ4" i="1"/>
  <c r="AI4" i="1"/>
  <c r="AH4" i="1"/>
  <c r="AK4" i="1" s="1"/>
  <c r="W4" i="1"/>
  <c r="V4" i="1"/>
  <c r="U4" i="1"/>
  <c r="M4" i="1"/>
  <c r="L4" i="1"/>
  <c r="K4" i="1"/>
  <c r="N4" i="1" s="1"/>
  <c r="AT3" i="1"/>
  <c r="AS3" i="1"/>
  <c r="AU3" i="1" s="1"/>
  <c r="AR3" i="1"/>
  <c r="AQ3" i="1"/>
  <c r="AN3" i="1"/>
  <c r="AJ3" i="1"/>
  <c r="AI3" i="1"/>
  <c r="AH3" i="1"/>
  <c r="AK3" i="1" s="1"/>
  <c r="W3" i="1"/>
  <c r="X3" i="1" s="1"/>
  <c r="V3" i="1"/>
  <c r="U3" i="1"/>
  <c r="M3" i="1"/>
  <c r="L3" i="1"/>
  <c r="K3" i="1"/>
  <c r="N3" i="1" s="1"/>
  <c r="AS2" i="1"/>
  <c r="AR2" i="1"/>
  <c r="AQ2" i="1"/>
  <c r="AT2" i="1" s="1"/>
  <c r="AU2" i="1" s="1"/>
  <c r="AN2" i="1"/>
  <c r="AJ2" i="1"/>
  <c r="AI2" i="1"/>
  <c r="AH2" i="1"/>
  <c r="W2" i="1"/>
  <c r="V2" i="1"/>
  <c r="U2" i="1"/>
  <c r="X2" i="1" s="1"/>
  <c r="M2" i="1"/>
  <c r="L2" i="1"/>
  <c r="K2" i="1"/>
  <c r="X281" i="1" l="1"/>
  <c r="AU8" i="1"/>
  <c r="N50" i="1"/>
  <c r="X54" i="1"/>
  <c r="X58" i="1"/>
  <c r="X62" i="1"/>
  <c r="X147" i="1"/>
  <c r="X271" i="1"/>
  <c r="X236" i="1"/>
  <c r="X300" i="1"/>
  <c r="N123" i="1"/>
  <c r="N341" i="1"/>
  <c r="X32" i="1"/>
  <c r="X85" i="1"/>
  <c r="AU9" i="1"/>
  <c r="X42" i="1"/>
  <c r="N192" i="1"/>
  <c r="N313" i="1"/>
  <c r="X157" i="1"/>
  <c r="X255" i="1"/>
  <c r="X212" i="1"/>
  <c r="N5" i="1"/>
  <c r="X23" i="1"/>
  <c r="X93" i="1"/>
  <c r="X185" i="1"/>
  <c r="N227" i="1"/>
  <c r="X243" i="1"/>
  <c r="N286" i="1"/>
  <c r="X344" i="1"/>
  <c r="AT12" i="1"/>
  <c r="AU12" i="1" s="1"/>
  <c r="X174" i="1"/>
  <c r="X224" i="1"/>
  <c r="X319" i="1"/>
  <c r="N44" i="1"/>
  <c r="N49" i="1"/>
  <c r="X160" i="1"/>
  <c r="N191" i="1"/>
  <c r="N196" i="1"/>
  <c r="X215" i="1"/>
  <c r="N237" i="1"/>
  <c r="X248" i="1"/>
  <c r="X258" i="1"/>
  <c r="X264" i="1"/>
  <c r="X274" i="1"/>
  <c r="X280" i="1"/>
  <c r="X303" i="1"/>
  <c r="X309" i="1"/>
  <c r="N206" i="1"/>
  <c r="AT5" i="1"/>
  <c r="X26" i="1"/>
  <c r="X31" i="1"/>
  <c r="N55" i="1"/>
  <c r="N59" i="1"/>
  <c r="N63" i="1"/>
  <c r="X103" i="1"/>
  <c r="X108" i="1"/>
  <c r="X112" i="1"/>
  <c r="N121" i="1"/>
  <c r="X122" i="1"/>
  <c r="X155" i="1"/>
  <c r="N169" i="1"/>
  <c r="N173" i="1"/>
  <c r="N185" i="1"/>
  <c r="X200" i="1"/>
  <c r="N205" i="1"/>
  <c r="X219" i="1"/>
  <c r="X223" i="1"/>
  <c r="X230" i="1"/>
  <c r="N240" i="1"/>
  <c r="X293" i="1"/>
  <c r="X313" i="1"/>
  <c r="X318" i="1"/>
  <c r="X324" i="1"/>
  <c r="X328" i="1"/>
  <c r="N166" i="1"/>
  <c r="X201" i="1"/>
  <c r="X220" i="1"/>
  <c r="AK2" i="1"/>
  <c r="X17" i="1"/>
  <c r="X21" i="1"/>
  <c r="X35" i="1"/>
  <c r="X44" i="1"/>
  <c r="X49" i="1"/>
  <c r="X111" i="1"/>
  <c r="N115" i="1"/>
  <c r="N134" i="1"/>
  <c r="X159" i="1"/>
  <c r="X165" i="1"/>
  <c r="N195" i="1"/>
  <c r="X210" i="1"/>
  <c r="X214" i="1"/>
  <c r="N243" i="1"/>
  <c r="X247" i="1"/>
  <c r="N249" i="1"/>
  <c r="N255" i="1"/>
  <c r="X257" i="1"/>
  <c r="N259" i="1"/>
  <c r="X263" i="1"/>
  <c r="N265" i="1"/>
  <c r="N271" i="1"/>
  <c r="X273" i="1"/>
  <c r="N275" i="1"/>
  <c r="X279" i="1"/>
  <c r="N281" i="1"/>
  <c r="N285" i="1"/>
  <c r="X297" i="1"/>
  <c r="N300" i="1"/>
  <c r="X302" i="1"/>
  <c r="N304" i="1"/>
  <c r="X308" i="1"/>
  <c r="N310" i="1"/>
  <c r="N315" i="1"/>
  <c r="X70" i="1"/>
  <c r="N170" i="1"/>
  <c r="X231" i="1"/>
  <c r="X325" i="1"/>
  <c r="N2" i="1"/>
  <c r="N27" i="1"/>
  <c r="N36" i="1"/>
  <c r="N47" i="1"/>
  <c r="N58" i="1"/>
  <c r="N62" i="1"/>
  <c r="N66" i="1"/>
  <c r="N70" i="1"/>
  <c r="N74" i="1"/>
  <c r="N78" i="1"/>
  <c r="N84" i="1"/>
  <c r="N92" i="1"/>
  <c r="N100" i="1"/>
  <c r="X102" i="1"/>
  <c r="X107" i="1"/>
  <c r="N114" i="1"/>
  <c r="N120" i="1"/>
  <c r="X134" i="1"/>
  <c r="N137" i="1"/>
  <c r="N142" i="1"/>
  <c r="X144" i="1"/>
  <c r="N152" i="1"/>
  <c r="X154" i="1"/>
  <c r="N156" i="1"/>
  <c r="N160" i="1"/>
  <c r="N168" i="1"/>
  <c r="N172" i="1"/>
  <c r="X182" i="1"/>
  <c r="X195" i="1"/>
  <c r="X203" i="1"/>
  <c r="N211" i="1"/>
  <c r="X218" i="1"/>
  <c r="X222" i="1"/>
  <c r="X229" i="1"/>
  <c r="N235" i="1"/>
  <c r="N254" i="1"/>
  <c r="N270" i="1"/>
  <c r="X292" i="1"/>
  <c r="N294" i="1"/>
  <c r="N299" i="1"/>
  <c r="N314" i="1"/>
  <c r="N319" i="1"/>
  <c r="N325" i="1"/>
  <c r="X327" i="1"/>
  <c r="N342" i="1"/>
  <c r="X66" i="1"/>
  <c r="X74" i="1"/>
  <c r="X294" i="1"/>
  <c r="AN11" i="1"/>
  <c r="X4" i="1"/>
  <c r="AK11" i="1"/>
  <c r="X16" i="1"/>
  <c r="X20" i="1"/>
  <c r="X24" i="1"/>
  <c r="X38" i="1"/>
  <c r="X40" i="1"/>
  <c r="X48" i="1"/>
  <c r="N51" i="1"/>
  <c r="X52" i="1"/>
  <c r="N104" i="1"/>
  <c r="X106" i="1"/>
  <c r="X138" i="1"/>
  <c r="N141" i="1"/>
  <c r="N146" i="1"/>
  <c r="N151" i="1"/>
  <c r="X158" i="1"/>
  <c r="X168" i="1"/>
  <c r="X172" i="1"/>
  <c r="N183" i="1"/>
  <c r="X190" i="1"/>
  <c r="N200" i="1"/>
  <c r="N204" i="1"/>
  <c r="X208" i="1"/>
  <c r="X213" i="1"/>
  <c r="N215" i="1"/>
  <c r="N234" i="1"/>
  <c r="N248" i="1"/>
  <c r="X250" i="1"/>
  <c r="N253" i="1"/>
  <c r="X256" i="1"/>
  <c r="N258" i="1"/>
  <c r="N264" i="1"/>
  <c r="X266" i="1"/>
  <c r="N269" i="1"/>
  <c r="X272" i="1"/>
  <c r="N274" i="1"/>
  <c r="N280" i="1"/>
  <c r="N284" i="1"/>
  <c r="N298" i="1"/>
  <c r="X301" i="1"/>
  <c r="N303" i="1"/>
  <c r="N309" i="1"/>
  <c r="X311" i="1"/>
  <c r="AU5" i="1"/>
  <c r="AU4" i="1"/>
  <c r="AU10" i="1"/>
  <c r="AT6" i="1"/>
  <c r="AU6" i="1"/>
  <c r="AK7" i="1"/>
  <c r="N11" i="1"/>
  <c r="N17" i="1"/>
  <c r="N21" i="1"/>
  <c r="N33" i="1"/>
  <c r="X53" i="1"/>
  <c r="X57" i="1"/>
  <c r="X61" i="1"/>
  <c r="X65" i="1"/>
  <c r="X69" i="1"/>
  <c r="X73" i="1"/>
  <c r="N86" i="1"/>
  <c r="N94" i="1"/>
  <c r="N164" i="1"/>
  <c r="N335" i="1"/>
  <c r="AK5" i="1"/>
  <c r="N9" i="1"/>
  <c r="X18" i="1"/>
  <c r="X22" i="1"/>
  <c r="N32" i="1"/>
  <c r="N48" i="1"/>
  <c r="N52" i="1"/>
  <c r="X76" i="1"/>
  <c r="N85" i="1"/>
  <c r="N93" i="1"/>
  <c r="N7" i="1"/>
  <c r="AQ11" i="1"/>
  <c r="N16" i="1"/>
  <c r="N20" i="1"/>
  <c r="N31" i="1"/>
  <c r="X39" i="1"/>
  <c r="X56" i="1"/>
  <c r="X60" i="1"/>
  <c r="X64" i="1"/>
  <c r="X68" i="1"/>
  <c r="X72" i="1"/>
  <c r="N189" i="1"/>
  <c r="N83" i="1"/>
  <c r="N91" i="1"/>
  <c r="N99" i="1"/>
  <c r="X287" i="1"/>
  <c r="AT7" i="1"/>
  <c r="AU7" i="1" s="1"/>
  <c r="X9" i="1"/>
  <c r="N19" i="1"/>
  <c r="N29" i="1"/>
  <c r="N37" i="1"/>
  <c r="X55" i="1"/>
  <c r="X59" i="1"/>
  <c r="X63" i="1"/>
  <c r="X67" i="1"/>
  <c r="X71" i="1"/>
  <c r="X75" i="1"/>
  <c r="N82" i="1"/>
  <c r="N90" i="1"/>
  <c r="N98" i="1"/>
  <c r="N187" i="1"/>
  <c r="X286" i="1"/>
  <c r="N218" i="1"/>
  <c r="N222" i="1"/>
  <c r="N328" i="1"/>
  <c r="N334" i="1"/>
  <c r="N344" i="1"/>
  <c r="N239" i="1"/>
  <c r="N337" i="1"/>
  <c r="N219" i="1"/>
  <c r="N223" i="1"/>
  <c r="N230" i="1"/>
  <c r="N329" i="1"/>
  <c r="N336" i="1"/>
  <c r="AT11" i="1" l="1"/>
  <c r="AU11" i="1" s="1"/>
</calcChain>
</file>

<file path=xl/sharedStrings.xml><?xml version="1.0" encoding="utf-8"?>
<sst xmlns="http://schemas.openxmlformats.org/spreadsheetml/2006/main" count="1818" uniqueCount="478">
  <si>
    <t>id</t>
  </si>
  <si>
    <t>DEPARTAMENTO</t>
  </si>
  <si>
    <t>PROVINCIA</t>
  </si>
  <si>
    <t>MUNICIPIO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</si>
  <si>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</si>
  <si>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</si>
  <si>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</si>
  <si>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</si>
  <si>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</si>
  <si>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</si>
  <si>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</si>
  <si>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</si>
  <si>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Zudáñez</t>
  </si>
  <si>
    <t>Zudañez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</si>
  <si>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</si>
  <si>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</si>
  <si>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</si>
  <si>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</si>
  <si>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</si>
  <si>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</si>
  <si>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</si>
  <si>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</si>
  <si>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</si>
  <si>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</si>
  <si>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</si>
  <si>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</si>
  <si>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</si>
  <si>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</si>
  <si>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</si>
  <si>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</si>
  <si>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</si>
  <si>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</si>
  <si>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</si>
  <si>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</si>
  <si>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</si>
  <si>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</si>
  <si>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</si>
  <si>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</si>
  <si>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</si>
  <si>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</si>
  <si>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</si>
  <si>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</si>
  <si>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</si>
  <si>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</si>
  <si>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</si>
  <si>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</si>
  <si>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</si>
  <si>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</si>
  <si>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</si>
  <si>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</si>
  <si>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</si>
  <si>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</si>
  <si>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</si>
  <si>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</si>
  <si>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</si>
  <si>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</si>
  <si>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</si>
  <si>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</si>
  <si>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</si>
  <si>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</si>
  <si>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</si>
  <si>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</si>
  <si>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</si>
  <si>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</si>
  <si>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</si>
  <si>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</si>
  <si>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</si>
  <si>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</si>
  <si>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</si>
  <si>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</si>
  <si>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</si>
  <si>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</si>
  <si>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</si>
  <si>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</si>
  <si>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</si>
  <si>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</si>
  <si>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</si>
  <si>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</si>
  <si>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</si>
  <si>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</si>
  <si>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</si>
  <si>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</si>
  <si>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</si>
  <si>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</si>
  <si>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</si>
  <si>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</si>
  <si>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</si>
  <si>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</si>
  <si>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</si>
  <si>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</si>
  <si>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</si>
  <si>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</si>
  <si>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</si>
  <si>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</si>
  <si>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</si>
  <si>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</si>
  <si>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</si>
  <si>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</si>
  <si>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</si>
  <si>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</si>
  <si>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</si>
  <si>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</si>
  <si>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</si>
  <si>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</si>
  <si>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</si>
  <si>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</si>
  <si>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</si>
  <si>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</si>
  <si>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</si>
  <si>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</si>
  <si>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</si>
  <si>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</si>
  <si>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</si>
  <si>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</si>
  <si>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</si>
  <si>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</si>
  <si>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</si>
  <si>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</si>
  <si>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</si>
  <si>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</si>
  <si>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</si>
  <si>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</si>
  <si>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</si>
  <si>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</si>
  <si>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</si>
  <si>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</si>
  <si>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</si>
  <si>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</si>
  <si>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</si>
  <si>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</si>
  <si>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</si>
  <si>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</si>
  <si>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</si>
  <si>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</si>
  <si>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</si>
  <si>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</si>
  <si>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</si>
  <si>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</si>
  <si>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</si>
  <si>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</si>
  <si>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</si>
  <si>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</si>
  <si>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</si>
  <si>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</si>
  <si>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</si>
  <si>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</si>
  <si>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</si>
  <si>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</si>
  <si>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</si>
  <si>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</si>
  <si>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</si>
  <si>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</si>
  <si>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</si>
  <si>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</si>
  <si>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</si>
  <si>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</si>
  <si>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</si>
  <si>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</si>
  <si>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</si>
  <si>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</si>
  <si>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</si>
  <si>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</si>
  <si>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</si>
  <si>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</si>
  <si>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</si>
  <si>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</si>
  <si>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</si>
  <si>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</si>
  <si>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</si>
  <si>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</si>
  <si>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</si>
  <si>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</si>
  <si>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</si>
  <si>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</si>
  <si>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</si>
  <si>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</si>
  <si>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</si>
  <si>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</si>
  <si>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</si>
  <si>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</si>
  <si>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</si>
  <si>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</si>
  <si>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</si>
  <si>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</si>
  <si>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</si>
  <si>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</si>
  <si>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</si>
  <si>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</si>
  <si>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</si>
  <si>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</si>
  <si>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</si>
  <si>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</si>
  <si>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</si>
  <si>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</si>
  <si>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</si>
  <si>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</si>
  <si>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</si>
  <si>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</si>
  <si>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</si>
  <si>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</si>
  <si>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</si>
  <si>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</si>
  <si>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</si>
  <si>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</si>
  <si>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</si>
  <si>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</si>
  <si>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</si>
  <si>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</si>
  <si>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</si>
  <si>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</si>
  <si>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</si>
  <si>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</si>
  <si>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</si>
  <si>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</si>
  <si>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</si>
  <si>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</si>
  <si>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</si>
  <si>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</si>
  <si>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</si>
  <si>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</si>
  <si>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</si>
  <si>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</si>
  <si>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</si>
  <si>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</si>
  <si>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</si>
  <si>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</si>
  <si>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</si>
  <si>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</si>
  <si>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</si>
  <si>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</si>
  <si>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</si>
  <si>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</si>
  <si>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</si>
  <si>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</si>
  <si>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</si>
  <si>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</si>
  <si>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</si>
  <si>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</si>
  <si>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</si>
  <si>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</si>
  <si>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</si>
  <si>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</si>
  <si>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</si>
  <si>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</si>
  <si>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</si>
  <si>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</si>
  <si>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</si>
  <si>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</si>
  <si>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</si>
  <si>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</si>
  <si>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</si>
  <si>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</si>
  <si>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</si>
  <si>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</si>
  <si>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</si>
  <si>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</si>
  <si>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</si>
  <si>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</si>
  <si>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</si>
  <si>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</si>
  <si>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</si>
  <si>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</si>
  <si>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</si>
  <si>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</si>
  <si>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</si>
  <si>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</si>
  <si>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</si>
  <si>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</si>
  <si>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</si>
  <si>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</si>
  <si>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</si>
  <si>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</si>
  <si>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</si>
  <si>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</si>
  <si>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</si>
  <si>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</si>
  <si>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</si>
  <si>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</si>
  <si>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</si>
  <si>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</si>
  <si>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</si>
  <si>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</si>
  <si>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</si>
  <si>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</si>
  <si>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</si>
  <si>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</si>
  <si>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</si>
  <si>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</si>
  <si>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</si>
  <si>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</si>
  <si>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</si>
  <si>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</si>
  <si>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</si>
  <si>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</si>
  <si>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</si>
  <si>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</si>
  <si>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</si>
  <si>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</si>
  <si>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</si>
  <si>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</si>
  <si>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</si>
  <si>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</si>
  <si>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</si>
  <si>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</si>
  <si>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</si>
  <si>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</si>
  <si>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</si>
  <si>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</si>
  <si>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</si>
  <si>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</si>
  <si>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</si>
  <si>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</si>
  <si>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</si>
  <si>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</si>
  <si>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</si>
  <si>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</si>
  <si>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</si>
  <si>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</si>
  <si>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</si>
  <si>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</si>
  <si>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</si>
  <si>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</si>
  <si>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</si>
  <si>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</si>
  <si>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</si>
  <si>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</si>
  <si>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</si>
  <si>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</si>
  <si>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</si>
  <si>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</si>
  <si>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</si>
  <si>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</si>
  <si>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</si>
  <si>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</si>
  <si>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</si>
  <si>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</si>
  <si>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</si>
  <si>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</si>
  <si>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</si>
  <si>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</si>
  <si>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</si>
  <si>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</si>
  <si>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</si>
  <si>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</si>
  <si>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</si>
  <si>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</si>
  <si>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</si>
  <si>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</si>
  <si>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</si>
  <si>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</si>
  <si>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</si>
  <si>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</si>
  <si>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</si>
  <si>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</si>
  <si>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</si>
  <si>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</si>
  <si>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</si>
  <si>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</si>
  <si>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</si>
  <si>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</si>
  <si>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</si>
  <si>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</si>
  <si>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</si>
  <si>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</si>
  <si>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</si>
  <si>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</si>
  <si>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</si>
  <si>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</si>
  <si>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</si>
  <si>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</si>
  <si>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</si>
  <si>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</si>
  <si>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</si>
  <si>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</si>
  <si>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</si>
  <si>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</si>
  <si>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</si>
  <si>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</si>
  <si>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</si>
  <si>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</si>
  <si>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</si>
  <si>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</si>
  <si>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</si>
  <si>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</si>
  <si>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</si>
  <si>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</si>
  <si>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</si>
  <si>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</si>
  <si>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</si>
  <si>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</si>
  <si>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</si>
  <si>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</si>
  <si>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</si>
  <si>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</si>
  <si>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</si>
  <si>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</si>
  <si>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</si>
  <si>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</si>
  <si>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</si>
  <si>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</si>
  <si>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</si>
  <si>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</si>
  <si>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</si>
  <si>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</si>
  <si>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</si>
  <si>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</si>
  <si>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</si>
  <si>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</si>
  <si>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</si>
  <si>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</si>
  <si>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</si>
  <si>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</si>
  <si>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</si>
  <si>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</si>
  <si>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</si>
  <si>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</si>
  <si>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</si>
  <si>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</si>
  <si>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</si>
  <si>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</si>
  <si>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</si>
  <si>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</si>
  <si>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</si>
  <si>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</si>
  <si>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</si>
  <si>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</si>
  <si>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</si>
  <si>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</si>
  <si>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</si>
  <si>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</si>
  <si>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</si>
  <si>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</si>
  <si>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</si>
  <si>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</si>
  <si>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</si>
  <si>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</si>
  <si>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</si>
  <si>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</si>
  <si>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</si>
  <si>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</si>
  <si>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</si>
  <si>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</si>
  <si>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</si>
  <si>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</si>
  <si>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</si>
  <si>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</si>
  <si>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</si>
  <si>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</si>
  <si>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</si>
  <si>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Abandono escolar de mujeres en secundaria, 2012</t>
  </si>
  <si>
    <t>Abandono escolar de mujeres en secundaria, 2013</t>
  </si>
  <si>
    <t>Abandono escolar de mujeres en secundaria, 2014</t>
  </si>
  <si>
    <t>Abandono escolar de hombres en secundaria, 2012</t>
  </si>
  <si>
    <t>Abandono escolar de hombres en secundaria, 2013</t>
  </si>
  <si>
    <t>Abandono escolar de hombres en secundaria, 2014</t>
  </si>
  <si>
    <t>Paridad de género en abandono escolar en secundaria, 2012</t>
  </si>
  <si>
    <t>Paridad de género en abandono escolar en secundaria, 2013</t>
  </si>
  <si>
    <t>Paridad de género en abandono escolar en secundaria, 2014</t>
  </si>
  <si>
    <t>Promedio de paridad de género en abandono escolar en secundaria, 2012 - 2014</t>
  </si>
  <si>
    <t>Abandono escolar de mujeres en secundaria, 2022</t>
  </si>
  <si>
    <t>Abandono escolar de mujeres en secundaria, 2023</t>
  </si>
  <si>
    <t>Abandono escolar de mujeres en secundaria, 2024</t>
  </si>
  <si>
    <t>Abandono escolar de hombres en secundaria, 2022</t>
  </si>
  <si>
    <t>Abandono escolar de hombres en secundaria, 2023</t>
  </si>
  <si>
    <t>Abandono escolar de hombres en secundaria, 2024</t>
  </si>
  <si>
    <t>Paridad de género en abandono escolar en secundaria, 2022</t>
  </si>
  <si>
    <t>Paridad de género en abandono escolar en secundaria, 2023</t>
  </si>
  <si>
    <t>Paridad de género en abandono escolar en secundaria, 2024</t>
  </si>
  <si>
    <t>Promedio de paridad de género en abandono escolar en secundaria, 2022 - 2023</t>
  </si>
  <si>
    <t>Promedio de paridad de género en abandono escolar en secundaria, 2022 - 2024</t>
  </si>
  <si>
    <t>Potosi</t>
  </si>
  <si>
    <t>Bolivia</t>
  </si>
  <si>
    <t>Paridad_de_género_en_abandono_escolar_en_secundaria_prom_2012_2014</t>
  </si>
  <si>
    <t>Paridad_de_género_en_abandono_escolar_en_secundaria_prom_2022_2024</t>
  </si>
  <si>
    <t>Paridad de género en abandono escolar en secundaria</t>
  </si>
  <si>
    <t xml:space="preserve">Gran Chaco </t>
  </si>
  <si>
    <t>Absoluto_2012</t>
  </si>
  <si>
    <t>Absoluto_2024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</si>
</sst>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20376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/>
    <xf numFmtId="165" fontId="1" fillId="0" borderId="0" xfId="0" applyNumberFormat="1" applyFont="1"/>
    <xf numFmtId="4" fontId="1" fillId="0" borderId="1" xfId="0" applyNumberFormat="1" applyFont="1" applyBorder="1"/>
    <xf numFmtId="164" fontId="1" fillId="0" borderId="0" xfId="0" applyNumberFormat="1" applyFont="1"/>
    <xf numFmtId="49" fontId="1" fillId="0" borderId="0" xfId="0" applyNumberFormat="1" applyFont="1"/>
    <xf numFmtId="1" fontId="2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horizontal="right"/>
    </xf>
    <xf numFmtId="165" fontId="3" fillId="0" borderId="0" xfId="0" applyNumberFormat="1" applyFont="1"/>
    <xf numFmtId="0" fontId="0" fillId="0" borderId="2" xfId="0" applyBorder="1" applyAlignment="1">
      <alignment wrapText="1"/>
    </xf>
    <xf numFmtId="0" fontId="6" fillId="7" borderId="2" xfId="0" applyFont="1" applyFill="1" applyBorder="1" applyAlignment="1">
      <alignment wrapText="1"/>
    </xf>
    <xf numFmtId="0" fontId="0" fillId="0" borderId="0" xfId="0" applyAlignment="1">
      <alignment wrapText="1"/>
    </xf>
    <xf numFmtId="1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3" fontId="0" fillId="0" borderId="2" xfId="0" applyNumberFormat="1" applyBorder="1"/>
    <xf numFmtId="0" fontId="1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2" fontId="0" fillId="0" borderId="2" xfId="0" applyNumberFormat="1" applyBorder="1"/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0" fillId="0" borderId="2" xfId="0" applyFill="1" applyBorder="1"/>
    <xf numFmtId="165" fontId="0" fillId="0" borderId="2" xfId="0" applyNumberFormat="1" applyFill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2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AU1001"/>
  <sheetViews>
    <sheetView topLeftCell="V1" workbookViewId="0">
      <selection activeCell="AG16" sqref="AG16"/>
    </sheetView>
  </sheetViews>
  <sheetFormatPr baseColWidth="10" defaultColWidth="12.6640625" defaultRowHeight="15" customHeight="1"/>
  <cols>
    <col min="1" max="1" width="12.6640625" customWidth="1"/>
    <col min="2" max="2" width="16" customWidth="1"/>
    <col min="3" max="6" width="12.6640625" customWidth="1"/>
  </cols>
  <sheetData>
    <row r="1" spans="1:47" ht="114.6" customHeight="1">
      <c r="A1" s="34" t="s">
        <v>0</v>
      </c>
      <c r="B1" s="35" t="s">
        <v>1</v>
      </c>
      <c r="C1" s="35" t="s">
        <v>2</v>
      </c>
      <c r="D1" s="36" t="s">
        <v>3</v>
      </c>
      <c r="E1" s="21" t="s">
        <v>449</v>
      </c>
      <c r="F1" s="21" t="s">
        <v>450</v>
      </c>
      <c r="G1" s="21" t="s">
        <v>451</v>
      </c>
      <c r="H1" s="21" t="s">
        <v>452</v>
      </c>
      <c r="I1" s="21" t="s">
        <v>453</v>
      </c>
      <c r="J1" s="21" t="s">
        <v>454</v>
      </c>
      <c r="K1" s="21" t="s">
        <v>455</v>
      </c>
      <c r="L1" s="21" t="s">
        <v>456</v>
      </c>
      <c r="M1" s="21" t="s">
        <v>457</v>
      </c>
      <c r="N1" s="22" t="s">
        <v>458</v>
      </c>
      <c r="O1" s="21" t="s">
        <v>459</v>
      </c>
      <c r="P1" s="21" t="s">
        <v>460</v>
      </c>
      <c r="Q1" s="21" t="s">
        <v>461</v>
      </c>
      <c r="R1" s="21" t="s">
        <v>462</v>
      </c>
      <c r="S1" s="21" t="s">
        <v>463</v>
      </c>
      <c r="T1" s="21" t="s">
        <v>464</v>
      </c>
      <c r="U1" s="21" t="s">
        <v>465</v>
      </c>
      <c r="V1" s="21" t="s">
        <v>466</v>
      </c>
      <c r="W1" s="21" t="s">
        <v>467</v>
      </c>
      <c r="X1" s="22" t="s">
        <v>468</v>
      </c>
      <c r="Y1" s="23"/>
      <c r="Z1" s="23"/>
      <c r="AA1" s="21" t="s">
        <v>438</v>
      </c>
      <c r="AB1" s="21" t="s">
        <v>449</v>
      </c>
      <c r="AC1" s="21" t="s">
        <v>450</v>
      </c>
      <c r="AD1" s="21" t="s">
        <v>451</v>
      </c>
      <c r="AE1" s="21" t="s">
        <v>452</v>
      </c>
      <c r="AF1" s="21" t="s">
        <v>453</v>
      </c>
      <c r="AG1" s="21" t="s">
        <v>454</v>
      </c>
      <c r="AH1" s="21" t="s">
        <v>455</v>
      </c>
      <c r="AI1" s="21" t="s">
        <v>456</v>
      </c>
      <c r="AJ1" s="21" t="s">
        <v>457</v>
      </c>
      <c r="AK1" s="22" t="s">
        <v>458</v>
      </c>
      <c r="AL1" s="21" t="s">
        <v>459</v>
      </c>
      <c r="AM1" s="21" t="s">
        <v>460</v>
      </c>
      <c r="AN1" s="21" t="s">
        <v>461</v>
      </c>
      <c r="AO1" s="21" t="s">
        <v>462</v>
      </c>
      <c r="AP1" s="21" t="s">
        <v>463</v>
      </c>
      <c r="AQ1" s="21" t="s">
        <v>464</v>
      </c>
      <c r="AR1" s="21" t="s">
        <v>465</v>
      </c>
      <c r="AS1" s="21" t="s">
        <v>466</v>
      </c>
      <c r="AT1" s="21" t="s">
        <v>467</v>
      </c>
      <c r="AU1" s="22" t="s">
        <v>469</v>
      </c>
    </row>
    <row r="2" spans="1:47" ht="15.75" customHeight="1">
      <c r="A2" s="1">
        <v>10101</v>
      </c>
      <c r="B2" s="2" t="s">
        <v>4</v>
      </c>
      <c r="C2" s="2" t="s">
        <v>5</v>
      </c>
      <c r="D2" s="3" t="s">
        <v>6</v>
      </c>
      <c r="E2" s="24">
        <v>710</v>
      </c>
      <c r="F2" s="24">
        <v>805</v>
      </c>
      <c r="G2" s="24">
        <v>710</v>
      </c>
      <c r="H2" s="24">
        <v>1298</v>
      </c>
      <c r="I2" s="24">
        <v>1368</v>
      </c>
      <c r="J2" s="24">
        <v>1268</v>
      </c>
      <c r="K2" s="25">
        <f>+H2/E2</f>
        <v>1.828169014084507</v>
      </c>
      <c r="L2" s="25">
        <f t="shared" ref="L2:M17" si="0">+I2/F2</f>
        <v>1.6993788819875777</v>
      </c>
      <c r="M2" s="25">
        <f t="shared" si="0"/>
        <v>1.7859154929577465</v>
      </c>
      <c r="N2" s="25">
        <f>AVERAGE(K2:M2)</f>
        <v>1.7711544630099436</v>
      </c>
      <c r="O2" s="24">
        <v>422</v>
      </c>
      <c r="P2" s="24">
        <v>353</v>
      </c>
      <c r="Q2" s="24">
        <v>338</v>
      </c>
      <c r="R2" s="24">
        <v>624</v>
      </c>
      <c r="S2" s="24">
        <v>522</v>
      </c>
      <c r="T2" s="24">
        <v>444</v>
      </c>
      <c r="U2" s="25">
        <f>+R2/O2</f>
        <v>1.4786729857819905</v>
      </c>
      <c r="V2" s="25">
        <f>+S2/P2</f>
        <v>1.4787535410764872</v>
      </c>
      <c r="W2" s="25">
        <f>+T2/Q2</f>
        <v>1.3136094674556213</v>
      </c>
      <c r="X2" s="25">
        <f>AVERAGE(U2:W2)</f>
        <v>1.4236786647713664</v>
      </c>
      <c r="AA2" s="26" t="s">
        <v>4</v>
      </c>
      <c r="AB2" s="25">
        <v>1672</v>
      </c>
      <c r="AC2" s="25">
        <v>1699</v>
      </c>
      <c r="AD2" s="25">
        <v>1699</v>
      </c>
      <c r="AE2" s="25">
        <v>2621</v>
      </c>
      <c r="AF2" s="25">
        <v>2612</v>
      </c>
      <c r="AG2" s="25">
        <v>2612</v>
      </c>
      <c r="AH2" s="25">
        <f>+AE2/AB2</f>
        <v>1.5675837320574162</v>
      </c>
      <c r="AI2" s="25">
        <f t="shared" ref="AI2:AJ11" si="1">+AF2/AC2</f>
        <v>1.5373749264273102</v>
      </c>
      <c r="AJ2" s="25">
        <f t="shared" si="1"/>
        <v>1.5373749264273102</v>
      </c>
      <c r="AK2" s="25">
        <f>AVERAGE(AH2:AJ2)</f>
        <v>1.5474445283040119</v>
      </c>
      <c r="AL2" s="25">
        <v>933</v>
      </c>
      <c r="AM2" s="25">
        <v>779</v>
      </c>
      <c r="AN2" s="27">
        <f>+SUM(Q2:Q30)</f>
        <v>764</v>
      </c>
      <c r="AO2" s="25">
        <v>1339</v>
      </c>
      <c r="AP2" s="25">
        <v>1118</v>
      </c>
      <c r="AQ2" s="27">
        <f>+SUM(T2:T30)</f>
        <v>1071</v>
      </c>
      <c r="AR2" s="25">
        <f>+AO2/AL2</f>
        <v>1.435155412647374</v>
      </c>
      <c r="AS2" s="25">
        <f>+AP2/AM2</f>
        <v>1.4351732991014121</v>
      </c>
      <c r="AT2" s="25">
        <f>+AQ2/AN2</f>
        <v>1.4018324607329844</v>
      </c>
      <c r="AU2" s="25">
        <f>AVERAGE(AR2:AT2)</f>
        <v>1.42405372416059</v>
      </c>
    </row>
    <row r="3" spans="1:47" ht="15.75" customHeight="1">
      <c r="A3" s="1">
        <v>10102</v>
      </c>
      <c r="B3" s="2" t="s">
        <v>4</v>
      </c>
      <c r="C3" s="2" t="s">
        <v>5</v>
      </c>
      <c r="D3" s="3" t="s">
        <v>7</v>
      </c>
      <c r="E3" s="24">
        <v>27</v>
      </c>
      <c r="F3" s="24">
        <v>20</v>
      </c>
      <c r="G3" s="24">
        <v>16</v>
      </c>
      <c r="H3" s="24">
        <v>26</v>
      </c>
      <c r="I3" s="24">
        <v>24</v>
      </c>
      <c r="J3" s="24">
        <v>25</v>
      </c>
      <c r="K3" s="25">
        <f t="shared" ref="K3:M66" si="2">+H3/E3</f>
        <v>0.96296296296296291</v>
      </c>
      <c r="L3" s="25">
        <f t="shared" si="0"/>
        <v>1.2</v>
      </c>
      <c r="M3" s="25">
        <f t="shared" si="0"/>
        <v>1.5625</v>
      </c>
      <c r="N3" s="25">
        <f t="shared" ref="N3:N66" si="3">AVERAGE(K3:M3)</f>
        <v>1.2418209876543209</v>
      </c>
      <c r="O3" s="24">
        <v>11</v>
      </c>
      <c r="P3" s="24">
        <v>10</v>
      </c>
      <c r="Q3" s="24">
        <v>11</v>
      </c>
      <c r="R3" s="24">
        <v>11</v>
      </c>
      <c r="S3" s="24">
        <v>14</v>
      </c>
      <c r="T3" s="24">
        <v>13</v>
      </c>
      <c r="U3" s="25">
        <f t="shared" ref="U3:W66" si="4">+R3/O3</f>
        <v>1</v>
      </c>
      <c r="V3" s="25">
        <f t="shared" si="4"/>
        <v>1.4</v>
      </c>
      <c r="W3" s="25">
        <f t="shared" si="4"/>
        <v>1.1818181818181819</v>
      </c>
      <c r="X3" s="25">
        <f t="shared" ref="X3:X66" si="5">AVERAGE(U3:W3)</f>
        <v>1.1939393939393941</v>
      </c>
      <c r="AA3" s="26" t="s">
        <v>42</v>
      </c>
      <c r="AB3" s="25">
        <v>6443</v>
      </c>
      <c r="AC3" s="25">
        <v>6611</v>
      </c>
      <c r="AD3" s="25">
        <v>7251</v>
      </c>
      <c r="AE3" s="25">
        <v>9129</v>
      </c>
      <c r="AF3" s="25">
        <v>8949</v>
      </c>
      <c r="AG3" s="25">
        <v>10317</v>
      </c>
      <c r="AH3" s="25">
        <f t="shared" ref="AH3:AH11" si="6">+AE3/AB3</f>
        <v>1.4168865435356202</v>
      </c>
      <c r="AI3" s="25">
        <f t="shared" si="1"/>
        <v>1.3536530025714717</v>
      </c>
      <c r="AJ3" s="25">
        <f t="shared" si="1"/>
        <v>1.4228382292097641</v>
      </c>
      <c r="AK3" s="25">
        <f t="shared" ref="AK3:AK12" si="7">AVERAGE(AH3:AJ3)</f>
        <v>1.3977925917722853</v>
      </c>
      <c r="AL3" s="25">
        <v>2802</v>
      </c>
      <c r="AM3" s="25">
        <v>2630</v>
      </c>
      <c r="AN3" s="27">
        <f>+SUM(Q31:Q117)</f>
        <v>2715</v>
      </c>
      <c r="AO3" s="25">
        <v>3730</v>
      </c>
      <c r="AP3" s="25">
        <v>3698</v>
      </c>
      <c r="AQ3" s="27">
        <f>+SUM(T31:T117)</f>
        <v>4007</v>
      </c>
      <c r="AR3" s="25">
        <f t="shared" ref="AR3:AT11" si="8">+AO3/AL3</f>
        <v>1.3311920057102069</v>
      </c>
      <c r="AS3" s="25">
        <f t="shared" si="8"/>
        <v>1.4060836501901142</v>
      </c>
      <c r="AT3" s="25">
        <f t="shared" si="8"/>
        <v>1.4758747697974217</v>
      </c>
      <c r="AU3" s="25">
        <f t="shared" ref="AU3:AU12" si="9">AVERAGE(AR3:AT3)</f>
        <v>1.4043834752325808</v>
      </c>
    </row>
    <row r="4" spans="1:47" ht="15.75" customHeight="1">
      <c r="A4" s="1">
        <v>10103</v>
      </c>
      <c r="B4" s="2" t="s">
        <v>4</v>
      </c>
      <c r="C4" s="2" t="s">
        <v>5</v>
      </c>
      <c r="D4" s="3" t="s">
        <v>8</v>
      </c>
      <c r="E4" s="24">
        <v>91</v>
      </c>
      <c r="F4" s="24">
        <v>97</v>
      </c>
      <c r="G4" s="24">
        <v>81</v>
      </c>
      <c r="H4" s="24">
        <v>115</v>
      </c>
      <c r="I4" s="24">
        <v>137</v>
      </c>
      <c r="J4" s="24">
        <v>163</v>
      </c>
      <c r="K4" s="25">
        <f t="shared" si="2"/>
        <v>1.2637362637362637</v>
      </c>
      <c r="L4" s="25">
        <f t="shared" si="0"/>
        <v>1.4123711340206186</v>
      </c>
      <c r="M4" s="25">
        <f t="shared" si="0"/>
        <v>2.0123456790123457</v>
      </c>
      <c r="N4" s="25">
        <f t="shared" si="3"/>
        <v>1.5628176922564094</v>
      </c>
      <c r="O4" s="24">
        <v>28</v>
      </c>
      <c r="P4" s="24">
        <v>25</v>
      </c>
      <c r="Q4" s="24">
        <v>37</v>
      </c>
      <c r="R4" s="24">
        <v>43</v>
      </c>
      <c r="S4" s="24">
        <v>47</v>
      </c>
      <c r="T4" s="24">
        <v>41</v>
      </c>
      <c r="U4" s="25">
        <f t="shared" si="4"/>
        <v>1.5357142857142858</v>
      </c>
      <c r="V4" s="25">
        <f t="shared" si="4"/>
        <v>1.88</v>
      </c>
      <c r="W4" s="25">
        <f t="shared" si="4"/>
        <v>1.1081081081081081</v>
      </c>
      <c r="X4" s="25">
        <f t="shared" si="5"/>
        <v>1.5079407979407977</v>
      </c>
      <c r="AA4" s="26" t="s">
        <v>149</v>
      </c>
      <c r="AB4" s="25">
        <v>4811</v>
      </c>
      <c r="AC4" s="25">
        <v>5287</v>
      </c>
      <c r="AD4" s="25">
        <v>5102</v>
      </c>
      <c r="AE4" s="25">
        <v>7504</v>
      </c>
      <c r="AF4" s="25">
        <v>8073</v>
      </c>
      <c r="AG4" s="25">
        <v>8143</v>
      </c>
      <c r="AH4" s="25">
        <f t="shared" si="6"/>
        <v>1.5597588858865101</v>
      </c>
      <c r="AI4" s="25">
        <f t="shared" si="1"/>
        <v>1.5269529033478344</v>
      </c>
      <c r="AJ4" s="25">
        <f t="shared" si="1"/>
        <v>1.5960407683261466</v>
      </c>
      <c r="AK4" s="25">
        <f t="shared" si="7"/>
        <v>1.5609175191868303</v>
      </c>
      <c r="AL4" s="25">
        <v>2941</v>
      </c>
      <c r="AM4" s="25">
        <v>2520</v>
      </c>
      <c r="AN4" s="27">
        <f>+SUM(Q118:Q165)</f>
        <v>2343</v>
      </c>
      <c r="AO4" s="25">
        <v>3404</v>
      </c>
      <c r="AP4" s="25">
        <v>3065</v>
      </c>
      <c r="AQ4" s="27">
        <f>+SUM(T118:T165)</f>
        <v>3388</v>
      </c>
      <c r="AR4" s="25">
        <f t="shared" si="8"/>
        <v>1.157429445766746</v>
      </c>
      <c r="AS4" s="25">
        <f t="shared" si="8"/>
        <v>1.2162698412698412</v>
      </c>
      <c r="AT4" s="25">
        <f t="shared" si="8"/>
        <v>1.4460093896713615</v>
      </c>
      <c r="AU4" s="25">
        <f t="shared" si="9"/>
        <v>1.2732362255693161</v>
      </c>
    </row>
    <row r="5" spans="1:47" ht="15.75" customHeight="1">
      <c r="A5" s="1">
        <v>10201</v>
      </c>
      <c r="B5" s="2" t="s">
        <v>4</v>
      </c>
      <c r="C5" s="2" t="s">
        <v>9</v>
      </c>
      <c r="D5" s="3" t="s">
        <v>10</v>
      </c>
      <c r="E5" s="24">
        <v>37</v>
      </c>
      <c r="F5" s="24">
        <v>70</v>
      </c>
      <c r="G5" s="24">
        <v>46</v>
      </c>
      <c r="H5" s="24">
        <v>67</v>
      </c>
      <c r="I5" s="24">
        <v>67</v>
      </c>
      <c r="J5" s="24">
        <v>47</v>
      </c>
      <c r="K5" s="25">
        <f t="shared" si="2"/>
        <v>1.8108108108108107</v>
      </c>
      <c r="L5" s="25">
        <f t="shared" si="0"/>
        <v>0.95714285714285718</v>
      </c>
      <c r="M5" s="25">
        <f t="shared" si="0"/>
        <v>1.0217391304347827</v>
      </c>
      <c r="N5" s="25">
        <f t="shared" si="3"/>
        <v>1.2632309327961502</v>
      </c>
      <c r="O5" s="24">
        <v>12</v>
      </c>
      <c r="P5" s="24">
        <v>11</v>
      </c>
      <c r="Q5" s="24">
        <v>16</v>
      </c>
      <c r="R5" s="24">
        <v>21</v>
      </c>
      <c r="S5" s="24">
        <v>12</v>
      </c>
      <c r="T5" s="24">
        <v>27</v>
      </c>
      <c r="U5" s="25">
        <f t="shared" si="4"/>
        <v>1.75</v>
      </c>
      <c r="V5" s="25">
        <f t="shared" si="4"/>
        <v>1.0909090909090908</v>
      </c>
      <c r="W5" s="25">
        <f t="shared" si="4"/>
        <v>1.6875</v>
      </c>
      <c r="X5" s="25">
        <f t="shared" si="5"/>
        <v>1.509469696969697</v>
      </c>
      <c r="AA5" s="26" t="s">
        <v>204</v>
      </c>
      <c r="AB5" s="25">
        <v>1100</v>
      </c>
      <c r="AC5" s="25">
        <v>1374</v>
      </c>
      <c r="AD5" s="25">
        <v>1324</v>
      </c>
      <c r="AE5" s="25">
        <v>1563</v>
      </c>
      <c r="AF5" s="25">
        <v>2006</v>
      </c>
      <c r="AG5" s="25">
        <v>2110</v>
      </c>
      <c r="AH5" s="25">
        <f t="shared" si="6"/>
        <v>1.4209090909090909</v>
      </c>
      <c r="AI5" s="25">
        <f t="shared" si="1"/>
        <v>1.4599708879184863</v>
      </c>
      <c r="AJ5" s="25">
        <f t="shared" si="1"/>
        <v>1.5936555891238671</v>
      </c>
      <c r="AK5" s="25">
        <f t="shared" si="7"/>
        <v>1.4915118559838147</v>
      </c>
      <c r="AL5" s="25">
        <v>688</v>
      </c>
      <c r="AM5" s="25">
        <v>636</v>
      </c>
      <c r="AN5" s="27">
        <f>+SUM(Q166:Q200)</f>
        <v>578</v>
      </c>
      <c r="AO5" s="25">
        <v>826</v>
      </c>
      <c r="AP5" s="25">
        <v>733</v>
      </c>
      <c r="AQ5" s="27">
        <f>+SUM(T166:T200)</f>
        <v>795</v>
      </c>
      <c r="AR5" s="25">
        <f t="shared" si="8"/>
        <v>1.2005813953488371</v>
      </c>
      <c r="AS5" s="25">
        <f t="shared" si="8"/>
        <v>1.1525157232704402</v>
      </c>
      <c r="AT5" s="25">
        <f t="shared" si="8"/>
        <v>1.3754325259515572</v>
      </c>
      <c r="AU5" s="25">
        <f t="shared" si="9"/>
        <v>1.2428432148569446</v>
      </c>
    </row>
    <row r="6" spans="1:47" ht="15.75" customHeight="1">
      <c r="A6" s="1">
        <v>10202</v>
      </c>
      <c r="B6" s="2" t="s">
        <v>4</v>
      </c>
      <c r="C6" s="2" t="s">
        <v>9</v>
      </c>
      <c r="D6" s="3" t="s">
        <v>11</v>
      </c>
      <c r="E6" s="24">
        <v>67</v>
      </c>
      <c r="F6" s="24">
        <v>35</v>
      </c>
      <c r="G6" s="24">
        <v>37</v>
      </c>
      <c r="H6" s="24">
        <v>90</v>
      </c>
      <c r="I6" s="24">
        <v>82</v>
      </c>
      <c r="J6" s="24">
        <v>54</v>
      </c>
      <c r="K6" s="25">
        <f t="shared" si="2"/>
        <v>1.3432835820895523</v>
      </c>
      <c r="L6" s="25">
        <f t="shared" si="0"/>
        <v>2.342857142857143</v>
      </c>
      <c r="M6" s="25">
        <f t="shared" si="0"/>
        <v>1.4594594594594594</v>
      </c>
      <c r="N6" s="25">
        <f t="shared" si="3"/>
        <v>1.7152000614687184</v>
      </c>
      <c r="O6" s="24">
        <v>39</v>
      </c>
      <c r="P6" s="24">
        <v>39</v>
      </c>
      <c r="Q6" s="24">
        <v>24</v>
      </c>
      <c r="R6" s="24">
        <v>50</v>
      </c>
      <c r="S6" s="24">
        <v>53</v>
      </c>
      <c r="T6" s="24">
        <v>49</v>
      </c>
      <c r="U6" s="25">
        <f t="shared" si="4"/>
        <v>1.2820512820512822</v>
      </c>
      <c r="V6" s="25">
        <f t="shared" si="4"/>
        <v>1.358974358974359</v>
      </c>
      <c r="W6" s="25">
        <f t="shared" si="4"/>
        <v>2.0416666666666665</v>
      </c>
      <c r="X6" s="25">
        <f t="shared" si="5"/>
        <v>1.5608974358974361</v>
      </c>
      <c r="AA6" s="26" t="s">
        <v>470</v>
      </c>
      <c r="AB6" s="25">
        <v>3930</v>
      </c>
      <c r="AC6" s="25">
        <v>3998</v>
      </c>
      <c r="AD6" s="25">
        <v>3906</v>
      </c>
      <c r="AE6" s="25">
        <v>5176</v>
      </c>
      <c r="AF6" s="25">
        <v>5351</v>
      </c>
      <c r="AG6" s="25">
        <v>4856</v>
      </c>
      <c r="AH6" s="25">
        <f t="shared" si="6"/>
        <v>1.3170483460559796</v>
      </c>
      <c r="AI6" s="25">
        <f t="shared" si="1"/>
        <v>1.3384192096048024</v>
      </c>
      <c r="AJ6" s="25">
        <f t="shared" si="1"/>
        <v>1.243215565796211</v>
      </c>
      <c r="AK6" s="25">
        <f t="shared" si="7"/>
        <v>1.2995610404856643</v>
      </c>
      <c r="AL6" s="25">
        <v>1556</v>
      </c>
      <c r="AM6" s="25">
        <v>1286</v>
      </c>
      <c r="AN6" s="27">
        <f>+SUM(Q201:Q242)</f>
        <v>1181</v>
      </c>
      <c r="AO6" s="25">
        <v>2010</v>
      </c>
      <c r="AP6" s="25">
        <v>1880</v>
      </c>
      <c r="AQ6" s="27">
        <f>+SUM(T201:T242)</f>
        <v>1686</v>
      </c>
      <c r="AR6" s="25">
        <f t="shared" si="8"/>
        <v>1.2917737789203085</v>
      </c>
      <c r="AS6" s="25">
        <f t="shared" si="8"/>
        <v>1.4618973561430793</v>
      </c>
      <c r="AT6" s="25">
        <f t="shared" si="8"/>
        <v>1.4276037256562235</v>
      </c>
      <c r="AU6" s="25">
        <f t="shared" si="9"/>
        <v>1.393758286906537</v>
      </c>
    </row>
    <row r="7" spans="1:47" ht="15.75" customHeight="1">
      <c r="A7" s="1">
        <v>10301</v>
      </c>
      <c r="B7" s="2" t="s">
        <v>4</v>
      </c>
      <c r="C7" s="2" t="s">
        <v>12</v>
      </c>
      <c r="D7" s="3" t="s">
        <v>13</v>
      </c>
      <c r="E7" s="24">
        <v>10</v>
      </c>
      <c r="F7" s="24">
        <v>16</v>
      </c>
      <c r="G7" s="24">
        <v>23</v>
      </c>
      <c r="H7" s="24">
        <v>19</v>
      </c>
      <c r="I7" s="24">
        <v>23</v>
      </c>
      <c r="J7" s="24">
        <v>46</v>
      </c>
      <c r="K7" s="25">
        <f t="shared" si="2"/>
        <v>1.9</v>
      </c>
      <c r="L7" s="25">
        <f t="shared" si="0"/>
        <v>1.4375</v>
      </c>
      <c r="M7" s="25">
        <f t="shared" si="0"/>
        <v>2</v>
      </c>
      <c r="N7" s="25">
        <f t="shared" si="3"/>
        <v>1.7791666666666668</v>
      </c>
      <c r="O7" s="24">
        <v>13</v>
      </c>
      <c r="P7" s="24">
        <v>2</v>
      </c>
      <c r="Q7" s="24">
        <v>3</v>
      </c>
      <c r="R7" s="24">
        <v>14</v>
      </c>
      <c r="S7" s="24">
        <v>6</v>
      </c>
      <c r="T7" s="24">
        <v>4</v>
      </c>
      <c r="U7" s="25">
        <f t="shared" si="4"/>
        <v>1.0769230769230769</v>
      </c>
      <c r="V7" s="25">
        <f t="shared" si="4"/>
        <v>3</v>
      </c>
      <c r="W7" s="25">
        <f t="shared" si="4"/>
        <v>1.3333333333333333</v>
      </c>
      <c r="X7" s="25">
        <f t="shared" si="5"/>
        <v>1.8034188034188032</v>
      </c>
      <c r="AA7" s="26" t="s">
        <v>307</v>
      </c>
      <c r="AB7" s="25">
        <v>1472</v>
      </c>
      <c r="AC7" s="25">
        <v>1614</v>
      </c>
      <c r="AD7" s="25">
        <v>1323</v>
      </c>
      <c r="AE7" s="25">
        <v>2087</v>
      </c>
      <c r="AF7" s="25">
        <v>2410</v>
      </c>
      <c r="AG7" s="25">
        <v>2165</v>
      </c>
      <c r="AH7" s="25">
        <f t="shared" si="6"/>
        <v>1.4177989130434783</v>
      </c>
      <c r="AI7" s="25">
        <f t="shared" si="1"/>
        <v>1.4931846344485751</v>
      </c>
      <c r="AJ7" s="25">
        <f t="shared" si="1"/>
        <v>1.6364323507180649</v>
      </c>
      <c r="AK7" s="25">
        <f t="shared" si="7"/>
        <v>1.5158052994033728</v>
      </c>
      <c r="AL7" s="25">
        <v>2076</v>
      </c>
      <c r="AM7" s="25">
        <v>1720</v>
      </c>
      <c r="AN7" s="27">
        <f>+SUM(Q243:Q253)</f>
        <v>470</v>
      </c>
      <c r="AO7" s="25">
        <v>734</v>
      </c>
      <c r="AP7" s="25">
        <v>669</v>
      </c>
      <c r="AQ7" s="27">
        <f>+SUM(T243:T253)</f>
        <v>790</v>
      </c>
      <c r="AR7" s="25">
        <f t="shared" si="8"/>
        <v>0.3535645472061657</v>
      </c>
      <c r="AS7" s="25">
        <f t="shared" si="8"/>
        <v>0.38895348837209304</v>
      </c>
      <c r="AT7" s="25">
        <f t="shared" si="8"/>
        <v>1.6808510638297873</v>
      </c>
      <c r="AU7" s="25">
        <f t="shared" si="9"/>
        <v>0.80778969980268212</v>
      </c>
    </row>
    <row r="8" spans="1:47" ht="15.75" customHeight="1">
      <c r="A8" s="1">
        <v>10302</v>
      </c>
      <c r="B8" s="2" t="s">
        <v>4</v>
      </c>
      <c r="C8" s="2" t="s">
        <v>12</v>
      </c>
      <c r="D8" s="3" t="s">
        <v>14</v>
      </c>
      <c r="E8" s="24">
        <v>13</v>
      </c>
      <c r="F8" s="24">
        <v>24</v>
      </c>
      <c r="G8" s="24">
        <v>47</v>
      </c>
      <c r="H8" s="24">
        <v>28</v>
      </c>
      <c r="I8" s="24">
        <v>43</v>
      </c>
      <c r="J8" s="24">
        <v>41</v>
      </c>
      <c r="K8" s="25">
        <f t="shared" si="2"/>
        <v>2.1538461538461537</v>
      </c>
      <c r="L8" s="25">
        <f t="shared" si="0"/>
        <v>1.7916666666666667</v>
      </c>
      <c r="M8" s="25">
        <f t="shared" si="0"/>
        <v>0.87234042553191493</v>
      </c>
      <c r="N8" s="25">
        <f t="shared" si="3"/>
        <v>1.6059510820149117</v>
      </c>
      <c r="O8" s="24">
        <v>7</v>
      </c>
      <c r="P8" s="24">
        <v>10</v>
      </c>
      <c r="Q8" s="24">
        <v>17</v>
      </c>
      <c r="R8" s="24">
        <v>5</v>
      </c>
      <c r="S8" s="24">
        <v>13</v>
      </c>
      <c r="T8" s="24">
        <v>18</v>
      </c>
      <c r="U8" s="25">
        <f t="shared" si="4"/>
        <v>0.7142857142857143</v>
      </c>
      <c r="V8" s="25">
        <f t="shared" si="4"/>
        <v>1.3</v>
      </c>
      <c r="W8" s="25">
        <f t="shared" si="4"/>
        <v>1.0588235294117647</v>
      </c>
      <c r="X8" s="25">
        <f t="shared" si="5"/>
        <v>1.0243697478991596</v>
      </c>
      <c r="AA8" s="26" t="s">
        <v>322</v>
      </c>
      <c r="AB8" s="25">
        <v>7635</v>
      </c>
      <c r="AC8" s="25">
        <v>9157</v>
      </c>
      <c r="AD8" s="25">
        <v>9433</v>
      </c>
      <c r="AE8" s="25">
        <v>11448</v>
      </c>
      <c r="AF8" s="25">
        <v>13582</v>
      </c>
      <c r="AG8" s="25">
        <v>13623</v>
      </c>
      <c r="AH8" s="25">
        <f t="shared" si="6"/>
        <v>1.499410609037328</v>
      </c>
      <c r="AI8" s="25">
        <f t="shared" si="1"/>
        <v>1.4832368679698591</v>
      </c>
      <c r="AJ8" s="25">
        <f t="shared" si="1"/>
        <v>1.444185306901304</v>
      </c>
      <c r="AK8" s="25">
        <f t="shared" si="7"/>
        <v>1.4756109279694971</v>
      </c>
      <c r="AL8" s="25">
        <v>2273</v>
      </c>
      <c r="AM8" s="25">
        <v>2279</v>
      </c>
      <c r="AN8" s="27">
        <f>+SUM(Q254:Q309)</f>
        <v>3856</v>
      </c>
      <c r="AO8" s="25">
        <v>4617</v>
      </c>
      <c r="AP8" s="25">
        <v>4373</v>
      </c>
      <c r="AQ8" s="27">
        <f>+SUM(T254:T309)</f>
        <v>5849</v>
      </c>
      <c r="AR8" s="25">
        <f t="shared" si="8"/>
        <v>2.0312362516498021</v>
      </c>
      <c r="AS8" s="25">
        <f t="shared" si="8"/>
        <v>1.91882404563405</v>
      </c>
      <c r="AT8" s="25">
        <f t="shared" si="8"/>
        <v>1.516856846473029</v>
      </c>
      <c r="AU8" s="25">
        <f t="shared" si="9"/>
        <v>1.8223057145856272</v>
      </c>
    </row>
    <row r="9" spans="1:47" ht="15.75" customHeight="1">
      <c r="A9" s="1">
        <v>10303</v>
      </c>
      <c r="B9" s="2" t="s">
        <v>4</v>
      </c>
      <c r="C9" s="2" t="s">
        <v>12</v>
      </c>
      <c r="D9" s="3" t="s">
        <v>15</v>
      </c>
      <c r="E9" s="24">
        <v>18</v>
      </c>
      <c r="F9" s="24">
        <v>24</v>
      </c>
      <c r="G9" s="24">
        <v>22</v>
      </c>
      <c r="H9" s="24">
        <v>41</v>
      </c>
      <c r="I9" s="24">
        <v>53</v>
      </c>
      <c r="J9" s="24">
        <v>46</v>
      </c>
      <c r="K9" s="25">
        <f t="shared" si="2"/>
        <v>2.2777777777777777</v>
      </c>
      <c r="L9" s="25">
        <f t="shared" si="0"/>
        <v>2.2083333333333335</v>
      </c>
      <c r="M9" s="25">
        <f t="shared" si="0"/>
        <v>2.0909090909090908</v>
      </c>
      <c r="N9" s="25">
        <f t="shared" si="3"/>
        <v>2.192340067340067</v>
      </c>
      <c r="O9" s="24">
        <v>16</v>
      </c>
      <c r="P9" s="24">
        <v>8</v>
      </c>
      <c r="Q9" s="24">
        <v>5</v>
      </c>
      <c r="R9" s="24">
        <v>23</v>
      </c>
      <c r="S9" s="24">
        <v>18</v>
      </c>
      <c r="T9" s="24">
        <v>15</v>
      </c>
      <c r="U9" s="25">
        <f t="shared" si="4"/>
        <v>1.4375</v>
      </c>
      <c r="V9" s="25">
        <f t="shared" si="4"/>
        <v>2.25</v>
      </c>
      <c r="W9" s="25">
        <f t="shared" si="4"/>
        <v>3</v>
      </c>
      <c r="X9" s="25">
        <f t="shared" si="5"/>
        <v>2.2291666666666665</v>
      </c>
      <c r="AA9" s="26" t="s">
        <v>391</v>
      </c>
      <c r="AB9" s="25">
        <v>2339</v>
      </c>
      <c r="AC9" s="25">
        <v>2850.5</v>
      </c>
      <c r="AD9" s="25">
        <v>2730</v>
      </c>
      <c r="AE9" s="25">
        <v>3282.5</v>
      </c>
      <c r="AF9" s="25">
        <v>3632.5</v>
      </c>
      <c r="AG9" s="25">
        <v>3560</v>
      </c>
      <c r="AH9" s="25">
        <f t="shared" si="6"/>
        <v>1.4033775117571612</v>
      </c>
      <c r="AI9" s="25">
        <f t="shared" si="1"/>
        <v>1.2743378354674619</v>
      </c>
      <c r="AJ9" s="25">
        <f t="shared" si="1"/>
        <v>1.3040293040293041</v>
      </c>
      <c r="AK9" s="25">
        <f t="shared" si="7"/>
        <v>1.3272482170846425</v>
      </c>
      <c r="AL9" s="25">
        <v>539.5</v>
      </c>
      <c r="AM9" s="25">
        <v>530.5</v>
      </c>
      <c r="AN9" s="27">
        <f>+SUM(Q310:Q329)</f>
        <v>1356</v>
      </c>
      <c r="AO9" s="25">
        <v>1534</v>
      </c>
      <c r="AP9" s="25">
        <v>1713.5</v>
      </c>
      <c r="AQ9" s="27">
        <f>+SUM(T310:T329)</f>
        <v>1808</v>
      </c>
      <c r="AR9" s="25">
        <f t="shared" si="8"/>
        <v>2.8433734939759034</v>
      </c>
      <c r="AS9" s="25">
        <f t="shared" si="8"/>
        <v>3.2299717247879358</v>
      </c>
      <c r="AT9" s="25">
        <f t="shared" si="8"/>
        <v>1.3333333333333333</v>
      </c>
      <c r="AU9" s="25">
        <f t="shared" si="9"/>
        <v>2.4688928506990573</v>
      </c>
    </row>
    <row r="10" spans="1:47" ht="15.75" customHeight="1">
      <c r="A10" s="1">
        <v>10304</v>
      </c>
      <c r="B10" s="2" t="s">
        <v>4</v>
      </c>
      <c r="C10" s="2" t="s">
        <v>12</v>
      </c>
      <c r="D10" s="3" t="s">
        <v>16</v>
      </c>
      <c r="E10" s="24">
        <v>16</v>
      </c>
      <c r="F10" s="24">
        <v>32</v>
      </c>
      <c r="G10" s="24">
        <v>37</v>
      </c>
      <c r="H10" s="24">
        <v>33</v>
      </c>
      <c r="I10" s="24">
        <v>27</v>
      </c>
      <c r="J10" s="24">
        <v>43</v>
      </c>
      <c r="K10" s="25">
        <f t="shared" si="2"/>
        <v>2.0625</v>
      </c>
      <c r="L10" s="25">
        <f t="shared" si="0"/>
        <v>0.84375</v>
      </c>
      <c r="M10" s="25">
        <f t="shared" si="0"/>
        <v>1.1621621621621621</v>
      </c>
      <c r="N10" s="25">
        <f t="shared" si="3"/>
        <v>1.3561373873873874</v>
      </c>
      <c r="O10" s="24">
        <v>22</v>
      </c>
      <c r="P10" s="24">
        <v>10</v>
      </c>
      <c r="Q10" s="24">
        <v>6</v>
      </c>
      <c r="R10" s="24">
        <v>46</v>
      </c>
      <c r="S10" s="24">
        <v>15</v>
      </c>
      <c r="T10" s="24">
        <v>16</v>
      </c>
      <c r="U10" s="25">
        <f t="shared" si="4"/>
        <v>2.0909090909090908</v>
      </c>
      <c r="V10" s="25">
        <f t="shared" si="4"/>
        <v>1.5</v>
      </c>
      <c r="W10" s="25">
        <f t="shared" si="4"/>
        <v>2.6666666666666665</v>
      </c>
      <c r="X10" s="25">
        <f t="shared" si="5"/>
        <v>2.0858585858585861</v>
      </c>
      <c r="AA10" s="26" t="s">
        <v>417</v>
      </c>
      <c r="AB10" s="25">
        <v>482</v>
      </c>
      <c r="AC10" s="25">
        <v>590</v>
      </c>
      <c r="AD10" s="25">
        <v>543</v>
      </c>
      <c r="AE10" s="25">
        <v>687</v>
      </c>
      <c r="AF10" s="25">
        <v>836</v>
      </c>
      <c r="AG10" s="25">
        <v>735</v>
      </c>
      <c r="AH10" s="25">
        <f t="shared" si="6"/>
        <v>1.4253112033195021</v>
      </c>
      <c r="AI10" s="25">
        <f t="shared" si="1"/>
        <v>1.416949152542373</v>
      </c>
      <c r="AJ10" s="25">
        <f t="shared" si="1"/>
        <v>1.3535911602209945</v>
      </c>
      <c r="AK10" s="25">
        <f t="shared" si="7"/>
        <v>1.3986171720276233</v>
      </c>
      <c r="AL10" s="25">
        <v>161</v>
      </c>
      <c r="AM10" s="25">
        <v>174</v>
      </c>
      <c r="AN10" s="27">
        <f>+SUM(Q330:Q344)</f>
        <v>416</v>
      </c>
      <c r="AO10" s="25">
        <v>433</v>
      </c>
      <c r="AP10" s="25">
        <v>461</v>
      </c>
      <c r="AQ10" s="27">
        <f>+SUM(T330:T344)</f>
        <v>489</v>
      </c>
      <c r="AR10" s="25">
        <f t="shared" si="8"/>
        <v>2.68944099378882</v>
      </c>
      <c r="AS10" s="25">
        <f t="shared" si="8"/>
        <v>2.6494252873563218</v>
      </c>
      <c r="AT10" s="25">
        <f t="shared" si="8"/>
        <v>1.1754807692307692</v>
      </c>
      <c r="AU10" s="25">
        <f t="shared" si="9"/>
        <v>2.1714490167919704</v>
      </c>
    </row>
    <row r="11" spans="1:47" ht="15.75" customHeight="1">
      <c r="A11" s="1">
        <v>10401</v>
      </c>
      <c r="B11" s="2" t="s">
        <v>4</v>
      </c>
      <c r="C11" s="2" t="s">
        <v>17</v>
      </c>
      <c r="D11" s="3" t="s">
        <v>18</v>
      </c>
      <c r="E11" s="24">
        <v>16</v>
      </c>
      <c r="F11" s="24">
        <v>7</v>
      </c>
      <c r="G11" s="24">
        <v>9</v>
      </c>
      <c r="H11" s="24">
        <v>33</v>
      </c>
      <c r="I11" s="24">
        <v>14</v>
      </c>
      <c r="J11" s="24">
        <v>45</v>
      </c>
      <c r="K11" s="25">
        <f t="shared" si="2"/>
        <v>2.0625</v>
      </c>
      <c r="L11" s="25">
        <f t="shared" si="0"/>
        <v>2</v>
      </c>
      <c r="M11" s="25">
        <f t="shared" si="0"/>
        <v>5</v>
      </c>
      <c r="N11" s="25">
        <f t="shared" si="3"/>
        <v>3.0208333333333335</v>
      </c>
      <c r="O11" s="24">
        <v>4</v>
      </c>
      <c r="P11" s="24">
        <v>12</v>
      </c>
      <c r="Q11" s="24">
        <v>10</v>
      </c>
      <c r="R11" s="24">
        <v>5</v>
      </c>
      <c r="S11" s="24">
        <v>12</v>
      </c>
      <c r="T11" s="24">
        <v>20</v>
      </c>
      <c r="U11" s="25">
        <f t="shared" si="4"/>
        <v>1.25</v>
      </c>
      <c r="V11" s="25">
        <f t="shared" si="4"/>
        <v>1</v>
      </c>
      <c r="W11" s="25">
        <f t="shared" si="4"/>
        <v>2</v>
      </c>
      <c r="X11" s="25">
        <f t="shared" si="5"/>
        <v>1.4166666666666667</v>
      </c>
      <c r="AA11" s="26" t="s">
        <v>471</v>
      </c>
      <c r="AB11" s="25">
        <v>29884</v>
      </c>
      <c r="AC11" s="25">
        <v>33180.5</v>
      </c>
      <c r="AD11" s="25">
        <v>33311</v>
      </c>
      <c r="AE11" s="25">
        <v>43497.5</v>
      </c>
      <c r="AF11" s="25">
        <v>47451.5</v>
      </c>
      <c r="AG11" s="25">
        <v>48121</v>
      </c>
      <c r="AH11" s="25">
        <f t="shared" si="6"/>
        <v>1.4555447731227413</v>
      </c>
      <c r="AI11" s="25">
        <f t="shared" si="1"/>
        <v>1.4301020177513901</v>
      </c>
      <c r="AJ11" s="25">
        <f t="shared" si="1"/>
        <v>1.4445978805799886</v>
      </c>
      <c r="AK11" s="25">
        <f t="shared" si="7"/>
        <v>1.4434148904847068</v>
      </c>
      <c r="AL11" s="25">
        <v>13969.5</v>
      </c>
      <c r="AM11" s="25">
        <v>12554.5</v>
      </c>
      <c r="AN11" s="27">
        <f>SUM(AN2:AN10)</f>
        <v>13679</v>
      </c>
      <c r="AO11" s="25">
        <v>18627</v>
      </c>
      <c r="AP11" s="25">
        <v>17710.5</v>
      </c>
      <c r="AQ11" s="26">
        <f t="shared" ref="AQ11" si="10">SUM(AQ2:AQ10)</f>
        <v>19883</v>
      </c>
      <c r="AR11" s="25">
        <f t="shared" si="8"/>
        <v>1.3334049178567593</v>
      </c>
      <c r="AS11" s="25">
        <f t="shared" si="8"/>
        <v>1.4106893942411087</v>
      </c>
      <c r="AT11" s="25">
        <f>+AQ11/AN11</f>
        <v>1.4535419255793551</v>
      </c>
      <c r="AU11" s="25">
        <f t="shared" si="9"/>
        <v>1.399212079225741</v>
      </c>
    </row>
    <row r="12" spans="1:47" ht="15.75" customHeight="1">
      <c r="A12" s="1">
        <v>10402</v>
      </c>
      <c r="B12" s="2" t="s">
        <v>4</v>
      </c>
      <c r="C12" s="2" t="s">
        <v>17</v>
      </c>
      <c r="D12" s="3" t="s">
        <v>17</v>
      </c>
      <c r="E12" s="24">
        <v>15</v>
      </c>
      <c r="F12" s="24">
        <v>10</v>
      </c>
      <c r="G12" s="24">
        <v>15</v>
      </c>
      <c r="H12" s="24">
        <v>19</v>
      </c>
      <c r="I12" s="24">
        <v>19</v>
      </c>
      <c r="J12" s="24">
        <v>17</v>
      </c>
      <c r="K12" s="25">
        <f t="shared" si="2"/>
        <v>1.2666666666666666</v>
      </c>
      <c r="L12" s="25">
        <f t="shared" si="0"/>
        <v>1.9</v>
      </c>
      <c r="M12" s="25">
        <f t="shared" si="0"/>
        <v>1.1333333333333333</v>
      </c>
      <c r="N12" s="25">
        <f t="shared" si="3"/>
        <v>1.4333333333333333</v>
      </c>
      <c r="O12" s="24">
        <v>12</v>
      </c>
      <c r="P12" s="24">
        <v>8</v>
      </c>
      <c r="Q12" s="24">
        <v>10</v>
      </c>
      <c r="R12" s="24">
        <v>18</v>
      </c>
      <c r="S12" s="24">
        <v>10</v>
      </c>
      <c r="T12" s="24">
        <v>10</v>
      </c>
      <c r="U12" s="25">
        <f t="shared" si="4"/>
        <v>1.5</v>
      </c>
      <c r="V12" s="25">
        <f t="shared" si="4"/>
        <v>1.25</v>
      </c>
      <c r="W12" s="25">
        <f t="shared" si="4"/>
        <v>1</v>
      </c>
      <c r="X12" s="25">
        <f t="shared" si="5"/>
        <v>1.25</v>
      </c>
      <c r="AA12" s="37" t="s">
        <v>475</v>
      </c>
      <c r="AB12" s="24">
        <f>SUM(E246:E248)</f>
        <v>517</v>
      </c>
      <c r="AC12" s="24">
        <f>SUM(F246:F248)</f>
        <v>568</v>
      </c>
      <c r="AD12" s="24">
        <f>SUM(G246:G248)</f>
        <v>497</v>
      </c>
      <c r="AE12" s="24">
        <f>SUM(H246:H248)</f>
        <v>784</v>
      </c>
      <c r="AF12" s="24">
        <f>SUM(I246:I248)</f>
        <v>840</v>
      </c>
      <c r="AG12" s="24">
        <f>SUM(J246:J248)</f>
        <v>759</v>
      </c>
      <c r="AH12" s="38">
        <f>AE12/AB12</f>
        <v>1.516441005802708</v>
      </c>
      <c r="AI12" s="38">
        <f t="shared" ref="AI12:AJ12" si="11">AF12/AC12</f>
        <v>1.4788732394366197</v>
      </c>
      <c r="AJ12" s="38">
        <f t="shared" si="11"/>
        <v>1.5271629778672031</v>
      </c>
      <c r="AK12" s="25">
        <f t="shared" si="7"/>
        <v>1.507492407702177</v>
      </c>
      <c r="AL12" s="24">
        <f>SUM(O246:O248)</f>
        <v>190</v>
      </c>
      <c r="AM12" s="24">
        <f>SUM(P246:P248)</f>
        <v>157</v>
      </c>
      <c r="AN12" s="24">
        <f>SUM(Q246:Q248)</f>
        <v>148</v>
      </c>
      <c r="AO12" s="24">
        <f>SUM(R246:R248)</f>
        <v>284</v>
      </c>
      <c r="AP12" s="24">
        <f>SUM(S246:S248)</f>
        <v>251</v>
      </c>
      <c r="AQ12" s="24">
        <f>SUM(T246:T248)</f>
        <v>264</v>
      </c>
      <c r="AR12" s="38">
        <f>AO12/AL12</f>
        <v>1.4947368421052631</v>
      </c>
      <c r="AS12" s="38">
        <f t="shared" ref="AS12:AT12" si="12">AP12/AM12</f>
        <v>1.5987261146496816</v>
      </c>
      <c r="AT12" s="38">
        <f t="shared" si="12"/>
        <v>1.7837837837837838</v>
      </c>
      <c r="AU12" s="25">
        <f t="shared" si="9"/>
        <v>1.6257489135129095</v>
      </c>
    </row>
    <row r="13" spans="1:47" ht="15.75" customHeight="1">
      <c r="A13" s="1">
        <v>10403</v>
      </c>
      <c r="B13" s="2" t="s">
        <v>4</v>
      </c>
      <c r="C13" s="2" t="s">
        <v>17</v>
      </c>
      <c r="D13" s="3" t="s">
        <v>19</v>
      </c>
      <c r="E13" s="24">
        <v>23</v>
      </c>
      <c r="F13" s="24">
        <v>19</v>
      </c>
      <c r="G13" s="24">
        <v>25</v>
      </c>
      <c r="H13" s="24">
        <v>45</v>
      </c>
      <c r="I13" s="24">
        <v>30</v>
      </c>
      <c r="J13" s="24">
        <v>14</v>
      </c>
      <c r="K13" s="25">
        <f t="shared" si="2"/>
        <v>1.9565217391304348</v>
      </c>
      <c r="L13" s="25">
        <f t="shared" si="0"/>
        <v>1.5789473684210527</v>
      </c>
      <c r="M13" s="25">
        <f t="shared" si="0"/>
        <v>0.56000000000000005</v>
      </c>
      <c r="N13" s="25">
        <f t="shared" si="3"/>
        <v>1.3651563691838291</v>
      </c>
      <c r="O13" s="24">
        <v>8</v>
      </c>
      <c r="P13" s="24">
        <v>5</v>
      </c>
      <c r="Q13" s="24">
        <v>11</v>
      </c>
      <c r="R13" s="24">
        <v>18</v>
      </c>
      <c r="S13" s="24">
        <v>4</v>
      </c>
      <c r="T13" s="24">
        <v>6</v>
      </c>
      <c r="U13" s="25">
        <f t="shared" si="4"/>
        <v>2.25</v>
      </c>
      <c r="V13" s="25">
        <f t="shared" si="4"/>
        <v>0.8</v>
      </c>
      <c r="W13" s="25">
        <f t="shared" si="4"/>
        <v>0.54545454545454541</v>
      </c>
      <c r="X13" s="25">
        <f t="shared" si="5"/>
        <v>1.1984848484848485</v>
      </c>
    </row>
    <row r="14" spans="1:47" ht="15.75" customHeight="1">
      <c r="A14" s="1">
        <v>10404</v>
      </c>
      <c r="B14" s="2" t="s">
        <v>4</v>
      </c>
      <c r="C14" s="2" t="s">
        <v>17</v>
      </c>
      <c r="D14" s="3" t="s">
        <v>20</v>
      </c>
      <c r="E14" s="24">
        <v>12</v>
      </c>
      <c r="F14" s="24">
        <v>15</v>
      </c>
      <c r="G14" s="24">
        <v>4</v>
      </c>
      <c r="H14" s="24">
        <v>12</v>
      </c>
      <c r="I14" s="24">
        <v>11</v>
      </c>
      <c r="J14" s="24">
        <v>6</v>
      </c>
      <c r="K14" s="25">
        <f t="shared" si="2"/>
        <v>1</v>
      </c>
      <c r="L14" s="25">
        <f t="shared" si="0"/>
        <v>0.73333333333333328</v>
      </c>
      <c r="M14" s="25">
        <f t="shared" si="0"/>
        <v>1.5</v>
      </c>
      <c r="N14" s="25">
        <f t="shared" si="3"/>
        <v>1.0777777777777777</v>
      </c>
      <c r="O14" s="24">
        <v>3</v>
      </c>
      <c r="P14" s="24">
        <v>2</v>
      </c>
      <c r="Q14" s="24">
        <v>0</v>
      </c>
      <c r="R14" s="24">
        <v>4</v>
      </c>
      <c r="S14" s="24">
        <v>6</v>
      </c>
      <c r="T14" s="24">
        <v>2</v>
      </c>
      <c r="U14" s="25">
        <f t="shared" si="4"/>
        <v>1.3333333333333333</v>
      </c>
      <c r="V14" s="25">
        <f t="shared" si="4"/>
        <v>3</v>
      </c>
      <c r="W14" s="25"/>
      <c r="X14" s="25">
        <f t="shared" si="5"/>
        <v>2.1666666666666665</v>
      </c>
    </row>
    <row r="15" spans="1:47" ht="15.75" customHeight="1">
      <c r="A15" s="1">
        <v>10405</v>
      </c>
      <c r="B15" s="2" t="s">
        <v>4</v>
      </c>
      <c r="C15" s="2" t="s">
        <v>17</v>
      </c>
      <c r="D15" s="3" t="s">
        <v>21</v>
      </c>
      <c r="E15" s="24">
        <v>3</v>
      </c>
      <c r="F15" s="24">
        <v>6</v>
      </c>
      <c r="G15" s="24">
        <v>2</v>
      </c>
      <c r="H15" s="24">
        <v>9</v>
      </c>
      <c r="I15" s="24">
        <v>6</v>
      </c>
      <c r="J15" s="24">
        <v>2</v>
      </c>
      <c r="K15" s="25">
        <f t="shared" si="2"/>
        <v>3</v>
      </c>
      <c r="L15" s="25">
        <f t="shared" si="0"/>
        <v>1</v>
      </c>
      <c r="M15" s="25">
        <f t="shared" si="0"/>
        <v>1</v>
      </c>
      <c r="N15" s="25">
        <f t="shared" si="3"/>
        <v>1.6666666666666667</v>
      </c>
      <c r="O15" s="24">
        <v>2</v>
      </c>
      <c r="P15" s="24">
        <v>1</v>
      </c>
      <c r="Q15" s="24">
        <v>0</v>
      </c>
      <c r="R15" s="24">
        <v>6</v>
      </c>
      <c r="S15" s="24">
        <v>4</v>
      </c>
      <c r="T15" s="24">
        <v>5</v>
      </c>
      <c r="U15" s="25">
        <f t="shared" si="4"/>
        <v>3</v>
      </c>
      <c r="V15" s="25">
        <f t="shared" si="4"/>
        <v>4</v>
      </c>
      <c r="W15" s="25"/>
      <c r="X15" s="25">
        <f t="shared" si="5"/>
        <v>3.5</v>
      </c>
    </row>
    <row r="16" spans="1:47" ht="15.75" customHeight="1">
      <c r="A16" s="1">
        <v>10501</v>
      </c>
      <c r="B16" s="2" t="s">
        <v>4</v>
      </c>
      <c r="C16" s="2" t="s">
        <v>22</v>
      </c>
      <c r="D16" s="3" t="s">
        <v>23</v>
      </c>
      <c r="E16" s="24">
        <v>60</v>
      </c>
      <c r="F16" s="24">
        <v>98</v>
      </c>
      <c r="G16" s="24">
        <v>43</v>
      </c>
      <c r="H16" s="24">
        <v>101</v>
      </c>
      <c r="I16" s="24">
        <v>123</v>
      </c>
      <c r="J16" s="24">
        <v>90</v>
      </c>
      <c r="K16" s="25">
        <f t="shared" si="2"/>
        <v>1.6833333333333333</v>
      </c>
      <c r="L16" s="25">
        <f t="shared" si="0"/>
        <v>1.2551020408163265</v>
      </c>
      <c r="M16" s="25">
        <f t="shared" si="0"/>
        <v>2.0930232558139537</v>
      </c>
      <c r="N16" s="25">
        <f t="shared" si="3"/>
        <v>1.6771528766545378</v>
      </c>
      <c r="O16" s="24">
        <v>26</v>
      </c>
      <c r="P16" s="24">
        <v>25</v>
      </c>
      <c r="Q16" s="24">
        <v>15</v>
      </c>
      <c r="R16" s="24">
        <v>33</v>
      </c>
      <c r="S16" s="24">
        <v>34</v>
      </c>
      <c r="T16" s="24">
        <v>38</v>
      </c>
      <c r="U16" s="25">
        <f t="shared" si="4"/>
        <v>1.2692307692307692</v>
      </c>
      <c r="V16" s="25">
        <f t="shared" si="4"/>
        <v>1.36</v>
      </c>
      <c r="W16" s="25">
        <f t="shared" si="4"/>
        <v>2.5333333333333332</v>
      </c>
      <c r="X16" s="25">
        <f t="shared" si="5"/>
        <v>1.7208547008547008</v>
      </c>
    </row>
    <row r="17" spans="1:24" ht="15.75" customHeight="1">
      <c r="A17" s="1">
        <v>10502</v>
      </c>
      <c r="B17" s="2" t="s">
        <v>4</v>
      </c>
      <c r="C17" s="2" t="s">
        <v>22</v>
      </c>
      <c r="D17" s="3" t="s">
        <v>24</v>
      </c>
      <c r="E17" s="24">
        <v>38</v>
      </c>
      <c r="F17" s="24">
        <v>51</v>
      </c>
      <c r="G17" s="24">
        <v>48</v>
      </c>
      <c r="H17" s="24">
        <v>80</v>
      </c>
      <c r="I17" s="24">
        <v>108</v>
      </c>
      <c r="J17" s="24">
        <v>77</v>
      </c>
      <c r="K17" s="25">
        <f t="shared" si="2"/>
        <v>2.1052631578947367</v>
      </c>
      <c r="L17" s="25">
        <f t="shared" si="0"/>
        <v>2.1176470588235294</v>
      </c>
      <c r="M17" s="25">
        <f t="shared" si="0"/>
        <v>1.6041666666666667</v>
      </c>
      <c r="N17" s="25">
        <f t="shared" si="3"/>
        <v>1.942358961128311</v>
      </c>
      <c r="O17" s="24">
        <v>14</v>
      </c>
      <c r="P17" s="24">
        <v>8</v>
      </c>
      <c r="Q17" s="24">
        <v>18</v>
      </c>
      <c r="R17" s="24">
        <v>16</v>
      </c>
      <c r="S17" s="24">
        <v>12</v>
      </c>
      <c r="T17" s="24">
        <v>24</v>
      </c>
      <c r="U17" s="25">
        <f t="shared" si="4"/>
        <v>1.1428571428571428</v>
      </c>
      <c r="V17" s="25">
        <f t="shared" si="4"/>
        <v>1.5</v>
      </c>
      <c r="W17" s="25">
        <f t="shared" si="4"/>
        <v>1.3333333333333333</v>
      </c>
      <c r="X17" s="25">
        <f t="shared" si="5"/>
        <v>1.3253968253968254</v>
      </c>
    </row>
    <row r="18" spans="1:24" ht="15.75" customHeight="1">
      <c r="A18" s="1">
        <v>10601</v>
      </c>
      <c r="B18" s="2" t="s">
        <v>4</v>
      </c>
      <c r="C18" s="2" t="s">
        <v>25</v>
      </c>
      <c r="D18" s="3" t="s">
        <v>26</v>
      </c>
      <c r="E18" s="24">
        <v>33</v>
      </c>
      <c r="F18" s="24">
        <v>67</v>
      </c>
      <c r="G18" s="24">
        <v>43</v>
      </c>
      <c r="H18" s="24">
        <v>42</v>
      </c>
      <c r="I18" s="24">
        <v>64</v>
      </c>
      <c r="J18" s="24">
        <v>62</v>
      </c>
      <c r="K18" s="25">
        <f t="shared" si="2"/>
        <v>1.2727272727272727</v>
      </c>
      <c r="L18" s="25">
        <f t="shared" si="2"/>
        <v>0.95522388059701491</v>
      </c>
      <c r="M18" s="25">
        <f t="shared" si="2"/>
        <v>1.441860465116279</v>
      </c>
      <c r="N18" s="25">
        <f t="shared" si="3"/>
        <v>1.2232705394801888</v>
      </c>
      <c r="O18" s="24">
        <v>33</v>
      </c>
      <c r="P18" s="24">
        <v>28</v>
      </c>
      <c r="Q18" s="24">
        <v>29</v>
      </c>
      <c r="R18" s="24">
        <v>53</v>
      </c>
      <c r="S18" s="24">
        <v>34</v>
      </c>
      <c r="T18" s="24">
        <v>48</v>
      </c>
      <c r="U18" s="25">
        <f t="shared" si="4"/>
        <v>1.606060606060606</v>
      </c>
      <c r="V18" s="25">
        <f t="shared" si="4"/>
        <v>1.2142857142857142</v>
      </c>
      <c r="W18" s="25">
        <f t="shared" si="4"/>
        <v>1.6551724137931034</v>
      </c>
      <c r="X18" s="25">
        <f t="shared" si="5"/>
        <v>1.4918395780464744</v>
      </c>
    </row>
    <row r="19" spans="1:24" ht="15.75" customHeight="1">
      <c r="A19" s="1">
        <v>10602</v>
      </c>
      <c r="B19" s="2" t="s">
        <v>4</v>
      </c>
      <c r="C19" s="2" t="s">
        <v>25</v>
      </c>
      <c r="D19" s="3" t="s">
        <v>25</v>
      </c>
      <c r="E19" s="24">
        <v>17</v>
      </c>
      <c r="F19" s="24">
        <v>24</v>
      </c>
      <c r="G19" s="24">
        <v>28</v>
      </c>
      <c r="H19" s="24">
        <v>28</v>
      </c>
      <c r="I19" s="24">
        <v>42</v>
      </c>
      <c r="J19" s="24">
        <v>28</v>
      </c>
      <c r="K19" s="25">
        <f t="shared" si="2"/>
        <v>1.6470588235294117</v>
      </c>
      <c r="L19" s="25">
        <f t="shared" si="2"/>
        <v>1.75</v>
      </c>
      <c r="M19" s="25">
        <f t="shared" si="2"/>
        <v>1</v>
      </c>
      <c r="N19" s="25">
        <f t="shared" si="3"/>
        <v>1.4656862745098038</v>
      </c>
      <c r="O19" s="24">
        <v>14</v>
      </c>
      <c r="P19" s="24">
        <v>8</v>
      </c>
      <c r="Q19" s="24">
        <v>11</v>
      </c>
      <c r="R19" s="24">
        <v>15</v>
      </c>
      <c r="S19" s="24">
        <v>10</v>
      </c>
      <c r="T19" s="24">
        <v>22</v>
      </c>
      <c r="U19" s="25">
        <f t="shared" si="4"/>
        <v>1.0714285714285714</v>
      </c>
      <c r="V19" s="25">
        <f t="shared" si="4"/>
        <v>1.25</v>
      </c>
      <c r="W19" s="25">
        <f t="shared" si="4"/>
        <v>2</v>
      </c>
      <c r="X19" s="25">
        <f t="shared" si="5"/>
        <v>1.4404761904761905</v>
      </c>
    </row>
    <row r="20" spans="1:24" ht="15.75" customHeight="1">
      <c r="A20" s="1">
        <v>10701</v>
      </c>
      <c r="B20" s="2" t="s">
        <v>4</v>
      </c>
      <c r="C20" s="2" t="s">
        <v>27</v>
      </c>
      <c r="D20" s="3" t="s">
        <v>28</v>
      </c>
      <c r="E20" s="24">
        <v>40</v>
      </c>
      <c r="F20" s="24">
        <v>50</v>
      </c>
      <c r="G20" s="24">
        <v>48</v>
      </c>
      <c r="H20" s="24">
        <v>50</v>
      </c>
      <c r="I20" s="24">
        <v>64</v>
      </c>
      <c r="J20" s="24">
        <v>61</v>
      </c>
      <c r="K20" s="25">
        <f t="shared" si="2"/>
        <v>1.25</v>
      </c>
      <c r="L20" s="25">
        <f t="shared" si="2"/>
        <v>1.28</v>
      </c>
      <c r="M20" s="25">
        <f t="shared" si="2"/>
        <v>1.2708333333333333</v>
      </c>
      <c r="N20" s="25">
        <f t="shared" si="3"/>
        <v>1.2669444444444444</v>
      </c>
      <c r="O20" s="24">
        <v>23</v>
      </c>
      <c r="P20" s="24">
        <v>26</v>
      </c>
      <c r="Q20" s="24">
        <v>15</v>
      </c>
      <c r="R20" s="24">
        <v>31</v>
      </c>
      <c r="S20" s="24">
        <v>29</v>
      </c>
      <c r="T20" s="24">
        <v>22</v>
      </c>
      <c r="U20" s="25">
        <f t="shared" si="4"/>
        <v>1.3478260869565217</v>
      </c>
      <c r="V20" s="25">
        <f t="shared" si="4"/>
        <v>1.1153846153846154</v>
      </c>
      <c r="W20" s="25">
        <f t="shared" si="4"/>
        <v>1.4666666666666666</v>
      </c>
      <c r="X20" s="25">
        <f t="shared" si="5"/>
        <v>1.3099591230026013</v>
      </c>
    </row>
    <row r="21" spans="1:24" ht="15.75" customHeight="1">
      <c r="A21" s="1">
        <v>10702</v>
      </c>
      <c r="B21" s="2" t="s">
        <v>4</v>
      </c>
      <c r="C21" s="2" t="s">
        <v>27</v>
      </c>
      <c r="D21" s="3" t="s">
        <v>29</v>
      </c>
      <c r="E21" s="24">
        <v>173</v>
      </c>
      <c r="F21" s="24">
        <v>138</v>
      </c>
      <c r="G21" s="24">
        <v>153</v>
      </c>
      <c r="H21" s="24">
        <v>132</v>
      </c>
      <c r="I21" s="24">
        <v>149</v>
      </c>
      <c r="J21" s="24">
        <v>192</v>
      </c>
      <c r="K21" s="25">
        <f t="shared" si="2"/>
        <v>0.76300578034682076</v>
      </c>
      <c r="L21" s="25">
        <f t="shared" si="2"/>
        <v>1.0797101449275361</v>
      </c>
      <c r="M21" s="25">
        <f t="shared" si="2"/>
        <v>1.2549019607843137</v>
      </c>
      <c r="N21" s="25">
        <f t="shared" si="3"/>
        <v>1.0325392953528902</v>
      </c>
      <c r="O21" s="24">
        <v>94</v>
      </c>
      <c r="P21" s="24">
        <v>71</v>
      </c>
      <c r="Q21" s="24">
        <v>66</v>
      </c>
      <c r="R21" s="24">
        <v>127</v>
      </c>
      <c r="S21" s="24">
        <v>75</v>
      </c>
      <c r="T21" s="24">
        <v>80</v>
      </c>
      <c r="U21" s="25">
        <f t="shared" si="4"/>
        <v>1.3510638297872339</v>
      </c>
      <c r="V21" s="25">
        <f t="shared" si="4"/>
        <v>1.056338028169014</v>
      </c>
      <c r="W21" s="25">
        <f t="shared" si="4"/>
        <v>1.2121212121212122</v>
      </c>
      <c r="X21" s="25">
        <f t="shared" si="5"/>
        <v>1.20650769002582</v>
      </c>
    </row>
    <row r="22" spans="1:24" ht="15.75" customHeight="1">
      <c r="A22" s="1">
        <v>10703</v>
      </c>
      <c r="B22" s="2" t="s">
        <v>4</v>
      </c>
      <c r="C22" s="2" t="s">
        <v>27</v>
      </c>
      <c r="D22" s="3" t="s">
        <v>30</v>
      </c>
      <c r="E22" s="24">
        <v>119</v>
      </c>
      <c r="F22" s="24">
        <v>117</v>
      </c>
      <c r="G22" s="24">
        <v>52</v>
      </c>
      <c r="H22" s="24">
        <v>152</v>
      </c>
      <c r="I22" s="24">
        <v>137</v>
      </c>
      <c r="J22" s="24">
        <v>50</v>
      </c>
      <c r="K22" s="25">
        <f t="shared" si="2"/>
        <v>1.2773109243697478</v>
      </c>
      <c r="L22" s="25">
        <f t="shared" si="2"/>
        <v>1.170940170940171</v>
      </c>
      <c r="M22" s="25">
        <f t="shared" si="2"/>
        <v>0.96153846153846156</v>
      </c>
      <c r="N22" s="25">
        <f t="shared" si="3"/>
        <v>1.1365965189494602</v>
      </c>
      <c r="O22" s="24">
        <v>25</v>
      </c>
      <c r="P22" s="24">
        <v>31</v>
      </c>
      <c r="Q22" s="24">
        <v>35</v>
      </c>
      <c r="R22" s="24">
        <v>40</v>
      </c>
      <c r="S22" s="24">
        <v>34</v>
      </c>
      <c r="T22" s="24">
        <v>35</v>
      </c>
      <c r="U22" s="25">
        <f t="shared" si="4"/>
        <v>1.6</v>
      </c>
      <c r="V22" s="25">
        <f t="shared" si="4"/>
        <v>1.096774193548387</v>
      </c>
      <c r="W22" s="25">
        <f t="shared" si="4"/>
        <v>1</v>
      </c>
      <c r="X22" s="25">
        <f t="shared" si="5"/>
        <v>1.232258064516129</v>
      </c>
    </row>
    <row r="23" spans="1:24" ht="15.75" customHeight="1">
      <c r="A23" s="1">
        <v>10704</v>
      </c>
      <c r="B23" s="2" t="s">
        <v>4</v>
      </c>
      <c r="C23" s="2" t="s">
        <v>27</v>
      </c>
      <c r="D23" s="3" t="s">
        <v>31</v>
      </c>
      <c r="E23" s="24">
        <v>0</v>
      </c>
      <c r="F23" s="24">
        <v>0</v>
      </c>
      <c r="G23" s="24">
        <v>65</v>
      </c>
      <c r="H23" s="24">
        <v>0</v>
      </c>
      <c r="I23" s="24">
        <v>0</v>
      </c>
      <c r="J23" s="24">
        <v>52</v>
      </c>
      <c r="K23" s="25"/>
      <c r="L23" s="25"/>
      <c r="M23" s="25">
        <f t="shared" si="2"/>
        <v>0.8</v>
      </c>
      <c r="N23" s="25">
        <f t="shared" si="3"/>
        <v>0.8</v>
      </c>
      <c r="O23" s="24">
        <v>43</v>
      </c>
      <c r="P23" s="24">
        <v>35</v>
      </c>
      <c r="Q23" s="24">
        <v>31</v>
      </c>
      <c r="R23" s="24">
        <v>41</v>
      </c>
      <c r="S23" s="24">
        <v>67</v>
      </c>
      <c r="T23" s="24">
        <v>37</v>
      </c>
      <c r="U23" s="25">
        <f t="shared" si="4"/>
        <v>0.95348837209302328</v>
      </c>
      <c r="V23" s="25">
        <f t="shared" si="4"/>
        <v>1.9142857142857144</v>
      </c>
      <c r="W23" s="25">
        <f t="shared" si="4"/>
        <v>1.1935483870967742</v>
      </c>
      <c r="X23" s="25">
        <f t="shared" si="5"/>
        <v>1.3537741578251705</v>
      </c>
    </row>
    <row r="24" spans="1:24" ht="15.75" customHeight="1">
      <c r="A24" s="1">
        <v>10801</v>
      </c>
      <c r="B24" s="2" t="s">
        <v>4</v>
      </c>
      <c r="C24" s="2" t="s">
        <v>32</v>
      </c>
      <c r="D24" s="3" t="s">
        <v>33</v>
      </c>
      <c r="E24" s="24">
        <v>26</v>
      </c>
      <c r="F24" s="24">
        <v>31</v>
      </c>
      <c r="G24" s="24">
        <v>15</v>
      </c>
      <c r="H24" s="24">
        <v>35</v>
      </c>
      <c r="I24" s="24">
        <v>30</v>
      </c>
      <c r="J24" s="24">
        <v>23</v>
      </c>
      <c r="K24" s="25">
        <f t="shared" si="2"/>
        <v>1.3461538461538463</v>
      </c>
      <c r="L24" s="25">
        <f t="shared" si="2"/>
        <v>0.967741935483871</v>
      </c>
      <c r="M24" s="25">
        <f t="shared" si="2"/>
        <v>1.5333333333333334</v>
      </c>
      <c r="N24" s="25">
        <f t="shared" si="3"/>
        <v>1.2824097049903502</v>
      </c>
      <c r="O24" s="24">
        <v>4</v>
      </c>
      <c r="P24" s="24">
        <v>5</v>
      </c>
      <c r="Q24" s="24">
        <v>7</v>
      </c>
      <c r="R24" s="24">
        <v>13</v>
      </c>
      <c r="S24" s="24">
        <v>12</v>
      </c>
      <c r="T24" s="24">
        <v>19</v>
      </c>
      <c r="U24" s="25">
        <f t="shared" si="4"/>
        <v>3.25</v>
      </c>
      <c r="V24" s="25">
        <f t="shared" si="4"/>
        <v>2.4</v>
      </c>
      <c r="W24" s="25">
        <f t="shared" si="4"/>
        <v>2.7142857142857144</v>
      </c>
      <c r="X24" s="25">
        <f t="shared" si="5"/>
        <v>2.788095238095238</v>
      </c>
    </row>
    <row r="25" spans="1:24" ht="15.75" customHeight="1">
      <c r="A25" s="1">
        <v>10901</v>
      </c>
      <c r="B25" s="2" t="s">
        <v>4</v>
      </c>
      <c r="C25" s="2" t="s">
        <v>34</v>
      </c>
      <c r="D25" s="3" t="s">
        <v>35</v>
      </c>
      <c r="E25" s="24">
        <v>3</v>
      </c>
      <c r="F25" s="24">
        <v>7</v>
      </c>
      <c r="G25" s="24">
        <v>6</v>
      </c>
      <c r="H25" s="24">
        <v>6</v>
      </c>
      <c r="I25" s="24">
        <v>11</v>
      </c>
      <c r="J25" s="24">
        <v>8</v>
      </c>
      <c r="K25" s="25">
        <f t="shared" si="2"/>
        <v>2</v>
      </c>
      <c r="L25" s="25">
        <f t="shared" si="2"/>
        <v>1.5714285714285714</v>
      </c>
      <c r="M25" s="25">
        <f t="shared" si="2"/>
        <v>1.3333333333333333</v>
      </c>
      <c r="N25" s="25">
        <f t="shared" si="3"/>
        <v>1.6349206349206347</v>
      </c>
      <c r="O25" s="24">
        <v>4</v>
      </c>
      <c r="P25" s="24">
        <v>0</v>
      </c>
      <c r="Q25" s="24">
        <v>3</v>
      </c>
      <c r="R25" s="24">
        <v>1</v>
      </c>
      <c r="S25" s="24">
        <v>3</v>
      </c>
      <c r="T25" s="24">
        <v>7</v>
      </c>
      <c r="U25" s="25">
        <f t="shared" si="4"/>
        <v>0.25</v>
      </c>
      <c r="V25" s="25"/>
      <c r="W25" s="25">
        <f t="shared" si="4"/>
        <v>2.3333333333333335</v>
      </c>
      <c r="X25" s="25">
        <f t="shared" si="5"/>
        <v>1.2916666666666667</v>
      </c>
    </row>
    <row r="26" spans="1:24" ht="15.75" customHeight="1">
      <c r="A26" s="1">
        <v>10902</v>
      </c>
      <c r="B26" s="2" t="s">
        <v>4</v>
      </c>
      <c r="C26" s="2" t="s">
        <v>34</v>
      </c>
      <c r="D26" s="3" t="s">
        <v>36</v>
      </c>
      <c r="E26" s="24">
        <v>62</v>
      </c>
      <c r="F26" s="24">
        <v>68</v>
      </c>
      <c r="G26" s="24">
        <v>65</v>
      </c>
      <c r="H26" s="24">
        <v>88</v>
      </c>
      <c r="I26" s="24">
        <v>81</v>
      </c>
      <c r="J26" s="24">
        <v>94</v>
      </c>
      <c r="K26" s="25">
        <f t="shared" si="2"/>
        <v>1.4193548387096775</v>
      </c>
      <c r="L26" s="25">
        <f t="shared" si="2"/>
        <v>1.1911764705882353</v>
      </c>
      <c r="M26" s="25">
        <f t="shared" si="2"/>
        <v>1.4461538461538461</v>
      </c>
      <c r="N26" s="25">
        <f t="shared" si="3"/>
        <v>1.3522283851505863</v>
      </c>
      <c r="O26" s="24">
        <v>27</v>
      </c>
      <c r="P26" s="24">
        <v>26</v>
      </c>
      <c r="Q26" s="24">
        <v>26</v>
      </c>
      <c r="R26" s="24">
        <v>30</v>
      </c>
      <c r="S26" s="24">
        <v>42</v>
      </c>
      <c r="T26" s="24">
        <v>31</v>
      </c>
      <c r="U26" s="25">
        <f t="shared" si="4"/>
        <v>1.1111111111111112</v>
      </c>
      <c r="V26" s="25">
        <f t="shared" si="4"/>
        <v>1.6153846153846154</v>
      </c>
      <c r="W26" s="25">
        <f t="shared" si="4"/>
        <v>1.1923076923076923</v>
      </c>
      <c r="X26" s="25">
        <f t="shared" si="5"/>
        <v>1.3062678062678064</v>
      </c>
    </row>
    <row r="27" spans="1:24" ht="15.75" customHeight="1">
      <c r="A27" s="1">
        <v>10903</v>
      </c>
      <c r="B27" s="2" t="s">
        <v>4</v>
      </c>
      <c r="C27" s="2" t="s">
        <v>34</v>
      </c>
      <c r="D27" s="3" t="s">
        <v>37</v>
      </c>
      <c r="E27" s="24">
        <v>5</v>
      </c>
      <c r="F27" s="24">
        <v>5</v>
      </c>
      <c r="G27" s="24">
        <v>2</v>
      </c>
      <c r="H27" s="24">
        <v>17</v>
      </c>
      <c r="I27" s="24">
        <v>14</v>
      </c>
      <c r="J27" s="24">
        <v>3</v>
      </c>
      <c r="K27" s="25">
        <f t="shared" si="2"/>
        <v>3.4</v>
      </c>
      <c r="L27" s="25">
        <f t="shared" si="2"/>
        <v>2.8</v>
      </c>
      <c r="M27" s="25">
        <f t="shared" si="2"/>
        <v>1.5</v>
      </c>
      <c r="N27" s="25">
        <f t="shared" si="3"/>
        <v>2.5666666666666664</v>
      </c>
      <c r="O27" s="24">
        <v>2</v>
      </c>
      <c r="P27" s="24">
        <v>0</v>
      </c>
      <c r="Q27" s="24"/>
      <c r="R27" s="24">
        <v>8</v>
      </c>
      <c r="S27" s="24">
        <v>0</v>
      </c>
      <c r="T27" s="24"/>
      <c r="U27" s="25">
        <f t="shared" si="4"/>
        <v>4</v>
      </c>
      <c r="V27" s="25"/>
      <c r="W27" s="25"/>
      <c r="X27" s="25">
        <f t="shared" si="5"/>
        <v>4</v>
      </c>
    </row>
    <row r="28" spans="1:24" ht="15.75" customHeight="1">
      <c r="A28" s="1">
        <v>11001</v>
      </c>
      <c r="B28" s="2" t="s">
        <v>4</v>
      </c>
      <c r="C28" s="2" t="s">
        <v>38</v>
      </c>
      <c r="D28" s="3" t="s">
        <v>39</v>
      </c>
      <c r="E28" s="24">
        <v>5</v>
      </c>
      <c r="F28" s="24">
        <v>18</v>
      </c>
      <c r="G28" s="24">
        <v>21</v>
      </c>
      <c r="H28" s="24">
        <v>10</v>
      </c>
      <c r="I28" s="24">
        <v>25</v>
      </c>
      <c r="J28" s="24">
        <v>22</v>
      </c>
      <c r="K28" s="25">
        <f t="shared" si="2"/>
        <v>2</v>
      </c>
      <c r="L28" s="25">
        <f t="shared" si="2"/>
        <v>1.3888888888888888</v>
      </c>
      <c r="M28" s="25">
        <f t="shared" si="2"/>
        <v>1.0476190476190477</v>
      </c>
      <c r="N28" s="25">
        <f t="shared" si="3"/>
        <v>1.4788359788359788</v>
      </c>
      <c r="O28" s="24">
        <v>14</v>
      </c>
      <c r="P28" s="24">
        <v>15</v>
      </c>
      <c r="Q28" s="24">
        <v>6</v>
      </c>
      <c r="R28" s="24">
        <v>24</v>
      </c>
      <c r="S28" s="24">
        <v>18</v>
      </c>
      <c r="T28" s="24">
        <v>9</v>
      </c>
      <c r="U28" s="25">
        <f t="shared" si="4"/>
        <v>1.7142857142857142</v>
      </c>
      <c r="V28" s="25">
        <f t="shared" si="4"/>
        <v>1.2</v>
      </c>
      <c r="W28" s="25">
        <f t="shared" si="4"/>
        <v>1.5</v>
      </c>
      <c r="X28" s="25">
        <f t="shared" si="5"/>
        <v>1.4714285714285715</v>
      </c>
    </row>
    <row r="29" spans="1:24" ht="15.75" customHeight="1">
      <c r="A29" s="1">
        <v>11002</v>
      </c>
      <c r="B29" s="2" t="s">
        <v>4</v>
      </c>
      <c r="C29" s="2" t="s">
        <v>38</v>
      </c>
      <c r="D29" s="3" t="s">
        <v>40</v>
      </c>
      <c r="E29" s="24">
        <v>8</v>
      </c>
      <c r="F29" s="24">
        <v>7</v>
      </c>
      <c r="G29" s="24">
        <v>12</v>
      </c>
      <c r="H29" s="24">
        <v>10</v>
      </c>
      <c r="I29" s="24">
        <v>27</v>
      </c>
      <c r="J29" s="24">
        <v>16</v>
      </c>
      <c r="K29" s="25">
        <f t="shared" si="2"/>
        <v>1.25</v>
      </c>
      <c r="L29" s="25">
        <f t="shared" si="2"/>
        <v>3.8571428571428572</v>
      </c>
      <c r="M29" s="25">
        <f t="shared" si="2"/>
        <v>1.3333333333333333</v>
      </c>
      <c r="N29" s="25">
        <f t="shared" si="3"/>
        <v>2.1468253968253967</v>
      </c>
      <c r="O29" s="24">
        <v>2</v>
      </c>
      <c r="P29" s="24">
        <v>2</v>
      </c>
      <c r="Q29" s="24">
        <v>1</v>
      </c>
      <c r="R29" s="24">
        <v>6</v>
      </c>
      <c r="S29" s="24">
        <v>3</v>
      </c>
      <c r="T29" s="24">
        <v>4</v>
      </c>
      <c r="U29" s="25">
        <f t="shared" si="4"/>
        <v>3</v>
      </c>
      <c r="V29" s="25">
        <f t="shared" si="4"/>
        <v>1.5</v>
      </c>
      <c r="W29" s="25">
        <f t="shared" si="4"/>
        <v>4</v>
      </c>
      <c r="X29" s="25">
        <f t="shared" si="5"/>
        <v>2.8333333333333335</v>
      </c>
    </row>
    <row r="30" spans="1:24" ht="15.75" customHeight="1">
      <c r="A30" s="1">
        <v>11003</v>
      </c>
      <c r="B30" s="2" t="s">
        <v>4</v>
      </c>
      <c r="C30" s="2" t="s">
        <v>38</v>
      </c>
      <c r="D30" s="3" t="s">
        <v>41</v>
      </c>
      <c r="E30" s="24">
        <v>25</v>
      </c>
      <c r="F30" s="24">
        <v>28</v>
      </c>
      <c r="G30" s="24">
        <v>24</v>
      </c>
      <c r="H30" s="24">
        <v>35</v>
      </c>
      <c r="I30" s="24">
        <v>33</v>
      </c>
      <c r="J30" s="24">
        <v>17</v>
      </c>
      <c r="K30" s="25">
        <f t="shared" si="2"/>
        <v>1.4</v>
      </c>
      <c r="L30" s="25">
        <f t="shared" si="2"/>
        <v>1.1785714285714286</v>
      </c>
      <c r="M30" s="25">
        <f t="shared" si="2"/>
        <v>0.70833333333333337</v>
      </c>
      <c r="N30" s="25">
        <f t="shared" si="3"/>
        <v>1.0956349206349205</v>
      </c>
      <c r="O30" s="24">
        <v>9</v>
      </c>
      <c r="P30" s="24">
        <v>3</v>
      </c>
      <c r="Q30" s="24">
        <v>13</v>
      </c>
      <c r="R30" s="24">
        <v>13</v>
      </c>
      <c r="S30" s="24">
        <v>9</v>
      </c>
      <c r="T30" s="24">
        <v>25</v>
      </c>
      <c r="U30" s="25">
        <f t="shared" si="4"/>
        <v>1.4444444444444444</v>
      </c>
      <c r="V30" s="25">
        <f t="shared" si="4"/>
        <v>3</v>
      </c>
      <c r="W30" s="25">
        <f t="shared" si="4"/>
        <v>1.9230769230769231</v>
      </c>
      <c r="X30" s="25">
        <f t="shared" si="5"/>
        <v>2.1225071225071228</v>
      </c>
    </row>
    <row r="31" spans="1:24" ht="15.75" customHeight="1">
      <c r="A31" s="1">
        <v>20101</v>
      </c>
      <c r="B31" s="2" t="s">
        <v>42</v>
      </c>
      <c r="C31" s="2" t="s">
        <v>43</v>
      </c>
      <c r="D31" s="3" t="s">
        <v>44</v>
      </c>
      <c r="E31" s="24">
        <v>1347</v>
      </c>
      <c r="F31" s="24">
        <v>1403</v>
      </c>
      <c r="G31" s="24">
        <v>1545</v>
      </c>
      <c r="H31" s="24">
        <v>2171</v>
      </c>
      <c r="I31" s="24">
        <v>2279</v>
      </c>
      <c r="J31" s="24">
        <v>2557</v>
      </c>
      <c r="K31" s="25">
        <f t="shared" si="2"/>
        <v>1.6117297698589459</v>
      </c>
      <c r="L31" s="25">
        <f t="shared" si="2"/>
        <v>1.624376336421953</v>
      </c>
      <c r="M31" s="25">
        <f t="shared" si="2"/>
        <v>1.6550161812297735</v>
      </c>
      <c r="N31" s="25">
        <f t="shared" si="3"/>
        <v>1.6303740958368909</v>
      </c>
      <c r="O31" s="24">
        <v>509</v>
      </c>
      <c r="P31" s="24">
        <v>455</v>
      </c>
      <c r="Q31" s="24">
        <v>523</v>
      </c>
      <c r="R31" s="24">
        <v>759</v>
      </c>
      <c r="S31" s="24">
        <v>679</v>
      </c>
      <c r="T31" s="24">
        <v>732</v>
      </c>
      <c r="U31" s="25">
        <f t="shared" si="4"/>
        <v>1.4911591355599214</v>
      </c>
      <c r="V31" s="25">
        <f t="shared" si="4"/>
        <v>1.4923076923076923</v>
      </c>
      <c r="W31" s="25">
        <f t="shared" si="4"/>
        <v>1.3996175908221797</v>
      </c>
      <c r="X31" s="25">
        <f t="shared" si="5"/>
        <v>1.4610281395632645</v>
      </c>
    </row>
    <row r="32" spans="1:24" ht="15.75" customHeight="1">
      <c r="A32" s="1">
        <v>20102</v>
      </c>
      <c r="B32" s="2" t="s">
        <v>42</v>
      </c>
      <c r="C32" s="2" t="s">
        <v>43</v>
      </c>
      <c r="D32" s="3" t="s">
        <v>45</v>
      </c>
      <c r="E32" s="24">
        <v>31</v>
      </c>
      <c r="F32" s="24">
        <v>75</v>
      </c>
      <c r="G32" s="24">
        <v>58</v>
      </c>
      <c r="H32" s="24">
        <v>48</v>
      </c>
      <c r="I32" s="24">
        <v>86</v>
      </c>
      <c r="J32" s="24">
        <v>86</v>
      </c>
      <c r="K32" s="25">
        <f t="shared" si="2"/>
        <v>1.5483870967741935</v>
      </c>
      <c r="L32" s="25">
        <f t="shared" si="2"/>
        <v>1.1466666666666667</v>
      </c>
      <c r="M32" s="25">
        <f t="shared" si="2"/>
        <v>1.4827586206896552</v>
      </c>
      <c r="N32" s="25">
        <f t="shared" si="3"/>
        <v>1.3926041280435051</v>
      </c>
      <c r="O32" s="24">
        <v>23</v>
      </c>
      <c r="P32" s="24">
        <v>44</v>
      </c>
      <c r="Q32" s="24">
        <v>37</v>
      </c>
      <c r="R32" s="24">
        <v>39</v>
      </c>
      <c r="S32" s="24">
        <v>47</v>
      </c>
      <c r="T32" s="24">
        <v>43</v>
      </c>
      <c r="U32" s="25">
        <f t="shared" si="4"/>
        <v>1.6956521739130435</v>
      </c>
      <c r="V32" s="25">
        <f t="shared" si="4"/>
        <v>1.0681818181818181</v>
      </c>
      <c r="W32" s="25">
        <f t="shared" si="4"/>
        <v>1.1621621621621621</v>
      </c>
      <c r="X32" s="25">
        <f t="shared" si="5"/>
        <v>1.3086653847523413</v>
      </c>
    </row>
    <row r="33" spans="1:24" ht="15.75" customHeight="1">
      <c r="A33" s="1">
        <v>20103</v>
      </c>
      <c r="B33" s="2" t="s">
        <v>42</v>
      </c>
      <c r="C33" s="2" t="s">
        <v>43</v>
      </c>
      <c r="D33" s="3" t="s">
        <v>46</v>
      </c>
      <c r="E33" s="24">
        <v>40</v>
      </c>
      <c r="F33" s="24">
        <v>26</v>
      </c>
      <c r="G33" s="24">
        <v>44</v>
      </c>
      <c r="H33" s="24">
        <v>56</v>
      </c>
      <c r="I33" s="24">
        <v>38</v>
      </c>
      <c r="J33" s="24">
        <v>47</v>
      </c>
      <c r="K33" s="25">
        <f t="shared" si="2"/>
        <v>1.4</v>
      </c>
      <c r="L33" s="25">
        <f t="shared" si="2"/>
        <v>1.4615384615384615</v>
      </c>
      <c r="M33" s="25">
        <f t="shared" si="2"/>
        <v>1.0681818181818181</v>
      </c>
      <c r="N33" s="25">
        <f t="shared" si="3"/>
        <v>1.3099067599067598</v>
      </c>
      <c r="O33" s="24">
        <v>25</v>
      </c>
      <c r="P33" s="24">
        <v>23</v>
      </c>
      <c r="Q33" s="24">
        <v>8</v>
      </c>
      <c r="R33" s="24">
        <v>22</v>
      </c>
      <c r="S33" s="24">
        <v>18</v>
      </c>
      <c r="T33" s="24">
        <v>18</v>
      </c>
      <c r="U33" s="25">
        <f t="shared" si="4"/>
        <v>0.88</v>
      </c>
      <c r="V33" s="25">
        <f t="shared" si="4"/>
        <v>0.78260869565217395</v>
      </c>
      <c r="W33" s="25">
        <f t="shared" si="4"/>
        <v>2.25</v>
      </c>
      <c r="X33" s="25">
        <f t="shared" si="5"/>
        <v>1.3042028985507246</v>
      </c>
    </row>
    <row r="34" spans="1:24" ht="15.75" customHeight="1">
      <c r="A34" s="1">
        <v>20104</v>
      </c>
      <c r="B34" s="2" t="s">
        <v>42</v>
      </c>
      <c r="C34" s="2" t="s">
        <v>43</v>
      </c>
      <c r="D34" s="3" t="s">
        <v>47</v>
      </c>
      <c r="E34" s="24">
        <v>52</v>
      </c>
      <c r="F34" s="24">
        <v>58</v>
      </c>
      <c r="G34" s="24">
        <v>61</v>
      </c>
      <c r="H34" s="24">
        <v>89</v>
      </c>
      <c r="I34" s="24">
        <v>80</v>
      </c>
      <c r="J34" s="24">
        <v>82</v>
      </c>
      <c r="K34" s="25">
        <f t="shared" si="2"/>
        <v>1.7115384615384615</v>
      </c>
      <c r="L34" s="25">
        <f t="shared" si="2"/>
        <v>1.3793103448275863</v>
      </c>
      <c r="M34" s="25">
        <f t="shared" si="2"/>
        <v>1.3442622950819672</v>
      </c>
      <c r="N34" s="25">
        <f t="shared" si="3"/>
        <v>1.4783703671493384</v>
      </c>
      <c r="O34" s="24">
        <v>24</v>
      </c>
      <c r="P34" s="24">
        <v>29</v>
      </c>
      <c r="Q34" s="24">
        <v>32</v>
      </c>
      <c r="R34" s="24">
        <v>36</v>
      </c>
      <c r="S34" s="24">
        <v>35</v>
      </c>
      <c r="T34" s="24">
        <v>45</v>
      </c>
      <c r="U34" s="25">
        <f t="shared" si="4"/>
        <v>1.5</v>
      </c>
      <c r="V34" s="25">
        <f t="shared" si="4"/>
        <v>1.2068965517241379</v>
      </c>
      <c r="W34" s="25">
        <f t="shared" si="4"/>
        <v>1.40625</v>
      </c>
      <c r="X34" s="25">
        <f t="shared" si="5"/>
        <v>1.3710488505747127</v>
      </c>
    </row>
    <row r="35" spans="1:24" ht="15.75" customHeight="1">
      <c r="A35" s="1">
        <v>20105</v>
      </c>
      <c r="B35" s="2" t="s">
        <v>42</v>
      </c>
      <c r="C35" s="2" t="s">
        <v>43</v>
      </c>
      <c r="D35" s="3" t="s">
        <v>48</v>
      </c>
      <c r="E35" s="24">
        <v>1952</v>
      </c>
      <c r="F35" s="24">
        <v>1916</v>
      </c>
      <c r="G35" s="24">
        <v>2138</v>
      </c>
      <c r="H35" s="24">
        <v>3114</v>
      </c>
      <c r="I35" s="24">
        <v>2960</v>
      </c>
      <c r="J35" s="24">
        <v>3429</v>
      </c>
      <c r="K35" s="25">
        <f t="shared" si="2"/>
        <v>1.5952868852459017</v>
      </c>
      <c r="L35" s="25">
        <f t="shared" si="2"/>
        <v>1.5448851774530272</v>
      </c>
      <c r="M35" s="25">
        <f t="shared" si="2"/>
        <v>1.6038353601496727</v>
      </c>
      <c r="N35" s="25">
        <f t="shared" si="3"/>
        <v>1.5813358076162005</v>
      </c>
      <c r="O35" s="24">
        <v>919</v>
      </c>
      <c r="P35" s="24">
        <v>737</v>
      </c>
      <c r="Q35" s="24">
        <v>773</v>
      </c>
      <c r="R35" s="24">
        <v>1256</v>
      </c>
      <c r="S35" s="24">
        <v>1144</v>
      </c>
      <c r="T35" s="24">
        <v>1121</v>
      </c>
      <c r="U35" s="25">
        <f t="shared" si="4"/>
        <v>1.3667029379760609</v>
      </c>
      <c r="V35" s="25">
        <f t="shared" si="4"/>
        <v>1.5522388059701493</v>
      </c>
      <c r="W35" s="25">
        <f t="shared" si="4"/>
        <v>1.4501940491591203</v>
      </c>
      <c r="X35" s="25">
        <f t="shared" si="5"/>
        <v>1.4563785977017769</v>
      </c>
    </row>
    <row r="36" spans="1:24" ht="15.75" customHeight="1">
      <c r="A36" s="1">
        <v>20201</v>
      </c>
      <c r="B36" s="2" t="s">
        <v>42</v>
      </c>
      <c r="C36" s="2" t="s">
        <v>49</v>
      </c>
      <c r="D36" s="3" t="s">
        <v>50</v>
      </c>
      <c r="E36" s="24">
        <v>175</v>
      </c>
      <c r="F36" s="24">
        <v>192</v>
      </c>
      <c r="G36" s="24">
        <v>140</v>
      </c>
      <c r="H36" s="24">
        <v>182</v>
      </c>
      <c r="I36" s="24">
        <v>169</v>
      </c>
      <c r="J36" s="24">
        <v>131</v>
      </c>
      <c r="K36" s="25">
        <f t="shared" si="2"/>
        <v>1.04</v>
      </c>
      <c r="L36" s="25">
        <f t="shared" si="2"/>
        <v>0.88020833333333337</v>
      </c>
      <c r="M36" s="25">
        <f t="shared" si="2"/>
        <v>0.93571428571428572</v>
      </c>
      <c r="N36" s="25">
        <f t="shared" si="3"/>
        <v>0.95197420634920638</v>
      </c>
      <c r="O36" s="24">
        <v>37</v>
      </c>
      <c r="P36" s="24">
        <v>33</v>
      </c>
      <c r="Q36" s="24">
        <v>32</v>
      </c>
      <c r="R36" s="24">
        <v>30</v>
      </c>
      <c r="S36" s="24">
        <v>38</v>
      </c>
      <c r="T36" s="24">
        <v>31</v>
      </c>
      <c r="U36" s="25">
        <f t="shared" si="4"/>
        <v>0.81081081081081086</v>
      </c>
      <c r="V36" s="25">
        <f t="shared" si="4"/>
        <v>1.1515151515151516</v>
      </c>
      <c r="W36" s="25">
        <f t="shared" si="4"/>
        <v>0.96875</v>
      </c>
      <c r="X36" s="25">
        <f t="shared" si="5"/>
        <v>0.97702532077532078</v>
      </c>
    </row>
    <row r="37" spans="1:24" ht="15.75" customHeight="1">
      <c r="A37" s="1">
        <v>20202</v>
      </c>
      <c r="B37" s="2" t="s">
        <v>42</v>
      </c>
      <c r="C37" s="2" t="s">
        <v>49</v>
      </c>
      <c r="D37" s="3" t="s">
        <v>51</v>
      </c>
      <c r="E37" s="24">
        <v>52</v>
      </c>
      <c r="F37" s="24">
        <v>42</v>
      </c>
      <c r="G37" s="24">
        <v>50</v>
      </c>
      <c r="H37" s="24">
        <v>45</v>
      </c>
      <c r="I37" s="24">
        <v>33</v>
      </c>
      <c r="J37" s="24">
        <v>34</v>
      </c>
      <c r="K37" s="25">
        <f t="shared" si="2"/>
        <v>0.86538461538461542</v>
      </c>
      <c r="L37" s="25">
        <f t="shared" si="2"/>
        <v>0.7857142857142857</v>
      </c>
      <c r="M37" s="25">
        <f t="shared" si="2"/>
        <v>0.68</v>
      </c>
      <c r="N37" s="25">
        <f t="shared" si="3"/>
        <v>0.77703296703296709</v>
      </c>
      <c r="O37" s="24">
        <v>14</v>
      </c>
      <c r="P37" s="24">
        <v>16</v>
      </c>
      <c r="Q37" s="24">
        <v>7</v>
      </c>
      <c r="R37" s="24">
        <v>11</v>
      </c>
      <c r="S37" s="24">
        <v>4</v>
      </c>
      <c r="T37" s="24">
        <v>11</v>
      </c>
      <c r="U37" s="25">
        <f t="shared" si="4"/>
        <v>0.7857142857142857</v>
      </c>
      <c r="V37" s="25">
        <f t="shared" si="4"/>
        <v>0.25</v>
      </c>
      <c r="W37" s="25">
        <f t="shared" si="4"/>
        <v>1.5714285714285714</v>
      </c>
      <c r="X37" s="25">
        <f t="shared" si="5"/>
        <v>0.86904761904761896</v>
      </c>
    </row>
    <row r="38" spans="1:24" ht="15.75" customHeight="1">
      <c r="A38" s="1">
        <v>20203</v>
      </c>
      <c r="B38" s="2" t="s">
        <v>42</v>
      </c>
      <c r="C38" s="2" t="s">
        <v>49</v>
      </c>
      <c r="D38" s="3" t="s">
        <v>52</v>
      </c>
      <c r="E38" s="24">
        <v>0</v>
      </c>
      <c r="F38" s="24">
        <v>0</v>
      </c>
      <c r="G38" s="24">
        <v>14</v>
      </c>
      <c r="H38" s="24">
        <v>0</v>
      </c>
      <c r="I38" s="24">
        <v>0</v>
      </c>
      <c r="J38" s="24">
        <v>11</v>
      </c>
      <c r="K38" s="25"/>
      <c r="L38" s="25"/>
      <c r="M38" s="25">
        <f t="shared" si="2"/>
        <v>0.7857142857142857</v>
      </c>
      <c r="N38" s="25">
        <f t="shared" si="3"/>
        <v>0.7857142857142857</v>
      </c>
      <c r="O38" s="24">
        <v>1</v>
      </c>
      <c r="P38" s="24">
        <v>2</v>
      </c>
      <c r="Q38" s="24">
        <v>2</v>
      </c>
      <c r="R38" s="24">
        <v>2</v>
      </c>
      <c r="S38" s="24">
        <v>0</v>
      </c>
      <c r="T38" s="24">
        <v>1</v>
      </c>
      <c r="U38" s="25">
        <f t="shared" si="4"/>
        <v>2</v>
      </c>
      <c r="V38" s="25">
        <f t="shared" si="4"/>
        <v>0</v>
      </c>
      <c r="W38" s="25">
        <f t="shared" si="4"/>
        <v>0.5</v>
      </c>
      <c r="X38" s="25">
        <f t="shared" si="5"/>
        <v>0.83333333333333337</v>
      </c>
    </row>
    <row r="39" spans="1:24" ht="15.75" customHeight="1">
      <c r="A39" s="1">
        <v>20204</v>
      </c>
      <c r="B39" s="2" t="s">
        <v>42</v>
      </c>
      <c r="C39" s="2" t="s">
        <v>49</v>
      </c>
      <c r="D39" s="3" t="s">
        <v>53</v>
      </c>
      <c r="E39" s="24">
        <v>0</v>
      </c>
      <c r="F39" s="24">
        <v>0</v>
      </c>
      <c r="G39" s="24">
        <v>26</v>
      </c>
      <c r="H39" s="24">
        <v>0</v>
      </c>
      <c r="I39" s="24">
        <v>0</v>
      </c>
      <c r="J39" s="24">
        <v>15</v>
      </c>
      <c r="K39" s="25"/>
      <c r="L39" s="25"/>
      <c r="M39" s="25">
        <f t="shared" si="2"/>
        <v>0.57692307692307687</v>
      </c>
      <c r="N39" s="25">
        <f t="shared" si="3"/>
        <v>0.57692307692307687</v>
      </c>
      <c r="O39" s="24">
        <v>1</v>
      </c>
      <c r="P39" s="24">
        <v>6</v>
      </c>
      <c r="Q39" s="24">
        <v>5</v>
      </c>
      <c r="R39" s="24">
        <v>1</v>
      </c>
      <c r="S39" s="24">
        <v>8</v>
      </c>
      <c r="T39" s="24">
        <v>7</v>
      </c>
      <c r="U39" s="25">
        <f t="shared" si="4"/>
        <v>1</v>
      </c>
      <c r="V39" s="25">
        <f t="shared" si="4"/>
        <v>1.3333333333333333</v>
      </c>
      <c r="W39" s="25">
        <f t="shared" si="4"/>
        <v>1.4</v>
      </c>
      <c r="X39" s="25">
        <f t="shared" si="5"/>
        <v>1.2444444444444442</v>
      </c>
    </row>
    <row r="40" spans="1:24" ht="15.75" customHeight="1">
      <c r="A40" s="1">
        <v>20205</v>
      </c>
      <c r="B40" s="2" t="s">
        <v>42</v>
      </c>
      <c r="C40" s="2" t="s">
        <v>49</v>
      </c>
      <c r="D40" s="3" t="s">
        <v>54</v>
      </c>
      <c r="E40" s="24">
        <v>0</v>
      </c>
      <c r="F40" s="24">
        <v>0</v>
      </c>
      <c r="G40" s="24">
        <v>16</v>
      </c>
      <c r="H40" s="24">
        <v>0</v>
      </c>
      <c r="I40" s="24">
        <v>0</v>
      </c>
      <c r="J40" s="24">
        <v>16</v>
      </c>
      <c r="K40" s="25"/>
      <c r="L40" s="25"/>
      <c r="M40" s="25">
        <f t="shared" si="2"/>
        <v>1</v>
      </c>
      <c r="N40" s="25">
        <f t="shared" si="3"/>
        <v>1</v>
      </c>
      <c r="O40" s="24">
        <v>2</v>
      </c>
      <c r="P40" s="24">
        <v>5</v>
      </c>
      <c r="Q40" s="24">
        <v>2</v>
      </c>
      <c r="R40" s="24">
        <v>5</v>
      </c>
      <c r="S40" s="24">
        <v>3</v>
      </c>
      <c r="T40" s="24">
        <v>7</v>
      </c>
      <c r="U40" s="25">
        <f t="shared" si="4"/>
        <v>2.5</v>
      </c>
      <c r="V40" s="25">
        <f t="shared" si="4"/>
        <v>0.6</v>
      </c>
      <c r="W40" s="25">
        <f t="shared" si="4"/>
        <v>3.5</v>
      </c>
      <c r="X40" s="25">
        <f t="shared" si="5"/>
        <v>2.1999999999999997</v>
      </c>
    </row>
    <row r="41" spans="1:24" ht="15.75" customHeight="1">
      <c r="A41" s="1">
        <v>20206</v>
      </c>
      <c r="B41" s="2" t="s">
        <v>42</v>
      </c>
      <c r="C41" s="2" t="s">
        <v>49</v>
      </c>
      <c r="D41" s="3" t="s">
        <v>55</v>
      </c>
      <c r="E41" s="24">
        <v>0</v>
      </c>
      <c r="F41" s="24">
        <v>0</v>
      </c>
      <c r="G41" s="24">
        <v>1</v>
      </c>
      <c r="H41" s="24">
        <v>0</v>
      </c>
      <c r="I41" s="24">
        <v>0</v>
      </c>
      <c r="J41" s="24">
        <v>1</v>
      </c>
      <c r="K41" s="25"/>
      <c r="L41" s="25"/>
      <c r="M41" s="25">
        <f t="shared" si="2"/>
        <v>1</v>
      </c>
      <c r="N41" s="25">
        <f t="shared" si="3"/>
        <v>1</v>
      </c>
      <c r="O41" s="24">
        <v>0</v>
      </c>
      <c r="P41" s="24">
        <v>2</v>
      </c>
      <c r="Q41" s="24">
        <v>0</v>
      </c>
      <c r="R41" s="24">
        <v>1</v>
      </c>
      <c r="S41" s="24">
        <v>0</v>
      </c>
      <c r="T41" s="24">
        <v>1</v>
      </c>
      <c r="U41" s="25"/>
      <c r="V41" s="25">
        <f t="shared" si="4"/>
        <v>0</v>
      </c>
      <c r="W41" s="25"/>
      <c r="X41" s="25">
        <f t="shared" si="5"/>
        <v>0</v>
      </c>
    </row>
    <row r="42" spans="1:24" ht="15.75" customHeight="1">
      <c r="A42" s="1">
        <v>20301</v>
      </c>
      <c r="B42" s="2" t="s">
        <v>42</v>
      </c>
      <c r="C42" s="2" t="s">
        <v>56</v>
      </c>
      <c r="D42" s="3" t="s">
        <v>57</v>
      </c>
      <c r="E42" s="24">
        <v>38</v>
      </c>
      <c r="F42" s="24">
        <v>35</v>
      </c>
      <c r="G42" s="24">
        <v>54</v>
      </c>
      <c r="H42" s="24">
        <v>48</v>
      </c>
      <c r="I42" s="24">
        <v>37</v>
      </c>
      <c r="J42" s="24">
        <v>45</v>
      </c>
      <c r="K42" s="25">
        <f t="shared" si="2"/>
        <v>1.263157894736842</v>
      </c>
      <c r="L42" s="25">
        <f t="shared" si="2"/>
        <v>1.0571428571428572</v>
      </c>
      <c r="M42" s="25">
        <f t="shared" si="2"/>
        <v>0.83333333333333337</v>
      </c>
      <c r="N42" s="25">
        <f t="shared" si="3"/>
        <v>1.0512113617376777</v>
      </c>
      <c r="O42" s="24">
        <v>12</v>
      </c>
      <c r="P42" s="24">
        <v>18</v>
      </c>
      <c r="Q42" s="24">
        <v>17</v>
      </c>
      <c r="R42" s="24">
        <v>15</v>
      </c>
      <c r="S42" s="24">
        <v>13</v>
      </c>
      <c r="T42" s="24">
        <v>12</v>
      </c>
      <c r="U42" s="25">
        <f t="shared" si="4"/>
        <v>1.25</v>
      </c>
      <c r="V42" s="25">
        <f t="shared" si="4"/>
        <v>0.72222222222222221</v>
      </c>
      <c r="W42" s="25">
        <f t="shared" si="4"/>
        <v>0.70588235294117652</v>
      </c>
      <c r="X42" s="25">
        <f t="shared" si="5"/>
        <v>0.89270152505446632</v>
      </c>
    </row>
    <row r="43" spans="1:24" ht="15.75" customHeight="1">
      <c r="A43" s="1">
        <v>20302</v>
      </c>
      <c r="B43" s="2" t="s">
        <v>42</v>
      </c>
      <c r="C43" s="2" t="s">
        <v>56</v>
      </c>
      <c r="D43" s="3" t="s">
        <v>58</v>
      </c>
      <c r="E43" s="24">
        <v>27</v>
      </c>
      <c r="F43" s="24">
        <v>31</v>
      </c>
      <c r="G43" s="24">
        <v>41</v>
      </c>
      <c r="H43" s="24">
        <v>31</v>
      </c>
      <c r="I43" s="24">
        <v>35</v>
      </c>
      <c r="J43" s="24">
        <v>43</v>
      </c>
      <c r="K43" s="25">
        <f t="shared" si="2"/>
        <v>1.1481481481481481</v>
      </c>
      <c r="L43" s="25">
        <f t="shared" si="2"/>
        <v>1.1290322580645162</v>
      </c>
      <c r="M43" s="25">
        <f t="shared" si="2"/>
        <v>1.0487804878048781</v>
      </c>
      <c r="N43" s="25">
        <f t="shared" si="3"/>
        <v>1.1086536313391808</v>
      </c>
      <c r="O43" s="24">
        <v>13</v>
      </c>
      <c r="P43" s="24">
        <v>10</v>
      </c>
      <c r="Q43" s="24">
        <v>10</v>
      </c>
      <c r="R43" s="24">
        <v>15</v>
      </c>
      <c r="S43" s="24">
        <v>15</v>
      </c>
      <c r="T43" s="24">
        <v>24</v>
      </c>
      <c r="U43" s="25">
        <f t="shared" si="4"/>
        <v>1.1538461538461537</v>
      </c>
      <c r="V43" s="25">
        <f t="shared" si="4"/>
        <v>1.5</v>
      </c>
      <c r="W43" s="25">
        <f t="shared" si="4"/>
        <v>2.4</v>
      </c>
      <c r="X43" s="25">
        <f t="shared" si="5"/>
        <v>1.6846153846153846</v>
      </c>
    </row>
    <row r="44" spans="1:24" ht="15.75" customHeight="1">
      <c r="A44" s="1">
        <v>20303</v>
      </c>
      <c r="B44" s="2" t="s">
        <v>42</v>
      </c>
      <c r="C44" s="2" t="s">
        <v>56</v>
      </c>
      <c r="D44" s="3" t="s">
        <v>59</v>
      </c>
      <c r="E44" s="24">
        <v>20</v>
      </c>
      <c r="F44" s="24">
        <v>26</v>
      </c>
      <c r="G44" s="24">
        <v>28</v>
      </c>
      <c r="H44" s="24">
        <v>38</v>
      </c>
      <c r="I44" s="24">
        <v>26</v>
      </c>
      <c r="J44" s="24">
        <v>34</v>
      </c>
      <c r="K44" s="25">
        <f t="shared" si="2"/>
        <v>1.9</v>
      </c>
      <c r="L44" s="25">
        <f t="shared" si="2"/>
        <v>1</v>
      </c>
      <c r="M44" s="25">
        <f t="shared" si="2"/>
        <v>1.2142857142857142</v>
      </c>
      <c r="N44" s="25">
        <f t="shared" si="3"/>
        <v>1.3714285714285712</v>
      </c>
      <c r="O44" s="24">
        <v>4</v>
      </c>
      <c r="P44" s="24">
        <v>9</v>
      </c>
      <c r="Q44" s="24">
        <v>4</v>
      </c>
      <c r="R44" s="24">
        <v>12</v>
      </c>
      <c r="S44" s="24">
        <v>15</v>
      </c>
      <c r="T44" s="24">
        <v>14</v>
      </c>
      <c r="U44" s="25">
        <f t="shared" si="4"/>
        <v>3</v>
      </c>
      <c r="V44" s="25">
        <f t="shared" si="4"/>
        <v>1.6666666666666667</v>
      </c>
      <c r="W44" s="25">
        <f t="shared" si="4"/>
        <v>3.5</v>
      </c>
      <c r="X44" s="25">
        <f t="shared" si="5"/>
        <v>2.7222222222222228</v>
      </c>
    </row>
    <row r="45" spans="1:24" ht="15.75" customHeight="1">
      <c r="A45" s="1">
        <v>20304</v>
      </c>
      <c r="B45" s="2" t="s">
        <v>42</v>
      </c>
      <c r="C45" s="2" t="s">
        <v>56</v>
      </c>
      <c r="D45" s="3" t="s">
        <v>60</v>
      </c>
      <c r="E45" s="24">
        <v>9</v>
      </c>
      <c r="F45" s="24">
        <v>25</v>
      </c>
      <c r="G45" s="24">
        <v>14</v>
      </c>
      <c r="H45" s="24">
        <v>4</v>
      </c>
      <c r="I45" s="24">
        <v>17</v>
      </c>
      <c r="J45" s="24">
        <v>15</v>
      </c>
      <c r="K45" s="25">
        <f t="shared" si="2"/>
        <v>0.44444444444444442</v>
      </c>
      <c r="L45" s="25">
        <f t="shared" si="2"/>
        <v>0.68</v>
      </c>
      <c r="M45" s="25">
        <f t="shared" si="2"/>
        <v>1.0714285714285714</v>
      </c>
      <c r="N45" s="25">
        <f t="shared" si="3"/>
        <v>0.73195767195767181</v>
      </c>
      <c r="O45" s="24">
        <v>4</v>
      </c>
      <c r="P45" s="24">
        <v>2</v>
      </c>
      <c r="Q45" s="24">
        <v>3</v>
      </c>
      <c r="R45" s="24">
        <v>4</v>
      </c>
      <c r="S45" s="24">
        <v>3</v>
      </c>
      <c r="T45" s="24">
        <v>8</v>
      </c>
      <c r="U45" s="25">
        <f t="shared" si="4"/>
        <v>1</v>
      </c>
      <c r="V45" s="25">
        <f t="shared" si="4"/>
        <v>1.5</v>
      </c>
      <c r="W45" s="25">
        <f t="shared" si="4"/>
        <v>2.6666666666666665</v>
      </c>
      <c r="X45" s="25">
        <f t="shared" si="5"/>
        <v>1.7222222222222221</v>
      </c>
    </row>
    <row r="46" spans="1:24" ht="15.75" customHeight="1">
      <c r="A46" s="1">
        <v>20305</v>
      </c>
      <c r="B46" s="2" t="s">
        <v>42</v>
      </c>
      <c r="C46" s="2" t="s">
        <v>56</v>
      </c>
      <c r="D46" s="3" t="s">
        <v>61</v>
      </c>
      <c r="E46" s="24">
        <v>3</v>
      </c>
      <c r="F46" s="24">
        <v>8</v>
      </c>
      <c r="G46" s="24">
        <v>7</v>
      </c>
      <c r="H46" s="24">
        <v>3</v>
      </c>
      <c r="I46" s="24">
        <v>4</v>
      </c>
      <c r="J46" s="24">
        <v>4</v>
      </c>
      <c r="K46" s="25">
        <f t="shared" si="2"/>
        <v>1</v>
      </c>
      <c r="L46" s="25">
        <f t="shared" si="2"/>
        <v>0.5</v>
      </c>
      <c r="M46" s="25">
        <f t="shared" si="2"/>
        <v>0.5714285714285714</v>
      </c>
      <c r="N46" s="25">
        <f t="shared" si="3"/>
        <v>0.69047619047619035</v>
      </c>
      <c r="O46" s="24">
        <v>3</v>
      </c>
      <c r="P46" s="24">
        <v>1</v>
      </c>
      <c r="Q46" s="24">
        <v>4</v>
      </c>
      <c r="R46" s="24">
        <v>2</v>
      </c>
      <c r="S46" s="24">
        <v>2</v>
      </c>
      <c r="T46" s="24">
        <v>0</v>
      </c>
      <c r="U46" s="25">
        <f t="shared" si="4"/>
        <v>0.66666666666666663</v>
      </c>
      <c r="V46" s="25">
        <f t="shared" si="4"/>
        <v>2</v>
      </c>
      <c r="W46" s="25">
        <f t="shared" si="4"/>
        <v>0</v>
      </c>
      <c r="X46" s="25">
        <f t="shared" si="5"/>
        <v>0.88888888888888884</v>
      </c>
    </row>
    <row r="47" spans="1:24" ht="15.75" customHeight="1">
      <c r="A47" s="1">
        <v>20306</v>
      </c>
      <c r="B47" s="2" t="s">
        <v>42</v>
      </c>
      <c r="C47" s="2" t="s">
        <v>56</v>
      </c>
      <c r="D47" s="3" t="s">
        <v>62</v>
      </c>
      <c r="E47" s="24">
        <v>3</v>
      </c>
      <c r="F47" s="24">
        <v>5</v>
      </c>
      <c r="G47" s="24">
        <v>5</v>
      </c>
      <c r="H47" s="24">
        <v>4</v>
      </c>
      <c r="I47" s="24">
        <v>1</v>
      </c>
      <c r="J47" s="24">
        <v>8</v>
      </c>
      <c r="K47" s="25">
        <f t="shared" si="2"/>
        <v>1.3333333333333333</v>
      </c>
      <c r="L47" s="25">
        <f t="shared" si="2"/>
        <v>0.2</v>
      </c>
      <c r="M47" s="25">
        <f t="shared" si="2"/>
        <v>1.6</v>
      </c>
      <c r="N47" s="25">
        <f t="shared" si="3"/>
        <v>1.0444444444444445</v>
      </c>
      <c r="O47" s="24">
        <v>7</v>
      </c>
      <c r="P47" s="24">
        <v>0</v>
      </c>
      <c r="Q47" s="24">
        <v>4</v>
      </c>
      <c r="R47" s="24">
        <v>3</v>
      </c>
      <c r="S47" s="24">
        <v>0</v>
      </c>
      <c r="T47" s="24">
        <v>6</v>
      </c>
      <c r="U47" s="25">
        <f t="shared" si="4"/>
        <v>0.42857142857142855</v>
      </c>
      <c r="V47" s="25"/>
      <c r="W47" s="25">
        <f t="shared" si="4"/>
        <v>1.5</v>
      </c>
      <c r="X47" s="25">
        <f t="shared" si="5"/>
        <v>0.9642857142857143</v>
      </c>
    </row>
    <row r="48" spans="1:24" ht="15.75" customHeight="1">
      <c r="A48" s="1">
        <v>20307</v>
      </c>
      <c r="B48" s="2" t="s">
        <v>42</v>
      </c>
      <c r="C48" s="2" t="s">
        <v>56</v>
      </c>
      <c r="D48" s="3" t="s">
        <v>63</v>
      </c>
      <c r="E48" s="24">
        <v>3</v>
      </c>
      <c r="F48" s="24">
        <v>5</v>
      </c>
      <c r="G48" s="24">
        <v>4</v>
      </c>
      <c r="H48" s="24">
        <v>2</v>
      </c>
      <c r="I48" s="24">
        <v>4</v>
      </c>
      <c r="J48" s="24">
        <v>3</v>
      </c>
      <c r="K48" s="25">
        <f t="shared" si="2"/>
        <v>0.66666666666666663</v>
      </c>
      <c r="L48" s="25">
        <f t="shared" si="2"/>
        <v>0.8</v>
      </c>
      <c r="M48" s="25">
        <f t="shared" si="2"/>
        <v>0.75</v>
      </c>
      <c r="N48" s="25">
        <f t="shared" si="3"/>
        <v>0.73888888888888893</v>
      </c>
      <c r="O48" s="24">
        <v>1</v>
      </c>
      <c r="P48" s="24">
        <v>2</v>
      </c>
      <c r="Q48" s="24">
        <v>1</v>
      </c>
      <c r="R48" s="24">
        <v>0</v>
      </c>
      <c r="S48" s="24">
        <v>0</v>
      </c>
      <c r="T48" s="24">
        <v>2</v>
      </c>
      <c r="U48" s="25">
        <f t="shared" si="4"/>
        <v>0</v>
      </c>
      <c r="V48" s="25">
        <f t="shared" si="4"/>
        <v>0</v>
      </c>
      <c r="W48" s="25">
        <f t="shared" si="4"/>
        <v>2</v>
      </c>
      <c r="X48" s="25">
        <f t="shared" si="5"/>
        <v>0.66666666666666663</v>
      </c>
    </row>
    <row r="49" spans="1:24" ht="15.75" customHeight="1">
      <c r="A49" s="1">
        <v>20308</v>
      </c>
      <c r="B49" s="2" t="s">
        <v>42</v>
      </c>
      <c r="C49" s="2" t="s">
        <v>56</v>
      </c>
      <c r="D49" s="3" t="s">
        <v>64</v>
      </c>
      <c r="E49" s="24">
        <v>16</v>
      </c>
      <c r="F49" s="24">
        <v>30</v>
      </c>
      <c r="G49" s="24">
        <v>31</v>
      </c>
      <c r="H49" s="24">
        <v>21</v>
      </c>
      <c r="I49" s="24">
        <v>32</v>
      </c>
      <c r="J49" s="24">
        <v>20</v>
      </c>
      <c r="K49" s="25">
        <f t="shared" si="2"/>
        <v>1.3125</v>
      </c>
      <c r="L49" s="25">
        <f t="shared" si="2"/>
        <v>1.0666666666666667</v>
      </c>
      <c r="M49" s="25">
        <f t="shared" si="2"/>
        <v>0.64516129032258063</v>
      </c>
      <c r="N49" s="25">
        <f t="shared" si="3"/>
        <v>1.0081093189964156</v>
      </c>
      <c r="O49" s="24">
        <v>4</v>
      </c>
      <c r="P49" s="24">
        <v>8</v>
      </c>
      <c r="Q49" s="24">
        <v>5</v>
      </c>
      <c r="R49" s="24">
        <v>5</v>
      </c>
      <c r="S49" s="24">
        <v>5</v>
      </c>
      <c r="T49" s="24">
        <v>7</v>
      </c>
      <c r="U49" s="25">
        <f t="shared" si="4"/>
        <v>1.25</v>
      </c>
      <c r="V49" s="25">
        <f t="shared" si="4"/>
        <v>0.625</v>
      </c>
      <c r="W49" s="25">
        <f t="shared" si="4"/>
        <v>1.4</v>
      </c>
      <c r="X49" s="25">
        <f t="shared" si="5"/>
        <v>1.0916666666666666</v>
      </c>
    </row>
    <row r="50" spans="1:24" ht="15.75" customHeight="1">
      <c r="A50" s="1">
        <v>20401</v>
      </c>
      <c r="B50" s="2" t="s">
        <v>42</v>
      </c>
      <c r="C50" s="2" t="s">
        <v>65</v>
      </c>
      <c r="D50" s="3" t="s">
        <v>66</v>
      </c>
      <c r="E50" s="24">
        <v>58</v>
      </c>
      <c r="F50" s="24">
        <v>79</v>
      </c>
      <c r="G50" s="24">
        <v>66</v>
      </c>
      <c r="H50" s="24">
        <v>48</v>
      </c>
      <c r="I50" s="24">
        <v>63</v>
      </c>
      <c r="J50" s="24">
        <v>39</v>
      </c>
      <c r="K50" s="25">
        <f t="shared" si="2"/>
        <v>0.82758620689655171</v>
      </c>
      <c r="L50" s="25">
        <f t="shared" si="2"/>
        <v>0.79746835443037978</v>
      </c>
      <c r="M50" s="25">
        <f t="shared" si="2"/>
        <v>0.59090909090909094</v>
      </c>
      <c r="N50" s="25">
        <f t="shared" si="3"/>
        <v>0.73865455074534081</v>
      </c>
      <c r="O50" s="24">
        <v>11</v>
      </c>
      <c r="P50" s="24">
        <v>14</v>
      </c>
      <c r="Q50" s="24">
        <v>6</v>
      </c>
      <c r="R50" s="24">
        <v>5</v>
      </c>
      <c r="S50" s="24">
        <v>13</v>
      </c>
      <c r="T50" s="24">
        <v>6</v>
      </c>
      <c r="U50" s="25">
        <f t="shared" si="4"/>
        <v>0.45454545454545453</v>
      </c>
      <c r="V50" s="25">
        <f t="shared" si="4"/>
        <v>0.9285714285714286</v>
      </c>
      <c r="W50" s="25">
        <f t="shared" si="4"/>
        <v>1</v>
      </c>
      <c r="X50" s="25">
        <f t="shared" si="5"/>
        <v>0.79437229437229429</v>
      </c>
    </row>
    <row r="51" spans="1:24" ht="15.75" customHeight="1">
      <c r="A51" s="1">
        <v>20402</v>
      </c>
      <c r="B51" s="2" t="s">
        <v>42</v>
      </c>
      <c r="C51" s="2" t="s">
        <v>65</v>
      </c>
      <c r="D51" s="3" t="s">
        <v>67</v>
      </c>
      <c r="E51" s="24">
        <v>41</v>
      </c>
      <c r="F51" s="24">
        <v>66</v>
      </c>
      <c r="G51" s="24">
        <v>67</v>
      </c>
      <c r="H51" s="24">
        <v>39</v>
      </c>
      <c r="I51" s="24">
        <v>55</v>
      </c>
      <c r="J51" s="24">
        <v>72</v>
      </c>
      <c r="K51" s="25">
        <f t="shared" si="2"/>
        <v>0.95121951219512191</v>
      </c>
      <c r="L51" s="25">
        <f t="shared" si="2"/>
        <v>0.83333333333333337</v>
      </c>
      <c r="M51" s="25">
        <f t="shared" si="2"/>
        <v>1.0746268656716418</v>
      </c>
      <c r="N51" s="25">
        <f t="shared" si="3"/>
        <v>0.95305990373336569</v>
      </c>
      <c r="O51" s="24">
        <v>23</v>
      </c>
      <c r="P51" s="24">
        <v>28</v>
      </c>
      <c r="Q51" s="24">
        <v>21</v>
      </c>
      <c r="R51" s="24">
        <v>24</v>
      </c>
      <c r="S51" s="24">
        <v>22</v>
      </c>
      <c r="T51" s="24">
        <v>9</v>
      </c>
      <c r="U51" s="25">
        <f t="shared" si="4"/>
        <v>1.0434782608695652</v>
      </c>
      <c r="V51" s="25">
        <f t="shared" si="4"/>
        <v>0.7857142857142857</v>
      </c>
      <c r="W51" s="25">
        <f t="shared" si="4"/>
        <v>0.42857142857142855</v>
      </c>
      <c r="X51" s="25">
        <f t="shared" si="5"/>
        <v>0.7525879917184265</v>
      </c>
    </row>
    <row r="52" spans="1:24" ht="15.75" customHeight="1">
      <c r="A52" s="1">
        <v>20403</v>
      </c>
      <c r="B52" s="2" t="s">
        <v>42</v>
      </c>
      <c r="C52" s="2" t="s">
        <v>65</v>
      </c>
      <c r="D52" s="3" t="s">
        <v>68</v>
      </c>
      <c r="E52" s="24">
        <v>34</v>
      </c>
      <c r="F52" s="24">
        <v>58</v>
      </c>
      <c r="G52" s="24">
        <v>65</v>
      </c>
      <c r="H52" s="24">
        <v>36</v>
      </c>
      <c r="I52" s="24">
        <v>52</v>
      </c>
      <c r="J52" s="24">
        <v>55</v>
      </c>
      <c r="K52" s="25">
        <f t="shared" si="2"/>
        <v>1.0588235294117647</v>
      </c>
      <c r="L52" s="25">
        <f t="shared" si="2"/>
        <v>0.89655172413793105</v>
      </c>
      <c r="M52" s="25">
        <f t="shared" si="2"/>
        <v>0.84615384615384615</v>
      </c>
      <c r="N52" s="25">
        <f t="shared" si="3"/>
        <v>0.9338430332345139</v>
      </c>
      <c r="O52" s="24">
        <v>18</v>
      </c>
      <c r="P52" s="24">
        <v>10</v>
      </c>
      <c r="Q52" s="24">
        <v>14</v>
      </c>
      <c r="R52" s="24">
        <v>18</v>
      </c>
      <c r="S52" s="24">
        <v>19</v>
      </c>
      <c r="T52" s="24">
        <v>19</v>
      </c>
      <c r="U52" s="25">
        <f t="shared" si="4"/>
        <v>1</v>
      </c>
      <c r="V52" s="25">
        <f t="shared" si="4"/>
        <v>1.9</v>
      </c>
      <c r="W52" s="25">
        <f t="shared" si="4"/>
        <v>1.3571428571428572</v>
      </c>
      <c r="X52" s="25">
        <f t="shared" si="5"/>
        <v>1.4190476190476191</v>
      </c>
    </row>
    <row r="53" spans="1:24" ht="15.75" customHeight="1">
      <c r="A53" s="1">
        <v>20404</v>
      </c>
      <c r="B53" s="2" t="s">
        <v>42</v>
      </c>
      <c r="C53" s="2" t="s">
        <v>65</v>
      </c>
      <c r="D53" s="3" t="s">
        <v>69</v>
      </c>
      <c r="E53" s="24">
        <v>0</v>
      </c>
      <c r="F53" s="24">
        <v>0</v>
      </c>
      <c r="G53" s="24">
        <v>34</v>
      </c>
      <c r="H53" s="24">
        <v>0</v>
      </c>
      <c r="I53" s="24">
        <v>0</v>
      </c>
      <c r="J53" s="24">
        <v>27</v>
      </c>
      <c r="K53" s="25"/>
      <c r="L53" s="25"/>
      <c r="M53" s="25">
        <f t="shared" si="2"/>
        <v>0.79411764705882348</v>
      </c>
      <c r="N53" s="25">
        <f t="shared" si="3"/>
        <v>0.79411764705882348</v>
      </c>
      <c r="O53" s="24">
        <v>6</v>
      </c>
      <c r="P53" s="24">
        <v>20</v>
      </c>
      <c r="Q53" s="24">
        <v>12</v>
      </c>
      <c r="R53" s="24">
        <v>6</v>
      </c>
      <c r="S53" s="24">
        <v>11</v>
      </c>
      <c r="T53" s="24">
        <v>13</v>
      </c>
      <c r="U53" s="25">
        <f t="shared" si="4"/>
        <v>1</v>
      </c>
      <c r="V53" s="25">
        <f t="shared" si="4"/>
        <v>0.55000000000000004</v>
      </c>
      <c r="W53" s="25">
        <f t="shared" si="4"/>
        <v>1.0833333333333333</v>
      </c>
      <c r="X53" s="25">
        <f t="shared" si="5"/>
        <v>0.87777777777777777</v>
      </c>
    </row>
    <row r="54" spans="1:24" ht="15.75" customHeight="1">
      <c r="A54" s="1">
        <v>20405</v>
      </c>
      <c r="B54" s="2" t="s">
        <v>42</v>
      </c>
      <c r="C54" s="2" t="s">
        <v>65</v>
      </c>
      <c r="D54" s="3" t="s">
        <v>70</v>
      </c>
      <c r="E54" s="24">
        <v>0</v>
      </c>
      <c r="F54" s="24">
        <v>0</v>
      </c>
      <c r="G54" s="24">
        <v>21</v>
      </c>
      <c r="H54" s="24">
        <v>0</v>
      </c>
      <c r="I54" s="24">
        <v>0</v>
      </c>
      <c r="J54" s="24">
        <v>20</v>
      </c>
      <c r="K54" s="25"/>
      <c r="L54" s="25"/>
      <c r="M54" s="25">
        <f t="shared" si="2"/>
        <v>0.95238095238095233</v>
      </c>
      <c r="N54" s="25">
        <f t="shared" si="3"/>
        <v>0.95238095238095233</v>
      </c>
      <c r="O54" s="24">
        <v>6</v>
      </c>
      <c r="P54" s="24">
        <v>5</v>
      </c>
      <c r="Q54" s="24">
        <v>8</v>
      </c>
      <c r="R54" s="24">
        <v>3</v>
      </c>
      <c r="S54" s="24">
        <v>6</v>
      </c>
      <c r="T54" s="24">
        <v>3</v>
      </c>
      <c r="U54" s="25">
        <f t="shared" si="4"/>
        <v>0.5</v>
      </c>
      <c r="V54" s="25">
        <f t="shared" si="4"/>
        <v>1.2</v>
      </c>
      <c r="W54" s="25">
        <f t="shared" si="4"/>
        <v>0.375</v>
      </c>
      <c r="X54" s="25">
        <f t="shared" si="5"/>
        <v>0.69166666666666676</v>
      </c>
    </row>
    <row r="55" spans="1:24" ht="15.75" customHeight="1">
      <c r="A55" s="1">
        <v>20501</v>
      </c>
      <c r="B55" s="2" t="s">
        <v>42</v>
      </c>
      <c r="C55" s="2" t="s">
        <v>71</v>
      </c>
      <c r="D55" s="3" t="s">
        <v>72</v>
      </c>
      <c r="E55" s="24">
        <v>32</v>
      </c>
      <c r="F55" s="24">
        <v>57</v>
      </c>
      <c r="G55" s="24">
        <v>56</v>
      </c>
      <c r="H55" s="24">
        <v>52</v>
      </c>
      <c r="I55" s="24">
        <v>56</v>
      </c>
      <c r="J55" s="24">
        <v>61</v>
      </c>
      <c r="K55" s="25">
        <f t="shared" si="2"/>
        <v>1.625</v>
      </c>
      <c r="L55" s="25">
        <f t="shared" si="2"/>
        <v>0.98245614035087714</v>
      </c>
      <c r="M55" s="25">
        <f t="shared" si="2"/>
        <v>1.0892857142857142</v>
      </c>
      <c r="N55" s="25">
        <f t="shared" si="3"/>
        <v>1.2322472848788637</v>
      </c>
      <c r="O55" s="24">
        <v>19</v>
      </c>
      <c r="P55" s="24">
        <v>3</v>
      </c>
      <c r="Q55" s="24">
        <v>12</v>
      </c>
      <c r="R55" s="24">
        <v>13</v>
      </c>
      <c r="S55" s="24">
        <v>8</v>
      </c>
      <c r="T55" s="24">
        <v>14</v>
      </c>
      <c r="U55" s="25">
        <f t="shared" si="4"/>
        <v>0.68421052631578949</v>
      </c>
      <c r="V55" s="25">
        <f t="shared" si="4"/>
        <v>2.6666666666666665</v>
      </c>
      <c r="W55" s="25">
        <f t="shared" si="4"/>
        <v>1.1666666666666667</v>
      </c>
      <c r="X55" s="25">
        <f t="shared" si="5"/>
        <v>1.5058479532163742</v>
      </c>
    </row>
    <row r="56" spans="1:24" ht="15.75" customHeight="1">
      <c r="A56" s="1">
        <v>20502</v>
      </c>
      <c r="B56" s="2" t="s">
        <v>42</v>
      </c>
      <c r="C56" s="2" t="s">
        <v>71</v>
      </c>
      <c r="D56" s="3" t="s">
        <v>73</v>
      </c>
      <c r="E56" s="24">
        <v>27</v>
      </c>
      <c r="F56" s="24">
        <v>42</v>
      </c>
      <c r="G56" s="24">
        <v>51</v>
      </c>
      <c r="H56" s="24">
        <v>21</v>
      </c>
      <c r="I56" s="24">
        <v>50</v>
      </c>
      <c r="J56" s="24">
        <v>68</v>
      </c>
      <c r="K56" s="25">
        <f t="shared" si="2"/>
        <v>0.77777777777777779</v>
      </c>
      <c r="L56" s="25">
        <f t="shared" si="2"/>
        <v>1.1904761904761905</v>
      </c>
      <c r="M56" s="25">
        <f t="shared" si="2"/>
        <v>1.3333333333333333</v>
      </c>
      <c r="N56" s="25">
        <f t="shared" si="3"/>
        <v>1.1005291005291005</v>
      </c>
      <c r="O56" s="24">
        <v>13</v>
      </c>
      <c r="P56" s="24">
        <v>11</v>
      </c>
      <c r="Q56" s="24">
        <v>7</v>
      </c>
      <c r="R56" s="24">
        <v>18</v>
      </c>
      <c r="S56" s="24">
        <v>19</v>
      </c>
      <c r="T56" s="24">
        <v>19</v>
      </c>
      <c r="U56" s="25">
        <f t="shared" si="4"/>
        <v>1.3846153846153846</v>
      </c>
      <c r="V56" s="25">
        <f t="shared" si="4"/>
        <v>1.7272727272727273</v>
      </c>
      <c r="W56" s="25">
        <f t="shared" si="4"/>
        <v>2.7142857142857144</v>
      </c>
      <c r="X56" s="25">
        <f t="shared" si="5"/>
        <v>1.942057942057942</v>
      </c>
    </row>
    <row r="57" spans="1:24" ht="15.75" customHeight="1">
      <c r="A57" s="1">
        <v>20503</v>
      </c>
      <c r="B57" s="2" t="s">
        <v>42</v>
      </c>
      <c r="C57" s="2" t="s">
        <v>71</v>
      </c>
      <c r="D57" s="3" t="s">
        <v>74</v>
      </c>
      <c r="E57" s="24">
        <v>4</v>
      </c>
      <c r="F57" s="24">
        <v>12</v>
      </c>
      <c r="G57" s="24">
        <v>19</v>
      </c>
      <c r="H57" s="24">
        <v>2</v>
      </c>
      <c r="I57" s="24">
        <v>12</v>
      </c>
      <c r="J57" s="24">
        <v>15</v>
      </c>
      <c r="K57" s="25">
        <f t="shared" si="2"/>
        <v>0.5</v>
      </c>
      <c r="L57" s="25">
        <f t="shared" si="2"/>
        <v>1</v>
      </c>
      <c r="M57" s="25">
        <f t="shared" si="2"/>
        <v>0.78947368421052633</v>
      </c>
      <c r="N57" s="25">
        <f t="shared" si="3"/>
        <v>0.76315789473684215</v>
      </c>
      <c r="O57" s="24">
        <v>8</v>
      </c>
      <c r="P57" s="24">
        <v>10</v>
      </c>
      <c r="Q57" s="24">
        <v>10</v>
      </c>
      <c r="R57" s="24">
        <v>13</v>
      </c>
      <c r="S57" s="24">
        <v>12</v>
      </c>
      <c r="T57" s="24">
        <v>17</v>
      </c>
      <c r="U57" s="25">
        <f t="shared" si="4"/>
        <v>1.625</v>
      </c>
      <c r="V57" s="25">
        <f t="shared" si="4"/>
        <v>1.2</v>
      </c>
      <c r="W57" s="25">
        <f t="shared" si="4"/>
        <v>1.7</v>
      </c>
      <c r="X57" s="25">
        <f t="shared" si="5"/>
        <v>1.5083333333333335</v>
      </c>
    </row>
    <row r="58" spans="1:24" ht="15.75" customHeight="1">
      <c r="A58" s="1">
        <v>20601</v>
      </c>
      <c r="B58" s="2" t="s">
        <v>42</v>
      </c>
      <c r="C58" s="2" t="s">
        <v>75</v>
      </c>
      <c r="D58" s="3" t="s">
        <v>76</v>
      </c>
      <c r="E58" s="24">
        <v>72</v>
      </c>
      <c r="F58" s="24">
        <v>54</v>
      </c>
      <c r="G58" s="24">
        <v>66</v>
      </c>
      <c r="H58" s="24">
        <v>90</v>
      </c>
      <c r="I58" s="24">
        <v>66</v>
      </c>
      <c r="J58" s="24">
        <v>70</v>
      </c>
      <c r="K58" s="25">
        <f t="shared" si="2"/>
        <v>1.25</v>
      </c>
      <c r="L58" s="25">
        <f t="shared" si="2"/>
        <v>1.2222222222222223</v>
      </c>
      <c r="M58" s="25">
        <f t="shared" si="2"/>
        <v>1.0606060606060606</v>
      </c>
      <c r="N58" s="25">
        <f t="shared" si="3"/>
        <v>1.1776094276094276</v>
      </c>
      <c r="O58" s="24">
        <v>27</v>
      </c>
      <c r="P58" s="24">
        <v>32</v>
      </c>
      <c r="Q58" s="24">
        <v>21</v>
      </c>
      <c r="R58" s="24">
        <v>24</v>
      </c>
      <c r="S58" s="24">
        <v>37</v>
      </c>
      <c r="T58" s="24">
        <v>37</v>
      </c>
      <c r="U58" s="25">
        <f t="shared" si="4"/>
        <v>0.88888888888888884</v>
      </c>
      <c r="V58" s="25">
        <f t="shared" si="4"/>
        <v>1.15625</v>
      </c>
      <c r="W58" s="25">
        <f t="shared" si="4"/>
        <v>1.7619047619047619</v>
      </c>
      <c r="X58" s="25">
        <f t="shared" si="5"/>
        <v>1.2690145502645502</v>
      </c>
    </row>
    <row r="59" spans="1:24" ht="15.75" customHeight="1">
      <c r="A59" s="1">
        <v>20602</v>
      </c>
      <c r="B59" s="2" t="s">
        <v>42</v>
      </c>
      <c r="C59" s="2" t="s">
        <v>75</v>
      </c>
      <c r="D59" s="3" t="s">
        <v>77</v>
      </c>
      <c r="E59" s="24">
        <v>35</v>
      </c>
      <c r="F59" s="24">
        <v>64</v>
      </c>
      <c r="G59" s="24">
        <v>72</v>
      </c>
      <c r="H59" s="24">
        <v>63</v>
      </c>
      <c r="I59" s="24">
        <v>79</v>
      </c>
      <c r="J59" s="24">
        <v>108</v>
      </c>
      <c r="K59" s="25">
        <f t="shared" si="2"/>
        <v>1.8</v>
      </c>
      <c r="L59" s="25">
        <f t="shared" si="2"/>
        <v>1.234375</v>
      </c>
      <c r="M59" s="25">
        <f t="shared" si="2"/>
        <v>1.5</v>
      </c>
      <c r="N59" s="25">
        <f t="shared" si="3"/>
        <v>1.5114583333333333</v>
      </c>
      <c r="O59" s="24">
        <v>43</v>
      </c>
      <c r="P59" s="24">
        <v>31</v>
      </c>
      <c r="Q59" s="24">
        <v>30</v>
      </c>
      <c r="R59" s="24">
        <v>49</v>
      </c>
      <c r="S59" s="24">
        <v>55</v>
      </c>
      <c r="T59" s="24">
        <v>54</v>
      </c>
      <c r="U59" s="25">
        <f t="shared" si="4"/>
        <v>1.1395348837209303</v>
      </c>
      <c r="V59" s="25">
        <f t="shared" si="4"/>
        <v>1.7741935483870968</v>
      </c>
      <c r="W59" s="25">
        <f t="shared" si="4"/>
        <v>1.8</v>
      </c>
      <c r="X59" s="25">
        <f t="shared" si="5"/>
        <v>1.5712428107026757</v>
      </c>
    </row>
    <row r="60" spans="1:24" ht="15.75" customHeight="1">
      <c r="A60" s="1">
        <v>20603</v>
      </c>
      <c r="B60" s="2" t="s">
        <v>42</v>
      </c>
      <c r="C60" s="2" t="s">
        <v>75</v>
      </c>
      <c r="D60" s="3" t="s">
        <v>78</v>
      </c>
      <c r="E60" s="24">
        <v>26</v>
      </c>
      <c r="F60" s="24">
        <v>25</v>
      </c>
      <c r="G60" s="24">
        <v>33</v>
      </c>
      <c r="H60" s="24">
        <v>35</v>
      </c>
      <c r="I60" s="24">
        <v>33</v>
      </c>
      <c r="J60" s="24">
        <v>34</v>
      </c>
      <c r="K60" s="25">
        <f t="shared" si="2"/>
        <v>1.3461538461538463</v>
      </c>
      <c r="L60" s="25">
        <f t="shared" si="2"/>
        <v>1.32</v>
      </c>
      <c r="M60" s="25">
        <f t="shared" si="2"/>
        <v>1.0303030303030303</v>
      </c>
      <c r="N60" s="25">
        <f t="shared" si="3"/>
        <v>1.2321522921522921</v>
      </c>
      <c r="O60" s="24">
        <v>8</v>
      </c>
      <c r="P60" s="24">
        <v>5</v>
      </c>
      <c r="Q60" s="24">
        <v>9</v>
      </c>
      <c r="R60" s="24">
        <v>13</v>
      </c>
      <c r="S60" s="24">
        <v>12</v>
      </c>
      <c r="T60" s="24">
        <v>9</v>
      </c>
      <c r="U60" s="25">
        <f t="shared" si="4"/>
        <v>1.625</v>
      </c>
      <c r="V60" s="25">
        <f t="shared" si="4"/>
        <v>2.4</v>
      </c>
      <c r="W60" s="25">
        <f t="shared" si="4"/>
        <v>1</v>
      </c>
      <c r="X60" s="25">
        <f t="shared" si="5"/>
        <v>1.675</v>
      </c>
    </row>
    <row r="61" spans="1:24" ht="15.75" customHeight="1">
      <c r="A61" s="1">
        <v>20604</v>
      </c>
      <c r="B61" s="2" t="s">
        <v>42</v>
      </c>
      <c r="C61" s="2" t="s">
        <v>75</v>
      </c>
      <c r="D61" s="3" t="s">
        <v>79</v>
      </c>
      <c r="E61" s="24">
        <v>1</v>
      </c>
      <c r="F61" s="24">
        <v>5</v>
      </c>
      <c r="G61" s="24">
        <v>15</v>
      </c>
      <c r="H61" s="24">
        <v>6</v>
      </c>
      <c r="I61" s="24">
        <v>7</v>
      </c>
      <c r="J61" s="24">
        <v>17</v>
      </c>
      <c r="K61" s="25">
        <f t="shared" si="2"/>
        <v>6</v>
      </c>
      <c r="L61" s="25">
        <f t="shared" si="2"/>
        <v>1.4</v>
      </c>
      <c r="M61" s="25">
        <f t="shared" si="2"/>
        <v>1.1333333333333333</v>
      </c>
      <c r="N61" s="25">
        <f t="shared" si="3"/>
        <v>2.8444444444444446</v>
      </c>
      <c r="O61" s="24">
        <v>3</v>
      </c>
      <c r="P61" s="24">
        <v>7</v>
      </c>
      <c r="Q61" s="24">
        <v>5</v>
      </c>
      <c r="R61" s="24">
        <v>5</v>
      </c>
      <c r="S61" s="24">
        <v>5</v>
      </c>
      <c r="T61" s="24">
        <v>13</v>
      </c>
      <c r="U61" s="25">
        <f t="shared" si="4"/>
        <v>1.6666666666666667</v>
      </c>
      <c r="V61" s="25">
        <f t="shared" si="4"/>
        <v>0.7142857142857143</v>
      </c>
      <c r="W61" s="25">
        <f t="shared" si="4"/>
        <v>2.6</v>
      </c>
      <c r="X61" s="25">
        <f t="shared" si="5"/>
        <v>1.6603174603174604</v>
      </c>
    </row>
    <row r="62" spans="1:24" ht="15.75" customHeight="1">
      <c r="A62" s="1">
        <v>20605</v>
      </c>
      <c r="B62" s="2" t="s">
        <v>42</v>
      </c>
      <c r="C62" s="2" t="s">
        <v>75</v>
      </c>
      <c r="D62" s="3" t="s">
        <v>80</v>
      </c>
      <c r="E62" s="24">
        <v>7</v>
      </c>
      <c r="F62" s="24">
        <v>7</v>
      </c>
      <c r="G62" s="24">
        <v>2</v>
      </c>
      <c r="H62" s="24">
        <v>8</v>
      </c>
      <c r="I62" s="24">
        <v>6</v>
      </c>
      <c r="J62" s="24">
        <v>4</v>
      </c>
      <c r="K62" s="25">
        <f t="shared" si="2"/>
        <v>1.1428571428571428</v>
      </c>
      <c r="L62" s="25">
        <f t="shared" si="2"/>
        <v>0.8571428571428571</v>
      </c>
      <c r="M62" s="25">
        <f t="shared" si="2"/>
        <v>2</v>
      </c>
      <c r="N62" s="25">
        <f t="shared" si="3"/>
        <v>1.3333333333333333</v>
      </c>
      <c r="O62" s="24">
        <v>6</v>
      </c>
      <c r="P62" s="24">
        <v>9</v>
      </c>
      <c r="Q62" s="24">
        <v>7</v>
      </c>
      <c r="R62" s="24">
        <v>5</v>
      </c>
      <c r="S62" s="24">
        <v>3</v>
      </c>
      <c r="T62" s="24">
        <v>7</v>
      </c>
      <c r="U62" s="25">
        <f t="shared" si="4"/>
        <v>0.83333333333333337</v>
      </c>
      <c r="V62" s="25">
        <f t="shared" si="4"/>
        <v>0.33333333333333331</v>
      </c>
      <c r="W62" s="25">
        <f t="shared" si="4"/>
        <v>1</v>
      </c>
      <c r="X62" s="25">
        <f t="shared" si="5"/>
        <v>0.72222222222222232</v>
      </c>
    </row>
    <row r="63" spans="1:24" ht="15.75" customHeight="1">
      <c r="A63" s="1">
        <v>20606</v>
      </c>
      <c r="B63" s="2" t="s">
        <v>42</v>
      </c>
      <c r="C63" s="2" t="s">
        <v>75</v>
      </c>
      <c r="D63" s="3" t="s">
        <v>81</v>
      </c>
      <c r="E63" s="24">
        <v>32</v>
      </c>
      <c r="F63" s="24">
        <v>23</v>
      </c>
      <c r="G63" s="24">
        <v>35</v>
      </c>
      <c r="H63" s="24">
        <v>38</v>
      </c>
      <c r="I63" s="24">
        <v>31</v>
      </c>
      <c r="J63" s="24">
        <v>33</v>
      </c>
      <c r="K63" s="25">
        <f t="shared" si="2"/>
        <v>1.1875</v>
      </c>
      <c r="L63" s="25">
        <f t="shared" si="2"/>
        <v>1.3478260869565217</v>
      </c>
      <c r="M63" s="25">
        <f t="shared" si="2"/>
        <v>0.94285714285714284</v>
      </c>
      <c r="N63" s="25">
        <f t="shared" si="3"/>
        <v>1.1593944099378881</v>
      </c>
      <c r="O63" s="24">
        <v>5</v>
      </c>
      <c r="P63" s="24">
        <v>8</v>
      </c>
      <c r="Q63" s="24">
        <v>8</v>
      </c>
      <c r="R63" s="24">
        <v>12</v>
      </c>
      <c r="S63" s="24">
        <v>14</v>
      </c>
      <c r="T63" s="24">
        <v>18</v>
      </c>
      <c r="U63" s="25">
        <f t="shared" si="4"/>
        <v>2.4</v>
      </c>
      <c r="V63" s="25">
        <f t="shared" si="4"/>
        <v>1.75</v>
      </c>
      <c r="W63" s="25">
        <f t="shared" si="4"/>
        <v>2.25</v>
      </c>
      <c r="X63" s="25">
        <f t="shared" si="5"/>
        <v>2.1333333333333333</v>
      </c>
    </row>
    <row r="64" spans="1:24" ht="15.75" customHeight="1">
      <c r="A64" s="1">
        <v>20607</v>
      </c>
      <c r="B64" s="2" t="s">
        <v>42</v>
      </c>
      <c r="C64" s="2" t="s">
        <v>75</v>
      </c>
      <c r="D64" s="3" t="s">
        <v>82</v>
      </c>
      <c r="E64" s="24">
        <v>71</v>
      </c>
      <c r="F64" s="24">
        <v>56</v>
      </c>
      <c r="G64" s="24">
        <v>60</v>
      </c>
      <c r="H64" s="24">
        <v>83</v>
      </c>
      <c r="I64" s="24">
        <v>93</v>
      </c>
      <c r="J64" s="24">
        <v>97</v>
      </c>
      <c r="K64" s="25">
        <f t="shared" si="2"/>
        <v>1.1690140845070423</v>
      </c>
      <c r="L64" s="25">
        <f t="shared" si="2"/>
        <v>1.6607142857142858</v>
      </c>
      <c r="M64" s="25">
        <f t="shared" si="2"/>
        <v>1.6166666666666667</v>
      </c>
      <c r="N64" s="25">
        <f t="shared" si="3"/>
        <v>1.4821316789626648</v>
      </c>
      <c r="O64" s="24">
        <v>56</v>
      </c>
      <c r="P64" s="24">
        <v>48</v>
      </c>
      <c r="Q64" s="24">
        <v>37</v>
      </c>
      <c r="R64" s="24">
        <v>66</v>
      </c>
      <c r="S64" s="24">
        <v>55</v>
      </c>
      <c r="T64" s="24">
        <v>80</v>
      </c>
      <c r="U64" s="25">
        <f t="shared" si="4"/>
        <v>1.1785714285714286</v>
      </c>
      <c r="V64" s="25">
        <f t="shared" si="4"/>
        <v>1.1458333333333333</v>
      </c>
      <c r="W64" s="25">
        <f t="shared" si="4"/>
        <v>2.1621621621621623</v>
      </c>
      <c r="X64" s="25">
        <f t="shared" si="5"/>
        <v>1.4955223080223081</v>
      </c>
    </row>
    <row r="65" spans="1:24" ht="15.75" customHeight="1">
      <c r="A65" s="1">
        <v>20608</v>
      </c>
      <c r="B65" s="2" t="s">
        <v>42</v>
      </c>
      <c r="C65" s="2" t="s">
        <v>75</v>
      </c>
      <c r="D65" s="3" t="s">
        <v>83</v>
      </c>
      <c r="E65" s="24">
        <v>40</v>
      </c>
      <c r="F65" s="24">
        <v>39</v>
      </c>
      <c r="G65" s="24">
        <v>46</v>
      </c>
      <c r="H65" s="24">
        <v>54</v>
      </c>
      <c r="I65" s="24">
        <v>52</v>
      </c>
      <c r="J65" s="24">
        <v>80</v>
      </c>
      <c r="K65" s="25">
        <f t="shared" si="2"/>
        <v>1.35</v>
      </c>
      <c r="L65" s="25">
        <f t="shared" si="2"/>
        <v>1.3333333333333333</v>
      </c>
      <c r="M65" s="25">
        <f t="shared" si="2"/>
        <v>1.7391304347826086</v>
      </c>
      <c r="N65" s="25">
        <f t="shared" si="3"/>
        <v>1.4741545893719807</v>
      </c>
      <c r="O65" s="24">
        <v>24</v>
      </c>
      <c r="P65" s="24">
        <v>14</v>
      </c>
      <c r="Q65" s="24">
        <v>17</v>
      </c>
      <c r="R65" s="24">
        <v>28</v>
      </c>
      <c r="S65" s="24">
        <v>28</v>
      </c>
      <c r="T65" s="24">
        <v>20</v>
      </c>
      <c r="U65" s="25">
        <f t="shared" si="4"/>
        <v>1.1666666666666667</v>
      </c>
      <c r="V65" s="25">
        <f t="shared" si="4"/>
        <v>2</v>
      </c>
      <c r="W65" s="25">
        <f t="shared" si="4"/>
        <v>1.1764705882352942</v>
      </c>
      <c r="X65" s="25">
        <f t="shared" si="5"/>
        <v>1.4477124183006538</v>
      </c>
    </row>
    <row r="66" spans="1:24" ht="15.75" customHeight="1">
      <c r="A66" s="1">
        <v>20701</v>
      </c>
      <c r="B66" s="2" t="s">
        <v>42</v>
      </c>
      <c r="C66" s="2" t="s">
        <v>84</v>
      </c>
      <c r="D66" s="3" t="s">
        <v>85</v>
      </c>
      <c r="E66" s="24">
        <v>91</v>
      </c>
      <c r="F66" s="24">
        <v>66</v>
      </c>
      <c r="G66" s="24">
        <v>80</v>
      </c>
      <c r="H66" s="24">
        <v>121</v>
      </c>
      <c r="I66" s="24">
        <v>112</v>
      </c>
      <c r="J66" s="24">
        <v>157</v>
      </c>
      <c r="K66" s="25">
        <f t="shared" si="2"/>
        <v>1.3296703296703296</v>
      </c>
      <c r="L66" s="25">
        <f t="shared" si="2"/>
        <v>1.696969696969697</v>
      </c>
      <c r="M66" s="25">
        <f t="shared" si="2"/>
        <v>1.9624999999999999</v>
      </c>
      <c r="N66" s="25">
        <f t="shared" si="3"/>
        <v>1.6630466755466753</v>
      </c>
      <c r="O66" s="24">
        <v>50</v>
      </c>
      <c r="P66" s="24">
        <v>51</v>
      </c>
      <c r="Q66" s="24">
        <v>59</v>
      </c>
      <c r="R66" s="24">
        <v>76</v>
      </c>
      <c r="S66" s="24">
        <v>86</v>
      </c>
      <c r="T66" s="24">
        <v>100</v>
      </c>
      <c r="U66" s="25">
        <f t="shared" si="4"/>
        <v>1.52</v>
      </c>
      <c r="V66" s="25">
        <f t="shared" si="4"/>
        <v>1.6862745098039216</v>
      </c>
      <c r="W66" s="25">
        <f t="shared" si="4"/>
        <v>1.6949152542372881</v>
      </c>
      <c r="X66" s="25">
        <f t="shared" si="5"/>
        <v>1.6337299213470697</v>
      </c>
    </row>
    <row r="67" spans="1:24" ht="15.75" customHeight="1">
      <c r="A67" s="1">
        <v>20702</v>
      </c>
      <c r="B67" s="2" t="s">
        <v>42</v>
      </c>
      <c r="C67" s="2" t="s">
        <v>84</v>
      </c>
      <c r="D67" s="3" t="s">
        <v>86</v>
      </c>
      <c r="E67" s="24">
        <v>9</v>
      </c>
      <c r="F67" s="24">
        <v>19</v>
      </c>
      <c r="G67" s="24">
        <v>15</v>
      </c>
      <c r="H67" s="24">
        <v>10</v>
      </c>
      <c r="I67" s="24">
        <v>19</v>
      </c>
      <c r="J67" s="24">
        <v>22</v>
      </c>
      <c r="K67" s="25">
        <f t="shared" ref="K67:M130" si="13">+H67/E67</f>
        <v>1.1111111111111112</v>
      </c>
      <c r="L67" s="25">
        <f t="shared" si="13"/>
        <v>1</v>
      </c>
      <c r="M67" s="25">
        <f t="shared" si="13"/>
        <v>1.4666666666666666</v>
      </c>
      <c r="N67" s="25">
        <f t="shared" ref="N67:N130" si="14">AVERAGE(K67:M67)</f>
        <v>1.1925925925925924</v>
      </c>
      <c r="O67" s="24">
        <v>1</v>
      </c>
      <c r="P67" s="24">
        <v>5</v>
      </c>
      <c r="Q67" s="24">
        <v>7</v>
      </c>
      <c r="R67" s="24">
        <v>3</v>
      </c>
      <c r="S67" s="24">
        <v>7</v>
      </c>
      <c r="T67" s="24">
        <v>10</v>
      </c>
      <c r="U67" s="25">
        <f t="shared" ref="U67:W130" si="15">+R67/O67</f>
        <v>3</v>
      </c>
      <c r="V67" s="25">
        <f t="shared" si="15"/>
        <v>1.4</v>
      </c>
      <c r="W67" s="25">
        <f t="shared" si="15"/>
        <v>1.4285714285714286</v>
      </c>
      <c r="X67" s="25">
        <f t="shared" ref="X67:X130" si="16">AVERAGE(U67:W67)</f>
        <v>1.9428571428571431</v>
      </c>
    </row>
    <row r="68" spans="1:24" ht="15.75" customHeight="1">
      <c r="A68" s="1">
        <v>20801</v>
      </c>
      <c r="B68" s="2" t="s">
        <v>42</v>
      </c>
      <c r="C68" s="2" t="s">
        <v>87</v>
      </c>
      <c r="D68" s="3" t="s">
        <v>88</v>
      </c>
      <c r="E68" s="24">
        <v>135</v>
      </c>
      <c r="F68" s="24">
        <v>123</v>
      </c>
      <c r="G68" s="24">
        <v>158</v>
      </c>
      <c r="H68" s="24">
        <v>213</v>
      </c>
      <c r="I68" s="24">
        <v>135</v>
      </c>
      <c r="J68" s="24">
        <v>272</v>
      </c>
      <c r="K68" s="25">
        <f t="shared" si="13"/>
        <v>1.5777777777777777</v>
      </c>
      <c r="L68" s="25">
        <f t="shared" si="13"/>
        <v>1.0975609756097562</v>
      </c>
      <c r="M68" s="25">
        <f t="shared" si="13"/>
        <v>1.7215189873417722</v>
      </c>
      <c r="N68" s="25">
        <f t="shared" si="14"/>
        <v>1.4656192469097686</v>
      </c>
      <c r="O68" s="24">
        <v>65</v>
      </c>
      <c r="P68" s="24">
        <v>74</v>
      </c>
      <c r="Q68" s="24">
        <v>63</v>
      </c>
      <c r="R68" s="24">
        <v>85</v>
      </c>
      <c r="S68" s="24">
        <v>109</v>
      </c>
      <c r="T68" s="24">
        <v>89</v>
      </c>
      <c r="U68" s="25">
        <f t="shared" si="15"/>
        <v>1.3076923076923077</v>
      </c>
      <c r="V68" s="25">
        <f t="shared" si="15"/>
        <v>1.472972972972973</v>
      </c>
      <c r="W68" s="25">
        <f t="shared" si="15"/>
        <v>1.4126984126984128</v>
      </c>
      <c r="X68" s="25">
        <f t="shared" si="16"/>
        <v>1.3977878977878977</v>
      </c>
    </row>
    <row r="69" spans="1:24" ht="15.75" customHeight="1">
      <c r="A69" s="1">
        <v>20802</v>
      </c>
      <c r="B69" s="2" t="s">
        <v>42</v>
      </c>
      <c r="C69" s="2" t="s">
        <v>87</v>
      </c>
      <c r="D69" s="3" t="s">
        <v>89</v>
      </c>
      <c r="E69" s="24">
        <v>29</v>
      </c>
      <c r="F69" s="24">
        <v>30</v>
      </c>
      <c r="G69" s="24">
        <v>32</v>
      </c>
      <c r="H69" s="24">
        <v>22</v>
      </c>
      <c r="I69" s="24">
        <v>19</v>
      </c>
      <c r="J69" s="24">
        <v>16</v>
      </c>
      <c r="K69" s="25">
        <f t="shared" si="13"/>
        <v>0.75862068965517238</v>
      </c>
      <c r="L69" s="25">
        <f t="shared" si="13"/>
        <v>0.6333333333333333</v>
      </c>
      <c r="M69" s="25">
        <f t="shared" si="13"/>
        <v>0.5</v>
      </c>
      <c r="N69" s="25">
        <f t="shared" si="14"/>
        <v>0.6306513409961686</v>
      </c>
      <c r="O69" s="24">
        <v>5</v>
      </c>
      <c r="P69" s="24">
        <v>2</v>
      </c>
      <c r="Q69" s="24">
        <v>4</v>
      </c>
      <c r="R69" s="24">
        <v>5</v>
      </c>
      <c r="S69" s="24">
        <v>3</v>
      </c>
      <c r="T69" s="24">
        <v>8</v>
      </c>
      <c r="U69" s="25">
        <f t="shared" si="15"/>
        <v>1</v>
      </c>
      <c r="V69" s="25">
        <f t="shared" si="15"/>
        <v>1.5</v>
      </c>
      <c r="W69" s="25">
        <f t="shared" si="15"/>
        <v>2</v>
      </c>
      <c r="X69" s="25">
        <f t="shared" si="16"/>
        <v>1.5</v>
      </c>
    </row>
    <row r="70" spans="1:24" ht="15.75" customHeight="1">
      <c r="A70" s="1">
        <v>20803</v>
      </c>
      <c r="B70" s="2" t="s">
        <v>42</v>
      </c>
      <c r="C70" s="2" t="s">
        <v>87</v>
      </c>
      <c r="D70" s="3" t="s">
        <v>90</v>
      </c>
      <c r="E70" s="24">
        <v>36</v>
      </c>
      <c r="F70" s="24">
        <v>36</v>
      </c>
      <c r="G70" s="24">
        <v>35</v>
      </c>
      <c r="H70" s="24">
        <v>31</v>
      </c>
      <c r="I70" s="24">
        <v>38</v>
      </c>
      <c r="J70" s="24">
        <v>43</v>
      </c>
      <c r="K70" s="25">
        <f t="shared" si="13"/>
        <v>0.86111111111111116</v>
      </c>
      <c r="L70" s="25">
        <f t="shared" si="13"/>
        <v>1.0555555555555556</v>
      </c>
      <c r="M70" s="25">
        <f t="shared" si="13"/>
        <v>1.2285714285714286</v>
      </c>
      <c r="N70" s="25">
        <f t="shared" si="14"/>
        <v>1.0484126984126985</v>
      </c>
      <c r="O70" s="24">
        <v>18</v>
      </c>
      <c r="P70" s="24">
        <v>9</v>
      </c>
      <c r="Q70" s="24">
        <v>6</v>
      </c>
      <c r="R70" s="24">
        <v>14</v>
      </c>
      <c r="S70" s="24">
        <v>9</v>
      </c>
      <c r="T70" s="24">
        <v>4</v>
      </c>
      <c r="U70" s="25">
        <f t="shared" si="15"/>
        <v>0.77777777777777779</v>
      </c>
      <c r="V70" s="25">
        <f t="shared" si="15"/>
        <v>1</v>
      </c>
      <c r="W70" s="25">
        <f t="shared" si="15"/>
        <v>0.66666666666666663</v>
      </c>
      <c r="X70" s="25">
        <f t="shared" si="16"/>
        <v>0.81481481481481477</v>
      </c>
    </row>
    <row r="71" spans="1:24" ht="15.75" customHeight="1">
      <c r="A71" s="1">
        <v>20804</v>
      </c>
      <c r="B71" s="2" t="s">
        <v>42</v>
      </c>
      <c r="C71" s="2" t="s">
        <v>87</v>
      </c>
      <c r="D71" s="3" t="s">
        <v>91</v>
      </c>
      <c r="E71" s="24">
        <v>4</v>
      </c>
      <c r="F71" s="24">
        <v>7</v>
      </c>
      <c r="G71" s="24">
        <v>12</v>
      </c>
      <c r="H71" s="24">
        <v>12</v>
      </c>
      <c r="I71" s="24">
        <v>14</v>
      </c>
      <c r="J71" s="24">
        <v>19</v>
      </c>
      <c r="K71" s="25">
        <f t="shared" si="13"/>
        <v>3</v>
      </c>
      <c r="L71" s="25">
        <f t="shared" si="13"/>
        <v>2</v>
      </c>
      <c r="M71" s="25">
        <f t="shared" si="13"/>
        <v>1.5833333333333333</v>
      </c>
      <c r="N71" s="25">
        <f t="shared" si="14"/>
        <v>2.1944444444444442</v>
      </c>
      <c r="O71" s="24">
        <v>5</v>
      </c>
      <c r="P71" s="24">
        <v>4</v>
      </c>
      <c r="Q71" s="24">
        <v>4</v>
      </c>
      <c r="R71" s="24">
        <v>4</v>
      </c>
      <c r="S71" s="24">
        <v>2</v>
      </c>
      <c r="T71" s="24">
        <v>8</v>
      </c>
      <c r="U71" s="25">
        <f t="shared" si="15"/>
        <v>0.8</v>
      </c>
      <c r="V71" s="25">
        <f t="shared" si="15"/>
        <v>0.5</v>
      </c>
      <c r="W71" s="25">
        <f t="shared" si="15"/>
        <v>2</v>
      </c>
      <c r="X71" s="25">
        <f t="shared" si="16"/>
        <v>1.0999999999999999</v>
      </c>
    </row>
    <row r="72" spans="1:24" ht="15.75" customHeight="1">
      <c r="A72" s="1">
        <v>20805</v>
      </c>
      <c r="B72" s="2" t="s">
        <v>42</v>
      </c>
      <c r="C72" s="2" t="s">
        <v>87</v>
      </c>
      <c r="D72" s="3" t="s">
        <v>92</v>
      </c>
      <c r="E72" s="24">
        <v>18</v>
      </c>
      <c r="F72" s="24">
        <v>7</v>
      </c>
      <c r="G72" s="24">
        <v>21</v>
      </c>
      <c r="H72" s="24">
        <v>26</v>
      </c>
      <c r="I72" s="24">
        <v>16</v>
      </c>
      <c r="J72" s="24">
        <v>20</v>
      </c>
      <c r="K72" s="25">
        <f t="shared" si="13"/>
        <v>1.4444444444444444</v>
      </c>
      <c r="L72" s="25">
        <f t="shared" si="13"/>
        <v>2.2857142857142856</v>
      </c>
      <c r="M72" s="25">
        <f t="shared" si="13"/>
        <v>0.95238095238095233</v>
      </c>
      <c r="N72" s="25">
        <f t="shared" si="14"/>
        <v>1.5608465608465609</v>
      </c>
      <c r="O72" s="24">
        <v>3</v>
      </c>
      <c r="P72" s="24">
        <v>3</v>
      </c>
      <c r="Q72" s="24">
        <v>9</v>
      </c>
      <c r="R72" s="24">
        <v>7</v>
      </c>
      <c r="S72" s="24">
        <v>11</v>
      </c>
      <c r="T72" s="24">
        <v>5</v>
      </c>
      <c r="U72" s="25">
        <f t="shared" si="15"/>
        <v>2.3333333333333335</v>
      </c>
      <c r="V72" s="25">
        <f t="shared" si="15"/>
        <v>3.6666666666666665</v>
      </c>
      <c r="W72" s="25">
        <f t="shared" si="15"/>
        <v>0.55555555555555558</v>
      </c>
      <c r="X72" s="25">
        <f t="shared" si="16"/>
        <v>2.1851851851851851</v>
      </c>
    </row>
    <row r="73" spans="1:24" ht="15.75" customHeight="1">
      <c r="A73" s="1">
        <v>20806</v>
      </c>
      <c r="B73" s="2" t="s">
        <v>42</v>
      </c>
      <c r="C73" s="2" t="s">
        <v>87</v>
      </c>
      <c r="D73" s="3" t="s">
        <v>93</v>
      </c>
      <c r="E73" s="24">
        <v>37</v>
      </c>
      <c r="F73" s="24">
        <v>48</v>
      </c>
      <c r="G73" s="24">
        <v>43</v>
      </c>
      <c r="H73" s="24">
        <v>20</v>
      </c>
      <c r="I73" s="24">
        <v>30</v>
      </c>
      <c r="J73" s="24">
        <v>46</v>
      </c>
      <c r="K73" s="25">
        <f t="shared" si="13"/>
        <v>0.54054054054054057</v>
      </c>
      <c r="L73" s="25">
        <f t="shared" si="13"/>
        <v>0.625</v>
      </c>
      <c r="M73" s="25">
        <f t="shared" si="13"/>
        <v>1.069767441860465</v>
      </c>
      <c r="N73" s="25">
        <f t="shared" si="14"/>
        <v>0.74510266080033516</v>
      </c>
      <c r="O73" s="24">
        <v>16</v>
      </c>
      <c r="P73" s="24">
        <v>15</v>
      </c>
      <c r="Q73" s="24">
        <v>12</v>
      </c>
      <c r="R73" s="24">
        <v>13</v>
      </c>
      <c r="S73" s="24">
        <v>18</v>
      </c>
      <c r="T73" s="24">
        <v>18</v>
      </c>
      <c r="U73" s="25">
        <f t="shared" si="15"/>
        <v>0.8125</v>
      </c>
      <c r="V73" s="25">
        <f t="shared" si="15"/>
        <v>1.2</v>
      </c>
      <c r="W73" s="25">
        <f t="shared" si="15"/>
        <v>1.5</v>
      </c>
      <c r="X73" s="25">
        <f t="shared" si="16"/>
        <v>1.1708333333333334</v>
      </c>
    </row>
    <row r="74" spans="1:24" ht="15.75" customHeight="1">
      <c r="A74" s="1">
        <v>20807</v>
      </c>
      <c r="B74" s="2" t="s">
        <v>42</v>
      </c>
      <c r="C74" s="2" t="s">
        <v>87</v>
      </c>
      <c r="D74" s="3" t="s">
        <v>94</v>
      </c>
      <c r="E74" s="24">
        <v>25</v>
      </c>
      <c r="F74" s="24">
        <v>21</v>
      </c>
      <c r="G74" s="24">
        <v>7</v>
      </c>
      <c r="H74" s="24">
        <v>17</v>
      </c>
      <c r="I74" s="24">
        <v>20</v>
      </c>
      <c r="J74" s="24">
        <v>7</v>
      </c>
      <c r="K74" s="25">
        <f t="shared" si="13"/>
        <v>0.68</v>
      </c>
      <c r="L74" s="25">
        <f t="shared" si="13"/>
        <v>0.95238095238095233</v>
      </c>
      <c r="M74" s="25">
        <f t="shared" si="13"/>
        <v>1</v>
      </c>
      <c r="N74" s="25">
        <f t="shared" si="14"/>
        <v>0.87746031746031738</v>
      </c>
      <c r="O74" s="24">
        <v>6</v>
      </c>
      <c r="P74" s="24">
        <v>4</v>
      </c>
      <c r="Q74" s="24">
        <v>1</v>
      </c>
      <c r="R74" s="24">
        <v>3</v>
      </c>
      <c r="S74" s="24">
        <v>7</v>
      </c>
      <c r="T74" s="24">
        <v>6</v>
      </c>
      <c r="U74" s="25">
        <f t="shared" si="15"/>
        <v>0.5</v>
      </c>
      <c r="V74" s="25">
        <f t="shared" si="15"/>
        <v>1.75</v>
      </c>
      <c r="W74" s="25">
        <f t="shared" si="15"/>
        <v>6</v>
      </c>
      <c r="X74" s="25">
        <f t="shared" si="16"/>
        <v>2.75</v>
      </c>
    </row>
    <row r="75" spans="1:24" ht="15.75" customHeight="1">
      <c r="A75" s="1">
        <v>20901</v>
      </c>
      <c r="B75" s="2" t="s">
        <v>42</v>
      </c>
      <c r="C75" s="2" t="s">
        <v>95</v>
      </c>
      <c r="D75" s="3" t="s">
        <v>96</v>
      </c>
      <c r="E75" s="24">
        <v>28</v>
      </c>
      <c r="F75" s="24">
        <v>31</v>
      </c>
      <c r="G75" s="24">
        <v>37</v>
      </c>
      <c r="H75" s="24">
        <v>31</v>
      </c>
      <c r="I75" s="24">
        <v>65</v>
      </c>
      <c r="J75" s="24">
        <v>53</v>
      </c>
      <c r="K75" s="25">
        <f t="shared" si="13"/>
        <v>1.1071428571428572</v>
      </c>
      <c r="L75" s="25">
        <f t="shared" si="13"/>
        <v>2.096774193548387</v>
      </c>
      <c r="M75" s="25">
        <f t="shared" si="13"/>
        <v>1.4324324324324325</v>
      </c>
      <c r="N75" s="25">
        <f t="shared" si="14"/>
        <v>1.5454498277078923</v>
      </c>
      <c r="O75" s="24">
        <v>10</v>
      </c>
      <c r="P75" s="24">
        <v>16</v>
      </c>
      <c r="Q75" s="24">
        <v>12</v>
      </c>
      <c r="R75" s="24">
        <v>17</v>
      </c>
      <c r="S75" s="24">
        <v>15</v>
      </c>
      <c r="T75" s="24">
        <v>17</v>
      </c>
      <c r="U75" s="25">
        <f t="shared" si="15"/>
        <v>1.7</v>
      </c>
      <c r="V75" s="25">
        <f t="shared" si="15"/>
        <v>0.9375</v>
      </c>
      <c r="W75" s="25">
        <f t="shared" si="15"/>
        <v>1.4166666666666667</v>
      </c>
      <c r="X75" s="25">
        <f t="shared" si="16"/>
        <v>1.351388888888889</v>
      </c>
    </row>
    <row r="76" spans="1:24" ht="15.75" customHeight="1">
      <c r="A76" s="1">
        <v>20902</v>
      </c>
      <c r="B76" s="2" t="s">
        <v>42</v>
      </c>
      <c r="C76" s="2" t="s">
        <v>95</v>
      </c>
      <c r="D76" s="3" t="s">
        <v>97</v>
      </c>
      <c r="E76" s="24">
        <v>34</v>
      </c>
      <c r="F76" s="24">
        <v>36</v>
      </c>
      <c r="G76" s="24">
        <v>24</v>
      </c>
      <c r="H76" s="24">
        <v>50</v>
      </c>
      <c r="I76" s="24">
        <v>42</v>
      </c>
      <c r="J76" s="24">
        <v>32</v>
      </c>
      <c r="K76" s="25">
        <f t="shared" si="13"/>
        <v>1.4705882352941178</v>
      </c>
      <c r="L76" s="25">
        <f t="shared" si="13"/>
        <v>1.1666666666666667</v>
      </c>
      <c r="M76" s="25">
        <f t="shared" si="13"/>
        <v>1.3333333333333333</v>
      </c>
      <c r="N76" s="25">
        <f t="shared" si="14"/>
        <v>1.3235294117647058</v>
      </c>
      <c r="O76" s="24">
        <v>17</v>
      </c>
      <c r="P76" s="24">
        <v>13</v>
      </c>
      <c r="Q76" s="24">
        <v>14</v>
      </c>
      <c r="R76" s="24">
        <v>7</v>
      </c>
      <c r="S76" s="24">
        <v>13</v>
      </c>
      <c r="T76" s="24">
        <v>29</v>
      </c>
      <c r="U76" s="25">
        <f t="shared" si="15"/>
        <v>0.41176470588235292</v>
      </c>
      <c r="V76" s="25">
        <f t="shared" si="15"/>
        <v>1</v>
      </c>
      <c r="W76" s="25">
        <f t="shared" si="15"/>
        <v>2.0714285714285716</v>
      </c>
      <c r="X76" s="25">
        <f t="shared" si="16"/>
        <v>1.1610644257703082</v>
      </c>
    </row>
    <row r="77" spans="1:24" ht="15.75" customHeight="1">
      <c r="A77" s="1">
        <v>20903</v>
      </c>
      <c r="B77" s="2" t="s">
        <v>42</v>
      </c>
      <c r="C77" s="2" t="s">
        <v>95</v>
      </c>
      <c r="D77" s="3" t="s">
        <v>98</v>
      </c>
      <c r="E77" s="24">
        <v>32</v>
      </c>
      <c r="F77" s="24">
        <v>19</v>
      </c>
      <c r="G77" s="24">
        <v>30</v>
      </c>
      <c r="H77" s="24">
        <v>35</v>
      </c>
      <c r="I77" s="24">
        <v>18</v>
      </c>
      <c r="J77" s="24">
        <v>37</v>
      </c>
      <c r="K77" s="25">
        <f t="shared" si="13"/>
        <v>1.09375</v>
      </c>
      <c r="L77" s="25">
        <f t="shared" si="13"/>
        <v>0.94736842105263153</v>
      </c>
      <c r="M77" s="25">
        <f t="shared" si="13"/>
        <v>1.2333333333333334</v>
      </c>
      <c r="N77" s="25">
        <f t="shared" si="14"/>
        <v>1.0914839181286549</v>
      </c>
      <c r="O77" s="24">
        <v>10</v>
      </c>
      <c r="P77" s="24">
        <v>13</v>
      </c>
      <c r="Q77" s="24">
        <v>7</v>
      </c>
      <c r="R77" s="24">
        <v>5</v>
      </c>
      <c r="S77" s="24">
        <v>7</v>
      </c>
      <c r="T77" s="24">
        <v>9</v>
      </c>
      <c r="U77" s="25">
        <f t="shared" si="15"/>
        <v>0.5</v>
      </c>
      <c r="V77" s="25">
        <f t="shared" si="15"/>
        <v>0.53846153846153844</v>
      </c>
      <c r="W77" s="25">
        <f t="shared" si="15"/>
        <v>1.2857142857142858</v>
      </c>
      <c r="X77" s="25">
        <f t="shared" si="16"/>
        <v>0.77472527472527464</v>
      </c>
    </row>
    <row r="78" spans="1:24" ht="15.75" customHeight="1">
      <c r="A78" s="1">
        <v>20904</v>
      </c>
      <c r="B78" s="2" t="s">
        <v>42</v>
      </c>
      <c r="C78" s="2" t="s">
        <v>95</v>
      </c>
      <c r="D78" s="3" t="s">
        <v>99</v>
      </c>
      <c r="E78" s="24">
        <v>5</v>
      </c>
      <c r="F78" s="24">
        <v>1</v>
      </c>
      <c r="G78" s="24">
        <v>4</v>
      </c>
      <c r="H78" s="24">
        <v>7</v>
      </c>
      <c r="I78" s="24">
        <v>4</v>
      </c>
      <c r="J78" s="24">
        <v>4</v>
      </c>
      <c r="K78" s="25">
        <f t="shared" si="13"/>
        <v>1.4</v>
      </c>
      <c r="L78" s="25">
        <f t="shared" si="13"/>
        <v>4</v>
      </c>
      <c r="M78" s="25">
        <f t="shared" si="13"/>
        <v>1</v>
      </c>
      <c r="N78" s="25">
        <f t="shared" si="14"/>
        <v>2.1333333333333333</v>
      </c>
      <c r="O78" s="24">
        <v>1</v>
      </c>
      <c r="P78" s="24">
        <v>0</v>
      </c>
      <c r="Q78" s="24">
        <v>0</v>
      </c>
      <c r="R78" s="24">
        <v>1</v>
      </c>
      <c r="S78" s="24">
        <v>1</v>
      </c>
      <c r="T78" s="24">
        <v>2</v>
      </c>
      <c r="U78" s="25">
        <f t="shared" si="15"/>
        <v>1</v>
      </c>
      <c r="V78" s="25"/>
      <c r="W78" s="25"/>
      <c r="X78" s="25">
        <f t="shared" si="16"/>
        <v>1</v>
      </c>
    </row>
    <row r="79" spans="1:24" ht="15.75" customHeight="1">
      <c r="A79" s="1">
        <v>20905</v>
      </c>
      <c r="B79" s="2" t="s">
        <v>42</v>
      </c>
      <c r="C79" s="2" t="s">
        <v>95</v>
      </c>
      <c r="D79" s="3" t="s">
        <v>100</v>
      </c>
      <c r="E79" s="24">
        <v>51</v>
      </c>
      <c r="F79" s="24">
        <v>33</v>
      </c>
      <c r="G79" s="24">
        <v>42</v>
      </c>
      <c r="H79" s="24">
        <v>46</v>
      </c>
      <c r="I79" s="24">
        <v>45</v>
      </c>
      <c r="J79" s="24">
        <v>32</v>
      </c>
      <c r="K79" s="25">
        <f t="shared" si="13"/>
        <v>0.90196078431372551</v>
      </c>
      <c r="L79" s="25">
        <f t="shared" si="13"/>
        <v>1.3636363636363635</v>
      </c>
      <c r="M79" s="25">
        <f t="shared" si="13"/>
        <v>0.76190476190476186</v>
      </c>
      <c r="N79" s="25">
        <f t="shared" si="14"/>
        <v>1.0091673032849504</v>
      </c>
      <c r="O79" s="24">
        <v>20</v>
      </c>
      <c r="P79" s="24">
        <v>26</v>
      </c>
      <c r="Q79" s="24">
        <v>29</v>
      </c>
      <c r="R79" s="24">
        <v>21</v>
      </c>
      <c r="S79" s="24">
        <v>32</v>
      </c>
      <c r="T79" s="24">
        <v>14</v>
      </c>
      <c r="U79" s="25">
        <f t="shared" si="15"/>
        <v>1.05</v>
      </c>
      <c r="V79" s="25">
        <f t="shared" si="15"/>
        <v>1.2307692307692308</v>
      </c>
      <c r="W79" s="25">
        <f t="shared" si="15"/>
        <v>0.48275862068965519</v>
      </c>
      <c r="X79" s="25">
        <f t="shared" si="16"/>
        <v>0.9211759504862953</v>
      </c>
    </row>
    <row r="80" spans="1:24" ht="15.75" customHeight="1">
      <c r="A80" s="1">
        <v>21001</v>
      </c>
      <c r="B80" s="2" t="s">
        <v>42</v>
      </c>
      <c r="C80" s="2" t="s">
        <v>101</v>
      </c>
      <c r="D80" s="3" t="s">
        <v>101</v>
      </c>
      <c r="E80" s="24">
        <v>52</v>
      </c>
      <c r="F80" s="24">
        <v>52</v>
      </c>
      <c r="G80" s="24">
        <v>73</v>
      </c>
      <c r="H80" s="24">
        <v>77</v>
      </c>
      <c r="I80" s="24">
        <v>59</v>
      </c>
      <c r="J80" s="24">
        <v>73</v>
      </c>
      <c r="K80" s="25">
        <f t="shared" si="13"/>
        <v>1.4807692307692308</v>
      </c>
      <c r="L80" s="25">
        <f t="shared" si="13"/>
        <v>1.1346153846153846</v>
      </c>
      <c r="M80" s="25">
        <f t="shared" si="13"/>
        <v>1</v>
      </c>
      <c r="N80" s="25">
        <f t="shared" si="14"/>
        <v>1.2051282051282051</v>
      </c>
      <c r="O80" s="24">
        <v>24</v>
      </c>
      <c r="P80" s="24">
        <v>36</v>
      </c>
      <c r="Q80" s="24">
        <v>20</v>
      </c>
      <c r="R80" s="24">
        <v>26</v>
      </c>
      <c r="S80" s="24">
        <v>28</v>
      </c>
      <c r="T80" s="24">
        <v>24</v>
      </c>
      <c r="U80" s="25">
        <f t="shared" si="15"/>
        <v>1.0833333333333333</v>
      </c>
      <c r="V80" s="25">
        <f t="shared" si="15"/>
        <v>0.77777777777777779</v>
      </c>
      <c r="W80" s="25">
        <f t="shared" si="15"/>
        <v>1.2</v>
      </c>
      <c r="X80" s="25">
        <f t="shared" si="16"/>
        <v>1.0203703703703704</v>
      </c>
    </row>
    <row r="81" spans="1:24" ht="15.75" customHeight="1">
      <c r="A81" s="1">
        <v>21002</v>
      </c>
      <c r="B81" s="2" t="s">
        <v>42</v>
      </c>
      <c r="C81" s="2" t="s">
        <v>101</v>
      </c>
      <c r="D81" s="3" t="s">
        <v>102</v>
      </c>
      <c r="E81" s="24">
        <v>15</v>
      </c>
      <c r="F81" s="24">
        <v>12</v>
      </c>
      <c r="G81" s="24">
        <v>14</v>
      </c>
      <c r="H81" s="24">
        <v>27</v>
      </c>
      <c r="I81" s="24">
        <v>17</v>
      </c>
      <c r="J81" s="24">
        <v>32</v>
      </c>
      <c r="K81" s="25">
        <f t="shared" si="13"/>
        <v>1.8</v>
      </c>
      <c r="L81" s="25">
        <f t="shared" si="13"/>
        <v>1.4166666666666667</v>
      </c>
      <c r="M81" s="25">
        <f t="shared" si="13"/>
        <v>2.2857142857142856</v>
      </c>
      <c r="N81" s="25">
        <f t="shared" si="14"/>
        <v>1.8341269841269841</v>
      </c>
      <c r="O81" s="24">
        <v>4</v>
      </c>
      <c r="P81" s="24">
        <v>5</v>
      </c>
      <c r="Q81" s="24">
        <v>8</v>
      </c>
      <c r="R81" s="24">
        <v>8</v>
      </c>
      <c r="S81" s="24">
        <v>7</v>
      </c>
      <c r="T81" s="24">
        <v>19</v>
      </c>
      <c r="U81" s="25">
        <f t="shared" si="15"/>
        <v>2</v>
      </c>
      <c r="V81" s="25">
        <f t="shared" si="15"/>
        <v>1.4</v>
      </c>
      <c r="W81" s="25">
        <f t="shared" si="15"/>
        <v>2.375</v>
      </c>
      <c r="X81" s="25">
        <f t="shared" si="16"/>
        <v>1.925</v>
      </c>
    </row>
    <row r="82" spans="1:24" ht="15.75" customHeight="1">
      <c r="A82" s="1">
        <v>21003</v>
      </c>
      <c r="B82" s="2" t="s">
        <v>42</v>
      </c>
      <c r="C82" s="2" t="s">
        <v>101</v>
      </c>
      <c r="D82" s="3" t="s">
        <v>103</v>
      </c>
      <c r="E82" s="24">
        <v>24</v>
      </c>
      <c r="F82" s="24">
        <v>23</v>
      </c>
      <c r="G82" s="24">
        <v>49</v>
      </c>
      <c r="H82" s="24">
        <v>50</v>
      </c>
      <c r="I82" s="24">
        <v>53</v>
      </c>
      <c r="J82" s="24">
        <v>93</v>
      </c>
      <c r="K82" s="25">
        <f t="shared" si="13"/>
        <v>2.0833333333333335</v>
      </c>
      <c r="L82" s="25">
        <f t="shared" si="13"/>
        <v>2.3043478260869565</v>
      </c>
      <c r="M82" s="25">
        <f t="shared" si="13"/>
        <v>1.8979591836734695</v>
      </c>
      <c r="N82" s="25">
        <f t="shared" si="14"/>
        <v>2.0952134476979198</v>
      </c>
      <c r="O82" s="24">
        <v>35</v>
      </c>
      <c r="P82" s="24">
        <v>22</v>
      </c>
      <c r="Q82" s="24">
        <v>19</v>
      </c>
      <c r="R82" s="24">
        <v>46</v>
      </c>
      <c r="S82" s="24">
        <v>44</v>
      </c>
      <c r="T82" s="24">
        <v>64</v>
      </c>
      <c r="U82" s="25">
        <f t="shared" si="15"/>
        <v>1.3142857142857143</v>
      </c>
      <c r="V82" s="25">
        <f t="shared" si="15"/>
        <v>2</v>
      </c>
      <c r="W82" s="25">
        <f t="shared" si="15"/>
        <v>3.3684210526315788</v>
      </c>
      <c r="X82" s="25">
        <f t="shared" si="16"/>
        <v>2.2275689223057644</v>
      </c>
    </row>
    <row r="83" spans="1:24" ht="15.75" customHeight="1">
      <c r="A83" s="1">
        <v>21004</v>
      </c>
      <c r="B83" s="2" t="s">
        <v>42</v>
      </c>
      <c r="C83" s="2" t="s">
        <v>101</v>
      </c>
      <c r="D83" s="3" t="s">
        <v>104</v>
      </c>
      <c r="E83" s="24">
        <v>71</v>
      </c>
      <c r="F83" s="24">
        <v>74</v>
      </c>
      <c r="G83" s="24">
        <v>81</v>
      </c>
      <c r="H83" s="24">
        <v>98</v>
      </c>
      <c r="I83" s="24">
        <v>81</v>
      </c>
      <c r="J83" s="24">
        <v>69</v>
      </c>
      <c r="K83" s="25">
        <f t="shared" si="13"/>
        <v>1.380281690140845</v>
      </c>
      <c r="L83" s="25">
        <f t="shared" si="13"/>
        <v>1.0945945945945945</v>
      </c>
      <c r="M83" s="25">
        <f t="shared" si="13"/>
        <v>0.85185185185185186</v>
      </c>
      <c r="N83" s="25">
        <f t="shared" si="14"/>
        <v>1.1089093788624307</v>
      </c>
      <c r="O83" s="24">
        <v>27</v>
      </c>
      <c r="P83" s="24">
        <v>30</v>
      </c>
      <c r="Q83" s="24">
        <v>29</v>
      </c>
      <c r="R83" s="24">
        <v>22</v>
      </c>
      <c r="S83" s="24">
        <v>53</v>
      </c>
      <c r="T83" s="24">
        <v>34</v>
      </c>
      <c r="U83" s="25">
        <f t="shared" si="15"/>
        <v>0.81481481481481477</v>
      </c>
      <c r="V83" s="25">
        <f t="shared" si="15"/>
        <v>1.7666666666666666</v>
      </c>
      <c r="W83" s="25">
        <f t="shared" si="15"/>
        <v>1.1724137931034482</v>
      </c>
      <c r="X83" s="25">
        <f t="shared" si="16"/>
        <v>1.2512984248616432</v>
      </c>
    </row>
    <row r="84" spans="1:24" ht="15.75" customHeight="1">
      <c r="A84" s="1">
        <v>21005</v>
      </c>
      <c r="B84" s="2" t="s">
        <v>42</v>
      </c>
      <c r="C84" s="2" t="s">
        <v>101</v>
      </c>
      <c r="D84" s="3" t="s">
        <v>105</v>
      </c>
      <c r="E84" s="24">
        <v>16</v>
      </c>
      <c r="F84" s="24">
        <v>24</v>
      </c>
      <c r="G84" s="24">
        <v>24</v>
      </c>
      <c r="H84" s="24">
        <v>17</v>
      </c>
      <c r="I84" s="24">
        <v>25</v>
      </c>
      <c r="J84" s="24">
        <v>43</v>
      </c>
      <c r="K84" s="25">
        <f t="shared" si="13"/>
        <v>1.0625</v>
      </c>
      <c r="L84" s="25">
        <f t="shared" si="13"/>
        <v>1.0416666666666667</v>
      </c>
      <c r="M84" s="25">
        <f t="shared" si="13"/>
        <v>1.7916666666666667</v>
      </c>
      <c r="N84" s="25">
        <f t="shared" si="14"/>
        <v>1.2986111111111114</v>
      </c>
      <c r="O84" s="24">
        <v>12</v>
      </c>
      <c r="P84" s="24">
        <v>16</v>
      </c>
      <c r="Q84" s="24">
        <v>3</v>
      </c>
      <c r="R84" s="24">
        <v>10</v>
      </c>
      <c r="S84" s="24">
        <v>11</v>
      </c>
      <c r="T84" s="24">
        <v>5</v>
      </c>
      <c r="U84" s="25">
        <f t="shared" si="15"/>
        <v>0.83333333333333337</v>
      </c>
      <c r="V84" s="25">
        <f t="shared" si="15"/>
        <v>0.6875</v>
      </c>
      <c r="W84" s="25">
        <f t="shared" si="15"/>
        <v>1.6666666666666667</v>
      </c>
      <c r="X84" s="25">
        <f t="shared" si="16"/>
        <v>1.0625</v>
      </c>
    </row>
    <row r="85" spans="1:24" ht="15.75" customHeight="1">
      <c r="A85" s="1">
        <v>21006</v>
      </c>
      <c r="B85" s="2" t="s">
        <v>42</v>
      </c>
      <c r="C85" s="2" t="s">
        <v>101</v>
      </c>
      <c r="D85" s="3" t="s">
        <v>106</v>
      </c>
      <c r="E85" s="24">
        <v>8</v>
      </c>
      <c r="F85" s="24">
        <v>5</v>
      </c>
      <c r="G85" s="24">
        <v>15</v>
      </c>
      <c r="H85" s="24">
        <v>11</v>
      </c>
      <c r="I85" s="24">
        <v>19</v>
      </c>
      <c r="J85" s="24">
        <v>16</v>
      </c>
      <c r="K85" s="25">
        <f t="shared" si="13"/>
        <v>1.375</v>
      </c>
      <c r="L85" s="25">
        <f t="shared" si="13"/>
        <v>3.8</v>
      </c>
      <c r="M85" s="25">
        <f t="shared" si="13"/>
        <v>1.0666666666666667</v>
      </c>
      <c r="N85" s="25">
        <f t="shared" si="14"/>
        <v>2.0805555555555553</v>
      </c>
      <c r="O85" s="24">
        <v>5</v>
      </c>
      <c r="P85" s="24">
        <v>1</v>
      </c>
      <c r="Q85" s="24">
        <v>2</v>
      </c>
      <c r="R85" s="24">
        <v>13</v>
      </c>
      <c r="S85" s="24">
        <v>2</v>
      </c>
      <c r="T85" s="24">
        <v>10</v>
      </c>
      <c r="U85" s="25">
        <f t="shared" si="15"/>
        <v>2.6</v>
      </c>
      <c r="V85" s="25">
        <f t="shared" si="15"/>
        <v>2</v>
      </c>
      <c r="W85" s="25">
        <f t="shared" si="15"/>
        <v>5</v>
      </c>
      <c r="X85" s="25">
        <f t="shared" si="16"/>
        <v>3.1999999999999997</v>
      </c>
    </row>
    <row r="86" spans="1:24" ht="15.75" customHeight="1">
      <c r="A86" s="1">
        <v>21101</v>
      </c>
      <c r="B86" s="2" t="s">
        <v>42</v>
      </c>
      <c r="C86" s="2" t="s">
        <v>107</v>
      </c>
      <c r="D86" s="3" t="s">
        <v>108</v>
      </c>
      <c r="E86" s="24">
        <v>41</v>
      </c>
      <c r="F86" s="24">
        <v>56</v>
      </c>
      <c r="G86" s="24">
        <v>71</v>
      </c>
      <c r="H86" s="24">
        <v>91</v>
      </c>
      <c r="I86" s="24">
        <v>90</v>
      </c>
      <c r="J86" s="24">
        <v>97</v>
      </c>
      <c r="K86" s="25">
        <f t="shared" si="13"/>
        <v>2.2195121951219514</v>
      </c>
      <c r="L86" s="25">
        <f t="shared" si="13"/>
        <v>1.6071428571428572</v>
      </c>
      <c r="M86" s="25">
        <f t="shared" si="13"/>
        <v>1.3661971830985915</v>
      </c>
      <c r="N86" s="25">
        <f t="shared" si="14"/>
        <v>1.7309507451211334</v>
      </c>
      <c r="O86" s="24">
        <v>23</v>
      </c>
      <c r="P86" s="24">
        <v>19</v>
      </c>
      <c r="Q86" s="24">
        <v>23</v>
      </c>
      <c r="R86" s="24">
        <v>41</v>
      </c>
      <c r="S86" s="24">
        <v>32</v>
      </c>
      <c r="T86" s="24">
        <v>43</v>
      </c>
      <c r="U86" s="25">
        <f t="shared" si="15"/>
        <v>1.7826086956521738</v>
      </c>
      <c r="V86" s="25">
        <f t="shared" si="15"/>
        <v>1.6842105263157894</v>
      </c>
      <c r="W86" s="25">
        <f t="shared" si="15"/>
        <v>1.8695652173913044</v>
      </c>
      <c r="X86" s="25">
        <f t="shared" si="16"/>
        <v>1.778794813119756</v>
      </c>
    </row>
    <row r="87" spans="1:24" ht="15.75" customHeight="1">
      <c r="A87" s="1">
        <v>21102</v>
      </c>
      <c r="B87" s="2" t="s">
        <v>42</v>
      </c>
      <c r="C87" s="2" t="s">
        <v>107</v>
      </c>
      <c r="D87" s="3" t="s">
        <v>109</v>
      </c>
      <c r="E87" s="24">
        <v>37</v>
      </c>
      <c r="F87" s="24">
        <v>44</v>
      </c>
      <c r="G87" s="24">
        <v>66</v>
      </c>
      <c r="H87" s="24">
        <v>45</v>
      </c>
      <c r="I87" s="24">
        <v>68</v>
      </c>
      <c r="J87" s="24">
        <v>76</v>
      </c>
      <c r="K87" s="25">
        <f t="shared" si="13"/>
        <v>1.2162162162162162</v>
      </c>
      <c r="L87" s="25">
        <f t="shared" si="13"/>
        <v>1.5454545454545454</v>
      </c>
      <c r="M87" s="25">
        <f t="shared" si="13"/>
        <v>1.1515151515151516</v>
      </c>
      <c r="N87" s="25">
        <f t="shared" si="14"/>
        <v>1.3043953043953043</v>
      </c>
      <c r="O87" s="24">
        <v>20</v>
      </c>
      <c r="P87" s="24">
        <v>33</v>
      </c>
      <c r="Q87" s="24">
        <v>25</v>
      </c>
      <c r="R87" s="24">
        <v>40</v>
      </c>
      <c r="S87" s="24">
        <v>44</v>
      </c>
      <c r="T87" s="24">
        <v>39</v>
      </c>
      <c r="U87" s="25">
        <f t="shared" si="15"/>
        <v>2</v>
      </c>
      <c r="V87" s="25">
        <f t="shared" si="15"/>
        <v>1.3333333333333333</v>
      </c>
      <c r="W87" s="25">
        <f t="shared" si="15"/>
        <v>1.56</v>
      </c>
      <c r="X87" s="25">
        <f t="shared" si="16"/>
        <v>1.631111111111111</v>
      </c>
    </row>
    <row r="88" spans="1:24" ht="15.75" customHeight="1">
      <c r="A88" s="1">
        <v>21103</v>
      </c>
      <c r="B88" s="2" t="s">
        <v>42</v>
      </c>
      <c r="C88" s="2" t="s">
        <v>107</v>
      </c>
      <c r="D88" s="3" t="s">
        <v>110</v>
      </c>
      <c r="E88" s="24">
        <v>11</v>
      </c>
      <c r="F88" s="24">
        <v>8</v>
      </c>
      <c r="G88" s="24">
        <v>11</v>
      </c>
      <c r="H88" s="24">
        <v>12</v>
      </c>
      <c r="I88" s="24">
        <v>12</v>
      </c>
      <c r="J88" s="24">
        <v>19</v>
      </c>
      <c r="K88" s="25">
        <f t="shared" si="13"/>
        <v>1.0909090909090908</v>
      </c>
      <c r="L88" s="25">
        <f t="shared" si="13"/>
        <v>1.5</v>
      </c>
      <c r="M88" s="25">
        <f t="shared" si="13"/>
        <v>1.7272727272727273</v>
      </c>
      <c r="N88" s="25">
        <f t="shared" si="14"/>
        <v>1.4393939393939394</v>
      </c>
      <c r="O88" s="24">
        <v>8</v>
      </c>
      <c r="P88" s="24">
        <v>4</v>
      </c>
      <c r="Q88" s="24">
        <v>3</v>
      </c>
      <c r="R88" s="24">
        <v>6</v>
      </c>
      <c r="S88" s="24">
        <v>11</v>
      </c>
      <c r="T88" s="24">
        <v>7</v>
      </c>
      <c r="U88" s="25">
        <f t="shared" si="15"/>
        <v>0.75</v>
      </c>
      <c r="V88" s="25">
        <f t="shared" si="15"/>
        <v>2.75</v>
      </c>
      <c r="W88" s="25">
        <f t="shared" si="15"/>
        <v>2.3333333333333335</v>
      </c>
      <c r="X88" s="25">
        <f t="shared" si="16"/>
        <v>1.9444444444444446</v>
      </c>
    </row>
    <row r="89" spans="1:24" ht="15.75" customHeight="1">
      <c r="A89" s="1">
        <v>21104</v>
      </c>
      <c r="B89" s="2" t="s">
        <v>42</v>
      </c>
      <c r="C89" s="2" t="s">
        <v>107</v>
      </c>
      <c r="D89" s="3" t="s">
        <v>111</v>
      </c>
      <c r="E89" s="24">
        <v>126</v>
      </c>
      <c r="F89" s="24">
        <v>107</v>
      </c>
      <c r="G89" s="24">
        <v>90</v>
      </c>
      <c r="H89" s="24">
        <v>163</v>
      </c>
      <c r="I89" s="24">
        <v>136</v>
      </c>
      <c r="J89" s="24">
        <v>137</v>
      </c>
      <c r="K89" s="25">
        <f t="shared" si="13"/>
        <v>1.2936507936507937</v>
      </c>
      <c r="L89" s="25">
        <f t="shared" si="13"/>
        <v>1.2710280373831775</v>
      </c>
      <c r="M89" s="25">
        <f t="shared" si="13"/>
        <v>1.5222222222222221</v>
      </c>
      <c r="N89" s="25">
        <f t="shared" si="14"/>
        <v>1.3623003510853977</v>
      </c>
      <c r="O89" s="24">
        <v>54</v>
      </c>
      <c r="P89" s="24">
        <v>50</v>
      </c>
      <c r="Q89" s="24">
        <v>54</v>
      </c>
      <c r="R89" s="24">
        <v>88</v>
      </c>
      <c r="S89" s="24">
        <v>94</v>
      </c>
      <c r="T89" s="24">
        <v>107</v>
      </c>
      <c r="U89" s="25">
        <f t="shared" si="15"/>
        <v>1.6296296296296295</v>
      </c>
      <c r="V89" s="25">
        <f t="shared" si="15"/>
        <v>1.88</v>
      </c>
      <c r="W89" s="25">
        <f t="shared" si="15"/>
        <v>1.9814814814814814</v>
      </c>
      <c r="X89" s="25">
        <f t="shared" si="16"/>
        <v>1.8303703703703704</v>
      </c>
    </row>
    <row r="90" spans="1:24" ht="15.75" customHeight="1">
      <c r="A90" s="1">
        <v>21105</v>
      </c>
      <c r="B90" s="2" t="s">
        <v>42</v>
      </c>
      <c r="C90" s="2" t="s">
        <v>107</v>
      </c>
      <c r="D90" s="3" t="s">
        <v>112</v>
      </c>
      <c r="E90" s="24">
        <v>105</v>
      </c>
      <c r="F90" s="24">
        <v>193</v>
      </c>
      <c r="G90" s="24">
        <v>130</v>
      </c>
      <c r="H90" s="24">
        <v>180</v>
      </c>
      <c r="I90" s="24">
        <v>208</v>
      </c>
      <c r="J90" s="24">
        <v>196</v>
      </c>
      <c r="K90" s="25">
        <f t="shared" si="13"/>
        <v>1.7142857142857142</v>
      </c>
      <c r="L90" s="25">
        <f t="shared" si="13"/>
        <v>1.0777202072538861</v>
      </c>
      <c r="M90" s="25">
        <f t="shared" si="13"/>
        <v>1.5076923076923077</v>
      </c>
      <c r="N90" s="25">
        <f t="shared" si="14"/>
        <v>1.4332327430773024</v>
      </c>
      <c r="O90" s="24">
        <v>71</v>
      </c>
      <c r="P90" s="24">
        <v>91</v>
      </c>
      <c r="Q90" s="24">
        <v>105</v>
      </c>
      <c r="R90" s="24">
        <v>134</v>
      </c>
      <c r="S90" s="24">
        <v>168</v>
      </c>
      <c r="T90" s="24">
        <v>219</v>
      </c>
      <c r="U90" s="25">
        <f t="shared" si="15"/>
        <v>1.8873239436619718</v>
      </c>
      <c r="V90" s="25">
        <f t="shared" si="15"/>
        <v>1.8461538461538463</v>
      </c>
      <c r="W90" s="25">
        <f t="shared" si="15"/>
        <v>2.0857142857142859</v>
      </c>
      <c r="X90" s="25">
        <f t="shared" si="16"/>
        <v>1.9397306918433681</v>
      </c>
    </row>
    <row r="91" spans="1:24" ht="15.75" customHeight="1">
      <c r="A91" s="1">
        <v>21201</v>
      </c>
      <c r="B91" s="2" t="s">
        <v>42</v>
      </c>
      <c r="C91" s="2" t="s">
        <v>113</v>
      </c>
      <c r="D91" s="3" t="s">
        <v>114</v>
      </c>
      <c r="E91" s="24">
        <v>108</v>
      </c>
      <c r="F91" s="24">
        <v>124</v>
      </c>
      <c r="G91" s="24">
        <v>122</v>
      </c>
      <c r="H91" s="24">
        <v>121</v>
      </c>
      <c r="I91" s="24">
        <v>78</v>
      </c>
      <c r="J91" s="24">
        <v>96</v>
      </c>
      <c r="K91" s="25">
        <f t="shared" si="13"/>
        <v>1.1203703703703705</v>
      </c>
      <c r="L91" s="25">
        <f t="shared" si="13"/>
        <v>0.62903225806451613</v>
      </c>
      <c r="M91" s="25">
        <f t="shared" si="13"/>
        <v>0.78688524590163933</v>
      </c>
      <c r="N91" s="25">
        <f t="shared" si="14"/>
        <v>0.84542929144550871</v>
      </c>
      <c r="O91" s="24">
        <v>37</v>
      </c>
      <c r="P91" s="24">
        <v>28</v>
      </c>
      <c r="Q91" s="24">
        <v>36</v>
      </c>
      <c r="R91" s="24">
        <v>33</v>
      </c>
      <c r="S91" s="24">
        <v>38</v>
      </c>
      <c r="T91" s="24">
        <v>61</v>
      </c>
      <c r="U91" s="25">
        <f t="shared" si="15"/>
        <v>0.89189189189189189</v>
      </c>
      <c r="V91" s="25">
        <f t="shared" si="15"/>
        <v>1.3571428571428572</v>
      </c>
      <c r="W91" s="25">
        <f t="shared" si="15"/>
        <v>1.6944444444444444</v>
      </c>
      <c r="X91" s="25">
        <f t="shared" si="16"/>
        <v>1.3144930644930646</v>
      </c>
    </row>
    <row r="92" spans="1:24" ht="15.75" customHeight="1">
      <c r="A92" s="1">
        <v>21202</v>
      </c>
      <c r="B92" s="2" t="s">
        <v>42</v>
      </c>
      <c r="C92" s="2" t="s">
        <v>113</v>
      </c>
      <c r="D92" s="3" t="s">
        <v>115</v>
      </c>
      <c r="E92" s="24">
        <v>43</v>
      </c>
      <c r="F92" s="24">
        <v>62</v>
      </c>
      <c r="G92" s="24">
        <v>30</v>
      </c>
      <c r="H92" s="24">
        <v>31</v>
      </c>
      <c r="I92" s="24">
        <v>72</v>
      </c>
      <c r="J92" s="24">
        <v>45</v>
      </c>
      <c r="K92" s="25">
        <f t="shared" si="13"/>
        <v>0.72093023255813948</v>
      </c>
      <c r="L92" s="25">
        <f t="shared" si="13"/>
        <v>1.1612903225806452</v>
      </c>
      <c r="M92" s="25">
        <f t="shared" si="13"/>
        <v>1.5</v>
      </c>
      <c r="N92" s="25">
        <f t="shared" si="14"/>
        <v>1.1274068517129283</v>
      </c>
      <c r="O92" s="24">
        <v>34</v>
      </c>
      <c r="P92" s="24">
        <v>20</v>
      </c>
      <c r="Q92" s="24">
        <v>25</v>
      </c>
      <c r="R92" s="24">
        <v>26</v>
      </c>
      <c r="S92" s="24">
        <v>22</v>
      </c>
      <c r="T92" s="24">
        <v>33</v>
      </c>
      <c r="U92" s="25">
        <f t="shared" si="15"/>
        <v>0.76470588235294112</v>
      </c>
      <c r="V92" s="25">
        <f t="shared" si="15"/>
        <v>1.1000000000000001</v>
      </c>
      <c r="W92" s="25">
        <f t="shared" si="15"/>
        <v>1.32</v>
      </c>
      <c r="X92" s="25">
        <f t="shared" si="16"/>
        <v>1.0615686274509804</v>
      </c>
    </row>
    <row r="93" spans="1:24" ht="15.75" customHeight="1">
      <c r="A93" s="1">
        <v>21203</v>
      </c>
      <c r="B93" s="2" t="s">
        <v>42</v>
      </c>
      <c r="C93" s="2" t="s">
        <v>113</v>
      </c>
      <c r="D93" s="3" t="s">
        <v>116</v>
      </c>
      <c r="E93" s="24">
        <v>79</v>
      </c>
      <c r="F93" s="24">
        <v>72</v>
      </c>
      <c r="G93" s="24">
        <v>80</v>
      </c>
      <c r="H93" s="24">
        <v>58</v>
      </c>
      <c r="I93" s="24">
        <v>69</v>
      </c>
      <c r="J93" s="24">
        <v>68</v>
      </c>
      <c r="K93" s="25">
        <f t="shared" si="13"/>
        <v>0.73417721518987344</v>
      </c>
      <c r="L93" s="25">
        <f t="shared" si="13"/>
        <v>0.95833333333333337</v>
      </c>
      <c r="M93" s="25">
        <f t="shared" si="13"/>
        <v>0.85</v>
      </c>
      <c r="N93" s="25">
        <f t="shared" si="14"/>
        <v>0.84750351617440234</v>
      </c>
      <c r="O93" s="24">
        <v>14</v>
      </c>
      <c r="P93" s="24">
        <v>22</v>
      </c>
      <c r="Q93" s="24">
        <v>24</v>
      </c>
      <c r="R93" s="24">
        <v>22</v>
      </c>
      <c r="S93" s="24">
        <v>17</v>
      </c>
      <c r="T93" s="24">
        <v>22</v>
      </c>
      <c r="U93" s="25">
        <f t="shared" si="15"/>
        <v>1.5714285714285714</v>
      </c>
      <c r="V93" s="25">
        <f t="shared" si="15"/>
        <v>0.77272727272727271</v>
      </c>
      <c r="W93" s="25">
        <f t="shared" si="15"/>
        <v>0.91666666666666663</v>
      </c>
      <c r="X93" s="25">
        <f t="shared" si="16"/>
        <v>1.0869408369408369</v>
      </c>
    </row>
    <row r="94" spans="1:24" ht="15.75" customHeight="1">
      <c r="A94" s="1">
        <v>21204</v>
      </c>
      <c r="B94" s="2" t="s">
        <v>42</v>
      </c>
      <c r="C94" s="2" t="s">
        <v>113</v>
      </c>
      <c r="D94" s="3" t="s">
        <v>117</v>
      </c>
      <c r="E94" s="24">
        <v>22</v>
      </c>
      <c r="F94" s="24">
        <v>21</v>
      </c>
      <c r="G94" s="24">
        <v>21</v>
      </c>
      <c r="H94" s="24">
        <v>15</v>
      </c>
      <c r="I94" s="24">
        <v>16</v>
      </c>
      <c r="J94" s="24">
        <v>9</v>
      </c>
      <c r="K94" s="25">
        <f t="shared" si="13"/>
        <v>0.68181818181818177</v>
      </c>
      <c r="L94" s="25">
        <f t="shared" si="13"/>
        <v>0.76190476190476186</v>
      </c>
      <c r="M94" s="25">
        <f t="shared" si="13"/>
        <v>0.42857142857142855</v>
      </c>
      <c r="N94" s="25">
        <f t="shared" si="14"/>
        <v>0.62409812409812404</v>
      </c>
      <c r="O94" s="24">
        <v>3</v>
      </c>
      <c r="P94" s="24">
        <v>6</v>
      </c>
      <c r="Q94" s="24">
        <v>4</v>
      </c>
      <c r="R94" s="24">
        <v>3</v>
      </c>
      <c r="S94" s="24">
        <v>4</v>
      </c>
      <c r="T94" s="24">
        <v>7</v>
      </c>
      <c r="U94" s="25">
        <f t="shared" si="15"/>
        <v>1</v>
      </c>
      <c r="V94" s="25">
        <f t="shared" si="15"/>
        <v>0.66666666666666663</v>
      </c>
      <c r="W94" s="25">
        <f t="shared" si="15"/>
        <v>1.75</v>
      </c>
      <c r="X94" s="25">
        <f t="shared" si="16"/>
        <v>1.1388888888888888</v>
      </c>
    </row>
    <row r="95" spans="1:24" ht="15.75" customHeight="1">
      <c r="A95" s="1">
        <v>21301</v>
      </c>
      <c r="B95" s="2" t="s">
        <v>42</v>
      </c>
      <c r="C95" s="2" t="s">
        <v>118</v>
      </c>
      <c r="D95" s="3" t="s">
        <v>119</v>
      </c>
      <c r="E95" s="24">
        <v>53</v>
      </c>
      <c r="F95" s="24">
        <v>62</v>
      </c>
      <c r="G95" s="24">
        <v>70</v>
      </c>
      <c r="H95" s="24">
        <v>64</v>
      </c>
      <c r="I95" s="24">
        <v>83</v>
      </c>
      <c r="J95" s="24">
        <v>87</v>
      </c>
      <c r="K95" s="25">
        <f t="shared" si="13"/>
        <v>1.2075471698113207</v>
      </c>
      <c r="L95" s="25">
        <f t="shared" si="13"/>
        <v>1.3387096774193548</v>
      </c>
      <c r="M95" s="25">
        <f t="shared" si="13"/>
        <v>1.2428571428571429</v>
      </c>
      <c r="N95" s="25">
        <f t="shared" si="14"/>
        <v>1.2630379966959395</v>
      </c>
      <c r="O95" s="24">
        <v>16</v>
      </c>
      <c r="P95" s="24">
        <v>22</v>
      </c>
      <c r="Q95" s="24">
        <v>17</v>
      </c>
      <c r="R95" s="24">
        <v>31</v>
      </c>
      <c r="S95" s="24">
        <v>20</v>
      </c>
      <c r="T95" s="24">
        <v>28</v>
      </c>
      <c r="U95" s="25">
        <f t="shared" si="15"/>
        <v>1.9375</v>
      </c>
      <c r="V95" s="25">
        <f t="shared" si="15"/>
        <v>0.90909090909090906</v>
      </c>
      <c r="W95" s="25">
        <f t="shared" si="15"/>
        <v>1.6470588235294117</v>
      </c>
      <c r="X95" s="25">
        <f t="shared" si="16"/>
        <v>1.4978832442067738</v>
      </c>
    </row>
    <row r="96" spans="1:24" ht="15.75" customHeight="1">
      <c r="A96" s="1">
        <v>21302</v>
      </c>
      <c r="B96" s="2" t="s">
        <v>42</v>
      </c>
      <c r="C96" s="2" t="s">
        <v>118</v>
      </c>
      <c r="D96" s="3" t="s">
        <v>120</v>
      </c>
      <c r="E96" s="24">
        <v>45</v>
      </c>
      <c r="F96" s="24">
        <v>43</v>
      </c>
      <c r="G96" s="24">
        <v>38</v>
      </c>
      <c r="H96" s="24">
        <v>56</v>
      </c>
      <c r="I96" s="24">
        <v>48</v>
      </c>
      <c r="J96" s="24">
        <v>37</v>
      </c>
      <c r="K96" s="25">
        <f t="shared" si="13"/>
        <v>1.2444444444444445</v>
      </c>
      <c r="L96" s="25">
        <f t="shared" si="13"/>
        <v>1.1162790697674418</v>
      </c>
      <c r="M96" s="25">
        <f t="shared" si="13"/>
        <v>0.97368421052631582</v>
      </c>
      <c r="N96" s="25">
        <f t="shared" si="14"/>
        <v>1.1114692415794007</v>
      </c>
      <c r="O96" s="24">
        <v>6</v>
      </c>
      <c r="P96" s="24">
        <v>16</v>
      </c>
      <c r="Q96" s="24">
        <v>20</v>
      </c>
      <c r="R96" s="24">
        <v>8</v>
      </c>
      <c r="S96" s="24">
        <v>13</v>
      </c>
      <c r="T96" s="24">
        <v>16</v>
      </c>
      <c r="U96" s="25">
        <f t="shared" si="15"/>
        <v>1.3333333333333333</v>
      </c>
      <c r="V96" s="25">
        <f t="shared" si="15"/>
        <v>0.8125</v>
      </c>
      <c r="W96" s="25">
        <f t="shared" si="15"/>
        <v>0.8</v>
      </c>
      <c r="X96" s="25">
        <f t="shared" si="16"/>
        <v>0.98194444444444429</v>
      </c>
    </row>
    <row r="97" spans="1:24" ht="15.75" customHeight="1">
      <c r="A97" s="1">
        <v>21303</v>
      </c>
      <c r="B97" s="2" t="s">
        <v>42</v>
      </c>
      <c r="C97" s="2" t="s">
        <v>118</v>
      </c>
      <c r="D97" s="3" t="s">
        <v>121</v>
      </c>
      <c r="E97" s="24">
        <v>23</v>
      </c>
      <c r="F97" s="24">
        <v>34</v>
      </c>
      <c r="G97" s="24">
        <v>35</v>
      </c>
      <c r="H97" s="24">
        <v>20</v>
      </c>
      <c r="I97" s="24">
        <v>16</v>
      </c>
      <c r="J97" s="24">
        <v>41</v>
      </c>
      <c r="K97" s="25">
        <f t="shared" si="13"/>
        <v>0.86956521739130432</v>
      </c>
      <c r="L97" s="25">
        <f t="shared" si="13"/>
        <v>0.47058823529411764</v>
      </c>
      <c r="M97" s="25">
        <f t="shared" si="13"/>
        <v>1.1714285714285715</v>
      </c>
      <c r="N97" s="25">
        <f t="shared" si="14"/>
        <v>0.83719400803799771</v>
      </c>
      <c r="O97" s="24">
        <v>11</v>
      </c>
      <c r="P97" s="24">
        <v>10</v>
      </c>
      <c r="Q97" s="24">
        <v>17</v>
      </c>
      <c r="R97" s="24">
        <v>4</v>
      </c>
      <c r="S97" s="24">
        <v>5</v>
      </c>
      <c r="T97" s="24">
        <v>12</v>
      </c>
      <c r="U97" s="25">
        <f t="shared" si="15"/>
        <v>0.36363636363636365</v>
      </c>
      <c r="V97" s="25">
        <f t="shared" si="15"/>
        <v>0.5</v>
      </c>
      <c r="W97" s="25">
        <f t="shared" si="15"/>
        <v>0.70588235294117652</v>
      </c>
      <c r="X97" s="25">
        <f t="shared" si="16"/>
        <v>0.52317290552584672</v>
      </c>
    </row>
    <row r="98" spans="1:24" ht="15.75" customHeight="1">
      <c r="A98" s="1">
        <v>21304</v>
      </c>
      <c r="B98" s="2" t="s">
        <v>42</v>
      </c>
      <c r="C98" s="2" t="s">
        <v>118</v>
      </c>
      <c r="D98" s="3" t="s">
        <v>122</v>
      </c>
      <c r="E98" s="24">
        <v>61</v>
      </c>
      <c r="F98" s="24">
        <v>45</v>
      </c>
      <c r="G98" s="24">
        <v>54</v>
      </c>
      <c r="H98" s="24">
        <v>28</v>
      </c>
      <c r="I98" s="24">
        <v>47</v>
      </c>
      <c r="J98" s="24">
        <v>47</v>
      </c>
      <c r="K98" s="25">
        <f t="shared" si="13"/>
        <v>0.45901639344262296</v>
      </c>
      <c r="L98" s="25">
        <f t="shared" si="13"/>
        <v>1.0444444444444445</v>
      </c>
      <c r="M98" s="25">
        <f t="shared" si="13"/>
        <v>0.87037037037037035</v>
      </c>
      <c r="N98" s="25">
        <f t="shared" si="14"/>
        <v>0.791277069419146</v>
      </c>
      <c r="O98" s="24">
        <v>16</v>
      </c>
      <c r="P98" s="24">
        <v>28</v>
      </c>
      <c r="Q98" s="24">
        <v>44</v>
      </c>
      <c r="R98" s="24">
        <v>19</v>
      </c>
      <c r="S98" s="24">
        <v>19</v>
      </c>
      <c r="T98" s="24">
        <v>31</v>
      </c>
      <c r="U98" s="25">
        <f t="shared" si="15"/>
        <v>1.1875</v>
      </c>
      <c r="V98" s="25">
        <f t="shared" si="15"/>
        <v>0.6785714285714286</v>
      </c>
      <c r="W98" s="25">
        <f t="shared" si="15"/>
        <v>0.70454545454545459</v>
      </c>
      <c r="X98" s="25">
        <f t="shared" si="16"/>
        <v>0.85687229437229429</v>
      </c>
    </row>
    <row r="99" spans="1:24" ht="15.75" customHeight="1">
      <c r="A99" s="1">
        <v>21305</v>
      </c>
      <c r="B99" s="2" t="s">
        <v>42</v>
      </c>
      <c r="C99" s="2" t="s">
        <v>118</v>
      </c>
      <c r="D99" s="3" t="s">
        <v>123</v>
      </c>
      <c r="E99" s="24">
        <v>99</v>
      </c>
      <c r="F99" s="24">
        <v>87</v>
      </c>
      <c r="G99" s="24">
        <v>89</v>
      </c>
      <c r="H99" s="24">
        <v>103</v>
      </c>
      <c r="I99" s="24">
        <v>101</v>
      </c>
      <c r="J99" s="24">
        <v>91</v>
      </c>
      <c r="K99" s="25">
        <f t="shared" si="13"/>
        <v>1.0404040404040404</v>
      </c>
      <c r="L99" s="25">
        <f t="shared" si="13"/>
        <v>1.1609195402298851</v>
      </c>
      <c r="M99" s="25">
        <f t="shared" si="13"/>
        <v>1.0224719101123596</v>
      </c>
      <c r="N99" s="25">
        <f t="shared" si="14"/>
        <v>1.0745984969154283</v>
      </c>
      <c r="O99" s="24">
        <v>25</v>
      </c>
      <c r="P99" s="24">
        <v>19</v>
      </c>
      <c r="Q99" s="24">
        <v>36</v>
      </c>
      <c r="R99" s="24">
        <v>33</v>
      </c>
      <c r="S99" s="24">
        <v>35</v>
      </c>
      <c r="T99" s="24">
        <v>42</v>
      </c>
      <c r="U99" s="25">
        <f t="shared" si="15"/>
        <v>1.32</v>
      </c>
      <c r="V99" s="25">
        <f t="shared" si="15"/>
        <v>1.8421052631578947</v>
      </c>
      <c r="W99" s="25">
        <f t="shared" si="15"/>
        <v>1.1666666666666667</v>
      </c>
      <c r="X99" s="25">
        <f t="shared" si="16"/>
        <v>1.4429239766081874</v>
      </c>
    </row>
    <row r="100" spans="1:24" ht="15.75" customHeight="1">
      <c r="A100" s="1">
        <v>21306</v>
      </c>
      <c r="B100" s="2" t="s">
        <v>42</v>
      </c>
      <c r="C100" s="2" t="s">
        <v>118</v>
      </c>
      <c r="D100" s="3" t="s">
        <v>124</v>
      </c>
      <c r="E100" s="24">
        <v>23</v>
      </c>
      <c r="F100" s="24">
        <v>29</v>
      </c>
      <c r="G100" s="24">
        <v>39</v>
      </c>
      <c r="H100" s="24">
        <v>16</v>
      </c>
      <c r="I100" s="24">
        <v>27</v>
      </c>
      <c r="J100" s="24">
        <v>41</v>
      </c>
      <c r="K100" s="25">
        <f t="shared" si="13"/>
        <v>0.69565217391304346</v>
      </c>
      <c r="L100" s="25">
        <f t="shared" si="13"/>
        <v>0.93103448275862066</v>
      </c>
      <c r="M100" s="25">
        <f t="shared" si="13"/>
        <v>1.0512820512820513</v>
      </c>
      <c r="N100" s="25">
        <f t="shared" si="14"/>
        <v>0.89265623598457167</v>
      </c>
      <c r="O100" s="24">
        <v>8</v>
      </c>
      <c r="P100" s="24">
        <v>20</v>
      </c>
      <c r="Q100" s="24">
        <v>12</v>
      </c>
      <c r="R100" s="24">
        <v>16</v>
      </c>
      <c r="S100" s="24">
        <v>12</v>
      </c>
      <c r="T100" s="24">
        <v>18</v>
      </c>
      <c r="U100" s="25">
        <f t="shared" si="15"/>
        <v>2</v>
      </c>
      <c r="V100" s="25">
        <f t="shared" si="15"/>
        <v>0.6</v>
      </c>
      <c r="W100" s="25">
        <f t="shared" si="15"/>
        <v>1.5</v>
      </c>
      <c r="X100" s="25">
        <f t="shared" si="16"/>
        <v>1.3666666666666665</v>
      </c>
    </row>
    <row r="101" spans="1:24" ht="15.75" customHeight="1">
      <c r="A101" s="1">
        <v>21307</v>
      </c>
      <c r="B101" s="2" t="s">
        <v>42</v>
      </c>
      <c r="C101" s="2" t="s">
        <v>118</v>
      </c>
      <c r="D101" s="3" t="s">
        <v>125</v>
      </c>
      <c r="E101" s="24">
        <v>0</v>
      </c>
      <c r="F101" s="24">
        <v>3</v>
      </c>
      <c r="G101" s="24">
        <v>5</v>
      </c>
      <c r="H101" s="24">
        <v>0</v>
      </c>
      <c r="I101" s="24">
        <v>3</v>
      </c>
      <c r="J101" s="24">
        <v>5</v>
      </c>
      <c r="K101" s="25"/>
      <c r="L101" s="25">
        <f t="shared" si="13"/>
        <v>1</v>
      </c>
      <c r="M101" s="25">
        <f t="shared" si="13"/>
        <v>1</v>
      </c>
      <c r="N101" s="25">
        <f t="shared" si="14"/>
        <v>1</v>
      </c>
      <c r="O101" s="24">
        <v>3</v>
      </c>
      <c r="P101" s="24">
        <v>1</v>
      </c>
      <c r="Q101" s="24">
        <v>1</v>
      </c>
      <c r="R101" s="24">
        <v>3</v>
      </c>
      <c r="S101" s="24">
        <v>5</v>
      </c>
      <c r="T101" s="24">
        <v>4</v>
      </c>
      <c r="U101" s="25">
        <f t="shared" si="15"/>
        <v>1</v>
      </c>
      <c r="V101" s="25">
        <f t="shared" si="15"/>
        <v>5</v>
      </c>
      <c r="W101" s="25">
        <f t="shared" si="15"/>
        <v>4</v>
      </c>
      <c r="X101" s="25">
        <f t="shared" si="16"/>
        <v>3.3333333333333335</v>
      </c>
    </row>
    <row r="102" spans="1:24" ht="15.75" customHeight="1">
      <c r="A102" s="1">
        <v>21401</v>
      </c>
      <c r="B102" s="2" t="s">
        <v>42</v>
      </c>
      <c r="C102" s="2" t="s">
        <v>126</v>
      </c>
      <c r="D102" s="3" t="s">
        <v>127</v>
      </c>
      <c r="E102" s="24">
        <v>59</v>
      </c>
      <c r="F102" s="24">
        <v>53</v>
      </c>
      <c r="G102" s="24">
        <v>62</v>
      </c>
      <c r="H102" s="24">
        <v>85</v>
      </c>
      <c r="I102" s="24">
        <v>74</v>
      </c>
      <c r="J102" s="24">
        <v>82</v>
      </c>
      <c r="K102" s="25">
        <f t="shared" si="13"/>
        <v>1.4406779661016949</v>
      </c>
      <c r="L102" s="25">
        <f t="shared" si="13"/>
        <v>1.3962264150943395</v>
      </c>
      <c r="M102" s="25">
        <f t="shared" si="13"/>
        <v>1.3225806451612903</v>
      </c>
      <c r="N102" s="25">
        <f t="shared" si="14"/>
        <v>1.3864950087857748</v>
      </c>
      <c r="O102" s="24">
        <v>15</v>
      </c>
      <c r="P102" s="24">
        <v>22</v>
      </c>
      <c r="Q102" s="24">
        <v>30</v>
      </c>
      <c r="R102" s="24">
        <v>31</v>
      </c>
      <c r="S102" s="24">
        <v>29</v>
      </c>
      <c r="T102" s="24">
        <v>50</v>
      </c>
      <c r="U102" s="25">
        <f t="shared" si="15"/>
        <v>2.0666666666666669</v>
      </c>
      <c r="V102" s="25">
        <f t="shared" si="15"/>
        <v>1.3181818181818181</v>
      </c>
      <c r="W102" s="25">
        <f t="shared" si="15"/>
        <v>1.6666666666666667</v>
      </c>
      <c r="X102" s="25">
        <f t="shared" si="16"/>
        <v>1.6838383838383839</v>
      </c>
    </row>
    <row r="103" spans="1:24" ht="15.75" customHeight="1">
      <c r="A103" s="1">
        <v>21402</v>
      </c>
      <c r="B103" s="2" t="s">
        <v>42</v>
      </c>
      <c r="C103" s="2" t="s">
        <v>126</v>
      </c>
      <c r="D103" s="3" t="s">
        <v>128</v>
      </c>
      <c r="E103" s="24">
        <v>31</v>
      </c>
      <c r="F103" s="24">
        <v>34</v>
      </c>
      <c r="G103" s="24">
        <v>31</v>
      </c>
      <c r="H103" s="24">
        <v>48</v>
      </c>
      <c r="I103" s="24">
        <v>32</v>
      </c>
      <c r="J103" s="24">
        <v>58</v>
      </c>
      <c r="K103" s="25">
        <f t="shared" si="13"/>
        <v>1.5483870967741935</v>
      </c>
      <c r="L103" s="25">
        <f t="shared" si="13"/>
        <v>0.94117647058823528</v>
      </c>
      <c r="M103" s="25">
        <f t="shared" si="13"/>
        <v>1.8709677419354838</v>
      </c>
      <c r="N103" s="25">
        <f t="shared" si="14"/>
        <v>1.4535104364326374</v>
      </c>
      <c r="O103" s="24">
        <v>16</v>
      </c>
      <c r="P103" s="24">
        <v>18</v>
      </c>
      <c r="Q103" s="24">
        <v>15</v>
      </c>
      <c r="R103" s="24">
        <v>26</v>
      </c>
      <c r="S103" s="24">
        <v>27</v>
      </c>
      <c r="T103" s="24">
        <v>21</v>
      </c>
      <c r="U103" s="25">
        <f t="shared" si="15"/>
        <v>1.625</v>
      </c>
      <c r="V103" s="25">
        <f t="shared" si="15"/>
        <v>1.5</v>
      </c>
      <c r="W103" s="25">
        <f t="shared" si="15"/>
        <v>1.4</v>
      </c>
      <c r="X103" s="25">
        <f t="shared" si="16"/>
        <v>1.5083333333333335</v>
      </c>
    </row>
    <row r="104" spans="1:24" ht="15.75" customHeight="1">
      <c r="A104" s="1">
        <v>21501</v>
      </c>
      <c r="B104" s="2" t="s">
        <v>42</v>
      </c>
      <c r="C104" s="2" t="s">
        <v>129</v>
      </c>
      <c r="D104" s="3" t="s">
        <v>130</v>
      </c>
      <c r="E104" s="24">
        <v>52</v>
      </c>
      <c r="F104" s="24">
        <v>46</v>
      </c>
      <c r="G104" s="24">
        <v>46</v>
      </c>
      <c r="H104" s="24">
        <v>75</v>
      </c>
      <c r="I104" s="24">
        <v>50</v>
      </c>
      <c r="J104" s="24">
        <v>76</v>
      </c>
      <c r="K104" s="25">
        <f t="shared" si="13"/>
        <v>1.4423076923076923</v>
      </c>
      <c r="L104" s="25">
        <f t="shared" si="13"/>
        <v>1.0869565217391304</v>
      </c>
      <c r="M104" s="25">
        <f t="shared" si="13"/>
        <v>1.6521739130434783</v>
      </c>
      <c r="N104" s="25">
        <f t="shared" si="14"/>
        <v>1.3938127090301002</v>
      </c>
      <c r="O104" s="24">
        <v>21</v>
      </c>
      <c r="P104" s="24">
        <v>27</v>
      </c>
      <c r="Q104" s="24">
        <v>38</v>
      </c>
      <c r="R104" s="24">
        <v>42</v>
      </c>
      <c r="S104" s="24">
        <v>43</v>
      </c>
      <c r="T104" s="24">
        <v>50</v>
      </c>
      <c r="U104" s="25">
        <f t="shared" si="15"/>
        <v>2</v>
      </c>
      <c r="V104" s="25">
        <f t="shared" si="15"/>
        <v>1.5925925925925926</v>
      </c>
      <c r="W104" s="25">
        <f t="shared" si="15"/>
        <v>1.3157894736842106</v>
      </c>
      <c r="X104" s="25">
        <f t="shared" si="16"/>
        <v>1.6361273554256011</v>
      </c>
    </row>
    <row r="105" spans="1:24" ht="15.75" customHeight="1">
      <c r="A105" s="1">
        <v>21502</v>
      </c>
      <c r="B105" s="2" t="s">
        <v>42</v>
      </c>
      <c r="C105" s="2" t="s">
        <v>129</v>
      </c>
      <c r="D105" s="3" t="s">
        <v>131</v>
      </c>
      <c r="E105" s="24">
        <v>38</v>
      </c>
      <c r="F105" s="24">
        <v>24</v>
      </c>
      <c r="G105" s="24">
        <v>20</v>
      </c>
      <c r="H105" s="24">
        <v>51</v>
      </c>
      <c r="I105" s="24">
        <v>41</v>
      </c>
      <c r="J105" s="24">
        <v>59</v>
      </c>
      <c r="K105" s="25">
        <f t="shared" si="13"/>
        <v>1.3421052631578947</v>
      </c>
      <c r="L105" s="25">
        <f t="shared" si="13"/>
        <v>1.7083333333333333</v>
      </c>
      <c r="M105" s="25">
        <f t="shared" si="13"/>
        <v>2.95</v>
      </c>
      <c r="N105" s="25">
        <f t="shared" si="14"/>
        <v>2.0001461988304094</v>
      </c>
      <c r="O105" s="24">
        <v>31</v>
      </c>
      <c r="P105" s="24">
        <v>14</v>
      </c>
      <c r="Q105" s="24">
        <v>18</v>
      </c>
      <c r="R105" s="24">
        <v>23</v>
      </c>
      <c r="S105" s="24">
        <v>13</v>
      </c>
      <c r="T105" s="24">
        <v>27</v>
      </c>
      <c r="U105" s="25">
        <f t="shared" si="15"/>
        <v>0.74193548387096775</v>
      </c>
      <c r="V105" s="25">
        <f t="shared" si="15"/>
        <v>0.9285714285714286</v>
      </c>
      <c r="W105" s="25">
        <f t="shared" si="15"/>
        <v>1.5</v>
      </c>
      <c r="X105" s="25">
        <f t="shared" si="16"/>
        <v>1.0568356374807988</v>
      </c>
    </row>
    <row r="106" spans="1:24" ht="15.75" customHeight="1">
      <c r="A106" s="1">
        <v>21601</v>
      </c>
      <c r="B106" s="2" t="s">
        <v>42</v>
      </c>
      <c r="C106" s="2" t="s">
        <v>132</v>
      </c>
      <c r="D106" s="3" t="s">
        <v>133</v>
      </c>
      <c r="E106" s="24">
        <v>49</v>
      </c>
      <c r="F106" s="24">
        <v>34</v>
      </c>
      <c r="G106" s="24">
        <v>47</v>
      </c>
      <c r="H106" s="24">
        <v>42</v>
      </c>
      <c r="I106" s="24">
        <v>23</v>
      </c>
      <c r="J106" s="24">
        <v>37</v>
      </c>
      <c r="K106" s="25">
        <f t="shared" si="13"/>
        <v>0.8571428571428571</v>
      </c>
      <c r="L106" s="25">
        <f t="shared" si="13"/>
        <v>0.67647058823529416</v>
      </c>
      <c r="M106" s="25">
        <f t="shared" si="13"/>
        <v>0.78723404255319152</v>
      </c>
      <c r="N106" s="25">
        <f t="shared" si="14"/>
        <v>0.77361582931044748</v>
      </c>
      <c r="O106" s="24">
        <v>18</v>
      </c>
      <c r="P106" s="24">
        <v>16</v>
      </c>
      <c r="Q106" s="24">
        <v>16</v>
      </c>
      <c r="R106" s="24">
        <v>17</v>
      </c>
      <c r="S106" s="24">
        <v>11</v>
      </c>
      <c r="T106" s="24">
        <v>23</v>
      </c>
      <c r="U106" s="25">
        <f t="shared" si="15"/>
        <v>0.94444444444444442</v>
      </c>
      <c r="V106" s="25">
        <f t="shared" si="15"/>
        <v>0.6875</v>
      </c>
      <c r="W106" s="25">
        <f t="shared" si="15"/>
        <v>1.4375</v>
      </c>
      <c r="X106" s="25">
        <f t="shared" si="16"/>
        <v>1.0231481481481481</v>
      </c>
    </row>
    <row r="107" spans="1:24" ht="15.75" customHeight="1">
      <c r="A107" s="1">
        <v>21602</v>
      </c>
      <c r="B107" s="2" t="s">
        <v>42</v>
      </c>
      <c r="C107" s="2" t="s">
        <v>132</v>
      </c>
      <c r="D107" s="3" t="s">
        <v>134</v>
      </c>
      <c r="E107" s="24">
        <v>2</v>
      </c>
      <c r="F107" s="24">
        <v>5</v>
      </c>
      <c r="G107" s="24">
        <v>2</v>
      </c>
      <c r="H107" s="24">
        <v>2</v>
      </c>
      <c r="I107" s="24">
        <v>4</v>
      </c>
      <c r="J107" s="24">
        <v>5</v>
      </c>
      <c r="K107" s="25">
        <f t="shared" si="13"/>
        <v>1</v>
      </c>
      <c r="L107" s="25">
        <f t="shared" si="13"/>
        <v>0.8</v>
      </c>
      <c r="M107" s="25">
        <f t="shared" si="13"/>
        <v>2.5</v>
      </c>
      <c r="N107" s="25">
        <f t="shared" si="14"/>
        <v>1.4333333333333333</v>
      </c>
      <c r="O107" s="24">
        <v>2</v>
      </c>
      <c r="P107" s="24">
        <v>1</v>
      </c>
      <c r="Q107" s="24">
        <v>2</v>
      </c>
      <c r="R107" s="24">
        <v>3</v>
      </c>
      <c r="S107" s="24">
        <v>2</v>
      </c>
      <c r="T107" s="24">
        <v>3</v>
      </c>
      <c r="U107" s="25">
        <f t="shared" si="15"/>
        <v>1.5</v>
      </c>
      <c r="V107" s="25">
        <f t="shared" si="15"/>
        <v>2</v>
      </c>
      <c r="W107" s="25">
        <f t="shared" si="15"/>
        <v>1.5</v>
      </c>
      <c r="X107" s="25">
        <f t="shared" si="16"/>
        <v>1.6666666666666667</v>
      </c>
    </row>
    <row r="108" spans="1:24" ht="15.75" customHeight="1">
      <c r="A108" s="1">
        <v>21701</v>
      </c>
      <c r="B108" s="2" t="s">
        <v>42</v>
      </c>
      <c r="C108" s="2" t="s">
        <v>135</v>
      </c>
      <c r="D108" s="3" t="s">
        <v>136</v>
      </c>
      <c r="E108" s="24">
        <v>41</v>
      </c>
      <c r="F108" s="24">
        <v>41</v>
      </c>
      <c r="G108" s="24">
        <v>50</v>
      </c>
      <c r="H108" s="24">
        <v>41</v>
      </c>
      <c r="I108" s="24">
        <v>49</v>
      </c>
      <c r="J108" s="24">
        <v>55</v>
      </c>
      <c r="K108" s="25">
        <f t="shared" si="13"/>
        <v>1</v>
      </c>
      <c r="L108" s="25">
        <f t="shared" si="13"/>
        <v>1.1951219512195121</v>
      </c>
      <c r="M108" s="25">
        <f t="shared" si="13"/>
        <v>1.1000000000000001</v>
      </c>
      <c r="N108" s="25">
        <f t="shared" si="14"/>
        <v>1.0983739837398374</v>
      </c>
      <c r="O108" s="24">
        <v>11</v>
      </c>
      <c r="P108" s="24">
        <v>10</v>
      </c>
      <c r="Q108" s="24">
        <v>14</v>
      </c>
      <c r="R108" s="24">
        <v>11</v>
      </c>
      <c r="S108" s="24">
        <v>11</v>
      </c>
      <c r="T108" s="24">
        <v>20</v>
      </c>
      <c r="U108" s="25">
        <f t="shared" si="15"/>
        <v>1</v>
      </c>
      <c r="V108" s="25">
        <f t="shared" si="15"/>
        <v>1.1000000000000001</v>
      </c>
      <c r="W108" s="25">
        <f t="shared" si="15"/>
        <v>1.4285714285714286</v>
      </c>
      <c r="X108" s="25">
        <f t="shared" si="16"/>
        <v>1.1761904761904762</v>
      </c>
    </row>
    <row r="109" spans="1:24" ht="15.75" customHeight="1">
      <c r="A109" s="1">
        <v>21702</v>
      </c>
      <c r="B109" s="2" t="s">
        <v>42</v>
      </c>
      <c r="C109" s="2" t="s">
        <v>135</v>
      </c>
      <c r="D109" s="3" t="s">
        <v>137</v>
      </c>
      <c r="E109" s="24">
        <v>10</v>
      </c>
      <c r="F109" s="24">
        <v>6</v>
      </c>
      <c r="G109" s="24">
        <v>14</v>
      </c>
      <c r="H109" s="24">
        <v>18</v>
      </c>
      <c r="I109" s="24">
        <v>12</v>
      </c>
      <c r="J109" s="24">
        <v>17</v>
      </c>
      <c r="K109" s="25">
        <f t="shared" si="13"/>
        <v>1.8</v>
      </c>
      <c r="L109" s="25">
        <f t="shared" si="13"/>
        <v>2</v>
      </c>
      <c r="M109" s="25">
        <f t="shared" si="13"/>
        <v>1.2142857142857142</v>
      </c>
      <c r="N109" s="25">
        <f t="shared" si="14"/>
        <v>1.6714285714285715</v>
      </c>
      <c r="O109" s="24">
        <v>0</v>
      </c>
      <c r="P109" s="24">
        <v>2</v>
      </c>
      <c r="Q109" s="24">
        <v>4</v>
      </c>
      <c r="R109" s="24">
        <v>4</v>
      </c>
      <c r="S109" s="24">
        <v>3</v>
      </c>
      <c r="T109" s="24">
        <v>4</v>
      </c>
      <c r="U109" s="25"/>
      <c r="V109" s="25">
        <f t="shared" si="15"/>
        <v>1.5</v>
      </c>
      <c r="W109" s="25">
        <f t="shared" si="15"/>
        <v>1</v>
      </c>
      <c r="X109" s="25">
        <f t="shared" si="16"/>
        <v>1.25</v>
      </c>
    </row>
    <row r="110" spans="1:24" ht="15.75" customHeight="1">
      <c r="A110" s="1">
        <v>21703</v>
      </c>
      <c r="B110" s="2" t="s">
        <v>42</v>
      </c>
      <c r="C110" s="2" t="s">
        <v>135</v>
      </c>
      <c r="D110" s="3" t="s">
        <v>138</v>
      </c>
      <c r="E110" s="24">
        <v>1</v>
      </c>
      <c r="F110" s="24">
        <v>1</v>
      </c>
      <c r="G110" s="24">
        <v>1</v>
      </c>
      <c r="H110" s="24">
        <v>0</v>
      </c>
      <c r="I110" s="24">
        <v>1</v>
      </c>
      <c r="J110" s="24">
        <v>2</v>
      </c>
      <c r="K110" s="25">
        <f t="shared" si="13"/>
        <v>0</v>
      </c>
      <c r="L110" s="25">
        <f t="shared" si="13"/>
        <v>1</v>
      </c>
      <c r="M110" s="25">
        <f t="shared" si="13"/>
        <v>2</v>
      </c>
      <c r="N110" s="25">
        <f t="shared" si="14"/>
        <v>1</v>
      </c>
      <c r="O110" s="24">
        <v>0</v>
      </c>
      <c r="P110" s="24">
        <v>0</v>
      </c>
      <c r="Q110" s="24">
        <v>2</v>
      </c>
      <c r="R110" s="24">
        <v>2</v>
      </c>
      <c r="S110" s="24">
        <v>0</v>
      </c>
      <c r="T110" s="24">
        <v>1</v>
      </c>
      <c r="U110" s="25"/>
      <c r="V110" s="25"/>
      <c r="W110" s="25">
        <f t="shared" si="15"/>
        <v>0.5</v>
      </c>
      <c r="X110" s="25">
        <f t="shared" si="16"/>
        <v>0.5</v>
      </c>
    </row>
    <row r="111" spans="1:24" ht="15.75" customHeight="1">
      <c r="A111" s="1">
        <v>21801</v>
      </c>
      <c r="B111" s="2" t="s">
        <v>42</v>
      </c>
      <c r="C111" s="2" t="s">
        <v>139</v>
      </c>
      <c r="D111" s="3" t="s">
        <v>140</v>
      </c>
      <c r="E111" s="24">
        <v>18</v>
      </c>
      <c r="F111" s="24">
        <v>16</v>
      </c>
      <c r="G111" s="24">
        <v>10</v>
      </c>
      <c r="H111" s="24">
        <v>13</v>
      </c>
      <c r="I111" s="24">
        <v>22</v>
      </c>
      <c r="J111" s="24">
        <v>17</v>
      </c>
      <c r="K111" s="25">
        <f t="shared" si="13"/>
        <v>0.72222222222222221</v>
      </c>
      <c r="L111" s="25">
        <f t="shared" si="13"/>
        <v>1.375</v>
      </c>
      <c r="M111" s="25">
        <f t="shared" si="13"/>
        <v>1.7</v>
      </c>
      <c r="N111" s="25">
        <f t="shared" si="14"/>
        <v>1.2657407407407408</v>
      </c>
      <c r="O111" s="24">
        <v>8</v>
      </c>
      <c r="P111" s="24">
        <v>10</v>
      </c>
      <c r="Q111" s="24">
        <v>5</v>
      </c>
      <c r="R111" s="24">
        <v>5</v>
      </c>
      <c r="S111" s="24">
        <v>13</v>
      </c>
      <c r="T111" s="24">
        <v>8</v>
      </c>
      <c r="U111" s="25">
        <f t="shared" si="15"/>
        <v>0.625</v>
      </c>
      <c r="V111" s="25">
        <f t="shared" si="15"/>
        <v>1.3</v>
      </c>
      <c r="W111" s="25">
        <f t="shared" si="15"/>
        <v>1.6</v>
      </c>
      <c r="X111" s="25">
        <f t="shared" si="16"/>
        <v>1.175</v>
      </c>
    </row>
    <row r="112" spans="1:24" ht="15.75" customHeight="1">
      <c r="A112" s="1">
        <v>21802</v>
      </c>
      <c r="B112" s="2" t="s">
        <v>42</v>
      </c>
      <c r="C112" s="2" t="s">
        <v>141</v>
      </c>
      <c r="D112" s="3" t="s">
        <v>142</v>
      </c>
      <c r="E112" s="24">
        <v>29</v>
      </c>
      <c r="F112" s="24">
        <v>13</v>
      </c>
      <c r="G112" s="24">
        <v>10</v>
      </c>
      <c r="H112" s="24">
        <v>20</v>
      </c>
      <c r="I112" s="24">
        <v>15</v>
      </c>
      <c r="J112" s="24">
        <v>13</v>
      </c>
      <c r="K112" s="25">
        <f t="shared" si="13"/>
        <v>0.68965517241379315</v>
      </c>
      <c r="L112" s="25">
        <f t="shared" si="13"/>
        <v>1.1538461538461537</v>
      </c>
      <c r="M112" s="25">
        <f t="shared" si="13"/>
        <v>1.3</v>
      </c>
      <c r="N112" s="25">
        <f t="shared" si="14"/>
        <v>1.0478337754199822</v>
      </c>
      <c r="O112" s="24">
        <v>3</v>
      </c>
      <c r="P112" s="24">
        <v>4</v>
      </c>
      <c r="Q112" s="24">
        <v>5</v>
      </c>
      <c r="R112" s="24">
        <v>1</v>
      </c>
      <c r="S112" s="24">
        <v>4</v>
      </c>
      <c r="T112" s="24">
        <v>9</v>
      </c>
      <c r="U112" s="25">
        <f t="shared" si="15"/>
        <v>0.33333333333333331</v>
      </c>
      <c r="V112" s="25">
        <f t="shared" si="15"/>
        <v>1</v>
      </c>
      <c r="W112" s="25">
        <f t="shared" si="15"/>
        <v>1.8</v>
      </c>
      <c r="X112" s="25">
        <f t="shared" si="16"/>
        <v>1.0444444444444445</v>
      </c>
    </row>
    <row r="113" spans="1:24" ht="15.75" customHeight="1">
      <c r="A113" s="1">
        <v>21803</v>
      </c>
      <c r="B113" s="2" t="s">
        <v>42</v>
      </c>
      <c r="C113" s="2" t="s">
        <v>141</v>
      </c>
      <c r="D113" s="3" t="s">
        <v>143</v>
      </c>
      <c r="E113" s="24">
        <v>4</v>
      </c>
      <c r="F113" s="24">
        <v>6</v>
      </c>
      <c r="G113" s="24">
        <v>1</v>
      </c>
      <c r="H113" s="24">
        <v>5</v>
      </c>
      <c r="I113" s="24">
        <v>1</v>
      </c>
      <c r="J113" s="24">
        <v>5</v>
      </c>
      <c r="K113" s="25">
        <f t="shared" si="13"/>
        <v>1.25</v>
      </c>
      <c r="L113" s="25">
        <f t="shared" si="13"/>
        <v>0.16666666666666666</v>
      </c>
      <c r="M113" s="25">
        <f t="shared" si="13"/>
        <v>5</v>
      </c>
      <c r="N113" s="25">
        <f t="shared" si="14"/>
        <v>2.1388888888888888</v>
      </c>
      <c r="O113" s="24">
        <v>0</v>
      </c>
      <c r="P113" s="24">
        <v>3</v>
      </c>
      <c r="Q113" s="24">
        <v>1</v>
      </c>
      <c r="R113" s="24">
        <v>2</v>
      </c>
      <c r="S113" s="24">
        <v>1</v>
      </c>
      <c r="T113" s="24">
        <v>0</v>
      </c>
      <c r="U113" s="25"/>
      <c r="V113" s="25">
        <f t="shared" si="15"/>
        <v>0.33333333333333331</v>
      </c>
      <c r="W113" s="25">
        <f t="shared" si="15"/>
        <v>0</v>
      </c>
      <c r="X113" s="25">
        <f t="shared" si="16"/>
        <v>0.16666666666666666</v>
      </c>
    </row>
    <row r="114" spans="1:24" ht="15.75" customHeight="1">
      <c r="A114" s="1">
        <v>21901</v>
      </c>
      <c r="B114" s="2" t="s">
        <v>42</v>
      </c>
      <c r="C114" s="2" t="s">
        <v>144</v>
      </c>
      <c r="D114" s="3" t="s">
        <v>145</v>
      </c>
      <c r="E114" s="24">
        <v>14</v>
      </c>
      <c r="F114" s="24">
        <v>12</v>
      </c>
      <c r="G114" s="24">
        <v>18</v>
      </c>
      <c r="H114" s="24">
        <v>12</v>
      </c>
      <c r="I114" s="24">
        <v>20</v>
      </c>
      <c r="J114" s="24">
        <v>14</v>
      </c>
      <c r="K114" s="25">
        <f t="shared" si="13"/>
        <v>0.8571428571428571</v>
      </c>
      <c r="L114" s="25">
        <f t="shared" si="13"/>
        <v>1.6666666666666667</v>
      </c>
      <c r="M114" s="25">
        <f t="shared" si="13"/>
        <v>0.77777777777777779</v>
      </c>
      <c r="N114" s="25">
        <f t="shared" si="14"/>
        <v>1.1005291005291005</v>
      </c>
      <c r="O114" s="24">
        <v>13</v>
      </c>
      <c r="P114" s="24">
        <v>2</v>
      </c>
      <c r="Q114" s="24">
        <v>4</v>
      </c>
      <c r="R114" s="24">
        <v>8</v>
      </c>
      <c r="S114" s="24">
        <v>9</v>
      </c>
      <c r="T114" s="24">
        <v>3</v>
      </c>
      <c r="U114" s="25">
        <f t="shared" si="15"/>
        <v>0.61538461538461542</v>
      </c>
      <c r="V114" s="25">
        <f t="shared" si="15"/>
        <v>4.5</v>
      </c>
      <c r="W114" s="25">
        <f t="shared" si="15"/>
        <v>0.75</v>
      </c>
      <c r="X114" s="25">
        <f t="shared" si="16"/>
        <v>1.9551282051282051</v>
      </c>
    </row>
    <row r="115" spans="1:24" ht="15.75" customHeight="1">
      <c r="A115" s="1">
        <v>21902</v>
      </c>
      <c r="B115" s="2" t="s">
        <v>42</v>
      </c>
      <c r="C115" s="2" t="s">
        <v>144</v>
      </c>
      <c r="D115" s="3" t="s">
        <v>146</v>
      </c>
      <c r="E115" s="24">
        <v>1</v>
      </c>
      <c r="F115" s="24">
        <v>2</v>
      </c>
      <c r="G115" s="24">
        <v>1</v>
      </c>
      <c r="H115" s="24">
        <v>1</v>
      </c>
      <c r="I115" s="24">
        <v>2</v>
      </c>
      <c r="J115" s="24">
        <v>5</v>
      </c>
      <c r="K115" s="25">
        <f t="shared" si="13"/>
        <v>1</v>
      </c>
      <c r="L115" s="25">
        <f t="shared" si="13"/>
        <v>1</v>
      </c>
      <c r="M115" s="25">
        <f t="shared" si="13"/>
        <v>5</v>
      </c>
      <c r="N115" s="25">
        <f t="shared" si="14"/>
        <v>2.3333333333333335</v>
      </c>
      <c r="O115" s="24">
        <v>1</v>
      </c>
      <c r="P115" s="24">
        <v>0</v>
      </c>
      <c r="Q115" s="24">
        <v>0</v>
      </c>
      <c r="R115" s="24">
        <v>2</v>
      </c>
      <c r="S115" s="24">
        <v>0</v>
      </c>
      <c r="T115" s="24">
        <v>1</v>
      </c>
      <c r="U115" s="25">
        <f t="shared" si="15"/>
        <v>2</v>
      </c>
      <c r="V115" s="25"/>
      <c r="W115" s="25"/>
      <c r="X115" s="25">
        <f t="shared" si="16"/>
        <v>2</v>
      </c>
    </row>
    <row r="116" spans="1:24" ht="15.75" customHeight="1">
      <c r="A116" s="1">
        <v>22001</v>
      </c>
      <c r="B116" s="2" t="s">
        <v>42</v>
      </c>
      <c r="C116" s="2" t="s">
        <v>147</v>
      </c>
      <c r="D116" s="3" t="s">
        <v>147</v>
      </c>
      <c r="E116" s="24">
        <v>250</v>
      </c>
      <c r="F116" s="24">
        <v>197</v>
      </c>
      <c r="G116" s="24">
        <v>189</v>
      </c>
      <c r="H116" s="24">
        <v>361</v>
      </c>
      <c r="I116" s="24">
        <v>242</v>
      </c>
      <c r="J116" s="24">
        <v>275</v>
      </c>
      <c r="K116" s="25">
        <f t="shared" si="13"/>
        <v>1.444</v>
      </c>
      <c r="L116" s="25">
        <f t="shared" si="13"/>
        <v>1.2284263959390862</v>
      </c>
      <c r="M116" s="25">
        <f t="shared" si="13"/>
        <v>1.4550264550264551</v>
      </c>
      <c r="N116" s="25">
        <f t="shared" si="14"/>
        <v>1.3758176169885139</v>
      </c>
      <c r="O116" s="24">
        <v>89</v>
      </c>
      <c r="P116" s="24">
        <v>99</v>
      </c>
      <c r="Q116" s="24">
        <v>96</v>
      </c>
      <c r="R116" s="24">
        <v>113</v>
      </c>
      <c r="S116" s="24">
        <v>153</v>
      </c>
      <c r="T116" s="24">
        <v>164</v>
      </c>
      <c r="U116" s="25">
        <f t="shared" si="15"/>
        <v>1.2696629213483146</v>
      </c>
      <c r="V116" s="25">
        <f t="shared" si="15"/>
        <v>1.5454545454545454</v>
      </c>
      <c r="W116" s="25">
        <f t="shared" si="15"/>
        <v>1.7083333333333333</v>
      </c>
      <c r="X116" s="25">
        <f t="shared" si="16"/>
        <v>1.507816933378731</v>
      </c>
    </row>
    <row r="117" spans="1:24" ht="15.75" customHeight="1">
      <c r="A117" s="1">
        <v>22002</v>
      </c>
      <c r="B117" s="2" t="s">
        <v>42</v>
      </c>
      <c r="C117" s="2" t="s">
        <v>147</v>
      </c>
      <c r="D117" s="3" t="s">
        <v>148</v>
      </c>
      <c r="E117" s="24">
        <v>0</v>
      </c>
      <c r="F117" s="24">
        <v>0</v>
      </c>
      <c r="G117" s="24">
        <v>17</v>
      </c>
      <c r="H117" s="24">
        <v>0</v>
      </c>
      <c r="I117" s="24">
        <v>0</v>
      </c>
      <c r="J117" s="24">
        <v>38</v>
      </c>
      <c r="K117" s="25"/>
      <c r="L117" s="25"/>
      <c r="M117" s="25">
        <f t="shared" si="13"/>
        <v>2.2352941176470589</v>
      </c>
      <c r="N117" s="25">
        <f t="shared" si="14"/>
        <v>2.2352941176470589</v>
      </c>
      <c r="O117" s="24">
        <v>12</v>
      </c>
      <c r="P117" s="24">
        <v>11</v>
      </c>
      <c r="Q117" s="24">
        <v>18</v>
      </c>
      <c r="R117" s="24">
        <v>27</v>
      </c>
      <c r="S117" s="24">
        <v>27</v>
      </c>
      <c r="T117" s="24">
        <v>31</v>
      </c>
      <c r="U117" s="25">
        <f t="shared" si="15"/>
        <v>2.25</v>
      </c>
      <c r="V117" s="25">
        <f t="shared" si="15"/>
        <v>2.4545454545454546</v>
      </c>
      <c r="W117" s="25">
        <f t="shared" si="15"/>
        <v>1.7222222222222223</v>
      </c>
      <c r="X117" s="25">
        <f t="shared" si="16"/>
        <v>2.1422558922558923</v>
      </c>
    </row>
    <row r="118" spans="1:24" ht="15.75" customHeight="1">
      <c r="A118" s="1">
        <v>30101</v>
      </c>
      <c r="B118" s="2" t="s">
        <v>149</v>
      </c>
      <c r="C118" s="2" t="s">
        <v>150</v>
      </c>
      <c r="D118" s="3" t="s">
        <v>149</v>
      </c>
      <c r="E118" s="24">
        <v>1425</v>
      </c>
      <c r="F118" s="24">
        <v>1567</v>
      </c>
      <c r="G118" s="24">
        <v>1573</v>
      </c>
      <c r="H118" s="24">
        <v>2467</v>
      </c>
      <c r="I118" s="24">
        <v>2631</v>
      </c>
      <c r="J118" s="24">
        <v>2692</v>
      </c>
      <c r="K118" s="25">
        <f t="shared" si="13"/>
        <v>1.7312280701754386</v>
      </c>
      <c r="L118" s="25">
        <f t="shared" si="13"/>
        <v>1.6790044671346522</v>
      </c>
      <c r="M118" s="25">
        <f t="shared" si="13"/>
        <v>1.7113795295613476</v>
      </c>
      <c r="N118" s="25">
        <f t="shared" si="14"/>
        <v>1.7072040222904796</v>
      </c>
      <c r="O118" s="24">
        <v>737</v>
      </c>
      <c r="P118" s="24">
        <v>576</v>
      </c>
      <c r="Q118" s="24">
        <v>636</v>
      </c>
      <c r="R118" s="24">
        <v>1115</v>
      </c>
      <c r="S118" s="24">
        <v>845</v>
      </c>
      <c r="T118" s="24">
        <v>978</v>
      </c>
      <c r="U118" s="25">
        <f t="shared" si="15"/>
        <v>1.5128900949796473</v>
      </c>
      <c r="V118" s="25">
        <f t="shared" si="15"/>
        <v>1.4670138888888888</v>
      </c>
      <c r="W118" s="25">
        <f t="shared" si="15"/>
        <v>1.5377358490566038</v>
      </c>
      <c r="X118" s="25">
        <f t="shared" si="16"/>
        <v>1.5058799443083799</v>
      </c>
    </row>
    <row r="119" spans="1:24" ht="15.75" customHeight="1">
      <c r="A119" s="1">
        <v>30201</v>
      </c>
      <c r="B119" s="2" t="s">
        <v>149</v>
      </c>
      <c r="C119" s="2" t="s">
        <v>151</v>
      </c>
      <c r="D119" s="3" t="s">
        <v>152</v>
      </c>
      <c r="E119" s="24">
        <v>51</v>
      </c>
      <c r="F119" s="24">
        <v>84</v>
      </c>
      <c r="G119" s="24">
        <v>87</v>
      </c>
      <c r="H119" s="24">
        <v>77</v>
      </c>
      <c r="I119" s="24">
        <v>106</v>
      </c>
      <c r="J119" s="24">
        <v>104</v>
      </c>
      <c r="K119" s="25">
        <f t="shared" si="13"/>
        <v>1.5098039215686274</v>
      </c>
      <c r="L119" s="25">
        <f t="shared" si="13"/>
        <v>1.2619047619047619</v>
      </c>
      <c r="M119" s="25">
        <f t="shared" si="13"/>
        <v>1.1954022988505748</v>
      </c>
      <c r="N119" s="25">
        <f t="shared" si="14"/>
        <v>1.3223703274413214</v>
      </c>
      <c r="O119" s="24">
        <v>22</v>
      </c>
      <c r="P119" s="24">
        <v>31</v>
      </c>
      <c r="Q119" s="24">
        <v>39</v>
      </c>
      <c r="R119" s="24">
        <v>37</v>
      </c>
      <c r="S119" s="24">
        <v>44</v>
      </c>
      <c r="T119" s="24">
        <v>50</v>
      </c>
      <c r="U119" s="25">
        <f t="shared" si="15"/>
        <v>1.6818181818181819</v>
      </c>
      <c r="V119" s="25">
        <f t="shared" si="15"/>
        <v>1.4193548387096775</v>
      </c>
      <c r="W119" s="25">
        <f t="shared" si="15"/>
        <v>1.2820512820512822</v>
      </c>
      <c r="X119" s="25">
        <f t="shared" si="16"/>
        <v>1.4610747675263804</v>
      </c>
    </row>
    <row r="120" spans="1:24" ht="15.75" customHeight="1">
      <c r="A120" s="1">
        <v>30202</v>
      </c>
      <c r="B120" s="2" t="s">
        <v>149</v>
      </c>
      <c r="C120" s="2" t="s">
        <v>151</v>
      </c>
      <c r="D120" s="3" t="s">
        <v>153</v>
      </c>
      <c r="E120" s="24">
        <v>10</v>
      </c>
      <c r="F120" s="24">
        <v>8</v>
      </c>
      <c r="G120" s="24">
        <v>12</v>
      </c>
      <c r="H120" s="24">
        <v>11</v>
      </c>
      <c r="I120" s="24">
        <v>13</v>
      </c>
      <c r="J120" s="24">
        <v>11</v>
      </c>
      <c r="K120" s="25">
        <f t="shared" si="13"/>
        <v>1.1000000000000001</v>
      </c>
      <c r="L120" s="25">
        <f t="shared" si="13"/>
        <v>1.625</v>
      </c>
      <c r="M120" s="25">
        <f t="shared" si="13"/>
        <v>0.91666666666666663</v>
      </c>
      <c r="N120" s="25">
        <f t="shared" si="14"/>
        <v>1.2138888888888888</v>
      </c>
      <c r="O120" s="24">
        <v>3</v>
      </c>
      <c r="P120" s="24">
        <v>0</v>
      </c>
      <c r="Q120" s="24">
        <v>2</v>
      </c>
      <c r="R120" s="24">
        <v>3</v>
      </c>
      <c r="S120" s="24">
        <v>5</v>
      </c>
      <c r="T120" s="24">
        <v>1</v>
      </c>
      <c r="U120" s="25">
        <f t="shared" si="15"/>
        <v>1</v>
      </c>
      <c r="V120" s="25"/>
      <c r="W120" s="25">
        <f t="shared" si="15"/>
        <v>0.5</v>
      </c>
      <c r="X120" s="25">
        <f t="shared" si="16"/>
        <v>0.75</v>
      </c>
    </row>
    <row r="121" spans="1:24" ht="15.75" customHeight="1">
      <c r="A121" s="1">
        <v>30203</v>
      </c>
      <c r="B121" s="2" t="s">
        <v>149</v>
      </c>
      <c r="C121" s="2" t="s">
        <v>151</v>
      </c>
      <c r="D121" s="3" t="s">
        <v>154</v>
      </c>
      <c r="E121" s="24">
        <v>19</v>
      </c>
      <c r="F121" s="24">
        <v>13</v>
      </c>
      <c r="G121" s="24">
        <v>18</v>
      </c>
      <c r="H121" s="24">
        <v>19</v>
      </c>
      <c r="I121" s="24">
        <v>25</v>
      </c>
      <c r="J121" s="24">
        <v>28</v>
      </c>
      <c r="K121" s="25">
        <f t="shared" si="13"/>
        <v>1</v>
      </c>
      <c r="L121" s="25">
        <f t="shared" si="13"/>
        <v>1.9230769230769231</v>
      </c>
      <c r="M121" s="25">
        <f t="shared" si="13"/>
        <v>1.5555555555555556</v>
      </c>
      <c r="N121" s="25">
        <f t="shared" si="14"/>
        <v>1.4928774928774928</v>
      </c>
      <c r="O121" s="24">
        <v>9</v>
      </c>
      <c r="P121" s="24">
        <v>0</v>
      </c>
      <c r="Q121" s="24">
        <v>4</v>
      </c>
      <c r="R121" s="24">
        <v>10</v>
      </c>
      <c r="S121" s="24">
        <v>8</v>
      </c>
      <c r="T121" s="24">
        <v>4</v>
      </c>
      <c r="U121" s="25">
        <f t="shared" si="15"/>
        <v>1.1111111111111112</v>
      </c>
      <c r="V121" s="25"/>
      <c r="W121" s="25">
        <f t="shared" si="15"/>
        <v>1</v>
      </c>
      <c r="X121" s="25">
        <f t="shared" si="16"/>
        <v>1.0555555555555556</v>
      </c>
    </row>
    <row r="122" spans="1:24" ht="15.75" customHeight="1">
      <c r="A122" s="1">
        <v>30301</v>
      </c>
      <c r="B122" s="2" t="s">
        <v>149</v>
      </c>
      <c r="C122" s="2" t="s">
        <v>155</v>
      </c>
      <c r="D122" s="3" t="s">
        <v>156</v>
      </c>
      <c r="E122" s="24">
        <v>131</v>
      </c>
      <c r="F122" s="24">
        <v>148</v>
      </c>
      <c r="G122" s="24">
        <v>110</v>
      </c>
      <c r="H122" s="24">
        <v>183</v>
      </c>
      <c r="I122" s="24">
        <v>141</v>
      </c>
      <c r="J122" s="24">
        <v>156</v>
      </c>
      <c r="K122" s="25">
        <f t="shared" si="13"/>
        <v>1.3969465648854962</v>
      </c>
      <c r="L122" s="25">
        <f t="shared" si="13"/>
        <v>0.95270270270270274</v>
      </c>
      <c r="M122" s="25">
        <f t="shared" si="13"/>
        <v>1.4181818181818182</v>
      </c>
      <c r="N122" s="25">
        <f t="shared" si="14"/>
        <v>1.2559436952566723</v>
      </c>
      <c r="O122" s="24">
        <v>38</v>
      </c>
      <c r="P122" s="24">
        <v>40</v>
      </c>
      <c r="Q122" s="24">
        <v>40</v>
      </c>
      <c r="R122" s="24">
        <v>40</v>
      </c>
      <c r="S122" s="24">
        <v>35</v>
      </c>
      <c r="T122" s="24">
        <v>61</v>
      </c>
      <c r="U122" s="25">
        <f t="shared" si="15"/>
        <v>1.0526315789473684</v>
      </c>
      <c r="V122" s="25">
        <f t="shared" si="15"/>
        <v>0.875</v>
      </c>
      <c r="W122" s="25">
        <f t="shared" si="15"/>
        <v>1.5249999999999999</v>
      </c>
      <c r="X122" s="25">
        <f t="shared" si="16"/>
        <v>1.1508771929824562</v>
      </c>
    </row>
    <row r="123" spans="1:24" ht="15.75" customHeight="1">
      <c r="A123" s="1">
        <v>30302</v>
      </c>
      <c r="B123" s="2" t="s">
        <v>149</v>
      </c>
      <c r="C123" s="2" t="s">
        <v>155</v>
      </c>
      <c r="D123" s="3" t="s">
        <v>157</v>
      </c>
      <c r="E123" s="24">
        <v>94</v>
      </c>
      <c r="F123" s="24">
        <v>88</v>
      </c>
      <c r="G123" s="24">
        <v>52</v>
      </c>
      <c r="H123" s="24">
        <v>111</v>
      </c>
      <c r="I123" s="24">
        <v>104</v>
      </c>
      <c r="J123" s="24">
        <v>43</v>
      </c>
      <c r="K123" s="25">
        <f t="shared" si="13"/>
        <v>1.1808510638297873</v>
      </c>
      <c r="L123" s="25">
        <f t="shared" si="13"/>
        <v>1.1818181818181819</v>
      </c>
      <c r="M123" s="25">
        <f t="shared" si="13"/>
        <v>0.82692307692307687</v>
      </c>
      <c r="N123" s="25">
        <f t="shared" si="14"/>
        <v>1.0631974408570153</v>
      </c>
      <c r="O123" s="24">
        <v>16</v>
      </c>
      <c r="P123" s="24">
        <v>14</v>
      </c>
      <c r="Q123" s="24">
        <v>14</v>
      </c>
      <c r="R123" s="24">
        <v>22</v>
      </c>
      <c r="S123" s="24">
        <v>22</v>
      </c>
      <c r="T123" s="24">
        <v>16</v>
      </c>
      <c r="U123" s="25">
        <f t="shared" si="15"/>
        <v>1.375</v>
      </c>
      <c r="V123" s="25">
        <f t="shared" si="15"/>
        <v>1.5714285714285714</v>
      </c>
      <c r="W123" s="25">
        <f t="shared" si="15"/>
        <v>1.1428571428571428</v>
      </c>
      <c r="X123" s="25">
        <f t="shared" si="16"/>
        <v>1.3630952380952379</v>
      </c>
    </row>
    <row r="124" spans="1:24" ht="15.75" customHeight="1">
      <c r="A124" s="1">
        <v>30303</v>
      </c>
      <c r="B124" s="2" t="s">
        <v>149</v>
      </c>
      <c r="C124" s="2" t="s">
        <v>155</v>
      </c>
      <c r="D124" s="3" t="s">
        <v>158</v>
      </c>
      <c r="E124" s="24">
        <v>0</v>
      </c>
      <c r="F124" s="24">
        <v>0</v>
      </c>
      <c r="G124" s="24">
        <v>50</v>
      </c>
      <c r="H124" s="24">
        <v>0</v>
      </c>
      <c r="I124" s="24">
        <v>0</v>
      </c>
      <c r="J124" s="24">
        <v>66</v>
      </c>
      <c r="K124" s="25"/>
      <c r="L124" s="25"/>
      <c r="M124" s="25">
        <f t="shared" si="13"/>
        <v>1.32</v>
      </c>
      <c r="N124" s="25">
        <f t="shared" si="14"/>
        <v>1.32</v>
      </c>
      <c r="O124" s="24">
        <v>45</v>
      </c>
      <c r="P124" s="24">
        <v>24</v>
      </c>
      <c r="Q124" s="24">
        <v>30</v>
      </c>
      <c r="R124" s="24">
        <v>50</v>
      </c>
      <c r="S124" s="24">
        <v>31</v>
      </c>
      <c r="T124" s="24">
        <v>35</v>
      </c>
      <c r="U124" s="25">
        <f t="shared" si="15"/>
        <v>1.1111111111111112</v>
      </c>
      <c r="V124" s="25">
        <f t="shared" si="15"/>
        <v>1.2916666666666667</v>
      </c>
      <c r="W124" s="25">
        <f t="shared" si="15"/>
        <v>1.1666666666666667</v>
      </c>
      <c r="X124" s="25">
        <f t="shared" si="16"/>
        <v>1.1898148148148149</v>
      </c>
    </row>
    <row r="125" spans="1:24" ht="15.75" customHeight="1">
      <c r="A125" s="1">
        <v>30401</v>
      </c>
      <c r="B125" s="2" t="s">
        <v>149</v>
      </c>
      <c r="C125" s="2" t="s">
        <v>159</v>
      </c>
      <c r="D125" s="3" t="s">
        <v>160</v>
      </c>
      <c r="E125" s="24">
        <v>28</v>
      </c>
      <c r="F125" s="24">
        <v>39</v>
      </c>
      <c r="G125" s="24">
        <v>28</v>
      </c>
      <c r="H125" s="24">
        <v>45</v>
      </c>
      <c r="I125" s="24">
        <v>44</v>
      </c>
      <c r="J125" s="24">
        <v>50</v>
      </c>
      <c r="K125" s="25">
        <f t="shared" si="13"/>
        <v>1.6071428571428572</v>
      </c>
      <c r="L125" s="25">
        <f t="shared" si="13"/>
        <v>1.1282051282051282</v>
      </c>
      <c r="M125" s="25">
        <f t="shared" si="13"/>
        <v>1.7857142857142858</v>
      </c>
      <c r="N125" s="25">
        <f t="shared" si="14"/>
        <v>1.507020757020757</v>
      </c>
      <c r="O125" s="24">
        <v>21</v>
      </c>
      <c r="P125" s="24">
        <v>11</v>
      </c>
      <c r="Q125" s="24">
        <v>11</v>
      </c>
      <c r="R125" s="24">
        <v>32</v>
      </c>
      <c r="S125" s="24">
        <v>15</v>
      </c>
      <c r="T125" s="24">
        <v>15</v>
      </c>
      <c r="U125" s="25">
        <f t="shared" si="15"/>
        <v>1.5238095238095237</v>
      </c>
      <c r="V125" s="25">
        <f t="shared" si="15"/>
        <v>1.3636363636363635</v>
      </c>
      <c r="W125" s="25">
        <f t="shared" si="15"/>
        <v>1.3636363636363635</v>
      </c>
      <c r="X125" s="25">
        <f t="shared" si="16"/>
        <v>1.4170274170274169</v>
      </c>
    </row>
    <row r="126" spans="1:24" ht="15.75" customHeight="1">
      <c r="A126" s="1">
        <v>30402</v>
      </c>
      <c r="B126" s="2" t="s">
        <v>149</v>
      </c>
      <c r="C126" s="2" t="s">
        <v>159</v>
      </c>
      <c r="D126" s="3" t="s">
        <v>161</v>
      </c>
      <c r="E126" s="24">
        <v>19</v>
      </c>
      <c r="F126" s="24">
        <v>37</v>
      </c>
      <c r="G126" s="24">
        <v>33</v>
      </c>
      <c r="H126" s="24">
        <v>24</v>
      </c>
      <c r="I126" s="24">
        <v>46</v>
      </c>
      <c r="J126" s="24">
        <v>37</v>
      </c>
      <c r="K126" s="25">
        <f t="shared" si="13"/>
        <v>1.263157894736842</v>
      </c>
      <c r="L126" s="25">
        <f t="shared" si="13"/>
        <v>1.2432432432432432</v>
      </c>
      <c r="M126" s="25">
        <f t="shared" si="13"/>
        <v>1.1212121212121211</v>
      </c>
      <c r="N126" s="25">
        <f t="shared" si="14"/>
        <v>1.2092044197307354</v>
      </c>
      <c r="O126" s="24">
        <v>6</v>
      </c>
      <c r="P126" s="24">
        <v>16</v>
      </c>
      <c r="Q126" s="24">
        <v>7</v>
      </c>
      <c r="R126" s="24">
        <v>11</v>
      </c>
      <c r="S126" s="24">
        <v>8</v>
      </c>
      <c r="T126" s="24">
        <v>14</v>
      </c>
      <c r="U126" s="25">
        <f t="shared" si="15"/>
        <v>1.8333333333333333</v>
      </c>
      <c r="V126" s="25">
        <f t="shared" si="15"/>
        <v>0.5</v>
      </c>
      <c r="W126" s="25">
        <f t="shared" si="15"/>
        <v>2</v>
      </c>
      <c r="X126" s="25">
        <f t="shared" si="16"/>
        <v>1.4444444444444444</v>
      </c>
    </row>
    <row r="127" spans="1:24" ht="15.75" customHeight="1">
      <c r="A127" s="1">
        <v>30403</v>
      </c>
      <c r="B127" s="2" t="s">
        <v>149</v>
      </c>
      <c r="C127" s="2" t="s">
        <v>159</v>
      </c>
      <c r="D127" s="3" t="s">
        <v>162</v>
      </c>
      <c r="E127" s="24">
        <v>29</v>
      </c>
      <c r="F127" s="24">
        <v>33</v>
      </c>
      <c r="G127" s="24">
        <v>31</v>
      </c>
      <c r="H127" s="24">
        <v>43</v>
      </c>
      <c r="I127" s="24">
        <v>41</v>
      </c>
      <c r="J127" s="24">
        <v>55</v>
      </c>
      <c r="K127" s="25">
        <f t="shared" si="13"/>
        <v>1.4827586206896552</v>
      </c>
      <c r="L127" s="25">
        <f t="shared" si="13"/>
        <v>1.2424242424242424</v>
      </c>
      <c r="M127" s="25">
        <f t="shared" si="13"/>
        <v>1.7741935483870968</v>
      </c>
      <c r="N127" s="25">
        <f t="shared" si="14"/>
        <v>1.4997921371669982</v>
      </c>
      <c r="O127" s="24">
        <v>22</v>
      </c>
      <c r="P127" s="24">
        <v>20</v>
      </c>
      <c r="Q127" s="24">
        <v>25</v>
      </c>
      <c r="R127" s="24">
        <v>30</v>
      </c>
      <c r="S127" s="24">
        <v>29</v>
      </c>
      <c r="T127" s="24">
        <v>28</v>
      </c>
      <c r="U127" s="25">
        <f t="shared" si="15"/>
        <v>1.3636363636363635</v>
      </c>
      <c r="V127" s="25">
        <f t="shared" si="15"/>
        <v>1.45</v>
      </c>
      <c r="W127" s="25">
        <f t="shared" si="15"/>
        <v>1.1200000000000001</v>
      </c>
      <c r="X127" s="25">
        <f t="shared" si="16"/>
        <v>1.3112121212121213</v>
      </c>
    </row>
    <row r="128" spans="1:24" ht="15.75" customHeight="1">
      <c r="A128" s="1">
        <v>30404</v>
      </c>
      <c r="B128" s="2" t="s">
        <v>149</v>
      </c>
      <c r="C128" s="2" t="s">
        <v>159</v>
      </c>
      <c r="D128" s="3" t="s">
        <v>163</v>
      </c>
      <c r="E128" s="24">
        <v>17</v>
      </c>
      <c r="F128" s="24">
        <v>25</v>
      </c>
      <c r="G128" s="24">
        <v>17</v>
      </c>
      <c r="H128" s="24">
        <v>21</v>
      </c>
      <c r="I128" s="24">
        <v>20</v>
      </c>
      <c r="J128" s="24">
        <v>38</v>
      </c>
      <c r="K128" s="25">
        <f t="shared" si="13"/>
        <v>1.2352941176470589</v>
      </c>
      <c r="L128" s="25">
        <f t="shared" si="13"/>
        <v>0.8</v>
      </c>
      <c r="M128" s="25">
        <f t="shared" si="13"/>
        <v>2.2352941176470589</v>
      </c>
      <c r="N128" s="25">
        <f t="shared" si="14"/>
        <v>1.4235294117647059</v>
      </c>
      <c r="O128" s="24">
        <v>9</v>
      </c>
      <c r="P128" s="24">
        <v>10</v>
      </c>
      <c r="Q128" s="24">
        <v>1</v>
      </c>
      <c r="R128" s="24">
        <v>14</v>
      </c>
      <c r="S128" s="24">
        <v>13</v>
      </c>
      <c r="T128" s="24">
        <v>6</v>
      </c>
      <c r="U128" s="25">
        <f t="shared" si="15"/>
        <v>1.5555555555555556</v>
      </c>
      <c r="V128" s="25">
        <f t="shared" si="15"/>
        <v>1.3</v>
      </c>
      <c r="W128" s="25">
        <f t="shared" si="15"/>
        <v>6</v>
      </c>
      <c r="X128" s="25">
        <f t="shared" si="16"/>
        <v>2.9518518518518522</v>
      </c>
    </row>
    <row r="129" spans="1:24" ht="15.75" customHeight="1">
      <c r="A129" s="1">
        <v>30501</v>
      </c>
      <c r="B129" s="2" t="s">
        <v>149</v>
      </c>
      <c r="C129" s="2" t="s">
        <v>164</v>
      </c>
      <c r="D129" s="3" t="s">
        <v>164</v>
      </c>
      <c r="E129" s="24">
        <v>31</v>
      </c>
      <c r="F129" s="24">
        <v>37</v>
      </c>
      <c r="G129" s="24">
        <v>18</v>
      </c>
      <c r="H129" s="24">
        <v>45</v>
      </c>
      <c r="I129" s="24">
        <v>57</v>
      </c>
      <c r="J129" s="24">
        <v>33</v>
      </c>
      <c r="K129" s="25">
        <f t="shared" si="13"/>
        <v>1.4516129032258065</v>
      </c>
      <c r="L129" s="25">
        <f t="shared" si="13"/>
        <v>1.5405405405405406</v>
      </c>
      <c r="M129" s="25">
        <f t="shared" si="13"/>
        <v>1.8333333333333333</v>
      </c>
      <c r="N129" s="25">
        <f t="shared" si="14"/>
        <v>1.60849559236656</v>
      </c>
      <c r="O129" s="24">
        <v>3</v>
      </c>
      <c r="P129" s="24">
        <v>10</v>
      </c>
      <c r="Q129" s="24">
        <v>10</v>
      </c>
      <c r="R129" s="24">
        <v>10</v>
      </c>
      <c r="S129" s="24">
        <v>13</v>
      </c>
      <c r="T129" s="24">
        <v>22</v>
      </c>
      <c r="U129" s="25">
        <f t="shared" si="15"/>
        <v>3.3333333333333335</v>
      </c>
      <c r="V129" s="25">
        <f t="shared" si="15"/>
        <v>1.3</v>
      </c>
      <c r="W129" s="25">
        <f t="shared" si="15"/>
        <v>2.2000000000000002</v>
      </c>
      <c r="X129" s="25">
        <f t="shared" si="16"/>
        <v>2.2777777777777781</v>
      </c>
    </row>
    <row r="130" spans="1:24" ht="15.75" customHeight="1">
      <c r="A130" s="1">
        <v>30502</v>
      </c>
      <c r="B130" s="2" t="s">
        <v>149</v>
      </c>
      <c r="C130" s="2" t="s">
        <v>164</v>
      </c>
      <c r="D130" s="3" t="s">
        <v>165</v>
      </c>
      <c r="E130" s="24">
        <v>41</v>
      </c>
      <c r="F130" s="24">
        <v>38</v>
      </c>
      <c r="G130" s="24">
        <v>55</v>
      </c>
      <c r="H130" s="24">
        <v>49</v>
      </c>
      <c r="I130" s="24">
        <v>41</v>
      </c>
      <c r="J130" s="24">
        <v>62</v>
      </c>
      <c r="K130" s="25">
        <f t="shared" si="13"/>
        <v>1.1951219512195121</v>
      </c>
      <c r="L130" s="25">
        <f t="shared" si="13"/>
        <v>1.0789473684210527</v>
      </c>
      <c r="M130" s="25">
        <f t="shared" si="13"/>
        <v>1.1272727272727272</v>
      </c>
      <c r="N130" s="25">
        <f t="shared" si="14"/>
        <v>1.1337806823044305</v>
      </c>
      <c r="O130" s="24">
        <v>11</v>
      </c>
      <c r="P130" s="24">
        <v>17</v>
      </c>
      <c r="Q130" s="24">
        <v>16</v>
      </c>
      <c r="R130" s="24">
        <v>9</v>
      </c>
      <c r="S130" s="24">
        <v>34</v>
      </c>
      <c r="T130" s="24">
        <v>15</v>
      </c>
      <c r="U130" s="25">
        <f t="shared" si="15"/>
        <v>0.81818181818181823</v>
      </c>
      <c r="V130" s="25">
        <f t="shared" si="15"/>
        <v>2</v>
      </c>
      <c r="W130" s="25">
        <f t="shared" si="15"/>
        <v>0.9375</v>
      </c>
      <c r="X130" s="25">
        <f t="shared" si="16"/>
        <v>1.2518939393939394</v>
      </c>
    </row>
    <row r="131" spans="1:24" ht="15.75" customHeight="1">
      <c r="A131" s="1">
        <v>30601</v>
      </c>
      <c r="B131" s="2" t="s">
        <v>149</v>
      </c>
      <c r="C131" s="2" t="s">
        <v>166</v>
      </c>
      <c r="D131" s="3" t="s">
        <v>166</v>
      </c>
      <c r="E131" s="24">
        <v>46</v>
      </c>
      <c r="F131" s="24">
        <v>60</v>
      </c>
      <c r="G131" s="24">
        <v>49</v>
      </c>
      <c r="H131" s="24">
        <v>57</v>
      </c>
      <c r="I131" s="24">
        <v>48</v>
      </c>
      <c r="J131" s="24">
        <v>36</v>
      </c>
      <c r="K131" s="25">
        <f t="shared" ref="K131:M194" si="17">+H131/E131</f>
        <v>1.2391304347826086</v>
      </c>
      <c r="L131" s="25">
        <f t="shared" si="17"/>
        <v>0.8</v>
      </c>
      <c r="M131" s="25">
        <f t="shared" si="17"/>
        <v>0.73469387755102045</v>
      </c>
      <c r="N131" s="25">
        <f t="shared" ref="N131:N194" si="18">AVERAGE(K131:M131)</f>
        <v>0.92460810411120964</v>
      </c>
      <c r="O131" s="24">
        <v>28</v>
      </c>
      <c r="P131" s="24">
        <v>36</v>
      </c>
      <c r="Q131" s="24">
        <v>21</v>
      </c>
      <c r="R131" s="24">
        <v>29</v>
      </c>
      <c r="S131" s="24">
        <v>35</v>
      </c>
      <c r="T131" s="24">
        <v>26</v>
      </c>
      <c r="U131" s="25">
        <f t="shared" ref="U131:W194" si="19">+R131/O131</f>
        <v>1.0357142857142858</v>
      </c>
      <c r="V131" s="25">
        <f t="shared" si="19"/>
        <v>0.97222222222222221</v>
      </c>
      <c r="W131" s="25">
        <f t="shared" si="19"/>
        <v>1.2380952380952381</v>
      </c>
      <c r="X131" s="25">
        <f t="shared" ref="X131:X194" si="20">AVERAGE(U131:W131)</f>
        <v>1.0820105820105821</v>
      </c>
    </row>
    <row r="132" spans="1:24" ht="15.75" customHeight="1">
      <c r="A132" s="1">
        <v>30602</v>
      </c>
      <c r="B132" s="2" t="s">
        <v>149</v>
      </c>
      <c r="C132" s="2" t="s">
        <v>166</v>
      </c>
      <c r="D132" s="3" t="s">
        <v>167</v>
      </c>
      <c r="E132" s="24">
        <v>35</v>
      </c>
      <c r="F132" s="24">
        <v>62</v>
      </c>
      <c r="G132" s="24">
        <v>45</v>
      </c>
      <c r="H132" s="24">
        <v>48</v>
      </c>
      <c r="I132" s="24">
        <v>64</v>
      </c>
      <c r="J132" s="24">
        <v>33</v>
      </c>
      <c r="K132" s="25">
        <f t="shared" si="17"/>
        <v>1.3714285714285714</v>
      </c>
      <c r="L132" s="25">
        <f t="shared" si="17"/>
        <v>1.032258064516129</v>
      </c>
      <c r="M132" s="25">
        <f t="shared" si="17"/>
        <v>0.73333333333333328</v>
      </c>
      <c r="N132" s="25">
        <f t="shared" si="18"/>
        <v>1.045673323092678</v>
      </c>
      <c r="O132" s="24">
        <v>12</v>
      </c>
      <c r="P132" s="24">
        <v>16</v>
      </c>
      <c r="Q132" s="24">
        <v>15</v>
      </c>
      <c r="R132" s="24">
        <v>16</v>
      </c>
      <c r="S132" s="24">
        <v>17</v>
      </c>
      <c r="T132" s="24">
        <v>13</v>
      </c>
      <c r="U132" s="25">
        <f t="shared" si="19"/>
        <v>1.3333333333333333</v>
      </c>
      <c r="V132" s="25">
        <f t="shared" si="19"/>
        <v>1.0625</v>
      </c>
      <c r="W132" s="25">
        <f t="shared" si="19"/>
        <v>0.8666666666666667</v>
      </c>
      <c r="X132" s="25">
        <f t="shared" si="20"/>
        <v>1.0874999999999999</v>
      </c>
    </row>
    <row r="133" spans="1:24" ht="15.75" customHeight="1">
      <c r="A133" s="1">
        <v>30701</v>
      </c>
      <c r="B133" s="2" t="s">
        <v>149</v>
      </c>
      <c r="C133" s="2" t="s">
        <v>168</v>
      </c>
      <c r="D133" s="3" t="s">
        <v>168</v>
      </c>
      <c r="E133" s="24">
        <v>80</v>
      </c>
      <c r="F133" s="24">
        <v>87</v>
      </c>
      <c r="G133" s="24">
        <v>72</v>
      </c>
      <c r="H133" s="24">
        <v>118</v>
      </c>
      <c r="I133" s="24">
        <v>121</v>
      </c>
      <c r="J133" s="24">
        <v>110</v>
      </c>
      <c r="K133" s="25">
        <f t="shared" si="17"/>
        <v>1.4750000000000001</v>
      </c>
      <c r="L133" s="25">
        <f t="shared" si="17"/>
        <v>1.3908045977011494</v>
      </c>
      <c r="M133" s="25">
        <f t="shared" si="17"/>
        <v>1.5277777777777777</v>
      </c>
      <c r="N133" s="25">
        <f t="shared" si="18"/>
        <v>1.4645274584929757</v>
      </c>
      <c r="O133" s="24">
        <v>26</v>
      </c>
      <c r="P133" s="24">
        <v>37</v>
      </c>
      <c r="Q133" s="24">
        <v>33</v>
      </c>
      <c r="R133" s="24">
        <v>48</v>
      </c>
      <c r="S133" s="24">
        <v>51</v>
      </c>
      <c r="T133" s="24">
        <v>54</v>
      </c>
      <c r="U133" s="25">
        <f t="shared" si="19"/>
        <v>1.8461538461538463</v>
      </c>
      <c r="V133" s="25">
        <f t="shared" si="19"/>
        <v>1.3783783783783783</v>
      </c>
      <c r="W133" s="25">
        <f t="shared" si="19"/>
        <v>1.6363636363636365</v>
      </c>
      <c r="X133" s="25">
        <f t="shared" si="20"/>
        <v>1.6202986202986205</v>
      </c>
    </row>
    <row r="134" spans="1:24" ht="15.75" customHeight="1">
      <c r="A134" s="1">
        <v>30702</v>
      </c>
      <c r="B134" s="2" t="s">
        <v>149</v>
      </c>
      <c r="C134" s="2" t="s">
        <v>168</v>
      </c>
      <c r="D134" s="3" t="s">
        <v>169</v>
      </c>
      <c r="E134" s="24">
        <v>9</v>
      </c>
      <c r="F134" s="24">
        <v>20</v>
      </c>
      <c r="G134" s="24">
        <v>18</v>
      </c>
      <c r="H134" s="24">
        <v>19</v>
      </c>
      <c r="I134" s="24">
        <v>27</v>
      </c>
      <c r="J134" s="24">
        <v>37</v>
      </c>
      <c r="K134" s="25">
        <f t="shared" si="17"/>
        <v>2.1111111111111112</v>
      </c>
      <c r="L134" s="25">
        <f t="shared" si="17"/>
        <v>1.35</v>
      </c>
      <c r="M134" s="25">
        <f t="shared" si="17"/>
        <v>2.0555555555555554</v>
      </c>
      <c r="N134" s="25">
        <f t="shared" si="18"/>
        <v>1.8388888888888888</v>
      </c>
      <c r="O134" s="24">
        <v>5</v>
      </c>
      <c r="P134" s="24">
        <v>5</v>
      </c>
      <c r="Q134" s="24">
        <v>6</v>
      </c>
      <c r="R134" s="24">
        <v>8</v>
      </c>
      <c r="S134" s="24">
        <v>8</v>
      </c>
      <c r="T134" s="24">
        <v>7</v>
      </c>
      <c r="U134" s="25">
        <f t="shared" si="19"/>
        <v>1.6</v>
      </c>
      <c r="V134" s="25">
        <f t="shared" si="19"/>
        <v>1.6</v>
      </c>
      <c r="W134" s="25">
        <f t="shared" si="19"/>
        <v>1.1666666666666667</v>
      </c>
      <c r="X134" s="25">
        <f t="shared" si="20"/>
        <v>1.4555555555555557</v>
      </c>
    </row>
    <row r="135" spans="1:24" ht="15.75" customHeight="1">
      <c r="A135" s="1">
        <v>30703</v>
      </c>
      <c r="B135" s="2" t="s">
        <v>149</v>
      </c>
      <c r="C135" s="2" t="s">
        <v>168</v>
      </c>
      <c r="D135" s="3" t="s">
        <v>170</v>
      </c>
      <c r="E135" s="24">
        <v>10</v>
      </c>
      <c r="F135" s="24">
        <v>10</v>
      </c>
      <c r="G135" s="24">
        <v>12</v>
      </c>
      <c r="H135" s="24">
        <v>21</v>
      </c>
      <c r="I135" s="24">
        <v>13</v>
      </c>
      <c r="J135" s="24">
        <v>17</v>
      </c>
      <c r="K135" s="25">
        <f t="shared" si="17"/>
        <v>2.1</v>
      </c>
      <c r="L135" s="25">
        <f t="shared" si="17"/>
        <v>1.3</v>
      </c>
      <c r="M135" s="25">
        <f t="shared" si="17"/>
        <v>1.4166666666666667</v>
      </c>
      <c r="N135" s="25">
        <f t="shared" si="18"/>
        <v>1.6055555555555558</v>
      </c>
      <c r="O135" s="24">
        <v>5</v>
      </c>
      <c r="P135" s="24">
        <v>3</v>
      </c>
      <c r="Q135" s="24">
        <v>10</v>
      </c>
      <c r="R135" s="24">
        <v>7</v>
      </c>
      <c r="S135" s="24">
        <v>4</v>
      </c>
      <c r="T135" s="24">
        <v>8</v>
      </c>
      <c r="U135" s="25">
        <f t="shared" si="19"/>
        <v>1.4</v>
      </c>
      <c r="V135" s="25">
        <f t="shared" si="19"/>
        <v>1.3333333333333333</v>
      </c>
      <c r="W135" s="25">
        <f t="shared" si="19"/>
        <v>0.8</v>
      </c>
      <c r="X135" s="25">
        <f t="shared" si="20"/>
        <v>1.1777777777777778</v>
      </c>
    </row>
    <row r="136" spans="1:24" ht="15.75" customHeight="1">
      <c r="A136" s="1">
        <v>30801</v>
      </c>
      <c r="B136" s="2" t="s">
        <v>149</v>
      </c>
      <c r="C136" s="2" t="s">
        <v>171</v>
      </c>
      <c r="D136" s="3" t="s">
        <v>172</v>
      </c>
      <c r="E136" s="24">
        <v>55</v>
      </c>
      <c r="F136" s="24">
        <v>47</v>
      </c>
      <c r="G136" s="24">
        <v>76</v>
      </c>
      <c r="H136" s="24">
        <v>125</v>
      </c>
      <c r="I136" s="24">
        <v>101</v>
      </c>
      <c r="J136" s="24">
        <v>130</v>
      </c>
      <c r="K136" s="25">
        <f t="shared" si="17"/>
        <v>2.2727272727272729</v>
      </c>
      <c r="L136" s="25">
        <f t="shared" si="17"/>
        <v>2.1489361702127661</v>
      </c>
      <c r="M136" s="25">
        <f t="shared" si="17"/>
        <v>1.7105263157894737</v>
      </c>
      <c r="N136" s="25">
        <f t="shared" si="18"/>
        <v>2.0440632529098375</v>
      </c>
      <c r="O136" s="24">
        <v>49</v>
      </c>
      <c r="P136" s="24">
        <v>32</v>
      </c>
      <c r="Q136" s="24">
        <v>44</v>
      </c>
      <c r="R136" s="24">
        <v>60</v>
      </c>
      <c r="S136" s="24">
        <v>41</v>
      </c>
      <c r="T136" s="24">
        <v>45</v>
      </c>
      <c r="U136" s="25">
        <f t="shared" si="19"/>
        <v>1.2244897959183674</v>
      </c>
      <c r="V136" s="25">
        <f t="shared" si="19"/>
        <v>1.28125</v>
      </c>
      <c r="W136" s="25">
        <f t="shared" si="19"/>
        <v>1.0227272727272727</v>
      </c>
      <c r="X136" s="25">
        <f t="shared" si="20"/>
        <v>1.1761556895485468</v>
      </c>
    </row>
    <row r="137" spans="1:24" ht="15.75" customHeight="1">
      <c r="A137" s="1">
        <v>30802</v>
      </c>
      <c r="B137" s="2" t="s">
        <v>149</v>
      </c>
      <c r="C137" s="2" t="s">
        <v>171</v>
      </c>
      <c r="D137" s="3" t="s">
        <v>173</v>
      </c>
      <c r="E137" s="24">
        <v>17</v>
      </c>
      <c r="F137" s="24">
        <v>16</v>
      </c>
      <c r="G137" s="24">
        <v>19</v>
      </c>
      <c r="H137" s="24">
        <v>19</v>
      </c>
      <c r="I137" s="24">
        <v>35</v>
      </c>
      <c r="J137" s="24">
        <v>28</v>
      </c>
      <c r="K137" s="25">
        <f t="shared" si="17"/>
        <v>1.1176470588235294</v>
      </c>
      <c r="L137" s="25">
        <f t="shared" si="17"/>
        <v>2.1875</v>
      </c>
      <c r="M137" s="25">
        <f t="shared" si="17"/>
        <v>1.4736842105263157</v>
      </c>
      <c r="N137" s="25">
        <f t="shared" si="18"/>
        <v>1.5929437564499482</v>
      </c>
      <c r="O137" s="24">
        <v>14</v>
      </c>
      <c r="P137" s="24">
        <v>13</v>
      </c>
      <c r="Q137" s="24">
        <v>15</v>
      </c>
      <c r="R137" s="24">
        <v>18</v>
      </c>
      <c r="S137" s="24">
        <v>19</v>
      </c>
      <c r="T137" s="24">
        <v>15</v>
      </c>
      <c r="U137" s="25">
        <f t="shared" si="19"/>
        <v>1.2857142857142858</v>
      </c>
      <c r="V137" s="25">
        <f t="shared" si="19"/>
        <v>1.4615384615384615</v>
      </c>
      <c r="W137" s="25">
        <f t="shared" si="19"/>
        <v>1</v>
      </c>
      <c r="X137" s="25">
        <f t="shared" si="20"/>
        <v>1.2490842490842491</v>
      </c>
    </row>
    <row r="138" spans="1:24" ht="15.75" customHeight="1">
      <c r="A138" s="1">
        <v>30803</v>
      </c>
      <c r="B138" s="2" t="s">
        <v>149</v>
      </c>
      <c r="C138" s="2" t="s">
        <v>171</v>
      </c>
      <c r="D138" s="3" t="s">
        <v>174</v>
      </c>
      <c r="E138" s="24">
        <v>5</v>
      </c>
      <c r="F138" s="24">
        <v>13</v>
      </c>
      <c r="G138" s="24">
        <v>10</v>
      </c>
      <c r="H138" s="24">
        <v>22</v>
      </c>
      <c r="I138" s="24">
        <v>16</v>
      </c>
      <c r="J138" s="24">
        <v>17</v>
      </c>
      <c r="K138" s="25">
        <f t="shared" si="17"/>
        <v>4.4000000000000004</v>
      </c>
      <c r="L138" s="25">
        <f t="shared" si="17"/>
        <v>1.2307692307692308</v>
      </c>
      <c r="M138" s="25">
        <f t="shared" si="17"/>
        <v>1.7</v>
      </c>
      <c r="N138" s="25">
        <f t="shared" si="18"/>
        <v>2.4435897435897438</v>
      </c>
      <c r="O138" s="24">
        <v>12</v>
      </c>
      <c r="P138" s="24">
        <v>14</v>
      </c>
      <c r="Q138" s="24">
        <v>11</v>
      </c>
      <c r="R138" s="24">
        <v>10</v>
      </c>
      <c r="S138" s="24">
        <v>15</v>
      </c>
      <c r="T138" s="24">
        <v>15</v>
      </c>
      <c r="U138" s="25">
        <f t="shared" si="19"/>
        <v>0.83333333333333337</v>
      </c>
      <c r="V138" s="25">
        <f t="shared" si="19"/>
        <v>1.0714285714285714</v>
      </c>
      <c r="W138" s="25">
        <f t="shared" si="19"/>
        <v>1.3636363636363635</v>
      </c>
      <c r="X138" s="25">
        <f t="shared" si="20"/>
        <v>1.0894660894660895</v>
      </c>
    </row>
    <row r="139" spans="1:24" ht="15.75" customHeight="1">
      <c r="A139" s="1">
        <v>30901</v>
      </c>
      <c r="B139" s="2" t="s">
        <v>149</v>
      </c>
      <c r="C139" s="2" t="s">
        <v>175</v>
      </c>
      <c r="D139" s="3" t="s">
        <v>175</v>
      </c>
      <c r="E139" s="24">
        <v>395</v>
      </c>
      <c r="F139" s="24">
        <v>475</v>
      </c>
      <c r="G139" s="24">
        <v>449</v>
      </c>
      <c r="H139" s="24">
        <v>645</v>
      </c>
      <c r="I139" s="24">
        <v>786</v>
      </c>
      <c r="J139" s="24">
        <v>830</v>
      </c>
      <c r="K139" s="25">
        <f t="shared" si="17"/>
        <v>1.6329113924050633</v>
      </c>
      <c r="L139" s="25">
        <f t="shared" si="17"/>
        <v>1.6547368421052631</v>
      </c>
      <c r="M139" s="25">
        <f t="shared" si="17"/>
        <v>1.8485523385300668</v>
      </c>
      <c r="N139" s="25">
        <f t="shared" si="18"/>
        <v>1.7120668576801312</v>
      </c>
      <c r="O139" s="24">
        <v>169</v>
      </c>
      <c r="P139" s="24">
        <v>171</v>
      </c>
      <c r="Q139" s="24">
        <v>154</v>
      </c>
      <c r="R139" s="24">
        <v>274</v>
      </c>
      <c r="S139" s="24">
        <v>264</v>
      </c>
      <c r="T139" s="24">
        <v>259</v>
      </c>
      <c r="U139" s="25">
        <f t="shared" si="19"/>
        <v>1.6213017751479291</v>
      </c>
      <c r="V139" s="25">
        <f t="shared" si="19"/>
        <v>1.5438596491228069</v>
      </c>
      <c r="W139" s="25">
        <f t="shared" si="19"/>
        <v>1.6818181818181819</v>
      </c>
      <c r="X139" s="25">
        <f t="shared" si="20"/>
        <v>1.615659868696306</v>
      </c>
    </row>
    <row r="140" spans="1:24" ht="15.75" customHeight="1">
      <c r="A140" s="1">
        <v>30902</v>
      </c>
      <c r="B140" s="2" t="s">
        <v>149</v>
      </c>
      <c r="C140" s="2" t="s">
        <v>175</v>
      </c>
      <c r="D140" s="3" t="s">
        <v>176</v>
      </c>
      <c r="E140" s="24">
        <v>116</v>
      </c>
      <c r="F140" s="24">
        <v>92</v>
      </c>
      <c r="G140" s="24">
        <v>95</v>
      </c>
      <c r="H140" s="24">
        <v>228</v>
      </c>
      <c r="I140" s="24">
        <v>148</v>
      </c>
      <c r="J140" s="24">
        <v>178</v>
      </c>
      <c r="K140" s="25">
        <f t="shared" si="17"/>
        <v>1.9655172413793103</v>
      </c>
      <c r="L140" s="25">
        <f t="shared" si="17"/>
        <v>1.6086956521739131</v>
      </c>
      <c r="M140" s="25">
        <f t="shared" si="17"/>
        <v>1.8736842105263158</v>
      </c>
      <c r="N140" s="25">
        <f t="shared" si="18"/>
        <v>1.8159657013598463</v>
      </c>
      <c r="O140" s="24">
        <v>81</v>
      </c>
      <c r="P140" s="24">
        <v>49</v>
      </c>
      <c r="Q140" s="24">
        <v>80</v>
      </c>
      <c r="R140" s="24">
        <v>98</v>
      </c>
      <c r="S140" s="24">
        <v>82</v>
      </c>
      <c r="T140" s="24">
        <v>99</v>
      </c>
      <c r="U140" s="25">
        <f t="shared" si="19"/>
        <v>1.2098765432098766</v>
      </c>
      <c r="V140" s="25">
        <f t="shared" si="19"/>
        <v>1.6734693877551021</v>
      </c>
      <c r="W140" s="25">
        <f t="shared" si="19"/>
        <v>1.2375</v>
      </c>
      <c r="X140" s="25">
        <f t="shared" si="20"/>
        <v>1.3736153103216597</v>
      </c>
    </row>
    <row r="141" spans="1:24" ht="15.75" customHeight="1">
      <c r="A141" s="1">
        <v>30903</v>
      </c>
      <c r="B141" s="2" t="s">
        <v>149</v>
      </c>
      <c r="C141" s="2" t="s">
        <v>175</v>
      </c>
      <c r="D141" s="3" t="s">
        <v>177</v>
      </c>
      <c r="E141" s="24">
        <v>151</v>
      </c>
      <c r="F141" s="24">
        <v>160</v>
      </c>
      <c r="G141" s="24">
        <v>102</v>
      </c>
      <c r="H141" s="24">
        <v>195</v>
      </c>
      <c r="I141" s="24">
        <v>245</v>
      </c>
      <c r="J141" s="24">
        <v>176</v>
      </c>
      <c r="K141" s="25">
        <f t="shared" si="17"/>
        <v>1.2913907284768211</v>
      </c>
      <c r="L141" s="25">
        <f t="shared" si="17"/>
        <v>1.53125</v>
      </c>
      <c r="M141" s="25">
        <f t="shared" si="17"/>
        <v>1.7254901960784315</v>
      </c>
      <c r="N141" s="25">
        <f t="shared" si="18"/>
        <v>1.5160436415184175</v>
      </c>
      <c r="O141" s="24">
        <v>58</v>
      </c>
      <c r="P141" s="24">
        <v>54</v>
      </c>
      <c r="Q141" s="24">
        <v>62</v>
      </c>
      <c r="R141" s="24">
        <v>71</v>
      </c>
      <c r="S141" s="24">
        <v>53</v>
      </c>
      <c r="T141" s="24">
        <v>84</v>
      </c>
      <c r="U141" s="25">
        <f t="shared" si="19"/>
        <v>1.2241379310344827</v>
      </c>
      <c r="V141" s="25">
        <f t="shared" si="19"/>
        <v>0.98148148148148151</v>
      </c>
      <c r="W141" s="25">
        <f t="shared" si="19"/>
        <v>1.3548387096774193</v>
      </c>
      <c r="X141" s="25">
        <f t="shared" si="20"/>
        <v>1.186819374064461</v>
      </c>
    </row>
    <row r="142" spans="1:24" ht="15.75" customHeight="1">
      <c r="A142" s="1">
        <v>30904</v>
      </c>
      <c r="B142" s="2" t="s">
        <v>149</v>
      </c>
      <c r="C142" s="2" t="s">
        <v>175</v>
      </c>
      <c r="D142" s="3" t="s">
        <v>178</v>
      </c>
      <c r="E142" s="24">
        <v>159</v>
      </c>
      <c r="F142" s="24">
        <v>178</v>
      </c>
      <c r="G142" s="24">
        <v>142</v>
      </c>
      <c r="H142" s="24">
        <v>279</v>
      </c>
      <c r="I142" s="24">
        <v>315</v>
      </c>
      <c r="J142" s="24">
        <v>256</v>
      </c>
      <c r="K142" s="25">
        <f t="shared" si="17"/>
        <v>1.7547169811320755</v>
      </c>
      <c r="L142" s="25">
        <f t="shared" si="17"/>
        <v>1.7696629213483146</v>
      </c>
      <c r="M142" s="25">
        <f t="shared" si="17"/>
        <v>1.8028169014084507</v>
      </c>
      <c r="N142" s="25">
        <f t="shared" si="18"/>
        <v>1.7757322679629468</v>
      </c>
      <c r="O142" s="24">
        <v>51</v>
      </c>
      <c r="P142" s="24">
        <v>40</v>
      </c>
      <c r="Q142" s="24">
        <v>84</v>
      </c>
      <c r="R142" s="24">
        <v>82</v>
      </c>
      <c r="S142" s="24">
        <v>55</v>
      </c>
      <c r="T142" s="24">
        <v>97</v>
      </c>
      <c r="U142" s="25">
        <f t="shared" si="19"/>
        <v>1.607843137254902</v>
      </c>
      <c r="V142" s="25">
        <f t="shared" si="19"/>
        <v>1.375</v>
      </c>
      <c r="W142" s="25">
        <f t="shared" si="19"/>
        <v>1.1547619047619047</v>
      </c>
      <c r="X142" s="25">
        <f t="shared" si="20"/>
        <v>1.3792016806722689</v>
      </c>
    </row>
    <row r="143" spans="1:24" ht="15.75" customHeight="1">
      <c r="A143" s="1">
        <v>30905</v>
      </c>
      <c r="B143" s="2" t="s">
        <v>149</v>
      </c>
      <c r="C143" s="2" t="s">
        <v>175</v>
      </c>
      <c r="D143" s="3" t="s">
        <v>179</v>
      </c>
      <c r="E143" s="24">
        <v>68</v>
      </c>
      <c r="F143" s="24">
        <v>73</v>
      </c>
      <c r="G143" s="24">
        <v>51</v>
      </c>
      <c r="H143" s="24">
        <v>97</v>
      </c>
      <c r="I143" s="24">
        <v>128</v>
      </c>
      <c r="J143" s="24">
        <v>108</v>
      </c>
      <c r="K143" s="25">
        <f t="shared" si="17"/>
        <v>1.4264705882352942</v>
      </c>
      <c r="L143" s="25">
        <f t="shared" si="17"/>
        <v>1.7534246575342465</v>
      </c>
      <c r="M143" s="25">
        <f t="shared" si="17"/>
        <v>2.1176470588235294</v>
      </c>
      <c r="N143" s="25">
        <f t="shared" si="18"/>
        <v>1.7658474348643569</v>
      </c>
      <c r="O143" s="24">
        <v>48</v>
      </c>
      <c r="P143" s="24">
        <v>30</v>
      </c>
      <c r="Q143" s="24">
        <v>23</v>
      </c>
      <c r="R143" s="24">
        <v>44</v>
      </c>
      <c r="S143" s="24">
        <v>45</v>
      </c>
      <c r="T143" s="24">
        <v>38</v>
      </c>
      <c r="U143" s="25">
        <f t="shared" si="19"/>
        <v>0.91666666666666663</v>
      </c>
      <c r="V143" s="25">
        <f t="shared" si="19"/>
        <v>1.5</v>
      </c>
      <c r="W143" s="25">
        <f t="shared" si="19"/>
        <v>1.6521739130434783</v>
      </c>
      <c r="X143" s="25">
        <f t="shared" si="20"/>
        <v>1.3562801932367148</v>
      </c>
    </row>
    <row r="144" spans="1:24" ht="15.75" customHeight="1">
      <c r="A144" s="1">
        <v>31001</v>
      </c>
      <c r="B144" s="2" t="s">
        <v>149</v>
      </c>
      <c r="C144" s="2" t="s">
        <v>180</v>
      </c>
      <c r="D144" s="3" t="s">
        <v>181</v>
      </c>
      <c r="E144" s="24">
        <v>340</v>
      </c>
      <c r="F144" s="24">
        <v>401</v>
      </c>
      <c r="G144" s="24">
        <v>383</v>
      </c>
      <c r="H144" s="24">
        <v>568</v>
      </c>
      <c r="I144" s="24">
        <v>658</v>
      </c>
      <c r="J144" s="24">
        <v>605</v>
      </c>
      <c r="K144" s="25">
        <f t="shared" si="17"/>
        <v>1.6705882352941177</v>
      </c>
      <c r="L144" s="25">
        <f t="shared" si="17"/>
        <v>1.6408977556109725</v>
      </c>
      <c r="M144" s="25">
        <f t="shared" si="17"/>
        <v>1.5796344647519582</v>
      </c>
      <c r="N144" s="25">
        <f t="shared" si="18"/>
        <v>1.6303734852190164</v>
      </c>
      <c r="O144" s="24">
        <v>162</v>
      </c>
      <c r="P144" s="24">
        <v>159</v>
      </c>
      <c r="Q144" s="24">
        <v>133</v>
      </c>
      <c r="R144" s="24">
        <v>224</v>
      </c>
      <c r="S144" s="24">
        <v>229</v>
      </c>
      <c r="T144" s="24">
        <v>204</v>
      </c>
      <c r="U144" s="25">
        <f t="shared" si="19"/>
        <v>1.382716049382716</v>
      </c>
      <c r="V144" s="25">
        <f t="shared" si="19"/>
        <v>1.4402515723270439</v>
      </c>
      <c r="W144" s="25">
        <f t="shared" si="19"/>
        <v>1.5338345864661653</v>
      </c>
      <c r="X144" s="25">
        <f t="shared" si="20"/>
        <v>1.4522674027253084</v>
      </c>
    </row>
    <row r="145" spans="1:24" ht="15.75" customHeight="1">
      <c r="A145" s="1">
        <v>31002</v>
      </c>
      <c r="B145" s="2" t="s">
        <v>149</v>
      </c>
      <c r="C145" s="2" t="s">
        <v>180</v>
      </c>
      <c r="D145" s="3" t="s">
        <v>182</v>
      </c>
      <c r="E145" s="24">
        <v>77</v>
      </c>
      <c r="F145" s="24">
        <v>120</v>
      </c>
      <c r="G145" s="24">
        <v>86</v>
      </c>
      <c r="H145" s="24">
        <v>89</v>
      </c>
      <c r="I145" s="24">
        <v>165</v>
      </c>
      <c r="J145" s="24">
        <v>127</v>
      </c>
      <c r="K145" s="25">
        <f t="shared" si="17"/>
        <v>1.1558441558441559</v>
      </c>
      <c r="L145" s="25">
        <f t="shared" si="17"/>
        <v>1.375</v>
      </c>
      <c r="M145" s="25">
        <f t="shared" si="17"/>
        <v>1.4767441860465116</v>
      </c>
      <c r="N145" s="25">
        <f t="shared" si="18"/>
        <v>1.3358627806302223</v>
      </c>
      <c r="O145" s="24">
        <v>48</v>
      </c>
      <c r="P145" s="24">
        <v>29</v>
      </c>
      <c r="Q145" s="24">
        <v>30</v>
      </c>
      <c r="R145" s="24">
        <v>62</v>
      </c>
      <c r="S145" s="24">
        <v>47</v>
      </c>
      <c r="T145" s="24">
        <v>30</v>
      </c>
      <c r="U145" s="25">
        <f t="shared" si="19"/>
        <v>1.2916666666666667</v>
      </c>
      <c r="V145" s="25">
        <f t="shared" si="19"/>
        <v>1.6206896551724137</v>
      </c>
      <c r="W145" s="25">
        <f t="shared" si="19"/>
        <v>1</v>
      </c>
      <c r="X145" s="25">
        <f t="shared" si="20"/>
        <v>1.3041187739463602</v>
      </c>
    </row>
    <row r="146" spans="1:24" ht="15.75" customHeight="1">
      <c r="A146" s="1">
        <v>31003</v>
      </c>
      <c r="B146" s="2" t="s">
        <v>149</v>
      </c>
      <c r="C146" s="2" t="s">
        <v>180</v>
      </c>
      <c r="D146" s="3" t="s">
        <v>183</v>
      </c>
      <c r="E146" s="24">
        <v>249</v>
      </c>
      <c r="F146" s="24">
        <v>252</v>
      </c>
      <c r="G146" s="24">
        <v>263</v>
      </c>
      <c r="H146" s="24">
        <v>393</v>
      </c>
      <c r="I146" s="24">
        <v>381</v>
      </c>
      <c r="J146" s="24">
        <v>397</v>
      </c>
      <c r="K146" s="25">
        <f t="shared" si="17"/>
        <v>1.5783132530120483</v>
      </c>
      <c r="L146" s="25">
        <f t="shared" si="17"/>
        <v>1.5119047619047619</v>
      </c>
      <c r="M146" s="25">
        <f t="shared" si="17"/>
        <v>1.5095057034220531</v>
      </c>
      <c r="N146" s="25">
        <f t="shared" si="18"/>
        <v>1.5332412394462878</v>
      </c>
      <c r="O146" s="24">
        <v>122</v>
      </c>
      <c r="P146" s="24">
        <v>136</v>
      </c>
      <c r="Q146" s="24">
        <v>136</v>
      </c>
      <c r="R146" s="24">
        <v>177</v>
      </c>
      <c r="S146" s="24">
        <v>237</v>
      </c>
      <c r="T146" s="24">
        <v>236</v>
      </c>
      <c r="U146" s="25">
        <f t="shared" si="19"/>
        <v>1.4508196721311475</v>
      </c>
      <c r="V146" s="25">
        <f t="shared" si="19"/>
        <v>1.7426470588235294</v>
      </c>
      <c r="W146" s="25">
        <f t="shared" si="19"/>
        <v>1.7352941176470589</v>
      </c>
      <c r="X146" s="25">
        <f t="shared" si="20"/>
        <v>1.6429202828672453</v>
      </c>
    </row>
    <row r="147" spans="1:24" ht="15.75" customHeight="1">
      <c r="A147" s="1">
        <v>31101</v>
      </c>
      <c r="B147" s="2" t="s">
        <v>149</v>
      </c>
      <c r="C147" s="2" t="s">
        <v>184</v>
      </c>
      <c r="D147" s="3" t="s">
        <v>184</v>
      </c>
      <c r="E147" s="24">
        <v>84</v>
      </c>
      <c r="F147" s="24">
        <v>82</v>
      </c>
      <c r="G147" s="24">
        <v>104</v>
      </c>
      <c r="H147" s="24">
        <v>70</v>
      </c>
      <c r="I147" s="24">
        <v>92</v>
      </c>
      <c r="J147" s="24">
        <v>93</v>
      </c>
      <c r="K147" s="25">
        <f t="shared" si="17"/>
        <v>0.83333333333333337</v>
      </c>
      <c r="L147" s="25">
        <f t="shared" si="17"/>
        <v>1.1219512195121952</v>
      </c>
      <c r="M147" s="25">
        <f t="shared" si="17"/>
        <v>0.89423076923076927</v>
      </c>
      <c r="N147" s="25">
        <f t="shared" si="18"/>
        <v>0.94983844069209933</v>
      </c>
      <c r="O147" s="24">
        <v>48</v>
      </c>
      <c r="P147" s="24">
        <v>58</v>
      </c>
      <c r="Q147" s="24">
        <v>41</v>
      </c>
      <c r="R147" s="24">
        <v>48</v>
      </c>
      <c r="S147" s="24">
        <v>37</v>
      </c>
      <c r="T147" s="24">
        <v>42</v>
      </c>
      <c r="U147" s="25">
        <f t="shared" si="19"/>
        <v>1</v>
      </c>
      <c r="V147" s="25">
        <f t="shared" si="19"/>
        <v>0.63793103448275867</v>
      </c>
      <c r="W147" s="25">
        <f t="shared" si="19"/>
        <v>1.024390243902439</v>
      </c>
      <c r="X147" s="25">
        <f t="shared" si="20"/>
        <v>0.88744042612839935</v>
      </c>
    </row>
    <row r="148" spans="1:24" ht="15.75" customHeight="1">
      <c r="A148" s="1">
        <v>31201</v>
      </c>
      <c r="B148" s="2" t="s">
        <v>149</v>
      </c>
      <c r="C148" s="2" t="s">
        <v>185</v>
      </c>
      <c r="D148" s="3" t="s">
        <v>186</v>
      </c>
      <c r="E148" s="24">
        <v>36</v>
      </c>
      <c r="F148" s="24">
        <v>36</v>
      </c>
      <c r="G148" s="24">
        <v>38</v>
      </c>
      <c r="H148" s="24">
        <v>53</v>
      </c>
      <c r="I148" s="24">
        <v>50</v>
      </c>
      <c r="J148" s="24">
        <v>59</v>
      </c>
      <c r="K148" s="25">
        <f t="shared" si="17"/>
        <v>1.4722222222222223</v>
      </c>
      <c r="L148" s="25">
        <f t="shared" si="17"/>
        <v>1.3888888888888888</v>
      </c>
      <c r="M148" s="25">
        <f t="shared" si="17"/>
        <v>1.5526315789473684</v>
      </c>
      <c r="N148" s="25">
        <f t="shared" si="18"/>
        <v>1.4712475633528266</v>
      </c>
      <c r="O148" s="24">
        <v>15</v>
      </c>
      <c r="P148" s="24">
        <v>50</v>
      </c>
      <c r="Q148" s="24">
        <v>27</v>
      </c>
      <c r="R148" s="24">
        <v>22</v>
      </c>
      <c r="S148" s="24">
        <v>48</v>
      </c>
      <c r="T148" s="24">
        <v>38</v>
      </c>
      <c r="U148" s="25">
        <f t="shared" si="19"/>
        <v>1.4666666666666666</v>
      </c>
      <c r="V148" s="25">
        <f t="shared" si="19"/>
        <v>0.96</v>
      </c>
      <c r="W148" s="25">
        <f t="shared" si="19"/>
        <v>1.4074074074074074</v>
      </c>
      <c r="X148" s="25">
        <f t="shared" si="20"/>
        <v>1.2780246913580247</v>
      </c>
    </row>
    <row r="149" spans="1:24" ht="15.75" customHeight="1">
      <c r="A149" s="1">
        <v>31202</v>
      </c>
      <c r="B149" s="2" t="s">
        <v>149</v>
      </c>
      <c r="C149" s="2" t="s">
        <v>185</v>
      </c>
      <c r="D149" s="3" t="s">
        <v>187</v>
      </c>
      <c r="E149" s="24">
        <v>28</v>
      </c>
      <c r="F149" s="24">
        <v>37</v>
      </c>
      <c r="G149" s="24">
        <v>42</v>
      </c>
      <c r="H149" s="24">
        <v>33</v>
      </c>
      <c r="I149" s="24">
        <v>42</v>
      </c>
      <c r="J149" s="24">
        <v>57</v>
      </c>
      <c r="K149" s="25">
        <f t="shared" si="17"/>
        <v>1.1785714285714286</v>
      </c>
      <c r="L149" s="25">
        <f t="shared" si="17"/>
        <v>1.1351351351351351</v>
      </c>
      <c r="M149" s="25">
        <f t="shared" si="17"/>
        <v>1.3571428571428572</v>
      </c>
      <c r="N149" s="25">
        <f t="shared" si="18"/>
        <v>1.2236164736164736</v>
      </c>
      <c r="O149" s="24">
        <v>20</v>
      </c>
      <c r="P149" s="24">
        <v>17</v>
      </c>
      <c r="Q149" s="24">
        <v>33</v>
      </c>
      <c r="R149" s="24">
        <v>36</v>
      </c>
      <c r="S149" s="24">
        <v>18</v>
      </c>
      <c r="T149" s="24">
        <v>50</v>
      </c>
      <c r="U149" s="25">
        <f t="shared" si="19"/>
        <v>1.8</v>
      </c>
      <c r="V149" s="25">
        <f t="shared" si="19"/>
        <v>1.0588235294117647</v>
      </c>
      <c r="W149" s="25">
        <f t="shared" si="19"/>
        <v>1.5151515151515151</v>
      </c>
      <c r="X149" s="25">
        <f t="shared" si="20"/>
        <v>1.4579916815210934</v>
      </c>
    </row>
    <row r="150" spans="1:24" ht="15.75" customHeight="1">
      <c r="A150" s="1">
        <v>31203</v>
      </c>
      <c r="B150" s="2" t="s">
        <v>149</v>
      </c>
      <c r="C150" s="2" t="s">
        <v>185</v>
      </c>
      <c r="D150" s="3" t="s">
        <v>188</v>
      </c>
      <c r="E150" s="24">
        <v>48</v>
      </c>
      <c r="F150" s="24">
        <v>54</v>
      </c>
      <c r="G150" s="24">
        <v>41</v>
      </c>
      <c r="H150" s="24">
        <v>39</v>
      </c>
      <c r="I150" s="24">
        <v>64</v>
      </c>
      <c r="J150" s="24">
        <v>57</v>
      </c>
      <c r="K150" s="25">
        <f t="shared" si="17"/>
        <v>0.8125</v>
      </c>
      <c r="L150" s="25">
        <f t="shared" si="17"/>
        <v>1.1851851851851851</v>
      </c>
      <c r="M150" s="25">
        <f t="shared" si="17"/>
        <v>1.3902439024390243</v>
      </c>
      <c r="N150" s="25">
        <f t="shared" si="18"/>
        <v>1.1293096958747364</v>
      </c>
      <c r="O150" s="24">
        <v>15</v>
      </c>
      <c r="P150" s="24">
        <v>14</v>
      </c>
      <c r="Q150" s="24">
        <v>15</v>
      </c>
      <c r="R150" s="24">
        <v>17</v>
      </c>
      <c r="S150" s="24">
        <v>24</v>
      </c>
      <c r="T150" s="24">
        <v>22</v>
      </c>
      <c r="U150" s="25">
        <f t="shared" si="19"/>
        <v>1.1333333333333333</v>
      </c>
      <c r="V150" s="25">
        <f t="shared" si="19"/>
        <v>1.7142857142857142</v>
      </c>
      <c r="W150" s="25">
        <f t="shared" si="19"/>
        <v>1.4666666666666666</v>
      </c>
      <c r="X150" s="25">
        <f t="shared" si="20"/>
        <v>1.4380952380952381</v>
      </c>
    </row>
    <row r="151" spans="1:24" ht="15.75" customHeight="1">
      <c r="A151" s="1">
        <v>31204</v>
      </c>
      <c r="B151" s="2" t="s">
        <v>149</v>
      </c>
      <c r="C151" s="2" t="s">
        <v>185</v>
      </c>
      <c r="D151" s="3" t="s">
        <v>189</v>
      </c>
      <c r="E151" s="24">
        <v>70</v>
      </c>
      <c r="F151" s="24">
        <v>61</v>
      </c>
      <c r="G151" s="24">
        <v>76</v>
      </c>
      <c r="H151" s="24">
        <v>117</v>
      </c>
      <c r="I151" s="24">
        <v>111</v>
      </c>
      <c r="J151" s="24">
        <v>135</v>
      </c>
      <c r="K151" s="25">
        <f t="shared" si="17"/>
        <v>1.6714285714285715</v>
      </c>
      <c r="L151" s="25">
        <f t="shared" si="17"/>
        <v>1.819672131147541</v>
      </c>
      <c r="M151" s="25">
        <f t="shared" si="17"/>
        <v>1.7763157894736843</v>
      </c>
      <c r="N151" s="25">
        <f t="shared" si="18"/>
        <v>1.7558054973499322</v>
      </c>
      <c r="O151" s="24">
        <v>33</v>
      </c>
      <c r="P151" s="24">
        <v>34</v>
      </c>
      <c r="Q151" s="24">
        <v>41</v>
      </c>
      <c r="R151" s="24">
        <v>43</v>
      </c>
      <c r="S151" s="24">
        <v>70</v>
      </c>
      <c r="T151" s="24">
        <v>87</v>
      </c>
      <c r="U151" s="25">
        <f t="shared" si="19"/>
        <v>1.303030303030303</v>
      </c>
      <c r="V151" s="25">
        <f t="shared" si="19"/>
        <v>2.0588235294117645</v>
      </c>
      <c r="W151" s="25">
        <f t="shared" si="19"/>
        <v>2.1219512195121952</v>
      </c>
      <c r="X151" s="25">
        <f t="shared" si="20"/>
        <v>1.8279350173180875</v>
      </c>
    </row>
    <row r="152" spans="1:24" ht="15.75" customHeight="1">
      <c r="A152" s="1">
        <v>31205</v>
      </c>
      <c r="B152" s="2" t="s">
        <v>149</v>
      </c>
      <c r="C152" s="2" t="s">
        <v>185</v>
      </c>
      <c r="D152" s="3" t="s">
        <v>190</v>
      </c>
      <c r="E152" s="24">
        <v>135</v>
      </c>
      <c r="F152" s="24">
        <v>117</v>
      </c>
      <c r="G152" s="24">
        <v>140</v>
      </c>
      <c r="H152" s="24">
        <v>197</v>
      </c>
      <c r="I152" s="24">
        <v>212</v>
      </c>
      <c r="J152" s="24">
        <v>266</v>
      </c>
      <c r="K152" s="25">
        <f t="shared" si="17"/>
        <v>1.4592592592592593</v>
      </c>
      <c r="L152" s="25">
        <f t="shared" si="17"/>
        <v>1.811965811965812</v>
      </c>
      <c r="M152" s="25">
        <f t="shared" si="17"/>
        <v>1.9</v>
      </c>
      <c r="N152" s="25">
        <f t="shared" si="18"/>
        <v>1.7237416904083573</v>
      </c>
      <c r="O152" s="24">
        <v>99</v>
      </c>
      <c r="P152" s="24">
        <v>69</v>
      </c>
      <c r="Q152" s="24">
        <v>131</v>
      </c>
      <c r="R152" s="24">
        <v>129</v>
      </c>
      <c r="S152" s="24">
        <v>114</v>
      </c>
      <c r="T152" s="24">
        <v>183</v>
      </c>
      <c r="U152" s="25">
        <f t="shared" si="19"/>
        <v>1.303030303030303</v>
      </c>
      <c r="V152" s="25">
        <f t="shared" si="19"/>
        <v>1.6521739130434783</v>
      </c>
      <c r="W152" s="25">
        <f t="shared" si="19"/>
        <v>1.3969465648854962</v>
      </c>
      <c r="X152" s="25">
        <f t="shared" si="20"/>
        <v>1.450716926986426</v>
      </c>
    </row>
    <row r="153" spans="1:24" ht="15.75" customHeight="1">
      <c r="A153" s="1">
        <v>31206</v>
      </c>
      <c r="B153" s="2" t="s">
        <v>149</v>
      </c>
      <c r="C153" s="2" t="s">
        <v>185</v>
      </c>
      <c r="D153" s="3" t="s">
        <v>191</v>
      </c>
      <c r="E153" s="24">
        <v>109</v>
      </c>
      <c r="F153" s="24">
        <v>79</v>
      </c>
      <c r="G153" s="24">
        <v>92</v>
      </c>
      <c r="H153" s="24">
        <v>169</v>
      </c>
      <c r="I153" s="24">
        <v>152</v>
      </c>
      <c r="J153" s="24">
        <v>190</v>
      </c>
      <c r="K153" s="25">
        <f t="shared" si="17"/>
        <v>1.5504587155963303</v>
      </c>
      <c r="L153" s="25">
        <f t="shared" si="17"/>
        <v>1.9240506329113924</v>
      </c>
      <c r="M153" s="25">
        <f t="shared" si="17"/>
        <v>2.0652173913043477</v>
      </c>
      <c r="N153" s="25">
        <f t="shared" si="18"/>
        <v>1.8465755799373567</v>
      </c>
      <c r="O153" s="24">
        <v>74</v>
      </c>
      <c r="P153" s="24">
        <v>72</v>
      </c>
      <c r="Q153" s="24">
        <v>74</v>
      </c>
      <c r="R153" s="24">
        <v>112</v>
      </c>
      <c r="S153" s="24">
        <v>78</v>
      </c>
      <c r="T153" s="24">
        <v>114</v>
      </c>
      <c r="U153" s="25">
        <f t="shared" si="19"/>
        <v>1.5135135135135136</v>
      </c>
      <c r="V153" s="25">
        <f t="shared" si="19"/>
        <v>1.0833333333333333</v>
      </c>
      <c r="W153" s="25">
        <f t="shared" si="19"/>
        <v>1.5405405405405406</v>
      </c>
      <c r="X153" s="25">
        <f t="shared" si="20"/>
        <v>1.3791291291291292</v>
      </c>
    </row>
    <row r="154" spans="1:24" ht="15.75" customHeight="1">
      <c r="A154" s="1">
        <v>31301</v>
      </c>
      <c r="B154" s="2" t="s">
        <v>149</v>
      </c>
      <c r="C154" s="2" t="s">
        <v>192</v>
      </c>
      <c r="D154" s="3" t="s">
        <v>192</v>
      </c>
      <c r="E154" s="24">
        <v>91</v>
      </c>
      <c r="F154" s="24">
        <v>137</v>
      </c>
      <c r="G154" s="24">
        <v>129</v>
      </c>
      <c r="H154" s="24">
        <v>138</v>
      </c>
      <c r="I154" s="24">
        <v>160</v>
      </c>
      <c r="J154" s="24">
        <v>156</v>
      </c>
      <c r="K154" s="25">
        <f t="shared" si="17"/>
        <v>1.5164835164835164</v>
      </c>
      <c r="L154" s="25">
        <f t="shared" si="17"/>
        <v>1.167883211678832</v>
      </c>
      <c r="M154" s="25">
        <f t="shared" si="17"/>
        <v>1.2093023255813953</v>
      </c>
      <c r="N154" s="25">
        <f t="shared" si="18"/>
        <v>1.297889684581248</v>
      </c>
      <c r="O154" s="24">
        <v>73</v>
      </c>
      <c r="P154" s="24">
        <v>55</v>
      </c>
      <c r="Q154" s="24">
        <v>101</v>
      </c>
      <c r="R154" s="24">
        <v>89</v>
      </c>
      <c r="S154" s="24">
        <v>74</v>
      </c>
      <c r="T154" s="24">
        <v>103</v>
      </c>
      <c r="U154" s="25">
        <f t="shared" si="19"/>
        <v>1.2191780821917808</v>
      </c>
      <c r="V154" s="25">
        <f t="shared" si="19"/>
        <v>1.3454545454545455</v>
      </c>
      <c r="W154" s="25">
        <f t="shared" si="19"/>
        <v>1.0198019801980198</v>
      </c>
      <c r="X154" s="25">
        <f t="shared" si="20"/>
        <v>1.1948115359481155</v>
      </c>
    </row>
    <row r="155" spans="1:24" ht="15.75" customHeight="1">
      <c r="A155" s="1">
        <v>31302</v>
      </c>
      <c r="B155" s="2" t="s">
        <v>149</v>
      </c>
      <c r="C155" s="2" t="s">
        <v>192</v>
      </c>
      <c r="D155" s="3" t="s">
        <v>193</v>
      </c>
      <c r="E155" s="24">
        <v>23</v>
      </c>
      <c r="F155" s="24">
        <v>10</v>
      </c>
      <c r="G155" s="24">
        <v>6</v>
      </c>
      <c r="H155" s="24">
        <v>16</v>
      </c>
      <c r="I155" s="24">
        <v>12</v>
      </c>
      <c r="J155" s="24">
        <v>17</v>
      </c>
      <c r="K155" s="25">
        <f t="shared" si="17"/>
        <v>0.69565217391304346</v>
      </c>
      <c r="L155" s="25">
        <f t="shared" si="17"/>
        <v>1.2</v>
      </c>
      <c r="M155" s="25">
        <f t="shared" si="17"/>
        <v>2.8333333333333335</v>
      </c>
      <c r="N155" s="25">
        <f t="shared" si="18"/>
        <v>1.576328502415459</v>
      </c>
      <c r="O155" s="24">
        <v>5</v>
      </c>
      <c r="P155" s="24">
        <v>15</v>
      </c>
      <c r="Q155" s="24">
        <v>6</v>
      </c>
      <c r="R155" s="24">
        <v>11</v>
      </c>
      <c r="S155" s="24">
        <v>11</v>
      </c>
      <c r="T155" s="24">
        <v>9</v>
      </c>
      <c r="U155" s="25">
        <f t="shared" si="19"/>
        <v>2.2000000000000002</v>
      </c>
      <c r="V155" s="25">
        <f t="shared" si="19"/>
        <v>0.73333333333333328</v>
      </c>
      <c r="W155" s="25">
        <f t="shared" si="19"/>
        <v>1.5</v>
      </c>
      <c r="X155" s="25">
        <f t="shared" si="20"/>
        <v>1.4777777777777779</v>
      </c>
    </row>
    <row r="156" spans="1:24" ht="15.75" customHeight="1">
      <c r="A156" s="1">
        <v>31303</v>
      </c>
      <c r="B156" s="2" t="s">
        <v>149</v>
      </c>
      <c r="C156" s="2" t="s">
        <v>192</v>
      </c>
      <c r="D156" s="3" t="s">
        <v>194</v>
      </c>
      <c r="E156" s="24">
        <v>15</v>
      </c>
      <c r="F156" s="24">
        <v>14</v>
      </c>
      <c r="G156" s="24">
        <v>8</v>
      </c>
      <c r="H156" s="24">
        <v>17</v>
      </c>
      <c r="I156" s="24">
        <v>8</v>
      </c>
      <c r="J156" s="24">
        <v>18</v>
      </c>
      <c r="K156" s="25">
        <f t="shared" si="17"/>
        <v>1.1333333333333333</v>
      </c>
      <c r="L156" s="25">
        <f t="shared" si="17"/>
        <v>0.5714285714285714</v>
      </c>
      <c r="M156" s="25">
        <f t="shared" si="17"/>
        <v>2.25</v>
      </c>
      <c r="N156" s="25">
        <f t="shared" si="18"/>
        <v>1.3182539682539682</v>
      </c>
      <c r="O156" s="24">
        <v>4</v>
      </c>
      <c r="P156" s="24">
        <v>3</v>
      </c>
      <c r="Q156" s="24">
        <v>3</v>
      </c>
      <c r="R156" s="24">
        <v>3</v>
      </c>
      <c r="S156" s="24">
        <v>2</v>
      </c>
      <c r="T156" s="24">
        <v>4</v>
      </c>
      <c r="U156" s="25">
        <f t="shared" si="19"/>
        <v>0.75</v>
      </c>
      <c r="V156" s="25">
        <f t="shared" si="19"/>
        <v>0.66666666666666663</v>
      </c>
      <c r="W156" s="25">
        <f t="shared" si="19"/>
        <v>1.3333333333333333</v>
      </c>
      <c r="X156" s="25">
        <f t="shared" si="20"/>
        <v>0.91666666666666663</v>
      </c>
    </row>
    <row r="157" spans="1:24" ht="15.75" customHeight="1">
      <c r="A157" s="1">
        <v>31304</v>
      </c>
      <c r="B157" s="2" t="s">
        <v>149</v>
      </c>
      <c r="C157" s="2" t="s">
        <v>192</v>
      </c>
      <c r="D157" s="3" t="s">
        <v>195</v>
      </c>
      <c r="E157" s="24">
        <v>91</v>
      </c>
      <c r="F157" s="24">
        <v>137</v>
      </c>
      <c r="G157" s="24">
        <v>129</v>
      </c>
      <c r="H157" s="24">
        <v>117</v>
      </c>
      <c r="I157" s="24">
        <v>111</v>
      </c>
      <c r="J157" s="24">
        <v>135</v>
      </c>
      <c r="K157" s="25">
        <f t="shared" si="17"/>
        <v>1.2857142857142858</v>
      </c>
      <c r="L157" s="25">
        <f t="shared" si="17"/>
        <v>0.81021897810218979</v>
      </c>
      <c r="M157" s="25">
        <f t="shared" si="17"/>
        <v>1.0465116279069768</v>
      </c>
      <c r="N157" s="25">
        <f t="shared" si="18"/>
        <v>1.0474816305744843</v>
      </c>
      <c r="O157" s="24">
        <v>73</v>
      </c>
      <c r="P157" s="24">
        <v>55</v>
      </c>
      <c r="Q157" s="24"/>
      <c r="R157" s="24">
        <v>89</v>
      </c>
      <c r="S157" s="24">
        <v>74</v>
      </c>
      <c r="T157" s="24"/>
      <c r="U157" s="25">
        <f t="shared" si="19"/>
        <v>1.2191780821917808</v>
      </c>
      <c r="V157" s="25">
        <f t="shared" si="19"/>
        <v>1.3454545454545455</v>
      </c>
      <c r="W157" s="25"/>
      <c r="X157" s="25">
        <f t="shared" si="20"/>
        <v>1.2823163138231632</v>
      </c>
    </row>
    <row r="158" spans="1:24" ht="15.75" customHeight="1">
      <c r="A158" s="1">
        <v>31401</v>
      </c>
      <c r="B158" s="2" t="s">
        <v>149</v>
      </c>
      <c r="C158" s="2" t="s">
        <v>196</v>
      </c>
      <c r="D158" s="3" t="s">
        <v>196</v>
      </c>
      <c r="E158" s="24">
        <v>118</v>
      </c>
      <c r="F158" s="24">
        <v>102</v>
      </c>
      <c r="G158" s="24">
        <v>102</v>
      </c>
      <c r="H158" s="24">
        <v>169</v>
      </c>
      <c r="I158" s="24">
        <v>181</v>
      </c>
      <c r="J158" s="24">
        <v>159</v>
      </c>
      <c r="K158" s="25">
        <f t="shared" si="17"/>
        <v>1.4322033898305084</v>
      </c>
      <c r="L158" s="25">
        <f t="shared" si="17"/>
        <v>1.7745098039215685</v>
      </c>
      <c r="M158" s="25">
        <f t="shared" si="17"/>
        <v>1.5588235294117647</v>
      </c>
      <c r="N158" s="25">
        <f t="shared" si="18"/>
        <v>1.588512241054614</v>
      </c>
      <c r="O158" s="24">
        <v>53</v>
      </c>
      <c r="P158" s="24">
        <v>47</v>
      </c>
      <c r="Q158" s="24">
        <v>64</v>
      </c>
      <c r="R158" s="24">
        <v>56</v>
      </c>
      <c r="S158" s="24">
        <v>56</v>
      </c>
      <c r="T158" s="24">
        <v>85</v>
      </c>
      <c r="U158" s="25">
        <f t="shared" si="19"/>
        <v>1.0566037735849056</v>
      </c>
      <c r="V158" s="25">
        <f t="shared" si="19"/>
        <v>1.1914893617021276</v>
      </c>
      <c r="W158" s="25">
        <f t="shared" si="19"/>
        <v>1.328125</v>
      </c>
      <c r="X158" s="25">
        <f t="shared" si="20"/>
        <v>1.1920727117623444</v>
      </c>
    </row>
    <row r="159" spans="1:24" ht="15.75" customHeight="1">
      <c r="A159" s="1">
        <v>31402</v>
      </c>
      <c r="B159" s="2" t="s">
        <v>149</v>
      </c>
      <c r="C159" s="2" t="s">
        <v>196</v>
      </c>
      <c r="D159" s="3" t="s">
        <v>197</v>
      </c>
      <c r="E159" s="24">
        <v>24</v>
      </c>
      <c r="F159" s="24">
        <v>33</v>
      </c>
      <c r="G159" s="24">
        <v>48</v>
      </c>
      <c r="H159" s="24">
        <v>39</v>
      </c>
      <c r="I159" s="24">
        <v>46</v>
      </c>
      <c r="J159" s="24">
        <v>38</v>
      </c>
      <c r="K159" s="25">
        <f t="shared" si="17"/>
        <v>1.625</v>
      </c>
      <c r="L159" s="25">
        <f t="shared" si="17"/>
        <v>1.393939393939394</v>
      </c>
      <c r="M159" s="25">
        <f t="shared" si="17"/>
        <v>0.79166666666666663</v>
      </c>
      <c r="N159" s="25">
        <f t="shared" si="18"/>
        <v>1.2702020202020201</v>
      </c>
      <c r="O159" s="24">
        <v>18</v>
      </c>
      <c r="P159" s="24">
        <v>15</v>
      </c>
      <c r="Q159" s="24">
        <v>17</v>
      </c>
      <c r="R159" s="24">
        <v>18</v>
      </c>
      <c r="S159" s="24">
        <v>24</v>
      </c>
      <c r="T159" s="24">
        <v>22</v>
      </c>
      <c r="U159" s="25">
        <f t="shared" si="19"/>
        <v>1</v>
      </c>
      <c r="V159" s="25">
        <f t="shared" si="19"/>
        <v>1.6</v>
      </c>
      <c r="W159" s="25">
        <f t="shared" si="19"/>
        <v>1.2941176470588236</v>
      </c>
      <c r="X159" s="25">
        <f t="shared" si="20"/>
        <v>1.2980392156862746</v>
      </c>
    </row>
    <row r="160" spans="1:24" ht="15.75" customHeight="1">
      <c r="A160" s="1">
        <v>31403</v>
      </c>
      <c r="B160" s="2" t="s">
        <v>149</v>
      </c>
      <c r="C160" s="2" t="s">
        <v>196</v>
      </c>
      <c r="D160" s="3" t="s">
        <v>198</v>
      </c>
      <c r="E160" s="24">
        <v>38</v>
      </c>
      <c r="F160" s="24">
        <v>32</v>
      </c>
      <c r="G160" s="24">
        <v>33</v>
      </c>
      <c r="H160" s="24">
        <v>64</v>
      </c>
      <c r="I160" s="24">
        <v>58</v>
      </c>
      <c r="J160" s="24">
        <v>61</v>
      </c>
      <c r="K160" s="25">
        <f t="shared" si="17"/>
        <v>1.6842105263157894</v>
      </c>
      <c r="L160" s="25">
        <f t="shared" si="17"/>
        <v>1.8125</v>
      </c>
      <c r="M160" s="25">
        <f t="shared" si="17"/>
        <v>1.8484848484848484</v>
      </c>
      <c r="N160" s="25">
        <f t="shared" si="18"/>
        <v>1.7817317916002127</v>
      </c>
      <c r="O160" s="24">
        <v>8</v>
      </c>
      <c r="P160" s="24">
        <v>11</v>
      </c>
      <c r="Q160" s="24">
        <v>9</v>
      </c>
      <c r="R160" s="24">
        <v>15</v>
      </c>
      <c r="S160" s="24">
        <v>14</v>
      </c>
      <c r="T160" s="24">
        <v>21</v>
      </c>
      <c r="U160" s="25">
        <f t="shared" si="19"/>
        <v>1.875</v>
      </c>
      <c r="V160" s="25">
        <f t="shared" si="19"/>
        <v>1.2727272727272727</v>
      </c>
      <c r="W160" s="25">
        <f t="shared" si="19"/>
        <v>2.3333333333333335</v>
      </c>
      <c r="X160" s="25">
        <f t="shared" si="20"/>
        <v>1.8270202020202018</v>
      </c>
    </row>
    <row r="161" spans="1:24" ht="15.75" customHeight="1">
      <c r="A161" s="1">
        <v>31404</v>
      </c>
      <c r="B161" s="2" t="s">
        <v>149</v>
      </c>
      <c r="C161" s="2" t="s">
        <v>196</v>
      </c>
      <c r="D161" s="3" t="s">
        <v>199</v>
      </c>
      <c r="E161" s="24">
        <v>0</v>
      </c>
      <c r="F161" s="24">
        <v>0</v>
      </c>
      <c r="G161" s="24">
        <v>1</v>
      </c>
      <c r="H161" s="24">
        <v>0</v>
      </c>
      <c r="I161" s="24">
        <v>0</v>
      </c>
      <c r="J161" s="24">
        <v>2</v>
      </c>
      <c r="K161" s="25"/>
      <c r="L161" s="25"/>
      <c r="M161" s="25">
        <f t="shared" si="17"/>
        <v>2</v>
      </c>
      <c r="N161" s="25">
        <f t="shared" si="18"/>
        <v>2</v>
      </c>
      <c r="O161" s="24"/>
      <c r="P161" s="24"/>
      <c r="Q161" s="24"/>
      <c r="R161" s="24"/>
      <c r="S161" s="24"/>
      <c r="T161" s="24"/>
      <c r="U161" s="25"/>
      <c r="V161" s="25"/>
      <c r="W161" s="25"/>
      <c r="X161" s="25"/>
    </row>
    <row r="162" spans="1:24" ht="15.75" customHeight="1">
      <c r="A162" s="1">
        <v>31405</v>
      </c>
      <c r="B162" s="2" t="s">
        <v>149</v>
      </c>
      <c r="C162" s="2" t="s">
        <v>196</v>
      </c>
      <c r="D162" s="3" t="s">
        <v>200</v>
      </c>
      <c r="E162" s="24">
        <v>7</v>
      </c>
      <c r="F162" s="24">
        <v>5</v>
      </c>
      <c r="G162" s="24">
        <v>3</v>
      </c>
      <c r="H162" s="24">
        <v>4</v>
      </c>
      <c r="I162" s="24">
        <v>0</v>
      </c>
      <c r="J162" s="24">
        <v>1</v>
      </c>
      <c r="K162" s="25">
        <f t="shared" si="17"/>
        <v>0.5714285714285714</v>
      </c>
      <c r="L162" s="25">
        <f t="shared" si="17"/>
        <v>0</v>
      </c>
      <c r="M162" s="25">
        <f t="shared" si="17"/>
        <v>0.33333333333333331</v>
      </c>
      <c r="N162" s="25">
        <f t="shared" si="18"/>
        <v>0.30158730158730157</v>
      </c>
      <c r="O162" s="24"/>
      <c r="P162" s="24"/>
      <c r="Q162" s="24"/>
      <c r="R162" s="24"/>
      <c r="S162" s="24"/>
      <c r="T162" s="24"/>
      <c r="U162" s="25"/>
      <c r="V162" s="25"/>
      <c r="W162" s="25"/>
      <c r="X162" s="25"/>
    </row>
    <row r="163" spans="1:24" ht="15.75" customHeight="1">
      <c r="A163" s="1">
        <v>31501</v>
      </c>
      <c r="B163" s="2" t="s">
        <v>149</v>
      </c>
      <c r="C163" s="2" t="s">
        <v>201</v>
      </c>
      <c r="D163" s="3" t="s">
        <v>201</v>
      </c>
      <c r="E163" s="24">
        <v>35</v>
      </c>
      <c r="F163" s="24">
        <v>26</v>
      </c>
      <c r="G163" s="24">
        <v>28</v>
      </c>
      <c r="H163" s="24">
        <v>27</v>
      </c>
      <c r="I163" s="24">
        <v>34</v>
      </c>
      <c r="J163" s="24">
        <v>25</v>
      </c>
      <c r="K163" s="25">
        <f t="shared" si="17"/>
        <v>0.77142857142857146</v>
      </c>
      <c r="L163" s="25">
        <f t="shared" si="17"/>
        <v>1.3076923076923077</v>
      </c>
      <c r="M163" s="25">
        <f t="shared" si="17"/>
        <v>0.8928571428571429</v>
      </c>
      <c r="N163" s="25">
        <f t="shared" si="18"/>
        <v>0.99065934065934069</v>
      </c>
      <c r="O163" s="24">
        <v>8</v>
      </c>
      <c r="P163" s="24">
        <v>6</v>
      </c>
      <c r="Q163" s="24">
        <v>12</v>
      </c>
      <c r="R163" s="24">
        <v>6</v>
      </c>
      <c r="S163" s="24">
        <v>10</v>
      </c>
      <c r="T163" s="24">
        <v>12</v>
      </c>
      <c r="U163" s="25">
        <f t="shared" si="19"/>
        <v>0.75</v>
      </c>
      <c r="V163" s="25">
        <f t="shared" si="19"/>
        <v>1.6666666666666667</v>
      </c>
      <c r="W163" s="25">
        <f t="shared" si="19"/>
        <v>1</v>
      </c>
      <c r="X163" s="25">
        <f t="shared" si="20"/>
        <v>1.1388888888888891</v>
      </c>
    </row>
    <row r="164" spans="1:24" ht="15.75" customHeight="1">
      <c r="A164" s="1">
        <v>31601</v>
      </c>
      <c r="B164" s="2" t="s">
        <v>149</v>
      </c>
      <c r="C164" s="2" t="s">
        <v>202</v>
      </c>
      <c r="D164" s="3" t="s">
        <v>202</v>
      </c>
      <c r="E164" s="24">
        <v>152</v>
      </c>
      <c r="F164" s="24">
        <v>142</v>
      </c>
      <c r="G164" s="24">
        <v>69</v>
      </c>
      <c r="H164" s="24">
        <v>217</v>
      </c>
      <c r="I164" s="24">
        <v>220</v>
      </c>
      <c r="J164" s="24">
        <v>121</v>
      </c>
      <c r="K164" s="25">
        <f t="shared" si="17"/>
        <v>1.4276315789473684</v>
      </c>
      <c r="L164" s="25">
        <f t="shared" si="17"/>
        <v>1.5492957746478873</v>
      </c>
      <c r="M164" s="25">
        <f t="shared" si="17"/>
        <v>1.7536231884057971</v>
      </c>
      <c r="N164" s="25">
        <f t="shared" si="18"/>
        <v>1.5768501806670177</v>
      </c>
      <c r="O164" s="24">
        <v>41</v>
      </c>
      <c r="P164" s="24">
        <v>33</v>
      </c>
      <c r="Q164" s="24">
        <v>35</v>
      </c>
      <c r="R164" s="24">
        <v>31</v>
      </c>
      <c r="S164" s="24">
        <v>62</v>
      </c>
      <c r="T164" s="24">
        <v>64</v>
      </c>
      <c r="U164" s="25">
        <f t="shared" si="19"/>
        <v>0.75609756097560976</v>
      </c>
      <c r="V164" s="25">
        <f t="shared" si="19"/>
        <v>1.8787878787878789</v>
      </c>
      <c r="W164" s="25">
        <f t="shared" si="19"/>
        <v>1.8285714285714285</v>
      </c>
      <c r="X164" s="25">
        <f t="shared" si="20"/>
        <v>1.4878189561116388</v>
      </c>
    </row>
    <row r="165" spans="1:24" ht="15.75" customHeight="1">
      <c r="A165" s="1">
        <v>31602</v>
      </c>
      <c r="B165" s="2" t="s">
        <v>149</v>
      </c>
      <c r="C165" s="2" t="s">
        <v>202</v>
      </c>
      <c r="D165" s="3" t="s">
        <v>203</v>
      </c>
      <c r="E165" s="24">
        <v>0</v>
      </c>
      <c r="F165" s="24">
        <v>0</v>
      </c>
      <c r="G165" s="24">
        <v>57</v>
      </c>
      <c r="H165" s="24">
        <v>0</v>
      </c>
      <c r="I165" s="24">
        <v>0</v>
      </c>
      <c r="J165" s="24">
        <v>93</v>
      </c>
      <c r="K165" s="25"/>
      <c r="L165" s="25"/>
      <c r="M165" s="25">
        <f t="shared" si="17"/>
        <v>1.631578947368421</v>
      </c>
      <c r="N165" s="25">
        <f t="shared" si="18"/>
        <v>1.631578947368421</v>
      </c>
      <c r="O165" s="24">
        <v>52</v>
      </c>
      <c r="P165" s="24">
        <v>44</v>
      </c>
      <c r="Q165" s="24">
        <v>42</v>
      </c>
      <c r="R165" s="24">
        <v>68</v>
      </c>
      <c r="S165" s="24">
        <v>45</v>
      </c>
      <c r="T165" s="24">
        <v>57</v>
      </c>
      <c r="U165" s="25">
        <f t="shared" si="19"/>
        <v>1.3076923076923077</v>
      </c>
      <c r="V165" s="25">
        <f t="shared" si="19"/>
        <v>1.0227272727272727</v>
      </c>
      <c r="W165" s="25">
        <f t="shared" si="19"/>
        <v>1.3571428571428572</v>
      </c>
      <c r="X165" s="25">
        <f t="shared" si="20"/>
        <v>1.2291874791874793</v>
      </c>
    </row>
    <row r="166" spans="1:24" ht="15.75" customHeight="1">
      <c r="A166" s="1">
        <v>40101</v>
      </c>
      <c r="B166" s="2" t="s">
        <v>204</v>
      </c>
      <c r="C166" s="2" t="s">
        <v>150</v>
      </c>
      <c r="D166" s="3" t="s">
        <v>204</v>
      </c>
      <c r="E166" s="24">
        <v>511</v>
      </c>
      <c r="F166" s="24">
        <v>778</v>
      </c>
      <c r="G166" s="24">
        <v>658</v>
      </c>
      <c r="H166" s="24">
        <v>917</v>
      </c>
      <c r="I166" s="24">
        <v>1249</v>
      </c>
      <c r="J166" s="24">
        <v>1273</v>
      </c>
      <c r="K166" s="25">
        <f t="shared" si="17"/>
        <v>1.7945205479452055</v>
      </c>
      <c r="L166" s="25">
        <f t="shared" si="17"/>
        <v>1.6053984575835476</v>
      </c>
      <c r="M166" s="25">
        <f t="shared" si="17"/>
        <v>1.9346504559270516</v>
      </c>
      <c r="N166" s="25">
        <f t="shared" si="18"/>
        <v>1.7781898204852684</v>
      </c>
      <c r="O166" s="24">
        <v>445</v>
      </c>
      <c r="P166" s="24">
        <v>307</v>
      </c>
      <c r="Q166" s="24">
        <v>325</v>
      </c>
      <c r="R166" s="24">
        <v>548</v>
      </c>
      <c r="S166" s="24">
        <v>451</v>
      </c>
      <c r="T166" s="24">
        <v>487</v>
      </c>
      <c r="U166" s="25">
        <f t="shared" si="19"/>
        <v>1.2314606741573033</v>
      </c>
      <c r="V166" s="25">
        <f t="shared" si="19"/>
        <v>1.4690553745928339</v>
      </c>
      <c r="W166" s="25">
        <f t="shared" si="19"/>
        <v>1.4984615384615385</v>
      </c>
      <c r="X166" s="25">
        <f t="shared" si="20"/>
        <v>1.3996591957372253</v>
      </c>
    </row>
    <row r="167" spans="1:24" ht="15.75" customHeight="1">
      <c r="A167" s="1">
        <v>40102</v>
      </c>
      <c r="B167" s="2" t="s">
        <v>204</v>
      </c>
      <c r="C167" s="2" t="s">
        <v>150</v>
      </c>
      <c r="D167" s="3" t="s">
        <v>205</v>
      </c>
      <c r="E167" s="24">
        <v>65</v>
      </c>
      <c r="F167" s="24">
        <v>69</v>
      </c>
      <c r="G167" s="24">
        <v>84</v>
      </c>
      <c r="H167" s="24">
        <v>91</v>
      </c>
      <c r="I167" s="24">
        <v>76</v>
      </c>
      <c r="J167" s="24">
        <v>81</v>
      </c>
      <c r="K167" s="25">
        <f t="shared" si="17"/>
        <v>1.4</v>
      </c>
      <c r="L167" s="25">
        <f t="shared" si="17"/>
        <v>1.1014492753623188</v>
      </c>
      <c r="M167" s="25">
        <f t="shared" si="17"/>
        <v>0.9642857142857143</v>
      </c>
      <c r="N167" s="25">
        <f t="shared" si="18"/>
        <v>1.1552449965493443</v>
      </c>
      <c r="O167" s="24">
        <v>18</v>
      </c>
      <c r="P167" s="24">
        <v>19</v>
      </c>
      <c r="Q167" s="24">
        <v>24</v>
      </c>
      <c r="R167" s="24">
        <v>25</v>
      </c>
      <c r="S167" s="24">
        <v>19</v>
      </c>
      <c r="T167" s="24">
        <v>57</v>
      </c>
      <c r="U167" s="25">
        <f t="shared" si="19"/>
        <v>1.3888888888888888</v>
      </c>
      <c r="V167" s="25">
        <f t="shared" si="19"/>
        <v>1</v>
      </c>
      <c r="W167" s="25">
        <f t="shared" si="19"/>
        <v>2.375</v>
      </c>
      <c r="X167" s="25">
        <f t="shared" si="20"/>
        <v>1.587962962962963</v>
      </c>
    </row>
    <row r="168" spans="1:24" ht="15.75" customHeight="1">
      <c r="A168" s="1">
        <v>40103</v>
      </c>
      <c r="B168" s="2" t="s">
        <v>204</v>
      </c>
      <c r="C168" s="2" t="s">
        <v>150</v>
      </c>
      <c r="D168" s="3" t="s">
        <v>206</v>
      </c>
      <c r="E168" s="24">
        <v>7</v>
      </c>
      <c r="F168" s="24">
        <v>7</v>
      </c>
      <c r="G168" s="24">
        <v>20</v>
      </c>
      <c r="H168" s="24">
        <v>10</v>
      </c>
      <c r="I168" s="24">
        <v>4</v>
      </c>
      <c r="J168" s="24">
        <v>18</v>
      </c>
      <c r="K168" s="25">
        <f t="shared" si="17"/>
        <v>1.4285714285714286</v>
      </c>
      <c r="L168" s="25">
        <f t="shared" si="17"/>
        <v>0.5714285714285714</v>
      </c>
      <c r="M168" s="25">
        <f t="shared" si="17"/>
        <v>0.9</v>
      </c>
      <c r="N168" s="25">
        <f t="shared" si="18"/>
        <v>0.96666666666666667</v>
      </c>
      <c r="O168" s="24">
        <v>7</v>
      </c>
      <c r="P168" s="24">
        <v>3</v>
      </c>
      <c r="Q168" s="24">
        <v>6</v>
      </c>
      <c r="R168" s="24">
        <v>8</v>
      </c>
      <c r="S168" s="24">
        <v>7</v>
      </c>
      <c r="T168" s="24">
        <v>10</v>
      </c>
      <c r="U168" s="25">
        <f t="shared" si="19"/>
        <v>1.1428571428571428</v>
      </c>
      <c r="V168" s="25">
        <f t="shared" si="19"/>
        <v>2.3333333333333335</v>
      </c>
      <c r="W168" s="25">
        <f t="shared" si="19"/>
        <v>1.6666666666666667</v>
      </c>
      <c r="X168" s="25">
        <f t="shared" si="20"/>
        <v>1.7142857142857144</v>
      </c>
    </row>
    <row r="169" spans="1:24" ht="15.75" customHeight="1">
      <c r="A169" s="1">
        <v>40104</v>
      </c>
      <c r="B169" s="2" t="s">
        <v>204</v>
      </c>
      <c r="C169" s="2" t="s">
        <v>150</v>
      </c>
      <c r="D169" s="3" t="s">
        <v>207</v>
      </c>
      <c r="E169" s="24">
        <v>43</v>
      </c>
      <c r="F169" s="24">
        <v>56</v>
      </c>
      <c r="G169" s="24">
        <v>44</v>
      </c>
      <c r="H169" s="24">
        <v>39</v>
      </c>
      <c r="I169" s="24">
        <v>53</v>
      </c>
      <c r="J169" s="24">
        <v>51</v>
      </c>
      <c r="K169" s="25">
        <f t="shared" si="17"/>
        <v>0.90697674418604646</v>
      </c>
      <c r="L169" s="25">
        <f t="shared" si="17"/>
        <v>0.9464285714285714</v>
      </c>
      <c r="M169" s="25">
        <f t="shared" si="17"/>
        <v>1.1590909090909092</v>
      </c>
      <c r="N169" s="25">
        <f t="shared" si="18"/>
        <v>1.0041654082351756</v>
      </c>
      <c r="O169" s="24">
        <v>14</v>
      </c>
      <c r="P169" s="24">
        <v>27</v>
      </c>
      <c r="Q169" s="24">
        <v>38</v>
      </c>
      <c r="R169" s="24">
        <v>23</v>
      </c>
      <c r="S169" s="24">
        <v>17</v>
      </c>
      <c r="T169" s="24">
        <v>27</v>
      </c>
      <c r="U169" s="25">
        <f t="shared" si="19"/>
        <v>1.6428571428571428</v>
      </c>
      <c r="V169" s="25">
        <f t="shared" si="19"/>
        <v>0.62962962962962965</v>
      </c>
      <c r="W169" s="25">
        <f t="shared" si="19"/>
        <v>0.71052631578947367</v>
      </c>
      <c r="X169" s="25">
        <f t="shared" si="20"/>
        <v>0.99433769609208211</v>
      </c>
    </row>
    <row r="170" spans="1:24" ht="15.75" customHeight="1">
      <c r="A170" s="1">
        <v>40201</v>
      </c>
      <c r="B170" s="2" t="s">
        <v>204</v>
      </c>
      <c r="C170" s="2" t="s">
        <v>208</v>
      </c>
      <c r="D170" s="3" t="s">
        <v>209</v>
      </c>
      <c r="E170" s="24">
        <v>102</v>
      </c>
      <c r="F170" s="24">
        <v>89</v>
      </c>
      <c r="G170" s="24">
        <v>126</v>
      </c>
      <c r="H170" s="24">
        <v>135</v>
      </c>
      <c r="I170" s="24">
        <v>136</v>
      </c>
      <c r="J170" s="24">
        <v>168</v>
      </c>
      <c r="K170" s="25">
        <f t="shared" si="17"/>
        <v>1.3235294117647058</v>
      </c>
      <c r="L170" s="25">
        <f t="shared" si="17"/>
        <v>1.5280898876404494</v>
      </c>
      <c r="M170" s="25">
        <f t="shared" si="17"/>
        <v>1.3333333333333333</v>
      </c>
      <c r="N170" s="25">
        <f t="shared" si="18"/>
        <v>1.3949842109128294</v>
      </c>
      <c r="O170" s="24">
        <v>46</v>
      </c>
      <c r="P170" s="24">
        <v>55</v>
      </c>
      <c r="Q170" s="24">
        <v>45</v>
      </c>
      <c r="R170" s="24">
        <v>74</v>
      </c>
      <c r="S170" s="24">
        <v>51</v>
      </c>
      <c r="T170" s="24">
        <v>51</v>
      </c>
      <c r="U170" s="25">
        <f t="shared" si="19"/>
        <v>1.6086956521739131</v>
      </c>
      <c r="V170" s="25">
        <f t="shared" si="19"/>
        <v>0.92727272727272725</v>
      </c>
      <c r="W170" s="25">
        <f t="shared" si="19"/>
        <v>1.1333333333333333</v>
      </c>
      <c r="X170" s="25">
        <f t="shared" si="20"/>
        <v>1.2231005709266578</v>
      </c>
    </row>
    <row r="171" spans="1:24" ht="15.75" customHeight="1">
      <c r="A171" s="1">
        <v>40202</v>
      </c>
      <c r="B171" s="2" t="s">
        <v>204</v>
      </c>
      <c r="C171" s="2" t="s">
        <v>208</v>
      </c>
      <c r="D171" s="3" t="s">
        <v>210</v>
      </c>
      <c r="E171" s="24">
        <v>9</v>
      </c>
      <c r="F171" s="24">
        <v>12</v>
      </c>
      <c r="G171" s="24">
        <v>5</v>
      </c>
      <c r="H171" s="24">
        <v>2</v>
      </c>
      <c r="I171" s="24">
        <v>7</v>
      </c>
      <c r="J171" s="24">
        <v>10</v>
      </c>
      <c r="K171" s="25">
        <f t="shared" si="17"/>
        <v>0.22222222222222221</v>
      </c>
      <c r="L171" s="25">
        <f t="shared" si="17"/>
        <v>0.58333333333333337</v>
      </c>
      <c r="M171" s="25">
        <f t="shared" si="17"/>
        <v>2</v>
      </c>
      <c r="N171" s="25">
        <f t="shared" si="18"/>
        <v>0.93518518518518512</v>
      </c>
      <c r="O171" s="24">
        <v>5</v>
      </c>
      <c r="P171" s="24">
        <v>2</v>
      </c>
      <c r="Q171" s="24">
        <v>2</v>
      </c>
      <c r="R171" s="24">
        <v>4</v>
      </c>
      <c r="S171" s="24">
        <v>2</v>
      </c>
      <c r="T171" s="24">
        <v>3</v>
      </c>
      <c r="U171" s="25">
        <f t="shared" si="19"/>
        <v>0.8</v>
      </c>
      <c r="V171" s="25">
        <f t="shared" si="19"/>
        <v>1</v>
      </c>
      <c r="W171" s="25">
        <f t="shared" si="19"/>
        <v>1.5</v>
      </c>
      <c r="X171" s="25">
        <f t="shared" si="20"/>
        <v>1.0999999999999999</v>
      </c>
    </row>
    <row r="172" spans="1:24" ht="15.75" customHeight="1">
      <c r="A172" s="1">
        <v>40301</v>
      </c>
      <c r="B172" s="2" t="s">
        <v>204</v>
      </c>
      <c r="C172" s="2" t="s">
        <v>211</v>
      </c>
      <c r="D172" s="3" t="s">
        <v>212</v>
      </c>
      <c r="E172" s="24">
        <v>33</v>
      </c>
      <c r="F172" s="24">
        <v>51</v>
      </c>
      <c r="G172" s="24">
        <v>30</v>
      </c>
      <c r="H172" s="24">
        <v>26</v>
      </c>
      <c r="I172" s="24">
        <v>53</v>
      </c>
      <c r="J172" s="24">
        <v>32</v>
      </c>
      <c r="K172" s="25">
        <f t="shared" si="17"/>
        <v>0.78787878787878785</v>
      </c>
      <c r="L172" s="25">
        <f t="shared" si="17"/>
        <v>1.0392156862745099</v>
      </c>
      <c r="M172" s="25">
        <f t="shared" si="17"/>
        <v>1.0666666666666667</v>
      </c>
      <c r="N172" s="25">
        <f t="shared" si="18"/>
        <v>0.96458704693998809</v>
      </c>
      <c r="O172" s="24">
        <v>10</v>
      </c>
      <c r="P172" s="24">
        <v>12</v>
      </c>
      <c r="Q172" s="24">
        <v>22</v>
      </c>
      <c r="R172" s="24">
        <v>10</v>
      </c>
      <c r="S172" s="24">
        <v>17</v>
      </c>
      <c r="T172" s="24">
        <v>25</v>
      </c>
      <c r="U172" s="25">
        <f t="shared" si="19"/>
        <v>1</v>
      </c>
      <c r="V172" s="25">
        <f t="shared" si="19"/>
        <v>1.4166666666666667</v>
      </c>
      <c r="W172" s="25">
        <f t="shared" si="19"/>
        <v>1.1363636363636365</v>
      </c>
      <c r="X172" s="25">
        <f t="shared" si="20"/>
        <v>1.1843434343434345</v>
      </c>
    </row>
    <row r="173" spans="1:24" ht="15.75" customHeight="1">
      <c r="A173" s="1">
        <v>40302</v>
      </c>
      <c r="B173" s="2" t="s">
        <v>204</v>
      </c>
      <c r="C173" s="2" t="s">
        <v>211</v>
      </c>
      <c r="D173" s="3" t="s">
        <v>213</v>
      </c>
      <c r="E173" s="24">
        <v>6</v>
      </c>
      <c r="F173" s="24">
        <v>6</v>
      </c>
      <c r="G173" s="24">
        <v>5</v>
      </c>
      <c r="H173" s="24">
        <v>4</v>
      </c>
      <c r="I173" s="24">
        <v>10</v>
      </c>
      <c r="J173" s="24">
        <v>5</v>
      </c>
      <c r="K173" s="25">
        <f t="shared" si="17"/>
        <v>0.66666666666666663</v>
      </c>
      <c r="L173" s="25">
        <f t="shared" si="17"/>
        <v>1.6666666666666667</v>
      </c>
      <c r="M173" s="25">
        <f t="shared" si="17"/>
        <v>1</v>
      </c>
      <c r="N173" s="25">
        <f t="shared" si="18"/>
        <v>1.1111111111111112</v>
      </c>
      <c r="O173" s="24">
        <v>0</v>
      </c>
      <c r="P173" s="24">
        <v>0</v>
      </c>
      <c r="Q173" s="24"/>
      <c r="R173" s="24">
        <v>1</v>
      </c>
      <c r="S173" s="24">
        <v>0</v>
      </c>
      <c r="T173" s="24"/>
      <c r="U173" s="25"/>
      <c r="V173" s="25"/>
      <c r="W173" s="25"/>
      <c r="X173" s="25"/>
    </row>
    <row r="174" spans="1:24" ht="15.75" customHeight="1">
      <c r="A174" s="1">
        <v>40401</v>
      </c>
      <c r="B174" s="2" t="s">
        <v>204</v>
      </c>
      <c r="C174" s="2" t="s">
        <v>214</v>
      </c>
      <c r="D174" s="3" t="s">
        <v>215</v>
      </c>
      <c r="E174" s="24">
        <v>14</v>
      </c>
      <c r="F174" s="24">
        <v>9</v>
      </c>
      <c r="G174" s="24">
        <v>12</v>
      </c>
      <c r="H174" s="24">
        <v>7</v>
      </c>
      <c r="I174" s="24">
        <v>11</v>
      </c>
      <c r="J174" s="24">
        <v>8</v>
      </c>
      <c r="K174" s="25">
        <f t="shared" si="17"/>
        <v>0.5</v>
      </c>
      <c r="L174" s="25">
        <f t="shared" si="17"/>
        <v>1.2222222222222223</v>
      </c>
      <c r="M174" s="25">
        <f t="shared" si="17"/>
        <v>0.66666666666666663</v>
      </c>
      <c r="N174" s="25">
        <f t="shared" si="18"/>
        <v>0.79629629629629628</v>
      </c>
      <c r="O174" s="24">
        <v>3</v>
      </c>
      <c r="P174" s="24">
        <v>1</v>
      </c>
      <c r="Q174" s="24">
        <v>1</v>
      </c>
      <c r="R174" s="24">
        <v>2</v>
      </c>
      <c r="S174" s="24">
        <v>3</v>
      </c>
      <c r="T174" s="24">
        <v>2</v>
      </c>
      <c r="U174" s="25">
        <f t="shared" si="19"/>
        <v>0.66666666666666663</v>
      </c>
      <c r="V174" s="25">
        <f t="shared" si="19"/>
        <v>3</v>
      </c>
      <c r="W174" s="25">
        <f t="shared" si="19"/>
        <v>2</v>
      </c>
      <c r="X174" s="25">
        <f t="shared" si="20"/>
        <v>1.8888888888888886</v>
      </c>
    </row>
    <row r="175" spans="1:24" ht="15.75" customHeight="1">
      <c r="A175" s="1">
        <v>40402</v>
      </c>
      <c r="B175" s="2" t="s">
        <v>204</v>
      </c>
      <c r="C175" s="2" t="s">
        <v>214</v>
      </c>
      <c r="D175" s="3" t="s">
        <v>216</v>
      </c>
      <c r="E175" s="24">
        <v>8</v>
      </c>
      <c r="F175" s="24">
        <v>7</v>
      </c>
      <c r="G175" s="24">
        <v>10</v>
      </c>
      <c r="H175" s="24">
        <v>5</v>
      </c>
      <c r="I175" s="24">
        <v>6</v>
      </c>
      <c r="J175" s="24">
        <v>9</v>
      </c>
      <c r="K175" s="25">
        <f t="shared" si="17"/>
        <v>0.625</v>
      </c>
      <c r="L175" s="25">
        <f t="shared" si="17"/>
        <v>0.8571428571428571</v>
      </c>
      <c r="M175" s="25">
        <f t="shared" si="17"/>
        <v>0.9</v>
      </c>
      <c r="N175" s="25">
        <f t="shared" si="18"/>
        <v>0.794047619047619</v>
      </c>
      <c r="O175" s="24">
        <v>2</v>
      </c>
      <c r="P175" s="24">
        <v>6</v>
      </c>
      <c r="Q175" s="24">
        <v>5</v>
      </c>
      <c r="R175" s="24">
        <v>4</v>
      </c>
      <c r="S175" s="24">
        <v>4</v>
      </c>
      <c r="T175" s="24">
        <v>2</v>
      </c>
      <c r="U175" s="25">
        <f t="shared" si="19"/>
        <v>2</v>
      </c>
      <c r="V175" s="25">
        <f t="shared" si="19"/>
        <v>0.66666666666666663</v>
      </c>
      <c r="W175" s="25">
        <f t="shared" si="19"/>
        <v>0.4</v>
      </c>
      <c r="X175" s="25">
        <f t="shared" si="20"/>
        <v>1.0222222222222221</v>
      </c>
    </row>
    <row r="176" spans="1:24" ht="15.75" customHeight="1">
      <c r="A176" s="1">
        <v>40501</v>
      </c>
      <c r="B176" s="2" t="s">
        <v>204</v>
      </c>
      <c r="C176" s="2" t="s">
        <v>217</v>
      </c>
      <c r="D176" s="3" t="s">
        <v>218</v>
      </c>
      <c r="E176" s="24">
        <v>5</v>
      </c>
      <c r="F176" s="24">
        <v>2</v>
      </c>
      <c r="G176" s="24">
        <v>2</v>
      </c>
      <c r="H176" s="24">
        <v>1</v>
      </c>
      <c r="I176" s="24">
        <v>3</v>
      </c>
      <c r="J176" s="24">
        <v>2</v>
      </c>
      <c r="K176" s="25">
        <f t="shared" si="17"/>
        <v>0.2</v>
      </c>
      <c r="L176" s="25">
        <f t="shared" si="17"/>
        <v>1.5</v>
      </c>
      <c r="M176" s="25">
        <f t="shared" si="17"/>
        <v>1</v>
      </c>
      <c r="N176" s="25">
        <f t="shared" si="18"/>
        <v>0.9</v>
      </c>
      <c r="O176" s="24">
        <v>0</v>
      </c>
      <c r="P176" s="24">
        <v>0</v>
      </c>
      <c r="Q176" s="24">
        <v>1</v>
      </c>
      <c r="R176" s="24">
        <v>0</v>
      </c>
      <c r="S176" s="24">
        <v>1</v>
      </c>
      <c r="T176" s="24">
        <v>2</v>
      </c>
      <c r="U176" s="25"/>
      <c r="V176" s="25"/>
      <c r="W176" s="25">
        <f t="shared" si="19"/>
        <v>2</v>
      </c>
      <c r="X176" s="25">
        <f t="shared" si="20"/>
        <v>2</v>
      </c>
    </row>
    <row r="177" spans="1:24" ht="15.75" customHeight="1">
      <c r="A177" s="1">
        <v>40502</v>
      </c>
      <c r="B177" s="2" t="s">
        <v>204</v>
      </c>
      <c r="C177" s="2" t="s">
        <v>217</v>
      </c>
      <c r="D177" s="3" t="s">
        <v>219</v>
      </c>
      <c r="E177" s="24">
        <v>3</v>
      </c>
      <c r="F177" s="24">
        <v>0</v>
      </c>
      <c r="G177" s="24">
        <v>0</v>
      </c>
      <c r="H177" s="24">
        <v>4</v>
      </c>
      <c r="I177" s="24">
        <v>5</v>
      </c>
      <c r="J177" s="24">
        <v>1</v>
      </c>
      <c r="K177" s="25">
        <f t="shared" si="17"/>
        <v>1.3333333333333333</v>
      </c>
      <c r="L177" s="25"/>
      <c r="M177" s="25"/>
      <c r="N177" s="25">
        <f t="shared" si="18"/>
        <v>1.3333333333333333</v>
      </c>
      <c r="O177" s="24">
        <v>1</v>
      </c>
      <c r="P177" s="24">
        <v>0</v>
      </c>
      <c r="Q177" s="24"/>
      <c r="R177" s="24">
        <v>1</v>
      </c>
      <c r="S177" s="24">
        <v>1</v>
      </c>
      <c r="T177" s="24"/>
      <c r="U177" s="25">
        <f t="shared" si="19"/>
        <v>1</v>
      </c>
      <c r="V177" s="25"/>
      <c r="W177" s="25"/>
      <c r="X177" s="25">
        <f t="shared" si="20"/>
        <v>1</v>
      </c>
    </row>
    <row r="178" spans="1:24" ht="15.75" customHeight="1">
      <c r="A178" s="1">
        <v>40503</v>
      </c>
      <c r="B178" s="2" t="s">
        <v>204</v>
      </c>
      <c r="C178" s="2" t="s">
        <v>217</v>
      </c>
      <c r="D178" s="3" t="s">
        <v>220</v>
      </c>
      <c r="E178" s="24">
        <v>0</v>
      </c>
      <c r="F178" s="24">
        <v>0</v>
      </c>
      <c r="G178" s="24">
        <v>1</v>
      </c>
      <c r="H178" s="24">
        <v>0</v>
      </c>
      <c r="I178" s="24">
        <v>0</v>
      </c>
      <c r="J178" s="24">
        <v>0</v>
      </c>
      <c r="K178" s="25"/>
      <c r="L178" s="25"/>
      <c r="M178" s="25">
        <f t="shared" si="17"/>
        <v>0</v>
      </c>
      <c r="N178" s="25">
        <f t="shared" si="18"/>
        <v>0</v>
      </c>
      <c r="O178" s="24"/>
      <c r="P178" s="24"/>
      <c r="Q178" s="24"/>
      <c r="R178" s="24"/>
      <c r="S178" s="24"/>
      <c r="T178" s="24"/>
      <c r="U178" s="25"/>
      <c r="V178" s="25"/>
      <c r="W178" s="25"/>
      <c r="X178" s="25"/>
    </row>
    <row r="179" spans="1:24" ht="15.75" customHeight="1">
      <c r="A179" s="1">
        <v>40504</v>
      </c>
      <c r="B179" s="2" t="s">
        <v>204</v>
      </c>
      <c r="C179" s="2" t="s">
        <v>217</v>
      </c>
      <c r="D179" s="3" t="s">
        <v>221</v>
      </c>
      <c r="E179" s="24">
        <v>0</v>
      </c>
      <c r="F179" s="24">
        <v>0</v>
      </c>
      <c r="G179" s="24">
        <v>1</v>
      </c>
      <c r="H179" s="24">
        <v>1</v>
      </c>
      <c r="I179" s="24">
        <v>0</v>
      </c>
      <c r="J179" s="24">
        <v>1</v>
      </c>
      <c r="K179" s="25"/>
      <c r="L179" s="25"/>
      <c r="M179" s="25">
        <f t="shared" si="17"/>
        <v>1</v>
      </c>
      <c r="N179" s="25">
        <f t="shared" si="18"/>
        <v>1</v>
      </c>
      <c r="O179" s="24"/>
      <c r="P179" s="24"/>
      <c r="Q179" s="24"/>
      <c r="R179" s="24"/>
      <c r="S179" s="24"/>
      <c r="T179" s="24"/>
      <c r="U179" s="25"/>
      <c r="V179" s="25"/>
      <c r="W179" s="25"/>
      <c r="X179" s="25"/>
    </row>
    <row r="180" spans="1:24" ht="15.75" customHeight="1">
      <c r="A180" s="1">
        <v>40505</v>
      </c>
      <c r="B180" s="2" t="s">
        <v>204</v>
      </c>
      <c r="C180" s="2" t="s">
        <v>217</v>
      </c>
      <c r="D180" s="3" t="s">
        <v>222</v>
      </c>
      <c r="E180" s="24">
        <v>0</v>
      </c>
      <c r="F180" s="24">
        <v>1</v>
      </c>
      <c r="G180" s="24">
        <v>0</v>
      </c>
      <c r="H180" s="24">
        <v>2</v>
      </c>
      <c r="I180" s="24">
        <v>0</v>
      </c>
      <c r="J180" s="24">
        <v>2</v>
      </c>
      <c r="K180" s="25"/>
      <c r="L180" s="25">
        <f t="shared" si="17"/>
        <v>0</v>
      </c>
      <c r="M180" s="25"/>
      <c r="N180" s="25">
        <f t="shared" si="18"/>
        <v>0</v>
      </c>
      <c r="O180" s="24"/>
      <c r="P180" s="24"/>
      <c r="Q180" s="24"/>
      <c r="R180" s="24"/>
      <c r="S180" s="24"/>
      <c r="T180" s="24"/>
      <c r="U180" s="25"/>
      <c r="V180" s="25"/>
      <c r="W180" s="25"/>
      <c r="X180" s="25"/>
    </row>
    <row r="181" spans="1:24" ht="15.75" customHeight="1">
      <c r="A181" s="1">
        <v>40601</v>
      </c>
      <c r="B181" s="2" t="s">
        <v>204</v>
      </c>
      <c r="C181" s="2" t="s">
        <v>223</v>
      </c>
      <c r="D181" s="3" t="s">
        <v>223</v>
      </c>
      <c r="E181" s="24">
        <v>12</v>
      </c>
      <c r="F181" s="24">
        <v>8</v>
      </c>
      <c r="G181" s="24">
        <v>14</v>
      </c>
      <c r="H181" s="24">
        <v>15</v>
      </c>
      <c r="I181" s="24">
        <v>13</v>
      </c>
      <c r="J181" s="24">
        <v>20</v>
      </c>
      <c r="K181" s="25">
        <f t="shared" si="17"/>
        <v>1.25</v>
      </c>
      <c r="L181" s="25">
        <f t="shared" si="17"/>
        <v>1.625</v>
      </c>
      <c r="M181" s="25">
        <f t="shared" si="17"/>
        <v>1.4285714285714286</v>
      </c>
      <c r="N181" s="25">
        <f t="shared" si="18"/>
        <v>1.4345238095238095</v>
      </c>
      <c r="O181" s="24">
        <v>7</v>
      </c>
      <c r="P181" s="24">
        <v>10</v>
      </c>
      <c r="Q181" s="24">
        <v>9</v>
      </c>
      <c r="R181" s="24">
        <v>14</v>
      </c>
      <c r="S181" s="24">
        <v>10</v>
      </c>
      <c r="T181" s="24">
        <v>16</v>
      </c>
      <c r="U181" s="25">
        <f t="shared" si="19"/>
        <v>2</v>
      </c>
      <c r="V181" s="25">
        <f t="shared" si="19"/>
        <v>1</v>
      </c>
      <c r="W181" s="25">
        <f t="shared" si="19"/>
        <v>1.7777777777777777</v>
      </c>
      <c r="X181" s="25">
        <f t="shared" si="20"/>
        <v>1.5925925925925926</v>
      </c>
    </row>
    <row r="182" spans="1:24" ht="15.75" customHeight="1">
      <c r="A182" s="1">
        <v>40602</v>
      </c>
      <c r="B182" s="2" t="s">
        <v>204</v>
      </c>
      <c r="C182" s="2" t="s">
        <v>223</v>
      </c>
      <c r="D182" s="3" t="s">
        <v>224</v>
      </c>
      <c r="E182" s="24">
        <v>12</v>
      </c>
      <c r="F182" s="24">
        <v>14</v>
      </c>
      <c r="G182" s="24">
        <v>8</v>
      </c>
      <c r="H182" s="24">
        <v>14</v>
      </c>
      <c r="I182" s="24">
        <v>19</v>
      </c>
      <c r="J182" s="24">
        <v>7</v>
      </c>
      <c r="K182" s="25">
        <f t="shared" si="17"/>
        <v>1.1666666666666667</v>
      </c>
      <c r="L182" s="25">
        <f t="shared" si="17"/>
        <v>1.3571428571428572</v>
      </c>
      <c r="M182" s="25">
        <f t="shared" si="17"/>
        <v>0.875</v>
      </c>
      <c r="N182" s="25">
        <f t="shared" si="18"/>
        <v>1.1329365079365079</v>
      </c>
      <c r="O182" s="24">
        <v>8</v>
      </c>
      <c r="P182" s="24">
        <v>5</v>
      </c>
      <c r="Q182" s="24">
        <v>4</v>
      </c>
      <c r="R182" s="24">
        <v>5</v>
      </c>
      <c r="S182" s="24">
        <v>19</v>
      </c>
      <c r="T182" s="24">
        <v>10</v>
      </c>
      <c r="U182" s="25">
        <f t="shared" si="19"/>
        <v>0.625</v>
      </c>
      <c r="V182" s="25">
        <f t="shared" si="19"/>
        <v>3.8</v>
      </c>
      <c r="W182" s="25">
        <f t="shared" si="19"/>
        <v>2.5</v>
      </c>
      <c r="X182" s="25">
        <f t="shared" si="20"/>
        <v>2.3083333333333331</v>
      </c>
    </row>
    <row r="183" spans="1:24" ht="15.75" customHeight="1">
      <c r="A183" s="1">
        <v>40603</v>
      </c>
      <c r="B183" s="2" t="s">
        <v>204</v>
      </c>
      <c r="C183" s="2" t="s">
        <v>223</v>
      </c>
      <c r="D183" s="3" t="s">
        <v>225</v>
      </c>
      <c r="E183" s="24">
        <v>5</v>
      </c>
      <c r="F183" s="24">
        <v>7</v>
      </c>
      <c r="G183" s="24">
        <v>5</v>
      </c>
      <c r="H183" s="24">
        <v>3</v>
      </c>
      <c r="I183" s="24">
        <v>8</v>
      </c>
      <c r="J183" s="24">
        <v>4</v>
      </c>
      <c r="K183" s="25">
        <f t="shared" si="17"/>
        <v>0.6</v>
      </c>
      <c r="L183" s="25">
        <f t="shared" si="17"/>
        <v>1.1428571428571428</v>
      </c>
      <c r="M183" s="25">
        <f t="shared" si="17"/>
        <v>0.8</v>
      </c>
      <c r="N183" s="25">
        <f t="shared" si="18"/>
        <v>0.84761904761904761</v>
      </c>
      <c r="O183" s="24">
        <v>2</v>
      </c>
      <c r="P183" s="24">
        <v>0</v>
      </c>
      <c r="Q183" s="24">
        <v>1</v>
      </c>
      <c r="R183" s="24">
        <v>0</v>
      </c>
      <c r="S183" s="24">
        <v>1</v>
      </c>
      <c r="T183" s="24">
        <v>0</v>
      </c>
      <c r="U183" s="25">
        <f t="shared" si="19"/>
        <v>0</v>
      </c>
      <c r="V183" s="25"/>
      <c r="W183" s="25">
        <f t="shared" si="19"/>
        <v>0</v>
      </c>
      <c r="X183" s="25">
        <f t="shared" si="20"/>
        <v>0</v>
      </c>
    </row>
    <row r="184" spans="1:24" ht="15.75" customHeight="1">
      <c r="A184" s="1">
        <v>40701</v>
      </c>
      <c r="B184" s="2" t="s">
        <v>204</v>
      </c>
      <c r="C184" s="2" t="s">
        <v>226</v>
      </c>
      <c r="D184" s="3" t="s">
        <v>227</v>
      </c>
      <c r="E184" s="24">
        <v>71</v>
      </c>
      <c r="F184" s="24">
        <v>103</v>
      </c>
      <c r="G184" s="24">
        <v>126</v>
      </c>
      <c r="H184" s="24">
        <v>108</v>
      </c>
      <c r="I184" s="24">
        <v>171</v>
      </c>
      <c r="J184" s="24">
        <v>218</v>
      </c>
      <c r="K184" s="25">
        <f t="shared" si="17"/>
        <v>1.5211267605633803</v>
      </c>
      <c r="L184" s="25">
        <f t="shared" si="17"/>
        <v>1.6601941747572815</v>
      </c>
      <c r="M184" s="25">
        <f t="shared" si="17"/>
        <v>1.7301587301587302</v>
      </c>
      <c r="N184" s="25">
        <f t="shared" si="18"/>
        <v>1.6371598884931309</v>
      </c>
      <c r="O184" s="24">
        <v>14</v>
      </c>
      <c r="P184" s="24">
        <v>22</v>
      </c>
      <c r="Q184" s="24">
        <v>19</v>
      </c>
      <c r="R184" s="24">
        <v>21</v>
      </c>
      <c r="S184" s="24">
        <v>40</v>
      </c>
      <c r="T184" s="24">
        <v>18</v>
      </c>
      <c r="U184" s="25">
        <f t="shared" si="19"/>
        <v>1.5</v>
      </c>
      <c r="V184" s="25">
        <f t="shared" si="19"/>
        <v>1.8181818181818181</v>
      </c>
      <c r="W184" s="25">
        <f t="shared" si="19"/>
        <v>0.94736842105263153</v>
      </c>
      <c r="X184" s="25">
        <f t="shared" si="20"/>
        <v>1.4218500797448168</v>
      </c>
    </row>
    <row r="185" spans="1:24" ht="15.75" customHeight="1">
      <c r="A185" s="1">
        <v>40702</v>
      </c>
      <c r="B185" s="2" t="s">
        <v>204</v>
      </c>
      <c r="C185" s="2" t="s">
        <v>226</v>
      </c>
      <c r="D185" s="3" t="s">
        <v>228</v>
      </c>
      <c r="E185" s="24">
        <v>13</v>
      </c>
      <c r="F185" s="24">
        <v>3</v>
      </c>
      <c r="G185" s="24">
        <v>16</v>
      </c>
      <c r="H185" s="24">
        <v>13</v>
      </c>
      <c r="I185" s="24">
        <v>9</v>
      </c>
      <c r="J185" s="24">
        <v>15</v>
      </c>
      <c r="K185" s="25">
        <f t="shared" si="17"/>
        <v>1</v>
      </c>
      <c r="L185" s="25">
        <f t="shared" si="17"/>
        <v>3</v>
      </c>
      <c r="M185" s="25">
        <f t="shared" si="17"/>
        <v>0.9375</v>
      </c>
      <c r="N185" s="25">
        <f t="shared" si="18"/>
        <v>1.6458333333333333</v>
      </c>
      <c r="O185" s="24">
        <v>10</v>
      </c>
      <c r="P185" s="24">
        <v>9</v>
      </c>
      <c r="Q185" s="24">
        <v>16</v>
      </c>
      <c r="R185" s="24">
        <v>7</v>
      </c>
      <c r="S185" s="24">
        <v>16</v>
      </c>
      <c r="T185" s="24">
        <v>11</v>
      </c>
      <c r="U185" s="25">
        <f t="shared" si="19"/>
        <v>0.7</v>
      </c>
      <c r="V185" s="25">
        <f t="shared" si="19"/>
        <v>1.7777777777777777</v>
      </c>
      <c r="W185" s="25">
        <f t="shared" si="19"/>
        <v>0.6875</v>
      </c>
      <c r="X185" s="25">
        <f t="shared" si="20"/>
        <v>1.0550925925925927</v>
      </c>
    </row>
    <row r="186" spans="1:24" ht="15.75" customHeight="1">
      <c r="A186" s="1">
        <v>40801</v>
      </c>
      <c r="B186" s="2" t="s">
        <v>204</v>
      </c>
      <c r="C186" s="2" t="s">
        <v>229</v>
      </c>
      <c r="D186" s="3" t="s">
        <v>230</v>
      </c>
      <c r="E186" s="24">
        <v>19</v>
      </c>
      <c r="F186" s="24">
        <v>9</v>
      </c>
      <c r="G186" s="24">
        <v>34</v>
      </c>
      <c r="H186" s="24">
        <v>16</v>
      </c>
      <c r="I186" s="24">
        <v>17</v>
      </c>
      <c r="J186" s="24">
        <v>39</v>
      </c>
      <c r="K186" s="25">
        <f t="shared" si="17"/>
        <v>0.84210526315789469</v>
      </c>
      <c r="L186" s="25">
        <f t="shared" si="17"/>
        <v>1.8888888888888888</v>
      </c>
      <c r="M186" s="25">
        <f t="shared" si="17"/>
        <v>1.1470588235294117</v>
      </c>
      <c r="N186" s="25">
        <f t="shared" si="18"/>
        <v>1.292684325192065</v>
      </c>
      <c r="O186" s="24">
        <v>10</v>
      </c>
      <c r="P186" s="24">
        <v>7</v>
      </c>
      <c r="Q186" s="24">
        <v>5</v>
      </c>
      <c r="R186" s="24">
        <v>5</v>
      </c>
      <c r="S186" s="24">
        <v>11</v>
      </c>
      <c r="T186" s="24">
        <v>8</v>
      </c>
      <c r="U186" s="25">
        <f t="shared" si="19"/>
        <v>0.5</v>
      </c>
      <c r="V186" s="25">
        <f t="shared" si="19"/>
        <v>1.5714285714285714</v>
      </c>
      <c r="W186" s="25">
        <f t="shared" si="19"/>
        <v>1.6</v>
      </c>
      <c r="X186" s="25">
        <f t="shared" si="20"/>
        <v>1.2238095238095237</v>
      </c>
    </row>
    <row r="187" spans="1:24" ht="15.75" customHeight="1">
      <c r="A187" s="1">
        <v>40802</v>
      </c>
      <c r="B187" s="2" t="s">
        <v>204</v>
      </c>
      <c r="C187" s="2" t="s">
        <v>229</v>
      </c>
      <c r="D187" s="3" t="s">
        <v>231</v>
      </c>
      <c r="E187" s="24">
        <v>5</v>
      </c>
      <c r="F187" s="24">
        <v>6</v>
      </c>
      <c r="G187" s="24">
        <v>5</v>
      </c>
      <c r="H187" s="24">
        <v>4</v>
      </c>
      <c r="I187" s="24">
        <v>4</v>
      </c>
      <c r="J187" s="24">
        <v>4</v>
      </c>
      <c r="K187" s="25">
        <f t="shared" si="17"/>
        <v>0.8</v>
      </c>
      <c r="L187" s="25">
        <f t="shared" si="17"/>
        <v>0.66666666666666663</v>
      </c>
      <c r="M187" s="25">
        <f t="shared" si="17"/>
        <v>0.8</v>
      </c>
      <c r="N187" s="25">
        <f t="shared" si="18"/>
        <v>0.75555555555555554</v>
      </c>
      <c r="O187" s="24">
        <v>4</v>
      </c>
      <c r="P187" s="24">
        <v>1</v>
      </c>
      <c r="Q187" s="24">
        <v>2</v>
      </c>
      <c r="R187" s="24">
        <v>2</v>
      </c>
      <c r="S187" s="24">
        <v>0</v>
      </c>
      <c r="T187" s="24">
        <v>4</v>
      </c>
      <c r="U187" s="25">
        <f t="shared" si="19"/>
        <v>0.5</v>
      </c>
      <c r="V187" s="25">
        <f t="shared" si="19"/>
        <v>0</v>
      </c>
      <c r="W187" s="25">
        <f t="shared" si="19"/>
        <v>2</v>
      </c>
      <c r="X187" s="25">
        <f t="shared" si="20"/>
        <v>0.83333333333333337</v>
      </c>
    </row>
    <row r="188" spans="1:24" ht="15.75" customHeight="1">
      <c r="A188" s="1">
        <v>40901</v>
      </c>
      <c r="B188" s="2" t="s">
        <v>204</v>
      </c>
      <c r="C188" s="2" t="s">
        <v>232</v>
      </c>
      <c r="D188" s="3" t="s">
        <v>232</v>
      </c>
      <c r="E188" s="24">
        <v>10</v>
      </c>
      <c r="F188" s="24">
        <v>5</v>
      </c>
      <c r="G188" s="24">
        <v>7</v>
      </c>
      <c r="H188" s="24">
        <v>8</v>
      </c>
      <c r="I188" s="24">
        <v>3</v>
      </c>
      <c r="J188" s="24">
        <v>4</v>
      </c>
      <c r="K188" s="25">
        <f t="shared" si="17"/>
        <v>0.8</v>
      </c>
      <c r="L188" s="25">
        <f t="shared" si="17"/>
        <v>0.6</v>
      </c>
      <c r="M188" s="25">
        <f t="shared" si="17"/>
        <v>0.5714285714285714</v>
      </c>
      <c r="N188" s="25">
        <f t="shared" si="18"/>
        <v>0.65714285714285714</v>
      </c>
      <c r="O188" s="24">
        <v>1</v>
      </c>
      <c r="P188" s="24">
        <v>4</v>
      </c>
      <c r="Q188" s="24">
        <v>5</v>
      </c>
      <c r="R188" s="24">
        <v>3</v>
      </c>
      <c r="S188" s="24">
        <v>2</v>
      </c>
      <c r="T188" s="24">
        <v>6</v>
      </c>
      <c r="U188" s="25">
        <f t="shared" si="19"/>
        <v>3</v>
      </c>
      <c r="V188" s="25">
        <f t="shared" si="19"/>
        <v>0.5</v>
      </c>
      <c r="W188" s="25">
        <f t="shared" si="19"/>
        <v>1.2</v>
      </c>
      <c r="X188" s="25">
        <f t="shared" si="20"/>
        <v>1.5666666666666667</v>
      </c>
    </row>
    <row r="189" spans="1:24" ht="15.75" customHeight="1">
      <c r="A189" s="1">
        <v>40902</v>
      </c>
      <c r="B189" s="2" t="s">
        <v>204</v>
      </c>
      <c r="C189" s="2" t="s">
        <v>232</v>
      </c>
      <c r="D189" s="3" t="s">
        <v>233</v>
      </c>
      <c r="E189" s="24">
        <v>1</v>
      </c>
      <c r="F189" s="24">
        <v>1</v>
      </c>
      <c r="G189" s="24">
        <v>7</v>
      </c>
      <c r="H189" s="24">
        <v>2</v>
      </c>
      <c r="I189" s="24">
        <v>0</v>
      </c>
      <c r="J189" s="24">
        <v>7</v>
      </c>
      <c r="K189" s="25">
        <f t="shared" si="17"/>
        <v>2</v>
      </c>
      <c r="L189" s="25">
        <f t="shared" si="17"/>
        <v>0</v>
      </c>
      <c r="M189" s="25">
        <f t="shared" si="17"/>
        <v>1</v>
      </c>
      <c r="N189" s="25">
        <f t="shared" si="18"/>
        <v>1</v>
      </c>
      <c r="O189" s="24">
        <v>2</v>
      </c>
      <c r="P189" s="24">
        <v>0</v>
      </c>
      <c r="Q189" s="24"/>
      <c r="R189" s="24">
        <v>0</v>
      </c>
      <c r="S189" s="24">
        <v>1</v>
      </c>
      <c r="T189" s="24"/>
      <c r="U189" s="25">
        <f t="shared" si="19"/>
        <v>0</v>
      </c>
      <c r="V189" s="25"/>
      <c r="W189" s="25"/>
      <c r="X189" s="25">
        <f t="shared" si="20"/>
        <v>0</v>
      </c>
    </row>
    <row r="190" spans="1:24" ht="15.75" customHeight="1">
      <c r="A190" s="1">
        <v>40903</v>
      </c>
      <c r="B190" s="2" t="s">
        <v>204</v>
      </c>
      <c r="C190" s="2" t="s">
        <v>232</v>
      </c>
      <c r="D190" s="3" t="s">
        <v>234</v>
      </c>
      <c r="E190" s="24">
        <v>11</v>
      </c>
      <c r="F190" s="24">
        <v>6</v>
      </c>
      <c r="G190" s="24">
        <v>22</v>
      </c>
      <c r="H190" s="24">
        <v>6</v>
      </c>
      <c r="I190" s="24">
        <v>7</v>
      </c>
      <c r="J190" s="24">
        <v>12</v>
      </c>
      <c r="K190" s="25">
        <f t="shared" si="17"/>
        <v>0.54545454545454541</v>
      </c>
      <c r="L190" s="25">
        <f t="shared" si="17"/>
        <v>1.1666666666666667</v>
      </c>
      <c r="M190" s="25">
        <f t="shared" si="17"/>
        <v>0.54545454545454541</v>
      </c>
      <c r="N190" s="25">
        <f t="shared" si="18"/>
        <v>0.7525252525252526</v>
      </c>
      <c r="O190" s="24">
        <v>6</v>
      </c>
      <c r="P190" s="24">
        <v>5</v>
      </c>
      <c r="Q190" s="24">
        <v>6</v>
      </c>
      <c r="R190" s="24">
        <v>3</v>
      </c>
      <c r="S190" s="24">
        <v>8</v>
      </c>
      <c r="T190" s="24">
        <v>12</v>
      </c>
      <c r="U190" s="25">
        <f t="shared" si="19"/>
        <v>0.5</v>
      </c>
      <c r="V190" s="25">
        <f t="shared" si="19"/>
        <v>1.6</v>
      </c>
      <c r="W190" s="25">
        <f t="shared" si="19"/>
        <v>2</v>
      </c>
      <c r="X190" s="25">
        <f t="shared" si="20"/>
        <v>1.3666666666666665</v>
      </c>
    </row>
    <row r="191" spans="1:24" ht="15.75" customHeight="1">
      <c r="A191" s="1">
        <v>41001</v>
      </c>
      <c r="B191" s="2" t="s">
        <v>204</v>
      </c>
      <c r="C191" s="2" t="s">
        <v>235</v>
      </c>
      <c r="D191" s="3" t="s">
        <v>236</v>
      </c>
      <c r="E191" s="24">
        <v>36</v>
      </c>
      <c r="F191" s="24">
        <v>31</v>
      </c>
      <c r="G191" s="24">
        <v>22</v>
      </c>
      <c r="H191" s="24">
        <v>24</v>
      </c>
      <c r="I191" s="24">
        <v>22</v>
      </c>
      <c r="J191" s="24">
        <v>24</v>
      </c>
      <c r="K191" s="25">
        <f t="shared" si="17"/>
        <v>0.66666666666666663</v>
      </c>
      <c r="L191" s="25">
        <f t="shared" si="17"/>
        <v>0.70967741935483875</v>
      </c>
      <c r="M191" s="25">
        <f t="shared" si="17"/>
        <v>1.0909090909090908</v>
      </c>
      <c r="N191" s="25">
        <f t="shared" si="18"/>
        <v>0.8224177256435321</v>
      </c>
      <c r="O191" s="24">
        <v>5</v>
      </c>
      <c r="P191" s="24">
        <v>4</v>
      </c>
      <c r="Q191" s="24">
        <v>6</v>
      </c>
      <c r="R191" s="24">
        <v>17</v>
      </c>
      <c r="S191" s="24">
        <v>12</v>
      </c>
      <c r="T191" s="24">
        <v>6</v>
      </c>
      <c r="U191" s="25">
        <f t="shared" si="19"/>
        <v>3.4</v>
      </c>
      <c r="V191" s="25">
        <f t="shared" si="19"/>
        <v>3</v>
      </c>
      <c r="W191" s="25">
        <f t="shared" si="19"/>
        <v>1</v>
      </c>
      <c r="X191" s="25">
        <f t="shared" si="20"/>
        <v>2.4666666666666668</v>
      </c>
    </row>
    <row r="192" spans="1:24" ht="15.75" customHeight="1">
      <c r="A192" s="1">
        <v>41101</v>
      </c>
      <c r="B192" s="2" t="s">
        <v>204</v>
      </c>
      <c r="C192" s="2" t="s">
        <v>237</v>
      </c>
      <c r="D192" s="3" t="s">
        <v>238</v>
      </c>
      <c r="E192" s="24">
        <v>7</v>
      </c>
      <c r="F192" s="24">
        <v>20</v>
      </c>
      <c r="G192" s="24">
        <v>4</v>
      </c>
      <c r="H192" s="24">
        <v>5</v>
      </c>
      <c r="I192" s="24">
        <v>15</v>
      </c>
      <c r="J192" s="24">
        <v>13</v>
      </c>
      <c r="K192" s="25">
        <f t="shared" si="17"/>
        <v>0.7142857142857143</v>
      </c>
      <c r="L192" s="25">
        <f t="shared" si="17"/>
        <v>0.75</v>
      </c>
      <c r="M192" s="25">
        <f t="shared" si="17"/>
        <v>3.25</v>
      </c>
      <c r="N192" s="25">
        <f t="shared" si="18"/>
        <v>1.5714285714285714</v>
      </c>
      <c r="O192" s="24">
        <v>7</v>
      </c>
      <c r="P192" s="24">
        <v>14</v>
      </c>
      <c r="Q192" s="24">
        <v>11</v>
      </c>
      <c r="R192" s="24">
        <v>8</v>
      </c>
      <c r="S192" s="24">
        <v>12</v>
      </c>
      <c r="T192" s="24">
        <v>2</v>
      </c>
      <c r="U192" s="25">
        <f t="shared" si="19"/>
        <v>1.1428571428571428</v>
      </c>
      <c r="V192" s="25">
        <f t="shared" si="19"/>
        <v>0.8571428571428571</v>
      </c>
      <c r="W192" s="25">
        <f t="shared" si="19"/>
        <v>0.18181818181818182</v>
      </c>
      <c r="X192" s="25">
        <f t="shared" si="20"/>
        <v>0.72727272727272718</v>
      </c>
    </row>
    <row r="193" spans="1:24" ht="15.75" customHeight="1">
      <c r="A193" s="1">
        <v>41201</v>
      </c>
      <c r="B193" s="2" t="s">
        <v>204</v>
      </c>
      <c r="C193" s="2" t="s">
        <v>239</v>
      </c>
      <c r="D193" s="3" t="s">
        <v>240</v>
      </c>
      <c r="E193" s="24">
        <v>11</v>
      </c>
      <c r="F193" s="24">
        <v>12</v>
      </c>
      <c r="G193" s="24">
        <v>11</v>
      </c>
      <c r="H193" s="24">
        <v>14</v>
      </c>
      <c r="I193" s="24">
        <v>20</v>
      </c>
      <c r="J193" s="24">
        <v>18</v>
      </c>
      <c r="K193" s="25">
        <f t="shared" si="17"/>
        <v>1.2727272727272727</v>
      </c>
      <c r="L193" s="25">
        <f t="shared" si="17"/>
        <v>1.6666666666666667</v>
      </c>
      <c r="M193" s="25">
        <f t="shared" si="17"/>
        <v>1.6363636363636365</v>
      </c>
      <c r="N193" s="25">
        <f t="shared" si="18"/>
        <v>1.5252525252525253</v>
      </c>
      <c r="O193" s="24">
        <v>3</v>
      </c>
      <c r="P193" s="24">
        <v>3</v>
      </c>
      <c r="Q193" s="24">
        <v>2</v>
      </c>
      <c r="R193" s="24">
        <v>7</v>
      </c>
      <c r="S193" s="24">
        <v>8</v>
      </c>
      <c r="T193" s="24">
        <v>9</v>
      </c>
      <c r="U193" s="25">
        <f t="shared" si="19"/>
        <v>2.3333333333333335</v>
      </c>
      <c r="V193" s="25">
        <f t="shared" si="19"/>
        <v>2.6666666666666665</v>
      </c>
      <c r="W193" s="25">
        <f t="shared" si="19"/>
        <v>4.5</v>
      </c>
      <c r="X193" s="25">
        <f t="shared" si="20"/>
        <v>3.1666666666666665</v>
      </c>
    </row>
    <row r="194" spans="1:24" ht="15.75" customHeight="1">
      <c r="A194" s="1">
        <v>41202</v>
      </c>
      <c r="B194" s="2" t="s">
        <v>204</v>
      </c>
      <c r="C194" s="2" t="s">
        <v>239</v>
      </c>
      <c r="D194" s="3" t="s">
        <v>241</v>
      </c>
      <c r="E194" s="24">
        <v>2</v>
      </c>
      <c r="F194" s="24">
        <v>2</v>
      </c>
      <c r="G194" s="24">
        <v>3</v>
      </c>
      <c r="H194" s="24">
        <v>8</v>
      </c>
      <c r="I194" s="24">
        <v>5</v>
      </c>
      <c r="J194" s="24">
        <v>3</v>
      </c>
      <c r="K194" s="25">
        <f t="shared" si="17"/>
        <v>4</v>
      </c>
      <c r="L194" s="25">
        <f t="shared" si="17"/>
        <v>2.5</v>
      </c>
      <c r="M194" s="25">
        <f t="shared" si="17"/>
        <v>1</v>
      </c>
      <c r="N194" s="25">
        <f t="shared" si="18"/>
        <v>2.5</v>
      </c>
      <c r="O194" s="24">
        <v>0</v>
      </c>
      <c r="P194" s="24">
        <v>5</v>
      </c>
      <c r="Q194" s="24">
        <v>6</v>
      </c>
      <c r="R194" s="24">
        <v>4</v>
      </c>
      <c r="S194" s="24">
        <v>2</v>
      </c>
      <c r="T194" s="24">
        <v>8</v>
      </c>
      <c r="U194" s="25"/>
      <c r="V194" s="25">
        <f t="shared" si="19"/>
        <v>0.4</v>
      </c>
      <c r="W194" s="25">
        <f t="shared" si="19"/>
        <v>1.3333333333333333</v>
      </c>
      <c r="X194" s="25">
        <f t="shared" si="20"/>
        <v>0.8666666666666667</v>
      </c>
    </row>
    <row r="195" spans="1:24" ht="15.75" customHeight="1">
      <c r="A195" s="1">
        <v>41301</v>
      </c>
      <c r="B195" s="2" t="s">
        <v>204</v>
      </c>
      <c r="C195" s="2" t="s">
        <v>242</v>
      </c>
      <c r="D195" s="3" t="s">
        <v>242</v>
      </c>
      <c r="E195" s="24">
        <v>19</v>
      </c>
      <c r="F195" s="24">
        <v>15</v>
      </c>
      <c r="G195" s="24">
        <v>10</v>
      </c>
      <c r="H195" s="24">
        <v>21</v>
      </c>
      <c r="I195" s="24">
        <v>16</v>
      </c>
      <c r="J195" s="24">
        <v>14</v>
      </c>
      <c r="K195" s="25">
        <f t="shared" ref="K195:M258" si="21">+H195/E195</f>
        <v>1.1052631578947369</v>
      </c>
      <c r="L195" s="25">
        <f t="shared" si="21"/>
        <v>1.0666666666666667</v>
      </c>
      <c r="M195" s="25">
        <f t="shared" si="21"/>
        <v>1.4</v>
      </c>
      <c r="N195" s="25">
        <f t="shared" ref="N195:N258" si="22">AVERAGE(K195:M195)</f>
        <v>1.1906432748538012</v>
      </c>
      <c r="O195" s="24">
        <v>13</v>
      </c>
      <c r="P195" s="24">
        <v>5</v>
      </c>
      <c r="Q195" s="24">
        <v>6</v>
      </c>
      <c r="R195" s="24">
        <v>11</v>
      </c>
      <c r="S195" s="24">
        <v>3</v>
      </c>
      <c r="T195" s="24">
        <v>5</v>
      </c>
      <c r="U195" s="25">
        <f t="shared" ref="U195:W258" si="23">+R195/O195</f>
        <v>0.84615384615384615</v>
      </c>
      <c r="V195" s="25">
        <f t="shared" si="23"/>
        <v>0.6</v>
      </c>
      <c r="W195" s="25">
        <f t="shared" si="23"/>
        <v>0.83333333333333337</v>
      </c>
      <c r="X195" s="25">
        <f t="shared" ref="X195:X258" si="24">AVERAGE(U195:W195)</f>
        <v>0.75982905982905979</v>
      </c>
    </row>
    <row r="196" spans="1:24" ht="15.75" customHeight="1">
      <c r="A196" s="1">
        <v>41401</v>
      </c>
      <c r="B196" s="2" t="s">
        <v>204</v>
      </c>
      <c r="C196" s="2" t="s">
        <v>243</v>
      </c>
      <c r="D196" s="3" t="s">
        <v>244</v>
      </c>
      <c r="E196" s="24">
        <v>36</v>
      </c>
      <c r="F196" s="24">
        <v>31</v>
      </c>
      <c r="G196" s="24">
        <v>19</v>
      </c>
      <c r="H196" s="24">
        <v>30</v>
      </c>
      <c r="I196" s="24">
        <v>33</v>
      </c>
      <c r="J196" s="24">
        <v>31</v>
      </c>
      <c r="K196" s="25">
        <f t="shared" si="21"/>
        <v>0.83333333333333337</v>
      </c>
      <c r="L196" s="25">
        <f t="shared" si="21"/>
        <v>1.064516129032258</v>
      </c>
      <c r="M196" s="25">
        <f t="shared" si="21"/>
        <v>1.631578947368421</v>
      </c>
      <c r="N196" s="25">
        <f t="shared" si="22"/>
        <v>1.1764761365780041</v>
      </c>
      <c r="O196" s="24">
        <v>5</v>
      </c>
      <c r="P196" s="24">
        <v>2</v>
      </c>
      <c r="Q196" s="24">
        <v>6</v>
      </c>
      <c r="R196" s="24">
        <v>12</v>
      </c>
      <c r="S196" s="24">
        <v>8</v>
      </c>
      <c r="T196" s="24">
        <v>9</v>
      </c>
      <c r="U196" s="25">
        <f t="shared" si="23"/>
        <v>2.4</v>
      </c>
      <c r="V196" s="25">
        <f t="shared" si="23"/>
        <v>4</v>
      </c>
      <c r="W196" s="25">
        <f t="shared" si="23"/>
        <v>1.5</v>
      </c>
      <c r="X196" s="25">
        <f t="shared" si="24"/>
        <v>2.6333333333333333</v>
      </c>
    </row>
    <row r="197" spans="1:24" ht="15.75" customHeight="1">
      <c r="A197" s="1">
        <v>41501</v>
      </c>
      <c r="B197" s="2" t="s">
        <v>204</v>
      </c>
      <c r="C197" s="2" t="s">
        <v>245</v>
      </c>
      <c r="D197" s="3" t="s">
        <v>246</v>
      </c>
      <c r="E197" s="24">
        <v>2</v>
      </c>
      <c r="F197" s="24">
        <v>0</v>
      </c>
      <c r="G197" s="24">
        <v>0</v>
      </c>
      <c r="H197" s="24">
        <v>2</v>
      </c>
      <c r="I197" s="24">
        <v>1</v>
      </c>
      <c r="J197" s="24">
        <v>1</v>
      </c>
      <c r="K197" s="25">
        <f t="shared" si="21"/>
        <v>1</v>
      </c>
      <c r="L197" s="25"/>
      <c r="M197" s="25"/>
      <c r="N197" s="25">
        <f t="shared" si="22"/>
        <v>1</v>
      </c>
      <c r="O197" s="24">
        <v>1</v>
      </c>
      <c r="P197" s="24">
        <v>0</v>
      </c>
      <c r="Q197" s="24">
        <v>2</v>
      </c>
      <c r="R197" s="24">
        <v>0</v>
      </c>
      <c r="S197" s="24">
        <v>0</v>
      </c>
      <c r="T197" s="24">
        <v>1</v>
      </c>
      <c r="U197" s="25">
        <f t="shared" si="23"/>
        <v>0</v>
      </c>
      <c r="V197" s="25"/>
      <c r="W197" s="25">
        <f t="shared" si="23"/>
        <v>0.5</v>
      </c>
      <c r="X197" s="25">
        <f t="shared" si="24"/>
        <v>0.25</v>
      </c>
    </row>
    <row r="198" spans="1:24" ht="15.75" customHeight="1">
      <c r="A198" s="1">
        <v>41502</v>
      </c>
      <c r="B198" s="2" t="s">
        <v>204</v>
      </c>
      <c r="C198" s="2" t="s">
        <v>245</v>
      </c>
      <c r="D198" s="3" t="s">
        <v>247</v>
      </c>
      <c r="E198" s="24">
        <v>0</v>
      </c>
      <c r="F198" s="24">
        <v>1</v>
      </c>
      <c r="G198" s="24">
        <v>0</v>
      </c>
      <c r="H198" s="24">
        <v>0</v>
      </c>
      <c r="I198" s="24">
        <v>3</v>
      </c>
      <c r="J198" s="24">
        <v>0</v>
      </c>
      <c r="K198" s="25"/>
      <c r="L198" s="25">
        <f t="shared" si="21"/>
        <v>3</v>
      </c>
      <c r="M198" s="25"/>
      <c r="N198" s="25">
        <f t="shared" si="22"/>
        <v>3</v>
      </c>
      <c r="O198" s="24"/>
      <c r="P198" s="24"/>
      <c r="Q198" s="24">
        <v>1</v>
      </c>
      <c r="R198" s="24"/>
      <c r="S198" s="24"/>
      <c r="T198" s="24">
        <v>0</v>
      </c>
      <c r="U198" s="25"/>
      <c r="V198" s="25"/>
      <c r="W198" s="25">
        <f t="shared" si="23"/>
        <v>0</v>
      </c>
      <c r="X198" s="25">
        <f t="shared" si="24"/>
        <v>0</v>
      </c>
    </row>
    <row r="199" spans="1:24" ht="15.75" customHeight="1">
      <c r="A199" s="1">
        <v>41503</v>
      </c>
      <c r="B199" s="2" t="s">
        <v>204</v>
      </c>
      <c r="C199" s="2" t="s">
        <v>245</v>
      </c>
      <c r="D199" s="3" t="s">
        <v>211</v>
      </c>
      <c r="E199" s="24">
        <v>2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5">
        <f t="shared" si="21"/>
        <v>0</v>
      </c>
      <c r="L199" s="25"/>
      <c r="M199" s="25"/>
      <c r="N199" s="25">
        <f t="shared" si="22"/>
        <v>0</v>
      </c>
      <c r="O199" s="24">
        <v>0</v>
      </c>
      <c r="P199" s="24">
        <v>0</v>
      </c>
      <c r="Q199" s="24"/>
      <c r="R199" s="24">
        <v>1</v>
      </c>
      <c r="S199" s="24">
        <v>1</v>
      </c>
      <c r="T199" s="24"/>
      <c r="U199" s="25"/>
      <c r="V199" s="25"/>
      <c r="W199" s="25"/>
      <c r="X199" s="25"/>
    </row>
    <row r="200" spans="1:24" ht="15.75" customHeight="1">
      <c r="A200" s="1">
        <v>41601</v>
      </c>
      <c r="B200" s="2" t="s">
        <v>204</v>
      </c>
      <c r="C200" s="2" t="s">
        <v>248</v>
      </c>
      <c r="D200" s="3" t="s">
        <v>249</v>
      </c>
      <c r="E200" s="24">
        <v>20</v>
      </c>
      <c r="F200" s="24">
        <v>13</v>
      </c>
      <c r="G200" s="24">
        <v>13</v>
      </c>
      <c r="H200" s="24">
        <v>26</v>
      </c>
      <c r="I200" s="24">
        <v>27</v>
      </c>
      <c r="J200" s="24">
        <v>15</v>
      </c>
      <c r="K200" s="25">
        <f t="shared" si="21"/>
        <v>1.3</v>
      </c>
      <c r="L200" s="25">
        <f t="shared" si="21"/>
        <v>2.0769230769230771</v>
      </c>
      <c r="M200" s="25">
        <f t="shared" si="21"/>
        <v>1.1538461538461537</v>
      </c>
      <c r="N200" s="25">
        <f t="shared" si="22"/>
        <v>1.5102564102564102</v>
      </c>
      <c r="O200" s="24">
        <v>4</v>
      </c>
      <c r="P200" s="24">
        <v>3</v>
      </c>
      <c r="Q200" s="24">
        <v>2</v>
      </c>
      <c r="R200" s="24">
        <v>6</v>
      </c>
      <c r="S200" s="24">
        <v>6</v>
      </c>
      <c r="T200" s="24">
        <v>4</v>
      </c>
      <c r="U200" s="25">
        <f t="shared" si="23"/>
        <v>1.5</v>
      </c>
      <c r="V200" s="25">
        <f t="shared" si="23"/>
        <v>2</v>
      </c>
      <c r="W200" s="25">
        <f t="shared" si="23"/>
        <v>2</v>
      </c>
      <c r="X200" s="25">
        <f t="shared" si="24"/>
        <v>1.8333333333333333</v>
      </c>
    </row>
    <row r="201" spans="1:24" ht="15.75" customHeight="1">
      <c r="A201" s="1">
        <v>50101</v>
      </c>
      <c r="B201" s="2" t="s">
        <v>250</v>
      </c>
      <c r="C201" s="2" t="s">
        <v>251</v>
      </c>
      <c r="D201" s="3" t="s">
        <v>250</v>
      </c>
      <c r="E201" s="24">
        <v>687</v>
      </c>
      <c r="F201" s="24">
        <v>721</v>
      </c>
      <c r="G201" s="24">
        <v>733</v>
      </c>
      <c r="H201" s="24">
        <v>1235</v>
      </c>
      <c r="I201" s="24">
        <v>1320</v>
      </c>
      <c r="J201" s="24">
        <v>1238</v>
      </c>
      <c r="K201" s="25">
        <f t="shared" si="21"/>
        <v>1.7976710334788937</v>
      </c>
      <c r="L201" s="25">
        <f t="shared" si="21"/>
        <v>1.8307905686546464</v>
      </c>
      <c r="M201" s="25">
        <f t="shared" si="21"/>
        <v>1.688949522510232</v>
      </c>
      <c r="N201" s="25">
        <f t="shared" si="22"/>
        <v>1.7724703748812576</v>
      </c>
      <c r="O201" s="24">
        <v>393</v>
      </c>
      <c r="P201" s="24">
        <v>331</v>
      </c>
      <c r="Q201" s="24">
        <v>302</v>
      </c>
      <c r="R201" s="24">
        <v>528</v>
      </c>
      <c r="S201" s="24">
        <v>458</v>
      </c>
      <c r="T201" s="24">
        <v>465</v>
      </c>
      <c r="U201" s="25">
        <f t="shared" si="23"/>
        <v>1.3435114503816794</v>
      </c>
      <c r="V201" s="25">
        <f t="shared" si="23"/>
        <v>1.3836858006042296</v>
      </c>
      <c r="W201" s="25">
        <f t="shared" si="23"/>
        <v>1.5397350993377483</v>
      </c>
      <c r="X201" s="25">
        <f t="shared" si="24"/>
        <v>1.422310783441219</v>
      </c>
    </row>
    <row r="202" spans="1:24" ht="15.75" customHeight="1">
      <c r="A202" s="1">
        <v>50102</v>
      </c>
      <c r="B202" s="2" t="s">
        <v>250</v>
      </c>
      <c r="C202" s="2" t="s">
        <v>251</v>
      </c>
      <c r="D202" s="3" t="s">
        <v>252</v>
      </c>
      <c r="E202" s="24">
        <v>107</v>
      </c>
      <c r="F202" s="24">
        <v>117</v>
      </c>
      <c r="G202" s="24">
        <v>161</v>
      </c>
      <c r="H202" s="24">
        <v>97</v>
      </c>
      <c r="I202" s="24">
        <v>130</v>
      </c>
      <c r="J202" s="24">
        <v>155</v>
      </c>
      <c r="K202" s="25">
        <f t="shared" si="21"/>
        <v>0.90654205607476634</v>
      </c>
      <c r="L202" s="25">
        <f t="shared" si="21"/>
        <v>1.1111111111111112</v>
      </c>
      <c r="M202" s="25">
        <f t="shared" si="21"/>
        <v>0.96273291925465843</v>
      </c>
      <c r="N202" s="25">
        <f t="shared" si="22"/>
        <v>0.99346202881351209</v>
      </c>
      <c r="O202" s="24">
        <v>35</v>
      </c>
      <c r="P202" s="24">
        <v>20</v>
      </c>
      <c r="Q202" s="24">
        <v>34</v>
      </c>
      <c r="R202" s="24">
        <v>53</v>
      </c>
      <c r="S202" s="24">
        <v>33</v>
      </c>
      <c r="T202" s="24">
        <v>32</v>
      </c>
      <c r="U202" s="25">
        <f t="shared" si="23"/>
        <v>1.5142857142857142</v>
      </c>
      <c r="V202" s="25">
        <f t="shared" si="23"/>
        <v>1.65</v>
      </c>
      <c r="W202" s="25">
        <f t="shared" si="23"/>
        <v>0.94117647058823528</v>
      </c>
      <c r="X202" s="25">
        <f t="shared" si="24"/>
        <v>1.368487394957983</v>
      </c>
    </row>
    <row r="203" spans="1:24" ht="15.75" customHeight="1">
      <c r="A203" s="1">
        <v>50103</v>
      </c>
      <c r="B203" s="2" t="s">
        <v>250</v>
      </c>
      <c r="C203" s="2" t="s">
        <v>251</v>
      </c>
      <c r="D203" s="3" t="s">
        <v>253</v>
      </c>
      <c r="E203" s="24">
        <v>20</v>
      </c>
      <c r="F203" s="24">
        <v>29</v>
      </c>
      <c r="G203" s="24">
        <v>21</v>
      </c>
      <c r="H203" s="24">
        <v>46</v>
      </c>
      <c r="I203" s="24">
        <v>47</v>
      </c>
      <c r="J203" s="24">
        <v>46</v>
      </c>
      <c r="K203" s="25">
        <f t="shared" si="21"/>
        <v>2.2999999999999998</v>
      </c>
      <c r="L203" s="25">
        <f t="shared" si="21"/>
        <v>1.6206896551724137</v>
      </c>
      <c r="M203" s="25">
        <f t="shared" si="21"/>
        <v>2.1904761904761907</v>
      </c>
      <c r="N203" s="25">
        <f t="shared" si="22"/>
        <v>2.0370552818828682</v>
      </c>
      <c r="O203" s="24">
        <v>6</v>
      </c>
      <c r="P203" s="24">
        <v>14</v>
      </c>
      <c r="Q203" s="24">
        <v>14</v>
      </c>
      <c r="R203" s="24">
        <v>22</v>
      </c>
      <c r="S203" s="24">
        <v>24</v>
      </c>
      <c r="T203" s="24">
        <v>26</v>
      </c>
      <c r="U203" s="25">
        <f t="shared" si="23"/>
        <v>3.6666666666666665</v>
      </c>
      <c r="V203" s="25">
        <f t="shared" si="23"/>
        <v>1.7142857142857142</v>
      </c>
      <c r="W203" s="25">
        <f t="shared" si="23"/>
        <v>1.8571428571428572</v>
      </c>
      <c r="X203" s="25">
        <f t="shared" si="24"/>
        <v>2.4126984126984126</v>
      </c>
    </row>
    <row r="204" spans="1:24" ht="15.75" customHeight="1">
      <c r="A204" s="1">
        <v>50104</v>
      </c>
      <c r="B204" s="2" t="s">
        <v>250</v>
      </c>
      <c r="C204" s="2" t="s">
        <v>251</v>
      </c>
      <c r="D204" s="3" t="s">
        <v>254</v>
      </c>
      <c r="E204" s="24">
        <v>4</v>
      </c>
      <c r="F204" s="24">
        <v>6</v>
      </c>
      <c r="G204" s="24">
        <v>1</v>
      </c>
      <c r="H204" s="24">
        <v>6</v>
      </c>
      <c r="I204" s="24">
        <v>8</v>
      </c>
      <c r="J204" s="24">
        <v>2</v>
      </c>
      <c r="K204" s="25">
        <f t="shared" si="21"/>
        <v>1.5</v>
      </c>
      <c r="L204" s="25">
        <f t="shared" si="21"/>
        <v>1.3333333333333333</v>
      </c>
      <c r="M204" s="25">
        <f t="shared" si="21"/>
        <v>2</v>
      </c>
      <c r="N204" s="25">
        <f t="shared" si="22"/>
        <v>1.6111111111111109</v>
      </c>
      <c r="O204" s="24">
        <v>0</v>
      </c>
      <c r="P204" s="24">
        <v>0</v>
      </c>
      <c r="Q204" s="24">
        <v>0</v>
      </c>
      <c r="R204" s="24">
        <v>1</v>
      </c>
      <c r="S204" s="24">
        <v>1</v>
      </c>
      <c r="T204" s="24">
        <v>3</v>
      </c>
      <c r="U204" s="25"/>
      <c r="V204" s="25"/>
      <c r="W204" s="25"/>
      <c r="X204" s="25"/>
    </row>
    <row r="205" spans="1:24" ht="15.75" customHeight="1">
      <c r="A205" s="1">
        <v>50201</v>
      </c>
      <c r="B205" s="2" t="s">
        <v>250</v>
      </c>
      <c r="C205" s="2" t="s">
        <v>255</v>
      </c>
      <c r="D205" s="3" t="s">
        <v>256</v>
      </c>
      <c r="E205" s="24">
        <v>136</v>
      </c>
      <c r="F205" s="24">
        <v>118</v>
      </c>
      <c r="G205" s="24">
        <v>73</v>
      </c>
      <c r="H205" s="24">
        <v>178</v>
      </c>
      <c r="I205" s="24">
        <v>139</v>
      </c>
      <c r="J205" s="24">
        <v>122</v>
      </c>
      <c r="K205" s="25">
        <f t="shared" si="21"/>
        <v>1.3088235294117647</v>
      </c>
      <c r="L205" s="25">
        <f t="shared" si="21"/>
        <v>1.1779661016949152</v>
      </c>
      <c r="M205" s="25">
        <f t="shared" si="21"/>
        <v>1.6712328767123288</v>
      </c>
      <c r="N205" s="25">
        <f t="shared" si="22"/>
        <v>1.3860075026063363</v>
      </c>
      <c r="O205" s="24">
        <v>31</v>
      </c>
      <c r="P205" s="24">
        <v>35</v>
      </c>
      <c r="Q205" s="24">
        <v>29</v>
      </c>
      <c r="R205" s="24">
        <v>42</v>
      </c>
      <c r="S205" s="24">
        <v>41</v>
      </c>
      <c r="T205" s="24">
        <v>33</v>
      </c>
      <c r="U205" s="25">
        <f t="shared" si="23"/>
        <v>1.3548387096774193</v>
      </c>
      <c r="V205" s="25">
        <f t="shared" si="23"/>
        <v>1.1714285714285715</v>
      </c>
      <c r="W205" s="25">
        <f t="shared" si="23"/>
        <v>1.1379310344827587</v>
      </c>
      <c r="X205" s="25">
        <f t="shared" si="24"/>
        <v>1.2213994385295832</v>
      </c>
    </row>
    <row r="206" spans="1:24" ht="15.75" customHeight="1">
      <c r="A206" s="1">
        <v>50202</v>
      </c>
      <c r="B206" s="2" t="s">
        <v>250</v>
      </c>
      <c r="C206" s="2" t="s">
        <v>255</v>
      </c>
      <c r="D206" s="3" t="s">
        <v>257</v>
      </c>
      <c r="E206" s="24">
        <v>63</v>
      </c>
      <c r="F206" s="24">
        <v>74</v>
      </c>
      <c r="G206" s="24">
        <v>84</v>
      </c>
      <c r="H206" s="24">
        <v>80</v>
      </c>
      <c r="I206" s="24">
        <v>62</v>
      </c>
      <c r="J206" s="24">
        <v>89</v>
      </c>
      <c r="K206" s="25">
        <f t="shared" si="21"/>
        <v>1.2698412698412698</v>
      </c>
      <c r="L206" s="25">
        <f t="shared" si="21"/>
        <v>0.83783783783783783</v>
      </c>
      <c r="M206" s="25">
        <f t="shared" si="21"/>
        <v>1.0595238095238095</v>
      </c>
      <c r="N206" s="25">
        <f t="shared" si="22"/>
        <v>1.0557343057343056</v>
      </c>
      <c r="O206" s="24">
        <v>40</v>
      </c>
      <c r="P206" s="24">
        <v>34</v>
      </c>
      <c r="Q206" s="24">
        <v>28</v>
      </c>
      <c r="R206" s="24">
        <v>34</v>
      </c>
      <c r="S206" s="24">
        <v>25</v>
      </c>
      <c r="T206" s="24">
        <v>38</v>
      </c>
      <c r="U206" s="25">
        <f t="shared" si="23"/>
        <v>0.85</v>
      </c>
      <c r="V206" s="25">
        <f t="shared" si="23"/>
        <v>0.73529411764705888</v>
      </c>
      <c r="W206" s="25">
        <f t="shared" si="23"/>
        <v>1.3571428571428572</v>
      </c>
      <c r="X206" s="25">
        <f t="shared" si="24"/>
        <v>0.98081232492997206</v>
      </c>
    </row>
    <row r="207" spans="1:24" ht="15.75" customHeight="1">
      <c r="A207" s="1">
        <v>50203</v>
      </c>
      <c r="B207" s="2" t="s">
        <v>250</v>
      </c>
      <c r="C207" s="2" t="s">
        <v>255</v>
      </c>
      <c r="D207" s="3" t="s">
        <v>258</v>
      </c>
      <c r="E207" s="24">
        <v>133</v>
      </c>
      <c r="F207" s="24">
        <v>114</v>
      </c>
      <c r="G207" s="24">
        <v>132</v>
      </c>
      <c r="H207" s="24">
        <v>192</v>
      </c>
      <c r="I207" s="24">
        <v>205</v>
      </c>
      <c r="J207" s="24">
        <v>204</v>
      </c>
      <c r="K207" s="25">
        <f t="shared" si="21"/>
        <v>1.4436090225563909</v>
      </c>
      <c r="L207" s="25">
        <f t="shared" si="21"/>
        <v>1.7982456140350878</v>
      </c>
      <c r="M207" s="25">
        <f t="shared" si="21"/>
        <v>1.5454545454545454</v>
      </c>
      <c r="N207" s="25">
        <f t="shared" si="22"/>
        <v>1.5957697273486746</v>
      </c>
      <c r="O207" s="24">
        <v>58</v>
      </c>
      <c r="P207" s="24">
        <v>58</v>
      </c>
      <c r="Q207" s="24">
        <v>52</v>
      </c>
      <c r="R207" s="24">
        <v>68</v>
      </c>
      <c r="S207" s="24">
        <v>70</v>
      </c>
      <c r="T207" s="24">
        <v>81</v>
      </c>
      <c r="U207" s="25">
        <f t="shared" si="23"/>
        <v>1.1724137931034482</v>
      </c>
      <c r="V207" s="25">
        <f t="shared" si="23"/>
        <v>1.2068965517241379</v>
      </c>
      <c r="W207" s="25">
        <f t="shared" si="23"/>
        <v>1.5576923076923077</v>
      </c>
      <c r="X207" s="25">
        <f t="shared" si="24"/>
        <v>1.3123342175066313</v>
      </c>
    </row>
    <row r="208" spans="1:24" ht="15.75" customHeight="1">
      <c r="A208" s="1">
        <v>50204</v>
      </c>
      <c r="B208" s="2" t="s">
        <v>250</v>
      </c>
      <c r="C208" s="2" t="s">
        <v>255</v>
      </c>
      <c r="D208" s="3" t="s">
        <v>259</v>
      </c>
      <c r="E208" s="24">
        <v>0</v>
      </c>
      <c r="F208" s="24">
        <v>0</v>
      </c>
      <c r="G208" s="24">
        <v>35</v>
      </c>
      <c r="H208" s="24">
        <v>0</v>
      </c>
      <c r="I208" s="24">
        <v>0</v>
      </c>
      <c r="J208" s="24">
        <v>33</v>
      </c>
      <c r="K208" s="25"/>
      <c r="L208" s="25"/>
      <c r="M208" s="25">
        <f t="shared" si="21"/>
        <v>0.94285714285714284</v>
      </c>
      <c r="N208" s="25">
        <f t="shared" si="22"/>
        <v>0.94285714285714284</v>
      </c>
      <c r="O208" s="24">
        <v>14</v>
      </c>
      <c r="P208" s="24">
        <v>8</v>
      </c>
      <c r="Q208" s="24">
        <v>7</v>
      </c>
      <c r="R208" s="24">
        <v>23</v>
      </c>
      <c r="S208" s="24">
        <v>23</v>
      </c>
      <c r="T208" s="24">
        <v>24</v>
      </c>
      <c r="U208" s="25">
        <f t="shared" si="23"/>
        <v>1.6428571428571428</v>
      </c>
      <c r="V208" s="25">
        <f t="shared" si="23"/>
        <v>2.875</v>
      </c>
      <c r="W208" s="25">
        <f t="shared" si="23"/>
        <v>3.4285714285714284</v>
      </c>
      <c r="X208" s="25">
        <f t="shared" si="24"/>
        <v>2.6488095238095237</v>
      </c>
    </row>
    <row r="209" spans="1:24" ht="15.75" customHeight="1">
      <c r="A209" s="1">
        <v>50301</v>
      </c>
      <c r="B209" s="2" t="s">
        <v>250</v>
      </c>
      <c r="C209" s="2" t="s">
        <v>260</v>
      </c>
      <c r="D209" s="3" t="s">
        <v>261</v>
      </c>
      <c r="E209" s="24">
        <v>174</v>
      </c>
      <c r="F209" s="24">
        <v>171</v>
      </c>
      <c r="G209" s="24">
        <v>169</v>
      </c>
      <c r="H209" s="24">
        <v>204</v>
      </c>
      <c r="I209" s="24">
        <v>213</v>
      </c>
      <c r="J209" s="24">
        <v>176</v>
      </c>
      <c r="K209" s="25">
        <f t="shared" si="21"/>
        <v>1.1724137931034482</v>
      </c>
      <c r="L209" s="25">
        <f t="shared" si="21"/>
        <v>1.2456140350877194</v>
      </c>
      <c r="M209" s="25">
        <f t="shared" si="21"/>
        <v>1.0414201183431953</v>
      </c>
      <c r="N209" s="25">
        <f t="shared" si="22"/>
        <v>1.1531493155114543</v>
      </c>
      <c r="O209" s="24">
        <v>52</v>
      </c>
      <c r="P209" s="24">
        <v>48</v>
      </c>
      <c r="Q209" s="24">
        <v>44</v>
      </c>
      <c r="R209" s="24">
        <v>80</v>
      </c>
      <c r="S209" s="24">
        <v>86</v>
      </c>
      <c r="T209" s="24">
        <v>72</v>
      </c>
      <c r="U209" s="25">
        <f t="shared" si="23"/>
        <v>1.5384615384615385</v>
      </c>
      <c r="V209" s="25">
        <f t="shared" si="23"/>
        <v>1.7916666666666667</v>
      </c>
      <c r="W209" s="25">
        <f t="shared" si="23"/>
        <v>1.6363636363636365</v>
      </c>
      <c r="X209" s="25">
        <f t="shared" si="24"/>
        <v>1.6554972804972807</v>
      </c>
    </row>
    <row r="210" spans="1:24" ht="15.75" customHeight="1">
      <c r="A210" s="1">
        <v>50302</v>
      </c>
      <c r="B210" s="2" t="s">
        <v>250</v>
      </c>
      <c r="C210" s="2" t="s">
        <v>260</v>
      </c>
      <c r="D210" s="3" t="s">
        <v>262</v>
      </c>
      <c r="E210" s="24">
        <v>28</v>
      </c>
      <c r="F210" s="24">
        <v>29</v>
      </c>
      <c r="G210" s="24">
        <v>25</v>
      </c>
      <c r="H210" s="24">
        <v>38</v>
      </c>
      <c r="I210" s="24">
        <v>50</v>
      </c>
      <c r="J210" s="24">
        <v>46</v>
      </c>
      <c r="K210" s="25">
        <f t="shared" si="21"/>
        <v>1.3571428571428572</v>
      </c>
      <c r="L210" s="25">
        <f t="shared" si="21"/>
        <v>1.7241379310344827</v>
      </c>
      <c r="M210" s="25">
        <f t="shared" si="21"/>
        <v>1.84</v>
      </c>
      <c r="N210" s="25">
        <f t="shared" si="22"/>
        <v>1.6404269293924465</v>
      </c>
      <c r="O210" s="24">
        <v>14</v>
      </c>
      <c r="P210" s="24">
        <v>10</v>
      </c>
      <c r="Q210" s="24">
        <v>14</v>
      </c>
      <c r="R210" s="24">
        <v>18</v>
      </c>
      <c r="S210" s="24">
        <v>24</v>
      </c>
      <c r="T210" s="24">
        <v>17</v>
      </c>
      <c r="U210" s="25">
        <f t="shared" si="23"/>
        <v>1.2857142857142858</v>
      </c>
      <c r="V210" s="25">
        <f t="shared" si="23"/>
        <v>2.4</v>
      </c>
      <c r="W210" s="25">
        <f t="shared" si="23"/>
        <v>1.2142857142857142</v>
      </c>
      <c r="X210" s="25">
        <f t="shared" si="24"/>
        <v>1.6333333333333335</v>
      </c>
    </row>
    <row r="211" spans="1:24" ht="15.75" customHeight="1">
      <c r="A211" s="1">
        <v>50303</v>
      </c>
      <c r="B211" s="2" t="s">
        <v>250</v>
      </c>
      <c r="C211" s="2" t="s">
        <v>260</v>
      </c>
      <c r="D211" s="3" t="s">
        <v>263</v>
      </c>
      <c r="E211" s="24">
        <v>74</v>
      </c>
      <c r="F211" s="24">
        <v>76</v>
      </c>
      <c r="G211" s="24">
        <v>55</v>
      </c>
      <c r="H211" s="24">
        <v>64</v>
      </c>
      <c r="I211" s="24">
        <v>71</v>
      </c>
      <c r="J211" s="24">
        <v>71</v>
      </c>
      <c r="K211" s="25">
        <f t="shared" si="21"/>
        <v>0.86486486486486491</v>
      </c>
      <c r="L211" s="25">
        <f t="shared" si="21"/>
        <v>0.93421052631578949</v>
      </c>
      <c r="M211" s="25">
        <f t="shared" si="21"/>
        <v>1.290909090909091</v>
      </c>
      <c r="N211" s="25">
        <f t="shared" si="22"/>
        <v>1.0299948273632484</v>
      </c>
      <c r="O211" s="24">
        <v>22</v>
      </c>
      <c r="P211" s="24">
        <v>14</v>
      </c>
      <c r="Q211" s="24">
        <v>16</v>
      </c>
      <c r="R211" s="24">
        <v>22</v>
      </c>
      <c r="S211" s="24">
        <v>24</v>
      </c>
      <c r="T211" s="24">
        <v>18</v>
      </c>
      <c r="U211" s="25">
        <f t="shared" si="23"/>
        <v>1</v>
      </c>
      <c r="V211" s="25">
        <f t="shared" si="23"/>
        <v>1.7142857142857142</v>
      </c>
      <c r="W211" s="25">
        <f t="shared" si="23"/>
        <v>1.125</v>
      </c>
      <c r="X211" s="25">
        <f t="shared" si="24"/>
        <v>1.2797619047619049</v>
      </c>
    </row>
    <row r="212" spans="1:24" ht="15.75" customHeight="1">
      <c r="A212" s="1">
        <v>50401</v>
      </c>
      <c r="B212" s="2" t="s">
        <v>250</v>
      </c>
      <c r="C212" s="2" t="s">
        <v>257</v>
      </c>
      <c r="D212" s="3" t="s">
        <v>264</v>
      </c>
      <c r="E212" s="24">
        <v>291</v>
      </c>
      <c r="F212" s="24">
        <v>236</v>
      </c>
      <c r="G212" s="24">
        <v>198</v>
      </c>
      <c r="H212" s="24">
        <v>302</v>
      </c>
      <c r="I212" s="24">
        <v>283</v>
      </c>
      <c r="J212" s="24">
        <v>241</v>
      </c>
      <c r="K212" s="25">
        <f t="shared" si="21"/>
        <v>1.0378006872852235</v>
      </c>
      <c r="L212" s="25">
        <f t="shared" si="21"/>
        <v>1.1991525423728813</v>
      </c>
      <c r="M212" s="25">
        <f t="shared" si="21"/>
        <v>1.2171717171717171</v>
      </c>
      <c r="N212" s="25">
        <f t="shared" si="22"/>
        <v>1.1513749822766073</v>
      </c>
      <c r="O212" s="24">
        <v>87</v>
      </c>
      <c r="P212" s="24">
        <v>62</v>
      </c>
      <c r="Q212" s="24">
        <v>67</v>
      </c>
      <c r="R212" s="24">
        <v>116</v>
      </c>
      <c r="S212" s="24">
        <v>84</v>
      </c>
      <c r="T212" s="24">
        <v>85</v>
      </c>
      <c r="U212" s="25">
        <f t="shared" si="23"/>
        <v>1.3333333333333333</v>
      </c>
      <c r="V212" s="25">
        <f t="shared" si="23"/>
        <v>1.3548387096774193</v>
      </c>
      <c r="W212" s="25">
        <f t="shared" si="23"/>
        <v>1.2686567164179106</v>
      </c>
      <c r="X212" s="25">
        <f t="shared" si="24"/>
        <v>1.3189429198095544</v>
      </c>
    </row>
    <row r="213" spans="1:24" ht="15.75" customHeight="1">
      <c r="A213" s="1">
        <v>50402</v>
      </c>
      <c r="B213" s="2" t="s">
        <v>250</v>
      </c>
      <c r="C213" s="2" t="s">
        <v>257</v>
      </c>
      <c r="D213" s="3" t="s">
        <v>265</v>
      </c>
      <c r="E213" s="24">
        <v>133</v>
      </c>
      <c r="F213" s="24">
        <v>117</v>
      </c>
      <c r="G213" s="24">
        <v>148</v>
      </c>
      <c r="H213" s="24">
        <v>150</v>
      </c>
      <c r="I213" s="24">
        <v>134</v>
      </c>
      <c r="J213" s="24">
        <v>168</v>
      </c>
      <c r="K213" s="25">
        <f t="shared" si="21"/>
        <v>1.1278195488721805</v>
      </c>
      <c r="L213" s="25">
        <f t="shared" si="21"/>
        <v>1.1452991452991452</v>
      </c>
      <c r="M213" s="25">
        <f t="shared" si="21"/>
        <v>1.1351351351351351</v>
      </c>
      <c r="N213" s="25">
        <f t="shared" si="22"/>
        <v>1.1360846097688204</v>
      </c>
      <c r="O213" s="24">
        <v>27</v>
      </c>
      <c r="P213" s="24">
        <v>20</v>
      </c>
      <c r="Q213" s="24">
        <v>21</v>
      </c>
      <c r="R213" s="24">
        <v>32</v>
      </c>
      <c r="S213" s="24">
        <v>45</v>
      </c>
      <c r="T213" s="24">
        <v>43</v>
      </c>
      <c r="U213" s="25">
        <f t="shared" si="23"/>
        <v>1.1851851851851851</v>
      </c>
      <c r="V213" s="25">
        <f t="shared" si="23"/>
        <v>2.25</v>
      </c>
      <c r="W213" s="25">
        <f t="shared" si="23"/>
        <v>2.0476190476190474</v>
      </c>
      <c r="X213" s="25">
        <f t="shared" si="24"/>
        <v>1.8276014109347443</v>
      </c>
    </row>
    <row r="214" spans="1:24" ht="15.75" customHeight="1">
      <c r="A214" s="1">
        <v>50403</v>
      </c>
      <c r="B214" s="2" t="s">
        <v>250</v>
      </c>
      <c r="C214" s="2" t="s">
        <v>257</v>
      </c>
      <c r="D214" s="3" t="s">
        <v>266</v>
      </c>
      <c r="E214" s="24">
        <v>156</v>
      </c>
      <c r="F214" s="24">
        <v>173</v>
      </c>
      <c r="G214" s="24">
        <v>183</v>
      </c>
      <c r="H214" s="24">
        <v>200</v>
      </c>
      <c r="I214" s="24">
        <v>176</v>
      </c>
      <c r="J214" s="24">
        <v>172</v>
      </c>
      <c r="K214" s="25">
        <f t="shared" si="21"/>
        <v>1.2820512820512822</v>
      </c>
      <c r="L214" s="25">
        <f t="shared" si="21"/>
        <v>1.0173410404624277</v>
      </c>
      <c r="M214" s="25">
        <f t="shared" si="21"/>
        <v>0.93989071038251371</v>
      </c>
      <c r="N214" s="25">
        <f t="shared" si="22"/>
        <v>1.0797610109654079</v>
      </c>
      <c r="O214" s="24">
        <v>55</v>
      </c>
      <c r="P214" s="24">
        <v>67</v>
      </c>
      <c r="Q214" s="24">
        <v>60</v>
      </c>
      <c r="R214" s="24">
        <v>50</v>
      </c>
      <c r="S214" s="24">
        <v>63</v>
      </c>
      <c r="T214" s="24">
        <v>59</v>
      </c>
      <c r="U214" s="25">
        <f t="shared" si="23"/>
        <v>0.90909090909090906</v>
      </c>
      <c r="V214" s="25">
        <f t="shared" si="23"/>
        <v>0.94029850746268662</v>
      </c>
      <c r="W214" s="25">
        <f t="shared" si="23"/>
        <v>0.98333333333333328</v>
      </c>
      <c r="X214" s="25">
        <f t="shared" si="24"/>
        <v>0.94424091662897636</v>
      </c>
    </row>
    <row r="215" spans="1:24" ht="15.75" customHeight="1">
      <c r="A215" s="1">
        <v>50404</v>
      </c>
      <c r="B215" s="2" t="s">
        <v>250</v>
      </c>
      <c r="C215" s="2" t="s">
        <v>257</v>
      </c>
      <c r="D215" s="3" t="s">
        <v>267</v>
      </c>
      <c r="E215" s="24">
        <v>92</v>
      </c>
      <c r="F215" s="24">
        <v>113</v>
      </c>
      <c r="G215" s="24">
        <v>98</v>
      </c>
      <c r="H215" s="24">
        <v>120</v>
      </c>
      <c r="I215" s="24">
        <v>143</v>
      </c>
      <c r="J215" s="24">
        <v>106</v>
      </c>
      <c r="K215" s="25">
        <f t="shared" si="21"/>
        <v>1.3043478260869565</v>
      </c>
      <c r="L215" s="25">
        <f t="shared" si="21"/>
        <v>1.2654867256637168</v>
      </c>
      <c r="M215" s="25">
        <f t="shared" si="21"/>
        <v>1.0816326530612246</v>
      </c>
      <c r="N215" s="25">
        <f t="shared" si="22"/>
        <v>1.2171557349372992</v>
      </c>
      <c r="O215" s="24">
        <v>29</v>
      </c>
      <c r="P215" s="24">
        <v>14</v>
      </c>
      <c r="Q215" s="24">
        <v>9</v>
      </c>
      <c r="R215" s="24">
        <v>49</v>
      </c>
      <c r="S215" s="24">
        <v>21</v>
      </c>
      <c r="T215" s="24">
        <v>25</v>
      </c>
      <c r="U215" s="25">
        <f t="shared" si="23"/>
        <v>1.6896551724137931</v>
      </c>
      <c r="V215" s="25">
        <f t="shared" si="23"/>
        <v>1.5</v>
      </c>
      <c r="W215" s="25">
        <f t="shared" si="23"/>
        <v>2.7777777777777777</v>
      </c>
      <c r="X215" s="25">
        <f t="shared" si="24"/>
        <v>1.9891443167305234</v>
      </c>
    </row>
    <row r="216" spans="1:24" ht="15.75" customHeight="1">
      <c r="A216" s="1">
        <v>50405</v>
      </c>
      <c r="B216" s="2" t="s">
        <v>250</v>
      </c>
      <c r="C216" s="2" t="s">
        <v>257</v>
      </c>
      <c r="D216" s="3" t="s">
        <v>268</v>
      </c>
      <c r="E216" s="24">
        <v>291</v>
      </c>
      <c r="F216" s="24">
        <v>236</v>
      </c>
      <c r="G216" s="24">
        <v>198</v>
      </c>
      <c r="H216" s="24">
        <v>302</v>
      </c>
      <c r="I216" s="24">
        <v>283</v>
      </c>
      <c r="J216" s="24">
        <v>241</v>
      </c>
      <c r="K216" s="25">
        <f t="shared" si="21"/>
        <v>1.0378006872852235</v>
      </c>
      <c r="L216" s="25">
        <f t="shared" si="21"/>
        <v>1.1991525423728813</v>
      </c>
      <c r="M216" s="25">
        <f t="shared" si="21"/>
        <v>1.2171717171717171</v>
      </c>
      <c r="N216" s="25">
        <f t="shared" si="22"/>
        <v>1.1513749822766073</v>
      </c>
      <c r="O216" s="24">
        <v>87</v>
      </c>
      <c r="P216" s="24">
        <v>62</v>
      </c>
      <c r="Q216" s="24"/>
      <c r="R216" s="24">
        <v>116</v>
      </c>
      <c r="S216" s="24">
        <v>84</v>
      </c>
      <c r="T216" s="24"/>
      <c r="U216" s="25">
        <f t="shared" si="23"/>
        <v>1.3333333333333333</v>
      </c>
      <c r="V216" s="25">
        <f t="shared" si="23"/>
        <v>1.3548387096774193</v>
      </c>
      <c r="W216" s="25"/>
      <c r="X216" s="25">
        <f t="shared" si="24"/>
        <v>1.3440860215053763</v>
      </c>
    </row>
    <row r="217" spans="1:24" ht="15.75" customHeight="1">
      <c r="A217" s="1">
        <v>50501</v>
      </c>
      <c r="B217" s="2" t="s">
        <v>250</v>
      </c>
      <c r="C217" s="2" t="s">
        <v>269</v>
      </c>
      <c r="D217" s="3" t="s">
        <v>270</v>
      </c>
      <c r="E217" s="24">
        <v>190</v>
      </c>
      <c r="F217" s="24">
        <v>211</v>
      </c>
      <c r="G217" s="24">
        <v>264</v>
      </c>
      <c r="H217" s="24">
        <v>194</v>
      </c>
      <c r="I217" s="24">
        <v>227</v>
      </c>
      <c r="J217" s="24">
        <v>257</v>
      </c>
      <c r="K217" s="25">
        <f t="shared" si="21"/>
        <v>1.0210526315789474</v>
      </c>
      <c r="L217" s="25">
        <f t="shared" si="21"/>
        <v>1.0758293838862558</v>
      </c>
      <c r="M217" s="25">
        <f t="shared" si="21"/>
        <v>0.97348484848484851</v>
      </c>
      <c r="N217" s="25">
        <f t="shared" si="22"/>
        <v>1.0234556213166839</v>
      </c>
      <c r="O217" s="24">
        <v>90</v>
      </c>
      <c r="P217" s="24">
        <v>113</v>
      </c>
      <c r="Q217" s="24">
        <v>83</v>
      </c>
      <c r="R217" s="24">
        <v>96</v>
      </c>
      <c r="S217" s="24">
        <v>123</v>
      </c>
      <c r="T217" s="24">
        <v>95</v>
      </c>
      <c r="U217" s="25">
        <f t="shared" si="23"/>
        <v>1.0666666666666667</v>
      </c>
      <c r="V217" s="25">
        <f t="shared" si="23"/>
        <v>1.0884955752212389</v>
      </c>
      <c r="W217" s="25">
        <f t="shared" si="23"/>
        <v>1.1445783132530121</v>
      </c>
      <c r="X217" s="25">
        <f t="shared" si="24"/>
        <v>1.0999135183803059</v>
      </c>
    </row>
    <row r="218" spans="1:24" ht="15.75" customHeight="1">
      <c r="A218" s="1">
        <v>50502</v>
      </c>
      <c r="B218" s="2" t="s">
        <v>250</v>
      </c>
      <c r="C218" s="2" t="s">
        <v>269</v>
      </c>
      <c r="D218" s="3" t="s">
        <v>271</v>
      </c>
      <c r="E218" s="24">
        <v>70</v>
      </c>
      <c r="F218" s="24">
        <v>70</v>
      </c>
      <c r="G218" s="24">
        <v>78</v>
      </c>
      <c r="H218" s="24">
        <v>86</v>
      </c>
      <c r="I218" s="24">
        <v>71</v>
      </c>
      <c r="J218" s="24">
        <v>76</v>
      </c>
      <c r="K218" s="25">
        <f t="shared" si="21"/>
        <v>1.2285714285714286</v>
      </c>
      <c r="L218" s="25">
        <f t="shared" si="21"/>
        <v>1.0142857142857142</v>
      </c>
      <c r="M218" s="25">
        <f t="shared" si="21"/>
        <v>0.97435897435897434</v>
      </c>
      <c r="N218" s="25">
        <f t="shared" si="22"/>
        <v>1.0724053724053724</v>
      </c>
      <c r="O218" s="24">
        <v>46</v>
      </c>
      <c r="P218" s="24">
        <v>20</v>
      </c>
      <c r="Q218" s="24">
        <v>36</v>
      </c>
      <c r="R218" s="24">
        <v>43</v>
      </c>
      <c r="S218" s="24">
        <v>24</v>
      </c>
      <c r="T218" s="24">
        <v>40</v>
      </c>
      <c r="U218" s="25">
        <f t="shared" si="23"/>
        <v>0.93478260869565222</v>
      </c>
      <c r="V218" s="25">
        <f t="shared" si="23"/>
        <v>1.2</v>
      </c>
      <c r="W218" s="25">
        <f t="shared" si="23"/>
        <v>1.1111111111111112</v>
      </c>
      <c r="X218" s="25">
        <f t="shared" si="24"/>
        <v>1.0819645732689211</v>
      </c>
    </row>
    <row r="219" spans="1:24" ht="15.75" customHeight="1">
      <c r="A219" s="1">
        <v>50601</v>
      </c>
      <c r="B219" s="2" t="s">
        <v>250</v>
      </c>
      <c r="C219" s="2" t="s">
        <v>272</v>
      </c>
      <c r="D219" s="3" t="s">
        <v>273</v>
      </c>
      <c r="E219" s="24">
        <v>153</v>
      </c>
      <c r="F219" s="24">
        <v>174</v>
      </c>
      <c r="G219" s="24">
        <v>118</v>
      </c>
      <c r="H219" s="24">
        <v>178</v>
      </c>
      <c r="I219" s="24">
        <v>197</v>
      </c>
      <c r="J219" s="24">
        <v>149</v>
      </c>
      <c r="K219" s="25">
        <f t="shared" si="21"/>
        <v>1.1633986928104576</v>
      </c>
      <c r="L219" s="25">
        <f t="shared" si="21"/>
        <v>1.132183908045977</v>
      </c>
      <c r="M219" s="25">
        <f t="shared" si="21"/>
        <v>1.2627118644067796</v>
      </c>
      <c r="N219" s="25">
        <f t="shared" si="22"/>
        <v>1.1860981550877379</v>
      </c>
      <c r="O219" s="24">
        <v>43</v>
      </c>
      <c r="P219" s="24">
        <v>42</v>
      </c>
      <c r="Q219" s="24">
        <v>31</v>
      </c>
      <c r="R219" s="24">
        <v>40</v>
      </c>
      <c r="S219" s="24">
        <v>53</v>
      </c>
      <c r="T219" s="24">
        <v>37</v>
      </c>
      <c r="U219" s="25">
        <f t="shared" si="23"/>
        <v>0.93023255813953487</v>
      </c>
      <c r="V219" s="25">
        <f t="shared" si="23"/>
        <v>1.2619047619047619</v>
      </c>
      <c r="W219" s="25">
        <f t="shared" si="23"/>
        <v>1.1935483870967742</v>
      </c>
      <c r="X219" s="25">
        <f t="shared" si="24"/>
        <v>1.1285619023803568</v>
      </c>
    </row>
    <row r="220" spans="1:24" ht="15.75" customHeight="1">
      <c r="A220" s="1">
        <v>50602</v>
      </c>
      <c r="B220" s="2" t="s">
        <v>250</v>
      </c>
      <c r="C220" s="2" t="s">
        <v>272</v>
      </c>
      <c r="D220" s="3" t="s">
        <v>274</v>
      </c>
      <c r="E220" s="24">
        <v>27</v>
      </c>
      <c r="F220" s="24">
        <v>46</v>
      </c>
      <c r="G220" s="24">
        <v>34</v>
      </c>
      <c r="H220" s="24">
        <v>44</v>
      </c>
      <c r="I220" s="24">
        <v>57</v>
      </c>
      <c r="J220" s="24">
        <v>47</v>
      </c>
      <c r="K220" s="25">
        <f t="shared" si="21"/>
        <v>1.6296296296296295</v>
      </c>
      <c r="L220" s="25">
        <f t="shared" si="21"/>
        <v>1.2391304347826086</v>
      </c>
      <c r="M220" s="25">
        <f t="shared" si="21"/>
        <v>1.3823529411764706</v>
      </c>
      <c r="N220" s="25">
        <f t="shared" si="22"/>
        <v>1.4170376685295694</v>
      </c>
      <c r="O220" s="24">
        <v>10</v>
      </c>
      <c r="P220" s="24">
        <v>10</v>
      </c>
      <c r="Q220" s="24">
        <v>18</v>
      </c>
      <c r="R220" s="24">
        <v>23</v>
      </c>
      <c r="S220" s="24">
        <v>22</v>
      </c>
      <c r="T220" s="24">
        <v>30</v>
      </c>
      <c r="U220" s="25">
        <f t="shared" si="23"/>
        <v>2.2999999999999998</v>
      </c>
      <c r="V220" s="25">
        <f t="shared" si="23"/>
        <v>2.2000000000000002</v>
      </c>
      <c r="W220" s="25">
        <f t="shared" si="23"/>
        <v>1.6666666666666667</v>
      </c>
      <c r="X220" s="25">
        <f t="shared" si="24"/>
        <v>2.0555555555555558</v>
      </c>
    </row>
    <row r="221" spans="1:24" ht="15.75" customHeight="1">
      <c r="A221" s="1">
        <v>50701</v>
      </c>
      <c r="B221" s="2" t="s">
        <v>250</v>
      </c>
      <c r="C221" s="2" t="s">
        <v>275</v>
      </c>
      <c r="D221" s="3" t="s">
        <v>276</v>
      </c>
      <c r="E221" s="24">
        <v>140</v>
      </c>
      <c r="F221" s="24">
        <v>122</v>
      </c>
      <c r="G221" s="24">
        <v>120</v>
      </c>
      <c r="H221" s="24">
        <v>113</v>
      </c>
      <c r="I221" s="24">
        <v>109</v>
      </c>
      <c r="J221" s="24">
        <v>101</v>
      </c>
      <c r="K221" s="25">
        <f t="shared" si="21"/>
        <v>0.80714285714285716</v>
      </c>
      <c r="L221" s="25">
        <f t="shared" si="21"/>
        <v>0.89344262295081966</v>
      </c>
      <c r="M221" s="25">
        <f t="shared" si="21"/>
        <v>0.84166666666666667</v>
      </c>
      <c r="N221" s="25">
        <f t="shared" si="22"/>
        <v>0.84741738225344776</v>
      </c>
      <c r="O221" s="24">
        <v>55</v>
      </c>
      <c r="P221" s="24">
        <v>35</v>
      </c>
      <c r="Q221" s="24">
        <v>26</v>
      </c>
      <c r="R221" s="24">
        <v>44</v>
      </c>
      <c r="S221" s="24">
        <v>46</v>
      </c>
      <c r="T221" s="24">
        <v>71</v>
      </c>
      <c r="U221" s="25">
        <f t="shared" si="23"/>
        <v>0.8</v>
      </c>
      <c r="V221" s="25">
        <f t="shared" si="23"/>
        <v>1.3142857142857143</v>
      </c>
      <c r="W221" s="25">
        <f t="shared" si="23"/>
        <v>2.7307692307692308</v>
      </c>
      <c r="X221" s="25">
        <f t="shared" si="24"/>
        <v>1.6150183150183153</v>
      </c>
    </row>
    <row r="222" spans="1:24" ht="15.75" customHeight="1">
      <c r="A222" s="1">
        <v>50702</v>
      </c>
      <c r="B222" s="2" t="s">
        <v>250</v>
      </c>
      <c r="C222" s="2" t="s">
        <v>275</v>
      </c>
      <c r="D222" s="3" t="s">
        <v>277</v>
      </c>
      <c r="E222" s="24">
        <v>39</v>
      </c>
      <c r="F222" s="24">
        <v>53</v>
      </c>
      <c r="G222" s="24">
        <v>44</v>
      </c>
      <c r="H222" s="24">
        <v>31</v>
      </c>
      <c r="I222" s="24">
        <v>54</v>
      </c>
      <c r="J222" s="24">
        <v>49</v>
      </c>
      <c r="K222" s="25">
        <f t="shared" si="21"/>
        <v>0.79487179487179482</v>
      </c>
      <c r="L222" s="25">
        <f t="shared" si="21"/>
        <v>1.0188679245283019</v>
      </c>
      <c r="M222" s="25">
        <f t="shared" si="21"/>
        <v>1.1136363636363635</v>
      </c>
      <c r="N222" s="25">
        <f t="shared" si="22"/>
        <v>0.97579202767882001</v>
      </c>
      <c r="O222" s="24">
        <v>20</v>
      </c>
      <c r="P222" s="24">
        <v>19</v>
      </c>
      <c r="Q222" s="24">
        <v>22</v>
      </c>
      <c r="R222" s="24">
        <v>28</v>
      </c>
      <c r="S222" s="24">
        <v>22</v>
      </c>
      <c r="T222" s="24">
        <v>20</v>
      </c>
      <c r="U222" s="25">
        <f t="shared" si="23"/>
        <v>1.4</v>
      </c>
      <c r="V222" s="25">
        <f t="shared" si="23"/>
        <v>1.1578947368421053</v>
      </c>
      <c r="W222" s="25">
        <f t="shared" si="23"/>
        <v>0.90909090909090906</v>
      </c>
      <c r="X222" s="25">
        <f t="shared" si="24"/>
        <v>1.1556618819776714</v>
      </c>
    </row>
    <row r="223" spans="1:24" ht="15.75" customHeight="1">
      <c r="A223" s="1">
        <v>50801</v>
      </c>
      <c r="B223" s="2" t="s">
        <v>250</v>
      </c>
      <c r="C223" s="2" t="s">
        <v>278</v>
      </c>
      <c r="D223" s="3" t="s">
        <v>279</v>
      </c>
      <c r="E223" s="24">
        <v>150</v>
      </c>
      <c r="F223" s="24">
        <v>129</v>
      </c>
      <c r="G223" s="24">
        <v>129</v>
      </c>
      <c r="H223" s="24">
        <v>195</v>
      </c>
      <c r="I223" s="24">
        <v>186</v>
      </c>
      <c r="J223" s="24">
        <v>188</v>
      </c>
      <c r="K223" s="25">
        <f t="shared" si="21"/>
        <v>1.3</v>
      </c>
      <c r="L223" s="25">
        <f t="shared" si="21"/>
        <v>1.441860465116279</v>
      </c>
      <c r="M223" s="25">
        <f t="shared" si="21"/>
        <v>1.4573643410852712</v>
      </c>
      <c r="N223" s="25">
        <f t="shared" si="22"/>
        <v>1.3997416020671833</v>
      </c>
      <c r="O223" s="24">
        <v>64</v>
      </c>
      <c r="P223" s="24">
        <v>39</v>
      </c>
      <c r="Q223" s="24">
        <v>32</v>
      </c>
      <c r="R223" s="24">
        <v>84</v>
      </c>
      <c r="S223" s="24">
        <v>75</v>
      </c>
      <c r="T223" s="24">
        <v>43</v>
      </c>
      <c r="U223" s="25">
        <f t="shared" si="23"/>
        <v>1.3125</v>
      </c>
      <c r="V223" s="25">
        <f t="shared" si="23"/>
        <v>1.9230769230769231</v>
      </c>
      <c r="W223" s="25">
        <f t="shared" si="23"/>
        <v>1.34375</v>
      </c>
      <c r="X223" s="25">
        <f t="shared" si="24"/>
        <v>1.5264423076923077</v>
      </c>
    </row>
    <row r="224" spans="1:24" ht="15.75" customHeight="1">
      <c r="A224" s="1">
        <v>50802</v>
      </c>
      <c r="B224" s="2" t="s">
        <v>250</v>
      </c>
      <c r="C224" s="2" t="s">
        <v>278</v>
      </c>
      <c r="D224" s="3" t="s">
        <v>280</v>
      </c>
      <c r="E224" s="24">
        <v>38</v>
      </c>
      <c r="F224" s="24">
        <v>26</v>
      </c>
      <c r="G224" s="24">
        <v>36</v>
      </c>
      <c r="H224" s="24">
        <v>34</v>
      </c>
      <c r="I224" s="24">
        <v>34</v>
      </c>
      <c r="J224" s="24">
        <v>37</v>
      </c>
      <c r="K224" s="25">
        <f t="shared" si="21"/>
        <v>0.89473684210526316</v>
      </c>
      <c r="L224" s="25">
        <f t="shared" si="21"/>
        <v>1.3076923076923077</v>
      </c>
      <c r="M224" s="25">
        <f t="shared" si="21"/>
        <v>1.0277777777777777</v>
      </c>
      <c r="N224" s="25">
        <f t="shared" si="22"/>
        <v>1.0767356425251162</v>
      </c>
      <c r="O224" s="24">
        <v>9</v>
      </c>
      <c r="P224" s="24">
        <v>10</v>
      </c>
      <c r="Q224" s="24">
        <v>4</v>
      </c>
      <c r="R224" s="24">
        <v>8</v>
      </c>
      <c r="S224" s="24">
        <v>9</v>
      </c>
      <c r="T224" s="24">
        <v>9</v>
      </c>
      <c r="U224" s="25">
        <f t="shared" si="23"/>
        <v>0.88888888888888884</v>
      </c>
      <c r="V224" s="25">
        <f t="shared" si="23"/>
        <v>0.9</v>
      </c>
      <c r="W224" s="25">
        <f t="shared" si="23"/>
        <v>2.25</v>
      </c>
      <c r="X224" s="25">
        <f t="shared" si="24"/>
        <v>1.3462962962962963</v>
      </c>
    </row>
    <row r="225" spans="1:24" ht="15.75" customHeight="1">
      <c r="A225" s="1">
        <v>50901</v>
      </c>
      <c r="B225" s="2" t="s">
        <v>250</v>
      </c>
      <c r="C225" s="2" t="s">
        <v>281</v>
      </c>
      <c r="D225" s="3" t="s">
        <v>282</v>
      </c>
      <c r="E225" s="24">
        <v>21</v>
      </c>
      <c r="F225" s="24">
        <v>30</v>
      </c>
      <c r="G225" s="24">
        <v>34</v>
      </c>
      <c r="H225" s="24">
        <v>25</v>
      </c>
      <c r="I225" s="24">
        <v>37</v>
      </c>
      <c r="J225" s="24">
        <v>31</v>
      </c>
      <c r="K225" s="25">
        <f t="shared" si="21"/>
        <v>1.1904761904761905</v>
      </c>
      <c r="L225" s="25">
        <f t="shared" si="21"/>
        <v>1.2333333333333334</v>
      </c>
      <c r="M225" s="25">
        <f t="shared" si="21"/>
        <v>0.91176470588235292</v>
      </c>
      <c r="N225" s="25">
        <f t="shared" si="22"/>
        <v>1.111858076563959</v>
      </c>
      <c r="O225" s="24">
        <v>13</v>
      </c>
      <c r="P225" s="24">
        <v>10</v>
      </c>
      <c r="Q225" s="24">
        <v>10</v>
      </c>
      <c r="R225" s="24">
        <v>17</v>
      </c>
      <c r="S225" s="24">
        <v>12</v>
      </c>
      <c r="T225" s="24">
        <v>7</v>
      </c>
      <c r="U225" s="25">
        <f t="shared" si="23"/>
        <v>1.3076923076923077</v>
      </c>
      <c r="V225" s="25">
        <f t="shared" si="23"/>
        <v>1.2</v>
      </c>
      <c r="W225" s="25">
        <f t="shared" si="23"/>
        <v>0.7</v>
      </c>
      <c r="X225" s="25">
        <f t="shared" si="24"/>
        <v>1.0692307692307692</v>
      </c>
    </row>
    <row r="226" spans="1:24" ht="15.75" customHeight="1">
      <c r="A226" s="1">
        <v>50902</v>
      </c>
      <c r="B226" s="2" t="s">
        <v>250</v>
      </c>
      <c r="C226" s="2" t="s">
        <v>281</v>
      </c>
      <c r="D226" s="3" t="s">
        <v>283</v>
      </c>
      <c r="E226" s="24">
        <v>0</v>
      </c>
      <c r="F226" s="24">
        <v>1</v>
      </c>
      <c r="G226" s="24">
        <v>0</v>
      </c>
      <c r="H226" s="24">
        <v>0</v>
      </c>
      <c r="I226" s="24">
        <v>8</v>
      </c>
      <c r="J226" s="24">
        <v>3</v>
      </c>
      <c r="K226" s="25"/>
      <c r="L226" s="25">
        <f t="shared" si="21"/>
        <v>8</v>
      </c>
      <c r="M226" s="25"/>
      <c r="N226" s="25">
        <f t="shared" si="22"/>
        <v>8</v>
      </c>
      <c r="O226" s="24">
        <v>5</v>
      </c>
      <c r="P226" s="24">
        <v>2</v>
      </c>
      <c r="Q226" s="24">
        <v>1</v>
      </c>
      <c r="R226" s="24">
        <v>0</v>
      </c>
      <c r="S226" s="24">
        <v>2</v>
      </c>
      <c r="T226" s="24">
        <v>2</v>
      </c>
      <c r="U226" s="25">
        <f t="shared" si="23"/>
        <v>0</v>
      </c>
      <c r="V226" s="25">
        <f t="shared" si="23"/>
        <v>1</v>
      </c>
      <c r="W226" s="25">
        <f t="shared" si="23"/>
        <v>2</v>
      </c>
      <c r="X226" s="25">
        <f t="shared" si="24"/>
        <v>1</v>
      </c>
    </row>
    <row r="227" spans="1:24" ht="15.75" customHeight="1">
      <c r="A227" s="1">
        <v>51001</v>
      </c>
      <c r="B227" s="2" t="s">
        <v>250</v>
      </c>
      <c r="C227" s="2" t="s">
        <v>284</v>
      </c>
      <c r="D227" s="3" t="s">
        <v>285</v>
      </c>
      <c r="E227" s="24">
        <v>5</v>
      </c>
      <c r="F227" s="24">
        <v>11</v>
      </c>
      <c r="G227" s="24">
        <v>8</v>
      </c>
      <c r="H227" s="24">
        <v>5</v>
      </c>
      <c r="I227" s="24">
        <v>8</v>
      </c>
      <c r="J227" s="24">
        <v>8</v>
      </c>
      <c r="K227" s="25">
        <f t="shared" si="21"/>
        <v>1</v>
      </c>
      <c r="L227" s="25">
        <f t="shared" si="21"/>
        <v>0.72727272727272729</v>
      </c>
      <c r="M227" s="25">
        <f t="shared" si="21"/>
        <v>1</v>
      </c>
      <c r="N227" s="25">
        <f t="shared" si="22"/>
        <v>0.90909090909090917</v>
      </c>
      <c r="O227" s="24">
        <v>1</v>
      </c>
      <c r="P227" s="24">
        <v>0</v>
      </c>
      <c r="Q227" s="24">
        <v>4</v>
      </c>
      <c r="R227" s="24">
        <v>3</v>
      </c>
      <c r="S227" s="24">
        <v>2</v>
      </c>
      <c r="T227" s="24">
        <v>2</v>
      </c>
      <c r="U227" s="25">
        <f t="shared" si="23"/>
        <v>3</v>
      </c>
      <c r="V227" s="25"/>
      <c r="W227" s="25">
        <f t="shared" si="23"/>
        <v>0.5</v>
      </c>
      <c r="X227" s="25">
        <f t="shared" si="24"/>
        <v>1.75</v>
      </c>
    </row>
    <row r="228" spans="1:24" ht="15.75" customHeight="1">
      <c r="A228" s="1">
        <v>51002</v>
      </c>
      <c r="B228" s="2" t="s">
        <v>250</v>
      </c>
      <c r="C228" s="2" t="s">
        <v>284</v>
      </c>
      <c r="D228" s="3" t="s">
        <v>286</v>
      </c>
      <c r="E228" s="24">
        <v>2</v>
      </c>
      <c r="F228" s="24">
        <v>1</v>
      </c>
      <c r="G228" s="24">
        <v>1</v>
      </c>
      <c r="H228" s="24">
        <v>0</v>
      </c>
      <c r="I228" s="24">
        <v>0</v>
      </c>
      <c r="J228" s="24">
        <v>1</v>
      </c>
      <c r="K228" s="25">
        <f t="shared" si="21"/>
        <v>0</v>
      </c>
      <c r="L228" s="25">
        <f t="shared" si="21"/>
        <v>0</v>
      </c>
      <c r="M228" s="25">
        <f t="shared" si="21"/>
        <v>1</v>
      </c>
      <c r="N228" s="25">
        <f t="shared" si="22"/>
        <v>0.33333333333333331</v>
      </c>
      <c r="O228" s="24">
        <v>0</v>
      </c>
      <c r="P228" s="24">
        <v>0</v>
      </c>
      <c r="Q228" s="24"/>
      <c r="R228" s="24">
        <v>1</v>
      </c>
      <c r="S228" s="24">
        <v>2</v>
      </c>
      <c r="T228" s="24"/>
      <c r="U228" s="25"/>
      <c r="V228" s="25"/>
      <c r="W228" s="25"/>
      <c r="X228" s="25"/>
    </row>
    <row r="229" spans="1:24" ht="15.75" customHeight="1">
      <c r="A229" s="1">
        <v>51003</v>
      </c>
      <c r="B229" s="2" t="s">
        <v>250</v>
      </c>
      <c r="C229" s="2" t="s">
        <v>284</v>
      </c>
      <c r="D229" s="3" t="s">
        <v>287</v>
      </c>
      <c r="E229" s="24">
        <v>3</v>
      </c>
      <c r="F229" s="24">
        <v>2</v>
      </c>
      <c r="G229" s="24">
        <v>4</v>
      </c>
      <c r="H229" s="24">
        <v>5</v>
      </c>
      <c r="I229" s="24">
        <v>11</v>
      </c>
      <c r="J229" s="24">
        <v>2</v>
      </c>
      <c r="K229" s="25">
        <f t="shared" si="21"/>
        <v>1.6666666666666667</v>
      </c>
      <c r="L229" s="25">
        <f t="shared" si="21"/>
        <v>5.5</v>
      </c>
      <c r="M229" s="25">
        <f t="shared" si="21"/>
        <v>0.5</v>
      </c>
      <c r="N229" s="25">
        <f t="shared" si="22"/>
        <v>2.5555555555555558</v>
      </c>
      <c r="O229" s="24">
        <v>2</v>
      </c>
      <c r="P229" s="24">
        <v>0</v>
      </c>
      <c r="Q229" s="24">
        <v>4</v>
      </c>
      <c r="R229" s="24">
        <v>1</v>
      </c>
      <c r="S229" s="24">
        <v>2</v>
      </c>
      <c r="T229" s="24">
        <v>2</v>
      </c>
      <c r="U229" s="25">
        <f t="shared" si="23"/>
        <v>0.5</v>
      </c>
      <c r="V229" s="25"/>
      <c r="W229" s="25">
        <f t="shared" si="23"/>
        <v>0.5</v>
      </c>
      <c r="X229" s="25">
        <f t="shared" si="24"/>
        <v>0.5</v>
      </c>
    </row>
    <row r="230" spans="1:24" ht="15.75" customHeight="1">
      <c r="A230" s="1">
        <v>51101</v>
      </c>
      <c r="B230" s="2" t="s">
        <v>250</v>
      </c>
      <c r="C230" s="2" t="s">
        <v>288</v>
      </c>
      <c r="D230" s="3" t="s">
        <v>289</v>
      </c>
      <c r="E230" s="24">
        <v>205</v>
      </c>
      <c r="F230" s="24">
        <v>227</v>
      </c>
      <c r="G230" s="24">
        <v>91</v>
      </c>
      <c r="H230" s="24">
        <v>227</v>
      </c>
      <c r="I230" s="24">
        <v>253</v>
      </c>
      <c r="J230" s="24">
        <v>108</v>
      </c>
      <c r="K230" s="25">
        <f t="shared" si="21"/>
        <v>1.1073170731707318</v>
      </c>
      <c r="L230" s="25">
        <f t="shared" si="21"/>
        <v>1.1145374449339207</v>
      </c>
      <c r="M230" s="25">
        <f t="shared" si="21"/>
        <v>1.1868131868131868</v>
      </c>
      <c r="N230" s="25">
        <f t="shared" si="22"/>
        <v>1.1362225683059464</v>
      </c>
      <c r="O230" s="24">
        <v>26</v>
      </c>
      <c r="P230" s="24">
        <v>33</v>
      </c>
      <c r="Q230" s="24">
        <v>25</v>
      </c>
      <c r="R230" s="24">
        <v>21</v>
      </c>
      <c r="S230" s="24">
        <v>31</v>
      </c>
      <c r="T230" s="24">
        <v>26</v>
      </c>
      <c r="U230" s="25">
        <f t="shared" si="23"/>
        <v>0.80769230769230771</v>
      </c>
      <c r="V230" s="25">
        <f t="shared" si="23"/>
        <v>0.93939393939393945</v>
      </c>
      <c r="W230" s="25">
        <f t="shared" si="23"/>
        <v>1.04</v>
      </c>
      <c r="X230" s="25">
        <f t="shared" si="24"/>
        <v>0.92902874902874899</v>
      </c>
    </row>
    <row r="231" spans="1:24" ht="15.75" customHeight="1">
      <c r="A231" s="1">
        <v>51102</v>
      </c>
      <c r="B231" s="2" t="s">
        <v>250</v>
      </c>
      <c r="C231" s="2" t="s">
        <v>288</v>
      </c>
      <c r="D231" s="3" t="s">
        <v>290</v>
      </c>
      <c r="E231" s="24">
        <v>38</v>
      </c>
      <c r="F231" s="24">
        <v>28</v>
      </c>
      <c r="G231" s="24">
        <v>28</v>
      </c>
      <c r="H231" s="24">
        <v>64</v>
      </c>
      <c r="I231" s="24">
        <v>41</v>
      </c>
      <c r="J231" s="24">
        <v>35</v>
      </c>
      <c r="K231" s="25">
        <f t="shared" si="21"/>
        <v>1.6842105263157894</v>
      </c>
      <c r="L231" s="25">
        <f t="shared" si="21"/>
        <v>1.4642857142857142</v>
      </c>
      <c r="M231" s="25">
        <f t="shared" si="21"/>
        <v>1.25</v>
      </c>
      <c r="N231" s="25">
        <f t="shared" si="22"/>
        <v>1.4661654135338347</v>
      </c>
      <c r="O231" s="24">
        <v>22</v>
      </c>
      <c r="P231" s="24">
        <v>23</v>
      </c>
      <c r="Q231" s="24">
        <v>21</v>
      </c>
      <c r="R231" s="24">
        <v>24</v>
      </c>
      <c r="S231" s="24">
        <v>31</v>
      </c>
      <c r="T231" s="24">
        <v>21</v>
      </c>
      <c r="U231" s="25">
        <f t="shared" si="23"/>
        <v>1.0909090909090908</v>
      </c>
      <c r="V231" s="25">
        <f t="shared" si="23"/>
        <v>1.3478260869565217</v>
      </c>
      <c r="W231" s="25">
        <f t="shared" si="23"/>
        <v>1</v>
      </c>
      <c r="X231" s="25">
        <f t="shared" si="24"/>
        <v>1.1462450592885374</v>
      </c>
    </row>
    <row r="232" spans="1:24" ht="15.75" customHeight="1">
      <c r="A232" s="1">
        <v>51103</v>
      </c>
      <c r="B232" s="2" t="s">
        <v>250</v>
      </c>
      <c r="C232" s="2" t="s">
        <v>288</v>
      </c>
      <c r="D232" s="3" t="s">
        <v>291</v>
      </c>
      <c r="E232" s="24">
        <v>0</v>
      </c>
      <c r="F232" s="24">
        <v>0</v>
      </c>
      <c r="G232" s="24">
        <v>88</v>
      </c>
      <c r="H232" s="24">
        <v>0</v>
      </c>
      <c r="I232" s="24">
        <v>0</v>
      </c>
      <c r="J232" s="24">
        <v>89</v>
      </c>
      <c r="K232" s="25"/>
      <c r="L232" s="25"/>
      <c r="M232" s="25">
        <f t="shared" si="21"/>
        <v>1.0113636363636365</v>
      </c>
      <c r="N232" s="25">
        <f t="shared" si="22"/>
        <v>1.0113636363636365</v>
      </c>
      <c r="O232" s="24">
        <v>26</v>
      </c>
      <c r="P232" s="24">
        <v>27</v>
      </c>
      <c r="Q232" s="24">
        <v>22</v>
      </c>
      <c r="R232" s="24">
        <v>51</v>
      </c>
      <c r="S232" s="24">
        <v>54</v>
      </c>
      <c r="T232" s="24">
        <v>53</v>
      </c>
      <c r="U232" s="25">
        <f t="shared" si="23"/>
        <v>1.9615384615384615</v>
      </c>
      <c r="V232" s="25">
        <f t="shared" si="23"/>
        <v>2</v>
      </c>
      <c r="W232" s="25">
        <f t="shared" si="23"/>
        <v>2.4090909090909092</v>
      </c>
      <c r="X232" s="25">
        <f t="shared" si="24"/>
        <v>2.1235431235431235</v>
      </c>
    </row>
    <row r="233" spans="1:24" ht="15.75" customHeight="1">
      <c r="A233" s="1">
        <v>51201</v>
      </c>
      <c r="B233" s="2" t="s">
        <v>250</v>
      </c>
      <c r="C233" s="2" t="s">
        <v>292</v>
      </c>
      <c r="D233" s="3" t="s">
        <v>293</v>
      </c>
      <c r="E233" s="24">
        <v>98</v>
      </c>
      <c r="F233" s="24">
        <v>98</v>
      </c>
      <c r="G233" s="24">
        <v>122</v>
      </c>
      <c r="H233" s="24">
        <v>167</v>
      </c>
      <c r="I233" s="24">
        <v>156</v>
      </c>
      <c r="J233" s="24">
        <v>152</v>
      </c>
      <c r="K233" s="25">
        <f t="shared" si="21"/>
        <v>1.7040816326530612</v>
      </c>
      <c r="L233" s="25">
        <f t="shared" si="21"/>
        <v>1.5918367346938775</v>
      </c>
      <c r="M233" s="25">
        <f t="shared" si="21"/>
        <v>1.2459016393442623</v>
      </c>
      <c r="N233" s="25">
        <f t="shared" si="22"/>
        <v>1.5139400022304006</v>
      </c>
      <c r="O233" s="24">
        <v>44</v>
      </c>
      <c r="P233" s="24">
        <v>42</v>
      </c>
      <c r="Q233" s="24">
        <v>41</v>
      </c>
      <c r="R233" s="24">
        <v>55</v>
      </c>
      <c r="S233" s="24">
        <v>65</v>
      </c>
      <c r="T233" s="24">
        <v>63</v>
      </c>
      <c r="U233" s="25">
        <f t="shared" si="23"/>
        <v>1.25</v>
      </c>
      <c r="V233" s="25">
        <f t="shared" si="23"/>
        <v>1.5476190476190477</v>
      </c>
      <c r="W233" s="25">
        <f t="shared" si="23"/>
        <v>1.5365853658536586</v>
      </c>
      <c r="X233" s="25">
        <f t="shared" si="24"/>
        <v>1.4447348044909021</v>
      </c>
    </row>
    <row r="234" spans="1:24" ht="15.75" customHeight="1">
      <c r="A234" s="1">
        <v>51202</v>
      </c>
      <c r="B234" s="2" t="s">
        <v>250</v>
      </c>
      <c r="C234" s="2" t="s">
        <v>292</v>
      </c>
      <c r="D234" s="3" t="s">
        <v>294</v>
      </c>
      <c r="E234" s="24">
        <v>38</v>
      </c>
      <c r="F234" s="24">
        <v>77</v>
      </c>
      <c r="G234" s="24">
        <v>57</v>
      </c>
      <c r="H234" s="24">
        <v>73</v>
      </c>
      <c r="I234" s="24">
        <v>123</v>
      </c>
      <c r="J234" s="24">
        <v>51</v>
      </c>
      <c r="K234" s="25">
        <f t="shared" si="21"/>
        <v>1.9210526315789473</v>
      </c>
      <c r="L234" s="25">
        <f t="shared" si="21"/>
        <v>1.5974025974025974</v>
      </c>
      <c r="M234" s="25">
        <f t="shared" si="21"/>
        <v>0.89473684210526316</v>
      </c>
      <c r="N234" s="25">
        <f t="shared" si="22"/>
        <v>1.4710640236956027</v>
      </c>
      <c r="O234" s="24">
        <v>14</v>
      </c>
      <c r="P234" s="24">
        <v>9</v>
      </c>
      <c r="Q234" s="24">
        <v>6</v>
      </c>
      <c r="R234" s="24">
        <v>22</v>
      </c>
      <c r="S234" s="24">
        <v>11</v>
      </c>
      <c r="T234" s="24">
        <v>11</v>
      </c>
      <c r="U234" s="25">
        <f t="shared" si="23"/>
        <v>1.5714285714285714</v>
      </c>
      <c r="V234" s="25">
        <f t="shared" si="23"/>
        <v>1.2222222222222223</v>
      </c>
      <c r="W234" s="25">
        <f t="shared" si="23"/>
        <v>1.8333333333333333</v>
      </c>
      <c r="X234" s="25">
        <f t="shared" si="24"/>
        <v>1.5423280423280421</v>
      </c>
    </row>
    <row r="235" spans="1:24" ht="15.75" customHeight="1">
      <c r="A235" s="1">
        <v>51203</v>
      </c>
      <c r="B235" s="2" t="s">
        <v>250</v>
      </c>
      <c r="C235" s="2" t="s">
        <v>292</v>
      </c>
      <c r="D235" s="3" t="s">
        <v>295</v>
      </c>
      <c r="E235" s="24">
        <v>25</v>
      </c>
      <c r="F235" s="24">
        <v>27</v>
      </c>
      <c r="G235" s="24">
        <v>39</v>
      </c>
      <c r="H235" s="24">
        <v>28</v>
      </c>
      <c r="I235" s="24">
        <v>30</v>
      </c>
      <c r="J235" s="24">
        <v>28</v>
      </c>
      <c r="K235" s="25">
        <f t="shared" si="21"/>
        <v>1.1200000000000001</v>
      </c>
      <c r="L235" s="25">
        <f t="shared" si="21"/>
        <v>1.1111111111111112</v>
      </c>
      <c r="M235" s="25">
        <f t="shared" si="21"/>
        <v>0.71794871794871795</v>
      </c>
      <c r="N235" s="25">
        <f t="shared" si="22"/>
        <v>0.98301994301994311</v>
      </c>
      <c r="O235" s="24">
        <v>7</v>
      </c>
      <c r="P235" s="24">
        <v>6</v>
      </c>
      <c r="Q235" s="24">
        <v>11</v>
      </c>
      <c r="R235" s="24">
        <v>8</v>
      </c>
      <c r="S235" s="24">
        <v>15</v>
      </c>
      <c r="T235" s="24">
        <v>13</v>
      </c>
      <c r="U235" s="25">
        <f t="shared" si="23"/>
        <v>1.1428571428571428</v>
      </c>
      <c r="V235" s="25">
        <f t="shared" si="23"/>
        <v>2.5</v>
      </c>
      <c r="W235" s="25">
        <f t="shared" si="23"/>
        <v>1.1818181818181819</v>
      </c>
      <c r="X235" s="25">
        <f t="shared" si="24"/>
        <v>1.6082251082251082</v>
      </c>
    </row>
    <row r="236" spans="1:24" ht="15.75" customHeight="1">
      <c r="A236" s="1">
        <v>51204</v>
      </c>
      <c r="B236" s="2" t="s">
        <v>250</v>
      </c>
      <c r="C236" s="2"/>
      <c r="D236" s="3" t="s">
        <v>296</v>
      </c>
      <c r="E236" s="24">
        <v>38</v>
      </c>
      <c r="F236" s="24">
        <v>77</v>
      </c>
      <c r="G236" s="24">
        <v>57</v>
      </c>
      <c r="H236" s="24">
        <v>73</v>
      </c>
      <c r="I236" s="24">
        <v>123</v>
      </c>
      <c r="J236" s="24">
        <v>51</v>
      </c>
      <c r="K236" s="25">
        <f t="shared" si="21"/>
        <v>1.9210526315789473</v>
      </c>
      <c r="L236" s="25">
        <f t="shared" si="21"/>
        <v>1.5974025974025974</v>
      </c>
      <c r="M236" s="25">
        <f t="shared" si="21"/>
        <v>0.89473684210526316</v>
      </c>
      <c r="N236" s="25">
        <f t="shared" si="22"/>
        <v>1.4710640236956027</v>
      </c>
      <c r="O236" s="24">
        <v>14</v>
      </c>
      <c r="P236" s="24">
        <v>9</v>
      </c>
      <c r="Q236" s="24"/>
      <c r="R236" s="24">
        <v>22</v>
      </c>
      <c r="S236" s="24">
        <v>11</v>
      </c>
      <c r="T236" s="24"/>
      <c r="U236" s="25">
        <f t="shared" si="23"/>
        <v>1.5714285714285714</v>
      </c>
      <c r="V236" s="25">
        <f t="shared" si="23"/>
        <v>1.2222222222222223</v>
      </c>
      <c r="W236" s="25"/>
      <c r="X236" s="25">
        <f t="shared" si="24"/>
        <v>1.3968253968253967</v>
      </c>
    </row>
    <row r="237" spans="1:24" ht="15.75" customHeight="1">
      <c r="A237" s="1">
        <v>51301</v>
      </c>
      <c r="B237" s="2" t="s">
        <v>250</v>
      </c>
      <c r="C237" s="2" t="s">
        <v>297</v>
      </c>
      <c r="D237" s="3" t="s">
        <v>298</v>
      </c>
      <c r="E237" s="24">
        <v>29</v>
      </c>
      <c r="F237" s="24">
        <v>28</v>
      </c>
      <c r="G237" s="24">
        <v>34</v>
      </c>
      <c r="H237" s="24">
        <v>34</v>
      </c>
      <c r="I237" s="24">
        <v>30</v>
      </c>
      <c r="J237" s="24">
        <v>30</v>
      </c>
      <c r="K237" s="25">
        <f t="shared" si="21"/>
        <v>1.1724137931034482</v>
      </c>
      <c r="L237" s="25">
        <f t="shared" si="21"/>
        <v>1.0714285714285714</v>
      </c>
      <c r="M237" s="25">
        <f t="shared" si="21"/>
        <v>0.88235294117647056</v>
      </c>
      <c r="N237" s="25">
        <f t="shared" si="22"/>
        <v>1.04206510190283</v>
      </c>
      <c r="O237" s="24">
        <v>24</v>
      </c>
      <c r="P237" s="24">
        <v>26</v>
      </c>
      <c r="Q237" s="24"/>
      <c r="R237" s="24">
        <v>35</v>
      </c>
      <c r="S237" s="24">
        <v>27</v>
      </c>
      <c r="T237" s="24"/>
      <c r="U237" s="25">
        <f t="shared" si="23"/>
        <v>1.4583333333333333</v>
      </c>
      <c r="V237" s="25">
        <f t="shared" si="23"/>
        <v>1.0384615384615385</v>
      </c>
      <c r="W237" s="25"/>
      <c r="X237" s="25">
        <f t="shared" si="24"/>
        <v>1.2483974358974359</v>
      </c>
    </row>
    <row r="238" spans="1:24" ht="15.75" customHeight="1">
      <c r="A238" s="1">
        <v>51302</v>
      </c>
      <c r="B238" s="2" t="s">
        <v>250</v>
      </c>
      <c r="C238" s="2" t="s">
        <v>297</v>
      </c>
      <c r="D238" s="3" t="s">
        <v>299</v>
      </c>
      <c r="E238" s="24">
        <v>24</v>
      </c>
      <c r="F238" s="24">
        <v>12</v>
      </c>
      <c r="G238" s="24">
        <v>22</v>
      </c>
      <c r="H238" s="24">
        <v>34</v>
      </c>
      <c r="I238" s="24">
        <v>33</v>
      </c>
      <c r="J238" s="24">
        <v>54</v>
      </c>
      <c r="K238" s="25">
        <f t="shared" si="21"/>
        <v>1.4166666666666667</v>
      </c>
      <c r="L238" s="25">
        <f t="shared" si="21"/>
        <v>2.75</v>
      </c>
      <c r="M238" s="25">
        <f t="shared" si="21"/>
        <v>2.4545454545454546</v>
      </c>
      <c r="N238" s="25">
        <f t="shared" si="22"/>
        <v>2.2070707070707072</v>
      </c>
      <c r="O238" s="24">
        <v>15</v>
      </c>
      <c r="P238" s="24">
        <v>16</v>
      </c>
      <c r="Q238" s="24">
        <v>17</v>
      </c>
      <c r="R238" s="24">
        <v>18</v>
      </c>
      <c r="S238" s="24">
        <v>12</v>
      </c>
      <c r="T238" s="24">
        <v>18</v>
      </c>
      <c r="U238" s="25">
        <f t="shared" si="23"/>
        <v>1.2</v>
      </c>
      <c r="V238" s="25">
        <f t="shared" si="23"/>
        <v>0.75</v>
      </c>
      <c r="W238" s="25">
        <f t="shared" si="23"/>
        <v>1.0588235294117647</v>
      </c>
      <c r="X238" s="25">
        <f t="shared" si="24"/>
        <v>1.0029411764705882</v>
      </c>
    </row>
    <row r="239" spans="1:24" ht="15.75" customHeight="1">
      <c r="A239" s="1">
        <v>51401</v>
      </c>
      <c r="B239" s="2" t="s">
        <v>250</v>
      </c>
      <c r="C239" s="2" t="s">
        <v>300</v>
      </c>
      <c r="D239" s="3" t="s">
        <v>301</v>
      </c>
      <c r="E239" s="24">
        <v>13</v>
      </c>
      <c r="F239" s="24">
        <v>8</v>
      </c>
      <c r="G239" s="24">
        <v>14</v>
      </c>
      <c r="H239" s="24">
        <v>28</v>
      </c>
      <c r="I239" s="24">
        <v>14</v>
      </c>
      <c r="J239" s="24">
        <v>14</v>
      </c>
      <c r="K239" s="25">
        <f t="shared" si="21"/>
        <v>2.1538461538461537</v>
      </c>
      <c r="L239" s="25">
        <f t="shared" si="21"/>
        <v>1.75</v>
      </c>
      <c r="M239" s="25">
        <f t="shared" si="21"/>
        <v>1</v>
      </c>
      <c r="N239" s="25">
        <f t="shared" si="22"/>
        <v>1.6346153846153844</v>
      </c>
      <c r="O239" s="24">
        <v>6</v>
      </c>
      <c r="P239" s="24">
        <v>7</v>
      </c>
      <c r="Q239" s="24">
        <v>11</v>
      </c>
      <c r="R239" s="24">
        <v>4</v>
      </c>
      <c r="S239" s="24">
        <v>6</v>
      </c>
      <c r="T239" s="24">
        <v>5</v>
      </c>
      <c r="U239" s="25">
        <f t="shared" si="23"/>
        <v>0.66666666666666663</v>
      </c>
      <c r="V239" s="25">
        <f t="shared" si="23"/>
        <v>0.8571428571428571</v>
      </c>
      <c r="W239" s="25">
        <f t="shared" si="23"/>
        <v>0.45454545454545453</v>
      </c>
      <c r="X239" s="25">
        <f t="shared" si="24"/>
        <v>0.6594516594516594</v>
      </c>
    </row>
    <row r="240" spans="1:24" ht="15.75" customHeight="1">
      <c r="A240" s="1">
        <v>51402</v>
      </c>
      <c r="B240" s="2" t="s">
        <v>250</v>
      </c>
      <c r="C240" s="2" t="s">
        <v>300</v>
      </c>
      <c r="D240" s="3" t="s">
        <v>302</v>
      </c>
      <c r="E240" s="24">
        <v>3</v>
      </c>
      <c r="F240" s="24">
        <v>6</v>
      </c>
      <c r="G240" s="24">
        <v>5</v>
      </c>
      <c r="H240" s="24">
        <v>3</v>
      </c>
      <c r="I240" s="24">
        <v>7</v>
      </c>
      <c r="J240" s="24">
        <v>4</v>
      </c>
      <c r="K240" s="25">
        <f t="shared" si="21"/>
        <v>1</v>
      </c>
      <c r="L240" s="25">
        <f t="shared" si="21"/>
        <v>1.1666666666666667</v>
      </c>
      <c r="M240" s="25">
        <f t="shared" si="21"/>
        <v>0.8</v>
      </c>
      <c r="N240" s="25">
        <f t="shared" si="22"/>
        <v>0.98888888888888893</v>
      </c>
      <c r="O240" s="24">
        <v>0</v>
      </c>
      <c r="P240" s="24">
        <v>0</v>
      </c>
      <c r="Q240" s="24">
        <v>1</v>
      </c>
      <c r="R240" s="24">
        <v>1</v>
      </c>
      <c r="S240" s="24">
        <v>1</v>
      </c>
      <c r="T240" s="24">
        <v>1</v>
      </c>
      <c r="U240" s="25"/>
      <c r="V240" s="25"/>
      <c r="W240" s="25">
        <f t="shared" si="23"/>
        <v>1</v>
      </c>
      <c r="X240" s="25">
        <f t="shared" si="24"/>
        <v>1</v>
      </c>
    </row>
    <row r="241" spans="1:24" ht="15.75" customHeight="1">
      <c r="A241" s="1">
        <v>51501</v>
      </c>
      <c r="B241" s="2" t="s">
        <v>250</v>
      </c>
      <c r="C241" s="2" t="s">
        <v>303</v>
      </c>
      <c r="D241" s="3" t="s">
        <v>304</v>
      </c>
      <c r="E241" s="24">
        <v>185</v>
      </c>
      <c r="F241" s="24">
        <v>200</v>
      </c>
      <c r="G241" s="24">
        <v>164</v>
      </c>
      <c r="H241" s="24">
        <v>309</v>
      </c>
      <c r="I241" s="24">
        <v>275</v>
      </c>
      <c r="J241" s="24">
        <v>179</v>
      </c>
      <c r="K241" s="25">
        <f t="shared" si="21"/>
        <v>1.6702702702702703</v>
      </c>
      <c r="L241" s="25">
        <f t="shared" si="21"/>
        <v>1.375</v>
      </c>
      <c r="M241" s="25">
        <f t="shared" si="21"/>
        <v>1.0914634146341464</v>
      </c>
      <c r="N241" s="25">
        <f t="shared" si="22"/>
        <v>1.3789112283014724</v>
      </c>
      <c r="O241" s="24">
        <v>77</v>
      </c>
      <c r="P241" s="24">
        <v>66</v>
      </c>
      <c r="Q241" s="24">
        <v>58</v>
      </c>
      <c r="R241" s="24">
        <v>107</v>
      </c>
      <c r="S241" s="24">
        <v>114</v>
      </c>
      <c r="T241" s="24">
        <v>96</v>
      </c>
      <c r="U241" s="25">
        <f t="shared" si="23"/>
        <v>1.3896103896103895</v>
      </c>
      <c r="V241" s="25">
        <f t="shared" si="23"/>
        <v>1.7272727272727273</v>
      </c>
      <c r="W241" s="25">
        <f t="shared" si="23"/>
        <v>1.6551724137931034</v>
      </c>
      <c r="X241" s="25">
        <f t="shared" si="24"/>
        <v>1.5906851768920733</v>
      </c>
    </row>
    <row r="242" spans="1:24" ht="15.75" customHeight="1">
      <c r="A242" s="1">
        <v>51601</v>
      </c>
      <c r="B242" s="2" t="s">
        <v>250</v>
      </c>
      <c r="C242" s="2" t="s">
        <v>305</v>
      </c>
      <c r="D242" s="3" t="s">
        <v>306</v>
      </c>
      <c r="E242" s="24">
        <v>7</v>
      </c>
      <c r="F242" s="24">
        <v>4</v>
      </c>
      <c r="G242" s="24">
        <v>1</v>
      </c>
      <c r="H242" s="24">
        <v>12</v>
      </c>
      <c r="I242" s="24">
        <v>3</v>
      </c>
      <c r="J242" s="24">
        <v>2</v>
      </c>
      <c r="K242" s="25">
        <f t="shared" si="21"/>
        <v>1.7142857142857142</v>
      </c>
      <c r="L242" s="25">
        <f t="shared" si="21"/>
        <v>0.75</v>
      </c>
      <c r="M242" s="25">
        <f t="shared" si="21"/>
        <v>2</v>
      </c>
      <c r="N242" s="25">
        <f t="shared" si="22"/>
        <v>1.4880952380952381</v>
      </c>
      <c r="O242" s="24">
        <v>2</v>
      </c>
      <c r="P242" s="24">
        <v>2</v>
      </c>
      <c r="Q242" s="24"/>
      <c r="R242" s="24">
        <v>0</v>
      </c>
      <c r="S242" s="24">
        <v>2</v>
      </c>
      <c r="T242" s="24"/>
      <c r="U242" s="25">
        <f t="shared" si="23"/>
        <v>0</v>
      </c>
      <c r="V242" s="25">
        <f t="shared" si="23"/>
        <v>1</v>
      </c>
      <c r="W242" s="25"/>
      <c r="X242" s="25">
        <f t="shared" si="24"/>
        <v>0.5</v>
      </c>
    </row>
    <row r="243" spans="1:24" ht="15.75" customHeight="1">
      <c r="A243" s="1">
        <v>60101</v>
      </c>
      <c r="B243" s="2" t="s">
        <v>307</v>
      </c>
      <c r="C243" s="2" t="s">
        <v>150</v>
      </c>
      <c r="D243" s="3" t="s">
        <v>307</v>
      </c>
      <c r="E243" s="24">
        <v>493</v>
      </c>
      <c r="F243" s="24">
        <v>498</v>
      </c>
      <c r="G243" s="24">
        <v>428</v>
      </c>
      <c r="H243" s="24">
        <v>720</v>
      </c>
      <c r="I243" s="24">
        <v>817</v>
      </c>
      <c r="J243" s="24">
        <v>794</v>
      </c>
      <c r="K243" s="25">
        <f t="shared" si="21"/>
        <v>1.460446247464503</v>
      </c>
      <c r="L243" s="25">
        <f t="shared" si="21"/>
        <v>1.6405622489959839</v>
      </c>
      <c r="M243" s="25">
        <f t="shared" si="21"/>
        <v>1.8551401869158879</v>
      </c>
      <c r="N243" s="25">
        <f t="shared" si="22"/>
        <v>1.6520495611254582</v>
      </c>
      <c r="O243" s="24">
        <v>197</v>
      </c>
      <c r="P243" s="24">
        <v>138</v>
      </c>
      <c r="Q243" s="24">
        <v>204</v>
      </c>
      <c r="R243" s="24">
        <v>211</v>
      </c>
      <c r="S243" s="24">
        <v>207</v>
      </c>
      <c r="T243" s="24">
        <v>302</v>
      </c>
      <c r="U243" s="25">
        <f t="shared" si="23"/>
        <v>1.0710659898477157</v>
      </c>
      <c r="V243" s="25">
        <f t="shared" si="23"/>
        <v>1.5</v>
      </c>
      <c r="W243" s="25">
        <f t="shared" si="23"/>
        <v>1.4803921568627452</v>
      </c>
      <c r="X243" s="25">
        <f t="shared" si="24"/>
        <v>1.3504860489034869</v>
      </c>
    </row>
    <row r="244" spans="1:24" ht="15.75" customHeight="1">
      <c r="A244" s="1">
        <v>60201</v>
      </c>
      <c r="B244" s="2" t="s">
        <v>307</v>
      </c>
      <c r="C244" s="2" t="s">
        <v>308</v>
      </c>
      <c r="D244" s="3" t="s">
        <v>309</v>
      </c>
      <c r="E244" s="24">
        <v>47</v>
      </c>
      <c r="F244" s="24">
        <v>57</v>
      </c>
      <c r="G244" s="24">
        <v>39</v>
      </c>
      <c r="H244" s="24">
        <v>85</v>
      </c>
      <c r="I244" s="24">
        <v>94</v>
      </c>
      <c r="J244" s="24">
        <v>45</v>
      </c>
      <c r="K244" s="25">
        <f t="shared" si="21"/>
        <v>1.8085106382978724</v>
      </c>
      <c r="L244" s="25">
        <f t="shared" si="21"/>
        <v>1.6491228070175439</v>
      </c>
      <c r="M244" s="25">
        <f t="shared" si="21"/>
        <v>1.1538461538461537</v>
      </c>
      <c r="N244" s="25">
        <f t="shared" si="22"/>
        <v>1.5371598663871897</v>
      </c>
      <c r="O244" s="24">
        <v>10</v>
      </c>
      <c r="P244" s="24">
        <v>11</v>
      </c>
      <c r="Q244" s="24">
        <v>10</v>
      </c>
      <c r="R244" s="24">
        <v>26</v>
      </c>
      <c r="S244" s="24">
        <v>29</v>
      </c>
      <c r="T244" s="24">
        <v>20</v>
      </c>
      <c r="U244" s="25">
        <f t="shared" si="23"/>
        <v>2.6</v>
      </c>
      <c r="V244" s="25">
        <f t="shared" si="23"/>
        <v>2.6363636363636362</v>
      </c>
      <c r="W244" s="25">
        <f t="shared" si="23"/>
        <v>2</v>
      </c>
      <c r="X244" s="25">
        <f t="shared" si="24"/>
        <v>2.4121212121212121</v>
      </c>
    </row>
    <row r="245" spans="1:24" ht="15.75" customHeight="1">
      <c r="A245" s="1">
        <v>60202</v>
      </c>
      <c r="B245" s="2" t="s">
        <v>307</v>
      </c>
      <c r="C245" s="2" t="s">
        <v>308</v>
      </c>
      <c r="D245" s="3" t="s">
        <v>310</v>
      </c>
      <c r="E245" s="24">
        <v>87</v>
      </c>
      <c r="F245" s="24">
        <v>125</v>
      </c>
      <c r="G245" s="24">
        <v>90</v>
      </c>
      <c r="H245" s="24">
        <v>119</v>
      </c>
      <c r="I245" s="24">
        <v>191</v>
      </c>
      <c r="J245" s="24">
        <v>172</v>
      </c>
      <c r="K245" s="25">
        <f t="shared" si="21"/>
        <v>1.367816091954023</v>
      </c>
      <c r="L245" s="25">
        <f t="shared" si="21"/>
        <v>1.528</v>
      </c>
      <c r="M245" s="25">
        <f t="shared" si="21"/>
        <v>1.9111111111111112</v>
      </c>
      <c r="N245" s="25">
        <f t="shared" si="22"/>
        <v>1.6023090676883782</v>
      </c>
      <c r="O245" s="24">
        <v>60</v>
      </c>
      <c r="P245" s="24">
        <v>40</v>
      </c>
      <c r="Q245" s="24">
        <v>49</v>
      </c>
      <c r="R245" s="24">
        <v>85</v>
      </c>
      <c r="S245" s="24">
        <v>81</v>
      </c>
      <c r="T245" s="24">
        <v>98</v>
      </c>
      <c r="U245" s="25">
        <f t="shared" si="23"/>
        <v>1.4166666666666667</v>
      </c>
      <c r="V245" s="25">
        <f t="shared" si="23"/>
        <v>2.0249999999999999</v>
      </c>
      <c r="W245" s="25">
        <f t="shared" si="23"/>
        <v>2</v>
      </c>
      <c r="X245" s="25">
        <f t="shared" si="24"/>
        <v>1.8138888888888889</v>
      </c>
    </row>
    <row r="246" spans="1:24" ht="15.75" customHeight="1">
      <c r="A246" s="1">
        <v>60301</v>
      </c>
      <c r="B246" s="2" t="s">
        <v>307</v>
      </c>
      <c r="C246" s="2" t="s">
        <v>311</v>
      </c>
      <c r="D246" s="3" t="s">
        <v>312</v>
      </c>
      <c r="E246" s="24">
        <v>333</v>
      </c>
      <c r="F246" s="24">
        <v>353</v>
      </c>
      <c r="G246" s="24">
        <v>285</v>
      </c>
      <c r="H246" s="24">
        <v>488</v>
      </c>
      <c r="I246" s="24">
        <v>510</v>
      </c>
      <c r="J246" s="24">
        <v>458</v>
      </c>
      <c r="K246" s="25">
        <f t="shared" si="21"/>
        <v>1.4654654654654655</v>
      </c>
      <c r="L246" s="25">
        <f t="shared" si="21"/>
        <v>1.4447592067988668</v>
      </c>
      <c r="M246" s="25">
        <f t="shared" si="21"/>
        <v>1.6070175438596492</v>
      </c>
      <c r="N246" s="25">
        <f t="shared" si="22"/>
        <v>1.5057474053746607</v>
      </c>
      <c r="O246" s="24">
        <v>89</v>
      </c>
      <c r="P246" s="24">
        <v>76</v>
      </c>
      <c r="Q246" s="24">
        <v>89</v>
      </c>
      <c r="R246" s="24">
        <v>129</v>
      </c>
      <c r="S246" s="24">
        <v>147</v>
      </c>
      <c r="T246" s="24">
        <v>132</v>
      </c>
      <c r="U246" s="25">
        <f t="shared" si="23"/>
        <v>1.449438202247191</v>
      </c>
      <c r="V246" s="25">
        <f t="shared" si="23"/>
        <v>1.9342105263157894</v>
      </c>
      <c r="W246" s="25">
        <f t="shared" si="23"/>
        <v>1.4831460674157304</v>
      </c>
      <c r="X246" s="25">
        <f t="shared" si="24"/>
        <v>1.6222649319929037</v>
      </c>
    </row>
    <row r="247" spans="1:24" ht="15.75" customHeight="1">
      <c r="A247" s="1">
        <v>60302</v>
      </c>
      <c r="B247" s="2" t="s">
        <v>307</v>
      </c>
      <c r="C247" s="2" t="s">
        <v>311</v>
      </c>
      <c r="D247" s="3" t="s">
        <v>313</v>
      </c>
      <c r="E247" s="24">
        <v>43</v>
      </c>
      <c r="F247" s="24">
        <v>45</v>
      </c>
      <c r="G247" s="24">
        <v>34</v>
      </c>
      <c r="H247" s="24">
        <v>57</v>
      </c>
      <c r="I247" s="24">
        <v>56</v>
      </c>
      <c r="J247" s="24">
        <v>50</v>
      </c>
      <c r="K247" s="25">
        <f t="shared" si="21"/>
        <v>1.3255813953488371</v>
      </c>
      <c r="L247" s="25">
        <f t="shared" si="21"/>
        <v>1.2444444444444445</v>
      </c>
      <c r="M247" s="25">
        <f t="shared" si="21"/>
        <v>1.4705882352941178</v>
      </c>
      <c r="N247" s="25">
        <f t="shared" si="22"/>
        <v>1.3468713583624663</v>
      </c>
      <c r="O247" s="24">
        <v>15</v>
      </c>
      <c r="P247" s="24">
        <v>16</v>
      </c>
      <c r="Q247" s="24">
        <v>12</v>
      </c>
      <c r="R247" s="24">
        <v>25</v>
      </c>
      <c r="S247" s="24">
        <v>22</v>
      </c>
      <c r="T247" s="24">
        <v>28</v>
      </c>
      <c r="U247" s="25">
        <f t="shared" si="23"/>
        <v>1.6666666666666667</v>
      </c>
      <c r="V247" s="25">
        <f t="shared" si="23"/>
        <v>1.375</v>
      </c>
      <c r="W247" s="25">
        <f t="shared" si="23"/>
        <v>2.3333333333333335</v>
      </c>
      <c r="X247" s="25">
        <f t="shared" si="24"/>
        <v>1.7916666666666667</v>
      </c>
    </row>
    <row r="248" spans="1:24" ht="15.75" customHeight="1">
      <c r="A248" s="1">
        <v>60303</v>
      </c>
      <c r="B248" s="2" t="s">
        <v>307</v>
      </c>
      <c r="C248" s="2" t="s">
        <v>311</v>
      </c>
      <c r="D248" s="3" t="s">
        <v>314</v>
      </c>
      <c r="E248" s="24">
        <v>141</v>
      </c>
      <c r="F248" s="24">
        <v>170</v>
      </c>
      <c r="G248" s="24">
        <v>178</v>
      </c>
      <c r="H248" s="24">
        <v>239</v>
      </c>
      <c r="I248" s="24">
        <v>274</v>
      </c>
      <c r="J248" s="24">
        <v>251</v>
      </c>
      <c r="K248" s="25">
        <f t="shared" si="21"/>
        <v>1.6950354609929077</v>
      </c>
      <c r="L248" s="25">
        <f t="shared" si="21"/>
        <v>1.611764705882353</v>
      </c>
      <c r="M248" s="25">
        <f t="shared" si="21"/>
        <v>1.4101123595505618</v>
      </c>
      <c r="N248" s="25">
        <f t="shared" si="22"/>
        <v>1.5723041754752742</v>
      </c>
      <c r="O248" s="24">
        <v>86</v>
      </c>
      <c r="P248" s="24">
        <v>65</v>
      </c>
      <c r="Q248" s="24">
        <v>47</v>
      </c>
      <c r="R248" s="24">
        <v>130</v>
      </c>
      <c r="S248" s="24">
        <v>82</v>
      </c>
      <c r="T248" s="24">
        <v>104</v>
      </c>
      <c r="U248" s="25">
        <f t="shared" si="23"/>
        <v>1.5116279069767442</v>
      </c>
      <c r="V248" s="25">
        <f t="shared" si="23"/>
        <v>1.2615384615384615</v>
      </c>
      <c r="W248" s="25">
        <f t="shared" si="23"/>
        <v>2.2127659574468086</v>
      </c>
      <c r="X248" s="25">
        <f t="shared" si="24"/>
        <v>1.6619774419873383</v>
      </c>
    </row>
    <row r="249" spans="1:24" ht="15.75" customHeight="1">
      <c r="A249" s="1">
        <v>60401</v>
      </c>
      <c r="B249" s="2" t="s">
        <v>307</v>
      </c>
      <c r="C249" s="2" t="s">
        <v>315</v>
      </c>
      <c r="D249" s="3" t="s">
        <v>316</v>
      </c>
      <c r="E249" s="24">
        <v>59</v>
      </c>
      <c r="F249" s="24">
        <v>76</v>
      </c>
      <c r="G249" s="24">
        <v>65</v>
      </c>
      <c r="H249" s="24">
        <v>56</v>
      </c>
      <c r="I249" s="24">
        <v>68</v>
      </c>
      <c r="J249" s="24">
        <v>65</v>
      </c>
      <c r="K249" s="25">
        <f t="shared" si="21"/>
        <v>0.94915254237288138</v>
      </c>
      <c r="L249" s="25">
        <f t="shared" si="21"/>
        <v>0.89473684210526316</v>
      </c>
      <c r="M249" s="25">
        <f t="shared" si="21"/>
        <v>1</v>
      </c>
      <c r="N249" s="25">
        <f t="shared" si="22"/>
        <v>0.94796312815938144</v>
      </c>
      <c r="O249" s="24">
        <v>12</v>
      </c>
      <c r="P249" s="24">
        <v>8</v>
      </c>
      <c r="Q249" s="24">
        <v>7</v>
      </c>
      <c r="R249" s="24">
        <v>11</v>
      </c>
      <c r="S249" s="24">
        <v>23</v>
      </c>
      <c r="T249" s="24">
        <v>12</v>
      </c>
      <c r="U249" s="25">
        <f t="shared" si="23"/>
        <v>0.91666666666666663</v>
      </c>
      <c r="V249" s="25">
        <f t="shared" si="23"/>
        <v>2.875</v>
      </c>
      <c r="W249" s="25">
        <f t="shared" si="23"/>
        <v>1.7142857142857142</v>
      </c>
      <c r="X249" s="25">
        <f t="shared" si="24"/>
        <v>1.8353174603174602</v>
      </c>
    </row>
    <row r="250" spans="1:24" ht="15.75" customHeight="1">
      <c r="A250" s="1">
        <v>60402</v>
      </c>
      <c r="B250" s="2" t="s">
        <v>307</v>
      </c>
      <c r="C250" s="2" t="s">
        <v>315</v>
      </c>
      <c r="D250" s="3" t="s">
        <v>317</v>
      </c>
      <c r="E250" s="24">
        <v>11</v>
      </c>
      <c r="F250" s="24">
        <v>6</v>
      </c>
      <c r="G250" s="24">
        <v>8</v>
      </c>
      <c r="H250" s="24">
        <v>8</v>
      </c>
      <c r="I250" s="24">
        <v>10</v>
      </c>
      <c r="J250" s="24">
        <v>26</v>
      </c>
      <c r="K250" s="25">
        <f t="shared" si="21"/>
        <v>0.72727272727272729</v>
      </c>
      <c r="L250" s="25">
        <f t="shared" si="21"/>
        <v>1.6666666666666667</v>
      </c>
      <c r="M250" s="25">
        <f t="shared" si="21"/>
        <v>3.25</v>
      </c>
      <c r="N250" s="25">
        <f t="shared" si="22"/>
        <v>1.8813131313131315</v>
      </c>
      <c r="O250" s="24">
        <v>7</v>
      </c>
      <c r="P250" s="24">
        <v>3</v>
      </c>
      <c r="Q250" s="24">
        <v>5</v>
      </c>
      <c r="R250" s="24">
        <v>9</v>
      </c>
      <c r="S250" s="24">
        <v>5</v>
      </c>
      <c r="T250" s="24">
        <v>6</v>
      </c>
      <c r="U250" s="25">
        <f t="shared" si="23"/>
        <v>1.2857142857142858</v>
      </c>
      <c r="V250" s="25">
        <f t="shared" si="23"/>
        <v>1.6666666666666667</v>
      </c>
      <c r="W250" s="25">
        <f t="shared" si="23"/>
        <v>1.2</v>
      </c>
      <c r="X250" s="25">
        <f t="shared" si="24"/>
        <v>1.3841269841269843</v>
      </c>
    </row>
    <row r="251" spans="1:24" ht="15.75" customHeight="1">
      <c r="A251" s="1">
        <v>60501</v>
      </c>
      <c r="B251" s="2" t="s">
        <v>307</v>
      </c>
      <c r="C251" s="2" t="s">
        <v>318</v>
      </c>
      <c r="D251" s="3" t="s">
        <v>319</v>
      </c>
      <c r="E251" s="24">
        <v>95</v>
      </c>
      <c r="F251" s="24">
        <v>122</v>
      </c>
      <c r="G251" s="24">
        <v>86</v>
      </c>
      <c r="H251" s="24">
        <v>157</v>
      </c>
      <c r="I251" s="24">
        <v>170</v>
      </c>
      <c r="J251" s="24">
        <v>132</v>
      </c>
      <c r="K251" s="25">
        <f t="shared" si="21"/>
        <v>1.6526315789473685</v>
      </c>
      <c r="L251" s="25">
        <f t="shared" si="21"/>
        <v>1.3934426229508197</v>
      </c>
      <c r="M251" s="25">
        <f t="shared" si="21"/>
        <v>1.5348837209302326</v>
      </c>
      <c r="N251" s="25">
        <f t="shared" si="22"/>
        <v>1.5269859742761402</v>
      </c>
      <c r="O251" s="24">
        <v>30</v>
      </c>
      <c r="P251" s="24">
        <v>23</v>
      </c>
      <c r="Q251" s="24">
        <v>24</v>
      </c>
      <c r="R251" s="24">
        <v>46</v>
      </c>
      <c r="S251" s="24">
        <v>44</v>
      </c>
      <c r="T251" s="24">
        <v>40</v>
      </c>
      <c r="U251" s="25">
        <f t="shared" si="23"/>
        <v>1.5333333333333334</v>
      </c>
      <c r="V251" s="25">
        <f t="shared" si="23"/>
        <v>1.9130434782608696</v>
      </c>
      <c r="W251" s="25">
        <f t="shared" si="23"/>
        <v>1.6666666666666667</v>
      </c>
      <c r="X251" s="25">
        <f t="shared" si="24"/>
        <v>1.7043478260869567</v>
      </c>
    </row>
    <row r="252" spans="1:24" ht="15.75" customHeight="1">
      <c r="A252" s="1">
        <v>60502</v>
      </c>
      <c r="B252" s="2" t="s">
        <v>307</v>
      </c>
      <c r="C252" s="2" t="s">
        <v>318</v>
      </c>
      <c r="D252" s="3" t="s">
        <v>320</v>
      </c>
      <c r="E252" s="24">
        <v>70</v>
      </c>
      <c r="F252" s="24">
        <v>61</v>
      </c>
      <c r="G252" s="24">
        <v>24</v>
      </c>
      <c r="H252" s="24">
        <v>51</v>
      </c>
      <c r="I252" s="24">
        <v>88</v>
      </c>
      <c r="J252" s="24">
        <v>50</v>
      </c>
      <c r="K252" s="25">
        <f t="shared" si="21"/>
        <v>0.72857142857142854</v>
      </c>
      <c r="L252" s="25">
        <f t="shared" si="21"/>
        <v>1.4426229508196722</v>
      </c>
      <c r="M252" s="25">
        <f t="shared" si="21"/>
        <v>2.0833333333333335</v>
      </c>
      <c r="N252" s="25">
        <f t="shared" si="22"/>
        <v>1.4181759042414779</v>
      </c>
      <c r="O252" s="24">
        <v>14</v>
      </c>
      <c r="P252" s="24">
        <v>12</v>
      </c>
      <c r="Q252" s="24">
        <v>5</v>
      </c>
      <c r="R252" s="24">
        <v>22</v>
      </c>
      <c r="S252" s="24">
        <v>8</v>
      </c>
      <c r="T252" s="24">
        <v>14</v>
      </c>
      <c r="U252" s="25">
        <f t="shared" si="23"/>
        <v>1.5714285714285714</v>
      </c>
      <c r="V252" s="25">
        <f t="shared" si="23"/>
        <v>0.66666666666666663</v>
      </c>
      <c r="W252" s="25">
        <f t="shared" si="23"/>
        <v>2.8</v>
      </c>
      <c r="X252" s="25">
        <f t="shared" si="24"/>
        <v>1.6793650793650794</v>
      </c>
    </row>
    <row r="253" spans="1:24" ht="15.75" customHeight="1">
      <c r="A253" s="1">
        <v>60601</v>
      </c>
      <c r="B253" s="2" t="s">
        <v>307</v>
      </c>
      <c r="C253" s="2" t="s">
        <v>321</v>
      </c>
      <c r="D253" s="3" t="s">
        <v>191</v>
      </c>
      <c r="E253" s="24">
        <v>93</v>
      </c>
      <c r="F253" s="24">
        <v>101</v>
      </c>
      <c r="G253" s="24">
        <v>86</v>
      </c>
      <c r="H253" s="24">
        <v>107</v>
      </c>
      <c r="I253" s="24">
        <v>132</v>
      </c>
      <c r="J253" s="24">
        <v>122</v>
      </c>
      <c r="K253" s="25">
        <f t="shared" si="21"/>
        <v>1.1505376344086022</v>
      </c>
      <c r="L253" s="25">
        <f t="shared" si="21"/>
        <v>1.306930693069307</v>
      </c>
      <c r="M253" s="25">
        <f t="shared" si="21"/>
        <v>1.4186046511627908</v>
      </c>
      <c r="N253" s="25">
        <f t="shared" si="22"/>
        <v>1.2920243262135667</v>
      </c>
      <c r="O253" s="24">
        <v>31</v>
      </c>
      <c r="P253" s="24">
        <v>20</v>
      </c>
      <c r="Q253" s="24">
        <v>18</v>
      </c>
      <c r="R253" s="24">
        <v>40</v>
      </c>
      <c r="S253" s="24">
        <v>21</v>
      </c>
      <c r="T253" s="24">
        <v>34</v>
      </c>
      <c r="U253" s="25">
        <f t="shared" si="23"/>
        <v>1.2903225806451613</v>
      </c>
      <c r="V253" s="25">
        <f t="shared" si="23"/>
        <v>1.05</v>
      </c>
      <c r="W253" s="25">
        <f t="shared" si="23"/>
        <v>1.8888888888888888</v>
      </c>
      <c r="X253" s="25">
        <f t="shared" si="24"/>
        <v>1.4097371565113501</v>
      </c>
    </row>
    <row r="254" spans="1:24" ht="15.75" customHeight="1">
      <c r="A254" s="1">
        <v>70101</v>
      </c>
      <c r="B254" s="2" t="s">
        <v>322</v>
      </c>
      <c r="C254" s="2" t="s">
        <v>323</v>
      </c>
      <c r="D254" s="3" t="s">
        <v>324</v>
      </c>
      <c r="E254" s="24">
        <v>3741</v>
      </c>
      <c r="F254" s="24">
        <v>4494</v>
      </c>
      <c r="G254" s="24">
        <v>4767</v>
      </c>
      <c r="H254" s="24">
        <v>5459</v>
      </c>
      <c r="I254" s="24">
        <v>6307</v>
      </c>
      <c r="J254" s="24">
        <v>6733</v>
      </c>
      <c r="K254" s="25">
        <f t="shared" si="21"/>
        <v>1.4592354985298048</v>
      </c>
      <c r="L254" s="25">
        <f t="shared" si="21"/>
        <v>1.4034267912772587</v>
      </c>
      <c r="M254" s="25">
        <f t="shared" si="21"/>
        <v>1.4124187119781833</v>
      </c>
      <c r="N254" s="25">
        <f t="shared" si="22"/>
        <v>1.4250270005950822</v>
      </c>
      <c r="O254" s="24">
        <v>1391</v>
      </c>
      <c r="P254" s="24">
        <v>1140</v>
      </c>
      <c r="Q254" s="24">
        <v>1565</v>
      </c>
      <c r="R254" s="24">
        <v>1700</v>
      </c>
      <c r="S254" s="24">
        <v>1625</v>
      </c>
      <c r="T254" s="24">
        <v>2452</v>
      </c>
      <c r="U254" s="25">
        <f t="shared" si="23"/>
        <v>1.2221423436376708</v>
      </c>
      <c r="V254" s="25">
        <f t="shared" si="23"/>
        <v>1.4254385964912282</v>
      </c>
      <c r="W254" s="25">
        <f t="shared" si="23"/>
        <v>1.5667731629392971</v>
      </c>
      <c r="X254" s="25">
        <f t="shared" si="24"/>
        <v>1.4047847010227319</v>
      </c>
    </row>
    <row r="255" spans="1:24" ht="15.75" customHeight="1">
      <c r="A255" s="1">
        <v>70102</v>
      </c>
      <c r="B255" s="2" t="s">
        <v>322</v>
      </c>
      <c r="C255" s="2" t="s">
        <v>323</v>
      </c>
      <c r="D255" s="3" t="s">
        <v>325</v>
      </c>
      <c r="E255" s="24">
        <v>207</v>
      </c>
      <c r="F255" s="24">
        <v>303</v>
      </c>
      <c r="G255" s="24">
        <v>306</v>
      </c>
      <c r="H255" s="24">
        <v>353</v>
      </c>
      <c r="I255" s="24">
        <v>467</v>
      </c>
      <c r="J255" s="24">
        <v>465</v>
      </c>
      <c r="K255" s="25">
        <f t="shared" si="21"/>
        <v>1.7053140096618358</v>
      </c>
      <c r="L255" s="25">
        <f t="shared" si="21"/>
        <v>1.5412541254125414</v>
      </c>
      <c r="M255" s="25">
        <f t="shared" si="21"/>
        <v>1.5196078431372548</v>
      </c>
      <c r="N255" s="25">
        <f t="shared" si="22"/>
        <v>1.5887253260705441</v>
      </c>
      <c r="O255" s="24">
        <v>117</v>
      </c>
      <c r="P255" s="24">
        <v>81</v>
      </c>
      <c r="Q255" s="24">
        <v>137</v>
      </c>
      <c r="R255" s="24">
        <v>199</v>
      </c>
      <c r="S255" s="24">
        <v>113</v>
      </c>
      <c r="T255" s="24">
        <v>200</v>
      </c>
      <c r="U255" s="25">
        <f t="shared" si="23"/>
        <v>1.7008547008547008</v>
      </c>
      <c r="V255" s="25">
        <f t="shared" si="23"/>
        <v>1.3950617283950617</v>
      </c>
      <c r="W255" s="25">
        <f t="shared" si="23"/>
        <v>1.4598540145985401</v>
      </c>
      <c r="X255" s="25">
        <f t="shared" si="24"/>
        <v>1.5185901479494344</v>
      </c>
    </row>
    <row r="256" spans="1:24" ht="15.75" customHeight="1">
      <c r="A256" s="1">
        <v>70103</v>
      </c>
      <c r="B256" s="2" t="s">
        <v>322</v>
      </c>
      <c r="C256" s="2" t="s">
        <v>323</v>
      </c>
      <c r="D256" s="3" t="s">
        <v>326</v>
      </c>
      <c r="E256" s="24">
        <v>59</v>
      </c>
      <c r="F256" s="24">
        <v>77</v>
      </c>
      <c r="G256" s="24">
        <v>64</v>
      </c>
      <c r="H256" s="24">
        <v>84</v>
      </c>
      <c r="I256" s="24">
        <v>113</v>
      </c>
      <c r="J256" s="24">
        <v>92</v>
      </c>
      <c r="K256" s="25">
        <f t="shared" si="21"/>
        <v>1.423728813559322</v>
      </c>
      <c r="L256" s="25">
        <f t="shared" si="21"/>
        <v>1.4675324675324675</v>
      </c>
      <c r="M256" s="25">
        <f t="shared" si="21"/>
        <v>1.4375</v>
      </c>
      <c r="N256" s="25">
        <f t="shared" si="22"/>
        <v>1.4429204270305966</v>
      </c>
      <c r="O256" s="24">
        <v>20</v>
      </c>
      <c r="P256" s="24">
        <v>22</v>
      </c>
      <c r="Q256" s="24">
        <v>10</v>
      </c>
      <c r="R256" s="24">
        <v>26</v>
      </c>
      <c r="S256" s="24">
        <v>28</v>
      </c>
      <c r="T256" s="24">
        <v>22</v>
      </c>
      <c r="U256" s="25">
        <f t="shared" si="23"/>
        <v>1.3</v>
      </c>
      <c r="V256" s="25">
        <f t="shared" si="23"/>
        <v>1.2727272727272727</v>
      </c>
      <c r="W256" s="25">
        <f t="shared" si="23"/>
        <v>2.2000000000000002</v>
      </c>
      <c r="X256" s="25">
        <f t="shared" si="24"/>
        <v>1.5909090909090911</v>
      </c>
    </row>
    <row r="257" spans="1:24" ht="15.75" customHeight="1">
      <c r="A257" s="1">
        <v>70104</v>
      </c>
      <c r="B257" s="2" t="s">
        <v>322</v>
      </c>
      <c r="C257" s="2" t="s">
        <v>323</v>
      </c>
      <c r="D257" s="3" t="s">
        <v>327</v>
      </c>
      <c r="E257" s="24">
        <v>157</v>
      </c>
      <c r="F257" s="24">
        <v>252</v>
      </c>
      <c r="G257" s="24">
        <v>275</v>
      </c>
      <c r="H257" s="24">
        <v>241</v>
      </c>
      <c r="I257" s="24">
        <v>390</v>
      </c>
      <c r="J257" s="24">
        <v>328</v>
      </c>
      <c r="K257" s="25">
        <f t="shared" si="21"/>
        <v>1.5350318471337581</v>
      </c>
      <c r="L257" s="25">
        <f t="shared" si="21"/>
        <v>1.5476190476190477</v>
      </c>
      <c r="M257" s="25">
        <f t="shared" si="21"/>
        <v>1.1927272727272726</v>
      </c>
      <c r="N257" s="25">
        <f t="shared" si="22"/>
        <v>1.4251260558266929</v>
      </c>
      <c r="O257" s="24">
        <v>104</v>
      </c>
      <c r="P257" s="24">
        <v>102</v>
      </c>
      <c r="Q257" s="24">
        <v>104</v>
      </c>
      <c r="R257" s="24">
        <v>139</v>
      </c>
      <c r="S257" s="24">
        <v>148</v>
      </c>
      <c r="T257" s="24">
        <v>183</v>
      </c>
      <c r="U257" s="25">
        <f t="shared" si="23"/>
        <v>1.3365384615384615</v>
      </c>
      <c r="V257" s="25">
        <f t="shared" si="23"/>
        <v>1.4509803921568627</v>
      </c>
      <c r="W257" s="25">
        <f t="shared" si="23"/>
        <v>1.7596153846153846</v>
      </c>
      <c r="X257" s="25">
        <f t="shared" si="24"/>
        <v>1.5157114127702362</v>
      </c>
    </row>
    <row r="258" spans="1:24" ht="15.75" customHeight="1">
      <c r="A258" s="1">
        <v>70105</v>
      </c>
      <c r="B258" s="2" t="s">
        <v>322</v>
      </c>
      <c r="C258" s="2" t="s">
        <v>323</v>
      </c>
      <c r="D258" s="3" t="s">
        <v>328</v>
      </c>
      <c r="E258" s="24">
        <v>183</v>
      </c>
      <c r="F258" s="24">
        <v>179</v>
      </c>
      <c r="G258" s="24">
        <v>189</v>
      </c>
      <c r="H258" s="24">
        <v>322</v>
      </c>
      <c r="I258" s="24">
        <v>310</v>
      </c>
      <c r="J258" s="24">
        <v>319</v>
      </c>
      <c r="K258" s="25">
        <f t="shared" si="21"/>
        <v>1.7595628415300546</v>
      </c>
      <c r="L258" s="25">
        <f t="shared" si="21"/>
        <v>1.7318435754189945</v>
      </c>
      <c r="M258" s="25">
        <f t="shared" si="21"/>
        <v>1.6878306878306879</v>
      </c>
      <c r="N258" s="25">
        <f t="shared" si="22"/>
        <v>1.7264123682599124</v>
      </c>
      <c r="O258" s="24">
        <v>69</v>
      </c>
      <c r="P258" s="24">
        <v>66</v>
      </c>
      <c r="Q258" s="24">
        <v>92</v>
      </c>
      <c r="R258" s="24">
        <v>147</v>
      </c>
      <c r="S258" s="24">
        <v>119</v>
      </c>
      <c r="T258" s="24">
        <v>149</v>
      </c>
      <c r="U258" s="25">
        <f t="shared" si="23"/>
        <v>2.1304347826086958</v>
      </c>
      <c r="V258" s="25">
        <f t="shared" si="23"/>
        <v>1.803030303030303</v>
      </c>
      <c r="W258" s="25">
        <f t="shared" si="23"/>
        <v>1.6195652173913044</v>
      </c>
      <c r="X258" s="25">
        <f t="shared" si="24"/>
        <v>1.8510101010101012</v>
      </c>
    </row>
    <row r="259" spans="1:24" ht="15.75" customHeight="1">
      <c r="A259" s="1">
        <v>70201</v>
      </c>
      <c r="B259" s="2" t="s">
        <v>322</v>
      </c>
      <c r="C259" s="2" t="s">
        <v>329</v>
      </c>
      <c r="D259" s="3" t="s">
        <v>329</v>
      </c>
      <c r="E259" s="24">
        <v>349</v>
      </c>
      <c r="F259" s="24">
        <v>406</v>
      </c>
      <c r="G259" s="24">
        <v>377</v>
      </c>
      <c r="H259" s="24">
        <v>517</v>
      </c>
      <c r="I259" s="24">
        <v>657</v>
      </c>
      <c r="J259" s="24">
        <v>591</v>
      </c>
      <c r="K259" s="25">
        <f t="shared" ref="K259:M322" si="25">+H259/E259</f>
        <v>1.481375358166189</v>
      </c>
      <c r="L259" s="25">
        <f t="shared" si="25"/>
        <v>1.6182266009852218</v>
      </c>
      <c r="M259" s="25">
        <f t="shared" si="25"/>
        <v>1.5676392572944298</v>
      </c>
      <c r="N259" s="25">
        <f t="shared" ref="N259:N322" si="26">AVERAGE(K259:M259)</f>
        <v>1.5557470721486135</v>
      </c>
      <c r="O259" s="24">
        <v>199</v>
      </c>
      <c r="P259" s="24">
        <v>152</v>
      </c>
      <c r="Q259" s="24">
        <v>268</v>
      </c>
      <c r="R259" s="24">
        <v>293</v>
      </c>
      <c r="S259" s="24">
        <v>211</v>
      </c>
      <c r="T259" s="24">
        <v>353</v>
      </c>
      <c r="U259" s="25">
        <f t="shared" ref="U259:W322" si="27">+R259/O259</f>
        <v>1.4723618090452262</v>
      </c>
      <c r="V259" s="25">
        <f t="shared" si="27"/>
        <v>1.388157894736842</v>
      </c>
      <c r="W259" s="25">
        <f t="shared" si="27"/>
        <v>1.3171641791044777</v>
      </c>
      <c r="X259" s="25">
        <f t="shared" ref="X259:X322" si="28">AVERAGE(U259:W259)</f>
        <v>1.3925612942955155</v>
      </c>
    </row>
    <row r="260" spans="1:24" ht="15.75" customHeight="1">
      <c r="A260" s="1">
        <v>70202</v>
      </c>
      <c r="B260" s="2" t="s">
        <v>322</v>
      </c>
      <c r="C260" s="2" t="s">
        <v>329</v>
      </c>
      <c r="D260" s="3" t="s">
        <v>330</v>
      </c>
      <c r="E260" s="24">
        <v>51</v>
      </c>
      <c r="F260" s="24">
        <v>51</v>
      </c>
      <c r="G260" s="24">
        <v>68</v>
      </c>
      <c r="H260" s="24">
        <v>59</v>
      </c>
      <c r="I260" s="24">
        <v>98</v>
      </c>
      <c r="J260" s="24">
        <v>102</v>
      </c>
      <c r="K260" s="25">
        <f t="shared" si="25"/>
        <v>1.1568627450980393</v>
      </c>
      <c r="L260" s="25">
        <f t="shared" si="25"/>
        <v>1.9215686274509804</v>
      </c>
      <c r="M260" s="25">
        <f t="shared" si="25"/>
        <v>1.5</v>
      </c>
      <c r="N260" s="25">
        <f t="shared" si="26"/>
        <v>1.5261437908496731</v>
      </c>
      <c r="O260" s="24">
        <v>10</v>
      </c>
      <c r="P260" s="24">
        <v>12</v>
      </c>
      <c r="Q260" s="24">
        <v>27</v>
      </c>
      <c r="R260" s="24">
        <v>15</v>
      </c>
      <c r="S260" s="24">
        <v>14</v>
      </c>
      <c r="T260" s="24">
        <v>33</v>
      </c>
      <c r="U260" s="25">
        <f t="shared" si="27"/>
        <v>1.5</v>
      </c>
      <c r="V260" s="25">
        <f t="shared" si="27"/>
        <v>1.1666666666666667</v>
      </c>
      <c r="W260" s="25">
        <f t="shared" si="27"/>
        <v>1.2222222222222223</v>
      </c>
      <c r="X260" s="25">
        <f t="shared" si="28"/>
        <v>1.2962962962962965</v>
      </c>
    </row>
    <row r="261" spans="1:24" ht="15.75" customHeight="1">
      <c r="A261" s="1">
        <v>70301</v>
      </c>
      <c r="B261" s="2" t="s">
        <v>322</v>
      </c>
      <c r="C261" s="2" t="s">
        <v>331</v>
      </c>
      <c r="D261" s="3" t="s">
        <v>332</v>
      </c>
      <c r="E261" s="24">
        <v>208</v>
      </c>
      <c r="F261" s="24">
        <v>207</v>
      </c>
      <c r="G261" s="24">
        <v>235</v>
      </c>
      <c r="H261" s="24">
        <v>261</v>
      </c>
      <c r="I261" s="24">
        <v>298</v>
      </c>
      <c r="J261" s="24">
        <v>279</v>
      </c>
      <c r="K261" s="25">
        <f t="shared" si="25"/>
        <v>1.2548076923076923</v>
      </c>
      <c r="L261" s="25">
        <f t="shared" si="25"/>
        <v>1.4396135265700483</v>
      </c>
      <c r="M261" s="25">
        <f t="shared" si="25"/>
        <v>1.1872340425531915</v>
      </c>
      <c r="N261" s="25">
        <f t="shared" si="26"/>
        <v>1.293885087143644</v>
      </c>
      <c r="O261" s="24">
        <v>91</v>
      </c>
      <c r="P261" s="24">
        <v>90</v>
      </c>
      <c r="Q261" s="24">
        <v>99</v>
      </c>
      <c r="R261" s="24">
        <v>149</v>
      </c>
      <c r="S261" s="24">
        <v>116</v>
      </c>
      <c r="T261" s="24">
        <v>157</v>
      </c>
      <c r="U261" s="25">
        <f t="shared" si="27"/>
        <v>1.6373626373626373</v>
      </c>
      <c r="V261" s="25">
        <f t="shared" si="27"/>
        <v>1.288888888888889</v>
      </c>
      <c r="W261" s="25">
        <f t="shared" si="27"/>
        <v>1.5858585858585859</v>
      </c>
      <c r="X261" s="25">
        <f t="shared" si="28"/>
        <v>1.504036704036704</v>
      </c>
    </row>
    <row r="262" spans="1:24" ht="15.75" customHeight="1">
      <c r="A262" s="1">
        <v>70302</v>
      </c>
      <c r="B262" s="2" t="s">
        <v>322</v>
      </c>
      <c r="C262" s="2" t="s">
        <v>331</v>
      </c>
      <c r="D262" s="3" t="s">
        <v>333</v>
      </c>
      <c r="E262" s="24">
        <v>33</v>
      </c>
      <c r="F262" s="24">
        <v>40</v>
      </c>
      <c r="G262" s="24">
        <v>30</v>
      </c>
      <c r="H262" s="24">
        <v>47</v>
      </c>
      <c r="I262" s="24">
        <v>48</v>
      </c>
      <c r="J262" s="24">
        <v>67</v>
      </c>
      <c r="K262" s="25">
        <f t="shared" si="25"/>
        <v>1.4242424242424243</v>
      </c>
      <c r="L262" s="25">
        <f t="shared" si="25"/>
        <v>1.2</v>
      </c>
      <c r="M262" s="25">
        <f t="shared" si="25"/>
        <v>2.2333333333333334</v>
      </c>
      <c r="N262" s="25">
        <f t="shared" si="26"/>
        <v>1.6191919191919191</v>
      </c>
      <c r="O262" s="24">
        <v>15</v>
      </c>
      <c r="P262" s="24">
        <v>7</v>
      </c>
      <c r="Q262" s="24">
        <v>16</v>
      </c>
      <c r="R262" s="24">
        <v>22</v>
      </c>
      <c r="S262" s="24">
        <v>20</v>
      </c>
      <c r="T262" s="24">
        <v>25</v>
      </c>
      <c r="U262" s="25">
        <f t="shared" si="27"/>
        <v>1.4666666666666666</v>
      </c>
      <c r="V262" s="25">
        <f t="shared" si="27"/>
        <v>2.8571428571428572</v>
      </c>
      <c r="W262" s="25">
        <f t="shared" si="27"/>
        <v>1.5625</v>
      </c>
      <c r="X262" s="25">
        <f t="shared" si="28"/>
        <v>1.9621031746031745</v>
      </c>
    </row>
    <row r="263" spans="1:24" ht="15.75" customHeight="1">
      <c r="A263" s="1">
        <v>70303</v>
      </c>
      <c r="B263" s="2" t="s">
        <v>322</v>
      </c>
      <c r="C263" s="2" t="s">
        <v>331</v>
      </c>
      <c r="D263" s="3" t="s">
        <v>334</v>
      </c>
      <c r="E263" s="24">
        <v>37</v>
      </c>
      <c r="F263" s="24">
        <v>19</v>
      </c>
      <c r="G263" s="24">
        <v>20</v>
      </c>
      <c r="H263" s="24">
        <v>46</v>
      </c>
      <c r="I263" s="24">
        <v>36</v>
      </c>
      <c r="J263" s="24">
        <v>35</v>
      </c>
      <c r="K263" s="25">
        <f t="shared" si="25"/>
        <v>1.2432432432432432</v>
      </c>
      <c r="L263" s="25">
        <f t="shared" si="25"/>
        <v>1.8947368421052631</v>
      </c>
      <c r="M263" s="25">
        <f t="shared" si="25"/>
        <v>1.75</v>
      </c>
      <c r="N263" s="25">
        <f t="shared" si="26"/>
        <v>1.6293266951161687</v>
      </c>
      <c r="O263" s="24">
        <v>6</v>
      </c>
      <c r="P263" s="24">
        <v>6</v>
      </c>
      <c r="Q263" s="24">
        <v>9</v>
      </c>
      <c r="R263" s="24">
        <v>8</v>
      </c>
      <c r="S263" s="24">
        <v>8</v>
      </c>
      <c r="T263" s="24">
        <v>17</v>
      </c>
      <c r="U263" s="25">
        <f t="shared" si="27"/>
        <v>1.3333333333333333</v>
      </c>
      <c r="V263" s="25">
        <f t="shared" si="27"/>
        <v>1.3333333333333333</v>
      </c>
      <c r="W263" s="25">
        <f t="shared" si="27"/>
        <v>1.8888888888888888</v>
      </c>
      <c r="X263" s="25">
        <f t="shared" si="28"/>
        <v>1.5185185185185184</v>
      </c>
    </row>
    <row r="264" spans="1:24" ht="15.75" customHeight="1">
      <c r="A264" s="1">
        <v>70401</v>
      </c>
      <c r="B264" s="2" t="s">
        <v>322</v>
      </c>
      <c r="C264" s="2" t="s">
        <v>335</v>
      </c>
      <c r="D264" s="3" t="s">
        <v>336</v>
      </c>
      <c r="E264" s="24">
        <v>41</v>
      </c>
      <c r="F264" s="24">
        <v>63</v>
      </c>
      <c r="G264" s="24">
        <v>54</v>
      </c>
      <c r="H264" s="24">
        <v>76</v>
      </c>
      <c r="I264" s="24">
        <v>83</v>
      </c>
      <c r="J264" s="24">
        <v>67</v>
      </c>
      <c r="K264" s="25">
        <f t="shared" si="25"/>
        <v>1.8536585365853659</v>
      </c>
      <c r="L264" s="25">
        <f t="shared" si="25"/>
        <v>1.3174603174603174</v>
      </c>
      <c r="M264" s="25">
        <f t="shared" si="25"/>
        <v>1.2407407407407407</v>
      </c>
      <c r="N264" s="25">
        <f t="shared" si="26"/>
        <v>1.470619864928808</v>
      </c>
      <c r="O264" s="24">
        <v>19</v>
      </c>
      <c r="P264" s="24">
        <v>22</v>
      </c>
      <c r="Q264" s="24">
        <v>22</v>
      </c>
      <c r="R264" s="24">
        <v>32</v>
      </c>
      <c r="S264" s="24">
        <v>28</v>
      </c>
      <c r="T264" s="24">
        <v>31</v>
      </c>
      <c r="U264" s="25">
        <f t="shared" si="27"/>
        <v>1.6842105263157894</v>
      </c>
      <c r="V264" s="25">
        <f t="shared" si="27"/>
        <v>1.2727272727272727</v>
      </c>
      <c r="W264" s="25">
        <f t="shared" si="27"/>
        <v>1.4090909090909092</v>
      </c>
      <c r="X264" s="25">
        <f t="shared" si="28"/>
        <v>1.4553429027113236</v>
      </c>
    </row>
    <row r="265" spans="1:24" ht="15.75" customHeight="1">
      <c r="A265" s="1">
        <v>70402</v>
      </c>
      <c r="B265" s="2" t="s">
        <v>322</v>
      </c>
      <c r="C265" s="2" t="s">
        <v>335</v>
      </c>
      <c r="D265" s="3" t="s">
        <v>337</v>
      </c>
      <c r="E265" s="24">
        <v>65</v>
      </c>
      <c r="F265" s="24">
        <v>105</v>
      </c>
      <c r="G265" s="24">
        <v>99</v>
      </c>
      <c r="H265" s="24">
        <v>131</v>
      </c>
      <c r="I265" s="24">
        <v>154</v>
      </c>
      <c r="J265" s="24">
        <v>155</v>
      </c>
      <c r="K265" s="25">
        <f t="shared" si="25"/>
        <v>2.0153846153846153</v>
      </c>
      <c r="L265" s="25">
        <f t="shared" si="25"/>
        <v>1.4666666666666666</v>
      </c>
      <c r="M265" s="25">
        <f t="shared" si="25"/>
        <v>1.5656565656565657</v>
      </c>
      <c r="N265" s="25">
        <f t="shared" si="26"/>
        <v>1.6825692825692826</v>
      </c>
      <c r="O265" s="24">
        <v>27</v>
      </c>
      <c r="P265" s="24">
        <v>24</v>
      </c>
      <c r="Q265" s="24">
        <v>29</v>
      </c>
      <c r="R265" s="24">
        <v>32</v>
      </c>
      <c r="S265" s="24">
        <v>43</v>
      </c>
      <c r="T265" s="24">
        <v>39</v>
      </c>
      <c r="U265" s="25">
        <f t="shared" si="27"/>
        <v>1.1851851851851851</v>
      </c>
      <c r="V265" s="25">
        <f t="shared" si="27"/>
        <v>1.7916666666666667</v>
      </c>
      <c r="W265" s="25">
        <f t="shared" si="27"/>
        <v>1.3448275862068966</v>
      </c>
      <c r="X265" s="25">
        <f t="shared" si="28"/>
        <v>1.4405598126862496</v>
      </c>
    </row>
    <row r="266" spans="1:24" ht="15.75" customHeight="1">
      <c r="A266" s="1">
        <v>70403</v>
      </c>
      <c r="B266" s="2" t="s">
        <v>322</v>
      </c>
      <c r="C266" s="2" t="s">
        <v>335</v>
      </c>
      <c r="D266" s="3" t="s">
        <v>338</v>
      </c>
      <c r="E266" s="24">
        <v>49</v>
      </c>
      <c r="F266" s="24">
        <v>169</v>
      </c>
      <c r="G266" s="24">
        <v>184</v>
      </c>
      <c r="H266" s="24">
        <v>114</v>
      </c>
      <c r="I266" s="24">
        <v>284</v>
      </c>
      <c r="J266" s="24">
        <v>286</v>
      </c>
      <c r="K266" s="25">
        <f t="shared" si="25"/>
        <v>2.3265306122448979</v>
      </c>
      <c r="L266" s="25">
        <f t="shared" si="25"/>
        <v>1.680473372781065</v>
      </c>
      <c r="M266" s="25">
        <f t="shared" si="25"/>
        <v>1.5543478260869565</v>
      </c>
      <c r="N266" s="25">
        <f t="shared" si="26"/>
        <v>1.8537839370376397</v>
      </c>
      <c r="O266" s="24">
        <v>95</v>
      </c>
      <c r="P266" s="24">
        <v>79</v>
      </c>
      <c r="Q266" s="24">
        <v>122</v>
      </c>
      <c r="R266" s="24">
        <v>113</v>
      </c>
      <c r="S266" s="24">
        <v>117</v>
      </c>
      <c r="T266" s="24">
        <v>163</v>
      </c>
      <c r="U266" s="25">
        <f t="shared" si="27"/>
        <v>1.1894736842105262</v>
      </c>
      <c r="V266" s="25">
        <f t="shared" si="27"/>
        <v>1.481012658227848</v>
      </c>
      <c r="W266" s="25">
        <f t="shared" si="27"/>
        <v>1.3360655737704918</v>
      </c>
      <c r="X266" s="25">
        <f t="shared" si="28"/>
        <v>1.3355173054029554</v>
      </c>
    </row>
    <row r="267" spans="1:24" ht="15.75" customHeight="1">
      <c r="A267" s="1">
        <v>70404</v>
      </c>
      <c r="B267" s="2" t="s">
        <v>322</v>
      </c>
      <c r="C267" s="2" t="s">
        <v>335</v>
      </c>
      <c r="D267" s="3" t="s">
        <v>339</v>
      </c>
      <c r="E267" s="24">
        <v>28</v>
      </c>
      <c r="F267" s="24">
        <v>30</v>
      </c>
      <c r="G267" s="24">
        <v>23</v>
      </c>
      <c r="H267" s="24">
        <v>40</v>
      </c>
      <c r="I267" s="24">
        <v>42</v>
      </c>
      <c r="J267" s="24">
        <v>27</v>
      </c>
      <c r="K267" s="25">
        <f t="shared" si="25"/>
        <v>1.4285714285714286</v>
      </c>
      <c r="L267" s="25">
        <f t="shared" si="25"/>
        <v>1.4</v>
      </c>
      <c r="M267" s="25">
        <f t="shared" si="25"/>
        <v>1.173913043478261</v>
      </c>
      <c r="N267" s="25">
        <f t="shared" si="26"/>
        <v>1.3341614906832298</v>
      </c>
      <c r="O267" s="24">
        <v>13</v>
      </c>
      <c r="P267" s="24">
        <v>16</v>
      </c>
      <c r="Q267" s="24">
        <v>12</v>
      </c>
      <c r="R267" s="24">
        <v>29</v>
      </c>
      <c r="S267" s="24">
        <v>22</v>
      </c>
      <c r="T267" s="24">
        <v>18</v>
      </c>
      <c r="U267" s="25">
        <f t="shared" si="27"/>
        <v>2.2307692307692308</v>
      </c>
      <c r="V267" s="25">
        <f t="shared" si="27"/>
        <v>1.375</v>
      </c>
      <c r="W267" s="25">
        <f t="shared" si="27"/>
        <v>1.5</v>
      </c>
      <c r="X267" s="25">
        <f t="shared" si="28"/>
        <v>1.7019230769230769</v>
      </c>
    </row>
    <row r="268" spans="1:24" ht="15.75" customHeight="1">
      <c r="A268" s="1">
        <v>70501</v>
      </c>
      <c r="B268" s="2" t="s">
        <v>322</v>
      </c>
      <c r="C268" s="2" t="s">
        <v>340</v>
      </c>
      <c r="D268" s="3" t="s">
        <v>341</v>
      </c>
      <c r="E268" s="24">
        <v>57</v>
      </c>
      <c r="F268" s="24">
        <v>47</v>
      </c>
      <c r="G268" s="24">
        <v>51</v>
      </c>
      <c r="H268" s="24">
        <v>82</v>
      </c>
      <c r="I268" s="24">
        <v>76</v>
      </c>
      <c r="J268" s="24">
        <v>78</v>
      </c>
      <c r="K268" s="25">
        <f t="shared" si="25"/>
        <v>1.4385964912280702</v>
      </c>
      <c r="L268" s="25">
        <f t="shared" si="25"/>
        <v>1.6170212765957446</v>
      </c>
      <c r="M268" s="25">
        <f t="shared" si="25"/>
        <v>1.5294117647058822</v>
      </c>
      <c r="N268" s="25">
        <f t="shared" si="26"/>
        <v>1.528343177509899</v>
      </c>
      <c r="O268" s="24">
        <v>25</v>
      </c>
      <c r="P268" s="24">
        <v>39</v>
      </c>
      <c r="Q268" s="24">
        <v>58</v>
      </c>
      <c r="R268" s="24">
        <v>40</v>
      </c>
      <c r="S268" s="24">
        <v>46</v>
      </c>
      <c r="T268" s="24">
        <v>61</v>
      </c>
      <c r="U268" s="25">
        <f t="shared" si="27"/>
        <v>1.6</v>
      </c>
      <c r="V268" s="25">
        <f t="shared" si="27"/>
        <v>1.1794871794871795</v>
      </c>
      <c r="W268" s="25">
        <f t="shared" si="27"/>
        <v>1.0517241379310345</v>
      </c>
      <c r="X268" s="25">
        <f t="shared" si="28"/>
        <v>1.2770704391394048</v>
      </c>
    </row>
    <row r="269" spans="1:24" ht="15.75" customHeight="1">
      <c r="A269" s="1">
        <v>70502</v>
      </c>
      <c r="B269" s="2" t="s">
        <v>322</v>
      </c>
      <c r="C269" s="2" t="s">
        <v>340</v>
      </c>
      <c r="D269" s="3" t="s">
        <v>342</v>
      </c>
      <c r="E269" s="24">
        <v>100</v>
      </c>
      <c r="F269" s="24">
        <v>90</v>
      </c>
      <c r="G269" s="24">
        <v>104</v>
      </c>
      <c r="H269" s="24">
        <v>126</v>
      </c>
      <c r="I269" s="24">
        <v>113</v>
      </c>
      <c r="J269" s="24">
        <v>133</v>
      </c>
      <c r="K269" s="25">
        <f t="shared" si="25"/>
        <v>1.26</v>
      </c>
      <c r="L269" s="25">
        <f t="shared" si="25"/>
        <v>1.2555555555555555</v>
      </c>
      <c r="M269" s="25">
        <f t="shared" si="25"/>
        <v>1.2788461538461537</v>
      </c>
      <c r="N269" s="25">
        <f t="shared" si="26"/>
        <v>1.2648005698005698</v>
      </c>
      <c r="O269" s="24">
        <v>63</v>
      </c>
      <c r="P269" s="24">
        <v>48</v>
      </c>
      <c r="Q269" s="24">
        <v>48</v>
      </c>
      <c r="R269" s="24">
        <v>74</v>
      </c>
      <c r="S269" s="24">
        <v>70</v>
      </c>
      <c r="T269" s="24">
        <v>81</v>
      </c>
      <c r="U269" s="25">
        <f t="shared" si="27"/>
        <v>1.1746031746031746</v>
      </c>
      <c r="V269" s="25">
        <f t="shared" si="27"/>
        <v>1.4583333333333333</v>
      </c>
      <c r="W269" s="25">
        <f t="shared" si="27"/>
        <v>1.6875</v>
      </c>
      <c r="X269" s="25">
        <f t="shared" si="28"/>
        <v>1.4401455026455026</v>
      </c>
    </row>
    <row r="270" spans="1:24" ht="15.75" customHeight="1">
      <c r="A270" s="1">
        <v>70503</v>
      </c>
      <c r="B270" s="2" t="s">
        <v>322</v>
      </c>
      <c r="C270" s="2" t="s">
        <v>340</v>
      </c>
      <c r="D270" s="3" t="s">
        <v>343</v>
      </c>
      <c r="E270" s="24">
        <v>80</v>
      </c>
      <c r="F270" s="24">
        <v>75</v>
      </c>
      <c r="G270" s="24">
        <v>49</v>
      </c>
      <c r="H270" s="24">
        <v>115</v>
      </c>
      <c r="I270" s="24">
        <v>100</v>
      </c>
      <c r="J270" s="24">
        <v>96</v>
      </c>
      <c r="K270" s="25">
        <f t="shared" si="25"/>
        <v>1.4375</v>
      </c>
      <c r="L270" s="25">
        <f t="shared" si="25"/>
        <v>1.3333333333333333</v>
      </c>
      <c r="M270" s="25">
        <f t="shared" si="25"/>
        <v>1.9591836734693877</v>
      </c>
      <c r="N270" s="25">
        <f t="shared" si="26"/>
        <v>1.5766723356009067</v>
      </c>
      <c r="O270" s="24">
        <v>20</v>
      </c>
      <c r="P270" s="24">
        <v>12</v>
      </c>
      <c r="Q270" s="24">
        <v>23</v>
      </c>
      <c r="R270" s="24">
        <v>24</v>
      </c>
      <c r="S270" s="24">
        <v>18</v>
      </c>
      <c r="T270" s="24">
        <v>18</v>
      </c>
      <c r="U270" s="25">
        <f t="shared" si="27"/>
        <v>1.2</v>
      </c>
      <c r="V270" s="25">
        <f t="shared" si="27"/>
        <v>1.5</v>
      </c>
      <c r="W270" s="25">
        <f t="shared" si="27"/>
        <v>0.78260869565217395</v>
      </c>
      <c r="X270" s="25">
        <f t="shared" si="28"/>
        <v>1.1608695652173913</v>
      </c>
    </row>
    <row r="271" spans="1:24" ht="15.75" customHeight="1">
      <c r="A271" s="1">
        <v>70601</v>
      </c>
      <c r="B271" s="2" t="s">
        <v>322</v>
      </c>
      <c r="C271" s="2" t="s">
        <v>344</v>
      </c>
      <c r="D271" s="3" t="s">
        <v>345</v>
      </c>
      <c r="E271" s="24">
        <v>75</v>
      </c>
      <c r="F271" s="24">
        <v>84</v>
      </c>
      <c r="G271" s="24">
        <v>84</v>
      </c>
      <c r="H271" s="24">
        <v>121</v>
      </c>
      <c r="I271" s="24">
        <v>175</v>
      </c>
      <c r="J271" s="24">
        <v>107</v>
      </c>
      <c r="K271" s="25">
        <f t="shared" si="25"/>
        <v>1.6133333333333333</v>
      </c>
      <c r="L271" s="25">
        <f t="shared" si="25"/>
        <v>2.0833333333333335</v>
      </c>
      <c r="M271" s="25">
        <f t="shared" si="25"/>
        <v>1.2738095238095237</v>
      </c>
      <c r="N271" s="25">
        <f t="shared" si="26"/>
        <v>1.656825396825397</v>
      </c>
      <c r="O271" s="24">
        <v>33</v>
      </c>
      <c r="P271" s="24">
        <v>42</v>
      </c>
      <c r="Q271" s="24">
        <v>22</v>
      </c>
      <c r="R271" s="24">
        <v>51</v>
      </c>
      <c r="S271" s="24">
        <v>53</v>
      </c>
      <c r="T271" s="24">
        <v>45</v>
      </c>
      <c r="U271" s="25">
        <f t="shared" si="27"/>
        <v>1.5454545454545454</v>
      </c>
      <c r="V271" s="25">
        <f t="shared" si="27"/>
        <v>1.2619047619047619</v>
      </c>
      <c r="W271" s="25">
        <f t="shared" si="27"/>
        <v>2.0454545454545454</v>
      </c>
      <c r="X271" s="25">
        <f t="shared" si="28"/>
        <v>1.6176046176046175</v>
      </c>
    </row>
    <row r="272" spans="1:24" ht="15.75" customHeight="1">
      <c r="A272" s="1">
        <v>70602</v>
      </c>
      <c r="B272" s="2" t="s">
        <v>322</v>
      </c>
      <c r="C272" s="2" t="s">
        <v>344</v>
      </c>
      <c r="D272" s="3" t="s">
        <v>346</v>
      </c>
      <c r="E272" s="24">
        <v>54</v>
      </c>
      <c r="F272" s="24">
        <v>109</v>
      </c>
      <c r="G272" s="24">
        <v>81</v>
      </c>
      <c r="H272" s="24">
        <v>90</v>
      </c>
      <c r="I272" s="24">
        <v>172</v>
      </c>
      <c r="J272" s="24">
        <v>100</v>
      </c>
      <c r="K272" s="25">
        <f t="shared" si="25"/>
        <v>1.6666666666666667</v>
      </c>
      <c r="L272" s="25">
        <f t="shared" si="25"/>
        <v>1.5779816513761469</v>
      </c>
      <c r="M272" s="25">
        <f t="shared" si="25"/>
        <v>1.2345679012345678</v>
      </c>
      <c r="N272" s="25">
        <f t="shared" si="26"/>
        <v>1.4930720730924605</v>
      </c>
      <c r="O272" s="24">
        <v>34</v>
      </c>
      <c r="P272" s="24">
        <v>37</v>
      </c>
      <c r="Q272" s="24">
        <v>27</v>
      </c>
      <c r="R272" s="24">
        <v>47</v>
      </c>
      <c r="S272" s="24">
        <v>64</v>
      </c>
      <c r="T272" s="24">
        <v>53</v>
      </c>
      <c r="U272" s="25">
        <f t="shared" si="27"/>
        <v>1.3823529411764706</v>
      </c>
      <c r="V272" s="25">
        <f t="shared" si="27"/>
        <v>1.7297297297297298</v>
      </c>
      <c r="W272" s="25">
        <f t="shared" si="27"/>
        <v>1.962962962962963</v>
      </c>
      <c r="X272" s="25">
        <f t="shared" si="28"/>
        <v>1.6916818779563878</v>
      </c>
    </row>
    <row r="273" spans="1:24" ht="15.75" customHeight="1">
      <c r="A273" s="1">
        <v>70603</v>
      </c>
      <c r="B273" s="2" t="s">
        <v>322</v>
      </c>
      <c r="C273" s="2" t="s">
        <v>344</v>
      </c>
      <c r="D273" s="3" t="s">
        <v>347</v>
      </c>
      <c r="E273" s="24">
        <v>36</v>
      </c>
      <c r="F273" s="24">
        <v>45</v>
      </c>
      <c r="G273" s="24">
        <v>37</v>
      </c>
      <c r="H273" s="24">
        <v>50</v>
      </c>
      <c r="I273" s="24">
        <v>56</v>
      </c>
      <c r="J273" s="24">
        <v>59</v>
      </c>
      <c r="K273" s="25">
        <f t="shared" si="25"/>
        <v>1.3888888888888888</v>
      </c>
      <c r="L273" s="25">
        <f t="shared" si="25"/>
        <v>1.2444444444444445</v>
      </c>
      <c r="M273" s="25">
        <f t="shared" si="25"/>
        <v>1.5945945945945945</v>
      </c>
      <c r="N273" s="25">
        <f t="shared" si="26"/>
        <v>1.4093093093093092</v>
      </c>
      <c r="O273" s="24">
        <v>11</v>
      </c>
      <c r="P273" s="24">
        <v>9</v>
      </c>
      <c r="Q273" s="24">
        <v>6</v>
      </c>
      <c r="R273" s="24">
        <v>25</v>
      </c>
      <c r="S273" s="24">
        <v>8</v>
      </c>
      <c r="T273" s="24">
        <v>10</v>
      </c>
      <c r="U273" s="25">
        <f t="shared" si="27"/>
        <v>2.2727272727272729</v>
      </c>
      <c r="V273" s="25">
        <f t="shared" si="27"/>
        <v>0.88888888888888884</v>
      </c>
      <c r="W273" s="25">
        <f t="shared" si="27"/>
        <v>1.6666666666666667</v>
      </c>
      <c r="X273" s="25">
        <f t="shared" si="28"/>
        <v>1.6094276094276097</v>
      </c>
    </row>
    <row r="274" spans="1:24" ht="15.75" customHeight="1">
      <c r="A274" s="1">
        <v>70701</v>
      </c>
      <c r="B274" s="2" t="s">
        <v>322</v>
      </c>
      <c r="C274" s="2" t="s">
        <v>348</v>
      </c>
      <c r="D274" s="3" t="s">
        <v>349</v>
      </c>
      <c r="E274" s="24">
        <v>11</v>
      </c>
      <c r="F274" s="24">
        <v>35</v>
      </c>
      <c r="G274" s="24">
        <v>27</v>
      </c>
      <c r="H274" s="24">
        <v>37</v>
      </c>
      <c r="I274" s="24">
        <v>39</v>
      </c>
      <c r="J274" s="24">
        <v>32</v>
      </c>
      <c r="K274" s="25">
        <f t="shared" si="25"/>
        <v>3.3636363636363638</v>
      </c>
      <c r="L274" s="25">
        <f t="shared" si="25"/>
        <v>1.1142857142857143</v>
      </c>
      <c r="M274" s="25">
        <f t="shared" si="25"/>
        <v>1.1851851851851851</v>
      </c>
      <c r="N274" s="25">
        <f t="shared" si="26"/>
        <v>1.8877024210357545</v>
      </c>
      <c r="O274" s="24">
        <v>11</v>
      </c>
      <c r="P274" s="24">
        <v>6</v>
      </c>
      <c r="Q274" s="24">
        <v>8</v>
      </c>
      <c r="R274" s="24">
        <v>16</v>
      </c>
      <c r="S274" s="24">
        <v>28</v>
      </c>
      <c r="T274" s="24">
        <v>18</v>
      </c>
      <c r="U274" s="25">
        <f t="shared" si="27"/>
        <v>1.4545454545454546</v>
      </c>
      <c r="V274" s="25">
        <f t="shared" si="27"/>
        <v>4.666666666666667</v>
      </c>
      <c r="W274" s="25">
        <f t="shared" si="27"/>
        <v>2.25</v>
      </c>
      <c r="X274" s="25">
        <f t="shared" si="28"/>
        <v>2.7904040404040402</v>
      </c>
    </row>
    <row r="275" spans="1:24" ht="15.75" customHeight="1">
      <c r="A275" s="1">
        <v>70702</v>
      </c>
      <c r="B275" s="2" t="s">
        <v>322</v>
      </c>
      <c r="C275" s="2" t="s">
        <v>348</v>
      </c>
      <c r="D275" s="3" t="s">
        <v>350</v>
      </c>
      <c r="E275" s="24">
        <v>102</v>
      </c>
      <c r="F275" s="24">
        <v>127</v>
      </c>
      <c r="G275" s="24">
        <v>130</v>
      </c>
      <c r="H275" s="24">
        <v>150</v>
      </c>
      <c r="I275" s="24">
        <v>182</v>
      </c>
      <c r="J275" s="24">
        <v>164</v>
      </c>
      <c r="K275" s="25">
        <f t="shared" si="25"/>
        <v>1.4705882352941178</v>
      </c>
      <c r="L275" s="25">
        <f t="shared" si="25"/>
        <v>1.4330708661417322</v>
      </c>
      <c r="M275" s="25">
        <f t="shared" si="25"/>
        <v>1.2615384615384615</v>
      </c>
      <c r="N275" s="25">
        <f t="shared" si="26"/>
        <v>1.3883991876581039</v>
      </c>
      <c r="O275" s="24">
        <v>48</v>
      </c>
      <c r="P275" s="24">
        <v>40</v>
      </c>
      <c r="Q275" s="24">
        <v>38</v>
      </c>
      <c r="R275" s="24">
        <v>46</v>
      </c>
      <c r="S275" s="24">
        <v>63</v>
      </c>
      <c r="T275" s="24">
        <v>71</v>
      </c>
      <c r="U275" s="25">
        <f t="shared" si="27"/>
        <v>0.95833333333333337</v>
      </c>
      <c r="V275" s="25">
        <f t="shared" si="27"/>
        <v>1.575</v>
      </c>
      <c r="W275" s="25">
        <f t="shared" si="27"/>
        <v>1.868421052631579</v>
      </c>
      <c r="X275" s="25">
        <f t="shared" si="28"/>
        <v>1.4672514619883039</v>
      </c>
    </row>
    <row r="276" spans="1:24" ht="15.75" customHeight="1">
      <c r="A276" s="1">
        <v>70703</v>
      </c>
      <c r="B276" s="2" t="s">
        <v>322</v>
      </c>
      <c r="C276" s="2" t="s">
        <v>348</v>
      </c>
      <c r="D276" s="3" t="s">
        <v>351</v>
      </c>
      <c r="E276" s="24">
        <v>44</v>
      </c>
      <c r="F276" s="24">
        <v>67</v>
      </c>
      <c r="G276" s="24">
        <v>64</v>
      </c>
      <c r="H276" s="24">
        <v>85</v>
      </c>
      <c r="I276" s="24">
        <v>107</v>
      </c>
      <c r="J276" s="24">
        <v>127</v>
      </c>
      <c r="K276" s="25">
        <f t="shared" si="25"/>
        <v>1.9318181818181819</v>
      </c>
      <c r="L276" s="25">
        <f t="shared" si="25"/>
        <v>1.5970149253731343</v>
      </c>
      <c r="M276" s="25">
        <f t="shared" si="25"/>
        <v>1.984375</v>
      </c>
      <c r="N276" s="25">
        <f t="shared" si="26"/>
        <v>1.8377360357304386</v>
      </c>
      <c r="O276" s="24">
        <v>37</v>
      </c>
      <c r="P276" s="24">
        <v>49</v>
      </c>
      <c r="Q276" s="24">
        <v>57</v>
      </c>
      <c r="R276" s="24">
        <v>66</v>
      </c>
      <c r="S276" s="24">
        <v>73</v>
      </c>
      <c r="T276" s="24">
        <v>91</v>
      </c>
      <c r="U276" s="25">
        <f t="shared" si="27"/>
        <v>1.7837837837837838</v>
      </c>
      <c r="V276" s="25">
        <f t="shared" si="27"/>
        <v>1.489795918367347</v>
      </c>
      <c r="W276" s="25">
        <f t="shared" si="27"/>
        <v>1.5964912280701755</v>
      </c>
      <c r="X276" s="25">
        <f t="shared" si="28"/>
        <v>1.6233569767404354</v>
      </c>
    </row>
    <row r="277" spans="1:24" ht="15.75" customHeight="1">
      <c r="A277" s="1">
        <v>70704</v>
      </c>
      <c r="B277" s="2" t="s">
        <v>322</v>
      </c>
      <c r="C277" s="2" t="s">
        <v>348</v>
      </c>
      <c r="D277" s="3" t="s">
        <v>352</v>
      </c>
      <c r="E277" s="24">
        <v>7</v>
      </c>
      <c r="F277" s="24">
        <v>14</v>
      </c>
      <c r="G277" s="24">
        <v>17</v>
      </c>
      <c r="H277" s="24">
        <v>22</v>
      </c>
      <c r="I277" s="24">
        <v>44</v>
      </c>
      <c r="J277" s="24">
        <v>34</v>
      </c>
      <c r="K277" s="25">
        <f t="shared" si="25"/>
        <v>3.1428571428571428</v>
      </c>
      <c r="L277" s="25">
        <f t="shared" si="25"/>
        <v>3.1428571428571428</v>
      </c>
      <c r="M277" s="25">
        <f t="shared" si="25"/>
        <v>2</v>
      </c>
      <c r="N277" s="25">
        <f t="shared" si="26"/>
        <v>2.7619047619047614</v>
      </c>
      <c r="O277" s="24">
        <v>8</v>
      </c>
      <c r="P277" s="24">
        <v>2</v>
      </c>
      <c r="Q277" s="24">
        <v>5</v>
      </c>
      <c r="R277" s="24">
        <v>6</v>
      </c>
      <c r="S277" s="24">
        <v>15</v>
      </c>
      <c r="T277" s="24">
        <v>8</v>
      </c>
      <c r="U277" s="25">
        <f t="shared" si="27"/>
        <v>0.75</v>
      </c>
      <c r="V277" s="25">
        <f t="shared" si="27"/>
        <v>7.5</v>
      </c>
      <c r="W277" s="25">
        <f t="shared" si="27"/>
        <v>1.6</v>
      </c>
      <c r="X277" s="25">
        <f t="shared" si="28"/>
        <v>3.2833333333333332</v>
      </c>
    </row>
    <row r="278" spans="1:24" ht="15.75" customHeight="1">
      <c r="A278" s="1">
        <v>70705</v>
      </c>
      <c r="B278" s="2" t="s">
        <v>322</v>
      </c>
      <c r="C278" s="2" t="s">
        <v>348</v>
      </c>
      <c r="D278" s="3" t="s">
        <v>353</v>
      </c>
      <c r="E278" s="24">
        <v>47</v>
      </c>
      <c r="F278" s="24">
        <v>70</v>
      </c>
      <c r="G278" s="24">
        <v>51</v>
      </c>
      <c r="H278" s="24">
        <v>80</v>
      </c>
      <c r="I278" s="24">
        <v>108</v>
      </c>
      <c r="J278" s="24">
        <v>75</v>
      </c>
      <c r="K278" s="25">
        <f t="shared" si="25"/>
        <v>1.7021276595744681</v>
      </c>
      <c r="L278" s="25">
        <f t="shared" si="25"/>
        <v>1.5428571428571429</v>
      </c>
      <c r="M278" s="25">
        <f t="shared" si="25"/>
        <v>1.4705882352941178</v>
      </c>
      <c r="N278" s="25">
        <f t="shared" si="26"/>
        <v>1.5718576792419097</v>
      </c>
      <c r="O278" s="24">
        <v>23</v>
      </c>
      <c r="P278" s="24">
        <v>25</v>
      </c>
      <c r="Q278" s="24">
        <v>42</v>
      </c>
      <c r="R278" s="24">
        <v>32</v>
      </c>
      <c r="S278" s="24">
        <v>45</v>
      </c>
      <c r="T278" s="24">
        <v>44</v>
      </c>
      <c r="U278" s="25">
        <f t="shared" si="27"/>
        <v>1.3913043478260869</v>
      </c>
      <c r="V278" s="25">
        <f t="shared" si="27"/>
        <v>1.8</v>
      </c>
      <c r="W278" s="25">
        <f t="shared" si="27"/>
        <v>1.0476190476190477</v>
      </c>
      <c r="X278" s="25">
        <f t="shared" si="28"/>
        <v>1.412974465148378</v>
      </c>
    </row>
    <row r="279" spans="1:24" ht="15.75" customHeight="1">
      <c r="A279" s="1">
        <v>70706</v>
      </c>
      <c r="B279" s="2" t="s">
        <v>322</v>
      </c>
      <c r="C279" s="2" t="s">
        <v>348</v>
      </c>
      <c r="D279" s="3" t="s">
        <v>354</v>
      </c>
      <c r="E279" s="24">
        <v>104</v>
      </c>
      <c r="F279" s="24">
        <v>106</v>
      </c>
      <c r="G279" s="24">
        <v>103</v>
      </c>
      <c r="H279" s="24">
        <v>129</v>
      </c>
      <c r="I279" s="24">
        <v>143</v>
      </c>
      <c r="J279" s="24">
        <v>154</v>
      </c>
      <c r="K279" s="25">
        <f t="shared" si="25"/>
        <v>1.2403846153846154</v>
      </c>
      <c r="L279" s="25">
        <f t="shared" si="25"/>
        <v>1.3490566037735849</v>
      </c>
      <c r="M279" s="25">
        <f t="shared" si="25"/>
        <v>1.4951456310679612</v>
      </c>
      <c r="N279" s="25">
        <f t="shared" si="26"/>
        <v>1.3615289500753871</v>
      </c>
      <c r="O279" s="24">
        <v>38</v>
      </c>
      <c r="P279" s="24">
        <v>33</v>
      </c>
      <c r="Q279" s="24">
        <v>49</v>
      </c>
      <c r="R279" s="24">
        <v>53</v>
      </c>
      <c r="S279" s="24">
        <v>47</v>
      </c>
      <c r="T279" s="24">
        <v>78</v>
      </c>
      <c r="U279" s="25">
        <f t="shared" si="27"/>
        <v>1.3947368421052631</v>
      </c>
      <c r="V279" s="25">
        <f t="shared" si="27"/>
        <v>1.4242424242424243</v>
      </c>
      <c r="W279" s="25">
        <f t="shared" si="27"/>
        <v>1.5918367346938775</v>
      </c>
      <c r="X279" s="25">
        <f t="shared" si="28"/>
        <v>1.4702720003471885</v>
      </c>
    </row>
    <row r="280" spans="1:24" ht="15.75" customHeight="1">
      <c r="A280" s="1">
        <v>70707</v>
      </c>
      <c r="B280" s="2" t="s">
        <v>322</v>
      </c>
      <c r="C280" s="2" t="s">
        <v>348</v>
      </c>
      <c r="D280" s="3" t="s">
        <v>355</v>
      </c>
      <c r="E280" s="24">
        <v>20</v>
      </c>
      <c r="F280" s="24">
        <v>11</v>
      </c>
      <c r="G280" s="24">
        <v>27</v>
      </c>
      <c r="H280" s="24">
        <v>24</v>
      </c>
      <c r="I280" s="24">
        <v>30</v>
      </c>
      <c r="J280" s="24">
        <v>20</v>
      </c>
      <c r="K280" s="25">
        <f t="shared" si="25"/>
        <v>1.2</v>
      </c>
      <c r="L280" s="25">
        <f t="shared" si="25"/>
        <v>2.7272727272727271</v>
      </c>
      <c r="M280" s="25">
        <f t="shared" si="25"/>
        <v>0.7407407407407407</v>
      </c>
      <c r="N280" s="25">
        <f t="shared" si="26"/>
        <v>1.5560044893378224</v>
      </c>
      <c r="O280" s="24">
        <v>3</v>
      </c>
      <c r="P280" s="24">
        <v>3</v>
      </c>
      <c r="Q280" s="24">
        <v>7</v>
      </c>
      <c r="R280" s="24">
        <v>5</v>
      </c>
      <c r="S280" s="24">
        <v>4</v>
      </c>
      <c r="T280" s="24">
        <v>6</v>
      </c>
      <c r="U280" s="25">
        <f t="shared" si="27"/>
        <v>1.6666666666666667</v>
      </c>
      <c r="V280" s="25">
        <f t="shared" si="27"/>
        <v>1.3333333333333333</v>
      </c>
      <c r="W280" s="25">
        <f t="shared" si="27"/>
        <v>0.8571428571428571</v>
      </c>
      <c r="X280" s="25">
        <f t="shared" si="28"/>
        <v>1.2857142857142858</v>
      </c>
    </row>
    <row r="281" spans="1:24" ht="15.75" customHeight="1">
      <c r="A281" s="1">
        <v>70801</v>
      </c>
      <c r="B281" s="2" t="s">
        <v>322</v>
      </c>
      <c r="C281" s="2" t="s">
        <v>356</v>
      </c>
      <c r="D281" s="3" t="s">
        <v>356</v>
      </c>
      <c r="E281" s="24">
        <v>54</v>
      </c>
      <c r="F281" s="24">
        <v>57</v>
      </c>
      <c r="G281" s="24">
        <v>69</v>
      </c>
      <c r="H281" s="24">
        <v>92</v>
      </c>
      <c r="I281" s="24">
        <v>92</v>
      </c>
      <c r="J281" s="24">
        <v>95</v>
      </c>
      <c r="K281" s="25">
        <f t="shared" si="25"/>
        <v>1.7037037037037037</v>
      </c>
      <c r="L281" s="25">
        <f t="shared" si="25"/>
        <v>1.6140350877192982</v>
      </c>
      <c r="M281" s="25">
        <f t="shared" si="25"/>
        <v>1.3768115942028984</v>
      </c>
      <c r="N281" s="25">
        <f t="shared" si="26"/>
        <v>1.5648501285419669</v>
      </c>
      <c r="O281" s="24">
        <v>11</v>
      </c>
      <c r="P281" s="24">
        <v>10</v>
      </c>
      <c r="Q281" s="24">
        <v>8</v>
      </c>
      <c r="R281" s="24">
        <v>21</v>
      </c>
      <c r="S281" s="24">
        <v>27</v>
      </c>
      <c r="T281" s="24">
        <v>37</v>
      </c>
      <c r="U281" s="25">
        <f t="shared" si="27"/>
        <v>1.9090909090909092</v>
      </c>
      <c r="V281" s="25">
        <f t="shared" si="27"/>
        <v>2.7</v>
      </c>
      <c r="W281" s="25">
        <f t="shared" si="27"/>
        <v>4.625</v>
      </c>
      <c r="X281" s="25">
        <f t="shared" si="28"/>
        <v>3.0780303030303031</v>
      </c>
    </row>
    <row r="282" spans="1:24" ht="15.75" customHeight="1">
      <c r="A282" s="1">
        <v>70802</v>
      </c>
      <c r="B282" s="2" t="s">
        <v>322</v>
      </c>
      <c r="C282" s="2" t="s">
        <v>356</v>
      </c>
      <c r="D282" s="3" t="s">
        <v>357</v>
      </c>
      <c r="E282" s="24">
        <v>5</v>
      </c>
      <c r="F282" s="24">
        <v>11</v>
      </c>
      <c r="G282" s="24">
        <v>3</v>
      </c>
      <c r="H282" s="24">
        <v>6</v>
      </c>
      <c r="I282" s="24">
        <v>11</v>
      </c>
      <c r="J282" s="24">
        <v>10</v>
      </c>
      <c r="K282" s="25">
        <f t="shared" si="25"/>
        <v>1.2</v>
      </c>
      <c r="L282" s="25">
        <f t="shared" si="25"/>
        <v>1</v>
      </c>
      <c r="M282" s="25">
        <f t="shared" si="25"/>
        <v>3.3333333333333335</v>
      </c>
      <c r="N282" s="25">
        <f t="shared" si="26"/>
        <v>1.8444444444444443</v>
      </c>
      <c r="O282" s="24">
        <v>1</v>
      </c>
      <c r="P282" s="24">
        <v>0</v>
      </c>
      <c r="Q282" s="24"/>
      <c r="R282" s="24">
        <v>4</v>
      </c>
      <c r="S282" s="24">
        <v>1</v>
      </c>
      <c r="T282" s="24"/>
      <c r="U282" s="25">
        <f t="shared" si="27"/>
        <v>4</v>
      </c>
      <c r="V282" s="25"/>
      <c r="W282" s="25"/>
      <c r="X282" s="25">
        <f t="shared" si="28"/>
        <v>4</v>
      </c>
    </row>
    <row r="283" spans="1:24" ht="15.75" customHeight="1">
      <c r="A283" s="1">
        <v>70803</v>
      </c>
      <c r="B283" s="2" t="s">
        <v>322</v>
      </c>
      <c r="C283" s="2" t="s">
        <v>356</v>
      </c>
      <c r="D283" s="3" t="s">
        <v>358</v>
      </c>
      <c r="E283" s="24">
        <v>10</v>
      </c>
      <c r="F283" s="24">
        <v>6</v>
      </c>
      <c r="G283" s="24">
        <v>14</v>
      </c>
      <c r="H283" s="24">
        <v>13</v>
      </c>
      <c r="I283" s="24">
        <v>13</v>
      </c>
      <c r="J283" s="24">
        <v>22</v>
      </c>
      <c r="K283" s="25">
        <f t="shared" si="25"/>
        <v>1.3</v>
      </c>
      <c r="L283" s="25">
        <f t="shared" si="25"/>
        <v>2.1666666666666665</v>
      </c>
      <c r="M283" s="25">
        <f t="shared" si="25"/>
        <v>1.5714285714285714</v>
      </c>
      <c r="N283" s="25">
        <f t="shared" si="26"/>
        <v>1.6793650793650794</v>
      </c>
      <c r="O283" s="24">
        <v>7</v>
      </c>
      <c r="P283" s="24">
        <v>5</v>
      </c>
      <c r="Q283" s="24">
        <v>2</v>
      </c>
      <c r="R283" s="24">
        <v>16</v>
      </c>
      <c r="S283" s="24">
        <v>10</v>
      </c>
      <c r="T283" s="24">
        <v>6</v>
      </c>
      <c r="U283" s="25">
        <f t="shared" si="27"/>
        <v>2.2857142857142856</v>
      </c>
      <c r="V283" s="25">
        <f t="shared" si="27"/>
        <v>2</v>
      </c>
      <c r="W283" s="25">
        <f t="shared" si="27"/>
        <v>3</v>
      </c>
      <c r="X283" s="25">
        <f t="shared" si="28"/>
        <v>2.4285714285714284</v>
      </c>
    </row>
    <row r="284" spans="1:24" ht="15.75" customHeight="1">
      <c r="A284" s="1">
        <v>70804</v>
      </c>
      <c r="B284" s="2" t="s">
        <v>322</v>
      </c>
      <c r="C284" s="2" t="s">
        <v>356</v>
      </c>
      <c r="D284" s="3" t="s">
        <v>359</v>
      </c>
      <c r="E284" s="24">
        <v>2</v>
      </c>
      <c r="F284" s="24">
        <v>14</v>
      </c>
      <c r="G284" s="24">
        <v>9</v>
      </c>
      <c r="H284" s="24">
        <v>6</v>
      </c>
      <c r="I284" s="24">
        <v>21</v>
      </c>
      <c r="J284" s="24">
        <v>18</v>
      </c>
      <c r="K284" s="25">
        <f t="shared" si="25"/>
        <v>3</v>
      </c>
      <c r="L284" s="25">
        <f t="shared" si="25"/>
        <v>1.5</v>
      </c>
      <c r="M284" s="25">
        <f t="shared" si="25"/>
        <v>2</v>
      </c>
      <c r="N284" s="25">
        <f t="shared" si="26"/>
        <v>2.1666666666666665</v>
      </c>
      <c r="O284" s="24">
        <v>0</v>
      </c>
      <c r="P284" s="24">
        <v>1</v>
      </c>
      <c r="Q284" s="24">
        <v>1</v>
      </c>
      <c r="R284" s="24">
        <v>1</v>
      </c>
      <c r="S284" s="24">
        <v>2</v>
      </c>
      <c r="T284" s="24">
        <v>1</v>
      </c>
      <c r="U284" s="25"/>
      <c r="V284" s="25">
        <f t="shared" si="27"/>
        <v>2</v>
      </c>
      <c r="W284" s="25">
        <f t="shared" si="27"/>
        <v>1</v>
      </c>
      <c r="X284" s="25">
        <f t="shared" si="28"/>
        <v>1.5</v>
      </c>
    </row>
    <row r="285" spans="1:24" ht="15.75" customHeight="1">
      <c r="A285" s="1">
        <v>70805</v>
      </c>
      <c r="B285" s="2" t="s">
        <v>322</v>
      </c>
      <c r="C285" s="2" t="s">
        <v>356</v>
      </c>
      <c r="D285" s="3" t="s">
        <v>360</v>
      </c>
      <c r="E285" s="24">
        <v>11</v>
      </c>
      <c r="F285" s="24">
        <v>1</v>
      </c>
      <c r="G285" s="24">
        <v>7</v>
      </c>
      <c r="H285" s="24">
        <v>11</v>
      </c>
      <c r="I285" s="24">
        <v>4</v>
      </c>
      <c r="J285" s="24">
        <v>12</v>
      </c>
      <c r="K285" s="25">
        <f t="shared" si="25"/>
        <v>1</v>
      </c>
      <c r="L285" s="25">
        <f t="shared" si="25"/>
        <v>4</v>
      </c>
      <c r="M285" s="25">
        <f t="shared" si="25"/>
        <v>1.7142857142857142</v>
      </c>
      <c r="N285" s="25">
        <f t="shared" si="26"/>
        <v>2.2380952380952381</v>
      </c>
      <c r="O285" s="24">
        <v>0</v>
      </c>
      <c r="P285" s="24">
        <v>0</v>
      </c>
      <c r="Q285" s="24">
        <v>0</v>
      </c>
      <c r="R285" s="24">
        <v>1</v>
      </c>
      <c r="S285" s="24">
        <v>2</v>
      </c>
      <c r="T285" s="24">
        <v>2</v>
      </c>
      <c r="U285" s="25"/>
      <c r="V285" s="25"/>
      <c r="W285" s="25"/>
      <c r="X285" s="25"/>
    </row>
    <row r="286" spans="1:24" ht="15.75" customHeight="1">
      <c r="A286" s="1">
        <v>70901</v>
      </c>
      <c r="B286" s="2" t="s">
        <v>322</v>
      </c>
      <c r="C286" s="2" t="s">
        <v>361</v>
      </c>
      <c r="D286" s="3" t="s">
        <v>362</v>
      </c>
      <c r="E286" s="24">
        <v>39</v>
      </c>
      <c r="F286" s="24">
        <v>36</v>
      </c>
      <c r="G286" s="24">
        <v>26</v>
      </c>
      <c r="H286" s="24">
        <v>57</v>
      </c>
      <c r="I286" s="24">
        <v>59</v>
      </c>
      <c r="J286" s="24">
        <v>32</v>
      </c>
      <c r="K286" s="25">
        <f t="shared" si="25"/>
        <v>1.4615384615384615</v>
      </c>
      <c r="L286" s="25">
        <f t="shared" si="25"/>
        <v>1.6388888888888888</v>
      </c>
      <c r="M286" s="25">
        <f t="shared" si="25"/>
        <v>1.2307692307692308</v>
      </c>
      <c r="N286" s="25">
        <f t="shared" si="26"/>
        <v>1.4437321937321936</v>
      </c>
      <c r="O286" s="24">
        <v>8</v>
      </c>
      <c r="P286" s="24">
        <v>12</v>
      </c>
      <c r="Q286" s="24">
        <v>14</v>
      </c>
      <c r="R286" s="24">
        <v>16</v>
      </c>
      <c r="S286" s="24">
        <v>14</v>
      </c>
      <c r="T286" s="24">
        <v>16</v>
      </c>
      <c r="U286" s="25">
        <f t="shared" si="27"/>
        <v>2</v>
      </c>
      <c r="V286" s="25">
        <f t="shared" si="27"/>
        <v>1.1666666666666667</v>
      </c>
      <c r="W286" s="25">
        <f t="shared" si="27"/>
        <v>1.1428571428571428</v>
      </c>
      <c r="X286" s="25">
        <f t="shared" si="28"/>
        <v>1.4365079365079367</v>
      </c>
    </row>
    <row r="287" spans="1:24" ht="15.75" customHeight="1">
      <c r="A287" s="1">
        <v>70902</v>
      </c>
      <c r="B287" s="2" t="s">
        <v>322</v>
      </c>
      <c r="C287" s="2" t="s">
        <v>361</v>
      </c>
      <c r="D287" s="3" t="s">
        <v>363</v>
      </c>
      <c r="E287" s="24">
        <v>20</v>
      </c>
      <c r="F287" s="24">
        <v>18</v>
      </c>
      <c r="G287" s="24">
        <v>20</v>
      </c>
      <c r="H287" s="24">
        <v>44</v>
      </c>
      <c r="I287" s="24">
        <v>27</v>
      </c>
      <c r="J287" s="24">
        <v>40</v>
      </c>
      <c r="K287" s="25">
        <f t="shared" si="25"/>
        <v>2.2000000000000002</v>
      </c>
      <c r="L287" s="25">
        <f t="shared" si="25"/>
        <v>1.5</v>
      </c>
      <c r="M287" s="25">
        <f t="shared" si="25"/>
        <v>2</v>
      </c>
      <c r="N287" s="25">
        <f t="shared" si="26"/>
        <v>1.9000000000000001</v>
      </c>
      <c r="O287" s="24">
        <v>10</v>
      </c>
      <c r="P287" s="24">
        <v>7</v>
      </c>
      <c r="Q287" s="24">
        <v>9</v>
      </c>
      <c r="R287" s="24">
        <v>27</v>
      </c>
      <c r="S287" s="24">
        <v>29</v>
      </c>
      <c r="T287" s="24">
        <v>14</v>
      </c>
      <c r="U287" s="25">
        <f t="shared" si="27"/>
        <v>2.7</v>
      </c>
      <c r="V287" s="25">
        <f t="shared" si="27"/>
        <v>4.1428571428571432</v>
      </c>
      <c r="W287" s="25">
        <f t="shared" si="27"/>
        <v>1.5555555555555556</v>
      </c>
      <c r="X287" s="25">
        <f t="shared" si="28"/>
        <v>2.7994708994708994</v>
      </c>
    </row>
    <row r="288" spans="1:24" ht="15.75" customHeight="1">
      <c r="A288" s="1">
        <v>70903</v>
      </c>
      <c r="B288" s="2" t="s">
        <v>322</v>
      </c>
      <c r="C288" s="2" t="s">
        <v>361</v>
      </c>
      <c r="D288" s="3" t="s">
        <v>364</v>
      </c>
      <c r="E288" s="24">
        <v>41</v>
      </c>
      <c r="F288" s="24">
        <v>47</v>
      </c>
      <c r="G288" s="24">
        <v>39</v>
      </c>
      <c r="H288" s="24">
        <v>43</v>
      </c>
      <c r="I288" s="24">
        <v>105</v>
      </c>
      <c r="J288" s="24">
        <v>60</v>
      </c>
      <c r="K288" s="25">
        <f t="shared" si="25"/>
        <v>1.0487804878048781</v>
      </c>
      <c r="L288" s="25">
        <f t="shared" si="25"/>
        <v>2.2340425531914891</v>
      </c>
      <c r="M288" s="25">
        <f t="shared" si="25"/>
        <v>1.5384615384615385</v>
      </c>
      <c r="N288" s="25">
        <f t="shared" si="26"/>
        <v>1.607094859819302</v>
      </c>
      <c r="O288" s="24">
        <v>27</v>
      </c>
      <c r="P288" s="24">
        <v>37</v>
      </c>
      <c r="Q288" s="24">
        <v>18</v>
      </c>
      <c r="R288" s="24">
        <v>61</v>
      </c>
      <c r="S288" s="24">
        <v>51</v>
      </c>
      <c r="T288" s="24">
        <v>53</v>
      </c>
      <c r="U288" s="25">
        <f t="shared" si="27"/>
        <v>2.2592592592592591</v>
      </c>
      <c r="V288" s="25">
        <f t="shared" si="27"/>
        <v>1.3783783783783783</v>
      </c>
      <c r="W288" s="25">
        <f t="shared" si="27"/>
        <v>2.9444444444444446</v>
      </c>
      <c r="X288" s="25">
        <f t="shared" si="28"/>
        <v>2.1940273606940273</v>
      </c>
    </row>
    <row r="289" spans="1:24" ht="15.75" customHeight="1">
      <c r="A289" s="1">
        <v>70904</v>
      </c>
      <c r="B289" s="2" t="s">
        <v>322</v>
      </c>
      <c r="C289" s="2" t="s">
        <v>361</v>
      </c>
      <c r="D289" s="3" t="s">
        <v>365</v>
      </c>
      <c r="E289" s="24">
        <v>6</v>
      </c>
      <c r="F289" s="24">
        <v>2</v>
      </c>
      <c r="G289" s="24">
        <v>9</v>
      </c>
      <c r="H289" s="24">
        <v>9</v>
      </c>
      <c r="I289" s="24">
        <v>4</v>
      </c>
      <c r="J289" s="24">
        <v>17</v>
      </c>
      <c r="K289" s="25">
        <f t="shared" si="25"/>
        <v>1.5</v>
      </c>
      <c r="L289" s="25">
        <f t="shared" si="25"/>
        <v>2</v>
      </c>
      <c r="M289" s="25">
        <f t="shared" si="25"/>
        <v>1.8888888888888888</v>
      </c>
      <c r="N289" s="25">
        <f t="shared" si="26"/>
        <v>1.7962962962962965</v>
      </c>
      <c r="O289" s="24">
        <v>0</v>
      </c>
      <c r="P289" s="24">
        <v>1</v>
      </c>
      <c r="Q289" s="24">
        <v>1</v>
      </c>
      <c r="R289" s="24">
        <v>2</v>
      </c>
      <c r="S289" s="24">
        <v>0</v>
      </c>
      <c r="T289" s="24">
        <v>1</v>
      </c>
      <c r="U289" s="25"/>
      <c r="V289" s="25">
        <f t="shared" si="27"/>
        <v>0</v>
      </c>
      <c r="W289" s="25">
        <f t="shared" si="27"/>
        <v>1</v>
      </c>
      <c r="X289" s="25">
        <f t="shared" si="28"/>
        <v>0.5</v>
      </c>
    </row>
    <row r="290" spans="1:24" ht="15.75" customHeight="1">
      <c r="A290" s="1">
        <v>71001</v>
      </c>
      <c r="B290" s="2" t="s">
        <v>322</v>
      </c>
      <c r="C290" s="2" t="s">
        <v>366</v>
      </c>
      <c r="D290" s="3" t="s">
        <v>367</v>
      </c>
      <c r="E290" s="24">
        <v>335</v>
      </c>
      <c r="F290" s="24">
        <v>468</v>
      </c>
      <c r="G290" s="24">
        <v>493</v>
      </c>
      <c r="H290" s="24">
        <v>518</v>
      </c>
      <c r="I290" s="24">
        <v>705</v>
      </c>
      <c r="J290" s="24">
        <v>743</v>
      </c>
      <c r="K290" s="25">
        <f t="shared" si="25"/>
        <v>1.5462686567164179</v>
      </c>
      <c r="L290" s="25">
        <f t="shared" si="25"/>
        <v>1.5064102564102564</v>
      </c>
      <c r="M290" s="25">
        <f t="shared" si="25"/>
        <v>1.5070993914807302</v>
      </c>
      <c r="N290" s="25">
        <f t="shared" si="26"/>
        <v>1.5199261015358012</v>
      </c>
      <c r="O290" s="24">
        <v>243</v>
      </c>
      <c r="P290" s="24">
        <v>233</v>
      </c>
      <c r="Q290" s="24">
        <v>265</v>
      </c>
      <c r="R290" s="24">
        <v>279</v>
      </c>
      <c r="S290" s="24">
        <v>320</v>
      </c>
      <c r="T290" s="24">
        <v>331</v>
      </c>
      <c r="U290" s="25">
        <f t="shared" si="27"/>
        <v>1.1481481481481481</v>
      </c>
      <c r="V290" s="25">
        <f t="shared" si="27"/>
        <v>1.3733905579399142</v>
      </c>
      <c r="W290" s="25">
        <f t="shared" si="27"/>
        <v>1.2490566037735849</v>
      </c>
      <c r="X290" s="25">
        <f t="shared" si="28"/>
        <v>1.2568651032872158</v>
      </c>
    </row>
    <row r="291" spans="1:24" ht="15.75" customHeight="1">
      <c r="A291" s="1">
        <v>71002</v>
      </c>
      <c r="B291" s="2" t="s">
        <v>322</v>
      </c>
      <c r="C291" s="2" t="s">
        <v>366</v>
      </c>
      <c r="D291" s="3" t="s">
        <v>368</v>
      </c>
      <c r="E291" s="24">
        <v>64</v>
      </c>
      <c r="F291" s="24">
        <v>75</v>
      </c>
      <c r="G291" s="24">
        <v>65</v>
      </c>
      <c r="H291" s="24">
        <v>99</v>
      </c>
      <c r="I291" s="24">
        <v>130</v>
      </c>
      <c r="J291" s="24">
        <v>102</v>
      </c>
      <c r="K291" s="25">
        <f t="shared" si="25"/>
        <v>1.546875</v>
      </c>
      <c r="L291" s="25">
        <f t="shared" si="25"/>
        <v>1.7333333333333334</v>
      </c>
      <c r="M291" s="25">
        <f t="shared" si="25"/>
        <v>1.5692307692307692</v>
      </c>
      <c r="N291" s="25">
        <f t="shared" si="26"/>
        <v>1.6164797008547007</v>
      </c>
      <c r="O291" s="24">
        <v>41</v>
      </c>
      <c r="P291" s="24">
        <v>23</v>
      </c>
      <c r="Q291" s="24">
        <v>31</v>
      </c>
      <c r="R291" s="24">
        <v>42</v>
      </c>
      <c r="S291" s="24">
        <v>25</v>
      </c>
      <c r="T291" s="24">
        <v>41</v>
      </c>
      <c r="U291" s="25">
        <f t="shared" si="27"/>
        <v>1.024390243902439</v>
      </c>
      <c r="V291" s="25">
        <f t="shared" si="27"/>
        <v>1.0869565217391304</v>
      </c>
      <c r="W291" s="25">
        <f t="shared" si="27"/>
        <v>1.3225806451612903</v>
      </c>
      <c r="X291" s="25">
        <f t="shared" si="28"/>
        <v>1.1446424702676199</v>
      </c>
    </row>
    <row r="292" spans="1:24" ht="15.75" customHeight="1">
      <c r="A292" s="1">
        <v>71003</v>
      </c>
      <c r="B292" s="2" t="s">
        <v>322</v>
      </c>
      <c r="C292" s="2" t="s">
        <v>366</v>
      </c>
      <c r="D292" s="3" t="s">
        <v>369</v>
      </c>
      <c r="E292" s="24">
        <v>83</v>
      </c>
      <c r="F292" s="24">
        <v>85</v>
      </c>
      <c r="G292" s="24">
        <v>125</v>
      </c>
      <c r="H292" s="24">
        <v>126</v>
      </c>
      <c r="I292" s="24">
        <v>131</v>
      </c>
      <c r="J292" s="24">
        <v>174</v>
      </c>
      <c r="K292" s="25">
        <f t="shared" si="25"/>
        <v>1.5180722891566265</v>
      </c>
      <c r="L292" s="25">
        <f t="shared" si="25"/>
        <v>1.5411764705882354</v>
      </c>
      <c r="M292" s="25">
        <f t="shared" si="25"/>
        <v>1.3919999999999999</v>
      </c>
      <c r="N292" s="25">
        <f t="shared" si="26"/>
        <v>1.4837495865816208</v>
      </c>
      <c r="O292" s="24">
        <v>37</v>
      </c>
      <c r="P292" s="24">
        <v>34</v>
      </c>
      <c r="Q292" s="24">
        <v>74</v>
      </c>
      <c r="R292" s="24">
        <v>64</v>
      </c>
      <c r="S292" s="24">
        <v>36</v>
      </c>
      <c r="T292" s="24">
        <v>92</v>
      </c>
      <c r="U292" s="25">
        <f t="shared" si="27"/>
        <v>1.7297297297297298</v>
      </c>
      <c r="V292" s="25">
        <f t="shared" si="27"/>
        <v>1.0588235294117647</v>
      </c>
      <c r="W292" s="25">
        <f t="shared" si="27"/>
        <v>1.2432432432432432</v>
      </c>
      <c r="X292" s="25">
        <f t="shared" si="28"/>
        <v>1.3439321674615792</v>
      </c>
    </row>
    <row r="293" spans="1:24" ht="15.75" customHeight="1">
      <c r="A293" s="1">
        <v>71004</v>
      </c>
      <c r="B293" s="2" t="s">
        <v>322</v>
      </c>
      <c r="C293" s="2" t="s">
        <v>366</v>
      </c>
      <c r="D293" s="3" t="s">
        <v>370</v>
      </c>
      <c r="E293" s="24">
        <v>41</v>
      </c>
      <c r="F293" s="24">
        <v>39</v>
      </c>
      <c r="G293" s="24">
        <v>60</v>
      </c>
      <c r="H293" s="24">
        <v>62</v>
      </c>
      <c r="I293" s="24">
        <v>60</v>
      </c>
      <c r="J293" s="24">
        <v>58</v>
      </c>
      <c r="K293" s="25">
        <f t="shared" si="25"/>
        <v>1.5121951219512195</v>
      </c>
      <c r="L293" s="25">
        <f t="shared" si="25"/>
        <v>1.5384615384615385</v>
      </c>
      <c r="M293" s="25">
        <f t="shared" si="25"/>
        <v>0.96666666666666667</v>
      </c>
      <c r="N293" s="25">
        <f t="shared" si="26"/>
        <v>1.3391077756931418</v>
      </c>
      <c r="O293" s="24">
        <v>14</v>
      </c>
      <c r="P293" s="24">
        <v>16</v>
      </c>
      <c r="Q293" s="24">
        <v>15</v>
      </c>
      <c r="R293" s="24">
        <v>32</v>
      </c>
      <c r="S293" s="24">
        <v>28</v>
      </c>
      <c r="T293" s="24">
        <v>47</v>
      </c>
      <c r="U293" s="25">
        <f t="shared" si="27"/>
        <v>2.2857142857142856</v>
      </c>
      <c r="V293" s="25">
        <f t="shared" si="27"/>
        <v>1.75</v>
      </c>
      <c r="W293" s="25">
        <f t="shared" si="27"/>
        <v>3.1333333333333333</v>
      </c>
      <c r="X293" s="25">
        <f t="shared" si="28"/>
        <v>2.3896825396825396</v>
      </c>
    </row>
    <row r="294" spans="1:24" ht="15.75" customHeight="1">
      <c r="A294" s="1">
        <v>71005</v>
      </c>
      <c r="B294" s="2" t="s">
        <v>322</v>
      </c>
      <c r="C294" s="2" t="s">
        <v>366</v>
      </c>
      <c r="D294" s="3" t="s">
        <v>371</v>
      </c>
      <c r="E294" s="24">
        <v>41</v>
      </c>
      <c r="F294" s="24">
        <v>53</v>
      </c>
      <c r="G294" s="24">
        <v>44</v>
      </c>
      <c r="H294" s="24">
        <v>77</v>
      </c>
      <c r="I294" s="24">
        <v>80</v>
      </c>
      <c r="J294" s="24">
        <v>90</v>
      </c>
      <c r="K294" s="25">
        <f t="shared" si="25"/>
        <v>1.8780487804878048</v>
      </c>
      <c r="L294" s="25">
        <f t="shared" si="25"/>
        <v>1.5094339622641511</v>
      </c>
      <c r="M294" s="25">
        <f t="shared" si="25"/>
        <v>2.0454545454545454</v>
      </c>
      <c r="N294" s="25">
        <f t="shared" si="26"/>
        <v>1.8109790960688337</v>
      </c>
      <c r="O294" s="24">
        <v>25</v>
      </c>
      <c r="P294" s="24">
        <v>13</v>
      </c>
      <c r="Q294" s="24">
        <v>23</v>
      </c>
      <c r="R294" s="24">
        <v>21</v>
      </c>
      <c r="S294" s="24">
        <v>33</v>
      </c>
      <c r="T294" s="24">
        <v>31</v>
      </c>
      <c r="U294" s="25">
        <f t="shared" si="27"/>
        <v>0.84</v>
      </c>
      <c r="V294" s="25">
        <f t="shared" si="27"/>
        <v>2.5384615384615383</v>
      </c>
      <c r="W294" s="25">
        <f t="shared" si="27"/>
        <v>1.3478260869565217</v>
      </c>
      <c r="X294" s="25">
        <f t="shared" si="28"/>
        <v>1.5754292084726866</v>
      </c>
    </row>
    <row r="295" spans="1:24" ht="15.75" customHeight="1">
      <c r="A295" s="1">
        <v>71101</v>
      </c>
      <c r="B295" s="2" t="s">
        <v>322</v>
      </c>
      <c r="C295" s="2" t="s">
        <v>372</v>
      </c>
      <c r="D295" s="3" t="s">
        <v>373</v>
      </c>
      <c r="E295" s="24">
        <v>69</v>
      </c>
      <c r="F295" s="24">
        <v>59</v>
      </c>
      <c r="G295" s="24">
        <v>69</v>
      </c>
      <c r="H295" s="24">
        <v>98</v>
      </c>
      <c r="I295" s="24">
        <v>107</v>
      </c>
      <c r="J295" s="24">
        <v>98</v>
      </c>
      <c r="K295" s="25">
        <f t="shared" si="25"/>
        <v>1.4202898550724639</v>
      </c>
      <c r="L295" s="25">
        <f t="shared" si="25"/>
        <v>1.8135593220338984</v>
      </c>
      <c r="M295" s="25">
        <f t="shared" si="25"/>
        <v>1.4202898550724639</v>
      </c>
      <c r="N295" s="25">
        <f t="shared" si="26"/>
        <v>1.5513796773929418</v>
      </c>
      <c r="O295" s="24">
        <v>25</v>
      </c>
      <c r="P295" s="24">
        <v>35</v>
      </c>
      <c r="Q295" s="24">
        <v>49</v>
      </c>
      <c r="R295" s="24">
        <v>33</v>
      </c>
      <c r="S295" s="24">
        <v>36</v>
      </c>
      <c r="T295" s="24">
        <v>40</v>
      </c>
      <c r="U295" s="25">
        <f t="shared" si="27"/>
        <v>1.32</v>
      </c>
      <c r="V295" s="25">
        <f t="shared" si="27"/>
        <v>1.0285714285714285</v>
      </c>
      <c r="W295" s="25">
        <f t="shared" si="27"/>
        <v>0.81632653061224492</v>
      </c>
      <c r="X295" s="25">
        <f t="shared" si="28"/>
        <v>1.054965986394558</v>
      </c>
    </row>
    <row r="296" spans="1:24" ht="15.75" customHeight="1">
      <c r="A296" s="1">
        <v>71102</v>
      </c>
      <c r="B296" s="2" t="s">
        <v>322</v>
      </c>
      <c r="C296" s="2" t="s">
        <v>372</v>
      </c>
      <c r="D296" s="3" t="s">
        <v>374</v>
      </c>
      <c r="E296" s="24">
        <v>54</v>
      </c>
      <c r="F296" s="24">
        <v>54</v>
      </c>
      <c r="G296" s="24">
        <v>61</v>
      </c>
      <c r="H296" s="24">
        <v>84</v>
      </c>
      <c r="I296" s="24">
        <v>80</v>
      </c>
      <c r="J296" s="24">
        <v>99</v>
      </c>
      <c r="K296" s="25">
        <f t="shared" si="25"/>
        <v>1.5555555555555556</v>
      </c>
      <c r="L296" s="25">
        <f t="shared" si="25"/>
        <v>1.4814814814814814</v>
      </c>
      <c r="M296" s="25">
        <f t="shared" si="25"/>
        <v>1.6229508196721312</v>
      </c>
      <c r="N296" s="25">
        <f t="shared" si="26"/>
        <v>1.5533292855697229</v>
      </c>
      <c r="O296" s="24">
        <v>22</v>
      </c>
      <c r="P296" s="24">
        <v>11</v>
      </c>
      <c r="Q296" s="24">
        <v>21</v>
      </c>
      <c r="R296" s="24">
        <v>33</v>
      </c>
      <c r="S296" s="24">
        <v>16</v>
      </c>
      <c r="T296" s="24">
        <v>37</v>
      </c>
      <c r="U296" s="25">
        <f t="shared" si="27"/>
        <v>1.5</v>
      </c>
      <c r="V296" s="25">
        <f t="shared" si="27"/>
        <v>1.4545454545454546</v>
      </c>
      <c r="W296" s="25">
        <f t="shared" si="27"/>
        <v>1.7619047619047619</v>
      </c>
      <c r="X296" s="25">
        <f t="shared" si="28"/>
        <v>1.5721500721500721</v>
      </c>
    </row>
    <row r="297" spans="1:24" ht="15.75" customHeight="1">
      <c r="A297" s="1">
        <v>71103</v>
      </c>
      <c r="B297" s="2" t="s">
        <v>322</v>
      </c>
      <c r="C297" s="2" t="s">
        <v>372</v>
      </c>
      <c r="D297" s="3" t="s">
        <v>375</v>
      </c>
      <c r="E297" s="24">
        <v>36</v>
      </c>
      <c r="F297" s="24">
        <v>46</v>
      </c>
      <c r="G297" s="24">
        <v>43</v>
      </c>
      <c r="H297" s="24">
        <v>45</v>
      </c>
      <c r="I297" s="24">
        <v>70</v>
      </c>
      <c r="J297" s="24">
        <v>58</v>
      </c>
      <c r="K297" s="25">
        <f t="shared" si="25"/>
        <v>1.25</v>
      </c>
      <c r="L297" s="25">
        <f t="shared" si="25"/>
        <v>1.5217391304347827</v>
      </c>
      <c r="M297" s="25">
        <f t="shared" si="25"/>
        <v>1.3488372093023255</v>
      </c>
      <c r="N297" s="25">
        <f t="shared" si="26"/>
        <v>1.3735254465790361</v>
      </c>
      <c r="O297" s="24">
        <v>14</v>
      </c>
      <c r="P297" s="24">
        <v>23</v>
      </c>
      <c r="Q297" s="24">
        <v>17</v>
      </c>
      <c r="R297" s="24">
        <v>20</v>
      </c>
      <c r="S297" s="24">
        <v>26</v>
      </c>
      <c r="T297" s="24">
        <v>24</v>
      </c>
      <c r="U297" s="25">
        <f t="shared" si="27"/>
        <v>1.4285714285714286</v>
      </c>
      <c r="V297" s="25">
        <f t="shared" si="27"/>
        <v>1.1304347826086956</v>
      </c>
      <c r="W297" s="25">
        <f t="shared" si="27"/>
        <v>1.411764705882353</v>
      </c>
      <c r="X297" s="25">
        <f t="shared" si="28"/>
        <v>1.3235903056874925</v>
      </c>
    </row>
    <row r="298" spans="1:24" ht="15.75" customHeight="1">
      <c r="A298" s="1">
        <v>71104</v>
      </c>
      <c r="B298" s="2" t="s">
        <v>322</v>
      </c>
      <c r="C298" s="2" t="s">
        <v>372</v>
      </c>
      <c r="D298" s="3" t="s">
        <v>376</v>
      </c>
      <c r="E298" s="24">
        <v>214</v>
      </c>
      <c r="F298" s="24">
        <v>212</v>
      </c>
      <c r="G298" s="24">
        <v>203</v>
      </c>
      <c r="H298" s="24">
        <v>336</v>
      </c>
      <c r="I298" s="24">
        <v>318</v>
      </c>
      <c r="J298" s="24">
        <v>274</v>
      </c>
      <c r="K298" s="25">
        <f t="shared" si="25"/>
        <v>1.5700934579439252</v>
      </c>
      <c r="L298" s="25">
        <f t="shared" si="25"/>
        <v>1.5</v>
      </c>
      <c r="M298" s="25">
        <f t="shared" si="25"/>
        <v>1.3497536945812807</v>
      </c>
      <c r="N298" s="25">
        <f t="shared" si="26"/>
        <v>1.4732823841750686</v>
      </c>
      <c r="O298" s="24">
        <v>63</v>
      </c>
      <c r="P298" s="24">
        <v>57</v>
      </c>
      <c r="Q298" s="24">
        <v>74</v>
      </c>
      <c r="R298" s="24">
        <v>115</v>
      </c>
      <c r="S298" s="24">
        <v>114</v>
      </c>
      <c r="T298" s="24">
        <v>138</v>
      </c>
      <c r="U298" s="25">
        <f t="shared" si="27"/>
        <v>1.8253968253968254</v>
      </c>
      <c r="V298" s="25">
        <f t="shared" si="27"/>
        <v>2</v>
      </c>
      <c r="W298" s="25">
        <f t="shared" si="27"/>
        <v>1.8648648648648649</v>
      </c>
      <c r="X298" s="25">
        <f t="shared" si="28"/>
        <v>1.8967538967538966</v>
      </c>
    </row>
    <row r="299" spans="1:24" ht="15.75" customHeight="1">
      <c r="A299" s="1">
        <v>71105</v>
      </c>
      <c r="B299" s="2" t="s">
        <v>322</v>
      </c>
      <c r="C299" s="2" t="s">
        <v>372</v>
      </c>
      <c r="D299" s="3" t="s">
        <v>377</v>
      </c>
      <c r="E299" s="24">
        <v>22</v>
      </c>
      <c r="F299" s="24">
        <v>19</v>
      </c>
      <c r="G299" s="24">
        <v>11</v>
      </c>
      <c r="H299" s="24">
        <v>18</v>
      </c>
      <c r="I299" s="24">
        <v>44</v>
      </c>
      <c r="J299" s="24">
        <v>33</v>
      </c>
      <c r="K299" s="25">
        <f t="shared" si="25"/>
        <v>0.81818181818181823</v>
      </c>
      <c r="L299" s="25">
        <f t="shared" si="25"/>
        <v>2.3157894736842106</v>
      </c>
      <c r="M299" s="25">
        <f t="shared" si="25"/>
        <v>3</v>
      </c>
      <c r="N299" s="25">
        <f t="shared" si="26"/>
        <v>2.0446570972886762</v>
      </c>
      <c r="O299" s="24">
        <v>7</v>
      </c>
      <c r="P299" s="24">
        <v>9</v>
      </c>
      <c r="Q299" s="24">
        <v>7</v>
      </c>
      <c r="R299" s="24">
        <v>18</v>
      </c>
      <c r="S299" s="24">
        <v>4</v>
      </c>
      <c r="T299" s="24">
        <v>7</v>
      </c>
      <c r="U299" s="25">
        <f t="shared" si="27"/>
        <v>2.5714285714285716</v>
      </c>
      <c r="V299" s="25">
        <f t="shared" si="27"/>
        <v>0.44444444444444442</v>
      </c>
      <c r="W299" s="25">
        <f t="shared" si="27"/>
        <v>1</v>
      </c>
      <c r="X299" s="25">
        <f t="shared" si="28"/>
        <v>1.3386243386243386</v>
      </c>
    </row>
    <row r="300" spans="1:24" ht="15.75" customHeight="1">
      <c r="A300" s="1">
        <v>71106</v>
      </c>
      <c r="B300" s="2" t="s">
        <v>322</v>
      </c>
      <c r="C300" s="2" t="s">
        <v>372</v>
      </c>
      <c r="D300" s="3" t="s">
        <v>378</v>
      </c>
      <c r="E300" s="24">
        <v>62</v>
      </c>
      <c r="F300" s="24">
        <v>66</v>
      </c>
      <c r="G300" s="24">
        <v>84</v>
      </c>
      <c r="H300" s="24">
        <v>115</v>
      </c>
      <c r="I300" s="24">
        <v>122</v>
      </c>
      <c r="J300" s="24">
        <v>111</v>
      </c>
      <c r="K300" s="25">
        <f t="shared" si="25"/>
        <v>1.8548387096774193</v>
      </c>
      <c r="L300" s="25">
        <f t="shared" si="25"/>
        <v>1.8484848484848484</v>
      </c>
      <c r="M300" s="25">
        <f t="shared" si="25"/>
        <v>1.3214285714285714</v>
      </c>
      <c r="N300" s="25">
        <f t="shared" si="26"/>
        <v>1.6749173765302796</v>
      </c>
      <c r="O300" s="24">
        <v>22</v>
      </c>
      <c r="P300" s="24">
        <v>24</v>
      </c>
      <c r="Q300" s="24">
        <v>22</v>
      </c>
      <c r="R300" s="24">
        <v>36</v>
      </c>
      <c r="S300" s="24">
        <v>39</v>
      </c>
      <c r="T300" s="24">
        <v>48</v>
      </c>
      <c r="U300" s="25">
        <f t="shared" si="27"/>
        <v>1.6363636363636365</v>
      </c>
      <c r="V300" s="25">
        <f t="shared" si="27"/>
        <v>1.625</v>
      </c>
      <c r="W300" s="25">
        <f t="shared" si="27"/>
        <v>2.1818181818181817</v>
      </c>
      <c r="X300" s="25">
        <f t="shared" si="28"/>
        <v>1.8143939393939394</v>
      </c>
    </row>
    <row r="301" spans="1:24" ht="15.75" customHeight="1">
      <c r="A301" s="1">
        <v>71201</v>
      </c>
      <c r="B301" s="2" t="s">
        <v>322</v>
      </c>
      <c r="C301" s="2" t="s">
        <v>379</v>
      </c>
      <c r="D301" s="3" t="s">
        <v>380</v>
      </c>
      <c r="E301" s="24">
        <v>83</v>
      </c>
      <c r="F301" s="24">
        <v>84</v>
      </c>
      <c r="G301" s="24">
        <v>65</v>
      </c>
      <c r="H301" s="24">
        <v>108</v>
      </c>
      <c r="I301" s="24">
        <v>110</v>
      </c>
      <c r="J301" s="24">
        <v>95</v>
      </c>
      <c r="K301" s="25">
        <f t="shared" si="25"/>
        <v>1.3012048192771084</v>
      </c>
      <c r="L301" s="25">
        <f t="shared" si="25"/>
        <v>1.3095238095238095</v>
      </c>
      <c r="M301" s="25">
        <f t="shared" si="25"/>
        <v>1.4615384615384615</v>
      </c>
      <c r="N301" s="25">
        <f t="shared" si="26"/>
        <v>1.3574223634464599</v>
      </c>
      <c r="O301" s="24">
        <v>28</v>
      </c>
      <c r="P301" s="24">
        <v>20</v>
      </c>
      <c r="Q301" s="24">
        <v>39</v>
      </c>
      <c r="R301" s="24">
        <v>37</v>
      </c>
      <c r="S301" s="24">
        <v>37</v>
      </c>
      <c r="T301" s="24">
        <v>53</v>
      </c>
      <c r="U301" s="25">
        <f t="shared" si="27"/>
        <v>1.3214285714285714</v>
      </c>
      <c r="V301" s="25">
        <f t="shared" si="27"/>
        <v>1.85</v>
      </c>
      <c r="W301" s="25">
        <f t="shared" si="27"/>
        <v>1.358974358974359</v>
      </c>
      <c r="X301" s="25">
        <f t="shared" si="28"/>
        <v>1.5101343101343101</v>
      </c>
    </row>
    <row r="302" spans="1:24" ht="15.75" customHeight="1">
      <c r="A302" s="1">
        <v>71301</v>
      </c>
      <c r="B302" s="2" t="s">
        <v>322</v>
      </c>
      <c r="C302" s="2" t="s">
        <v>381</v>
      </c>
      <c r="D302" s="3" t="s">
        <v>382</v>
      </c>
      <c r="E302" s="24">
        <v>44</v>
      </c>
      <c r="F302" s="24">
        <v>54</v>
      </c>
      <c r="G302" s="24">
        <v>48</v>
      </c>
      <c r="H302" s="24">
        <v>76</v>
      </c>
      <c r="I302" s="24">
        <v>86</v>
      </c>
      <c r="J302" s="24">
        <v>85</v>
      </c>
      <c r="K302" s="25">
        <f t="shared" si="25"/>
        <v>1.7272727272727273</v>
      </c>
      <c r="L302" s="25">
        <f t="shared" si="25"/>
        <v>1.5925925925925926</v>
      </c>
      <c r="M302" s="25">
        <f t="shared" si="25"/>
        <v>1.7708333333333333</v>
      </c>
      <c r="N302" s="25">
        <f t="shared" si="26"/>
        <v>1.6968995510662177</v>
      </c>
      <c r="O302" s="24">
        <v>29</v>
      </c>
      <c r="P302" s="24">
        <v>39</v>
      </c>
      <c r="Q302" s="24">
        <v>41</v>
      </c>
      <c r="R302" s="24">
        <v>51</v>
      </c>
      <c r="S302" s="24">
        <v>70</v>
      </c>
      <c r="T302" s="24">
        <v>66</v>
      </c>
      <c r="U302" s="25">
        <f t="shared" si="27"/>
        <v>1.7586206896551724</v>
      </c>
      <c r="V302" s="25">
        <f t="shared" si="27"/>
        <v>1.7948717948717949</v>
      </c>
      <c r="W302" s="25">
        <f t="shared" si="27"/>
        <v>1.6097560975609757</v>
      </c>
      <c r="X302" s="25">
        <f t="shared" si="28"/>
        <v>1.7210828606959812</v>
      </c>
    </row>
    <row r="303" spans="1:24" ht="15.75" customHeight="1">
      <c r="A303" s="1">
        <v>71302</v>
      </c>
      <c r="B303" s="2" t="s">
        <v>322</v>
      </c>
      <c r="C303" s="2" t="s">
        <v>381</v>
      </c>
      <c r="D303" s="3" t="s">
        <v>383</v>
      </c>
      <c r="E303" s="24">
        <v>19</v>
      </c>
      <c r="F303" s="24">
        <v>21</v>
      </c>
      <c r="G303" s="24">
        <v>19</v>
      </c>
      <c r="H303" s="24">
        <v>30</v>
      </c>
      <c r="I303" s="24">
        <v>49</v>
      </c>
      <c r="J303" s="24">
        <v>46</v>
      </c>
      <c r="K303" s="25">
        <f t="shared" si="25"/>
        <v>1.5789473684210527</v>
      </c>
      <c r="L303" s="25">
        <f t="shared" si="25"/>
        <v>2.3333333333333335</v>
      </c>
      <c r="M303" s="25">
        <f t="shared" si="25"/>
        <v>2.4210526315789473</v>
      </c>
      <c r="N303" s="25">
        <f t="shared" si="26"/>
        <v>2.1111111111111112</v>
      </c>
      <c r="O303" s="24">
        <v>6</v>
      </c>
      <c r="P303" s="24">
        <v>7</v>
      </c>
      <c r="Q303" s="24">
        <v>8</v>
      </c>
      <c r="R303" s="24">
        <v>9</v>
      </c>
      <c r="S303" s="24">
        <v>10</v>
      </c>
      <c r="T303" s="24">
        <v>19</v>
      </c>
      <c r="U303" s="25">
        <f t="shared" si="27"/>
        <v>1.5</v>
      </c>
      <c r="V303" s="25">
        <f t="shared" si="27"/>
        <v>1.4285714285714286</v>
      </c>
      <c r="W303" s="25">
        <f t="shared" si="27"/>
        <v>2.375</v>
      </c>
      <c r="X303" s="25">
        <f t="shared" si="28"/>
        <v>1.767857142857143</v>
      </c>
    </row>
    <row r="304" spans="1:24" ht="15.75" customHeight="1">
      <c r="A304" s="1">
        <v>71401</v>
      </c>
      <c r="B304" s="2" t="s">
        <v>322</v>
      </c>
      <c r="C304" s="2" t="s">
        <v>384</v>
      </c>
      <c r="D304" s="3" t="s">
        <v>385</v>
      </c>
      <c r="E304" s="24">
        <v>53</v>
      </c>
      <c r="F304" s="24">
        <v>53</v>
      </c>
      <c r="G304" s="24">
        <v>47</v>
      </c>
      <c r="H304" s="24">
        <v>79</v>
      </c>
      <c r="I304" s="24">
        <v>78</v>
      </c>
      <c r="J304" s="24">
        <v>81</v>
      </c>
      <c r="K304" s="25">
        <f t="shared" si="25"/>
        <v>1.4905660377358489</v>
      </c>
      <c r="L304" s="25">
        <f t="shared" si="25"/>
        <v>1.4716981132075471</v>
      </c>
      <c r="M304" s="25">
        <f t="shared" si="25"/>
        <v>1.7234042553191489</v>
      </c>
      <c r="N304" s="25">
        <f t="shared" si="26"/>
        <v>1.5618894687541818</v>
      </c>
      <c r="O304" s="24">
        <v>23</v>
      </c>
      <c r="P304" s="24">
        <v>30</v>
      </c>
      <c r="Q304" s="24">
        <v>40</v>
      </c>
      <c r="R304" s="24">
        <v>40</v>
      </c>
      <c r="S304" s="24">
        <v>55</v>
      </c>
      <c r="T304" s="24">
        <v>77</v>
      </c>
      <c r="U304" s="25">
        <f t="shared" si="27"/>
        <v>1.7391304347826086</v>
      </c>
      <c r="V304" s="25">
        <f t="shared" si="27"/>
        <v>1.8333333333333333</v>
      </c>
      <c r="W304" s="25">
        <f t="shared" si="27"/>
        <v>1.925</v>
      </c>
      <c r="X304" s="25">
        <f t="shared" si="28"/>
        <v>1.8324879227053141</v>
      </c>
    </row>
    <row r="305" spans="1:24" ht="15.75" customHeight="1">
      <c r="A305" s="1">
        <v>71402</v>
      </c>
      <c r="B305" s="2" t="s">
        <v>322</v>
      </c>
      <c r="C305" s="2" t="s">
        <v>384</v>
      </c>
      <c r="D305" s="3" t="s">
        <v>386</v>
      </c>
      <c r="E305" s="24">
        <v>53</v>
      </c>
      <c r="F305" s="24">
        <v>57</v>
      </c>
      <c r="G305" s="24">
        <v>76</v>
      </c>
      <c r="H305" s="24">
        <v>80</v>
      </c>
      <c r="I305" s="24">
        <v>75</v>
      </c>
      <c r="J305" s="24">
        <v>130</v>
      </c>
      <c r="K305" s="25">
        <f t="shared" si="25"/>
        <v>1.5094339622641511</v>
      </c>
      <c r="L305" s="25">
        <f t="shared" si="25"/>
        <v>1.3157894736842106</v>
      </c>
      <c r="M305" s="25">
        <f t="shared" si="25"/>
        <v>1.7105263157894737</v>
      </c>
      <c r="N305" s="25">
        <f t="shared" si="26"/>
        <v>1.5119165839126119</v>
      </c>
      <c r="O305" s="24">
        <v>38</v>
      </c>
      <c r="P305" s="24">
        <v>24</v>
      </c>
      <c r="Q305" s="24">
        <v>29</v>
      </c>
      <c r="R305" s="24">
        <v>42</v>
      </c>
      <c r="S305" s="24">
        <v>30</v>
      </c>
      <c r="T305" s="24">
        <v>53</v>
      </c>
      <c r="U305" s="25">
        <f t="shared" si="27"/>
        <v>1.1052631578947369</v>
      </c>
      <c r="V305" s="25">
        <f t="shared" si="27"/>
        <v>1.25</v>
      </c>
      <c r="W305" s="25">
        <f t="shared" si="27"/>
        <v>1.8275862068965518</v>
      </c>
      <c r="X305" s="25">
        <f t="shared" si="28"/>
        <v>1.3942831215970963</v>
      </c>
    </row>
    <row r="306" spans="1:24" ht="15.75" customHeight="1">
      <c r="A306" s="1">
        <v>71403</v>
      </c>
      <c r="B306" s="2" t="s">
        <v>322</v>
      </c>
      <c r="C306" s="2" t="s">
        <v>384</v>
      </c>
      <c r="D306" s="3" t="s">
        <v>387</v>
      </c>
      <c r="E306" s="24">
        <v>30</v>
      </c>
      <c r="F306" s="24">
        <v>26</v>
      </c>
      <c r="G306" s="24">
        <v>23</v>
      </c>
      <c r="H306" s="24">
        <v>33</v>
      </c>
      <c r="I306" s="24">
        <v>47</v>
      </c>
      <c r="J306" s="24">
        <v>21</v>
      </c>
      <c r="K306" s="25">
        <f t="shared" si="25"/>
        <v>1.1000000000000001</v>
      </c>
      <c r="L306" s="25">
        <f t="shared" si="25"/>
        <v>1.8076923076923077</v>
      </c>
      <c r="M306" s="25">
        <f t="shared" si="25"/>
        <v>0.91304347826086951</v>
      </c>
      <c r="N306" s="25">
        <f t="shared" si="26"/>
        <v>1.2735785953177259</v>
      </c>
      <c r="O306" s="24">
        <v>16</v>
      </c>
      <c r="P306" s="24">
        <v>14</v>
      </c>
      <c r="Q306" s="24">
        <v>12</v>
      </c>
      <c r="R306" s="24">
        <v>27</v>
      </c>
      <c r="S306" s="24">
        <v>11</v>
      </c>
      <c r="T306" s="24">
        <v>19</v>
      </c>
      <c r="U306" s="25">
        <f t="shared" si="27"/>
        <v>1.6875</v>
      </c>
      <c r="V306" s="25">
        <f t="shared" si="27"/>
        <v>0.7857142857142857</v>
      </c>
      <c r="W306" s="25">
        <f t="shared" si="27"/>
        <v>1.5833333333333333</v>
      </c>
      <c r="X306" s="25">
        <f t="shared" si="28"/>
        <v>1.3521825396825395</v>
      </c>
    </row>
    <row r="307" spans="1:24" ht="15.75" customHeight="1">
      <c r="A307" s="1">
        <v>71501</v>
      </c>
      <c r="B307" s="2" t="s">
        <v>322</v>
      </c>
      <c r="C307" s="2" t="s">
        <v>388</v>
      </c>
      <c r="D307" s="3" t="s">
        <v>389</v>
      </c>
      <c r="E307" s="24">
        <v>154</v>
      </c>
      <c r="F307" s="24">
        <v>150</v>
      </c>
      <c r="G307" s="24">
        <v>127</v>
      </c>
      <c r="H307" s="24">
        <v>217</v>
      </c>
      <c r="I307" s="24">
        <v>223</v>
      </c>
      <c r="J307" s="24">
        <v>193</v>
      </c>
      <c r="K307" s="25">
        <f t="shared" si="25"/>
        <v>1.4090909090909092</v>
      </c>
      <c r="L307" s="25">
        <f t="shared" si="25"/>
        <v>1.4866666666666666</v>
      </c>
      <c r="M307" s="25">
        <f t="shared" si="25"/>
        <v>1.5196850393700787</v>
      </c>
      <c r="N307" s="25">
        <f t="shared" si="26"/>
        <v>1.4718142050425513</v>
      </c>
      <c r="O307" s="24">
        <v>113</v>
      </c>
      <c r="P307" s="24">
        <v>99</v>
      </c>
      <c r="Q307" s="24">
        <v>89</v>
      </c>
      <c r="R307" s="24">
        <v>140</v>
      </c>
      <c r="S307" s="24">
        <v>142</v>
      </c>
      <c r="T307" s="24">
        <v>106</v>
      </c>
      <c r="U307" s="25">
        <f t="shared" si="27"/>
        <v>1.2389380530973451</v>
      </c>
      <c r="V307" s="25">
        <f t="shared" si="27"/>
        <v>1.4343434343434343</v>
      </c>
      <c r="W307" s="25">
        <f t="shared" si="27"/>
        <v>1.1910112359550562</v>
      </c>
      <c r="X307" s="25">
        <f t="shared" si="28"/>
        <v>1.2880975744652785</v>
      </c>
    </row>
    <row r="308" spans="1:24" ht="15.75" customHeight="1">
      <c r="A308" s="1">
        <v>71502</v>
      </c>
      <c r="B308" s="2" t="s">
        <v>322</v>
      </c>
      <c r="C308" s="2" t="s">
        <v>388</v>
      </c>
      <c r="D308" s="3" t="s">
        <v>390</v>
      </c>
      <c r="E308" s="24">
        <v>13</v>
      </c>
      <c r="F308" s="24">
        <v>20</v>
      </c>
      <c r="G308" s="24">
        <v>29</v>
      </c>
      <c r="H308" s="24">
        <v>18</v>
      </c>
      <c r="I308" s="24">
        <v>22</v>
      </c>
      <c r="J308" s="24">
        <v>33</v>
      </c>
      <c r="K308" s="25">
        <f t="shared" si="25"/>
        <v>1.3846153846153846</v>
      </c>
      <c r="L308" s="25">
        <f t="shared" si="25"/>
        <v>1.1000000000000001</v>
      </c>
      <c r="M308" s="25">
        <f t="shared" si="25"/>
        <v>1.1379310344827587</v>
      </c>
      <c r="N308" s="25">
        <f t="shared" si="26"/>
        <v>1.2075154730327144</v>
      </c>
      <c r="O308" s="24">
        <v>17</v>
      </c>
      <c r="P308" s="24">
        <v>18</v>
      </c>
      <c r="Q308" s="24">
        <v>20</v>
      </c>
      <c r="R308" s="24">
        <v>11</v>
      </c>
      <c r="S308" s="24">
        <v>27</v>
      </c>
      <c r="T308" s="24">
        <v>21</v>
      </c>
      <c r="U308" s="25">
        <f t="shared" si="27"/>
        <v>0.6470588235294118</v>
      </c>
      <c r="V308" s="25">
        <f t="shared" si="27"/>
        <v>1.5</v>
      </c>
      <c r="W308" s="25">
        <f t="shared" si="27"/>
        <v>1.05</v>
      </c>
      <c r="X308" s="25">
        <f t="shared" si="28"/>
        <v>1.0656862745098039</v>
      </c>
    </row>
    <row r="309" spans="1:24" ht="15.75" customHeight="1">
      <c r="A309" s="1">
        <v>71503</v>
      </c>
      <c r="B309" s="2" t="s">
        <v>322</v>
      </c>
      <c r="C309" s="2" t="s">
        <v>388</v>
      </c>
      <c r="D309" s="3" t="s">
        <v>320</v>
      </c>
      <c r="E309" s="24">
        <v>32</v>
      </c>
      <c r="F309" s="24">
        <v>49</v>
      </c>
      <c r="G309" s="24">
        <v>29</v>
      </c>
      <c r="H309" s="24">
        <v>87</v>
      </c>
      <c r="I309" s="24">
        <v>77</v>
      </c>
      <c r="J309" s="24">
        <v>68</v>
      </c>
      <c r="K309" s="25">
        <f t="shared" si="25"/>
        <v>2.71875</v>
      </c>
      <c r="L309" s="25">
        <f t="shared" si="25"/>
        <v>1.5714285714285714</v>
      </c>
      <c r="M309" s="25">
        <f t="shared" si="25"/>
        <v>2.3448275862068964</v>
      </c>
      <c r="N309" s="25">
        <f t="shared" si="26"/>
        <v>2.2116687192118225</v>
      </c>
      <c r="O309" s="24">
        <v>17</v>
      </c>
      <c r="P309" s="24">
        <v>21</v>
      </c>
      <c r="Q309" s="24">
        <v>25</v>
      </c>
      <c r="R309" s="24">
        <v>29</v>
      </c>
      <c r="S309" s="24">
        <v>32</v>
      </c>
      <c r="T309" s="24">
        <v>43</v>
      </c>
      <c r="U309" s="25">
        <f t="shared" si="27"/>
        <v>1.7058823529411764</v>
      </c>
      <c r="V309" s="25">
        <f t="shared" si="27"/>
        <v>1.5238095238095237</v>
      </c>
      <c r="W309" s="25">
        <f t="shared" si="27"/>
        <v>1.72</v>
      </c>
      <c r="X309" s="25">
        <f t="shared" si="28"/>
        <v>1.6498972922502333</v>
      </c>
    </row>
    <row r="310" spans="1:24" ht="15.75" customHeight="1">
      <c r="A310" s="1">
        <v>80101</v>
      </c>
      <c r="B310" s="2" t="s">
        <v>391</v>
      </c>
      <c r="C310" s="2" t="s">
        <v>150</v>
      </c>
      <c r="D310" s="3" t="s">
        <v>392</v>
      </c>
      <c r="E310" s="24">
        <v>412</v>
      </c>
      <c r="F310" s="24">
        <v>596</v>
      </c>
      <c r="G310" s="24">
        <v>545</v>
      </c>
      <c r="H310" s="24">
        <v>591</v>
      </c>
      <c r="I310" s="24">
        <v>782</v>
      </c>
      <c r="J310" s="24">
        <v>658</v>
      </c>
      <c r="K310" s="25">
        <f t="shared" si="25"/>
        <v>1.4344660194174756</v>
      </c>
      <c r="L310" s="25">
        <f t="shared" si="25"/>
        <v>1.3120805369127517</v>
      </c>
      <c r="M310" s="25">
        <f t="shared" si="25"/>
        <v>1.2073394495412844</v>
      </c>
      <c r="N310" s="25">
        <f t="shared" si="26"/>
        <v>1.3179620019571707</v>
      </c>
      <c r="O310" s="24">
        <v>165</v>
      </c>
      <c r="P310" s="24">
        <v>206</v>
      </c>
      <c r="Q310" s="24">
        <v>226</v>
      </c>
      <c r="R310" s="24">
        <v>214</v>
      </c>
      <c r="S310" s="24">
        <v>223</v>
      </c>
      <c r="T310" s="24">
        <v>307</v>
      </c>
      <c r="U310" s="25">
        <f t="shared" si="27"/>
        <v>1.2969696969696969</v>
      </c>
      <c r="V310" s="25">
        <f t="shared" si="27"/>
        <v>1.0825242718446602</v>
      </c>
      <c r="W310" s="25">
        <f t="shared" si="27"/>
        <v>1.3584070796460177</v>
      </c>
      <c r="X310" s="25">
        <f t="shared" si="28"/>
        <v>1.2459670161534582</v>
      </c>
    </row>
    <row r="311" spans="1:24" ht="15.75" customHeight="1">
      <c r="A311" s="1">
        <v>80102</v>
      </c>
      <c r="B311" s="2" t="s">
        <v>391</v>
      </c>
      <c r="C311" s="2" t="s">
        <v>150</v>
      </c>
      <c r="D311" s="3" t="s">
        <v>374</v>
      </c>
      <c r="E311" s="24">
        <v>14</v>
      </c>
      <c r="F311" s="24">
        <v>34</v>
      </c>
      <c r="G311" s="24">
        <v>35</v>
      </c>
      <c r="H311" s="24">
        <v>10</v>
      </c>
      <c r="I311" s="24">
        <v>42</v>
      </c>
      <c r="J311" s="24">
        <v>36</v>
      </c>
      <c r="K311" s="25">
        <f t="shared" si="25"/>
        <v>0.7142857142857143</v>
      </c>
      <c r="L311" s="25">
        <f t="shared" si="25"/>
        <v>1.2352941176470589</v>
      </c>
      <c r="M311" s="25">
        <f t="shared" si="25"/>
        <v>1.0285714285714285</v>
      </c>
      <c r="N311" s="25">
        <f t="shared" si="26"/>
        <v>0.99271708683473392</v>
      </c>
      <c r="O311" s="24">
        <v>4</v>
      </c>
      <c r="P311" s="24">
        <v>12</v>
      </c>
      <c r="Q311" s="24">
        <v>16</v>
      </c>
      <c r="R311" s="24">
        <v>7</v>
      </c>
      <c r="S311" s="24">
        <v>8</v>
      </c>
      <c r="T311" s="24">
        <v>23</v>
      </c>
      <c r="U311" s="25">
        <f t="shared" si="27"/>
        <v>1.75</v>
      </c>
      <c r="V311" s="25">
        <f t="shared" si="27"/>
        <v>0.66666666666666663</v>
      </c>
      <c r="W311" s="25">
        <f t="shared" si="27"/>
        <v>1.4375</v>
      </c>
      <c r="X311" s="25">
        <f t="shared" si="28"/>
        <v>1.2847222222222221</v>
      </c>
    </row>
    <row r="312" spans="1:24" ht="15.75" customHeight="1">
      <c r="A312" s="1">
        <v>80201</v>
      </c>
      <c r="B312" s="2" t="s">
        <v>391</v>
      </c>
      <c r="C312" s="2" t="s">
        <v>393</v>
      </c>
      <c r="D312" s="3" t="s">
        <v>394</v>
      </c>
      <c r="E312" s="24">
        <v>633</v>
      </c>
      <c r="F312" s="24">
        <v>706</v>
      </c>
      <c r="G312" s="24">
        <v>757</v>
      </c>
      <c r="H312" s="24">
        <v>912</v>
      </c>
      <c r="I312" s="24">
        <v>977</v>
      </c>
      <c r="J312" s="24">
        <v>973</v>
      </c>
      <c r="K312" s="25">
        <f t="shared" si="25"/>
        <v>1.4407582938388626</v>
      </c>
      <c r="L312" s="25">
        <f t="shared" si="25"/>
        <v>1.3838526912181304</v>
      </c>
      <c r="M312" s="25">
        <f t="shared" si="25"/>
        <v>1.285336856010568</v>
      </c>
      <c r="N312" s="25">
        <f t="shared" si="26"/>
        <v>1.3699826136891871</v>
      </c>
      <c r="O312" s="24">
        <v>384</v>
      </c>
      <c r="P312" s="24">
        <v>407</v>
      </c>
      <c r="Q312" s="24">
        <v>463</v>
      </c>
      <c r="R312" s="24">
        <v>513</v>
      </c>
      <c r="S312" s="24">
        <v>557</v>
      </c>
      <c r="T312" s="24">
        <v>607</v>
      </c>
      <c r="U312" s="25">
        <f t="shared" si="27"/>
        <v>1.3359375</v>
      </c>
      <c r="V312" s="25">
        <f t="shared" si="27"/>
        <v>1.3685503685503686</v>
      </c>
      <c r="W312" s="25">
        <f t="shared" si="27"/>
        <v>1.3110151187904968</v>
      </c>
      <c r="X312" s="25">
        <f t="shared" si="28"/>
        <v>1.3385009957802885</v>
      </c>
    </row>
    <row r="313" spans="1:24" ht="15.75" customHeight="1">
      <c r="A313" s="1">
        <v>80202</v>
      </c>
      <c r="B313" s="2" t="s">
        <v>391</v>
      </c>
      <c r="C313" s="2" t="s">
        <v>393</v>
      </c>
      <c r="D313" s="3" t="s">
        <v>395</v>
      </c>
      <c r="E313" s="24">
        <v>96</v>
      </c>
      <c r="F313" s="24">
        <v>153</v>
      </c>
      <c r="G313" s="24">
        <v>234</v>
      </c>
      <c r="H313" s="24">
        <v>137</v>
      </c>
      <c r="I313" s="24">
        <v>200</v>
      </c>
      <c r="J313" s="24">
        <v>360</v>
      </c>
      <c r="K313" s="25">
        <f t="shared" si="25"/>
        <v>1.4270833333333333</v>
      </c>
      <c r="L313" s="25">
        <f t="shared" si="25"/>
        <v>1.3071895424836601</v>
      </c>
      <c r="M313" s="25">
        <f t="shared" si="25"/>
        <v>1.5384615384615385</v>
      </c>
      <c r="N313" s="25">
        <f t="shared" si="26"/>
        <v>1.4242448047595107</v>
      </c>
      <c r="O313" s="24">
        <v>100</v>
      </c>
      <c r="P313" s="24">
        <v>113</v>
      </c>
      <c r="Q313" s="24">
        <v>133</v>
      </c>
      <c r="R313" s="24">
        <v>119</v>
      </c>
      <c r="S313" s="24">
        <v>179</v>
      </c>
      <c r="T313" s="24">
        <v>180</v>
      </c>
      <c r="U313" s="25">
        <f t="shared" si="27"/>
        <v>1.19</v>
      </c>
      <c r="V313" s="25">
        <f t="shared" si="27"/>
        <v>1.584070796460177</v>
      </c>
      <c r="W313" s="25">
        <f t="shared" si="27"/>
        <v>1.3533834586466165</v>
      </c>
      <c r="X313" s="25">
        <f t="shared" si="28"/>
        <v>1.3758180850355979</v>
      </c>
    </row>
    <row r="314" spans="1:24" ht="15.75" customHeight="1">
      <c r="A314" s="1">
        <v>80301</v>
      </c>
      <c r="B314" s="2" t="s">
        <v>391</v>
      </c>
      <c r="C314" s="2" t="s">
        <v>396</v>
      </c>
      <c r="D314" s="3" t="s">
        <v>397</v>
      </c>
      <c r="E314" s="24">
        <v>65</v>
      </c>
      <c r="F314" s="24">
        <v>78</v>
      </c>
      <c r="G314" s="24">
        <v>61</v>
      </c>
      <c r="H314" s="24">
        <v>81</v>
      </c>
      <c r="I314" s="24">
        <v>113</v>
      </c>
      <c r="J314" s="24">
        <v>90</v>
      </c>
      <c r="K314" s="25">
        <f t="shared" si="25"/>
        <v>1.2461538461538462</v>
      </c>
      <c r="L314" s="25">
        <f t="shared" si="25"/>
        <v>1.4487179487179487</v>
      </c>
      <c r="M314" s="25">
        <f t="shared" si="25"/>
        <v>1.4754098360655739</v>
      </c>
      <c r="N314" s="25">
        <f t="shared" si="26"/>
        <v>1.3900938769791231</v>
      </c>
      <c r="O314" s="24">
        <v>41</v>
      </c>
      <c r="P314" s="24">
        <v>31</v>
      </c>
      <c r="Q314" s="24">
        <v>32</v>
      </c>
      <c r="R314" s="24">
        <v>58</v>
      </c>
      <c r="S314" s="24">
        <v>48</v>
      </c>
      <c r="T314" s="24">
        <v>63</v>
      </c>
      <c r="U314" s="25">
        <f t="shared" si="27"/>
        <v>1.4146341463414633</v>
      </c>
      <c r="V314" s="25">
        <f t="shared" si="27"/>
        <v>1.5483870967741935</v>
      </c>
      <c r="W314" s="25">
        <f t="shared" si="27"/>
        <v>1.96875</v>
      </c>
      <c r="X314" s="25">
        <f t="shared" si="28"/>
        <v>1.6439237477052189</v>
      </c>
    </row>
    <row r="315" spans="1:24" ht="15.75" customHeight="1">
      <c r="A315" s="1">
        <v>80302</v>
      </c>
      <c r="B315" s="2" t="s">
        <v>391</v>
      </c>
      <c r="C315" s="2" t="s">
        <v>396</v>
      </c>
      <c r="D315" s="3" t="s">
        <v>398</v>
      </c>
      <c r="E315" s="24">
        <v>308</v>
      </c>
      <c r="F315" s="24">
        <v>300</v>
      </c>
      <c r="G315" s="24">
        <v>271</v>
      </c>
      <c r="H315" s="24">
        <v>416</v>
      </c>
      <c r="I315" s="24">
        <v>386</v>
      </c>
      <c r="J315" s="24">
        <v>354</v>
      </c>
      <c r="K315" s="25">
        <f t="shared" si="25"/>
        <v>1.3506493506493507</v>
      </c>
      <c r="L315" s="25">
        <f t="shared" si="25"/>
        <v>1.2866666666666666</v>
      </c>
      <c r="M315" s="25">
        <f t="shared" si="25"/>
        <v>1.3062730627306274</v>
      </c>
      <c r="N315" s="25">
        <f t="shared" si="26"/>
        <v>1.3145296933488815</v>
      </c>
      <c r="O315" s="24">
        <v>123</v>
      </c>
      <c r="P315" s="24">
        <v>131</v>
      </c>
      <c r="Q315" s="24">
        <v>132</v>
      </c>
      <c r="R315" s="24">
        <v>165</v>
      </c>
      <c r="S315" s="24">
        <v>175</v>
      </c>
      <c r="T315" s="24">
        <v>162</v>
      </c>
      <c r="U315" s="25">
        <f t="shared" si="27"/>
        <v>1.3414634146341464</v>
      </c>
      <c r="V315" s="25">
        <f t="shared" si="27"/>
        <v>1.3358778625954197</v>
      </c>
      <c r="W315" s="25">
        <f t="shared" si="27"/>
        <v>1.2272727272727273</v>
      </c>
      <c r="X315" s="25">
        <f t="shared" si="28"/>
        <v>1.3015380015007645</v>
      </c>
    </row>
    <row r="316" spans="1:24" ht="15.75" customHeight="1">
      <c r="A316" s="1">
        <v>80303</v>
      </c>
      <c r="B316" s="2" t="s">
        <v>391</v>
      </c>
      <c r="C316" s="2" t="s">
        <v>396</v>
      </c>
      <c r="D316" s="3" t="s">
        <v>399</v>
      </c>
      <c r="E316" s="24">
        <v>21</v>
      </c>
      <c r="F316" s="24">
        <v>46</v>
      </c>
      <c r="G316" s="24">
        <v>43</v>
      </c>
      <c r="H316" s="24">
        <v>30</v>
      </c>
      <c r="I316" s="24">
        <v>68</v>
      </c>
      <c r="J316" s="24">
        <v>50</v>
      </c>
      <c r="K316" s="25">
        <f t="shared" si="25"/>
        <v>1.4285714285714286</v>
      </c>
      <c r="L316" s="25">
        <f t="shared" si="25"/>
        <v>1.4782608695652173</v>
      </c>
      <c r="M316" s="25">
        <f t="shared" si="25"/>
        <v>1.1627906976744187</v>
      </c>
      <c r="N316" s="25">
        <f t="shared" si="26"/>
        <v>1.3565409986036883</v>
      </c>
      <c r="O316" s="24">
        <v>27</v>
      </c>
      <c r="P316" s="24">
        <v>18</v>
      </c>
      <c r="Q316" s="24">
        <v>26</v>
      </c>
      <c r="R316" s="24">
        <v>33</v>
      </c>
      <c r="S316" s="24">
        <v>21</v>
      </c>
      <c r="T316" s="24">
        <v>49</v>
      </c>
      <c r="U316" s="25">
        <f t="shared" si="27"/>
        <v>1.2222222222222223</v>
      </c>
      <c r="V316" s="25">
        <f t="shared" si="27"/>
        <v>1.1666666666666667</v>
      </c>
      <c r="W316" s="25">
        <f t="shared" si="27"/>
        <v>1.8846153846153846</v>
      </c>
      <c r="X316" s="25">
        <f t="shared" si="28"/>
        <v>1.4245014245014247</v>
      </c>
    </row>
    <row r="317" spans="1:24" ht="15.75" customHeight="1">
      <c r="A317" s="1">
        <v>80304</v>
      </c>
      <c r="B317" s="2" t="s">
        <v>391</v>
      </c>
      <c r="C317" s="2" t="s">
        <v>396</v>
      </c>
      <c r="D317" s="3" t="s">
        <v>400</v>
      </c>
      <c r="E317" s="24">
        <v>99</v>
      </c>
      <c r="F317" s="24">
        <v>120</v>
      </c>
      <c r="G317" s="24">
        <v>100</v>
      </c>
      <c r="H317" s="24">
        <v>96</v>
      </c>
      <c r="I317" s="24">
        <v>136</v>
      </c>
      <c r="J317" s="24">
        <v>122</v>
      </c>
      <c r="K317" s="25">
        <f t="shared" si="25"/>
        <v>0.96969696969696972</v>
      </c>
      <c r="L317" s="25">
        <f t="shared" si="25"/>
        <v>1.1333333333333333</v>
      </c>
      <c r="M317" s="25">
        <f t="shared" si="25"/>
        <v>1.22</v>
      </c>
      <c r="N317" s="25">
        <f t="shared" si="26"/>
        <v>1.1076767676767678</v>
      </c>
      <c r="O317" s="24">
        <v>36</v>
      </c>
      <c r="P317" s="24">
        <v>39</v>
      </c>
      <c r="Q317" s="24">
        <v>58</v>
      </c>
      <c r="R317" s="24">
        <v>57</v>
      </c>
      <c r="S317" s="24">
        <v>46</v>
      </c>
      <c r="T317" s="24">
        <v>54</v>
      </c>
      <c r="U317" s="25">
        <f t="shared" si="27"/>
        <v>1.5833333333333333</v>
      </c>
      <c r="V317" s="25">
        <f t="shared" si="27"/>
        <v>1.1794871794871795</v>
      </c>
      <c r="W317" s="25">
        <f t="shared" si="27"/>
        <v>0.93103448275862066</v>
      </c>
      <c r="X317" s="25">
        <f t="shared" si="28"/>
        <v>1.2312849985263778</v>
      </c>
    </row>
    <row r="318" spans="1:24" ht="15.75" customHeight="1">
      <c r="A318" s="1">
        <v>80401</v>
      </c>
      <c r="B318" s="2" t="s">
        <v>391</v>
      </c>
      <c r="C318" s="2" t="s">
        <v>401</v>
      </c>
      <c r="D318" s="3" t="s">
        <v>402</v>
      </c>
      <c r="E318" s="24">
        <v>143</v>
      </c>
      <c r="F318" s="24">
        <v>147</v>
      </c>
      <c r="G318" s="24">
        <v>135</v>
      </c>
      <c r="H318" s="24">
        <v>202</v>
      </c>
      <c r="I318" s="24">
        <v>160</v>
      </c>
      <c r="J318" s="24">
        <v>188</v>
      </c>
      <c r="K318" s="25">
        <f t="shared" si="25"/>
        <v>1.4125874125874125</v>
      </c>
      <c r="L318" s="25">
        <f t="shared" si="25"/>
        <v>1.08843537414966</v>
      </c>
      <c r="M318" s="25">
        <f t="shared" si="25"/>
        <v>1.3925925925925926</v>
      </c>
      <c r="N318" s="25">
        <f t="shared" si="26"/>
        <v>1.2978717931098884</v>
      </c>
      <c r="O318" s="24">
        <v>58</v>
      </c>
      <c r="P318" s="24">
        <v>57</v>
      </c>
      <c r="Q318" s="24">
        <v>48</v>
      </c>
      <c r="R318" s="24">
        <v>70</v>
      </c>
      <c r="S318" s="24">
        <v>86</v>
      </c>
      <c r="T318" s="24">
        <v>65</v>
      </c>
      <c r="U318" s="25">
        <f t="shared" si="27"/>
        <v>1.2068965517241379</v>
      </c>
      <c r="V318" s="25">
        <f t="shared" si="27"/>
        <v>1.5087719298245614</v>
      </c>
      <c r="W318" s="25">
        <f t="shared" si="27"/>
        <v>1.3541666666666667</v>
      </c>
      <c r="X318" s="25">
        <f t="shared" si="28"/>
        <v>1.3566117160717888</v>
      </c>
    </row>
    <row r="319" spans="1:24" ht="15.75" customHeight="1">
      <c r="A319" s="1">
        <v>80402</v>
      </c>
      <c r="B319" s="2" t="s">
        <v>391</v>
      </c>
      <c r="C319" s="2" t="s">
        <v>401</v>
      </c>
      <c r="D319" s="3" t="s">
        <v>403</v>
      </c>
      <c r="E319" s="24">
        <v>45</v>
      </c>
      <c r="F319" s="24">
        <v>36</v>
      </c>
      <c r="G319" s="24">
        <v>32</v>
      </c>
      <c r="H319" s="24">
        <v>64</v>
      </c>
      <c r="I319" s="24">
        <v>49</v>
      </c>
      <c r="J319" s="24">
        <v>43</v>
      </c>
      <c r="K319" s="25">
        <f t="shared" si="25"/>
        <v>1.4222222222222223</v>
      </c>
      <c r="L319" s="25">
        <f t="shared" si="25"/>
        <v>1.3611111111111112</v>
      </c>
      <c r="M319" s="25">
        <f t="shared" si="25"/>
        <v>1.34375</v>
      </c>
      <c r="N319" s="25">
        <f t="shared" si="26"/>
        <v>1.3756944444444443</v>
      </c>
      <c r="O319" s="24">
        <v>2</v>
      </c>
      <c r="P319" s="24">
        <v>13</v>
      </c>
      <c r="Q319" s="24">
        <v>14</v>
      </c>
      <c r="R319" s="24">
        <v>5</v>
      </c>
      <c r="S319" s="24">
        <v>22</v>
      </c>
      <c r="T319" s="24">
        <v>18</v>
      </c>
      <c r="U319" s="25">
        <f t="shared" si="27"/>
        <v>2.5</v>
      </c>
      <c r="V319" s="25">
        <f t="shared" si="27"/>
        <v>1.6923076923076923</v>
      </c>
      <c r="W319" s="25">
        <f t="shared" si="27"/>
        <v>1.2857142857142858</v>
      </c>
      <c r="X319" s="25">
        <f t="shared" si="28"/>
        <v>1.826007326007326</v>
      </c>
    </row>
    <row r="320" spans="1:24" ht="15.75" customHeight="1">
      <c r="A320" s="1">
        <v>80501</v>
      </c>
      <c r="B320" s="2" t="s">
        <v>391</v>
      </c>
      <c r="C320" s="2" t="s">
        <v>404</v>
      </c>
      <c r="D320" s="3" t="s">
        <v>405</v>
      </c>
      <c r="E320" s="24">
        <v>145</v>
      </c>
      <c r="F320" s="24">
        <v>208</v>
      </c>
      <c r="G320" s="24">
        <v>151</v>
      </c>
      <c r="H320" s="24">
        <v>209</v>
      </c>
      <c r="I320" s="24">
        <v>217</v>
      </c>
      <c r="J320" s="24">
        <v>204</v>
      </c>
      <c r="K320" s="25">
        <f t="shared" si="25"/>
        <v>1.4413793103448276</v>
      </c>
      <c r="L320" s="25">
        <f t="shared" si="25"/>
        <v>1.0432692307692308</v>
      </c>
      <c r="M320" s="25">
        <f t="shared" si="25"/>
        <v>1.3509933774834437</v>
      </c>
      <c r="N320" s="25">
        <f t="shared" si="26"/>
        <v>1.2785473061991672</v>
      </c>
      <c r="O320" s="24">
        <v>65</v>
      </c>
      <c r="P320" s="24">
        <v>56</v>
      </c>
      <c r="Q320" s="24">
        <v>70</v>
      </c>
      <c r="R320" s="24">
        <v>82</v>
      </c>
      <c r="S320" s="24">
        <v>99</v>
      </c>
      <c r="T320" s="24">
        <v>98</v>
      </c>
      <c r="U320" s="25">
        <f t="shared" si="27"/>
        <v>1.2615384615384615</v>
      </c>
      <c r="V320" s="25">
        <f t="shared" si="27"/>
        <v>1.7678571428571428</v>
      </c>
      <c r="W320" s="25">
        <f t="shared" si="27"/>
        <v>1.4</v>
      </c>
      <c r="X320" s="25">
        <f t="shared" si="28"/>
        <v>1.4764652014652013</v>
      </c>
    </row>
    <row r="321" spans="1:24" ht="15.75" customHeight="1">
      <c r="A321" s="1">
        <v>80601</v>
      </c>
      <c r="B321" s="2" t="s">
        <v>391</v>
      </c>
      <c r="C321" s="2" t="s">
        <v>406</v>
      </c>
      <c r="D321" s="3" t="s">
        <v>407</v>
      </c>
      <c r="E321" s="24">
        <v>20</v>
      </c>
      <c r="F321" s="24">
        <v>12</v>
      </c>
      <c r="G321" s="24">
        <v>13</v>
      </c>
      <c r="H321" s="24">
        <v>31</v>
      </c>
      <c r="I321" s="24">
        <v>19</v>
      </c>
      <c r="J321" s="24">
        <v>34</v>
      </c>
      <c r="K321" s="25">
        <f t="shared" si="25"/>
        <v>1.55</v>
      </c>
      <c r="L321" s="25">
        <f t="shared" si="25"/>
        <v>1.5833333333333333</v>
      </c>
      <c r="M321" s="25">
        <f t="shared" si="25"/>
        <v>2.6153846153846154</v>
      </c>
      <c r="N321" s="25">
        <f t="shared" si="26"/>
        <v>1.9162393162393163</v>
      </c>
      <c r="O321" s="24">
        <v>8</v>
      </c>
      <c r="P321" s="24">
        <v>5</v>
      </c>
      <c r="Q321" s="24">
        <v>10</v>
      </c>
      <c r="R321" s="24">
        <v>5</v>
      </c>
      <c r="S321" s="24">
        <v>7</v>
      </c>
      <c r="T321" s="24">
        <v>11</v>
      </c>
      <c r="U321" s="25">
        <f t="shared" si="27"/>
        <v>0.625</v>
      </c>
      <c r="V321" s="25">
        <f t="shared" si="27"/>
        <v>1.4</v>
      </c>
      <c r="W321" s="25">
        <f t="shared" si="27"/>
        <v>1.1000000000000001</v>
      </c>
      <c r="X321" s="25">
        <f t="shared" si="28"/>
        <v>1.0416666666666667</v>
      </c>
    </row>
    <row r="322" spans="1:24" ht="15.75" customHeight="1">
      <c r="A322" s="1">
        <v>80602</v>
      </c>
      <c r="B322" s="2" t="s">
        <v>391</v>
      </c>
      <c r="C322" s="2" t="s">
        <v>406</v>
      </c>
      <c r="D322" s="3" t="s">
        <v>408</v>
      </c>
      <c r="E322" s="24">
        <v>65</v>
      </c>
      <c r="F322" s="24">
        <v>51</v>
      </c>
      <c r="G322" s="24">
        <v>71</v>
      </c>
      <c r="H322" s="24">
        <v>102</v>
      </c>
      <c r="I322" s="24">
        <v>68</v>
      </c>
      <c r="J322" s="24">
        <v>82</v>
      </c>
      <c r="K322" s="25">
        <f t="shared" si="25"/>
        <v>1.5692307692307692</v>
      </c>
      <c r="L322" s="25">
        <f t="shared" si="25"/>
        <v>1.3333333333333333</v>
      </c>
      <c r="M322" s="25">
        <f t="shared" si="25"/>
        <v>1.1549295774647887</v>
      </c>
      <c r="N322" s="25">
        <f t="shared" si="26"/>
        <v>1.3524978933429637</v>
      </c>
      <c r="O322" s="24">
        <v>29</v>
      </c>
      <c r="P322" s="24">
        <v>29</v>
      </c>
      <c r="Q322" s="24">
        <v>44</v>
      </c>
      <c r="R322" s="24">
        <v>39</v>
      </c>
      <c r="S322" s="24">
        <v>71</v>
      </c>
      <c r="T322" s="24">
        <v>66</v>
      </c>
      <c r="U322" s="25">
        <f t="shared" si="27"/>
        <v>1.3448275862068966</v>
      </c>
      <c r="V322" s="25">
        <f t="shared" si="27"/>
        <v>2.4482758620689653</v>
      </c>
      <c r="W322" s="25">
        <f t="shared" si="27"/>
        <v>1.5</v>
      </c>
      <c r="X322" s="25">
        <f t="shared" si="28"/>
        <v>1.764367816091954</v>
      </c>
    </row>
    <row r="323" spans="1:24" ht="15.75" customHeight="1">
      <c r="A323" s="1">
        <v>80701</v>
      </c>
      <c r="B323" s="2" t="s">
        <v>391</v>
      </c>
      <c r="C323" s="2" t="s">
        <v>409</v>
      </c>
      <c r="D323" s="3" t="s">
        <v>410</v>
      </c>
      <c r="E323" s="24">
        <v>30</v>
      </c>
      <c r="F323" s="24">
        <v>40</v>
      </c>
      <c r="G323" s="24">
        <v>38</v>
      </c>
      <c r="H323" s="24">
        <v>56</v>
      </c>
      <c r="I323" s="24">
        <v>61</v>
      </c>
      <c r="J323" s="24">
        <v>36</v>
      </c>
      <c r="K323" s="25">
        <f t="shared" ref="K323:M344" si="29">+H323/E323</f>
        <v>1.8666666666666667</v>
      </c>
      <c r="L323" s="25">
        <f t="shared" si="29"/>
        <v>1.5249999999999999</v>
      </c>
      <c r="M323" s="25">
        <f t="shared" si="29"/>
        <v>0.94736842105263153</v>
      </c>
      <c r="N323" s="25">
        <f t="shared" ref="N323:N344" si="30">AVERAGE(K323:M323)</f>
        <v>1.4463450292397662</v>
      </c>
      <c r="O323" s="24">
        <v>23</v>
      </c>
      <c r="P323" s="24">
        <v>9</v>
      </c>
      <c r="Q323" s="24">
        <v>14</v>
      </c>
      <c r="R323" s="24">
        <v>16</v>
      </c>
      <c r="S323" s="24">
        <v>14</v>
      </c>
      <c r="T323" s="24">
        <v>16</v>
      </c>
      <c r="U323" s="25">
        <f t="shared" ref="U323:W344" si="31">+R323/O323</f>
        <v>0.69565217391304346</v>
      </c>
      <c r="V323" s="25">
        <f t="shared" si="31"/>
        <v>1.5555555555555556</v>
      </c>
      <c r="W323" s="25">
        <f t="shared" si="31"/>
        <v>1.1428571428571428</v>
      </c>
      <c r="X323" s="25">
        <f t="shared" ref="X323:X344" si="32">AVERAGE(U323:W323)</f>
        <v>1.1313549574419139</v>
      </c>
    </row>
    <row r="324" spans="1:24" ht="15.75" customHeight="1">
      <c r="A324" s="1">
        <v>80702</v>
      </c>
      <c r="B324" s="2" t="s">
        <v>391</v>
      </c>
      <c r="C324" s="2" t="s">
        <v>409</v>
      </c>
      <c r="D324" s="3" t="s">
        <v>375</v>
      </c>
      <c r="E324" s="24">
        <v>16</v>
      </c>
      <c r="F324" s="24">
        <v>34</v>
      </c>
      <c r="G324" s="24">
        <v>17</v>
      </c>
      <c r="H324" s="24">
        <v>19</v>
      </c>
      <c r="I324" s="24">
        <v>35</v>
      </c>
      <c r="J324" s="24">
        <v>18</v>
      </c>
      <c r="K324" s="25">
        <f t="shared" si="29"/>
        <v>1.1875</v>
      </c>
      <c r="L324" s="25">
        <f t="shared" si="29"/>
        <v>1.0294117647058822</v>
      </c>
      <c r="M324" s="25">
        <f t="shared" si="29"/>
        <v>1.0588235294117647</v>
      </c>
      <c r="N324" s="25">
        <f t="shared" si="30"/>
        <v>1.0919117647058822</v>
      </c>
      <c r="O324" s="24">
        <v>9</v>
      </c>
      <c r="P324" s="24">
        <v>10</v>
      </c>
      <c r="Q324" s="24">
        <v>13</v>
      </c>
      <c r="R324" s="24">
        <v>8</v>
      </c>
      <c r="S324" s="24">
        <v>9</v>
      </c>
      <c r="T324" s="24">
        <v>7</v>
      </c>
      <c r="U324" s="25">
        <f t="shared" si="31"/>
        <v>0.88888888888888884</v>
      </c>
      <c r="V324" s="25">
        <f t="shared" si="31"/>
        <v>0.9</v>
      </c>
      <c r="W324" s="25">
        <f t="shared" si="31"/>
        <v>0.53846153846153844</v>
      </c>
      <c r="X324" s="25">
        <f t="shared" si="32"/>
        <v>0.77578347578347573</v>
      </c>
    </row>
    <row r="325" spans="1:24" ht="15.75" customHeight="1">
      <c r="A325" s="1">
        <v>80703</v>
      </c>
      <c r="B325" s="2" t="s">
        <v>391</v>
      </c>
      <c r="C325" s="2" t="s">
        <v>409</v>
      </c>
      <c r="D325" s="3" t="s">
        <v>411</v>
      </c>
      <c r="E325" s="24">
        <v>5</v>
      </c>
      <c r="F325" s="24">
        <v>4</v>
      </c>
      <c r="G325" s="24">
        <v>5</v>
      </c>
      <c r="H325" s="24">
        <v>3</v>
      </c>
      <c r="I325" s="24">
        <v>13</v>
      </c>
      <c r="J325" s="24">
        <v>5</v>
      </c>
      <c r="K325" s="25">
        <f t="shared" si="29"/>
        <v>0.6</v>
      </c>
      <c r="L325" s="25">
        <f t="shared" si="29"/>
        <v>3.25</v>
      </c>
      <c r="M325" s="25">
        <f t="shared" si="29"/>
        <v>1</v>
      </c>
      <c r="N325" s="25">
        <f t="shared" si="30"/>
        <v>1.6166666666666665</v>
      </c>
      <c r="O325" s="24">
        <v>0</v>
      </c>
      <c r="P325" s="24">
        <v>7</v>
      </c>
      <c r="Q325" s="24">
        <v>5</v>
      </c>
      <c r="R325" s="24">
        <v>6</v>
      </c>
      <c r="S325" s="24">
        <v>5</v>
      </c>
      <c r="T325" s="24">
        <v>5</v>
      </c>
      <c r="U325" s="25"/>
      <c r="V325" s="25">
        <f t="shared" si="31"/>
        <v>0.7142857142857143</v>
      </c>
      <c r="W325" s="25">
        <f t="shared" si="31"/>
        <v>1</v>
      </c>
      <c r="X325" s="25">
        <f t="shared" si="32"/>
        <v>0.85714285714285721</v>
      </c>
    </row>
    <row r="326" spans="1:24" ht="15.75" customHeight="1">
      <c r="A326" s="1">
        <v>80801</v>
      </c>
      <c r="B326" s="2" t="s">
        <v>391</v>
      </c>
      <c r="C326" s="2" t="s">
        <v>412</v>
      </c>
      <c r="D326" s="3" t="s">
        <v>413</v>
      </c>
      <c r="E326" s="24">
        <v>54</v>
      </c>
      <c r="F326" s="24">
        <v>71</v>
      </c>
      <c r="G326" s="24">
        <v>49</v>
      </c>
      <c r="H326" s="24">
        <v>93</v>
      </c>
      <c r="I326" s="24">
        <v>76</v>
      </c>
      <c r="J326" s="24">
        <v>78</v>
      </c>
      <c r="K326" s="25">
        <f t="shared" si="29"/>
        <v>1.7222222222222223</v>
      </c>
      <c r="L326" s="25">
        <f t="shared" si="29"/>
        <v>1.0704225352112675</v>
      </c>
      <c r="M326" s="25">
        <f t="shared" si="29"/>
        <v>1.5918367346938775</v>
      </c>
      <c r="N326" s="25">
        <f t="shared" si="30"/>
        <v>1.4614938307091225</v>
      </c>
      <c r="O326" s="24">
        <v>37</v>
      </c>
      <c r="P326" s="24">
        <v>39</v>
      </c>
      <c r="Q326" s="24">
        <v>38</v>
      </c>
      <c r="R326" s="24">
        <v>44</v>
      </c>
      <c r="S326" s="24">
        <v>31</v>
      </c>
      <c r="T326" s="24">
        <v>47</v>
      </c>
      <c r="U326" s="25">
        <f t="shared" si="31"/>
        <v>1.1891891891891893</v>
      </c>
      <c r="V326" s="25">
        <f t="shared" si="31"/>
        <v>0.79487179487179482</v>
      </c>
      <c r="W326" s="25">
        <f t="shared" si="31"/>
        <v>1.236842105263158</v>
      </c>
      <c r="X326" s="25">
        <f t="shared" si="32"/>
        <v>1.0736343631080474</v>
      </c>
    </row>
    <row r="327" spans="1:24" ht="15.75" customHeight="1">
      <c r="A327" s="1">
        <v>80802</v>
      </c>
      <c r="B327" s="2" t="s">
        <v>391</v>
      </c>
      <c r="C327" s="2" t="s">
        <v>412</v>
      </c>
      <c r="D327" s="3" t="s">
        <v>414</v>
      </c>
      <c r="E327" s="24">
        <v>11</v>
      </c>
      <c r="F327" s="24">
        <v>17</v>
      </c>
      <c r="G327" s="24">
        <v>14</v>
      </c>
      <c r="H327" s="24">
        <v>13</v>
      </c>
      <c r="I327" s="24">
        <v>24</v>
      </c>
      <c r="J327" s="24">
        <v>10</v>
      </c>
      <c r="K327" s="25">
        <f t="shared" si="29"/>
        <v>1.1818181818181819</v>
      </c>
      <c r="L327" s="25">
        <f t="shared" si="29"/>
        <v>1.411764705882353</v>
      </c>
      <c r="M327" s="25">
        <f t="shared" si="29"/>
        <v>0.7142857142857143</v>
      </c>
      <c r="N327" s="25">
        <f t="shared" si="30"/>
        <v>1.1026228673287497</v>
      </c>
      <c r="O327" s="24">
        <v>6</v>
      </c>
      <c r="P327" s="24">
        <v>15</v>
      </c>
      <c r="Q327" s="24">
        <v>8</v>
      </c>
      <c r="R327" s="24">
        <v>8</v>
      </c>
      <c r="S327" s="24">
        <v>17</v>
      </c>
      <c r="T327" s="24">
        <v>20</v>
      </c>
      <c r="U327" s="25">
        <f t="shared" si="31"/>
        <v>1.3333333333333333</v>
      </c>
      <c r="V327" s="25">
        <f t="shared" si="31"/>
        <v>1.1333333333333333</v>
      </c>
      <c r="W327" s="25">
        <f t="shared" si="31"/>
        <v>2.5</v>
      </c>
      <c r="X327" s="25">
        <f t="shared" si="32"/>
        <v>1.6555555555555557</v>
      </c>
    </row>
    <row r="328" spans="1:24" ht="15.75" customHeight="1">
      <c r="A328" s="1">
        <v>80803</v>
      </c>
      <c r="B328" s="2" t="s">
        <v>391</v>
      </c>
      <c r="C328" s="2" t="s">
        <v>412</v>
      </c>
      <c r="D328" s="3" t="s">
        <v>415</v>
      </c>
      <c r="E328" s="24">
        <v>13</v>
      </c>
      <c r="F328" s="24">
        <v>20</v>
      </c>
      <c r="G328" s="24">
        <v>16</v>
      </c>
      <c r="H328" s="24">
        <v>12</v>
      </c>
      <c r="I328" s="24">
        <v>18</v>
      </c>
      <c r="J328" s="24">
        <v>23</v>
      </c>
      <c r="K328" s="25">
        <f t="shared" si="29"/>
        <v>0.92307692307692313</v>
      </c>
      <c r="L328" s="25">
        <f t="shared" si="29"/>
        <v>0.9</v>
      </c>
      <c r="M328" s="25">
        <f t="shared" si="29"/>
        <v>1.4375</v>
      </c>
      <c r="N328" s="25">
        <f t="shared" si="30"/>
        <v>1.0868589743589745</v>
      </c>
      <c r="O328" s="24">
        <v>5</v>
      </c>
      <c r="P328" s="24">
        <v>5</v>
      </c>
      <c r="Q328" s="24">
        <v>6</v>
      </c>
      <c r="R328" s="24">
        <v>9</v>
      </c>
      <c r="S328" s="24">
        <v>3</v>
      </c>
      <c r="T328" s="24">
        <v>10</v>
      </c>
      <c r="U328" s="25">
        <f t="shared" si="31"/>
        <v>1.8</v>
      </c>
      <c r="V328" s="25">
        <f t="shared" si="31"/>
        <v>0.6</v>
      </c>
      <c r="W328" s="25">
        <f t="shared" si="31"/>
        <v>1.6666666666666667</v>
      </c>
      <c r="X328" s="25">
        <f t="shared" si="32"/>
        <v>1.3555555555555554</v>
      </c>
    </row>
    <row r="329" spans="1:24" ht="15.75" customHeight="1">
      <c r="A329" s="1">
        <v>80804</v>
      </c>
      <c r="B329" s="2" t="s">
        <v>391</v>
      </c>
      <c r="C329" s="2"/>
      <c r="D329" s="3" t="s">
        <v>416</v>
      </c>
      <c r="E329" s="24">
        <v>144</v>
      </c>
      <c r="F329" s="24">
        <v>177.5</v>
      </c>
      <c r="G329" s="24">
        <v>143</v>
      </c>
      <c r="H329" s="24">
        <v>205.5</v>
      </c>
      <c r="I329" s="24">
        <v>188.5</v>
      </c>
      <c r="J329" s="24">
        <v>196</v>
      </c>
      <c r="K329" s="25">
        <f t="shared" si="29"/>
        <v>1.4270833333333333</v>
      </c>
      <c r="L329" s="25">
        <f t="shared" si="29"/>
        <v>1.0619718309859154</v>
      </c>
      <c r="M329" s="25">
        <f t="shared" si="29"/>
        <v>1.3706293706293706</v>
      </c>
      <c r="N329" s="25">
        <f t="shared" si="30"/>
        <v>1.2865615116495397</v>
      </c>
      <c r="O329" s="24">
        <v>61.5</v>
      </c>
      <c r="P329" s="24">
        <v>56.5</v>
      </c>
      <c r="Q329" s="24"/>
      <c r="R329" s="24">
        <v>76</v>
      </c>
      <c r="S329" s="24">
        <v>92.5</v>
      </c>
      <c r="T329" s="24"/>
      <c r="U329" s="25">
        <f t="shared" si="31"/>
        <v>1.2357723577235773</v>
      </c>
      <c r="V329" s="25">
        <f t="shared" si="31"/>
        <v>1.6371681415929205</v>
      </c>
      <c r="W329" s="25"/>
      <c r="X329" s="25">
        <f t="shared" si="32"/>
        <v>1.4364702496582489</v>
      </c>
    </row>
    <row r="330" spans="1:24" ht="15.75" customHeight="1">
      <c r="A330" s="1">
        <v>90101</v>
      </c>
      <c r="B330" s="2" t="s">
        <v>417</v>
      </c>
      <c r="C330" s="2" t="s">
        <v>418</v>
      </c>
      <c r="D330" s="3" t="s">
        <v>419</v>
      </c>
      <c r="E330" s="24">
        <v>220</v>
      </c>
      <c r="F330" s="24">
        <v>209</v>
      </c>
      <c r="G330" s="24">
        <v>217</v>
      </c>
      <c r="H330" s="24">
        <v>301</v>
      </c>
      <c r="I330" s="24">
        <v>310</v>
      </c>
      <c r="J330" s="24">
        <v>298</v>
      </c>
      <c r="K330" s="25">
        <f t="shared" si="29"/>
        <v>1.3681818181818182</v>
      </c>
      <c r="L330" s="25">
        <f t="shared" si="29"/>
        <v>1.4832535885167464</v>
      </c>
      <c r="M330" s="25">
        <f t="shared" si="29"/>
        <v>1.3732718894009217</v>
      </c>
      <c r="N330" s="25">
        <f t="shared" si="30"/>
        <v>1.4082357653664956</v>
      </c>
      <c r="O330" s="24">
        <v>117</v>
      </c>
      <c r="P330" s="24">
        <v>108</v>
      </c>
      <c r="Q330" s="24">
        <v>147</v>
      </c>
      <c r="R330" s="24">
        <v>121</v>
      </c>
      <c r="S330" s="24">
        <v>151</v>
      </c>
      <c r="T330" s="24">
        <v>177</v>
      </c>
      <c r="U330" s="25">
        <f t="shared" si="31"/>
        <v>1.0341880341880343</v>
      </c>
      <c r="V330" s="25">
        <f t="shared" si="31"/>
        <v>1.3981481481481481</v>
      </c>
      <c r="W330" s="25">
        <f t="shared" si="31"/>
        <v>1.2040816326530612</v>
      </c>
      <c r="X330" s="25">
        <f t="shared" si="32"/>
        <v>1.2121392716630812</v>
      </c>
    </row>
    <row r="331" spans="1:24" ht="15.75" customHeight="1">
      <c r="A331" s="1">
        <v>90102</v>
      </c>
      <c r="B331" s="2" t="s">
        <v>417</v>
      </c>
      <c r="C331" s="2" t="s">
        <v>418</v>
      </c>
      <c r="D331" s="3" t="s">
        <v>420</v>
      </c>
      <c r="E331" s="24">
        <v>18</v>
      </c>
      <c r="F331" s="24">
        <v>26</v>
      </c>
      <c r="G331" s="24">
        <v>23</v>
      </c>
      <c r="H331" s="24">
        <v>51</v>
      </c>
      <c r="I331" s="24">
        <v>33</v>
      </c>
      <c r="J331" s="24">
        <v>39</v>
      </c>
      <c r="K331" s="25">
        <f t="shared" si="29"/>
        <v>2.8333333333333335</v>
      </c>
      <c r="L331" s="25">
        <f t="shared" si="29"/>
        <v>1.2692307692307692</v>
      </c>
      <c r="M331" s="25">
        <f t="shared" si="29"/>
        <v>1.6956521739130435</v>
      </c>
      <c r="N331" s="25">
        <f t="shared" si="30"/>
        <v>1.932738758825715</v>
      </c>
      <c r="O331" s="24">
        <v>10</v>
      </c>
      <c r="P331" s="24">
        <v>10</v>
      </c>
      <c r="Q331" s="24">
        <v>18</v>
      </c>
      <c r="R331" s="24">
        <v>17</v>
      </c>
      <c r="S331" s="24">
        <v>19</v>
      </c>
      <c r="T331" s="24">
        <v>16</v>
      </c>
      <c r="U331" s="25">
        <f t="shared" si="31"/>
        <v>1.7</v>
      </c>
      <c r="V331" s="25">
        <f t="shared" si="31"/>
        <v>1.9</v>
      </c>
      <c r="W331" s="25">
        <f t="shared" si="31"/>
        <v>0.88888888888888884</v>
      </c>
      <c r="X331" s="25">
        <f t="shared" si="32"/>
        <v>1.4962962962962962</v>
      </c>
    </row>
    <row r="332" spans="1:24" ht="15.75" customHeight="1">
      <c r="A332" s="1">
        <v>90103</v>
      </c>
      <c r="B332" s="2" t="s">
        <v>417</v>
      </c>
      <c r="C332" s="2" t="s">
        <v>418</v>
      </c>
      <c r="D332" s="3" t="s">
        <v>421</v>
      </c>
      <c r="E332" s="24">
        <v>25</v>
      </c>
      <c r="F332" s="24">
        <v>20</v>
      </c>
      <c r="G332" s="24">
        <v>13</v>
      </c>
      <c r="H332" s="24">
        <v>45</v>
      </c>
      <c r="I332" s="24">
        <v>30</v>
      </c>
      <c r="J332" s="24">
        <v>20</v>
      </c>
      <c r="K332" s="25">
        <f t="shared" si="29"/>
        <v>1.8</v>
      </c>
      <c r="L332" s="25">
        <f t="shared" si="29"/>
        <v>1.5</v>
      </c>
      <c r="M332" s="25">
        <f t="shared" si="29"/>
        <v>1.5384615384615385</v>
      </c>
      <c r="N332" s="25">
        <f t="shared" si="30"/>
        <v>1.6128205128205126</v>
      </c>
      <c r="O332" s="24">
        <v>6</v>
      </c>
      <c r="P332" s="24">
        <v>4</v>
      </c>
      <c r="Q332" s="24">
        <v>11</v>
      </c>
      <c r="R332" s="24">
        <v>20</v>
      </c>
      <c r="S332" s="24">
        <v>9</v>
      </c>
      <c r="T332" s="24">
        <v>14</v>
      </c>
      <c r="U332" s="25">
        <f t="shared" si="31"/>
        <v>3.3333333333333335</v>
      </c>
      <c r="V332" s="25">
        <f t="shared" si="31"/>
        <v>2.25</v>
      </c>
      <c r="W332" s="25">
        <f t="shared" si="31"/>
        <v>1.2727272727272727</v>
      </c>
      <c r="X332" s="25">
        <f t="shared" si="32"/>
        <v>2.2853535353535355</v>
      </c>
    </row>
    <row r="333" spans="1:24" ht="15.75" customHeight="1">
      <c r="A333" s="1">
        <v>90104</v>
      </c>
      <c r="B333" s="2" t="s">
        <v>417</v>
      </c>
      <c r="C333" s="2" t="s">
        <v>418</v>
      </c>
      <c r="D333" s="3" t="s">
        <v>422</v>
      </c>
      <c r="E333" s="24">
        <v>18</v>
      </c>
      <c r="F333" s="24">
        <v>32</v>
      </c>
      <c r="G333" s="24">
        <v>23</v>
      </c>
      <c r="H333" s="24">
        <v>34</v>
      </c>
      <c r="I333" s="24">
        <v>40</v>
      </c>
      <c r="J333" s="24">
        <v>27</v>
      </c>
      <c r="K333" s="25">
        <f t="shared" si="29"/>
        <v>1.8888888888888888</v>
      </c>
      <c r="L333" s="25">
        <f t="shared" si="29"/>
        <v>1.25</v>
      </c>
      <c r="M333" s="25">
        <f t="shared" si="29"/>
        <v>1.173913043478261</v>
      </c>
      <c r="N333" s="25">
        <f t="shared" si="30"/>
        <v>1.4376006441223834</v>
      </c>
      <c r="O333" s="24">
        <v>9</v>
      </c>
      <c r="P333" s="24">
        <v>18</v>
      </c>
      <c r="Q333" s="24">
        <v>16</v>
      </c>
      <c r="R333" s="24">
        <v>36</v>
      </c>
      <c r="S333" s="24">
        <v>20</v>
      </c>
      <c r="T333" s="24">
        <v>28</v>
      </c>
      <c r="U333" s="25">
        <f t="shared" si="31"/>
        <v>4</v>
      </c>
      <c r="V333" s="25">
        <f t="shared" si="31"/>
        <v>1.1111111111111112</v>
      </c>
      <c r="W333" s="25">
        <f t="shared" si="31"/>
        <v>1.75</v>
      </c>
      <c r="X333" s="25">
        <f t="shared" si="32"/>
        <v>2.2870370370370368</v>
      </c>
    </row>
    <row r="334" spans="1:24" ht="15.75" customHeight="1">
      <c r="A334" s="1">
        <v>90201</v>
      </c>
      <c r="B334" s="2" t="s">
        <v>417</v>
      </c>
      <c r="C334" s="2" t="s">
        <v>423</v>
      </c>
      <c r="D334" s="3" t="s">
        <v>424</v>
      </c>
      <c r="E334" s="24">
        <v>44</v>
      </c>
      <c r="F334" s="24">
        <v>73</v>
      </c>
      <c r="G334" s="24">
        <v>54</v>
      </c>
      <c r="H334" s="24">
        <v>51</v>
      </c>
      <c r="I334" s="24">
        <v>94</v>
      </c>
      <c r="J334" s="24">
        <v>85</v>
      </c>
      <c r="K334" s="25">
        <f t="shared" si="29"/>
        <v>1.1590909090909092</v>
      </c>
      <c r="L334" s="25">
        <f t="shared" si="29"/>
        <v>1.2876712328767124</v>
      </c>
      <c r="M334" s="25">
        <f t="shared" si="29"/>
        <v>1.5740740740740742</v>
      </c>
      <c r="N334" s="25">
        <f t="shared" si="30"/>
        <v>1.3402787386805652</v>
      </c>
      <c r="O334" s="24">
        <v>20</v>
      </c>
      <c r="P334" s="24">
        <v>27</v>
      </c>
      <c r="Q334" s="24">
        <v>20</v>
      </c>
      <c r="R334" s="24">
        <v>44</v>
      </c>
      <c r="S334" s="24">
        <v>30</v>
      </c>
      <c r="T334" s="24">
        <v>28</v>
      </c>
      <c r="U334" s="25">
        <f t="shared" si="31"/>
        <v>2.2000000000000002</v>
      </c>
      <c r="V334" s="25">
        <f t="shared" si="31"/>
        <v>1.1111111111111112</v>
      </c>
      <c r="W334" s="25">
        <f t="shared" si="31"/>
        <v>1.4</v>
      </c>
      <c r="X334" s="25">
        <f t="shared" si="32"/>
        <v>1.5703703703703704</v>
      </c>
    </row>
    <row r="335" spans="1:24" ht="15.75" customHeight="1">
      <c r="A335" s="1">
        <v>90202</v>
      </c>
      <c r="B335" s="2" t="s">
        <v>417</v>
      </c>
      <c r="C335" s="2" t="s">
        <v>423</v>
      </c>
      <c r="D335" s="3" t="s">
        <v>371</v>
      </c>
      <c r="E335" s="24">
        <v>5</v>
      </c>
      <c r="F335" s="24">
        <v>8</v>
      </c>
      <c r="G335" s="24">
        <v>2</v>
      </c>
      <c r="H335" s="24">
        <v>5</v>
      </c>
      <c r="I335" s="24">
        <v>11</v>
      </c>
      <c r="J335" s="24">
        <v>8</v>
      </c>
      <c r="K335" s="25">
        <f t="shared" si="29"/>
        <v>1</v>
      </c>
      <c r="L335" s="25">
        <f t="shared" si="29"/>
        <v>1.375</v>
      </c>
      <c r="M335" s="25">
        <f t="shared" si="29"/>
        <v>4</v>
      </c>
      <c r="N335" s="25">
        <f t="shared" si="30"/>
        <v>2.125</v>
      </c>
      <c r="O335" s="24">
        <v>7</v>
      </c>
      <c r="P335" s="24">
        <v>6</v>
      </c>
      <c r="Q335" s="24">
        <v>7</v>
      </c>
      <c r="R335" s="24">
        <v>11</v>
      </c>
      <c r="S335" s="24">
        <v>14</v>
      </c>
      <c r="T335" s="24">
        <v>9</v>
      </c>
      <c r="U335" s="25">
        <f t="shared" si="31"/>
        <v>1.5714285714285714</v>
      </c>
      <c r="V335" s="25">
        <f t="shared" si="31"/>
        <v>2.3333333333333335</v>
      </c>
      <c r="W335" s="25">
        <f t="shared" si="31"/>
        <v>1.2857142857142858</v>
      </c>
      <c r="X335" s="25">
        <f t="shared" si="32"/>
        <v>1.7301587301587302</v>
      </c>
    </row>
    <row r="336" spans="1:24" ht="15.75" customHeight="1">
      <c r="A336" s="1">
        <v>90203</v>
      </c>
      <c r="B336" s="2" t="s">
        <v>417</v>
      </c>
      <c r="C336" s="2" t="s">
        <v>423</v>
      </c>
      <c r="D336" s="3" t="s">
        <v>425</v>
      </c>
      <c r="E336" s="24">
        <v>29</v>
      </c>
      <c r="F336" s="24">
        <v>20</v>
      </c>
      <c r="G336" s="24">
        <v>42</v>
      </c>
      <c r="H336" s="24">
        <v>43</v>
      </c>
      <c r="I336" s="24">
        <v>67</v>
      </c>
      <c r="J336" s="24">
        <v>59</v>
      </c>
      <c r="K336" s="25">
        <f t="shared" si="29"/>
        <v>1.4827586206896552</v>
      </c>
      <c r="L336" s="25">
        <f t="shared" si="29"/>
        <v>3.35</v>
      </c>
      <c r="M336" s="25">
        <f t="shared" si="29"/>
        <v>1.4047619047619047</v>
      </c>
      <c r="N336" s="25">
        <f t="shared" si="30"/>
        <v>2.0791735084838532</v>
      </c>
      <c r="O336" s="24">
        <v>17</v>
      </c>
      <c r="P336" s="24">
        <v>20</v>
      </c>
      <c r="Q336" s="24">
        <v>23</v>
      </c>
      <c r="R336" s="24">
        <v>24</v>
      </c>
      <c r="S336" s="24">
        <v>26</v>
      </c>
      <c r="T336" s="24">
        <v>36</v>
      </c>
      <c r="U336" s="25">
        <f t="shared" si="31"/>
        <v>1.411764705882353</v>
      </c>
      <c r="V336" s="25">
        <f t="shared" si="31"/>
        <v>1.3</v>
      </c>
      <c r="W336" s="25">
        <f t="shared" si="31"/>
        <v>1.5652173913043479</v>
      </c>
      <c r="X336" s="25">
        <f t="shared" si="32"/>
        <v>1.4256606990622336</v>
      </c>
    </row>
    <row r="337" spans="1:24" ht="15.75" customHeight="1">
      <c r="A337" s="1">
        <v>90301</v>
      </c>
      <c r="B337" s="2" t="s">
        <v>417</v>
      </c>
      <c r="C337" s="2" t="s">
        <v>426</v>
      </c>
      <c r="D337" s="3" t="s">
        <v>427</v>
      </c>
      <c r="E337" s="24">
        <v>37</v>
      </c>
      <c r="F337" s="24">
        <v>51</v>
      </c>
      <c r="G337" s="24">
        <v>32</v>
      </c>
      <c r="H337" s="24">
        <v>41</v>
      </c>
      <c r="I337" s="24">
        <v>57</v>
      </c>
      <c r="J337" s="24">
        <v>24</v>
      </c>
      <c r="K337" s="25">
        <f t="shared" si="29"/>
        <v>1.1081081081081081</v>
      </c>
      <c r="L337" s="25">
        <f t="shared" si="29"/>
        <v>1.1176470588235294</v>
      </c>
      <c r="M337" s="25">
        <f t="shared" si="29"/>
        <v>0.75</v>
      </c>
      <c r="N337" s="25">
        <f t="shared" si="30"/>
        <v>0.99191838897721263</v>
      </c>
      <c r="O337" s="24">
        <v>17</v>
      </c>
      <c r="P337" s="24">
        <v>10</v>
      </c>
      <c r="Q337" s="24">
        <v>17</v>
      </c>
      <c r="R337" s="24">
        <v>19</v>
      </c>
      <c r="S337" s="24">
        <v>16</v>
      </c>
      <c r="T337" s="24">
        <v>18</v>
      </c>
      <c r="U337" s="25">
        <f t="shared" si="31"/>
        <v>1.1176470588235294</v>
      </c>
      <c r="V337" s="25">
        <f t="shared" si="31"/>
        <v>1.6</v>
      </c>
      <c r="W337" s="25">
        <f t="shared" si="31"/>
        <v>1.0588235294117647</v>
      </c>
      <c r="X337" s="25">
        <f t="shared" si="32"/>
        <v>1.2588235294117647</v>
      </c>
    </row>
    <row r="338" spans="1:24" ht="15.75" customHeight="1">
      <c r="A338" s="1">
        <v>90302</v>
      </c>
      <c r="B338" s="2" t="s">
        <v>417</v>
      </c>
      <c r="C338" s="2" t="s">
        <v>426</v>
      </c>
      <c r="D338" s="3" t="s">
        <v>428</v>
      </c>
      <c r="E338" s="24">
        <v>47</v>
      </c>
      <c r="F338" s="24">
        <v>48</v>
      </c>
      <c r="G338" s="24">
        <v>45</v>
      </c>
      <c r="H338" s="24">
        <v>68</v>
      </c>
      <c r="I338" s="24">
        <v>46</v>
      </c>
      <c r="J338" s="24">
        <v>55</v>
      </c>
      <c r="K338" s="25">
        <f t="shared" si="29"/>
        <v>1.446808510638298</v>
      </c>
      <c r="L338" s="25">
        <f t="shared" si="29"/>
        <v>0.95833333333333337</v>
      </c>
      <c r="M338" s="25">
        <f t="shared" si="29"/>
        <v>1.2222222222222223</v>
      </c>
      <c r="N338" s="25">
        <f t="shared" si="30"/>
        <v>1.2091213553979512</v>
      </c>
      <c r="O338" s="24">
        <v>33</v>
      </c>
      <c r="P338" s="24">
        <v>26</v>
      </c>
      <c r="Q338" s="24">
        <v>31</v>
      </c>
      <c r="R338" s="24">
        <v>41</v>
      </c>
      <c r="S338" s="24">
        <v>34</v>
      </c>
      <c r="T338" s="24">
        <v>33</v>
      </c>
      <c r="U338" s="25">
        <f t="shared" si="31"/>
        <v>1.2424242424242424</v>
      </c>
      <c r="V338" s="25">
        <f t="shared" si="31"/>
        <v>1.3076923076923077</v>
      </c>
      <c r="W338" s="25">
        <f t="shared" si="31"/>
        <v>1.064516129032258</v>
      </c>
      <c r="X338" s="25">
        <f t="shared" si="32"/>
        <v>1.2048775597162693</v>
      </c>
    </row>
    <row r="339" spans="1:24" ht="15.75" customHeight="1">
      <c r="A339" s="1">
        <v>90303</v>
      </c>
      <c r="B339" s="2" t="s">
        <v>417</v>
      </c>
      <c r="C339" s="2" t="s">
        <v>426</v>
      </c>
      <c r="D339" s="3" t="s">
        <v>429</v>
      </c>
      <c r="E339" s="24">
        <v>15</v>
      </c>
      <c r="F339" s="24">
        <v>22</v>
      </c>
      <c r="G339" s="24">
        <v>27</v>
      </c>
      <c r="H339" s="24">
        <v>11</v>
      </c>
      <c r="I339" s="24">
        <v>40</v>
      </c>
      <c r="J339" s="24">
        <v>28</v>
      </c>
      <c r="K339" s="25">
        <f t="shared" si="29"/>
        <v>0.73333333333333328</v>
      </c>
      <c r="L339" s="25">
        <f t="shared" si="29"/>
        <v>1.8181818181818181</v>
      </c>
      <c r="M339" s="25">
        <f t="shared" si="29"/>
        <v>1.037037037037037</v>
      </c>
      <c r="N339" s="25">
        <f t="shared" si="30"/>
        <v>1.1961840628507294</v>
      </c>
      <c r="O339" s="24">
        <v>34</v>
      </c>
      <c r="P339" s="24">
        <v>39</v>
      </c>
      <c r="Q339" s="24">
        <v>50</v>
      </c>
      <c r="R339" s="24">
        <v>22</v>
      </c>
      <c r="S339" s="24">
        <v>53</v>
      </c>
      <c r="T339" s="24">
        <v>58</v>
      </c>
      <c r="U339" s="25">
        <f t="shared" si="31"/>
        <v>0.6470588235294118</v>
      </c>
      <c r="V339" s="25">
        <f t="shared" si="31"/>
        <v>1.358974358974359</v>
      </c>
      <c r="W339" s="25">
        <f t="shared" si="31"/>
        <v>1.1599999999999999</v>
      </c>
      <c r="X339" s="25">
        <f t="shared" si="32"/>
        <v>1.0553443941679237</v>
      </c>
    </row>
    <row r="340" spans="1:24" ht="15.75" customHeight="1">
      <c r="A340" s="1">
        <v>90401</v>
      </c>
      <c r="B340" s="2" t="s">
        <v>417</v>
      </c>
      <c r="C340" s="2" t="s">
        <v>430</v>
      </c>
      <c r="D340" s="3" t="s">
        <v>431</v>
      </c>
      <c r="E340" s="24">
        <v>9</v>
      </c>
      <c r="F340" s="24">
        <v>15</v>
      </c>
      <c r="G340" s="24">
        <v>21</v>
      </c>
      <c r="H340" s="24">
        <v>8</v>
      </c>
      <c r="I340" s="24">
        <v>23</v>
      </c>
      <c r="J340" s="24">
        <v>23</v>
      </c>
      <c r="K340" s="25">
        <f t="shared" si="29"/>
        <v>0.88888888888888884</v>
      </c>
      <c r="L340" s="25">
        <f t="shared" si="29"/>
        <v>1.5333333333333334</v>
      </c>
      <c r="M340" s="25">
        <f t="shared" si="29"/>
        <v>1.0952380952380953</v>
      </c>
      <c r="N340" s="25">
        <f t="shared" si="30"/>
        <v>1.1724867724867727</v>
      </c>
      <c r="O340" s="24">
        <v>6</v>
      </c>
      <c r="P340" s="24">
        <v>13</v>
      </c>
      <c r="Q340" s="24">
        <v>2</v>
      </c>
      <c r="R340" s="24">
        <v>16</v>
      </c>
      <c r="S340" s="24">
        <v>16</v>
      </c>
      <c r="T340" s="24">
        <v>8</v>
      </c>
      <c r="U340" s="25">
        <f t="shared" si="31"/>
        <v>2.6666666666666665</v>
      </c>
      <c r="V340" s="25">
        <f t="shared" si="31"/>
        <v>1.2307692307692308</v>
      </c>
      <c r="W340" s="25">
        <f t="shared" si="31"/>
        <v>4</v>
      </c>
      <c r="X340" s="25">
        <f t="shared" si="32"/>
        <v>2.6324786324786325</v>
      </c>
    </row>
    <row r="341" spans="1:24" ht="15.75" customHeight="1">
      <c r="A341" s="1">
        <v>90402</v>
      </c>
      <c r="B341" s="2" t="s">
        <v>417</v>
      </c>
      <c r="C341" s="2" t="s">
        <v>430</v>
      </c>
      <c r="D341" s="3" t="s">
        <v>87</v>
      </c>
      <c r="E341" s="24">
        <v>0</v>
      </c>
      <c r="F341" s="24">
        <v>11</v>
      </c>
      <c r="G341" s="24">
        <v>6</v>
      </c>
      <c r="H341" s="24">
        <v>0</v>
      </c>
      <c r="I341" s="24">
        <v>17</v>
      </c>
      <c r="J341" s="24">
        <v>3</v>
      </c>
      <c r="K341" s="25"/>
      <c r="L341" s="25">
        <f t="shared" si="29"/>
        <v>1.5454545454545454</v>
      </c>
      <c r="M341" s="25">
        <f t="shared" si="29"/>
        <v>0.5</v>
      </c>
      <c r="N341" s="25">
        <f t="shared" si="30"/>
        <v>1.0227272727272727</v>
      </c>
      <c r="O341" s="24">
        <v>23</v>
      </c>
      <c r="P341" s="24">
        <v>16</v>
      </c>
      <c r="Q341" s="24">
        <v>27</v>
      </c>
      <c r="R341" s="24">
        <v>28</v>
      </c>
      <c r="S341" s="24">
        <v>23</v>
      </c>
      <c r="T341" s="24">
        <v>14</v>
      </c>
      <c r="U341" s="25">
        <f t="shared" si="31"/>
        <v>1.2173913043478262</v>
      </c>
      <c r="V341" s="25">
        <f t="shared" si="31"/>
        <v>1.4375</v>
      </c>
      <c r="W341" s="25">
        <f t="shared" si="31"/>
        <v>0.51851851851851849</v>
      </c>
      <c r="X341" s="25">
        <f t="shared" si="32"/>
        <v>1.0578032742887815</v>
      </c>
    </row>
    <row r="342" spans="1:24" ht="15.75" customHeight="1">
      <c r="A342" s="1">
        <v>90501</v>
      </c>
      <c r="B342" s="2" t="s">
        <v>417</v>
      </c>
      <c r="C342" s="2" t="s">
        <v>432</v>
      </c>
      <c r="D342" s="3" t="s">
        <v>433</v>
      </c>
      <c r="E342" s="24">
        <v>1</v>
      </c>
      <c r="F342" s="24">
        <v>15</v>
      </c>
      <c r="G342" s="24">
        <v>9</v>
      </c>
      <c r="H342" s="24">
        <v>3</v>
      </c>
      <c r="I342" s="24">
        <v>21</v>
      </c>
      <c r="J342" s="24">
        <v>14</v>
      </c>
      <c r="K342" s="25">
        <f t="shared" si="29"/>
        <v>3</v>
      </c>
      <c r="L342" s="25">
        <f t="shared" si="29"/>
        <v>1.4</v>
      </c>
      <c r="M342" s="25">
        <f t="shared" si="29"/>
        <v>1.5555555555555556</v>
      </c>
      <c r="N342" s="25">
        <f t="shared" si="30"/>
        <v>1.9851851851851852</v>
      </c>
      <c r="O342" s="24">
        <v>8</v>
      </c>
      <c r="P342" s="24">
        <v>16</v>
      </c>
      <c r="Q342" s="24">
        <v>17</v>
      </c>
      <c r="R342" s="24">
        <v>7</v>
      </c>
      <c r="S342" s="24">
        <v>16</v>
      </c>
      <c r="T342" s="24">
        <v>28</v>
      </c>
      <c r="U342" s="25">
        <f t="shared" si="31"/>
        <v>0.875</v>
      </c>
      <c r="V342" s="25">
        <f t="shared" si="31"/>
        <v>1</v>
      </c>
      <c r="W342" s="25">
        <f t="shared" si="31"/>
        <v>1.6470588235294117</v>
      </c>
      <c r="X342" s="25">
        <f t="shared" si="32"/>
        <v>1.1740196078431373</v>
      </c>
    </row>
    <row r="343" spans="1:24" ht="15.75" customHeight="1">
      <c r="A343" s="1">
        <v>90502</v>
      </c>
      <c r="B343" s="2" t="s">
        <v>417</v>
      </c>
      <c r="C343" s="2" t="s">
        <v>432</v>
      </c>
      <c r="D343" s="3" t="s">
        <v>434</v>
      </c>
      <c r="E343" s="24">
        <v>13</v>
      </c>
      <c r="F343" s="24">
        <v>34</v>
      </c>
      <c r="G343" s="24">
        <v>16</v>
      </c>
      <c r="H343" s="24">
        <v>21</v>
      </c>
      <c r="I343" s="24">
        <v>35</v>
      </c>
      <c r="J343" s="24">
        <v>27</v>
      </c>
      <c r="K343" s="25">
        <f t="shared" si="29"/>
        <v>1.6153846153846154</v>
      </c>
      <c r="L343" s="25">
        <f t="shared" si="29"/>
        <v>1.0294117647058822</v>
      </c>
      <c r="M343" s="25">
        <f t="shared" si="29"/>
        <v>1.6875</v>
      </c>
      <c r="N343" s="25">
        <f t="shared" si="30"/>
        <v>1.444098793363499</v>
      </c>
      <c r="O343" s="24">
        <v>8</v>
      </c>
      <c r="P343" s="24">
        <v>18</v>
      </c>
      <c r="Q343" s="24">
        <v>16</v>
      </c>
      <c r="R343" s="24">
        <v>12</v>
      </c>
      <c r="S343" s="24">
        <v>21</v>
      </c>
      <c r="T343" s="24">
        <v>14</v>
      </c>
      <c r="U343" s="25">
        <f t="shared" si="31"/>
        <v>1.5</v>
      </c>
      <c r="V343" s="25">
        <f t="shared" si="31"/>
        <v>1.1666666666666667</v>
      </c>
      <c r="W343" s="25">
        <f t="shared" si="31"/>
        <v>0.875</v>
      </c>
      <c r="X343" s="25">
        <f t="shared" si="32"/>
        <v>1.1805555555555556</v>
      </c>
    </row>
    <row r="344" spans="1:24" ht="15.75" customHeight="1">
      <c r="A344" s="1">
        <v>90503</v>
      </c>
      <c r="B344" s="2" t="s">
        <v>417</v>
      </c>
      <c r="C344" s="2" t="s">
        <v>432</v>
      </c>
      <c r="D344" s="3" t="s">
        <v>435</v>
      </c>
      <c r="E344" s="24">
        <v>1</v>
      </c>
      <c r="F344" s="24">
        <v>6</v>
      </c>
      <c r="G344" s="24">
        <v>13</v>
      </c>
      <c r="H344" s="24">
        <v>5</v>
      </c>
      <c r="I344" s="24">
        <v>12</v>
      </c>
      <c r="J344" s="24">
        <v>25</v>
      </c>
      <c r="K344" s="25">
        <f t="shared" si="29"/>
        <v>5</v>
      </c>
      <c r="L344" s="25">
        <f t="shared" si="29"/>
        <v>2</v>
      </c>
      <c r="M344" s="25">
        <f t="shared" si="29"/>
        <v>1.9230769230769231</v>
      </c>
      <c r="N344" s="25">
        <f t="shared" si="30"/>
        <v>2.9743589743589745</v>
      </c>
      <c r="O344" s="24">
        <v>15</v>
      </c>
      <c r="P344" s="24">
        <v>16</v>
      </c>
      <c r="Q344" s="24">
        <v>14</v>
      </c>
      <c r="R344" s="24">
        <v>15</v>
      </c>
      <c r="S344" s="24">
        <v>13</v>
      </c>
      <c r="T344" s="24">
        <v>8</v>
      </c>
      <c r="U344" s="25">
        <f t="shared" si="31"/>
        <v>1</v>
      </c>
      <c r="V344" s="25">
        <f t="shared" si="31"/>
        <v>0.8125</v>
      </c>
      <c r="W344" s="25">
        <f t="shared" si="31"/>
        <v>0.5714285714285714</v>
      </c>
      <c r="X344" s="25">
        <f t="shared" si="32"/>
        <v>0.7946428571428571</v>
      </c>
    </row>
    <row r="345" spans="1:24" ht="15.75" customHeight="1">
      <c r="A345" s="7"/>
      <c r="B345" s="4"/>
      <c r="C345" s="4"/>
      <c r="D345" s="8"/>
    </row>
    <row r="346" spans="1:24" ht="15.75" customHeight="1">
      <c r="A346" s="7"/>
      <c r="B346" s="4"/>
      <c r="C346" s="4"/>
      <c r="D346" s="8"/>
    </row>
    <row r="347" spans="1:24" ht="15.75" customHeight="1">
      <c r="A347" s="7"/>
      <c r="B347" s="4"/>
      <c r="C347" s="4"/>
      <c r="D347" s="8"/>
    </row>
    <row r="348" spans="1:24" ht="15.75" customHeight="1">
      <c r="A348" s="7"/>
      <c r="B348" s="4"/>
      <c r="C348" s="4"/>
      <c r="D348" s="8"/>
    </row>
    <row r="349" spans="1:24" ht="15.75" customHeight="1">
      <c r="A349" s="7"/>
      <c r="B349" s="4"/>
      <c r="C349" s="4"/>
      <c r="D349" s="8"/>
    </row>
    <row r="350" spans="1:24" ht="15.75" customHeight="1">
      <c r="A350" s="7"/>
      <c r="B350" s="4"/>
      <c r="C350" s="4"/>
      <c r="D350" s="8"/>
    </row>
    <row r="351" spans="1:24" ht="15.75" customHeight="1">
      <c r="A351" s="7"/>
      <c r="B351" s="4"/>
      <c r="C351" s="4"/>
      <c r="D351" s="8"/>
    </row>
    <row r="352" spans="1:24" ht="15.75" customHeight="1">
      <c r="A352" s="7"/>
      <c r="B352" s="4"/>
      <c r="C352" s="4"/>
      <c r="D352" s="8"/>
    </row>
    <row r="353" spans="1:4" ht="15.75" customHeight="1">
      <c r="A353" s="7"/>
      <c r="B353" s="4"/>
      <c r="C353" s="4"/>
      <c r="D353" s="8"/>
    </row>
    <row r="354" spans="1:4" ht="15.75" customHeight="1">
      <c r="A354" s="7"/>
      <c r="B354" s="4"/>
      <c r="C354" s="4"/>
      <c r="D354" s="8"/>
    </row>
    <row r="355" spans="1:4" ht="15.75" customHeight="1">
      <c r="A355" s="7"/>
      <c r="B355" s="4"/>
      <c r="C355" s="4"/>
      <c r="D355" s="8"/>
    </row>
    <row r="356" spans="1:4" ht="15.75" customHeight="1">
      <c r="A356" s="7"/>
      <c r="B356" s="4"/>
      <c r="C356" s="4"/>
      <c r="D356" s="8"/>
    </row>
    <row r="357" spans="1:4" ht="15.75" customHeight="1">
      <c r="A357" s="7"/>
      <c r="B357" s="4"/>
      <c r="C357" s="4"/>
      <c r="D357" s="8"/>
    </row>
    <row r="358" spans="1:4" ht="15.75" customHeight="1">
      <c r="A358" s="7"/>
      <c r="B358" s="4"/>
      <c r="C358" s="4"/>
      <c r="D358" s="8"/>
    </row>
    <row r="359" spans="1:4" ht="15.75" customHeight="1">
      <c r="A359" s="7"/>
      <c r="B359" s="4"/>
      <c r="C359" s="4"/>
      <c r="D359" s="8"/>
    </row>
    <row r="360" spans="1:4" ht="15.75" customHeight="1">
      <c r="A360" s="7"/>
      <c r="B360" s="4"/>
      <c r="C360" s="4"/>
      <c r="D360" s="8"/>
    </row>
    <row r="361" spans="1:4" ht="15.75" customHeight="1">
      <c r="A361" s="7"/>
      <c r="B361" s="4"/>
      <c r="C361" s="4"/>
      <c r="D361" s="8"/>
    </row>
    <row r="362" spans="1:4" ht="15.75" customHeight="1">
      <c r="A362" s="7"/>
      <c r="B362" s="4"/>
      <c r="C362" s="4"/>
      <c r="D362" s="8"/>
    </row>
    <row r="363" spans="1:4" ht="15.75" customHeight="1">
      <c r="A363" s="7"/>
      <c r="B363" s="4"/>
      <c r="C363" s="4"/>
      <c r="D363" s="8"/>
    </row>
    <row r="364" spans="1:4" ht="15.75" customHeight="1">
      <c r="A364" s="7"/>
      <c r="B364" s="4"/>
      <c r="C364" s="4"/>
      <c r="D364" s="8"/>
    </row>
    <row r="365" spans="1:4" ht="15.75" customHeight="1">
      <c r="A365" s="7"/>
      <c r="B365" s="4"/>
      <c r="C365" s="4"/>
      <c r="D365" s="8"/>
    </row>
    <row r="366" spans="1:4" ht="15.75" customHeight="1">
      <c r="A366" s="7"/>
      <c r="B366" s="4"/>
      <c r="C366" s="4"/>
      <c r="D366" s="8"/>
    </row>
    <row r="367" spans="1:4" ht="15.75" customHeight="1">
      <c r="A367" s="7"/>
      <c r="B367" s="4"/>
      <c r="C367" s="4"/>
      <c r="D367" s="8"/>
    </row>
    <row r="368" spans="1:4" ht="15.75" customHeight="1">
      <c r="A368" s="7"/>
      <c r="B368" s="4"/>
      <c r="C368" s="4"/>
      <c r="D368" s="8"/>
    </row>
    <row r="369" spans="1:4" ht="15.75" customHeight="1">
      <c r="A369" s="7"/>
      <c r="B369" s="4"/>
      <c r="C369" s="4"/>
      <c r="D369" s="8"/>
    </row>
    <row r="370" spans="1:4" ht="15.75" customHeight="1">
      <c r="A370" s="7"/>
      <c r="B370" s="4"/>
      <c r="C370" s="4"/>
      <c r="D370" s="8"/>
    </row>
    <row r="371" spans="1:4" ht="15.75" customHeight="1">
      <c r="A371" s="7"/>
      <c r="B371" s="4"/>
      <c r="C371" s="4"/>
      <c r="D371" s="8"/>
    </row>
    <row r="372" spans="1:4" ht="15.75" customHeight="1">
      <c r="A372" s="7"/>
      <c r="B372" s="4"/>
      <c r="C372" s="4"/>
      <c r="D372" s="8"/>
    </row>
    <row r="373" spans="1:4" ht="15.75" customHeight="1">
      <c r="A373" s="7"/>
      <c r="B373" s="4"/>
      <c r="C373" s="4"/>
      <c r="D373" s="8"/>
    </row>
    <row r="374" spans="1:4" ht="15.75" customHeight="1">
      <c r="A374" s="7"/>
      <c r="B374" s="4"/>
      <c r="C374" s="4"/>
      <c r="D374" s="8"/>
    </row>
    <row r="375" spans="1:4" ht="15.75" customHeight="1">
      <c r="A375" s="7"/>
      <c r="B375" s="4"/>
      <c r="C375" s="4"/>
      <c r="D375" s="8"/>
    </row>
    <row r="376" spans="1:4" ht="15.75" customHeight="1">
      <c r="A376" s="7"/>
      <c r="B376" s="4"/>
      <c r="C376" s="4"/>
      <c r="D376" s="8"/>
    </row>
    <row r="377" spans="1:4" ht="15.75" customHeight="1">
      <c r="A377" s="7"/>
      <c r="B377" s="4"/>
      <c r="C377" s="4"/>
      <c r="D377" s="8"/>
    </row>
    <row r="378" spans="1:4" ht="15.75" customHeight="1">
      <c r="A378" s="7"/>
      <c r="B378" s="4"/>
      <c r="C378" s="4"/>
      <c r="D378" s="8"/>
    </row>
    <row r="379" spans="1:4" ht="15.75" customHeight="1">
      <c r="A379" s="7"/>
      <c r="B379" s="4"/>
      <c r="C379" s="4"/>
      <c r="D379" s="8"/>
    </row>
    <row r="380" spans="1:4" ht="15.75" customHeight="1">
      <c r="A380" s="7"/>
      <c r="B380" s="4"/>
      <c r="C380" s="4"/>
      <c r="D380" s="8"/>
    </row>
    <row r="381" spans="1:4" ht="15.75" customHeight="1">
      <c r="A381" s="7"/>
      <c r="B381" s="4"/>
      <c r="C381" s="4"/>
      <c r="D381" s="8"/>
    </row>
    <row r="382" spans="1:4" ht="15.75" customHeight="1">
      <c r="A382" s="7"/>
      <c r="B382" s="4"/>
      <c r="C382" s="4"/>
      <c r="D382" s="8"/>
    </row>
    <row r="383" spans="1:4" ht="15.75" customHeight="1">
      <c r="A383" s="7"/>
      <c r="B383" s="4"/>
      <c r="C383" s="4"/>
      <c r="D383" s="8"/>
    </row>
    <row r="384" spans="1:4" ht="15.75" customHeight="1">
      <c r="A384" s="7"/>
      <c r="B384" s="4"/>
      <c r="C384" s="4"/>
      <c r="D384" s="8"/>
    </row>
    <row r="385" spans="1:4" ht="15.75" customHeight="1">
      <c r="A385" s="7"/>
      <c r="B385" s="4"/>
      <c r="C385" s="4"/>
      <c r="D385" s="8"/>
    </row>
    <row r="386" spans="1:4" ht="15.75" customHeight="1">
      <c r="A386" s="7"/>
      <c r="B386" s="4"/>
      <c r="C386" s="4"/>
      <c r="D386" s="8"/>
    </row>
    <row r="387" spans="1:4" ht="15.75" customHeight="1">
      <c r="A387" s="7"/>
      <c r="B387" s="4"/>
      <c r="C387" s="4"/>
      <c r="D387" s="8"/>
    </row>
    <row r="388" spans="1:4" ht="15.75" customHeight="1">
      <c r="A388" s="7"/>
      <c r="B388" s="4"/>
      <c r="C388" s="4"/>
      <c r="D388" s="8"/>
    </row>
    <row r="389" spans="1:4" ht="15.75" customHeight="1">
      <c r="A389" s="7"/>
      <c r="B389" s="4"/>
      <c r="C389" s="4"/>
      <c r="D389" s="8"/>
    </row>
    <row r="390" spans="1:4" ht="15.75" customHeight="1">
      <c r="A390" s="7"/>
      <c r="B390" s="4"/>
      <c r="C390" s="4"/>
      <c r="D390" s="8"/>
    </row>
    <row r="391" spans="1:4" ht="15.75" customHeight="1">
      <c r="A391" s="7"/>
      <c r="B391" s="4"/>
      <c r="C391" s="4"/>
      <c r="D391" s="8"/>
    </row>
    <row r="392" spans="1:4" ht="15.75" customHeight="1">
      <c r="A392" s="7"/>
      <c r="B392" s="4"/>
      <c r="C392" s="4"/>
      <c r="D392" s="8"/>
    </row>
    <row r="393" spans="1:4" ht="15.75" customHeight="1">
      <c r="A393" s="7"/>
      <c r="B393" s="4"/>
      <c r="C393" s="4"/>
      <c r="D393" s="8"/>
    </row>
    <row r="394" spans="1:4" ht="15.75" customHeight="1">
      <c r="A394" s="7"/>
      <c r="B394" s="4"/>
      <c r="C394" s="4"/>
      <c r="D394" s="8"/>
    </row>
    <row r="395" spans="1:4" ht="15.75" customHeight="1">
      <c r="A395" s="7"/>
      <c r="B395" s="4"/>
      <c r="C395" s="4"/>
      <c r="D395" s="8"/>
    </row>
    <row r="396" spans="1:4" ht="15.75" customHeight="1">
      <c r="A396" s="7"/>
      <c r="B396" s="4"/>
      <c r="C396" s="4"/>
      <c r="D396" s="8"/>
    </row>
    <row r="397" spans="1:4" ht="15.75" customHeight="1">
      <c r="A397" s="7"/>
      <c r="B397" s="4"/>
      <c r="C397" s="4"/>
      <c r="D397" s="8"/>
    </row>
    <row r="398" spans="1:4" ht="15.75" customHeight="1">
      <c r="A398" s="7"/>
      <c r="B398" s="4"/>
      <c r="C398" s="4"/>
      <c r="D398" s="8"/>
    </row>
    <row r="399" spans="1:4" ht="15.75" customHeight="1">
      <c r="A399" s="7"/>
      <c r="B399" s="4"/>
      <c r="C399" s="4"/>
      <c r="D399" s="8"/>
    </row>
    <row r="400" spans="1:4" ht="15.75" customHeight="1">
      <c r="A400" s="7"/>
      <c r="B400" s="4"/>
      <c r="C400" s="4"/>
      <c r="D400" s="8"/>
    </row>
    <row r="401" spans="1:22" ht="15.75" customHeight="1">
      <c r="A401" s="7"/>
      <c r="B401" s="4"/>
      <c r="C401" s="4"/>
      <c r="D401" s="8"/>
    </row>
    <row r="402" spans="1:22" ht="15.75" customHeight="1">
      <c r="A402" s="7"/>
      <c r="B402" s="4"/>
      <c r="C402" s="4"/>
      <c r="D402" s="8"/>
    </row>
    <row r="403" spans="1:22" ht="15.75" customHeight="1">
      <c r="A403" s="7"/>
      <c r="B403" s="4"/>
      <c r="C403" s="4"/>
      <c r="D403" s="8"/>
    </row>
    <row r="404" spans="1:22" ht="15.75" customHeight="1">
      <c r="A404" s="7"/>
      <c r="B404" s="4"/>
      <c r="C404" s="4"/>
      <c r="D404" s="8"/>
    </row>
    <row r="405" spans="1:22" ht="15.75" customHeight="1">
      <c r="A405" s="7"/>
      <c r="B405" s="4"/>
      <c r="C405" s="4"/>
      <c r="D405" s="8"/>
    </row>
    <row r="406" spans="1:22" ht="15.75" customHeight="1">
      <c r="A406" s="7"/>
      <c r="B406" s="4"/>
      <c r="C406" s="4"/>
      <c r="D406" s="8"/>
    </row>
    <row r="407" spans="1:22" ht="15.75" customHeight="1">
      <c r="A407" s="7"/>
      <c r="B407" s="4"/>
      <c r="C407" s="4"/>
      <c r="D407" s="8"/>
      <c r="E407" s="9"/>
      <c r="F407" s="9"/>
      <c r="G407" s="9"/>
      <c r="H407" s="9"/>
      <c r="I407" s="4"/>
      <c r="J407" s="4"/>
      <c r="K407" s="4"/>
      <c r="L407" s="5"/>
      <c r="M407" s="5"/>
      <c r="N407" s="5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>
      <c r="A408" s="7"/>
      <c r="B408" s="4"/>
      <c r="C408" s="4"/>
      <c r="D408" s="8"/>
      <c r="E408" s="9"/>
      <c r="F408" s="9"/>
      <c r="G408" s="9"/>
      <c r="H408" s="9"/>
      <c r="I408" s="4"/>
      <c r="J408" s="4"/>
      <c r="K408" s="4"/>
      <c r="L408" s="5"/>
      <c r="M408" s="5"/>
      <c r="N408" s="5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>
      <c r="A409" s="7"/>
      <c r="B409" s="4"/>
      <c r="C409" s="4"/>
      <c r="D409" s="8"/>
      <c r="E409" s="9"/>
      <c r="F409" s="9"/>
      <c r="G409" s="9"/>
      <c r="H409" s="9"/>
      <c r="I409" s="4"/>
      <c r="J409" s="4"/>
      <c r="K409" s="4"/>
      <c r="L409" s="5"/>
      <c r="M409" s="5"/>
      <c r="N409" s="5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>
      <c r="A410" s="7"/>
      <c r="B410" s="4"/>
      <c r="C410" s="4"/>
      <c r="D410" s="8"/>
      <c r="E410" s="9"/>
      <c r="F410" s="9"/>
      <c r="G410" s="9"/>
      <c r="H410" s="9"/>
      <c r="I410" s="4"/>
      <c r="J410" s="4"/>
      <c r="K410" s="4"/>
      <c r="L410" s="5"/>
      <c r="M410" s="5"/>
      <c r="N410" s="5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>
      <c r="A411" s="7"/>
      <c r="B411" s="4"/>
      <c r="C411" s="4"/>
      <c r="D411" s="8"/>
      <c r="E411" s="9"/>
      <c r="F411" s="9"/>
      <c r="G411" s="9"/>
      <c r="H411" s="9"/>
      <c r="I411" s="4"/>
      <c r="J411" s="4"/>
      <c r="K411" s="4"/>
      <c r="L411" s="5"/>
      <c r="M411" s="5"/>
      <c r="N411" s="5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>
      <c r="A412" s="7"/>
      <c r="B412" s="4"/>
      <c r="C412" s="4"/>
      <c r="D412" s="8"/>
      <c r="E412" s="9"/>
      <c r="F412" s="9"/>
      <c r="G412" s="9"/>
      <c r="H412" s="9"/>
      <c r="I412" s="4"/>
      <c r="J412" s="4"/>
      <c r="K412" s="4"/>
      <c r="L412" s="5"/>
      <c r="M412" s="5"/>
      <c r="N412" s="5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>
      <c r="A413" s="7"/>
      <c r="B413" s="4"/>
      <c r="C413" s="4"/>
      <c r="D413" s="8"/>
      <c r="E413" s="9"/>
      <c r="F413" s="9"/>
      <c r="G413" s="9"/>
      <c r="H413" s="9"/>
      <c r="I413" s="4"/>
      <c r="J413" s="4"/>
      <c r="K413" s="4"/>
      <c r="L413" s="5"/>
      <c r="M413" s="5"/>
      <c r="N413" s="5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>
      <c r="A414" s="7"/>
      <c r="B414" s="4"/>
      <c r="C414" s="4"/>
      <c r="D414" s="8"/>
      <c r="E414" s="9"/>
      <c r="F414" s="9"/>
      <c r="G414" s="9"/>
      <c r="H414" s="9"/>
      <c r="I414" s="4"/>
      <c r="J414" s="4"/>
      <c r="K414" s="4"/>
      <c r="L414" s="5"/>
      <c r="M414" s="5"/>
      <c r="N414" s="5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>
      <c r="A415" s="7"/>
      <c r="B415" s="4"/>
      <c r="C415" s="4"/>
      <c r="D415" s="8"/>
      <c r="E415" s="9"/>
      <c r="F415" s="9"/>
      <c r="G415" s="9"/>
      <c r="H415" s="9"/>
      <c r="I415" s="4"/>
      <c r="J415" s="4"/>
      <c r="K415" s="4"/>
      <c r="L415" s="5"/>
      <c r="M415" s="5"/>
      <c r="N415" s="5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>
      <c r="A416" s="7"/>
      <c r="B416" s="4"/>
      <c r="C416" s="4"/>
      <c r="D416" s="8"/>
      <c r="E416" s="9"/>
      <c r="F416" s="9"/>
      <c r="G416" s="9"/>
      <c r="H416" s="9"/>
      <c r="I416" s="4"/>
      <c r="J416" s="4"/>
      <c r="K416" s="4"/>
      <c r="L416" s="5"/>
      <c r="M416" s="5"/>
      <c r="N416" s="5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>
      <c r="A417" s="7"/>
      <c r="B417" s="4"/>
      <c r="C417" s="4"/>
      <c r="D417" s="8"/>
      <c r="E417" s="9"/>
      <c r="F417" s="9"/>
      <c r="G417" s="9"/>
      <c r="H417" s="9"/>
      <c r="I417" s="4"/>
      <c r="J417" s="4"/>
      <c r="K417" s="4"/>
      <c r="L417" s="5"/>
      <c r="M417" s="5"/>
      <c r="N417" s="5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>
      <c r="A418" s="7"/>
      <c r="B418" s="4"/>
      <c r="C418" s="4"/>
      <c r="D418" s="8"/>
      <c r="E418" s="9"/>
      <c r="F418" s="9"/>
      <c r="G418" s="9"/>
      <c r="H418" s="9"/>
      <c r="I418" s="4"/>
      <c r="J418" s="4"/>
      <c r="K418" s="4"/>
      <c r="L418" s="5"/>
      <c r="M418" s="5"/>
      <c r="N418" s="5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>
      <c r="A419" s="7"/>
      <c r="B419" s="4"/>
      <c r="C419" s="4"/>
      <c r="D419" s="8"/>
      <c r="E419" s="9"/>
      <c r="F419" s="9"/>
      <c r="G419" s="9"/>
      <c r="H419" s="9"/>
      <c r="I419" s="4"/>
      <c r="J419" s="4"/>
      <c r="K419" s="4"/>
      <c r="L419" s="5"/>
      <c r="M419" s="5"/>
      <c r="N419" s="5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>
      <c r="A420" s="7"/>
      <c r="B420" s="4"/>
      <c r="C420" s="4"/>
      <c r="D420" s="8"/>
      <c r="E420" s="9"/>
      <c r="F420" s="9"/>
      <c r="G420" s="9"/>
      <c r="H420" s="9"/>
      <c r="I420" s="4"/>
      <c r="J420" s="4"/>
      <c r="K420" s="4"/>
      <c r="L420" s="5"/>
      <c r="M420" s="5"/>
      <c r="N420" s="5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>
      <c r="A421" s="7"/>
      <c r="B421" s="4"/>
      <c r="C421" s="4"/>
      <c r="D421" s="8"/>
      <c r="E421" s="9"/>
      <c r="F421" s="9"/>
      <c r="G421" s="9"/>
      <c r="H421" s="9"/>
      <c r="I421" s="4"/>
      <c r="J421" s="4"/>
      <c r="K421" s="4"/>
      <c r="L421" s="5"/>
      <c r="M421" s="5"/>
      <c r="N421" s="5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>
      <c r="A422" s="7"/>
      <c r="B422" s="4"/>
      <c r="C422" s="4"/>
      <c r="D422" s="8"/>
      <c r="E422" s="9"/>
      <c r="F422" s="9"/>
      <c r="G422" s="9"/>
      <c r="H422" s="9"/>
      <c r="I422" s="4"/>
      <c r="J422" s="4"/>
      <c r="K422" s="4"/>
      <c r="L422" s="5"/>
      <c r="M422" s="5"/>
      <c r="N422" s="5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>
      <c r="A423" s="7"/>
      <c r="B423" s="4"/>
      <c r="C423" s="4"/>
      <c r="D423" s="8"/>
      <c r="E423" s="9"/>
      <c r="F423" s="9"/>
      <c r="G423" s="9"/>
      <c r="H423" s="9"/>
      <c r="I423" s="4"/>
      <c r="J423" s="4"/>
      <c r="K423" s="4"/>
      <c r="L423" s="5"/>
      <c r="M423" s="5"/>
      <c r="N423" s="5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>
      <c r="A424" s="7"/>
      <c r="B424" s="4"/>
      <c r="C424" s="4"/>
      <c r="D424" s="8"/>
      <c r="E424" s="9"/>
      <c r="F424" s="9"/>
      <c r="G424" s="9"/>
      <c r="H424" s="9"/>
      <c r="I424" s="4"/>
      <c r="J424" s="4"/>
      <c r="K424" s="4"/>
      <c r="L424" s="5"/>
      <c r="M424" s="5"/>
      <c r="N424" s="5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>
      <c r="A425" s="7"/>
      <c r="B425" s="4"/>
      <c r="C425" s="4"/>
      <c r="D425" s="8"/>
      <c r="E425" s="9"/>
      <c r="F425" s="9"/>
      <c r="G425" s="9"/>
      <c r="H425" s="9"/>
      <c r="I425" s="4"/>
      <c r="J425" s="4"/>
      <c r="K425" s="4"/>
      <c r="L425" s="5"/>
      <c r="M425" s="5"/>
      <c r="N425" s="5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>
      <c r="A426" s="7"/>
      <c r="B426" s="4"/>
      <c r="C426" s="4"/>
      <c r="D426" s="8"/>
      <c r="E426" s="9"/>
      <c r="F426" s="9"/>
      <c r="G426" s="9"/>
      <c r="H426" s="9"/>
      <c r="I426" s="4"/>
      <c r="J426" s="4"/>
      <c r="K426" s="4"/>
      <c r="L426" s="5"/>
      <c r="M426" s="5"/>
      <c r="N426" s="5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>
      <c r="A427" s="7"/>
      <c r="B427" s="4"/>
      <c r="C427" s="4"/>
      <c r="D427" s="8"/>
      <c r="E427" s="9"/>
      <c r="F427" s="9"/>
      <c r="G427" s="9"/>
      <c r="H427" s="9"/>
      <c r="I427" s="4"/>
      <c r="J427" s="4"/>
      <c r="K427" s="4"/>
      <c r="L427" s="5"/>
      <c r="M427" s="5"/>
      <c r="N427" s="5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>
      <c r="A428" s="7"/>
      <c r="B428" s="4"/>
      <c r="C428" s="4"/>
      <c r="D428" s="8"/>
      <c r="E428" s="9"/>
      <c r="F428" s="9"/>
      <c r="G428" s="9"/>
      <c r="H428" s="9"/>
      <c r="I428" s="4"/>
      <c r="J428" s="4"/>
      <c r="K428" s="4"/>
      <c r="L428" s="5"/>
      <c r="M428" s="5"/>
      <c r="N428" s="5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>
      <c r="A429" s="7"/>
      <c r="B429" s="4"/>
      <c r="C429" s="4"/>
      <c r="D429" s="8"/>
      <c r="E429" s="9"/>
      <c r="F429" s="9"/>
      <c r="G429" s="9"/>
      <c r="H429" s="9"/>
      <c r="I429" s="4"/>
      <c r="J429" s="4"/>
      <c r="K429" s="4"/>
      <c r="L429" s="5"/>
      <c r="M429" s="5"/>
      <c r="N429" s="5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>
      <c r="A430" s="7"/>
      <c r="B430" s="4"/>
      <c r="C430" s="4"/>
      <c r="D430" s="8"/>
      <c r="E430" s="9"/>
      <c r="F430" s="9"/>
      <c r="G430" s="9"/>
      <c r="H430" s="9"/>
      <c r="I430" s="4"/>
      <c r="J430" s="4"/>
      <c r="K430" s="4"/>
      <c r="L430" s="5"/>
      <c r="M430" s="5"/>
      <c r="N430" s="5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>
      <c r="A431" s="7"/>
      <c r="B431" s="4"/>
      <c r="C431" s="4"/>
      <c r="D431" s="8"/>
      <c r="E431" s="9"/>
      <c r="F431" s="9"/>
      <c r="G431" s="9"/>
      <c r="H431" s="9"/>
      <c r="I431" s="4"/>
      <c r="J431" s="4"/>
      <c r="K431" s="4"/>
      <c r="L431" s="5"/>
      <c r="M431" s="5"/>
      <c r="N431" s="5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>
      <c r="A432" s="7"/>
      <c r="B432" s="4"/>
      <c r="C432" s="4"/>
      <c r="D432" s="8"/>
      <c r="E432" s="9"/>
      <c r="F432" s="9"/>
      <c r="G432" s="9"/>
      <c r="H432" s="9"/>
      <c r="I432" s="4"/>
      <c r="J432" s="4"/>
      <c r="K432" s="4"/>
      <c r="L432" s="5"/>
      <c r="M432" s="5"/>
      <c r="N432" s="5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>
      <c r="A433" s="7"/>
      <c r="B433" s="4"/>
      <c r="C433" s="4"/>
      <c r="D433" s="8"/>
      <c r="E433" s="9"/>
      <c r="F433" s="9"/>
      <c r="G433" s="9"/>
      <c r="H433" s="9"/>
      <c r="I433" s="4"/>
      <c r="J433" s="4"/>
      <c r="K433" s="4"/>
      <c r="L433" s="5"/>
      <c r="M433" s="5"/>
      <c r="N433" s="5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>
      <c r="A434" s="7"/>
      <c r="B434" s="4"/>
      <c r="C434" s="4"/>
      <c r="D434" s="8"/>
      <c r="E434" s="9"/>
      <c r="F434" s="9"/>
      <c r="G434" s="9"/>
      <c r="H434" s="9"/>
      <c r="I434" s="4"/>
      <c r="J434" s="4"/>
      <c r="K434" s="4"/>
      <c r="L434" s="5"/>
      <c r="M434" s="5"/>
      <c r="N434" s="5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>
      <c r="A435" s="7"/>
      <c r="B435" s="4"/>
      <c r="C435" s="4"/>
      <c r="D435" s="8"/>
      <c r="E435" s="9"/>
      <c r="F435" s="9"/>
      <c r="G435" s="9"/>
      <c r="H435" s="9"/>
      <c r="I435" s="4"/>
      <c r="J435" s="4"/>
      <c r="K435" s="4"/>
      <c r="L435" s="5"/>
      <c r="M435" s="5"/>
      <c r="N435" s="5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>
      <c r="A436" s="7"/>
      <c r="B436" s="4"/>
      <c r="C436" s="4"/>
      <c r="D436" s="8"/>
      <c r="E436" s="9"/>
      <c r="F436" s="9"/>
      <c r="G436" s="9"/>
      <c r="H436" s="9"/>
      <c r="I436" s="4"/>
      <c r="J436" s="4"/>
      <c r="K436" s="4"/>
      <c r="L436" s="5"/>
      <c r="M436" s="5"/>
      <c r="N436" s="5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>
      <c r="A437" s="7"/>
      <c r="B437" s="4"/>
      <c r="C437" s="4"/>
      <c r="D437" s="8"/>
      <c r="E437" s="9"/>
      <c r="F437" s="9"/>
      <c r="G437" s="9"/>
      <c r="H437" s="9"/>
      <c r="I437" s="4"/>
      <c r="J437" s="4"/>
      <c r="K437" s="4"/>
      <c r="L437" s="5"/>
      <c r="M437" s="5"/>
      <c r="N437" s="5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>
      <c r="A438" s="7"/>
      <c r="B438" s="4"/>
      <c r="C438" s="4"/>
      <c r="D438" s="8"/>
      <c r="E438" s="9"/>
      <c r="F438" s="9"/>
      <c r="G438" s="9"/>
      <c r="H438" s="9"/>
      <c r="I438" s="4"/>
      <c r="J438" s="4"/>
      <c r="K438" s="4"/>
      <c r="L438" s="5"/>
      <c r="M438" s="5"/>
      <c r="N438" s="5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>
      <c r="A439" s="7"/>
      <c r="B439" s="4"/>
      <c r="C439" s="4"/>
      <c r="D439" s="8"/>
      <c r="E439" s="9"/>
      <c r="F439" s="9"/>
      <c r="G439" s="9"/>
      <c r="H439" s="9"/>
      <c r="I439" s="4"/>
      <c r="J439" s="4"/>
      <c r="K439" s="4"/>
      <c r="L439" s="5"/>
      <c r="M439" s="5"/>
      <c r="N439" s="5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>
      <c r="A440" s="7"/>
      <c r="B440" s="4"/>
      <c r="C440" s="4"/>
      <c r="D440" s="8"/>
      <c r="E440" s="9"/>
      <c r="F440" s="9"/>
      <c r="G440" s="9"/>
      <c r="H440" s="9"/>
      <c r="I440" s="4"/>
      <c r="J440" s="4"/>
      <c r="K440" s="4"/>
      <c r="L440" s="5"/>
      <c r="M440" s="5"/>
      <c r="N440" s="5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>
      <c r="A441" s="7"/>
      <c r="B441" s="4"/>
      <c r="C441" s="4"/>
      <c r="D441" s="8"/>
      <c r="E441" s="9"/>
      <c r="F441" s="9"/>
      <c r="G441" s="9"/>
      <c r="H441" s="9"/>
      <c r="I441" s="4"/>
      <c r="J441" s="4"/>
      <c r="K441" s="4"/>
      <c r="L441" s="5"/>
      <c r="M441" s="5"/>
      <c r="N441" s="5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>
      <c r="A442" s="7"/>
      <c r="B442" s="4"/>
      <c r="C442" s="4"/>
      <c r="D442" s="8"/>
      <c r="E442" s="9"/>
      <c r="F442" s="9"/>
      <c r="G442" s="9"/>
      <c r="H442" s="9"/>
      <c r="I442" s="4"/>
      <c r="J442" s="4"/>
      <c r="K442" s="4"/>
      <c r="L442" s="5"/>
      <c r="M442" s="5"/>
      <c r="N442" s="5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>
      <c r="A443" s="7"/>
      <c r="B443" s="4"/>
      <c r="C443" s="4"/>
      <c r="D443" s="8"/>
      <c r="E443" s="9"/>
      <c r="F443" s="9"/>
      <c r="G443" s="9"/>
      <c r="H443" s="9"/>
      <c r="I443" s="4"/>
      <c r="J443" s="4"/>
      <c r="K443" s="4"/>
      <c r="L443" s="5"/>
      <c r="M443" s="5"/>
      <c r="N443" s="5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>
      <c r="A444" s="7"/>
      <c r="B444" s="4"/>
      <c r="C444" s="4"/>
      <c r="D444" s="8"/>
      <c r="E444" s="9"/>
      <c r="F444" s="9"/>
      <c r="G444" s="9"/>
      <c r="H444" s="9"/>
      <c r="I444" s="4"/>
      <c r="J444" s="4"/>
      <c r="K444" s="4"/>
      <c r="L444" s="5"/>
      <c r="M444" s="5"/>
      <c r="N444" s="5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>
      <c r="A445" s="7"/>
      <c r="B445" s="4"/>
      <c r="C445" s="4"/>
      <c r="D445" s="8"/>
      <c r="E445" s="9"/>
      <c r="F445" s="9"/>
      <c r="G445" s="9"/>
      <c r="H445" s="9"/>
      <c r="I445" s="4"/>
      <c r="J445" s="4"/>
      <c r="K445" s="4"/>
      <c r="L445" s="5"/>
      <c r="M445" s="5"/>
      <c r="N445" s="5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>
      <c r="A446" s="7"/>
      <c r="B446" s="4"/>
      <c r="C446" s="4"/>
      <c r="D446" s="8"/>
      <c r="E446" s="9"/>
      <c r="F446" s="9"/>
      <c r="G446" s="9"/>
      <c r="H446" s="9"/>
      <c r="I446" s="4"/>
      <c r="J446" s="4"/>
      <c r="K446" s="4"/>
      <c r="L446" s="5"/>
      <c r="M446" s="5"/>
      <c r="N446" s="5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>
      <c r="A447" s="7"/>
      <c r="B447" s="4"/>
      <c r="C447" s="4"/>
      <c r="D447" s="8"/>
      <c r="E447" s="9"/>
      <c r="F447" s="9"/>
      <c r="G447" s="9"/>
      <c r="H447" s="9"/>
      <c r="I447" s="4"/>
      <c r="J447" s="4"/>
      <c r="K447" s="4"/>
      <c r="L447" s="5"/>
      <c r="M447" s="5"/>
      <c r="N447" s="5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>
      <c r="A448" s="7"/>
      <c r="B448" s="4"/>
      <c r="C448" s="4"/>
      <c r="D448" s="8"/>
      <c r="E448" s="9"/>
      <c r="F448" s="9"/>
      <c r="G448" s="9"/>
      <c r="H448" s="9"/>
      <c r="I448" s="4"/>
      <c r="J448" s="4"/>
      <c r="K448" s="4"/>
      <c r="L448" s="5"/>
      <c r="M448" s="5"/>
      <c r="N448" s="5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>
      <c r="A449" s="7"/>
      <c r="B449" s="4"/>
      <c r="C449" s="4"/>
      <c r="D449" s="8"/>
      <c r="E449" s="9"/>
      <c r="F449" s="9"/>
      <c r="G449" s="9"/>
      <c r="H449" s="9"/>
      <c r="I449" s="4"/>
      <c r="J449" s="4"/>
      <c r="K449" s="4"/>
      <c r="L449" s="5"/>
      <c r="M449" s="5"/>
      <c r="N449" s="5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>
      <c r="A450" s="7"/>
      <c r="B450" s="4"/>
      <c r="C450" s="4"/>
      <c r="D450" s="8"/>
      <c r="E450" s="9"/>
      <c r="F450" s="9"/>
      <c r="G450" s="9"/>
      <c r="H450" s="9"/>
      <c r="I450" s="4"/>
      <c r="J450" s="4"/>
      <c r="K450" s="4"/>
      <c r="L450" s="5"/>
      <c r="M450" s="5"/>
      <c r="N450" s="5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>
      <c r="A451" s="7"/>
      <c r="B451" s="4"/>
      <c r="C451" s="4"/>
      <c r="D451" s="8"/>
      <c r="E451" s="9"/>
      <c r="F451" s="9"/>
      <c r="G451" s="9"/>
      <c r="H451" s="9"/>
      <c r="I451" s="4"/>
      <c r="J451" s="4"/>
      <c r="K451" s="4"/>
      <c r="L451" s="5"/>
      <c r="M451" s="5"/>
      <c r="N451" s="5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>
      <c r="A452" s="7"/>
      <c r="B452" s="4"/>
      <c r="C452" s="4"/>
      <c r="D452" s="8"/>
      <c r="E452" s="9"/>
      <c r="F452" s="9"/>
      <c r="G452" s="9"/>
      <c r="H452" s="9"/>
      <c r="I452" s="4"/>
      <c r="J452" s="4"/>
      <c r="K452" s="4"/>
      <c r="L452" s="5"/>
      <c r="M452" s="5"/>
      <c r="N452" s="5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>
      <c r="A453" s="7"/>
      <c r="B453" s="4"/>
      <c r="C453" s="4"/>
      <c r="D453" s="8"/>
      <c r="E453" s="9"/>
      <c r="F453" s="9"/>
      <c r="G453" s="9"/>
      <c r="H453" s="9"/>
      <c r="I453" s="4"/>
      <c r="J453" s="4"/>
      <c r="K453" s="4"/>
      <c r="L453" s="5"/>
      <c r="M453" s="5"/>
      <c r="N453" s="5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>
      <c r="A454" s="7"/>
      <c r="B454" s="4"/>
      <c r="C454" s="4"/>
      <c r="D454" s="8"/>
      <c r="E454" s="9"/>
      <c r="F454" s="9"/>
      <c r="G454" s="9"/>
      <c r="H454" s="9"/>
      <c r="I454" s="4"/>
      <c r="J454" s="4"/>
      <c r="K454" s="4"/>
      <c r="L454" s="5"/>
      <c r="M454" s="5"/>
      <c r="N454" s="5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>
      <c r="A455" s="7"/>
      <c r="B455" s="4"/>
      <c r="C455" s="4"/>
      <c r="D455" s="8"/>
      <c r="E455" s="9"/>
      <c r="F455" s="9"/>
      <c r="G455" s="9"/>
      <c r="H455" s="9"/>
      <c r="I455" s="4"/>
      <c r="J455" s="4"/>
      <c r="K455" s="4"/>
      <c r="L455" s="5"/>
      <c r="M455" s="5"/>
      <c r="N455" s="5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>
      <c r="A456" s="7"/>
      <c r="B456" s="4"/>
      <c r="C456" s="4"/>
      <c r="D456" s="8"/>
      <c r="E456" s="9"/>
      <c r="F456" s="9"/>
      <c r="G456" s="9"/>
      <c r="H456" s="9"/>
      <c r="I456" s="4"/>
      <c r="J456" s="4"/>
      <c r="K456" s="4"/>
      <c r="L456" s="5"/>
      <c r="M456" s="5"/>
      <c r="N456" s="5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>
      <c r="A457" s="7"/>
      <c r="B457" s="4"/>
      <c r="C457" s="4"/>
      <c r="D457" s="8"/>
      <c r="E457" s="9"/>
      <c r="F457" s="9"/>
      <c r="G457" s="9"/>
      <c r="H457" s="9"/>
      <c r="I457" s="4"/>
      <c r="J457" s="4"/>
      <c r="K457" s="4"/>
      <c r="L457" s="5"/>
      <c r="M457" s="5"/>
      <c r="N457" s="5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>
      <c r="A458" s="7"/>
      <c r="B458" s="4"/>
      <c r="C458" s="4"/>
      <c r="D458" s="8"/>
      <c r="E458" s="9"/>
      <c r="F458" s="9"/>
      <c r="G458" s="9"/>
      <c r="H458" s="9"/>
      <c r="I458" s="4"/>
      <c r="J458" s="4"/>
      <c r="K458" s="4"/>
      <c r="L458" s="5"/>
      <c r="M458" s="5"/>
      <c r="N458" s="5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>
      <c r="A459" s="7"/>
      <c r="B459" s="4"/>
      <c r="C459" s="4"/>
      <c r="D459" s="8"/>
      <c r="E459" s="9"/>
      <c r="F459" s="9"/>
      <c r="G459" s="9"/>
      <c r="H459" s="9"/>
      <c r="I459" s="4"/>
      <c r="J459" s="4"/>
      <c r="K459" s="4"/>
      <c r="L459" s="5"/>
      <c r="M459" s="5"/>
      <c r="N459" s="5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>
      <c r="A460" s="7"/>
      <c r="B460" s="4"/>
      <c r="C460" s="4"/>
      <c r="D460" s="8"/>
      <c r="E460" s="9"/>
      <c r="F460" s="9"/>
      <c r="G460" s="9"/>
      <c r="H460" s="9"/>
      <c r="I460" s="4"/>
      <c r="J460" s="4"/>
      <c r="K460" s="4"/>
      <c r="L460" s="5"/>
      <c r="M460" s="5"/>
      <c r="N460" s="5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>
      <c r="A461" s="7"/>
      <c r="B461" s="4"/>
      <c r="C461" s="4"/>
      <c r="D461" s="8"/>
      <c r="E461" s="9"/>
      <c r="F461" s="9"/>
      <c r="G461" s="9"/>
      <c r="H461" s="9"/>
      <c r="I461" s="4"/>
      <c r="J461" s="4"/>
      <c r="K461" s="4"/>
      <c r="L461" s="5"/>
      <c r="M461" s="5"/>
      <c r="N461" s="5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>
      <c r="A462" s="7"/>
      <c r="B462" s="4"/>
      <c r="C462" s="4"/>
      <c r="D462" s="8"/>
      <c r="E462" s="9"/>
      <c r="F462" s="9"/>
      <c r="G462" s="9"/>
      <c r="H462" s="9"/>
      <c r="I462" s="4"/>
      <c r="J462" s="4"/>
      <c r="K462" s="4"/>
      <c r="L462" s="5"/>
      <c r="M462" s="5"/>
      <c r="N462" s="5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>
      <c r="A463" s="7"/>
      <c r="B463" s="4"/>
      <c r="C463" s="4"/>
      <c r="D463" s="8"/>
      <c r="E463" s="9"/>
      <c r="F463" s="9"/>
      <c r="G463" s="9"/>
      <c r="H463" s="9"/>
      <c r="I463" s="4"/>
      <c r="J463" s="4"/>
      <c r="K463" s="4"/>
      <c r="L463" s="5"/>
      <c r="M463" s="5"/>
      <c r="N463" s="5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>
      <c r="A464" s="7"/>
      <c r="B464" s="4"/>
      <c r="C464" s="4"/>
      <c r="D464" s="8"/>
      <c r="E464" s="9"/>
      <c r="F464" s="9"/>
      <c r="G464" s="9"/>
      <c r="H464" s="9"/>
      <c r="I464" s="4"/>
      <c r="J464" s="4"/>
      <c r="K464" s="4"/>
      <c r="L464" s="5"/>
      <c r="M464" s="5"/>
      <c r="N464" s="5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>
      <c r="A465" s="7"/>
      <c r="B465" s="4"/>
      <c r="C465" s="4"/>
      <c r="D465" s="8"/>
      <c r="E465" s="9"/>
      <c r="F465" s="9"/>
      <c r="G465" s="9"/>
      <c r="H465" s="9"/>
      <c r="I465" s="4"/>
      <c r="J465" s="4"/>
      <c r="K465" s="4"/>
      <c r="L465" s="5"/>
      <c r="M465" s="5"/>
      <c r="N465" s="5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>
      <c r="A466" s="7"/>
      <c r="B466" s="4"/>
      <c r="C466" s="4"/>
      <c r="D466" s="8"/>
      <c r="E466" s="9"/>
      <c r="F466" s="9"/>
      <c r="G466" s="9"/>
      <c r="H466" s="9"/>
      <c r="I466" s="4"/>
      <c r="J466" s="4"/>
      <c r="K466" s="4"/>
      <c r="L466" s="5"/>
      <c r="M466" s="5"/>
      <c r="N466" s="5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>
      <c r="A467" s="7"/>
      <c r="B467" s="4"/>
      <c r="C467" s="4"/>
      <c r="D467" s="8"/>
      <c r="E467" s="9"/>
      <c r="F467" s="9"/>
      <c r="G467" s="9"/>
      <c r="H467" s="9"/>
      <c r="I467" s="4"/>
      <c r="J467" s="4"/>
      <c r="K467" s="4"/>
      <c r="L467" s="5"/>
      <c r="M467" s="5"/>
      <c r="N467" s="5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>
      <c r="A468" s="7"/>
      <c r="B468" s="4"/>
      <c r="C468" s="4"/>
      <c r="D468" s="8"/>
      <c r="E468" s="9"/>
      <c r="F468" s="9"/>
      <c r="G468" s="9"/>
      <c r="H468" s="9"/>
      <c r="I468" s="4"/>
      <c r="J468" s="4"/>
      <c r="K468" s="4"/>
      <c r="L468" s="5"/>
      <c r="M468" s="5"/>
      <c r="N468" s="5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>
      <c r="A469" s="7"/>
      <c r="B469" s="4"/>
      <c r="C469" s="4"/>
      <c r="D469" s="8"/>
      <c r="E469" s="9"/>
      <c r="F469" s="9"/>
      <c r="G469" s="9"/>
      <c r="H469" s="9"/>
      <c r="I469" s="4"/>
      <c r="J469" s="4"/>
      <c r="K469" s="4"/>
      <c r="L469" s="5"/>
      <c r="M469" s="5"/>
      <c r="N469" s="5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>
      <c r="A470" s="7"/>
      <c r="B470" s="4"/>
      <c r="C470" s="4"/>
      <c r="D470" s="8"/>
      <c r="E470" s="9"/>
      <c r="F470" s="9"/>
      <c r="G470" s="9"/>
      <c r="H470" s="9"/>
      <c r="I470" s="4"/>
      <c r="J470" s="4"/>
      <c r="K470" s="4"/>
      <c r="L470" s="5"/>
      <c r="M470" s="5"/>
      <c r="N470" s="5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>
      <c r="A471" s="7"/>
      <c r="B471" s="4"/>
      <c r="C471" s="4"/>
      <c r="D471" s="8"/>
      <c r="E471" s="9"/>
      <c r="F471" s="9"/>
      <c r="G471" s="9"/>
      <c r="H471" s="9"/>
      <c r="I471" s="4"/>
      <c r="J471" s="4"/>
      <c r="K471" s="4"/>
      <c r="L471" s="5"/>
      <c r="M471" s="5"/>
      <c r="N471" s="5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>
      <c r="A472" s="7"/>
      <c r="B472" s="4"/>
      <c r="C472" s="4"/>
      <c r="D472" s="8"/>
      <c r="E472" s="9"/>
      <c r="F472" s="9"/>
      <c r="G472" s="9"/>
      <c r="H472" s="9"/>
      <c r="I472" s="4"/>
      <c r="J472" s="4"/>
      <c r="K472" s="4"/>
      <c r="L472" s="5"/>
      <c r="M472" s="5"/>
      <c r="N472" s="5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>
      <c r="A473" s="7"/>
      <c r="B473" s="4"/>
      <c r="C473" s="4"/>
      <c r="D473" s="8"/>
      <c r="E473" s="9"/>
      <c r="F473" s="9"/>
      <c r="G473" s="9"/>
      <c r="H473" s="9"/>
      <c r="I473" s="4"/>
      <c r="J473" s="4"/>
      <c r="K473" s="4"/>
      <c r="L473" s="5"/>
      <c r="M473" s="5"/>
      <c r="N473" s="5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>
      <c r="A474" s="7"/>
      <c r="B474" s="4"/>
      <c r="C474" s="4"/>
      <c r="D474" s="8"/>
      <c r="E474" s="9"/>
      <c r="F474" s="9"/>
      <c r="G474" s="9"/>
      <c r="H474" s="9"/>
      <c r="I474" s="4"/>
      <c r="J474" s="4"/>
      <c r="K474" s="4"/>
      <c r="L474" s="5"/>
      <c r="M474" s="5"/>
      <c r="N474" s="5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>
      <c r="A475" s="7"/>
      <c r="B475" s="4"/>
      <c r="C475" s="4"/>
      <c r="D475" s="8"/>
      <c r="E475" s="9"/>
      <c r="F475" s="9"/>
      <c r="G475" s="9"/>
      <c r="H475" s="9"/>
      <c r="I475" s="4"/>
      <c r="J475" s="4"/>
      <c r="K475" s="4"/>
      <c r="L475" s="5"/>
      <c r="M475" s="5"/>
      <c r="N475" s="5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>
      <c r="A476" s="7"/>
      <c r="B476" s="4"/>
      <c r="C476" s="4"/>
      <c r="D476" s="8"/>
      <c r="E476" s="9"/>
      <c r="F476" s="9"/>
      <c r="G476" s="9"/>
      <c r="H476" s="9"/>
      <c r="I476" s="4"/>
      <c r="J476" s="4"/>
      <c r="K476" s="4"/>
      <c r="L476" s="5"/>
      <c r="M476" s="5"/>
      <c r="N476" s="5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>
      <c r="A477" s="7"/>
      <c r="B477" s="4"/>
      <c r="C477" s="4"/>
      <c r="D477" s="8"/>
      <c r="E477" s="9"/>
      <c r="F477" s="9"/>
      <c r="G477" s="9"/>
      <c r="H477" s="9"/>
      <c r="I477" s="4"/>
      <c r="J477" s="4"/>
      <c r="K477" s="4"/>
      <c r="L477" s="5"/>
      <c r="M477" s="5"/>
      <c r="N477" s="5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>
      <c r="A478" s="7"/>
      <c r="B478" s="4"/>
      <c r="C478" s="4"/>
      <c r="D478" s="8"/>
      <c r="E478" s="9"/>
      <c r="F478" s="9"/>
      <c r="G478" s="9"/>
      <c r="H478" s="9"/>
      <c r="I478" s="4"/>
      <c r="J478" s="4"/>
      <c r="K478" s="4"/>
      <c r="L478" s="5"/>
      <c r="M478" s="5"/>
      <c r="N478" s="5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>
      <c r="A479" s="7"/>
      <c r="B479" s="4"/>
      <c r="C479" s="4"/>
      <c r="D479" s="8"/>
      <c r="E479" s="9"/>
      <c r="F479" s="9"/>
      <c r="G479" s="9"/>
      <c r="H479" s="9"/>
      <c r="I479" s="4"/>
      <c r="J479" s="4"/>
      <c r="K479" s="4"/>
      <c r="L479" s="5"/>
      <c r="M479" s="5"/>
      <c r="N479" s="5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>
      <c r="A480" s="7"/>
      <c r="B480" s="4"/>
      <c r="C480" s="4"/>
      <c r="D480" s="8"/>
      <c r="E480" s="9"/>
      <c r="F480" s="9"/>
      <c r="G480" s="9"/>
      <c r="H480" s="9"/>
      <c r="I480" s="4"/>
      <c r="J480" s="4"/>
      <c r="K480" s="4"/>
      <c r="L480" s="5"/>
      <c r="M480" s="5"/>
      <c r="N480" s="5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>
      <c r="A481" s="7"/>
      <c r="B481" s="4"/>
      <c r="C481" s="4"/>
      <c r="D481" s="8"/>
      <c r="E481" s="9"/>
      <c r="F481" s="9"/>
      <c r="G481" s="9"/>
      <c r="H481" s="9"/>
      <c r="I481" s="4"/>
      <c r="J481" s="4"/>
      <c r="K481" s="4"/>
      <c r="L481" s="5"/>
      <c r="M481" s="5"/>
      <c r="N481" s="5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>
      <c r="A482" s="7"/>
      <c r="B482" s="4"/>
      <c r="C482" s="4"/>
      <c r="D482" s="8"/>
      <c r="E482" s="9"/>
      <c r="F482" s="9"/>
      <c r="G482" s="9"/>
      <c r="H482" s="9"/>
      <c r="I482" s="4"/>
      <c r="J482" s="4"/>
      <c r="K482" s="4"/>
      <c r="L482" s="5"/>
      <c r="M482" s="5"/>
      <c r="N482" s="5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>
      <c r="A483" s="7"/>
      <c r="B483" s="4"/>
      <c r="C483" s="4"/>
      <c r="D483" s="8"/>
      <c r="E483" s="9"/>
      <c r="F483" s="9"/>
      <c r="G483" s="9"/>
      <c r="H483" s="9"/>
      <c r="I483" s="4"/>
      <c r="J483" s="4"/>
      <c r="K483" s="4"/>
      <c r="L483" s="5"/>
      <c r="M483" s="5"/>
      <c r="N483" s="5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>
      <c r="A484" s="7"/>
      <c r="B484" s="4"/>
      <c r="C484" s="4"/>
      <c r="D484" s="8"/>
      <c r="E484" s="9"/>
      <c r="F484" s="9"/>
      <c r="G484" s="9"/>
      <c r="H484" s="9"/>
      <c r="I484" s="4"/>
      <c r="J484" s="4"/>
      <c r="K484" s="4"/>
      <c r="L484" s="5"/>
      <c r="M484" s="5"/>
      <c r="N484" s="5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>
      <c r="A485" s="7"/>
      <c r="B485" s="4"/>
      <c r="C485" s="4"/>
      <c r="D485" s="8"/>
      <c r="E485" s="9"/>
      <c r="F485" s="9"/>
      <c r="G485" s="9"/>
      <c r="H485" s="9"/>
      <c r="I485" s="4"/>
      <c r="J485" s="4"/>
      <c r="K485" s="4"/>
      <c r="L485" s="5"/>
      <c r="M485" s="5"/>
      <c r="N485" s="5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>
      <c r="A486" s="7"/>
      <c r="B486" s="4"/>
      <c r="C486" s="4"/>
      <c r="D486" s="8"/>
      <c r="E486" s="9"/>
      <c r="F486" s="9"/>
      <c r="G486" s="9"/>
      <c r="H486" s="9"/>
      <c r="I486" s="4"/>
      <c r="J486" s="4"/>
      <c r="K486" s="4"/>
      <c r="L486" s="5"/>
      <c r="M486" s="5"/>
      <c r="N486" s="5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>
      <c r="A487" s="7"/>
      <c r="B487" s="4"/>
      <c r="C487" s="4"/>
      <c r="D487" s="8"/>
      <c r="E487" s="9"/>
      <c r="F487" s="9"/>
      <c r="G487" s="9"/>
      <c r="H487" s="9"/>
      <c r="I487" s="4"/>
      <c r="J487" s="4"/>
      <c r="K487" s="4"/>
      <c r="L487" s="5"/>
      <c r="M487" s="5"/>
      <c r="N487" s="5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>
      <c r="A488" s="7"/>
      <c r="B488" s="4"/>
      <c r="C488" s="4"/>
      <c r="D488" s="8"/>
      <c r="E488" s="9"/>
      <c r="F488" s="9"/>
      <c r="G488" s="9"/>
      <c r="H488" s="9"/>
      <c r="I488" s="4"/>
      <c r="J488" s="4"/>
      <c r="K488" s="4"/>
      <c r="L488" s="5"/>
      <c r="M488" s="5"/>
      <c r="N488" s="5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>
      <c r="A489" s="7"/>
      <c r="B489" s="4"/>
      <c r="C489" s="4"/>
      <c r="D489" s="8"/>
      <c r="E489" s="9"/>
      <c r="F489" s="9"/>
      <c r="G489" s="9"/>
      <c r="H489" s="9"/>
      <c r="I489" s="4"/>
      <c r="J489" s="4"/>
      <c r="K489" s="4"/>
      <c r="L489" s="5"/>
      <c r="M489" s="5"/>
      <c r="N489" s="5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>
      <c r="A490" s="7"/>
      <c r="B490" s="4"/>
      <c r="C490" s="4"/>
      <c r="D490" s="8"/>
      <c r="E490" s="9"/>
      <c r="F490" s="9"/>
      <c r="G490" s="9"/>
      <c r="H490" s="9"/>
      <c r="I490" s="4"/>
      <c r="J490" s="4"/>
      <c r="K490" s="4"/>
      <c r="L490" s="5"/>
      <c r="M490" s="5"/>
      <c r="N490" s="5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>
      <c r="A491" s="7"/>
      <c r="B491" s="4"/>
      <c r="C491" s="4"/>
      <c r="D491" s="8"/>
      <c r="E491" s="9"/>
      <c r="F491" s="9"/>
      <c r="G491" s="9"/>
      <c r="H491" s="9"/>
      <c r="I491" s="4"/>
      <c r="J491" s="4"/>
      <c r="K491" s="4"/>
      <c r="L491" s="5"/>
      <c r="M491" s="5"/>
      <c r="N491" s="5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>
      <c r="A492" s="7"/>
      <c r="B492" s="4"/>
      <c r="C492" s="4"/>
      <c r="D492" s="8"/>
      <c r="E492" s="9"/>
      <c r="F492" s="9"/>
      <c r="G492" s="9"/>
      <c r="H492" s="9"/>
      <c r="I492" s="4"/>
      <c r="J492" s="4"/>
      <c r="K492" s="4"/>
      <c r="L492" s="5"/>
      <c r="M492" s="5"/>
      <c r="N492" s="5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>
      <c r="A493" s="7"/>
      <c r="B493" s="4"/>
      <c r="C493" s="4"/>
      <c r="D493" s="8"/>
      <c r="E493" s="9"/>
      <c r="F493" s="9"/>
      <c r="G493" s="9"/>
      <c r="H493" s="9"/>
      <c r="I493" s="4"/>
      <c r="J493" s="4"/>
      <c r="K493" s="4"/>
      <c r="L493" s="5"/>
      <c r="M493" s="5"/>
      <c r="N493" s="5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>
      <c r="A494" s="7"/>
      <c r="B494" s="4"/>
      <c r="C494" s="4"/>
      <c r="D494" s="8"/>
      <c r="E494" s="9"/>
      <c r="F494" s="9"/>
      <c r="G494" s="9"/>
      <c r="H494" s="9"/>
      <c r="I494" s="4"/>
      <c r="J494" s="4"/>
      <c r="K494" s="4"/>
      <c r="L494" s="5"/>
      <c r="M494" s="5"/>
      <c r="N494" s="5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>
      <c r="A495" s="7"/>
      <c r="B495" s="4"/>
      <c r="C495" s="4"/>
      <c r="D495" s="8"/>
      <c r="E495" s="9"/>
      <c r="F495" s="9"/>
      <c r="G495" s="9"/>
      <c r="H495" s="9"/>
      <c r="I495" s="4"/>
      <c r="J495" s="4"/>
      <c r="K495" s="4"/>
      <c r="L495" s="5"/>
      <c r="M495" s="5"/>
      <c r="N495" s="5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>
      <c r="A496" s="7"/>
      <c r="B496" s="4"/>
      <c r="C496" s="4"/>
      <c r="D496" s="8"/>
      <c r="E496" s="9"/>
      <c r="F496" s="9"/>
      <c r="G496" s="9"/>
      <c r="H496" s="9"/>
      <c r="I496" s="4"/>
      <c r="J496" s="4"/>
      <c r="K496" s="4"/>
      <c r="L496" s="5"/>
      <c r="M496" s="5"/>
      <c r="N496" s="5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>
      <c r="A497" s="7"/>
      <c r="B497" s="4"/>
      <c r="C497" s="4"/>
      <c r="D497" s="8"/>
      <c r="E497" s="9"/>
      <c r="F497" s="9"/>
      <c r="G497" s="9"/>
      <c r="H497" s="9"/>
      <c r="I497" s="4"/>
      <c r="J497" s="4"/>
      <c r="K497" s="4"/>
      <c r="L497" s="5"/>
      <c r="M497" s="5"/>
      <c r="N497" s="5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>
      <c r="A498" s="7"/>
      <c r="B498" s="4"/>
      <c r="C498" s="4"/>
      <c r="D498" s="8"/>
      <c r="E498" s="9"/>
      <c r="F498" s="9"/>
      <c r="G498" s="9"/>
      <c r="H498" s="9"/>
      <c r="I498" s="4"/>
      <c r="J498" s="4"/>
      <c r="K498" s="4"/>
      <c r="L498" s="5"/>
      <c r="M498" s="5"/>
      <c r="N498" s="5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>
      <c r="A499" s="7"/>
      <c r="B499" s="4"/>
      <c r="C499" s="4"/>
      <c r="D499" s="8"/>
      <c r="E499" s="9"/>
      <c r="F499" s="9"/>
      <c r="G499" s="9"/>
      <c r="H499" s="9"/>
      <c r="I499" s="4"/>
      <c r="J499" s="4"/>
      <c r="K499" s="4"/>
      <c r="L499" s="5"/>
      <c r="M499" s="5"/>
      <c r="N499" s="5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>
      <c r="A500" s="7"/>
      <c r="B500" s="4"/>
      <c r="C500" s="4"/>
      <c r="D500" s="8"/>
      <c r="E500" s="9"/>
      <c r="F500" s="9"/>
      <c r="G500" s="9"/>
      <c r="H500" s="9"/>
      <c r="I500" s="4"/>
      <c r="J500" s="4"/>
      <c r="K500" s="4"/>
      <c r="L500" s="5"/>
      <c r="M500" s="5"/>
      <c r="N500" s="5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>
      <c r="A501" s="7"/>
      <c r="B501" s="4"/>
      <c r="C501" s="4"/>
      <c r="D501" s="8"/>
      <c r="E501" s="9"/>
      <c r="F501" s="9"/>
      <c r="G501" s="9"/>
      <c r="H501" s="9"/>
      <c r="I501" s="4"/>
      <c r="J501" s="4"/>
      <c r="K501" s="4"/>
      <c r="L501" s="5"/>
      <c r="M501" s="5"/>
      <c r="N501" s="5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>
      <c r="A502" s="7"/>
      <c r="B502" s="4"/>
      <c r="C502" s="4"/>
      <c r="D502" s="8"/>
      <c r="E502" s="9"/>
      <c r="F502" s="9"/>
      <c r="G502" s="9"/>
      <c r="H502" s="9"/>
      <c r="I502" s="4"/>
      <c r="J502" s="4"/>
      <c r="K502" s="4"/>
      <c r="L502" s="5"/>
      <c r="M502" s="5"/>
      <c r="N502" s="5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>
      <c r="A503" s="7"/>
      <c r="B503" s="4"/>
      <c r="C503" s="4"/>
      <c r="D503" s="8"/>
      <c r="E503" s="9"/>
      <c r="F503" s="9"/>
      <c r="G503" s="9"/>
      <c r="H503" s="9"/>
      <c r="I503" s="4"/>
      <c r="J503" s="4"/>
      <c r="K503" s="4"/>
      <c r="L503" s="5"/>
      <c r="M503" s="5"/>
      <c r="N503" s="5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>
      <c r="A504" s="7"/>
      <c r="B504" s="4"/>
      <c r="C504" s="4"/>
      <c r="D504" s="8"/>
      <c r="E504" s="9"/>
      <c r="F504" s="9"/>
      <c r="G504" s="9"/>
      <c r="H504" s="9"/>
      <c r="I504" s="4"/>
      <c r="J504" s="4"/>
      <c r="K504" s="4"/>
      <c r="L504" s="5"/>
      <c r="M504" s="5"/>
      <c r="N504" s="5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>
      <c r="A505" s="7"/>
      <c r="B505" s="4"/>
      <c r="C505" s="4"/>
      <c r="D505" s="8"/>
      <c r="E505" s="9"/>
      <c r="F505" s="9"/>
      <c r="G505" s="9"/>
      <c r="H505" s="9"/>
      <c r="I505" s="4"/>
      <c r="J505" s="4"/>
      <c r="K505" s="4"/>
      <c r="L505" s="5"/>
      <c r="M505" s="5"/>
      <c r="N505" s="5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>
      <c r="A506" s="7"/>
      <c r="B506" s="4"/>
      <c r="C506" s="4"/>
      <c r="D506" s="8"/>
      <c r="E506" s="9"/>
      <c r="F506" s="9"/>
      <c r="G506" s="9"/>
      <c r="H506" s="9"/>
      <c r="I506" s="4"/>
      <c r="J506" s="4"/>
      <c r="K506" s="4"/>
      <c r="L506" s="5"/>
      <c r="M506" s="5"/>
      <c r="N506" s="5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>
      <c r="A507" s="7"/>
      <c r="B507" s="4"/>
      <c r="C507" s="4"/>
      <c r="D507" s="8"/>
      <c r="E507" s="9"/>
      <c r="F507" s="9"/>
      <c r="G507" s="9"/>
      <c r="H507" s="9"/>
      <c r="I507" s="4"/>
      <c r="J507" s="4"/>
      <c r="K507" s="4"/>
      <c r="L507" s="5"/>
      <c r="M507" s="5"/>
      <c r="N507" s="5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>
      <c r="A508" s="7"/>
      <c r="B508" s="4"/>
      <c r="C508" s="4"/>
      <c r="D508" s="8"/>
      <c r="E508" s="9"/>
      <c r="F508" s="9"/>
      <c r="G508" s="9"/>
      <c r="H508" s="9"/>
      <c r="I508" s="4"/>
      <c r="J508" s="4"/>
      <c r="K508" s="4"/>
      <c r="L508" s="5"/>
      <c r="M508" s="5"/>
      <c r="N508" s="5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>
      <c r="A509" s="7"/>
      <c r="B509" s="4"/>
      <c r="C509" s="4"/>
      <c r="D509" s="8"/>
      <c r="E509" s="9"/>
      <c r="F509" s="9"/>
      <c r="G509" s="9"/>
      <c r="H509" s="9"/>
      <c r="I509" s="4"/>
      <c r="J509" s="4"/>
      <c r="K509" s="4"/>
      <c r="L509" s="5"/>
      <c r="M509" s="5"/>
      <c r="N509" s="5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>
      <c r="A510" s="7"/>
      <c r="B510" s="4"/>
      <c r="C510" s="4"/>
      <c r="D510" s="8"/>
      <c r="E510" s="9"/>
      <c r="F510" s="9"/>
      <c r="G510" s="9"/>
      <c r="H510" s="9"/>
      <c r="I510" s="4"/>
      <c r="J510" s="4"/>
      <c r="K510" s="4"/>
      <c r="L510" s="5"/>
      <c r="M510" s="5"/>
      <c r="N510" s="5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>
      <c r="A511" s="7"/>
      <c r="B511" s="4"/>
      <c r="C511" s="4"/>
      <c r="D511" s="8"/>
      <c r="E511" s="9"/>
      <c r="F511" s="9"/>
      <c r="G511" s="9"/>
      <c r="H511" s="9"/>
      <c r="I511" s="4"/>
      <c r="J511" s="4"/>
      <c r="K511" s="4"/>
      <c r="L511" s="5"/>
      <c r="M511" s="5"/>
      <c r="N511" s="5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>
      <c r="A512" s="7"/>
      <c r="B512" s="4"/>
      <c r="C512" s="4"/>
      <c r="D512" s="8"/>
      <c r="E512" s="9"/>
      <c r="F512" s="9"/>
      <c r="G512" s="9"/>
      <c r="H512" s="9"/>
      <c r="I512" s="4"/>
      <c r="J512" s="4"/>
      <c r="K512" s="4"/>
      <c r="L512" s="5"/>
      <c r="M512" s="5"/>
      <c r="N512" s="5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>
      <c r="A513" s="7"/>
      <c r="B513" s="4"/>
      <c r="C513" s="4"/>
      <c r="D513" s="8"/>
      <c r="E513" s="9"/>
      <c r="F513" s="9"/>
      <c r="G513" s="9"/>
      <c r="H513" s="9"/>
      <c r="I513" s="4"/>
      <c r="J513" s="4"/>
      <c r="K513" s="4"/>
      <c r="L513" s="5"/>
      <c r="M513" s="5"/>
      <c r="N513" s="5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>
      <c r="A514" s="7"/>
      <c r="B514" s="4"/>
      <c r="C514" s="4"/>
      <c r="D514" s="8"/>
      <c r="E514" s="9"/>
      <c r="F514" s="9"/>
      <c r="G514" s="9"/>
      <c r="H514" s="9"/>
      <c r="I514" s="4"/>
      <c r="J514" s="4"/>
      <c r="K514" s="4"/>
      <c r="L514" s="5"/>
      <c r="M514" s="5"/>
      <c r="N514" s="5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>
      <c r="A515" s="7"/>
      <c r="B515" s="4"/>
      <c r="C515" s="4"/>
      <c r="D515" s="8"/>
      <c r="E515" s="9"/>
      <c r="F515" s="9"/>
      <c r="G515" s="9"/>
      <c r="H515" s="9"/>
      <c r="I515" s="4"/>
      <c r="J515" s="4"/>
      <c r="K515" s="4"/>
      <c r="L515" s="5"/>
      <c r="M515" s="5"/>
      <c r="N515" s="5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>
      <c r="A516" s="7"/>
      <c r="B516" s="4"/>
      <c r="C516" s="4"/>
      <c r="D516" s="8"/>
      <c r="E516" s="9"/>
      <c r="F516" s="9"/>
      <c r="G516" s="9"/>
      <c r="H516" s="9"/>
      <c r="I516" s="4"/>
      <c r="J516" s="4"/>
      <c r="K516" s="4"/>
      <c r="L516" s="5"/>
      <c r="M516" s="5"/>
      <c r="N516" s="5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>
      <c r="A517" s="7"/>
      <c r="B517" s="4"/>
      <c r="C517" s="4"/>
      <c r="D517" s="8"/>
      <c r="E517" s="9"/>
      <c r="F517" s="9"/>
      <c r="G517" s="9"/>
      <c r="H517" s="9"/>
      <c r="I517" s="4"/>
      <c r="J517" s="4"/>
      <c r="K517" s="4"/>
      <c r="L517" s="5"/>
      <c r="M517" s="5"/>
      <c r="N517" s="5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>
      <c r="A518" s="7"/>
      <c r="B518" s="4"/>
      <c r="C518" s="4"/>
      <c r="D518" s="8"/>
      <c r="E518" s="9"/>
      <c r="F518" s="9"/>
      <c r="G518" s="9"/>
      <c r="H518" s="9"/>
      <c r="I518" s="4"/>
      <c r="J518" s="4"/>
      <c r="K518" s="4"/>
      <c r="L518" s="5"/>
      <c r="M518" s="5"/>
      <c r="N518" s="5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>
      <c r="A519" s="7"/>
      <c r="B519" s="4"/>
      <c r="C519" s="4"/>
      <c r="D519" s="8"/>
      <c r="E519" s="9"/>
      <c r="F519" s="9"/>
      <c r="G519" s="9"/>
      <c r="H519" s="9"/>
      <c r="I519" s="4"/>
      <c r="J519" s="4"/>
      <c r="K519" s="4"/>
      <c r="L519" s="5"/>
      <c r="M519" s="5"/>
      <c r="N519" s="5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>
      <c r="A520" s="7"/>
      <c r="B520" s="4"/>
      <c r="C520" s="4"/>
      <c r="D520" s="8"/>
      <c r="E520" s="9"/>
      <c r="F520" s="9"/>
      <c r="G520" s="9"/>
      <c r="H520" s="9"/>
      <c r="I520" s="4"/>
      <c r="J520" s="4"/>
      <c r="K520" s="4"/>
      <c r="L520" s="5"/>
      <c r="M520" s="5"/>
      <c r="N520" s="5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>
      <c r="A521" s="7"/>
      <c r="B521" s="4"/>
      <c r="C521" s="4"/>
      <c r="D521" s="8"/>
      <c r="E521" s="9"/>
      <c r="F521" s="9"/>
      <c r="G521" s="9"/>
      <c r="H521" s="9"/>
      <c r="I521" s="4"/>
      <c r="J521" s="4"/>
      <c r="K521" s="4"/>
      <c r="L521" s="5"/>
      <c r="M521" s="5"/>
      <c r="N521" s="5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>
      <c r="A522" s="7"/>
      <c r="B522" s="4"/>
      <c r="C522" s="4"/>
      <c r="D522" s="8"/>
      <c r="E522" s="9"/>
      <c r="F522" s="9"/>
      <c r="G522" s="9"/>
      <c r="H522" s="9"/>
      <c r="I522" s="4"/>
      <c r="J522" s="4"/>
      <c r="K522" s="4"/>
      <c r="L522" s="5"/>
      <c r="M522" s="5"/>
      <c r="N522" s="5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>
      <c r="A523" s="7"/>
      <c r="B523" s="4"/>
      <c r="C523" s="4"/>
      <c r="D523" s="8"/>
      <c r="E523" s="9"/>
      <c r="F523" s="9"/>
      <c r="G523" s="9"/>
      <c r="H523" s="9"/>
      <c r="I523" s="4"/>
      <c r="J523" s="4"/>
      <c r="K523" s="4"/>
      <c r="L523" s="5"/>
      <c r="M523" s="5"/>
      <c r="N523" s="5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>
      <c r="A524" s="7"/>
      <c r="B524" s="4"/>
      <c r="C524" s="4"/>
      <c r="D524" s="8"/>
      <c r="E524" s="9"/>
      <c r="F524" s="9"/>
      <c r="G524" s="9"/>
      <c r="H524" s="9"/>
      <c r="I524" s="4"/>
      <c r="J524" s="4"/>
      <c r="K524" s="4"/>
      <c r="L524" s="5"/>
      <c r="M524" s="5"/>
      <c r="N524" s="5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>
      <c r="A525" s="7"/>
      <c r="B525" s="4"/>
      <c r="C525" s="4"/>
      <c r="D525" s="8"/>
      <c r="E525" s="9"/>
      <c r="F525" s="9"/>
      <c r="G525" s="9"/>
      <c r="H525" s="9"/>
      <c r="I525" s="4"/>
      <c r="J525" s="4"/>
      <c r="K525" s="4"/>
      <c r="L525" s="5"/>
      <c r="M525" s="5"/>
      <c r="N525" s="5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>
      <c r="A526" s="7"/>
      <c r="B526" s="4"/>
      <c r="C526" s="4"/>
      <c r="D526" s="8"/>
      <c r="E526" s="9"/>
      <c r="F526" s="9"/>
      <c r="G526" s="9"/>
      <c r="H526" s="9"/>
      <c r="I526" s="4"/>
      <c r="J526" s="4"/>
      <c r="K526" s="4"/>
      <c r="L526" s="5"/>
      <c r="M526" s="5"/>
      <c r="N526" s="5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>
      <c r="A527" s="7"/>
      <c r="B527" s="4"/>
      <c r="C527" s="4"/>
      <c r="D527" s="8"/>
      <c r="E527" s="9"/>
      <c r="F527" s="9"/>
      <c r="G527" s="9"/>
      <c r="H527" s="9"/>
      <c r="I527" s="4"/>
      <c r="J527" s="4"/>
      <c r="K527" s="4"/>
      <c r="L527" s="5"/>
      <c r="M527" s="5"/>
      <c r="N527" s="5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>
      <c r="A528" s="7"/>
      <c r="B528" s="4"/>
      <c r="C528" s="4"/>
      <c r="D528" s="8"/>
      <c r="E528" s="9"/>
      <c r="F528" s="9"/>
      <c r="G528" s="9"/>
      <c r="H528" s="9"/>
      <c r="I528" s="4"/>
      <c r="J528" s="4"/>
      <c r="K528" s="4"/>
      <c r="L528" s="5"/>
      <c r="M528" s="5"/>
      <c r="N528" s="5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>
      <c r="A529" s="7"/>
      <c r="B529" s="4"/>
      <c r="C529" s="4"/>
      <c r="D529" s="8"/>
      <c r="E529" s="9"/>
      <c r="F529" s="9"/>
      <c r="G529" s="9"/>
      <c r="H529" s="9"/>
      <c r="I529" s="4"/>
      <c r="J529" s="4"/>
      <c r="K529" s="4"/>
      <c r="L529" s="5"/>
      <c r="M529" s="5"/>
      <c r="N529" s="5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>
      <c r="A530" s="7"/>
      <c r="B530" s="4"/>
      <c r="C530" s="4"/>
      <c r="D530" s="8"/>
      <c r="E530" s="9"/>
      <c r="F530" s="9"/>
      <c r="G530" s="9"/>
      <c r="H530" s="9"/>
      <c r="I530" s="4"/>
      <c r="J530" s="4"/>
      <c r="K530" s="4"/>
      <c r="L530" s="5"/>
      <c r="M530" s="5"/>
      <c r="N530" s="5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>
      <c r="A531" s="7"/>
      <c r="B531" s="4"/>
      <c r="C531" s="4"/>
      <c r="D531" s="8"/>
      <c r="E531" s="9"/>
      <c r="F531" s="9"/>
      <c r="G531" s="9"/>
      <c r="H531" s="9"/>
      <c r="I531" s="4"/>
      <c r="J531" s="4"/>
      <c r="K531" s="4"/>
      <c r="L531" s="5"/>
      <c r="M531" s="5"/>
      <c r="N531" s="5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>
      <c r="A532" s="7"/>
      <c r="B532" s="4"/>
      <c r="C532" s="4"/>
      <c r="D532" s="8"/>
      <c r="E532" s="9"/>
      <c r="F532" s="9"/>
      <c r="G532" s="9"/>
      <c r="H532" s="9"/>
      <c r="I532" s="4"/>
      <c r="J532" s="4"/>
      <c r="K532" s="4"/>
      <c r="L532" s="5"/>
      <c r="M532" s="5"/>
      <c r="N532" s="5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>
      <c r="A533" s="7"/>
      <c r="B533" s="4"/>
      <c r="C533" s="4"/>
      <c r="D533" s="8"/>
      <c r="E533" s="9"/>
      <c r="F533" s="9"/>
      <c r="G533" s="9"/>
      <c r="H533" s="9"/>
      <c r="I533" s="4"/>
      <c r="J533" s="4"/>
      <c r="K533" s="4"/>
      <c r="L533" s="5"/>
      <c r="M533" s="5"/>
      <c r="N533" s="5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>
      <c r="A534" s="7"/>
      <c r="B534" s="4"/>
      <c r="C534" s="4"/>
      <c r="D534" s="8"/>
      <c r="E534" s="9"/>
      <c r="F534" s="9"/>
      <c r="G534" s="9"/>
      <c r="H534" s="9"/>
      <c r="I534" s="4"/>
      <c r="J534" s="4"/>
      <c r="K534" s="4"/>
      <c r="L534" s="5"/>
      <c r="M534" s="5"/>
      <c r="N534" s="5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>
      <c r="A535" s="7"/>
      <c r="B535" s="4"/>
      <c r="C535" s="4"/>
      <c r="D535" s="8"/>
      <c r="E535" s="9"/>
      <c r="F535" s="9"/>
      <c r="G535" s="9"/>
      <c r="H535" s="9"/>
      <c r="I535" s="4"/>
      <c r="J535" s="4"/>
      <c r="K535" s="4"/>
      <c r="L535" s="5"/>
      <c r="M535" s="5"/>
      <c r="N535" s="5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>
      <c r="A536" s="7"/>
      <c r="B536" s="4"/>
      <c r="C536" s="4"/>
      <c r="D536" s="8"/>
      <c r="E536" s="9"/>
      <c r="F536" s="9"/>
      <c r="G536" s="9"/>
      <c r="H536" s="9"/>
      <c r="I536" s="4"/>
      <c r="J536" s="4"/>
      <c r="K536" s="4"/>
      <c r="L536" s="5"/>
      <c r="M536" s="5"/>
      <c r="N536" s="5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>
      <c r="A537" s="7"/>
      <c r="B537" s="4"/>
      <c r="C537" s="4"/>
      <c r="D537" s="8"/>
      <c r="E537" s="9"/>
      <c r="F537" s="9"/>
      <c r="G537" s="9"/>
      <c r="H537" s="9"/>
      <c r="I537" s="4"/>
      <c r="J537" s="4"/>
      <c r="K537" s="4"/>
      <c r="L537" s="5"/>
      <c r="M537" s="5"/>
      <c r="N537" s="5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>
      <c r="A538" s="7"/>
      <c r="B538" s="4"/>
      <c r="C538" s="4"/>
      <c r="D538" s="8"/>
      <c r="E538" s="9"/>
      <c r="F538" s="9"/>
      <c r="G538" s="9"/>
      <c r="H538" s="9"/>
      <c r="I538" s="4"/>
      <c r="J538" s="4"/>
      <c r="K538" s="4"/>
      <c r="L538" s="5"/>
      <c r="M538" s="5"/>
      <c r="N538" s="5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>
      <c r="A539" s="7"/>
      <c r="B539" s="4"/>
      <c r="C539" s="4"/>
      <c r="D539" s="8"/>
      <c r="E539" s="9"/>
      <c r="F539" s="9"/>
      <c r="G539" s="9"/>
      <c r="H539" s="9"/>
      <c r="I539" s="4"/>
      <c r="J539" s="4"/>
      <c r="K539" s="4"/>
      <c r="L539" s="5"/>
      <c r="M539" s="5"/>
      <c r="N539" s="5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>
      <c r="A540" s="7"/>
      <c r="B540" s="4"/>
      <c r="C540" s="4"/>
      <c r="D540" s="8"/>
      <c r="E540" s="9"/>
      <c r="F540" s="9"/>
      <c r="G540" s="9"/>
      <c r="H540" s="9"/>
      <c r="I540" s="4"/>
      <c r="J540" s="4"/>
      <c r="K540" s="4"/>
      <c r="L540" s="5"/>
      <c r="M540" s="5"/>
      <c r="N540" s="5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>
      <c r="A541" s="7"/>
      <c r="B541" s="4"/>
      <c r="C541" s="4"/>
      <c r="D541" s="8"/>
      <c r="E541" s="9"/>
      <c r="F541" s="9"/>
      <c r="G541" s="9"/>
      <c r="H541" s="9"/>
      <c r="I541" s="4"/>
      <c r="J541" s="4"/>
      <c r="K541" s="4"/>
      <c r="L541" s="5"/>
      <c r="M541" s="5"/>
      <c r="N541" s="5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>
      <c r="A542" s="7"/>
      <c r="B542" s="4"/>
      <c r="C542" s="4"/>
      <c r="D542" s="8"/>
      <c r="E542" s="9"/>
      <c r="F542" s="9"/>
      <c r="G542" s="9"/>
      <c r="H542" s="9"/>
      <c r="I542" s="4"/>
      <c r="J542" s="4"/>
      <c r="K542" s="4"/>
      <c r="L542" s="5"/>
      <c r="M542" s="5"/>
      <c r="N542" s="5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>
      <c r="A543" s="7"/>
      <c r="B543" s="4"/>
      <c r="C543" s="4"/>
      <c r="D543" s="8"/>
      <c r="E543" s="9"/>
      <c r="F543" s="9"/>
      <c r="G543" s="9"/>
      <c r="H543" s="9"/>
      <c r="I543" s="4"/>
      <c r="J543" s="4"/>
      <c r="K543" s="4"/>
      <c r="L543" s="5"/>
      <c r="M543" s="5"/>
      <c r="N543" s="5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>
      <c r="A544" s="7"/>
      <c r="B544" s="4"/>
      <c r="C544" s="4"/>
      <c r="D544" s="8"/>
      <c r="E544" s="9"/>
      <c r="F544" s="9"/>
      <c r="G544" s="9"/>
      <c r="H544" s="9"/>
      <c r="I544" s="4"/>
      <c r="J544" s="4"/>
      <c r="K544" s="4"/>
      <c r="L544" s="5"/>
      <c r="M544" s="5"/>
      <c r="N544" s="5"/>
      <c r="O544" s="4"/>
      <c r="P544" s="4"/>
      <c r="Q544" s="4"/>
      <c r="R544" s="4"/>
      <c r="S544" s="4"/>
      <c r="T544" s="4"/>
      <c r="U544" s="4"/>
      <c r="V544" s="4"/>
    </row>
    <row r="545" spans="5:8" ht="15.75" customHeight="1">
      <c r="E545" s="9"/>
      <c r="F545" s="9"/>
      <c r="G545" s="9"/>
      <c r="H545" s="9"/>
    </row>
    <row r="546" spans="5:8" ht="15.75" customHeight="1">
      <c r="E546" s="9"/>
      <c r="F546" s="9"/>
      <c r="G546" s="9"/>
      <c r="H546" s="9"/>
    </row>
    <row r="547" spans="5:8" ht="15.75" customHeight="1">
      <c r="E547" s="9"/>
      <c r="F547" s="9"/>
      <c r="G547" s="9"/>
      <c r="H547" s="9"/>
    </row>
    <row r="548" spans="5:8" ht="15.75" customHeight="1">
      <c r="E548" s="9"/>
      <c r="F548" s="9"/>
      <c r="G548" s="9"/>
      <c r="H548" s="9"/>
    </row>
    <row r="549" spans="5:8" ht="15.75" customHeight="1">
      <c r="E549" s="9"/>
      <c r="F549" s="9"/>
      <c r="G549" s="9"/>
      <c r="H549" s="9"/>
    </row>
    <row r="550" spans="5:8" ht="15.75" customHeight="1">
      <c r="E550" s="9"/>
      <c r="F550" s="9"/>
      <c r="G550" s="9"/>
      <c r="H550" s="9"/>
    </row>
    <row r="551" spans="5:8" ht="15.75" customHeight="1">
      <c r="E551" s="9"/>
      <c r="F551" s="9"/>
      <c r="G551" s="9"/>
      <c r="H551" s="9"/>
    </row>
    <row r="552" spans="5:8" ht="15.75" customHeight="1">
      <c r="E552" s="9"/>
      <c r="F552" s="9"/>
      <c r="G552" s="9"/>
      <c r="H552" s="9"/>
    </row>
    <row r="553" spans="5:8" ht="15.75" customHeight="1">
      <c r="E553" s="9"/>
      <c r="F553" s="9"/>
      <c r="G553" s="9"/>
      <c r="H553" s="9"/>
    </row>
    <row r="554" spans="5:8" ht="15.75" customHeight="1">
      <c r="E554" s="9"/>
      <c r="F554" s="9"/>
      <c r="G554" s="9"/>
      <c r="H554" s="9"/>
    </row>
    <row r="555" spans="5:8" ht="15.75" customHeight="1">
      <c r="E555" s="9"/>
      <c r="F555" s="9"/>
      <c r="G555" s="9"/>
      <c r="H555" s="9"/>
    </row>
    <row r="556" spans="5:8" ht="15.75" customHeight="1">
      <c r="E556" s="9"/>
      <c r="F556" s="9"/>
      <c r="G556" s="9"/>
      <c r="H556" s="9"/>
    </row>
    <row r="557" spans="5:8" ht="15.75" customHeight="1">
      <c r="E557" s="9"/>
      <c r="F557" s="9"/>
      <c r="G557" s="9"/>
      <c r="H557" s="9"/>
    </row>
    <row r="558" spans="5:8" ht="15.75" customHeight="1">
      <c r="E558" s="9"/>
      <c r="F558" s="9"/>
      <c r="G558" s="9"/>
      <c r="H558" s="9"/>
    </row>
    <row r="559" spans="5:8" ht="15.75" customHeight="1">
      <c r="E559" s="9"/>
      <c r="F559" s="9"/>
      <c r="G559" s="9"/>
      <c r="H559" s="9"/>
    </row>
    <row r="560" spans="5:8" ht="15.75" customHeight="1">
      <c r="E560" s="9"/>
      <c r="F560" s="9"/>
      <c r="G560" s="9"/>
      <c r="H560" s="9"/>
    </row>
    <row r="561" spans="5:8" ht="15.75" customHeight="1">
      <c r="E561" s="9"/>
      <c r="F561" s="9"/>
      <c r="G561" s="9"/>
      <c r="H561" s="9"/>
    </row>
    <row r="562" spans="5:8" ht="15.75" customHeight="1">
      <c r="E562" s="9"/>
      <c r="F562" s="9"/>
      <c r="G562" s="9"/>
      <c r="H562" s="9"/>
    </row>
    <row r="563" spans="5:8" ht="15.75" customHeight="1">
      <c r="E563" s="9"/>
      <c r="F563" s="9"/>
      <c r="G563" s="9"/>
      <c r="H563" s="9"/>
    </row>
    <row r="564" spans="5:8" ht="15.75" customHeight="1">
      <c r="E564" s="9"/>
      <c r="F564" s="9"/>
      <c r="G564" s="9"/>
      <c r="H564" s="9"/>
    </row>
    <row r="565" spans="5:8" ht="15.75" customHeight="1">
      <c r="E565" s="9"/>
      <c r="F565" s="9"/>
      <c r="G565" s="9"/>
      <c r="H565" s="9"/>
    </row>
    <row r="566" spans="5:8" ht="15.75" customHeight="1">
      <c r="E566" s="9"/>
      <c r="F566" s="9"/>
      <c r="G566" s="9"/>
      <c r="H566" s="9"/>
    </row>
    <row r="567" spans="5:8" ht="15.75" customHeight="1">
      <c r="E567" s="9"/>
      <c r="F567" s="9"/>
      <c r="G567" s="9"/>
      <c r="H567" s="9"/>
    </row>
    <row r="568" spans="5:8" ht="15.75" customHeight="1">
      <c r="E568" s="9"/>
      <c r="F568" s="9"/>
      <c r="G568" s="9"/>
      <c r="H568" s="9"/>
    </row>
    <row r="569" spans="5:8" ht="15.75" customHeight="1">
      <c r="E569" s="9"/>
      <c r="F569" s="9"/>
      <c r="G569" s="9"/>
      <c r="H569" s="9"/>
    </row>
    <row r="570" spans="5:8" ht="15.75" customHeight="1">
      <c r="E570" s="9"/>
      <c r="F570" s="9"/>
      <c r="G570" s="9"/>
      <c r="H570" s="9"/>
    </row>
    <row r="571" spans="5:8" ht="15.75" customHeight="1">
      <c r="E571" s="9"/>
      <c r="F571" s="9"/>
      <c r="G571" s="9"/>
      <c r="H571" s="9"/>
    </row>
    <row r="572" spans="5:8" ht="15.75" customHeight="1">
      <c r="E572" s="9"/>
      <c r="F572" s="9"/>
      <c r="G572" s="9"/>
      <c r="H572" s="9"/>
    </row>
    <row r="573" spans="5:8" ht="15.75" customHeight="1">
      <c r="E573" s="9"/>
      <c r="F573" s="9"/>
      <c r="G573" s="9"/>
      <c r="H573" s="9"/>
    </row>
    <row r="574" spans="5:8" ht="15.75" customHeight="1">
      <c r="E574" s="9"/>
      <c r="F574" s="9"/>
      <c r="G574" s="9"/>
      <c r="H574" s="9"/>
    </row>
    <row r="575" spans="5:8" ht="15.75" customHeight="1">
      <c r="E575" s="9"/>
      <c r="F575" s="9"/>
      <c r="G575" s="9"/>
      <c r="H575" s="9"/>
    </row>
    <row r="576" spans="5:8" ht="15.75" customHeight="1">
      <c r="E576" s="9"/>
      <c r="F576" s="9"/>
      <c r="G576" s="9"/>
      <c r="H576" s="9"/>
    </row>
    <row r="577" spans="5:8" ht="15.75" customHeight="1">
      <c r="E577" s="9"/>
      <c r="F577" s="9"/>
      <c r="G577" s="9"/>
      <c r="H577" s="9"/>
    </row>
    <row r="578" spans="5:8" ht="15.75" customHeight="1">
      <c r="E578" s="9"/>
      <c r="F578" s="9"/>
      <c r="G578" s="9"/>
      <c r="H578" s="9"/>
    </row>
    <row r="579" spans="5:8" ht="15.75" customHeight="1">
      <c r="E579" s="9"/>
      <c r="F579" s="9"/>
      <c r="G579" s="9"/>
      <c r="H579" s="9"/>
    </row>
    <row r="580" spans="5:8" ht="15.75" customHeight="1">
      <c r="E580" s="9"/>
      <c r="F580" s="9"/>
      <c r="G580" s="9"/>
      <c r="H580" s="9"/>
    </row>
    <row r="581" spans="5:8" ht="15.75" customHeight="1">
      <c r="E581" s="9"/>
      <c r="F581" s="9"/>
      <c r="G581" s="9"/>
      <c r="H581" s="9"/>
    </row>
    <row r="582" spans="5:8" ht="15.75" customHeight="1">
      <c r="E582" s="9"/>
      <c r="F582" s="9"/>
      <c r="G582" s="9"/>
      <c r="H582" s="9"/>
    </row>
    <row r="583" spans="5:8" ht="15.75" customHeight="1">
      <c r="E583" s="9"/>
      <c r="F583" s="9"/>
      <c r="G583" s="9"/>
      <c r="H583" s="9"/>
    </row>
    <row r="584" spans="5:8" ht="15.75" customHeight="1">
      <c r="E584" s="9"/>
      <c r="F584" s="9"/>
      <c r="G584" s="9"/>
      <c r="H584" s="9"/>
    </row>
    <row r="585" spans="5:8" ht="15.75" customHeight="1">
      <c r="E585" s="9"/>
      <c r="F585" s="9"/>
      <c r="G585" s="9"/>
      <c r="H585" s="9"/>
    </row>
    <row r="586" spans="5:8" ht="15.75" customHeight="1">
      <c r="E586" s="9"/>
      <c r="F586" s="9"/>
      <c r="G586" s="9"/>
      <c r="H586" s="9"/>
    </row>
    <row r="587" spans="5:8" ht="15.75" customHeight="1">
      <c r="E587" s="9"/>
      <c r="F587" s="9"/>
      <c r="G587" s="9"/>
      <c r="H587" s="9"/>
    </row>
    <row r="588" spans="5:8" ht="15.75" customHeight="1">
      <c r="E588" s="9"/>
      <c r="F588" s="9"/>
      <c r="G588" s="9"/>
      <c r="H588" s="9"/>
    </row>
    <row r="589" spans="5:8" ht="15.75" customHeight="1">
      <c r="E589" s="9"/>
      <c r="F589" s="9"/>
      <c r="G589" s="9"/>
      <c r="H589" s="9"/>
    </row>
    <row r="590" spans="5:8" ht="15.75" customHeight="1">
      <c r="E590" s="9"/>
      <c r="F590" s="9"/>
      <c r="G590" s="9"/>
      <c r="H590" s="9"/>
    </row>
    <row r="591" spans="5:8" ht="15.75" customHeight="1">
      <c r="E591" s="9"/>
      <c r="F591" s="9"/>
      <c r="G591" s="9"/>
      <c r="H591" s="9"/>
    </row>
    <row r="592" spans="5:8" ht="15.75" customHeight="1">
      <c r="E592" s="9"/>
      <c r="F592" s="9"/>
      <c r="G592" s="9"/>
      <c r="H592" s="9"/>
    </row>
    <row r="593" spans="5:8" ht="15.75" customHeight="1">
      <c r="E593" s="9"/>
      <c r="F593" s="9"/>
      <c r="G593" s="9"/>
      <c r="H593" s="9"/>
    </row>
    <row r="594" spans="5:8" ht="15.75" customHeight="1">
      <c r="E594" s="9"/>
      <c r="F594" s="9"/>
      <c r="G594" s="9"/>
      <c r="H594" s="9"/>
    </row>
    <row r="595" spans="5:8" ht="15.75" customHeight="1">
      <c r="E595" s="9"/>
      <c r="F595" s="9"/>
      <c r="G595" s="9"/>
      <c r="H595" s="9"/>
    </row>
    <row r="596" spans="5:8" ht="15.75" customHeight="1">
      <c r="E596" s="9"/>
      <c r="F596" s="9"/>
      <c r="G596" s="9"/>
      <c r="H596" s="9"/>
    </row>
    <row r="597" spans="5:8" ht="15.75" customHeight="1">
      <c r="E597" s="9"/>
      <c r="F597" s="9"/>
      <c r="G597" s="9"/>
      <c r="H597" s="9"/>
    </row>
    <row r="598" spans="5:8" ht="15.75" customHeight="1">
      <c r="E598" s="9"/>
      <c r="F598" s="9"/>
      <c r="G598" s="9"/>
      <c r="H598" s="9"/>
    </row>
    <row r="599" spans="5:8" ht="15.75" customHeight="1">
      <c r="E599" s="9"/>
      <c r="F599" s="9"/>
      <c r="G599" s="9"/>
      <c r="H599" s="9"/>
    </row>
    <row r="600" spans="5:8" ht="15.75" customHeight="1">
      <c r="E600" s="9"/>
      <c r="F600" s="9"/>
      <c r="G600" s="9"/>
      <c r="H600" s="9"/>
    </row>
    <row r="601" spans="5:8" ht="15.75" customHeight="1">
      <c r="E601" s="9"/>
      <c r="F601" s="9"/>
      <c r="G601" s="9"/>
      <c r="H601" s="9"/>
    </row>
    <row r="602" spans="5:8" ht="15.75" customHeight="1">
      <c r="E602" s="9"/>
      <c r="F602" s="9"/>
      <c r="G602" s="9"/>
      <c r="H602" s="9"/>
    </row>
    <row r="603" spans="5:8" ht="15.75" customHeight="1">
      <c r="E603" s="9"/>
      <c r="F603" s="9"/>
      <c r="G603" s="9"/>
      <c r="H603" s="9"/>
    </row>
    <row r="604" spans="5:8" ht="15.75" customHeight="1">
      <c r="E604" s="9"/>
      <c r="F604" s="9"/>
      <c r="G604" s="9"/>
      <c r="H604" s="9"/>
    </row>
    <row r="605" spans="5:8" ht="15.75" customHeight="1">
      <c r="E605" s="9"/>
      <c r="F605" s="9"/>
      <c r="G605" s="9"/>
      <c r="H605" s="9"/>
    </row>
    <row r="606" spans="5:8" ht="15.75" customHeight="1">
      <c r="E606" s="9"/>
      <c r="F606" s="9"/>
      <c r="G606" s="9"/>
      <c r="H606" s="9"/>
    </row>
    <row r="607" spans="5:8" ht="15.75" customHeight="1">
      <c r="E607" s="9"/>
      <c r="F607" s="9"/>
      <c r="G607" s="9"/>
      <c r="H607" s="9"/>
    </row>
    <row r="608" spans="5:8" ht="15.75" customHeight="1">
      <c r="E608" s="9"/>
      <c r="F608" s="9"/>
      <c r="G608" s="9"/>
      <c r="H608" s="9"/>
    </row>
    <row r="609" spans="5:8" ht="15.75" customHeight="1">
      <c r="E609" s="9"/>
      <c r="F609" s="9"/>
      <c r="G609" s="9"/>
      <c r="H609" s="9"/>
    </row>
    <row r="610" spans="5:8" ht="15.75" customHeight="1">
      <c r="E610" s="9"/>
      <c r="F610" s="9"/>
      <c r="G610" s="9"/>
      <c r="H610" s="9"/>
    </row>
    <row r="611" spans="5:8" ht="15.75" customHeight="1">
      <c r="E611" s="9"/>
      <c r="F611" s="9"/>
      <c r="G611" s="9"/>
      <c r="H611" s="9"/>
    </row>
    <row r="612" spans="5:8" ht="15.75" customHeight="1">
      <c r="E612" s="9"/>
      <c r="F612" s="9"/>
      <c r="G612" s="9"/>
      <c r="H612" s="9"/>
    </row>
    <row r="613" spans="5:8" ht="15.75" customHeight="1">
      <c r="E613" s="9"/>
      <c r="F613" s="9"/>
      <c r="G613" s="9"/>
      <c r="H613" s="9"/>
    </row>
    <row r="614" spans="5:8" ht="15.75" customHeight="1">
      <c r="E614" s="9"/>
      <c r="F614" s="9"/>
      <c r="G614" s="9"/>
      <c r="H614" s="9"/>
    </row>
    <row r="615" spans="5:8" ht="15.75" customHeight="1">
      <c r="E615" s="9"/>
      <c r="F615" s="9"/>
      <c r="G615" s="9"/>
      <c r="H615" s="9"/>
    </row>
    <row r="616" spans="5:8" ht="15.75" customHeight="1">
      <c r="E616" s="9"/>
      <c r="F616" s="9"/>
      <c r="G616" s="9"/>
      <c r="H616" s="9"/>
    </row>
    <row r="617" spans="5:8" ht="15.75" customHeight="1">
      <c r="E617" s="9"/>
      <c r="F617" s="9"/>
      <c r="G617" s="9"/>
      <c r="H617" s="9"/>
    </row>
    <row r="618" spans="5:8" ht="15.75" customHeight="1">
      <c r="E618" s="9"/>
      <c r="F618" s="9"/>
      <c r="G618" s="9"/>
      <c r="H618" s="9"/>
    </row>
    <row r="619" spans="5:8" ht="15.75" customHeight="1">
      <c r="E619" s="9"/>
      <c r="F619" s="9"/>
      <c r="G619" s="9"/>
      <c r="H619" s="9"/>
    </row>
    <row r="620" spans="5:8" ht="15.75" customHeight="1">
      <c r="E620" s="9"/>
      <c r="F620" s="9"/>
      <c r="G620" s="9"/>
      <c r="H620" s="9"/>
    </row>
    <row r="621" spans="5:8" ht="15.75" customHeight="1">
      <c r="E621" s="9"/>
      <c r="F621" s="9"/>
      <c r="G621" s="9"/>
      <c r="H621" s="9"/>
    </row>
    <row r="622" spans="5:8" ht="15.75" customHeight="1">
      <c r="E622" s="9"/>
      <c r="F622" s="9"/>
      <c r="G622" s="9"/>
      <c r="H622" s="9"/>
    </row>
    <row r="623" spans="5:8" ht="15.75" customHeight="1">
      <c r="E623" s="9"/>
      <c r="F623" s="9"/>
      <c r="G623" s="9"/>
      <c r="H623" s="9"/>
    </row>
    <row r="624" spans="5:8" ht="15.75" customHeight="1">
      <c r="E624" s="9"/>
      <c r="F624" s="9"/>
      <c r="G624" s="9"/>
      <c r="H624" s="9"/>
    </row>
    <row r="625" spans="5:8" ht="15.75" customHeight="1">
      <c r="E625" s="9"/>
      <c r="F625" s="9"/>
      <c r="G625" s="9"/>
      <c r="H625" s="9"/>
    </row>
    <row r="626" spans="5:8" ht="15.75" customHeight="1">
      <c r="E626" s="9"/>
      <c r="F626" s="9"/>
      <c r="G626" s="9"/>
      <c r="H626" s="9"/>
    </row>
    <row r="627" spans="5:8" ht="15.75" customHeight="1">
      <c r="E627" s="9"/>
      <c r="F627" s="9"/>
      <c r="G627" s="9"/>
      <c r="H627" s="9"/>
    </row>
    <row r="628" spans="5:8" ht="15.75" customHeight="1">
      <c r="E628" s="9"/>
      <c r="F628" s="9"/>
      <c r="G628" s="9"/>
      <c r="H628" s="9"/>
    </row>
    <row r="629" spans="5:8" ht="15.75" customHeight="1">
      <c r="E629" s="9"/>
      <c r="F629" s="9"/>
      <c r="G629" s="9"/>
      <c r="H629" s="9"/>
    </row>
    <row r="630" spans="5:8" ht="15.75" customHeight="1">
      <c r="E630" s="9"/>
      <c r="F630" s="9"/>
      <c r="G630" s="9"/>
      <c r="H630" s="9"/>
    </row>
    <row r="631" spans="5:8" ht="15.75" customHeight="1">
      <c r="E631" s="9"/>
      <c r="F631" s="9"/>
      <c r="G631" s="9"/>
      <c r="H631" s="9"/>
    </row>
    <row r="632" spans="5:8" ht="15.75" customHeight="1">
      <c r="E632" s="9"/>
      <c r="F632" s="9"/>
      <c r="G632" s="9"/>
      <c r="H632" s="9"/>
    </row>
    <row r="633" spans="5:8" ht="15.75" customHeight="1">
      <c r="E633" s="9"/>
      <c r="F633" s="9"/>
      <c r="G633" s="9"/>
      <c r="H633" s="9"/>
    </row>
    <row r="634" spans="5:8" ht="15.75" customHeight="1">
      <c r="E634" s="9"/>
      <c r="F634" s="9"/>
      <c r="G634" s="9"/>
      <c r="H634" s="9"/>
    </row>
    <row r="635" spans="5:8" ht="15.75" customHeight="1">
      <c r="E635" s="9"/>
      <c r="F635" s="9"/>
      <c r="G635" s="9"/>
      <c r="H635" s="9"/>
    </row>
    <row r="636" spans="5:8" ht="15.75" customHeight="1">
      <c r="E636" s="9"/>
      <c r="F636" s="9"/>
      <c r="G636" s="9"/>
      <c r="H636" s="9"/>
    </row>
    <row r="637" spans="5:8" ht="15.75" customHeight="1">
      <c r="E637" s="9"/>
      <c r="F637" s="9"/>
      <c r="G637" s="9"/>
      <c r="H637" s="9"/>
    </row>
    <row r="638" spans="5:8" ht="15.75" customHeight="1">
      <c r="E638" s="9"/>
      <c r="F638" s="9"/>
      <c r="G638" s="9"/>
      <c r="H638" s="9"/>
    </row>
    <row r="639" spans="5:8" ht="15.75" customHeight="1">
      <c r="E639" s="9"/>
      <c r="F639" s="9"/>
      <c r="G639" s="9"/>
      <c r="H639" s="9"/>
    </row>
    <row r="640" spans="5:8" ht="15.75" customHeight="1">
      <c r="E640" s="9"/>
      <c r="F640" s="9"/>
      <c r="G640" s="9"/>
      <c r="H640" s="9"/>
    </row>
    <row r="641" spans="5:8" ht="15.75" customHeight="1">
      <c r="E641" s="9"/>
      <c r="F641" s="9"/>
      <c r="G641" s="9"/>
      <c r="H641" s="9"/>
    </row>
    <row r="642" spans="5:8" ht="15.75" customHeight="1">
      <c r="E642" s="9"/>
      <c r="F642" s="9"/>
      <c r="G642" s="9"/>
      <c r="H642" s="9"/>
    </row>
    <row r="643" spans="5:8" ht="15.75" customHeight="1">
      <c r="E643" s="9"/>
      <c r="F643" s="9"/>
      <c r="G643" s="9"/>
      <c r="H643" s="9"/>
    </row>
    <row r="644" spans="5:8" ht="15.75" customHeight="1">
      <c r="E644" s="9"/>
      <c r="F644" s="9"/>
      <c r="G644" s="9"/>
      <c r="H644" s="9"/>
    </row>
    <row r="645" spans="5:8" ht="15.75" customHeight="1">
      <c r="E645" s="9"/>
      <c r="F645" s="9"/>
      <c r="G645" s="9"/>
      <c r="H645" s="9"/>
    </row>
    <row r="646" spans="5:8" ht="15.75" customHeight="1">
      <c r="E646" s="9"/>
      <c r="F646" s="9"/>
      <c r="G646" s="9"/>
      <c r="H646" s="9"/>
    </row>
    <row r="647" spans="5:8" ht="15.75" customHeight="1">
      <c r="E647" s="9"/>
      <c r="F647" s="9"/>
      <c r="G647" s="9"/>
      <c r="H647" s="9"/>
    </row>
    <row r="648" spans="5:8" ht="15.75" customHeight="1">
      <c r="E648" s="9"/>
      <c r="F648" s="9"/>
      <c r="G648" s="9"/>
      <c r="H648" s="9"/>
    </row>
    <row r="649" spans="5:8" ht="15.75" customHeight="1">
      <c r="E649" s="9"/>
      <c r="F649" s="9"/>
      <c r="G649" s="9"/>
      <c r="H649" s="9"/>
    </row>
    <row r="650" spans="5:8" ht="15.75" customHeight="1">
      <c r="E650" s="9"/>
      <c r="F650" s="9"/>
      <c r="G650" s="9"/>
      <c r="H650" s="9"/>
    </row>
    <row r="651" spans="5:8" ht="15.75" customHeight="1">
      <c r="E651" s="9"/>
      <c r="F651" s="9"/>
      <c r="G651" s="9"/>
      <c r="H651" s="9"/>
    </row>
    <row r="652" spans="5:8" ht="15.75" customHeight="1">
      <c r="E652" s="9"/>
      <c r="F652" s="9"/>
      <c r="G652" s="9"/>
      <c r="H652" s="9"/>
    </row>
    <row r="653" spans="5:8" ht="15.75" customHeight="1">
      <c r="E653" s="9"/>
      <c r="F653" s="9"/>
      <c r="G653" s="9"/>
      <c r="H653" s="9"/>
    </row>
    <row r="654" spans="5:8" ht="15.75" customHeight="1">
      <c r="E654" s="9"/>
      <c r="F654" s="9"/>
      <c r="G654" s="9"/>
      <c r="H654" s="9"/>
    </row>
    <row r="655" spans="5:8" ht="15.75" customHeight="1">
      <c r="E655" s="9"/>
      <c r="F655" s="9"/>
      <c r="G655" s="9"/>
      <c r="H655" s="9"/>
    </row>
    <row r="656" spans="5:8" ht="15.75" customHeight="1">
      <c r="E656" s="9"/>
      <c r="F656" s="9"/>
      <c r="G656" s="9"/>
      <c r="H656" s="9"/>
    </row>
    <row r="657" spans="5:8" ht="15.75" customHeight="1">
      <c r="E657" s="9"/>
      <c r="F657" s="9"/>
      <c r="G657" s="9"/>
      <c r="H657" s="9"/>
    </row>
    <row r="658" spans="5:8" ht="15.75" customHeight="1">
      <c r="E658" s="9"/>
      <c r="F658" s="9"/>
      <c r="G658" s="9"/>
      <c r="H658" s="9"/>
    </row>
    <row r="659" spans="5:8" ht="15.75" customHeight="1">
      <c r="E659" s="9"/>
      <c r="F659" s="9"/>
      <c r="G659" s="9"/>
      <c r="H659" s="9"/>
    </row>
    <row r="660" spans="5:8" ht="15.75" customHeight="1">
      <c r="E660" s="9"/>
      <c r="F660" s="9"/>
      <c r="G660" s="9"/>
      <c r="H660" s="9"/>
    </row>
    <row r="661" spans="5:8" ht="15.75" customHeight="1">
      <c r="E661" s="9"/>
      <c r="F661" s="9"/>
      <c r="G661" s="9"/>
      <c r="H661" s="9"/>
    </row>
    <row r="662" spans="5:8" ht="15.75" customHeight="1">
      <c r="E662" s="9"/>
      <c r="F662" s="9"/>
      <c r="G662" s="9"/>
      <c r="H662" s="9"/>
    </row>
    <row r="663" spans="5:8" ht="15.75" customHeight="1">
      <c r="E663" s="9"/>
      <c r="F663" s="9"/>
      <c r="G663" s="9"/>
      <c r="H663" s="9"/>
    </row>
    <row r="664" spans="5:8" ht="15.75" customHeight="1">
      <c r="E664" s="9"/>
      <c r="F664" s="9"/>
      <c r="G664" s="9"/>
      <c r="H664" s="9"/>
    </row>
    <row r="665" spans="5:8" ht="15.75" customHeight="1">
      <c r="E665" s="9"/>
      <c r="F665" s="9"/>
      <c r="G665" s="9"/>
      <c r="H665" s="9"/>
    </row>
    <row r="666" spans="5:8" ht="15.75" customHeight="1">
      <c r="E666" s="9"/>
      <c r="F666" s="9"/>
      <c r="G666" s="9"/>
      <c r="H666" s="9"/>
    </row>
    <row r="667" spans="5:8" ht="15.75" customHeight="1">
      <c r="E667" s="9"/>
      <c r="F667" s="9"/>
      <c r="G667" s="9"/>
      <c r="H667" s="9"/>
    </row>
    <row r="668" spans="5:8" ht="15.75" customHeight="1">
      <c r="E668" s="9"/>
      <c r="F668" s="9"/>
      <c r="G668" s="9"/>
      <c r="H668" s="9"/>
    </row>
    <row r="669" spans="5:8" ht="15.75" customHeight="1">
      <c r="E669" s="9"/>
      <c r="F669" s="9"/>
      <c r="G669" s="9"/>
      <c r="H669" s="9"/>
    </row>
    <row r="670" spans="5:8" ht="15.75" customHeight="1">
      <c r="E670" s="9"/>
      <c r="F670" s="9"/>
      <c r="G670" s="9"/>
      <c r="H670" s="9"/>
    </row>
    <row r="671" spans="5:8" ht="15.75" customHeight="1">
      <c r="E671" s="9"/>
      <c r="F671" s="9"/>
      <c r="G671" s="9"/>
      <c r="H671" s="9"/>
    </row>
    <row r="672" spans="5:8" ht="15.75" customHeight="1">
      <c r="E672" s="9"/>
      <c r="F672" s="9"/>
      <c r="G672" s="9"/>
      <c r="H672" s="9"/>
    </row>
    <row r="673" spans="5:8" ht="15.75" customHeight="1">
      <c r="E673" s="9"/>
      <c r="F673" s="9"/>
      <c r="G673" s="9"/>
      <c r="H673" s="9"/>
    </row>
    <row r="674" spans="5:8" ht="15.75" customHeight="1">
      <c r="E674" s="9"/>
      <c r="F674" s="9"/>
      <c r="G674" s="9"/>
      <c r="H674" s="9"/>
    </row>
    <row r="675" spans="5:8" ht="15.75" customHeight="1">
      <c r="E675" s="9"/>
      <c r="F675" s="9"/>
      <c r="G675" s="9"/>
      <c r="H675" s="9"/>
    </row>
    <row r="676" spans="5:8" ht="15.75" customHeight="1">
      <c r="E676" s="9"/>
      <c r="F676" s="9"/>
      <c r="G676" s="9"/>
      <c r="H676" s="9"/>
    </row>
    <row r="677" spans="5:8" ht="15.75" customHeight="1">
      <c r="E677" s="9"/>
      <c r="F677" s="9"/>
      <c r="G677" s="9"/>
      <c r="H677" s="9"/>
    </row>
    <row r="678" spans="5:8" ht="15.75" customHeight="1">
      <c r="E678" s="9"/>
      <c r="F678" s="9"/>
      <c r="G678" s="9"/>
      <c r="H678" s="9"/>
    </row>
    <row r="679" spans="5:8" ht="15.75" customHeight="1">
      <c r="E679" s="9"/>
      <c r="F679" s="9"/>
      <c r="G679" s="9"/>
      <c r="H679" s="9"/>
    </row>
    <row r="680" spans="5:8" ht="15.75" customHeight="1">
      <c r="E680" s="9"/>
      <c r="F680" s="9"/>
      <c r="G680" s="9"/>
      <c r="H680" s="9"/>
    </row>
    <row r="681" spans="5:8" ht="15.75" customHeight="1">
      <c r="E681" s="9"/>
      <c r="F681" s="9"/>
      <c r="G681" s="9"/>
      <c r="H681" s="9"/>
    </row>
    <row r="682" spans="5:8" ht="15.75" customHeight="1">
      <c r="E682" s="9"/>
      <c r="F682" s="9"/>
      <c r="G682" s="9"/>
      <c r="H682" s="9"/>
    </row>
    <row r="683" spans="5:8" ht="15.75" customHeight="1">
      <c r="E683" s="9"/>
      <c r="F683" s="9"/>
      <c r="G683" s="9"/>
      <c r="H683" s="9"/>
    </row>
    <row r="684" spans="5:8" ht="15.75" customHeight="1">
      <c r="E684" s="9"/>
      <c r="F684" s="9"/>
      <c r="G684" s="9"/>
      <c r="H684" s="9"/>
    </row>
    <row r="685" spans="5:8" ht="15.75" customHeight="1">
      <c r="E685" s="9"/>
      <c r="F685" s="9"/>
      <c r="G685" s="9"/>
      <c r="H685" s="9"/>
    </row>
    <row r="686" spans="5:8" ht="15.75" customHeight="1">
      <c r="E686" s="9"/>
      <c r="F686" s="9"/>
      <c r="G686" s="9"/>
      <c r="H686" s="9"/>
    </row>
    <row r="687" spans="5:8" ht="15.75" customHeight="1">
      <c r="E687" s="9"/>
      <c r="F687" s="9"/>
      <c r="G687" s="9"/>
      <c r="H687" s="9"/>
    </row>
    <row r="688" spans="5:8" ht="15.75" customHeight="1">
      <c r="E688" s="9"/>
      <c r="F688" s="9"/>
      <c r="G688" s="9"/>
      <c r="H688" s="9"/>
    </row>
    <row r="689" spans="5:8" ht="15.75" customHeight="1">
      <c r="E689" s="9"/>
      <c r="F689" s="9"/>
      <c r="G689" s="9"/>
      <c r="H689" s="9"/>
    </row>
    <row r="690" spans="5:8" ht="15.75" customHeight="1">
      <c r="E690" s="9"/>
      <c r="F690" s="9"/>
      <c r="G690" s="9"/>
      <c r="H690" s="9"/>
    </row>
    <row r="691" spans="5:8" ht="15.75" customHeight="1">
      <c r="E691" s="9"/>
      <c r="F691" s="9"/>
      <c r="G691" s="9"/>
      <c r="H691" s="9"/>
    </row>
    <row r="692" spans="5:8" ht="15.75" customHeight="1">
      <c r="E692" s="9"/>
      <c r="F692" s="9"/>
      <c r="G692" s="9"/>
      <c r="H692" s="9"/>
    </row>
    <row r="693" spans="5:8" ht="15.75" customHeight="1">
      <c r="E693" s="9"/>
      <c r="F693" s="9"/>
      <c r="G693" s="9"/>
      <c r="H693" s="9"/>
    </row>
    <row r="694" spans="5:8" ht="15.75" customHeight="1">
      <c r="E694" s="9"/>
      <c r="F694" s="9"/>
      <c r="G694" s="9"/>
      <c r="H694" s="9"/>
    </row>
    <row r="695" spans="5:8" ht="15.75" customHeight="1">
      <c r="E695" s="9"/>
      <c r="F695" s="9"/>
      <c r="G695" s="9"/>
      <c r="H695" s="9"/>
    </row>
    <row r="696" spans="5:8" ht="15.75" customHeight="1">
      <c r="E696" s="9"/>
      <c r="F696" s="9"/>
      <c r="G696" s="9"/>
      <c r="H696" s="9"/>
    </row>
    <row r="697" spans="5:8" ht="15.75" customHeight="1">
      <c r="E697" s="9"/>
      <c r="F697" s="9"/>
      <c r="G697" s="9"/>
      <c r="H697" s="9"/>
    </row>
    <row r="698" spans="5:8" ht="15.75" customHeight="1">
      <c r="E698" s="9"/>
      <c r="F698" s="9"/>
      <c r="G698" s="9"/>
      <c r="H698" s="9"/>
    </row>
    <row r="699" spans="5:8" ht="15.75" customHeight="1">
      <c r="E699" s="9"/>
      <c r="F699" s="9"/>
      <c r="G699" s="9"/>
      <c r="H699" s="9"/>
    </row>
    <row r="700" spans="5:8" ht="15.75" customHeight="1">
      <c r="E700" s="9"/>
      <c r="F700" s="9"/>
      <c r="G700" s="9"/>
      <c r="H700" s="9"/>
    </row>
    <row r="701" spans="5:8" ht="15.75" customHeight="1">
      <c r="E701" s="9"/>
      <c r="F701" s="9"/>
      <c r="G701" s="9"/>
      <c r="H701" s="9"/>
    </row>
    <row r="702" spans="5:8" ht="15.75" customHeight="1">
      <c r="E702" s="9"/>
      <c r="F702" s="9"/>
      <c r="G702" s="9"/>
      <c r="H702" s="9"/>
    </row>
    <row r="703" spans="5:8" ht="15.75" customHeight="1">
      <c r="E703" s="9"/>
      <c r="F703" s="9"/>
      <c r="G703" s="9"/>
      <c r="H703" s="9"/>
    </row>
    <row r="704" spans="5:8" ht="15.75" customHeight="1">
      <c r="E704" s="9"/>
      <c r="F704" s="9"/>
      <c r="G704" s="9"/>
      <c r="H704" s="9"/>
    </row>
    <row r="705" spans="5:8" ht="15.75" customHeight="1">
      <c r="E705" s="9"/>
      <c r="F705" s="9"/>
      <c r="G705" s="9"/>
      <c r="H705" s="9"/>
    </row>
    <row r="706" spans="5:8" ht="15.75" customHeight="1">
      <c r="E706" s="9"/>
      <c r="F706" s="9"/>
      <c r="G706" s="9"/>
      <c r="H706" s="9"/>
    </row>
    <row r="707" spans="5:8" ht="15.75" customHeight="1">
      <c r="E707" s="9"/>
      <c r="F707" s="9"/>
      <c r="G707" s="9"/>
      <c r="H707" s="9"/>
    </row>
    <row r="708" spans="5:8" ht="15.75" customHeight="1">
      <c r="E708" s="9"/>
      <c r="F708" s="9"/>
      <c r="G708" s="9"/>
      <c r="H708" s="9"/>
    </row>
    <row r="709" spans="5:8" ht="15.75" customHeight="1">
      <c r="E709" s="9"/>
      <c r="F709" s="9"/>
      <c r="G709" s="9"/>
      <c r="H709" s="9"/>
    </row>
    <row r="710" spans="5:8" ht="15.75" customHeight="1">
      <c r="E710" s="9"/>
      <c r="F710" s="9"/>
      <c r="G710" s="9"/>
      <c r="H710" s="9"/>
    </row>
    <row r="711" spans="5:8" ht="15.75" customHeight="1">
      <c r="E711" s="9"/>
      <c r="F711" s="9"/>
      <c r="G711" s="9"/>
      <c r="H711" s="9"/>
    </row>
    <row r="712" spans="5:8" ht="15.75" customHeight="1">
      <c r="E712" s="9"/>
      <c r="F712" s="9"/>
      <c r="G712" s="9"/>
      <c r="H712" s="9"/>
    </row>
    <row r="713" spans="5:8" ht="15.75" customHeight="1">
      <c r="E713" s="9"/>
      <c r="F713" s="9"/>
      <c r="G713" s="9"/>
      <c r="H713" s="9"/>
    </row>
    <row r="714" spans="5:8" ht="15.75" customHeight="1">
      <c r="E714" s="9"/>
      <c r="F714" s="9"/>
      <c r="G714" s="9"/>
      <c r="H714" s="9"/>
    </row>
    <row r="715" spans="5:8" ht="15.75" customHeight="1">
      <c r="E715" s="9"/>
      <c r="F715" s="9"/>
      <c r="G715" s="9"/>
      <c r="H715" s="9"/>
    </row>
    <row r="716" spans="5:8" ht="15.75" customHeight="1">
      <c r="E716" s="9"/>
      <c r="F716" s="9"/>
      <c r="G716" s="9"/>
      <c r="H716" s="9"/>
    </row>
    <row r="717" spans="5:8" ht="15.75" customHeight="1">
      <c r="E717" s="9"/>
      <c r="F717" s="9"/>
      <c r="G717" s="9"/>
      <c r="H717" s="9"/>
    </row>
    <row r="718" spans="5:8" ht="15.75" customHeight="1">
      <c r="E718" s="9"/>
      <c r="F718" s="9"/>
      <c r="G718" s="9"/>
      <c r="H718" s="9"/>
    </row>
    <row r="719" spans="5:8" ht="15.75" customHeight="1">
      <c r="E719" s="9"/>
      <c r="F719" s="9"/>
      <c r="G719" s="9"/>
      <c r="H719" s="9"/>
    </row>
    <row r="720" spans="5:8" ht="15.75" customHeight="1">
      <c r="E720" s="9"/>
      <c r="F720" s="9"/>
      <c r="G720" s="9"/>
      <c r="H720" s="9"/>
    </row>
    <row r="721" spans="5:8" ht="15.75" customHeight="1">
      <c r="E721" s="9"/>
      <c r="F721" s="9"/>
      <c r="G721" s="9"/>
      <c r="H721" s="9"/>
    </row>
    <row r="722" spans="5:8" ht="15.75" customHeight="1">
      <c r="E722" s="9"/>
      <c r="F722" s="9"/>
      <c r="G722" s="9"/>
      <c r="H722" s="9"/>
    </row>
    <row r="723" spans="5:8" ht="15.75" customHeight="1">
      <c r="E723" s="9"/>
      <c r="F723" s="9"/>
      <c r="G723" s="9"/>
      <c r="H723" s="9"/>
    </row>
    <row r="724" spans="5:8" ht="15.75" customHeight="1">
      <c r="E724" s="9"/>
      <c r="F724" s="9"/>
      <c r="G724" s="9"/>
      <c r="H724" s="9"/>
    </row>
    <row r="725" spans="5:8" ht="15.75" customHeight="1">
      <c r="E725" s="9"/>
      <c r="F725" s="9"/>
      <c r="G725" s="9"/>
      <c r="H725" s="9"/>
    </row>
    <row r="726" spans="5:8" ht="15.75" customHeight="1">
      <c r="E726" s="9"/>
      <c r="F726" s="9"/>
      <c r="G726" s="9"/>
      <c r="H726" s="9"/>
    </row>
    <row r="727" spans="5:8" ht="15.75" customHeight="1">
      <c r="E727" s="9"/>
      <c r="F727" s="9"/>
      <c r="G727" s="9"/>
      <c r="H727" s="9"/>
    </row>
    <row r="728" spans="5:8" ht="15.75" customHeight="1">
      <c r="E728" s="9"/>
      <c r="F728" s="9"/>
      <c r="G728" s="9"/>
      <c r="H728" s="9"/>
    </row>
    <row r="729" spans="5:8" ht="15.75" customHeight="1">
      <c r="E729" s="9"/>
      <c r="F729" s="9"/>
      <c r="G729" s="9"/>
      <c r="H729" s="9"/>
    </row>
    <row r="730" spans="5:8" ht="15.75" customHeight="1">
      <c r="E730" s="9"/>
      <c r="F730" s="9"/>
      <c r="G730" s="9"/>
      <c r="H730" s="9"/>
    </row>
    <row r="731" spans="5:8" ht="15.75" customHeight="1">
      <c r="E731" s="9"/>
      <c r="F731" s="9"/>
      <c r="G731" s="9"/>
      <c r="H731" s="9"/>
    </row>
    <row r="732" spans="5:8" ht="15.75" customHeight="1">
      <c r="E732" s="9"/>
      <c r="F732" s="9"/>
      <c r="G732" s="9"/>
      <c r="H732" s="9"/>
    </row>
    <row r="733" spans="5:8" ht="15.75" customHeight="1">
      <c r="E733" s="9"/>
      <c r="F733" s="9"/>
      <c r="G733" s="9"/>
      <c r="H733" s="9"/>
    </row>
    <row r="734" spans="5:8" ht="15.75" customHeight="1">
      <c r="E734" s="9"/>
      <c r="F734" s="9"/>
      <c r="G734" s="9"/>
      <c r="H734" s="9"/>
    </row>
    <row r="735" spans="5:8" ht="15.75" customHeight="1">
      <c r="E735" s="9"/>
      <c r="F735" s="9"/>
      <c r="G735" s="9"/>
      <c r="H735" s="9"/>
    </row>
    <row r="736" spans="5:8" ht="15.75" customHeight="1">
      <c r="E736" s="9"/>
      <c r="F736" s="9"/>
      <c r="G736" s="9"/>
      <c r="H736" s="9"/>
    </row>
    <row r="737" spans="5:8" ht="15.75" customHeight="1">
      <c r="E737" s="9"/>
      <c r="F737" s="9"/>
      <c r="G737" s="9"/>
      <c r="H737" s="9"/>
    </row>
    <row r="738" spans="5:8" ht="15.75" customHeight="1">
      <c r="E738" s="9"/>
      <c r="F738" s="9"/>
      <c r="G738" s="9"/>
      <c r="H738" s="9"/>
    </row>
    <row r="739" spans="5:8" ht="15.75" customHeight="1">
      <c r="E739" s="9"/>
      <c r="F739" s="9"/>
      <c r="G739" s="9"/>
      <c r="H739" s="9"/>
    </row>
    <row r="740" spans="5:8" ht="15.75" customHeight="1">
      <c r="E740" s="9"/>
      <c r="F740" s="9"/>
      <c r="G740" s="9"/>
      <c r="H740" s="9"/>
    </row>
    <row r="741" spans="5:8" ht="15.75" customHeight="1">
      <c r="E741" s="9"/>
      <c r="F741" s="9"/>
      <c r="G741" s="9"/>
      <c r="H741" s="9"/>
    </row>
    <row r="742" spans="5:8" ht="15.75" customHeight="1">
      <c r="E742" s="9"/>
      <c r="F742" s="9"/>
      <c r="G742" s="9"/>
      <c r="H742" s="9"/>
    </row>
    <row r="743" spans="5:8" ht="15.75" customHeight="1">
      <c r="E743" s="9"/>
      <c r="F743" s="9"/>
      <c r="G743" s="9"/>
      <c r="H743" s="9"/>
    </row>
    <row r="744" spans="5:8" ht="15.75" customHeight="1">
      <c r="E744" s="9"/>
      <c r="F744" s="9"/>
      <c r="G744" s="9"/>
      <c r="H744" s="9"/>
    </row>
    <row r="745" spans="5:8" ht="15.75" customHeight="1">
      <c r="E745" s="9"/>
      <c r="F745" s="9"/>
      <c r="G745" s="9"/>
      <c r="H745" s="9"/>
    </row>
    <row r="746" spans="5:8" ht="15.75" customHeight="1">
      <c r="E746" s="9"/>
      <c r="F746" s="9"/>
      <c r="G746" s="9"/>
      <c r="H746" s="9"/>
    </row>
    <row r="747" spans="5:8" ht="15.75" customHeight="1">
      <c r="E747" s="9"/>
      <c r="F747" s="9"/>
      <c r="G747" s="9"/>
      <c r="H747" s="9"/>
    </row>
    <row r="748" spans="5:8" ht="15.75" customHeight="1">
      <c r="E748" s="9"/>
      <c r="F748" s="9"/>
      <c r="G748" s="9"/>
      <c r="H748" s="9"/>
    </row>
    <row r="749" spans="5:8" ht="15.75" customHeight="1">
      <c r="E749" s="9"/>
      <c r="F749" s="9"/>
      <c r="G749" s="9"/>
      <c r="H749" s="9"/>
    </row>
    <row r="750" spans="5:8" ht="15.75" customHeight="1">
      <c r="E750" s="9"/>
      <c r="F750" s="9"/>
      <c r="G750" s="9"/>
      <c r="H750" s="9"/>
    </row>
    <row r="751" spans="5:8" ht="15.75" customHeight="1">
      <c r="E751" s="9"/>
      <c r="F751" s="9"/>
      <c r="G751" s="9"/>
      <c r="H751" s="9"/>
    </row>
    <row r="752" spans="5:8" ht="15.75" customHeight="1">
      <c r="E752" s="9"/>
      <c r="F752" s="9"/>
      <c r="G752" s="9"/>
      <c r="H752" s="9"/>
    </row>
    <row r="753" spans="5:8" ht="15.75" customHeight="1">
      <c r="E753" s="9"/>
      <c r="F753" s="9"/>
      <c r="G753" s="9"/>
      <c r="H753" s="9"/>
    </row>
    <row r="754" spans="5:8" ht="15.75" customHeight="1">
      <c r="E754" s="9"/>
      <c r="F754" s="9"/>
      <c r="G754" s="9"/>
      <c r="H754" s="9"/>
    </row>
    <row r="755" spans="5:8" ht="15.75" customHeight="1">
      <c r="E755" s="9"/>
      <c r="F755" s="9"/>
      <c r="G755" s="9"/>
      <c r="H755" s="9"/>
    </row>
    <row r="756" spans="5:8" ht="15.75" customHeight="1">
      <c r="E756" s="9"/>
      <c r="F756" s="9"/>
      <c r="G756" s="9"/>
      <c r="H756" s="9"/>
    </row>
    <row r="757" spans="5:8" ht="15.75" customHeight="1">
      <c r="E757" s="9"/>
      <c r="F757" s="9"/>
      <c r="G757" s="9"/>
      <c r="H757" s="9"/>
    </row>
    <row r="758" spans="5:8" ht="15.75" customHeight="1">
      <c r="E758" s="9"/>
      <c r="F758" s="9"/>
      <c r="G758" s="9"/>
      <c r="H758" s="9"/>
    </row>
    <row r="759" spans="5:8" ht="15.75" customHeight="1">
      <c r="E759" s="9"/>
      <c r="F759" s="9"/>
      <c r="G759" s="9"/>
      <c r="H759" s="9"/>
    </row>
    <row r="760" spans="5:8" ht="15.75" customHeight="1">
      <c r="E760" s="9"/>
      <c r="F760" s="9"/>
      <c r="G760" s="9"/>
      <c r="H760" s="9"/>
    </row>
    <row r="761" spans="5:8" ht="15.75" customHeight="1">
      <c r="E761" s="9"/>
      <c r="F761" s="9"/>
      <c r="G761" s="9"/>
      <c r="H761" s="9"/>
    </row>
    <row r="762" spans="5:8" ht="15.75" customHeight="1">
      <c r="E762" s="9"/>
      <c r="F762" s="9"/>
      <c r="G762" s="9"/>
      <c r="H762" s="9"/>
    </row>
    <row r="763" spans="5:8" ht="15.75" customHeight="1">
      <c r="E763" s="9"/>
      <c r="F763" s="9"/>
      <c r="G763" s="9"/>
      <c r="H763" s="9"/>
    </row>
    <row r="764" spans="5:8" ht="15.75" customHeight="1">
      <c r="E764" s="9"/>
      <c r="F764" s="9"/>
      <c r="G764" s="9"/>
      <c r="H764" s="9"/>
    </row>
    <row r="765" spans="5:8" ht="15.75" customHeight="1">
      <c r="E765" s="9"/>
      <c r="F765" s="9"/>
      <c r="G765" s="9"/>
      <c r="H765" s="9"/>
    </row>
    <row r="766" spans="5:8" ht="15.75" customHeight="1">
      <c r="E766" s="9"/>
      <c r="F766" s="9"/>
      <c r="G766" s="9"/>
      <c r="H766" s="9"/>
    </row>
    <row r="767" spans="5:8" ht="15.75" customHeight="1">
      <c r="E767" s="9"/>
      <c r="F767" s="9"/>
      <c r="G767" s="9"/>
      <c r="H767" s="9"/>
    </row>
    <row r="768" spans="5:8" ht="15.75" customHeight="1">
      <c r="E768" s="9"/>
      <c r="F768" s="9"/>
      <c r="G768" s="9"/>
      <c r="H768" s="9"/>
    </row>
    <row r="769" spans="5:8" ht="15.75" customHeight="1">
      <c r="E769" s="9"/>
      <c r="F769" s="9"/>
      <c r="G769" s="9"/>
      <c r="H769" s="9"/>
    </row>
    <row r="770" spans="5:8" ht="15.75" customHeight="1">
      <c r="E770" s="9"/>
      <c r="F770" s="9"/>
      <c r="G770" s="9"/>
      <c r="H770" s="9"/>
    </row>
    <row r="771" spans="5:8" ht="15.75" customHeight="1">
      <c r="E771" s="9"/>
      <c r="F771" s="9"/>
      <c r="G771" s="9"/>
      <c r="H771" s="9"/>
    </row>
    <row r="772" spans="5:8" ht="15.75" customHeight="1">
      <c r="E772" s="9"/>
      <c r="F772" s="9"/>
      <c r="G772" s="9"/>
      <c r="H772" s="9"/>
    </row>
    <row r="773" spans="5:8" ht="15.75" customHeight="1">
      <c r="E773" s="9"/>
      <c r="F773" s="9"/>
      <c r="G773" s="9"/>
      <c r="H773" s="9"/>
    </row>
    <row r="774" spans="5:8" ht="15.75" customHeight="1">
      <c r="E774" s="9"/>
      <c r="F774" s="9"/>
      <c r="G774" s="9"/>
      <c r="H774" s="9"/>
    </row>
    <row r="775" spans="5:8" ht="15.75" customHeight="1">
      <c r="E775" s="9"/>
      <c r="F775" s="9"/>
      <c r="G775" s="9"/>
      <c r="H775" s="9"/>
    </row>
    <row r="776" spans="5:8" ht="15.75" customHeight="1">
      <c r="E776" s="9"/>
      <c r="F776" s="9"/>
      <c r="G776" s="9"/>
      <c r="H776" s="9"/>
    </row>
    <row r="777" spans="5:8" ht="15.75" customHeight="1">
      <c r="E777" s="9"/>
      <c r="F777" s="9"/>
      <c r="G777" s="9"/>
      <c r="H777" s="9"/>
    </row>
    <row r="778" spans="5:8" ht="15.75" customHeight="1">
      <c r="E778" s="9"/>
      <c r="F778" s="9"/>
      <c r="G778" s="9"/>
      <c r="H778" s="9"/>
    </row>
    <row r="779" spans="5:8" ht="15.75" customHeight="1">
      <c r="E779" s="9"/>
      <c r="F779" s="9"/>
      <c r="G779" s="9"/>
      <c r="H779" s="9"/>
    </row>
    <row r="780" spans="5:8" ht="15.75" customHeight="1">
      <c r="E780" s="9"/>
      <c r="F780" s="9"/>
      <c r="G780" s="9"/>
      <c r="H780" s="9"/>
    </row>
    <row r="781" spans="5:8" ht="15.75" customHeight="1">
      <c r="E781" s="9"/>
      <c r="F781" s="9"/>
      <c r="G781" s="9"/>
      <c r="H781" s="9"/>
    </row>
    <row r="782" spans="5:8" ht="15.75" customHeight="1">
      <c r="E782" s="9"/>
      <c r="F782" s="9"/>
      <c r="G782" s="9"/>
      <c r="H782" s="9"/>
    </row>
    <row r="783" spans="5:8" ht="15.75" customHeight="1">
      <c r="E783" s="9"/>
      <c r="F783" s="9"/>
      <c r="G783" s="9"/>
      <c r="H783" s="9"/>
    </row>
    <row r="784" spans="5:8" ht="15.75" customHeight="1">
      <c r="E784" s="9"/>
      <c r="F784" s="9"/>
      <c r="G784" s="9"/>
      <c r="H784" s="9"/>
    </row>
    <row r="785" spans="5:8" ht="15.75" customHeight="1">
      <c r="E785" s="9"/>
      <c r="F785" s="9"/>
      <c r="G785" s="9"/>
      <c r="H785" s="9"/>
    </row>
    <row r="786" spans="5:8" ht="15.75" customHeight="1">
      <c r="E786" s="9"/>
      <c r="F786" s="9"/>
      <c r="G786" s="9"/>
      <c r="H786" s="9"/>
    </row>
    <row r="787" spans="5:8" ht="15.75" customHeight="1">
      <c r="E787" s="9"/>
      <c r="F787" s="9"/>
      <c r="G787" s="9"/>
      <c r="H787" s="9"/>
    </row>
    <row r="788" spans="5:8" ht="15.75" customHeight="1">
      <c r="E788" s="9"/>
      <c r="F788" s="9"/>
      <c r="G788" s="9"/>
      <c r="H788" s="9"/>
    </row>
    <row r="789" spans="5:8" ht="15.75" customHeight="1">
      <c r="E789" s="9"/>
      <c r="F789" s="9"/>
      <c r="G789" s="9"/>
      <c r="H789" s="9"/>
    </row>
    <row r="790" spans="5:8" ht="15.75" customHeight="1">
      <c r="E790" s="9"/>
      <c r="F790" s="9"/>
      <c r="G790" s="9"/>
      <c r="H790" s="9"/>
    </row>
    <row r="791" spans="5:8" ht="15.75" customHeight="1">
      <c r="E791" s="9"/>
      <c r="F791" s="9"/>
      <c r="G791" s="9"/>
      <c r="H791" s="9"/>
    </row>
    <row r="792" spans="5:8" ht="15.75" customHeight="1">
      <c r="E792" s="9"/>
      <c r="F792" s="9"/>
      <c r="G792" s="9"/>
      <c r="H792" s="9"/>
    </row>
    <row r="793" spans="5:8" ht="15.75" customHeight="1">
      <c r="E793" s="9"/>
      <c r="F793" s="9"/>
      <c r="G793" s="9"/>
      <c r="H793" s="9"/>
    </row>
    <row r="794" spans="5:8" ht="15.75" customHeight="1">
      <c r="E794" s="9"/>
      <c r="F794" s="9"/>
      <c r="G794" s="9"/>
      <c r="H794" s="9"/>
    </row>
    <row r="795" spans="5:8" ht="15.75" customHeight="1">
      <c r="E795" s="9"/>
      <c r="F795" s="9"/>
      <c r="G795" s="9"/>
      <c r="H795" s="9"/>
    </row>
    <row r="796" spans="5:8" ht="15.75" customHeight="1">
      <c r="E796" s="9"/>
      <c r="F796" s="9"/>
      <c r="G796" s="9"/>
      <c r="H796" s="9"/>
    </row>
    <row r="797" spans="5:8" ht="15.75" customHeight="1">
      <c r="E797" s="9"/>
      <c r="F797" s="9"/>
      <c r="G797" s="9"/>
      <c r="H797" s="9"/>
    </row>
    <row r="798" spans="5:8" ht="15.75" customHeight="1">
      <c r="E798" s="9"/>
      <c r="F798" s="9"/>
      <c r="G798" s="9"/>
      <c r="H798" s="9"/>
    </row>
    <row r="799" spans="5:8" ht="15.75" customHeight="1">
      <c r="E799" s="9"/>
      <c r="F799" s="9"/>
      <c r="G799" s="9"/>
      <c r="H799" s="9"/>
    </row>
    <row r="800" spans="5:8" ht="15.75" customHeight="1">
      <c r="E800" s="9"/>
      <c r="F800" s="9"/>
      <c r="G800" s="9"/>
      <c r="H800" s="9"/>
    </row>
    <row r="801" spans="5:8" ht="15.75" customHeight="1">
      <c r="E801" s="9"/>
      <c r="F801" s="9"/>
      <c r="G801" s="9"/>
      <c r="H801" s="9"/>
    </row>
    <row r="802" spans="5:8" ht="15.75" customHeight="1">
      <c r="E802" s="9"/>
      <c r="F802" s="9"/>
      <c r="G802" s="9"/>
      <c r="H802" s="9"/>
    </row>
    <row r="803" spans="5:8" ht="15.75" customHeight="1">
      <c r="E803" s="9"/>
      <c r="F803" s="9"/>
      <c r="G803" s="9"/>
      <c r="H803" s="9"/>
    </row>
    <row r="804" spans="5:8" ht="15.75" customHeight="1">
      <c r="E804" s="9"/>
      <c r="F804" s="9"/>
      <c r="G804" s="9"/>
      <c r="H804" s="9"/>
    </row>
    <row r="805" spans="5:8" ht="15.75" customHeight="1">
      <c r="E805" s="9"/>
      <c r="F805" s="9"/>
      <c r="G805" s="9"/>
      <c r="H805" s="9"/>
    </row>
    <row r="806" spans="5:8" ht="15.75" customHeight="1">
      <c r="E806" s="9"/>
      <c r="F806" s="9"/>
      <c r="G806" s="9"/>
      <c r="H806" s="9"/>
    </row>
    <row r="807" spans="5:8" ht="15.75" customHeight="1">
      <c r="E807" s="9"/>
      <c r="F807" s="9"/>
      <c r="G807" s="9"/>
      <c r="H807" s="9"/>
    </row>
    <row r="808" spans="5:8" ht="15.75" customHeight="1">
      <c r="E808" s="9"/>
      <c r="F808" s="9"/>
      <c r="G808" s="9"/>
      <c r="H808" s="9"/>
    </row>
    <row r="809" spans="5:8" ht="15.75" customHeight="1">
      <c r="E809" s="9"/>
      <c r="F809" s="9"/>
      <c r="G809" s="9"/>
      <c r="H809" s="9"/>
    </row>
    <row r="810" spans="5:8" ht="15.75" customHeight="1">
      <c r="E810" s="9"/>
      <c r="F810" s="9"/>
      <c r="G810" s="9"/>
      <c r="H810" s="9"/>
    </row>
    <row r="811" spans="5:8" ht="15.75" customHeight="1">
      <c r="E811" s="9"/>
      <c r="F811" s="9"/>
      <c r="G811" s="9"/>
      <c r="H811" s="9"/>
    </row>
    <row r="812" spans="5:8" ht="15.75" customHeight="1">
      <c r="E812" s="9"/>
      <c r="F812" s="9"/>
      <c r="G812" s="9"/>
      <c r="H812" s="9"/>
    </row>
    <row r="813" spans="5:8" ht="15.75" customHeight="1">
      <c r="E813" s="9"/>
      <c r="F813" s="9"/>
      <c r="G813" s="9"/>
      <c r="H813" s="9"/>
    </row>
    <row r="814" spans="5:8" ht="15.75" customHeight="1">
      <c r="E814" s="9"/>
      <c r="F814" s="9"/>
      <c r="G814" s="9"/>
      <c r="H814" s="9"/>
    </row>
    <row r="815" spans="5:8" ht="15.75" customHeight="1">
      <c r="E815" s="9"/>
      <c r="F815" s="9"/>
      <c r="G815" s="9"/>
      <c r="H815" s="9"/>
    </row>
    <row r="816" spans="5:8" ht="15.75" customHeight="1">
      <c r="E816" s="9"/>
      <c r="F816" s="9"/>
      <c r="G816" s="9"/>
      <c r="H816" s="9"/>
    </row>
    <row r="817" spans="5:8" ht="15.75" customHeight="1">
      <c r="E817" s="9"/>
      <c r="F817" s="9"/>
      <c r="G817" s="9"/>
      <c r="H817" s="9"/>
    </row>
    <row r="818" spans="5:8" ht="15.75" customHeight="1">
      <c r="E818" s="9"/>
      <c r="F818" s="9"/>
      <c r="G818" s="9"/>
      <c r="H818" s="9"/>
    </row>
    <row r="819" spans="5:8" ht="15.75" customHeight="1">
      <c r="E819" s="9"/>
      <c r="F819" s="9"/>
      <c r="G819" s="9"/>
      <c r="H819" s="9"/>
    </row>
    <row r="820" spans="5:8" ht="15.75" customHeight="1">
      <c r="E820" s="9"/>
      <c r="F820" s="9"/>
      <c r="G820" s="9"/>
      <c r="H820" s="9"/>
    </row>
    <row r="821" spans="5:8" ht="15.75" customHeight="1">
      <c r="E821" s="9"/>
      <c r="F821" s="9"/>
      <c r="G821" s="9"/>
      <c r="H821" s="9"/>
    </row>
    <row r="822" spans="5:8" ht="15.75" customHeight="1">
      <c r="E822" s="9"/>
      <c r="F822" s="9"/>
      <c r="G822" s="9"/>
      <c r="H822" s="9"/>
    </row>
    <row r="823" spans="5:8" ht="15.75" customHeight="1">
      <c r="E823" s="9"/>
      <c r="F823" s="9"/>
      <c r="G823" s="9"/>
      <c r="H823" s="9"/>
    </row>
    <row r="824" spans="5:8" ht="15.75" customHeight="1">
      <c r="E824" s="9"/>
      <c r="F824" s="9"/>
      <c r="G824" s="9"/>
      <c r="H824" s="9"/>
    </row>
    <row r="825" spans="5:8" ht="15.75" customHeight="1">
      <c r="E825" s="9"/>
      <c r="F825" s="9"/>
      <c r="G825" s="9"/>
      <c r="H825" s="9"/>
    </row>
    <row r="826" spans="5:8" ht="15.75" customHeight="1">
      <c r="E826" s="9"/>
      <c r="F826" s="9"/>
      <c r="G826" s="9"/>
      <c r="H826" s="9"/>
    </row>
    <row r="827" spans="5:8" ht="15.75" customHeight="1">
      <c r="E827" s="9"/>
      <c r="F827" s="9"/>
      <c r="G827" s="9"/>
      <c r="H827" s="9"/>
    </row>
    <row r="828" spans="5:8" ht="15.75" customHeight="1">
      <c r="E828" s="9"/>
      <c r="F828" s="9"/>
      <c r="G828" s="9"/>
      <c r="H828" s="9"/>
    </row>
    <row r="829" spans="5:8" ht="15.75" customHeight="1">
      <c r="E829" s="9"/>
      <c r="F829" s="9"/>
      <c r="G829" s="9"/>
      <c r="H829" s="9"/>
    </row>
    <row r="830" spans="5:8" ht="15.75" customHeight="1">
      <c r="E830" s="9"/>
      <c r="F830" s="9"/>
      <c r="G830" s="9"/>
      <c r="H830" s="9"/>
    </row>
    <row r="831" spans="5:8" ht="15.75" customHeight="1">
      <c r="E831" s="9"/>
      <c r="F831" s="9"/>
      <c r="G831" s="9"/>
      <c r="H831" s="9"/>
    </row>
    <row r="832" spans="5:8" ht="15.75" customHeight="1">
      <c r="E832" s="9"/>
      <c r="F832" s="9"/>
      <c r="G832" s="9"/>
      <c r="H832" s="9"/>
    </row>
    <row r="833" spans="5:8" ht="15.75" customHeight="1">
      <c r="E833" s="9"/>
      <c r="F833" s="9"/>
      <c r="G833" s="9"/>
      <c r="H833" s="9"/>
    </row>
    <row r="834" spans="5:8" ht="15.75" customHeight="1">
      <c r="E834" s="9"/>
      <c r="F834" s="9"/>
      <c r="G834" s="9"/>
      <c r="H834" s="9"/>
    </row>
    <row r="835" spans="5:8" ht="15.75" customHeight="1">
      <c r="E835" s="9"/>
      <c r="F835" s="9"/>
      <c r="G835" s="9"/>
      <c r="H835" s="9"/>
    </row>
    <row r="836" spans="5:8" ht="15.75" customHeight="1">
      <c r="E836" s="9"/>
      <c r="F836" s="9"/>
      <c r="G836" s="9"/>
      <c r="H836" s="9"/>
    </row>
    <row r="837" spans="5:8" ht="15.75" customHeight="1">
      <c r="E837" s="9"/>
      <c r="F837" s="9"/>
      <c r="G837" s="9"/>
      <c r="H837" s="9"/>
    </row>
    <row r="838" spans="5:8" ht="15.75" customHeight="1">
      <c r="E838" s="9"/>
      <c r="F838" s="9"/>
      <c r="G838" s="9"/>
      <c r="H838" s="9"/>
    </row>
    <row r="839" spans="5:8" ht="15.75" customHeight="1">
      <c r="E839" s="9"/>
      <c r="F839" s="9"/>
      <c r="G839" s="9"/>
      <c r="H839" s="9"/>
    </row>
    <row r="840" spans="5:8" ht="15.75" customHeight="1">
      <c r="E840" s="9"/>
      <c r="F840" s="9"/>
      <c r="G840" s="9"/>
      <c r="H840" s="9"/>
    </row>
    <row r="841" spans="5:8" ht="15.75" customHeight="1">
      <c r="E841" s="9"/>
      <c r="F841" s="9"/>
      <c r="G841" s="9"/>
      <c r="H841" s="9"/>
    </row>
    <row r="842" spans="5:8" ht="15.75" customHeight="1">
      <c r="E842" s="9"/>
      <c r="F842" s="9"/>
      <c r="G842" s="9"/>
      <c r="H842" s="9"/>
    </row>
    <row r="843" spans="5:8" ht="15.75" customHeight="1">
      <c r="E843" s="9"/>
      <c r="F843" s="9"/>
      <c r="G843" s="9"/>
      <c r="H843" s="9"/>
    </row>
    <row r="844" spans="5:8" ht="15.75" customHeight="1">
      <c r="E844" s="9"/>
      <c r="F844" s="9"/>
      <c r="G844" s="9"/>
      <c r="H844" s="9"/>
    </row>
    <row r="845" spans="5:8" ht="15.75" customHeight="1">
      <c r="E845" s="9"/>
      <c r="F845" s="9"/>
      <c r="G845" s="9"/>
      <c r="H845" s="9"/>
    </row>
    <row r="846" spans="5:8" ht="15.75" customHeight="1">
      <c r="E846" s="9"/>
      <c r="F846" s="9"/>
      <c r="G846" s="9"/>
      <c r="H846" s="9"/>
    </row>
    <row r="847" spans="5:8" ht="15.75" customHeight="1">
      <c r="E847" s="9"/>
      <c r="F847" s="9"/>
      <c r="G847" s="9"/>
      <c r="H847" s="9"/>
    </row>
    <row r="848" spans="5:8" ht="15.75" customHeight="1">
      <c r="E848" s="9"/>
      <c r="F848" s="9"/>
      <c r="G848" s="9"/>
      <c r="H848" s="9"/>
    </row>
    <row r="849" spans="5:8" ht="15.75" customHeight="1">
      <c r="E849" s="9"/>
      <c r="F849" s="9"/>
      <c r="G849" s="9"/>
      <c r="H849" s="9"/>
    </row>
    <row r="850" spans="5:8" ht="15.75" customHeight="1">
      <c r="E850" s="9"/>
      <c r="F850" s="9"/>
      <c r="G850" s="9"/>
      <c r="H850" s="9"/>
    </row>
    <row r="851" spans="5:8" ht="15.75" customHeight="1">
      <c r="E851" s="9"/>
      <c r="F851" s="9"/>
      <c r="G851" s="9"/>
      <c r="H851" s="9"/>
    </row>
    <row r="852" spans="5:8" ht="15.75" customHeight="1">
      <c r="E852" s="9"/>
      <c r="F852" s="9"/>
      <c r="G852" s="9"/>
      <c r="H852" s="9"/>
    </row>
    <row r="853" spans="5:8" ht="15.75" customHeight="1">
      <c r="E853" s="9"/>
      <c r="F853" s="9"/>
      <c r="G853" s="9"/>
      <c r="H853" s="9"/>
    </row>
    <row r="854" spans="5:8" ht="15.75" customHeight="1">
      <c r="E854" s="9"/>
      <c r="F854" s="9"/>
      <c r="G854" s="9"/>
      <c r="H854" s="9"/>
    </row>
    <row r="855" spans="5:8" ht="15.75" customHeight="1">
      <c r="E855" s="9"/>
      <c r="F855" s="9"/>
      <c r="G855" s="9"/>
      <c r="H855" s="9"/>
    </row>
    <row r="856" spans="5:8" ht="15.75" customHeight="1">
      <c r="E856" s="9"/>
      <c r="F856" s="9"/>
      <c r="G856" s="9"/>
      <c r="H856" s="9"/>
    </row>
    <row r="857" spans="5:8" ht="15.75" customHeight="1">
      <c r="E857" s="9"/>
      <c r="F857" s="9"/>
      <c r="G857" s="9"/>
      <c r="H857" s="9"/>
    </row>
    <row r="858" spans="5:8" ht="15.75" customHeight="1">
      <c r="E858" s="9"/>
      <c r="F858" s="9"/>
      <c r="G858" s="9"/>
      <c r="H858" s="9"/>
    </row>
    <row r="859" spans="5:8" ht="15.75" customHeight="1">
      <c r="E859" s="9"/>
      <c r="F859" s="9"/>
      <c r="G859" s="9"/>
      <c r="H859" s="9"/>
    </row>
    <row r="860" spans="5:8" ht="15.75" customHeight="1">
      <c r="E860" s="9"/>
      <c r="F860" s="9"/>
      <c r="G860" s="9"/>
      <c r="H860" s="9"/>
    </row>
    <row r="861" spans="5:8" ht="15.75" customHeight="1">
      <c r="E861" s="9"/>
      <c r="F861" s="9"/>
      <c r="G861" s="9"/>
      <c r="H861" s="9"/>
    </row>
    <row r="862" spans="5:8" ht="15.75" customHeight="1">
      <c r="E862" s="9"/>
      <c r="F862" s="9"/>
      <c r="G862" s="9"/>
      <c r="H862" s="9"/>
    </row>
    <row r="863" spans="5:8" ht="15.75" customHeight="1">
      <c r="E863" s="9"/>
      <c r="F863" s="9"/>
      <c r="G863" s="9"/>
      <c r="H863" s="9"/>
    </row>
    <row r="864" spans="5:8" ht="15.75" customHeight="1">
      <c r="E864" s="9"/>
      <c r="F864" s="9"/>
      <c r="G864" s="9"/>
      <c r="H864" s="9"/>
    </row>
    <row r="865" spans="5:8" ht="15.75" customHeight="1">
      <c r="E865" s="9"/>
      <c r="F865" s="9"/>
      <c r="G865" s="9"/>
      <c r="H865" s="9"/>
    </row>
    <row r="866" spans="5:8" ht="15.75" customHeight="1">
      <c r="E866" s="9"/>
      <c r="F866" s="9"/>
      <c r="G866" s="9"/>
      <c r="H866" s="9"/>
    </row>
    <row r="867" spans="5:8" ht="15.75" customHeight="1">
      <c r="E867" s="9"/>
      <c r="F867" s="9"/>
      <c r="G867" s="9"/>
      <c r="H867" s="9"/>
    </row>
    <row r="868" spans="5:8" ht="15.75" customHeight="1">
      <c r="E868" s="9"/>
      <c r="F868" s="9"/>
      <c r="G868" s="9"/>
      <c r="H868" s="9"/>
    </row>
    <row r="869" spans="5:8" ht="15.75" customHeight="1">
      <c r="E869" s="9"/>
      <c r="F869" s="9"/>
      <c r="G869" s="9"/>
      <c r="H869" s="9"/>
    </row>
    <row r="870" spans="5:8" ht="15.75" customHeight="1">
      <c r="E870" s="9"/>
      <c r="F870" s="9"/>
      <c r="G870" s="9"/>
      <c r="H870" s="9"/>
    </row>
    <row r="871" spans="5:8" ht="15.75" customHeight="1">
      <c r="E871" s="9"/>
      <c r="F871" s="9"/>
      <c r="G871" s="9"/>
      <c r="H871" s="9"/>
    </row>
    <row r="872" spans="5:8" ht="15.75" customHeight="1">
      <c r="E872" s="9"/>
      <c r="F872" s="9"/>
      <c r="G872" s="9"/>
      <c r="H872" s="9"/>
    </row>
    <row r="873" spans="5:8" ht="15.75" customHeight="1">
      <c r="E873" s="9"/>
      <c r="F873" s="9"/>
      <c r="G873" s="9"/>
      <c r="H873" s="9"/>
    </row>
    <row r="874" spans="5:8" ht="15.75" customHeight="1">
      <c r="E874" s="9"/>
      <c r="F874" s="9"/>
      <c r="G874" s="9"/>
      <c r="H874" s="9"/>
    </row>
    <row r="875" spans="5:8" ht="15.75" customHeight="1">
      <c r="E875" s="9"/>
      <c r="F875" s="9"/>
      <c r="G875" s="9"/>
      <c r="H875" s="9"/>
    </row>
    <row r="876" spans="5:8" ht="15.75" customHeight="1">
      <c r="E876" s="9"/>
      <c r="F876" s="9"/>
      <c r="G876" s="9"/>
      <c r="H876" s="9"/>
    </row>
    <row r="877" spans="5:8" ht="15.75" customHeight="1">
      <c r="E877" s="9"/>
      <c r="F877" s="9"/>
      <c r="G877" s="9"/>
      <c r="H877" s="9"/>
    </row>
    <row r="878" spans="5:8" ht="15.75" customHeight="1">
      <c r="E878" s="9"/>
      <c r="F878" s="9"/>
      <c r="G878" s="9"/>
      <c r="H878" s="9"/>
    </row>
    <row r="879" spans="5:8" ht="15.75" customHeight="1">
      <c r="E879" s="9"/>
      <c r="F879" s="9"/>
      <c r="G879" s="9"/>
      <c r="H879" s="9"/>
    </row>
    <row r="880" spans="5:8" ht="15.75" customHeight="1">
      <c r="E880" s="9"/>
      <c r="F880" s="9"/>
      <c r="G880" s="9"/>
      <c r="H880" s="9"/>
    </row>
    <row r="881" spans="5:8" ht="15.75" customHeight="1">
      <c r="E881" s="9"/>
      <c r="F881" s="9"/>
      <c r="G881" s="9"/>
      <c r="H881" s="9"/>
    </row>
    <row r="882" spans="5:8" ht="15.75" customHeight="1">
      <c r="E882" s="9"/>
      <c r="F882" s="9"/>
      <c r="G882" s="9"/>
      <c r="H882" s="9"/>
    </row>
    <row r="883" spans="5:8" ht="15.75" customHeight="1">
      <c r="E883" s="9"/>
      <c r="F883" s="9"/>
      <c r="G883" s="9"/>
      <c r="H883" s="9"/>
    </row>
    <row r="884" spans="5:8" ht="15.75" customHeight="1">
      <c r="E884" s="9"/>
      <c r="F884" s="9"/>
      <c r="G884" s="9"/>
      <c r="H884" s="9"/>
    </row>
    <row r="885" spans="5:8" ht="15.75" customHeight="1">
      <c r="E885" s="9"/>
      <c r="F885" s="9"/>
      <c r="G885" s="9"/>
      <c r="H885" s="9"/>
    </row>
    <row r="886" spans="5:8" ht="15.75" customHeight="1">
      <c r="E886" s="9"/>
      <c r="F886" s="9"/>
      <c r="G886" s="9"/>
      <c r="H886" s="9"/>
    </row>
    <row r="887" spans="5:8" ht="15.75" customHeight="1">
      <c r="E887" s="9"/>
      <c r="F887" s="9"/>
      <c r="G887" s="9"/>
      <c r="H887" s="9"/>
    </row>
    <row r="888" spans="5:8" ht="15.75" customHeight="1">
      <c r="E888" s="9"/>
      <c r="F888" s="9"/>
      <c r="G888" s="9"/>
      <c r="H888" s="9"/>
    </row>
    <row r="889" spans="5:8" ht="15.75" customHeight="1">
      <c r="E889" s="9"/>
      <c r="F889" s="9"/>
      <c r="G889" s="9"/>
      <c r="H889" s="9"/>
    </row>
    <row r="890" spans="5:8" ht="15.75" customHeight="1">
      <c r="E890" s="9"/>
      <c r="F890" s="9"/>
      <c r="G890" s="9"/>
      <c r="H890" s="9"/>
    </row>
    <row r="891" spans="5:8" ht="15.75" customHeight="1">
      <c r="E891" s="9"/>
      <c r="F891" s="9"/>
      <c r="G891" s="9"/>
      <c r="H891" s="9"/>
    </row>
    <row r="892" spans="5:8" ht="15.75" customHeight="1">
      <c r="E892" s="9"/>
      <c r="F892" s="9"/>
      <c r="G892" s="9"/>
      <c r="H892" s="9"/>
    </row>
    <row r="893" spans="5:8" ht="15.75" customHeight="1">
      <c r="E893" s="9"/>
      <c r="F893" s="9"/>
      <c r="G893" s="9"/>
      <c r="H893" s="9"/>
    </row>
    <row r="894" spans="5:8" ht="15.75" customHeight="1">
      <c r="E894" s="9"/>
      <c r="F894" s="9"/>
      <c r="G894" s="9"/>
      <c r="H894" s="9"/>
    </row>
    <row r="895" spans="5:8" ht="15.75" customHeight="1">
      <c r="E895" s="9"/>
      <c r="F895" s="9"/>
      <c r="G895" s="9"/>
      <c r="H895" s="9"/>
    </row>
    <row r="896" spans="5:8" ht="15.75" customHeight="1">
      <c r="E896" s="9"/>
      <c r="F896" s="9"/>
      <c r="G896" s="9"/>
      <c r="H896" s="9"/>
    </row>
    <row r="897" spans="5:8" ht="15.75" customHeight="1">
      <c r="E897" s="9"/>
      <c r="F897" s="9"/>
      <c r="G897" s="9"/>
      <c r="H897" s="9"/>
    </row>
    <row r="898" spans="5:8" ht="15.75" customHeight="1">
      <c r="E898" s="9"/>
      <c r="F898" s="9"/>
      <c r="G898" s="9"/>
      <c r="H898" s="9"/>
    </row>
    <row r="899" spans="5:8" ht="15.75" customHeight="1">
      <c r="E899" s="9"/>
      <c r="F899" s="9"/>
      <c r="G899" s="9"/>
      <c r="H899" s="9"/>
    </row>
    <row r="900" spans="5:8" ht="15.75" customHeight="1">
      <c r="E900" s="9"/>
      <c r="F900" s="9"/>
      <c r="G900" s="9"/>
      <c r="H900" s="9"/>
    </row>
    <row r="901" spans="5:8" ht="15.75" customHeight="1">
      <c r="E901" s="9"/>
      <c r="F901" s="9"/>
      <c r="G901" s="9"/>
      <c r="H901" s="9"/>
    </row>
    <row r="902" spans="5:8" ht="15.75" customHeight="1">
      <c r="E902" s="9"/>
      <c r="F902" s="9"/>
      <c r="G902" s="9"/>
      <c r="H902" s="9"/>
    </row>
    <row r="903" spans="5:8" ht="15.75" customHeight="1">
      <c r="E903" s="9"/>
      <c r="F903" s="9"/>
      <c r="G903" s="9"/>
      <c r="H903" s="9"/>
    </row>
    <row r="904" spans="5:8" ht="15.75" customHeight="1">
      <c r="E904" s="9"/>
      <c r="F904" s="9"/>
      <c r="G904" s="9"/>
      <c r="H904" s="9"/>
    </row>
    <row r="905" spans="5:8" ht="15.75" customHeight="1">
      <c r="E905" s="9"/>
      <c r="F905" s="9"/>
      <c r="G905" s="9"/>
      <c r="H905" s="9"/>
    </row>
    <row r="906" spans="5:8" ht="15.75" customHeight="1">
      <c r="E906" s="9"/>
      <c r="F906" s="9"/>
      <c r="G906" s="9"/>
      <c r="H906" s="9"/>
    </row>
    <row r="907" spans="5:8" ht="15.75" customHeight="1">
      <c r="E907" s="9"/>
      <c r="F907" s="9"/>
      <c r="G907" s="9"/>
      <c r="H907" s="9"/>
    </row>
    <row r="908" spans="5:8" ht="15.75" customHeight="1">
      <c r="E908" s="9"/>
      <c r="F908" s="9"/>
      <c r="G908" s="9"/>
      <c r="H908" s="9"/>
    </row>
    <row r="909" spans="5:8" ht="15.75" customHeight="1">
      <c r="E909" s="9"/>
      <c r="F909" s="9"/>
      <c r="G909" s="9"/>
      <c r="H909" s="9"/>
    </row>
    <row r="910" spans="5:8" ht="15.75" customHeight="1">
      <c r="E910" s="9"/>
      <c r="F910" s="9"/>
      <c r="G910" s="9"/>
      <c r="H910" s="9"/>
    </row>
    <row r="911" spans="5:8" ht="15.75" customHeight="1">
      <c r="E911" s="9"/>
      <c r="F911" s="9"/>
      <c r="G911" s="9"/>
      <c r="H911" s="9"/>
    </row>
    <row r="912" spans="5:8" ht="15.75" customHeight="1">
      <c r="E912" s="9"/>
      <c r="F912" s="9"/>
      <c r="G912" s="9"/>
      <c r="H912" s="9"/>
    </row>
    <row r="913" spans="5:8" ht="15.75" customHeight="1">
      <c r="E913" s="9"/>
      <c r="F913" s="9"/>
      <c r="G913" s="9"/>
      <c r="H913" s="9"/>
    </row>
    <row r="914" spans="5:8" ht="15.75" customHeight="1">
      <c r="E914" s="9"/>
      <c r="F914" s="9"/>
      <c r="G914" s="9"/>
      <c r="H914" s="9"/>
    </row>
    <row r="915" spans="5:8" ht="15.75" customHeight="1">
      <c r="E915" s="9"/>
      <c r="F915" s="9"/>
      <c r="G915" s="9"/>
      <c r="H915" s="9"/>
    </row>
    <row r="916" spans="5:8" ht="15.75" customHeight="1">
      <c r="E916" s="9"/>
      <c r="F916" s="9"/>
      <c r="G916" s="9"/>
      <c r="H916" s="9"/>
    </row>
    <row r="917" spans="5:8" ht="15.75" customHeight="1">
      <c r="E917" s="9"/>
      <c r="F917" s="9"/>
      <c r="G917" s="9"/>
      <c r="H917" s="9"/>
    </row>
    <row r="918" spans="5:8" ht="15.75" customHeight="1">
      <c r="E918" s="9"/>
      <c r="F918" s="9"/>
      <c r="G918" s="9"/>
      <c r="H918" s="9"/>
    </row>
    <row r="919" spans="5:8" ht="15.75" customHeight="1">
      <c r="E919" s="9"/>
      <c r="F919" s="9"/>
      <c r="G919" s="9"/>
      <c r="H919" s="9"/>
    </row>
    <row r="920" spans="5:8" ht="15.75" customHeight="1">
      <c r="E920" s="9"/>
      <c r="F920" s="9"/>
      <c r="G920" s="9"/>
      <c r="H920" s="9"/>
    </row>
    <row r="921" spans="5:8" ht="15.75" customHeight="1">
      <c r="E921" s="9"/>
      <c r="F921" s="9"/>
      <c r="G921" s="9"/>
      <c r="H921" s="9"/>
    </row>
    <row r="922" spans="5:8" ht="15.75" customHeight="1">
      <c r="E922" s="9"/>
      <c r="F922" s="9"/>
      <c r="G922" s="9"/>
      <c r="H922" s="9"/>
    </row>
    <row r="923" spans="5:8" ht="15.75" customHeight="1">
      <c r="E923" s="9"/>
      <c r="F923" s="9"/>
      <c r="G923" s="9"/>
      <c r="H923" s="9"/>
    </row>
    <row r="924" spans="5:8" ht="15.75" customHeight="1">
      <c r="E924" s="9"/>
      <c r="F924" s="9"/>
      <c r="G924" s="9"/>
      <c r="H924" s="9"/>
    </row>
    <row r="925" spans="5:8" ht="15.75" customHeight="1">
      <c r="E925" s="9"/>
      <c r="F925" s="9"/>
      <c r="G925" s="9"/>
      <c r="H925" s="9"/>
    </row>
    <row r="926" spans="5:8" ht="15.75" customHeight="1">
      <c r="E926" s="9"/>
      <c r="F926" s="9"/>
      <c r="G926" s="9"/>
      <c r="H926" s="9"/>
    </row>
    <row r="927" spans="5:8" ht="15.75" customHeight="1">
      <c r="E927" s="9"/>
      <c r="F927" s="9"/>
      <c r="G927" s="9"/>
      <c r="H927" s="9"/>
    </row>
    <row r="928" spans="5:8" ht="15.75" customHeight="1">
      <c r="E928" s="9"/>
      <c r="F928" s="9"/>
      <c r="G928" s="9"/>
      <c r="H928" s="9"/>
    </row>
    <row r="929" spans="5:8" ht="15.75" customHeight="1">
      <c r="E929" s="9"/>
      <c r="F929" s="9"/>
      <c r="G929" s="9"/>
      <c r="H929" s="9"/>
    </row>
    <row r="930" spans="5:8" ht="15.75" customHeight="1">
      <c r="E930" s="9"/>
      <c r="F930" s="9"/>
      <c r="G930" s="9"/>
      <c r="H930" s="9"/>
    </row>
    <row r="931" spans="5:8" ht="15.75" customHeight="1">
      <c r="E931" s="9"/>
      <c r="F931" s="9"/>
      <c r="G931" s="9"/>
      <c r="H931" s="9"/>
    </row>
    <row r="932" spans="5:8" ht="15.75" customHeight="1">
      <c r="E932" s="9"/>
      <c r="F932" s="9"/>
      <c r="G932" s="9"/>
      <c r="H932" s="9"/>
    </row>
    <row r="933" spans="5:8" ht="15.75" customHeight="1">
      <c r="E933" s="9"/>
      <c r="F933" s="9"/>
      <c r="G933" s="9"/>
      <c r="H933" s="9"/>
    </row>
    <row r="934" spans="5:8" ht="15.75" customHeight="1">
      <c r="E934" s="9"/>
      <c r="F934" s="9"/>
      <c r="G934" s="9"/>
      <c r="H934" s="9"/>
    </row>
    <row r="935" spans="5:8" ht="15.75" customHeight="1">
      <c r="E935" s="9"/>
      <c r="F935" s="9"/>
      <c r="G935" s="9"/>
      <c r="H935" s="9"/>
    </row>
    <row r="936" spans="5:8" ht="15.75" customHeight="1">
      <c r="E936" s="9"/>
      <c r="F936" s="9"/>
      <c r="G936" s="9"/>
      <c r="H936" s="9"/>
    </row>
    <row r="937" spans="5:8" ht="15.75" customHeight="1">
      <c r="E937" s="9"/>
      <c r="F937" s="9"/>
      <c r="G937" s="9"/>
      <c r="H937" s="9"/>
    </row>
    <row r="938" spans="5:8" ht="15.75" customHeight="1">
      <c r="E938" s="9"/>
      <c r="F938" s="9"/>
      <c r="G938" s="9"/>
      <c r="H938" s="9"/>
    </row>
    <row r="939" spans="5:8" ht="15.75" customHeight="1">
      <c r="E939" s="9"/>
      <c r="F939" s="9"/>
      <c r="G939" s="9"/>
      <c r="H939" s="9"/>
    </row>
    <row r="940" spans="5:8" ht="15.75" customHeight="1">
      <c r="E940" s="9"/>
      <c r="F940" s="9"/>
      <c r="G940" s="9"/>
      <c r="H940" s="9"/>
    </row>
    <row r="941" spans="5:8" ht="15.75" customHeight="1">
      <c r="E941" s="9"/>
      <c r="F941" s="9"/>
      <c r="G941" s="9"/>
      <c r="H941" s="9"/>
    </row>
    <row r="942" spans="5:8" ht="15.75" customHeight="1">
      <c r="E942" s="9"/>
      <c r="F942" s="9"/>
      <c r="G942" s="9"/>
      <c r="H942" s="9"/>
    </row>
    <row r="943" spans="5:8" ht="15.75" customHeight="1">
      <c r="E943" s="9"/>
      <c r="F943" s="9"/>
      <c r="G943" s="9"/>
      <c r="H943" s="9"/>
    </row>
    <row r="944" spans="5:8" ht="15.75" customHeight="1">
      <c r="E944" s="9"/>
      <c r="F944" s="9"/>
      <c r="G944" s="9"/>
      <c r="H944" s="9"/>
    </row>
    <row r="945" spans="5:8" ht="15.75" customHeight="1">
      <c r="E945" s="9"/>
      <c r="F945" s="9"/>
      <c r="G945" s="9"/>
      <c r="H945" s="9"/>
    </row>
    <row r="946" spans="5:8" ht="15.75" customHeight="1">
      <c r="E946" s="9"/>
      <c r="F946" s="9"/>
      <c r="G946" s="9"/>
      <c r="H946" s="9"/>
    </row>
    <row r="947" spans="5:8" ht="15.75" customHeight="1">
      <c r="E947" s="9"/>
      <c r="F947" s="9"/>
      <c r="G947" s="9"/>
      <c r="H947" s="9"/>
    </row>
    <row r="948" spans="5:8" ht="15.75" customHeight="1">
      <c r="E948" s="9"/>
      <c r="F948" s="9"/>
      <c r="G948" s="9"/>
      <c r="H948" s="9"/>
    </row>
    <row r="949" spans="5:8" ht="15.75" customHeight="1">
      <c r="E949" s="9"/>
      <c r="F949" s="9"/>
      <c r="G949" s="9"/>
      <c r="H949" s="9"/>
    </row>
    <row r="950" spans="5:8" ht="15.75" customHeight="1">
      <c r="E950" s="9"/>
      <c r="F950" s="9"/>
      <c r="G950" s="9"/>
      <c r="H950" s="9"/>
    </row>
    <row r="951" spans="5:8" ht="15.75" customHeight="1">
      <c r="E951" s="9"/>
      <c r="F951" s="9"/>
      <c r="G951" s="9"/>
      <c r="H951" s="9"/>
    </row>
    <row r="952" spans="5:8" ht="15.75" customHeight="1">
      <c r="E952" s="9"/>
      <c r="F952" s="9"/>
      <c r="G952" s="9"/>
      <c r="H952" s="9"/>
    </row>
    <row r="953" spans="5:8" ht="15.75" customHeight="1">
      <c r="E953" s="9"/>
      <c r="F953" s="9"/>
      <c r="G953" s="9"/>
      <c r="H953" s="9"/>
    </row>
    <row r="954" spans="5:8" ht="15.75" customHeight="1">
      <c r="E954" s="9"/>
      <c r="F954" s="9"/>
      <c r="G954" s="9"/>
      <c r="H954" s="9"/>
    </row>
    <row r="955" spans="5:8" ht="15.75" customHeight="1">
      <c r="E955" s="9"/>
      <c r="F955" s="9"/>
      <c r="G955" s="9"/>
      <c r="H955" s="9"/>
    </row>
    <row r="956" spans="5:8" ht="15.75" customHeight="1">
      <c r="E956" s="9"/>
      <c r="F956" s="9"/>
      <c r="G956" s="9"/>
      <c r="H956" s="9"/>
    </row>
    <row r="957" spans="5:8" ht="15.75" customHeight="1">
      <c r="E957" s="9"/>
      <c r="F957" s="9"/>
      <c r="G957" s="9"/>
      <c r="H957" s="9"/>
    </row>
    <row r="958" spans="5:8" ht="15.75" customHeight="1">
      <c r="E958" s="9"/>
      <c r="F958" s="9"/>
      <c r="G958" s="9"/>
      <c r="H958" s="9"/>
    </row>
    <row r="959" spans="5:8" ht="15.75" customHeight="1">
      <c r="E959" s="9"/>
      <c r="F959" s="9"/>
      <c r="G959" s="9"/>
      <c r="H959" s="9"/>
    </row>
    <row r="960" spans="5:8" ht="15.75" customHeight="1">
      <c r="E960" s="9"/>
      <c r="F960" s="9"/>
      <c r="G960" s="9"/>
      <c r="H960" s="9"/>
    </row>
    <row r="961" spans="5:8" ht="15.75" customHeight="1">
      <c r="E961" s="9"/>
      <c r="F961" s="9"/>
      <c r="G961" s="9"/>
      <c r="H961" s="9"/>
    </row>
    <row r="962" spans="5:8" ht="15.75" customHeight="1">
      <c r="E962" s="9"/>
      <c r="F962" s="9"/>
      <c r="G962" s="9"/>
      <c r="H962" s="9"/>
    </row>
    <row r="963" spans="5:8" ht="15.75" customHeight="1">
      <c r="E963" s="9"/>
      <c r="F963" s="9"/>
      <c r="G963" s="9"/>
      <c r="H963" s="9"/>
    </row>
    <row r="964" spans="5:8" ht="15.75" customHeight="1">
      <c r="E964" s="9"/>
      <c r="F964" s="9"/>
      <c r="G964" s="9"/>
      <c r="H964" s="9"/>
    </row>
    <row r="965" spans="5:8" ht="15.75" customHeight="1">
      <c r="E965" s="9"/>
      <c r="F965" s="9"/>
      <c r="G965" s="9"/>
      <c r="H965" s="9"/>
    </row>
    <row r="966" spans="5:8" ht="15.75" customHeight="1">
      <c r="E966" s="9"/>
      <c r="F966" s="9"/>
      <c r="G966" s="9"/>
      <c r="H966" s="9"/>
    </row>
    <row r="967" spans="5:8" ht="15.75" customHeight="1">
      <c r="E967" s="9"/>
      <c r="F967" s="9"/>
      <c r="G967" s="9"/>
      <c r="H967" s="9"/>
    </row>
    <row r="968" spans="5:8" ht="15.75" customHeight="1">
      <c r="E968" s="9"/>
      <c r="F968" s="9"/>
      <c r="G968" s="9"/>
      <c r="H968" s="9"/>
    </row>
    <row r="969" spans="5:8" ht="15.75" customHeight="1">
      <c r="E969" s="9"/>
      <c r="F969" s="9"/>
      <c r="G969" s="9"/>
      <c r="H969" s="9"/>
    </row>
    <row r="970" spans="5:8" ht="15.75" customHeight="1">
      <c r="E970" s="9"/>
      <c r="F970" s="9"/>
      <c r="G970" s="9"/>
      <c r="H970" s="9"/>
    </row>
    <row r="971" spans="5:8" ht="15.75" customHeight="1">
      <c r="E971" s="9"/>
      <c r="F971" s="9"/>
      <c r="G971" s="9"/>
      <c r="H971" s="9"/>
    </row>
    <row r="972" spans="5:8" ht="15.75" customHeight="1">
      <c r="E972" s="9"/>
      <c r="F972" s="9"/>
      <c r="G972" s="9"/>
      <c r="H972" s="9"/>
    </row>
    <row r="973" spans="5:8" ht="15.75" customHeight="1">
      <c r="E973" s="9"/>
      <c r="F973" s="9"/>
      <c r="G973" s="9"/>
      <c r="H973" s="9"/>
    </row>
    <row r="974" spans="5:8" ht="15.75" customHeight="1">
      <c r="E974" s="9"/>
      <c r="F974" s="9"/>
      <c r="G974" s="9"/>
      <c r="H974" s="9"/>
    </row>
    <row r="975" spans="5:8" ht="15.75" customHeight="1">
      <c r="E975" s="9"/>
      <c r="F975" s="9"/>
      <c r="G975" s="9"/>
      <c r="H975" s="9"/>
    </row>
    <row r="976" spans="5:8" ht="15.75" customHeight="1">
      <c r="E976" s="9"/>
      <c r="F976" s="9"/>
      <c r="G976" s="9"/>
      <c r="H976" s="9"/>
    </row>
    <row r="977" spans="5:8" ht="15.75" customHeight="1">
      <c r="E977" s="9"/>
      <c r="F977" s="9"/>
      <c r="G977" s="9"/>
      <c r="H977" s="9"/>
    </row>
    <row r="978" spans="5:8" ht="15.75" customHeight="1">
      <c r="E978" s="9"/>
      <c r="F978" s="9"/>
      <c r="G978" s="9"/>
      <c r="H978" s="9"/>
    </row>
    <row r="979" spans="5:8" ht="15.75" customHeight="1">
      <c r="E979" s="9"/>
      <c r="F979" s="9"/>
      <c r="G979" s="9"/>
      <c r="H979" s="9"/>
    </row>
    <row r="980" spans="5:8" ht="15.75" customHeight="1">
      <c r="E980" s="9"/>
      <c r="F980" s="9"/>
      <c r="G980" s="9"/>
      <c r="H980" s="9"/>
    </row>
    <row r="981" spans="5:8" ht="15.75" customHeight="1">
      <c r="E981" s="9"/>
      <c r="F981" s="9"/>
      <c r="G981" s="9"/>
      <c r="H981" s="9"/>
    </row>
    <row r="982" spans="5:8" ht="15.75" customHeight="1">
      <c r="E982" s="9"/>
      <c r="F982" s="9"/>
      <c r="G982" s="9"/>
      <c r="H982" s="9"/>
    </row>
    <row r="983" spans="5:8" ht="15.75" customHeight="1">
      <c r="E983" s="9"/>
      <c r="F983" s="9"/>
      <c r="G983" s="9"/>
      <c r="H983" s="9"/>
    </row>
    <row r="984" spans="5:8" ht="15.75" customHeight="1">
      <c r="E984" s="9"/>
      <c r="F984" s="9"/>
      <c r="G984" s="9"/>
      <c r="H984" s="9"/>
    </row>
    <row r="985" spans="5:8" ht="15.75" customHeight="1">
      <c r="E985" s="9"/>
      <c r="F985" s="9"/>
      <c r="G985" s="9"/>
      <c r="H985" s="9"/>
    </row>
    <row r="986" spans="5:8" ht="15.75" customHeight="1">
      <c r="E986" s="9"/>
      <c r="F986" s="9"/>
      <c r="G986" s="9"/>
      <c r="H986" s="9"/>
    </row>
    <row r="987" spans="5:8" ht="15.75" customHeight="1">
      <c r="E987" s="9"/>
      <c r="F987" s="9"/>
      <c r="G987" s="9"/>
      <c r="H987" s="9"/>
    </row>
    <row r="988" spans="5:8" ht="15.75" customHeight="1">
      <c r="E988" s="9"/>
      <c r="F988" s="9"/>
      <c r="G988" s="9"/>
      <c r="H988" s="9"/>
    </row>
    <row r="989" spans="5:8" ht="15.75" customHeight="1">
      <c r="E989" s="9"/>
      <c r="F989" s="9"/>
      <c r="G989" s="9"/>
      <c r="H989" s="9"/>
    </row>
    <row r="990" spans="5:8" ht="15.75" customHeight="1">
      <c r="E990" s="9"/>
      <c r="F990" s="9"/>
      <c r="G990" s="9"/>
      <c r="H990" s="9"/>
    </row>
    <row r="991" spans="5:8" ht="15.75" customHeight="1">
      <c r="E991" s="9"/>
      <c r="F991" s="9"/>
      <c r="G991" s="9"/>
      <c r="H991" s="9"/>
    </row>
    <row r="992" spans="5:8" ht="15.75" customHeight="1">
      <c r="E992" s="9"/>
      <c r="F992" s="9"/>
      <c r="G992" s="9"/>
      <c r="H992" s="9"/>
    </row>
    <row r="993" spans="5:8" ht="15.75" customHeight="1">
      <c r="E993" s="9"/>
      <c r="F993" s="9"/>
      <c r="G993" s="9"/>
      <c r="H993" s="9"/>
    </row>
    <row r="994" spans="5:8" ht="15.75" customHeight="1">
      <c r="E994" s="9"/>
      <c r="F994" s="9"/>
      <c r="G994" s="9"/>
      <c r="H994" s="9"/>
    </row>
    <row r="995" spans="5:8" ht="15.75" customHeight="1">
      <c r="E995" s="9"/>
      <c r="F995" s="9"/>
      <c r="G995" s="9"/>
      <c r="H995" s="9"/>
    </row>
    <row r="996" spans="5:8" ht="15.75" customHeight="1">
      <c r="E996" s="9"/>
      <c r="F996" s="9"/>
      <c r="G996" s="9"/>
      <c r="H996" s="9"/>
    </row>
    <row r="997" spans="5:8" ht="15.75" customHeight="1">
      <c r="E997" s="9"/>
      <c r="F997" s="9"/>
      <c r="G997" s="9"/>
      <c r="H997" s="9"/>
    </row>
    <row r="998" spans="5:8" ht="15.75" customHeight="1">
      <c r="E998" s="9"/>
      <c r="F998" s="9"/>
      <c r="G998" s="9"/>
      <c r="H998" s="9"/>
    </row>
    <row r="999" spans="5:8" ht="15.75" customHeight="1">
      <c r="E999" s="9"/>
      <c r="F999" s="9"/>
      <c r="G999" s="9"/>
      <c r="H999" s="9"/>
    </row>
    <row r="1000" spans="5:8" ht="15.75" customHeight="1">
      <c r="E1000" s="9"/>
      <c r="F1000" s="9"/>
      <c r="G1000" s="9"/>
      <c r="H1000" s="9"/>
    </row>
    <row r="1001" spans="5:8" ht="15.75" customHeight="1">
      <c r="E1001" s="9"/>
      <c r="F1001" s="9"/>
      <c r="G1001" s="9"/>
      <c r="H100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workbookViewId="0">
      <selection activeCell="C1" sqref="C1:D1"/>
    </sheetView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10" t="s">
        <v>0</v>
      </c>
      <c r="B1" s="11" t="s">
        <v>436</v>
      </c>
      <c r="C1" s="2" t="s">
        <v>472</v>
      </c>
      <c r="D1" s="2" t="s">
        <v>473</v>
      </c>
    </row>
    <row r="2" spans="1:9" ht="15.75" customHeight="1">
      <c r="A2" s="10">
        <v>10101</v>
      </c>
      <c r="B2" s="11" t="s">
        <v>6</v>
      </c>
      <c r="C2" s="6">
        <v>1.7711544630099436</v>
      </c>
      <c r="D2" s="6">
        <v>1.4236786647713664</v>
      </c>
      <c r="F2" s="12"/>
      <c r="G2" s="13"/>
      <c r="H2" s="12"/>
      <c r="I2" s="12"/>
    </row>
    <row r="3" spans="1:9" ht="15.75" customHeight="1">
      <c r="A3" s="10">
        <v>10102</v>
      </c>
      <c r="B3" s="11" t="s">
        <v>7</v>
      </c>
      <c r="C3" s="6">
        <v>1.2418209876543209</v>
      </c>
      <c r="D3" s="6">
        <v>1.1939393939393941</v>
      </c>
      <c r="F3" s="12"/>
      <c r="G3" s="13"/>
      <c r="H3" s="12"/>
      <c r="I3" s="12"/>
    </row>
    <row r="4" spans="1:9" ht="15.75" customHeight="1">
      <c r="A4" s="10">
        <v>10103</v>
      </c>
      <c r="B4" s="11" t="s">
        <v>8</v>
      </c>
      <c r="C4" s="6">
        <v>1.5628176922564094</v>
      </c>
      <c r="D4" s="6">
        <v>1.5079407979407977</v>
      </c>
    </row>
    <row r="5" spans="1:9" ht="15.75" customHeight="1">
      <c r="A5" s="10">
        <v>10201</v>
      </c>
      <c r="B5" s="11" t="s">
        <v>10</v>
      </c>
      <c r="C5" s="6">
        <v>1.2632309327961502</v>
      </c>
      <c r="D5" s="6">
        <v>1.509469696969697</v>
      </c>
    </row>
    <row r="6" spans="1:9" ht="15.75" customHeight="1">
      <c r="A6" s="10">
        <v>10202</v>
      </c>
      <c r="B6" s="11" t="s">
        <v>11</v>
      </c>
      <c r="C6" s="6">
        <v>1.7152000614687184</v>
      </c>
      <c r="D6" s="6">
        <v>1.5608974358974361</v>
      </c>
    </row>
    <row r="7" spans="1:9" ht="15.75" customHeight="1">
      <c r="A7" s="10">
        <v>10301</v>
      </c>
      <c r="B7" s="11" t="s">
        <v>13</v>
      </c>
      <c r="C7" s="6">
        <v>1.7791666666666668</v>
      </c>
      <c r="D7" s="6">
        <v>1.8034188034188032</v>
      </c>
    </row>
    <row r="8" spans="1:9" ht="15.75" customHeight="1">
      <c r="A8" s="10">
        <v>10302</v>
      </c>
      <c r="B8" s="11" t="s">
        <v>14</v>
      </c>
      <c r="C8" s="6">
        <v>1.6059510820149117</v>
      </c>
      <c r="D8" s="6">
        <v>1.0243697478991596</v>
      </c>
    </row>
    <row r="9" spans="1:9" ht="15.75" customHeight="1">
      <c r="A9" s="10">
        <v>10303</v>
      </c>
      <c r="B9" s="11" t="s">
        <v>15</v>
      </c>
      <c r="C9" s="6">
        <v>2.192340067340067</v>
      </c>
      <c r="D9" s="6">
        <v>2.2291666666666665</v>
      </c>
    </row>
    <row r="10" spans="1:9" ht="15.75" customHeight="1">
      <c r="A10" s="10">
        <v>10304</v>
      </c>
      <c r="B10" s="11" t="s">
        <v>16</v>
      </c>
      <c r="C10" s="6">
        <v>1.3561373873873874</v>
      </c>
      <c r="D10" s="6">
        <v>2.0858585858585861</v>
      </c>
    </row>
    <row r="11" spans="1:9" ht="15.75" customHeight="1">
      <c r="A11" s="10">
        <v>10401</v>
      </c>
      <c r="B11" s="11" t="s">
        <v>18</v>
      </c>
      <c r="C11" s="6">
        <v>3.0208333333333335</v>
      </c>
      <c r="D11" s="6">
        <v>1.4166666666666667</v>
      </c>
    </row>
    <row r="12" spans="1:9" ht="15.75" customHeight="1">
      <c r="A12" s="10">
        <v>10402</v>
      </c>
      <c r="B12" s="11" t="s">
        <v>17</v>
      </c>
      <c r="C12" s="6">
        <v>1.4333333333333333</v>
      </c>
      <c r="D12" s="6">
        <v>1.25</v>
      </c>
    </row>
    <row r="13" spans="1:9" ht="15.75" customHeight="1">
      <c r="A13" s="10">
        <v>10403</v>
      </c>
      <c r="B13" s="11" t="s">
        <v>19</v>
      </c>
      <c r="C13" s="6">
        <v>1.3651563691838291</v>
      </c>
      <c r="D13" s="6">
        <v>1.1984848484848485</v>
      </c>
    </row>
    <row r="14" spans="1:9" ht="15.75" customHeight="1">
      <c r="A14" s="10">
        <v>10404</v>
      </c>
      <c r="B14" s="11" t="s">
        <v>20</v>
      </c>
      <c r="C14" s="6">
        <v>1.0777777777777777</v>
      </c>
      <c r="D14" s="6">
        <v>2.1666666666666665</v>
      </c>
    </row>
    <row r="15" spans="1:9" ht="15.75" customHeight="1">
      <c r="A15" s="10">
        <v>10405</v>
      </c>
      <c r="B15" s="11" t="s">
        <v>21</v>
      </c>
      <c r="C15" s="6">
        <v>1.6666666666666667</v>
      </c>
      <c r="D15" s="6">
        <v>3.5</v>
      </c>
    </row>
    <row r="16" spans="1:9" ht="15.75" customHeight="1">
      <c r="A16" s="10">
        <v>10501</v>
      </c>
      <c r="B16" s="11" t="s">
        <v>23</v>
      </c>
      <c r="C16" s="6">
        <v>1.6771528766545378</v>
      </c>
      <c r="D16" s="6">
        <v>1.7208547008547008</v>
      </c>
    </row>
    <row r="17" spans="1:4" ht="15.75" customHeight="1">
      <c r="A17" s="10">
        <v>10502</v>
      </c>
      <c r="B17" s="11" t="s">
        <v>24</v>
      </c>
      <c r="C17" s="6">
        <v>1.942358961128311</v>
      </c>
      <c r="D17" s="6">
        <v>1.3253968253968254</v>
      </c>
    </row>
    <row r="18" spans="1:4" ht="15.75" customHeight="1">
      <c r="A18" s="10">
        <v>10601</v>
      </c>
      <c r="B18" s="11" t="s">
        <v>26</v>
      </c>
      <c r="C18" s="6">
        <v>1.2232705394801888</v>
      </c>
      <c r="D18" s="6">
        <v>1.4918395780464744</v>
      </c>
    </row>
    <row r="19" spans="1:4" ht="15.75" customHeight="1">
      <c r="A19" s="10">
        <v>10602</v>
      </c>
      <c r="B19" s="11" t="s">
        <v>25</v>
      </c>
      <c r="C19" s="6">
        <v>1.4656862745098038</v>
      </c>
      <c r="D19" s="6">
        <v>1.4404761904761905</v>
      </c>
    </row>
    <row r="20" spans="1:4" ht="15.75" customHeight="1">
      <c r="A20" s="10">
        <v>10701</v>
      </c>
      <c r="B20" s="11" t="s">
        <v>28</v>
      </c>
      <c r="C20" s="6">
        <v>1.2669444444444444</v>
      </c>
      <c r="D20" s="6">
        <v>1.3099591230026013</v>
      </c>
    </row>
    <row r="21" spans="1:4" ht="15.75" customHeight="1">
      <c r="A21" s="10">
        <v>10702</v>
      </c>
      <c r="B21" s="11" t="s">
        <v>29</v>
      </c>
      <c r="C21" s="6">
        <v>1.0325392953528902</v>
      </c>
      <c r="D21" s="6">
        <v>1.20650769002582</v>
      </c>
    </row>
    <row r="22" spans="1:4" ht="15.75" customHeight="1">
      <c r="A22" s="10">
        <v>10703</v>
      </c>
      <c r="B22" s="11" t="s">
        <v>30</v>
      </c>
      <c r="C22" s="6">
        <v>1.1365965189494602</v>
      </c>
      <c r="D22" s="6">
        <v>1.232258064516129</v>
      </c>
    </row>
    <row r="23" spans="1:4" ht="15.75" customHeight="1">
      <c r="A23" s="10">
        <v>10704</v>
      </c>
      <c r="B23" s="11" t="s">
        <v>31</v>
      </c>
      <c r="C23" s="6">
        <v>0.8</v>
      </c>
      <c r="D23" s="6">
        <v>1.3537741578251705</v>
      </c>
    </row>
    <row r="24" spans="1:4" ht="15.75" customHeight="1">
      <c r="A24" s="10">
        <v>10801</v>
      </c>
      <c r="B24" s="11" t="s">
        <v>33</v>
      </c>
      <c r="C24" s="6">
        <v>1.2824097049903502</v>
      </c>
      <c r="D24" s="6">
        <v>2.788095238095238</v>
      </c>
    </row>
    <row r="25" spans="1:4" ht="15.75" customHeight="1">
      <c r="A25" s="10">
        <v>10901</v>
      </c>
      <c r="B25" s="11" t="s">
        <v>35</v>
      </c>
      <c r="C25" s="6">
        <v>1.6349206349206347</v>
      </c>
      <c r="D25" s="6">
        <v>1.2916666666666667</v>
      </c>
    </row>
    <row r="26" spans="1:4" ht="15.75" customHeight="1">
      <c r="A26" s="10">
        <v>10902</v>
      </c>
      <c r="B26" s="11" t="s">
        <v>36</v>
      </c>
      <c r="C26" s="6">
        <v>1.3522283851505863</v>
      </c>
      <c r="D26" s="6">
        <v>1.3062678062678064</v>
      </c>
    </row>
    <row r="27" spans="1:4" ht="15.75" customHeight="1">
      <c r="A27" s="10">
        <v>10903</v>
      </c>
      <c r="B27" s="11" t="s">
        <v>37</v>
      </c>
      <c r="C27" s="6">
        <v>2.5666666666666664</v>
      </c>
      <c r="D27" s="6">
        <v>4</v>
      </c>
    </row>
    <row r="28" spans="1:4" ht="15.75" customHeight="1">
      <c r="A28" s="10">
        <v>11001</v>
      </c>
      <c r="B28" s="11" t="s">
        <v>39</v>
      </c>
      <c r="C28" s="6">
        <v>1.4788359788359788</v>
      </c>
      <c r="D28" s="6">
        <v>1.4714285714285715</v>
      </c>
    </row>
    <row r="29" spans="1:4" ht="15.75" customHeight="1">
      <c r="A29" s="10">
        <v>11002</v>
      </c>
      <c r="B29" s="11" t="s">
        <v>40</v>
      </c>
      <c r="C29" s="6">
        <v>2.1468253968253967</v>
      </c>
      <c r="D29" s="6">
        <v>2.8333333333333335</v>
      </c>
    </row>
    <row r="30" spans="1:4" ht="15.75" customHeight="1">
      <c r="A30" s="10">
        <v>11003</v>
      </c>
      <c r="B30" s="11" t="s">
        <v>41</v>
      </c>
      <c r="C30" s="6">
        <v>1.0956349206349205</v>
      </c>
      <c r="D30" s="6">
        <v>2.1225071225071228</v>
      </c>
    </row>
    <row r="31" spans="1:4" ht="15.75" customHeight="1">
      <c r="A31" s="10">
        <v>20101</v>
      </c>
      <c r="B31" s="11" t="s">
        <v>44</v>
      </c>
      <c r="C31" s="6">
        <v>1.6303740958368909</v>
      </c>
      <c r="D31" s="6">
        <v>1.4610281395632645</v>
      </c>
    </row>
    <row r="32" spans="1:4" ht="15.75" customHeight="1">
      <c r="A32" s="10">
        <v>20102</v>
      </c>
      <c r="B32" s="11" t="s">
        <v>45</v>
      </c>
      <c r="C32" s="6">
        <v>1.3926041280435051</v>
      </c>
      <c r="D32" s="6">
        <v>1.3086653847523413</v>
      </c>
    </row>
    <row r="33" spans="1:4" ht="15.75" customHeight="1">
      <c r="A33" s="10">
        <v>20103</v>
      </c>
      <c r="B33" s="11" t="s">
        <v>46</v>
      </c>
      <c r="C33" s="6">
        <v>1.3099067599067598</v>
      </c>
      <c r="D33" s="6">
        <v>1.3042028985507246</v>
      </c>
    </row>
    <row r="34" spans="1:4" ht="15.75" customHeight="1">
      <c r="A34" s="10">
        <v>20104</v>
      </c>
      <c r="B34" s="11" t="s">
        <v>47</v>
      </c>
      <c r="C34" s="6">
        <v>1.4783703671493384</v>
      </c>
      <c r="D34" s="6">
        <v>1.3710488505747127</v>
      </c>
    </row>
    <row r="35" spans="1:4" ht="15.75" customHeight="1">
      <c r="A35" s="10">
        <v>20105</v>
      </c>
      <c r="B35" s="11" t="s">
        <v>48</v>
      </c>
      <c r="C35" s="6">
        <v>1.5813358076162005</v>
      </c>
      <c r="D35" s="6">
        <v>1.4563785977017769</v>
      </c>
    </row>
    <row r="36" spans="1:4" ht="15.75" customHeight="1">
      <c r="A36" s="10">
        <v>20201</v>
      </c>
      <c r="B36" s="11" t="s">
        <v>50</v>
      </c>
      <c r="C36" s="6">
        <v>0.95197420634920638</v>
      </c>
      <c r="D36" s="6">
        <v>0.97702532077532078</v>
      </c>
    </row>
    <row r="37" spans="1:4" ht="15.75" customHeight="1">
      <c r="A37" s="10">
        <v>20202</v>
      </c>
      <c r="B37" s="11" t="s">
        <v>51</v>
      </c>
      <c r="C37" s="6">
        <v>0.77703296703296709</v>
      </c>
      <c r="D37" s="6">
        <v>0.86904761904761896</v>
      </c>
    </row>
    <row r="38" spans="1:4" ht="15.75" customHeight="1">
      <c r="A38" s="10">
        <v>20203</v>
      </c>
      <c r="B38" s="11" t="s">
        <v>52</v>
      </c>
      <c r="C38" s="6">
        <v>0.7857142857142857</v>
      </c>
      <c r="D38" s="6">
        <v>0.83333333333333337</v>
      </c>
    </row>
    <row r="39" spans="1:4" ht="15.75" customHeight="1">
      <c r="A39" s="10">
        <v>20204</v>
      </c>
      <c r="B39" s="11" t="s">
        <v>53</v>
      </c>
      <c r="C39" s="6">
        <v>0.57692307692307687</v>
      </c>
      <c r="D39" s="6">
        <v>1.2444444444444442</v>
      </c>
    </row>
    <row r="40" spans="1:4" ht="15.75" customHeight="1">
      <c r="A40" s="10">
        <v>20205</v>
      </c>
      <c r="B40" s="11" t="s">
        <v>54</v>
      </c>
      <c r="C40" s="6">
        <v>1</v>
      </c>
      <c r="D40" s="6">
        <v>2.1999999999999997</v>
      </c>
    </row>
    <row r="41" spans="1:4" ht="15.75" customHeight="1">
      <c r="A41" s="10">
        <v>20206</v>
      </c>
      <c r="B41" s="11" t="s">
        <v>55</v>
      </c>
      <c r="C41" s="6">
        <v>1</v>
      </c>
      <c r="D41" s="6">
        <v>0</v>
      </c>
    </row>
    <row r="42" spans="1:4" ht="15.75" customHeight="1">
      <c r="A42" s="10">
        <v>20301</v>
      </c>
      <c r="B42" s="11" t="s">
        <v>57</v>
      </c>
      <c r="C42" s="6">
        <v>1.0512113617376777</v>
      </c>
      <c r="D42" s="6">
        <v>0.89270152505446632</v>
      </c>
    </row>
    <row r="43" spans="1:4" ht="15.75" customHeight="1">
      <c r="A43" s="10">
        <v>20302</v>
      </c>
      <c r="B43" s="11" t="s">
        <v>58</v>
      </c>
      <c r="C43" s="6">
        <v>1.1086536313391808</v>
      </c>
      <c r="D43" s="6">
        <v>1.6846153846153846</v>
      </c>
    </row>
    <row r="44" spans="1:4" ht="15.75" customHeight="1">
      <c r="A44" s="10">
        <v>20303</v>
      </c>
      <c r="B44" s="11" t="s">
        <v>59</v>
      </c>
      <c r="C44" s="6">
        <v>1.3714285714285712</v>
      </c>
      <c r="D44" s="6">
        <v>2.7222222222222228</v>
      </c>
    </row>
    <row r="45" spans="1:4" ht="15.75" customHeight="1">
      <c r="A45" s="10">
        <v>20304</v>
      </c>
      <c r="B45" s="11" t="s">
        <v>60</v>
      </c>
      <c r="C45" s="6">
        <v>0.73195767195767181</v>
      </c>
      <c r="D45" s="6">
        <v>1.7222222222222221</v>
      </c>
    </row>
    <row r="46" spans="1:4" ht="15.75" customHeight="1">
      <c r="A46" s="10">
        <v>20305</v>
      </c>
      <c r="B46" s="11" t="s">
        <v>61</v>
      </c>
      <c r="C46" s="6">
        <v>0.69047619047619035</v>
      </c>
      <c r="D46" s="6">
        <v>0.88888888888888884</v>
      </c>
    </row>
    <row r="47" spans="1:4" ht="15.75" customHeight="1">
      <c r="A47" s="10">
        <v>20306</v>
      </c>
      <c r="B47" s="11" t="s">
        <v>62</v>
      </c>
      <c r="C47" s="6">
        <v>1.0444444444444445</v>
      </c>
      <c r="D47" s="6">
        <v>0.9642857142857143</v>
      </c>
    </row>
    <row r="48" spans="1:4" ht="15.75" customHeight="1">
      <c r="A48" s="10">
        <v>20307</v>
      </c>
      <c r="B48" s="11" t="s">
        <v>63</v>
      </c>
      <c r="C48" s="6">
        <v>0.73888888888888893</v>
      </c>
      <c r="D48" s="6">
        <v>0.66666666666666663</v>
      </c>
    </row>
    <row r="49" spans="1:4" ht="15.75" customHeight="1">
      <c r="A49" s="10">
        <v>20308</v>
      </c>
      <c r="B49" s="11" t="s">
        <v>64</v>
      </c>
      <c r="C49" s="6">
        <v>1.0081093189964156</v>
      </c>
      <c r="D49" s="6">
        <v>1.0916666666666666</v>
      </c>
    </row>
    <row r="50" spans="1:4" ht="15.75" customHeight="1">
      <c r="A50" s="10">
        <v>20401</v>
      </c>
      <c r="B50" s="11" t="s">
        <v>66</v>
      </c>
      <c r="C50" s="6">
        <v>0.73865455074534081</v>
      </c>
      <c r="D50" s="6">
        <v>0.79437229437229429</v>
      </c>
    </row>
    <row r="51" spans="1:4" ht="15.75" customHeight="1">
      <c r="A51" s="10">
        <v>20402</v>
      </c>
      <c r="B51" s="11" t="s">
        <v>67</v>
      </c>
      <c r="C51" s="6">
        <v>0.95305990373336569</v>
      </c>
      <c r="D51" s="6">
        <v>0.7525879917184265</v>
      </c>
    </row>
    <row r="52" spans="1:4" ht="15.75" customHeight="1">
      <c r="A52" s="10">
        <v>20403</v>
      </c>
      <c r="B52" s="11" t="s">
        <v>68</v>
      </c>
      <c r="C52" s="6">
        <v>0.9338430332345139</v>
      </c>
      <c r="D52" s="6">
        <v>1.4190476190476191</v>
      </c>
    </row>
    <row r="53" spans="1:4" ht="15.75" customHeight="1">
      <c r="A53" s="10">
        <v>20404</v>
      </c>
      <c r="B53" s="11" t="s">
        <v>69</v>
      </c>
      <c r="C53" s="6">
        <v>0.79411764705882348</v>
      </c>
      <c r="D53" s="6">
        <v>0.87777777777777777</v>
      </c>
    </row>
    <row r="54" spans="1:4" ht="15.75" customHeight="1">
      <c r="A54" s="10">
        <v>20405</v>
      </c>
      <c r="B54" s="11" t="s">
        <v>70</v>
      </c>
      <c r="C54" s="6">
        <v>0.95238095238095233</v>
      </c>
      <c r="D54" s="6">
        <v>0.69166666666666676</v>
      </c>
    </row>
    <row r="55" spans="1:4" ht="15.75" customHeight="1">
      <c r="A55" s="10">
        <v>20501</v>
      </c>
      <c r="B55" s="11" t="s">
        <v>72</v>
      </c>
      <c r="C55" s="6">
        <v>1.2322472848788637</v>
      </c>
      <c r="D55" s="6">
        <v>1.5058479532163742</v>
      </c>
    </row>
    <row r="56" spans="1:4" ht="15.75" customHeight="1">
      <c r="A56" s="10">
        <v>20502</v>
      </c>
      <c r="B56" s="11" t="s">
        <v>73</v>
      </c>
      <c r="C56" s="6">
        <v>1.1005291005291005</v>
      </c>
      <c r="D56" s="6">
        <v>1.942057942057942</v>
      </c>
    </row>
    <row r="57" spans="1:4" ht="15.75" customHeight="1">
      <c r="A57" s="10">
        <v>20503</v>
      </c>
      <c r="B57" s="11" t="s">
        <v>74</v>
      </c>
      <c r="C57" s="6">
        <v>0.76315789473684215</v>
      </c>
      <c r="D57" s="6">
        <v>1.5083333333333335</v>
      </c>
    </row>
    <row r="58" spans="1:4" ht="15.75" customHeight="1">
      <c r="A58" s="10">
        <v>20601</v>
      </c>
      <c r="B58" s="11" t="s">
        <v>76</v>
      </c>
      <c r="C58" s="6">
        <v>1.1776094276094276</v>
      </c>
      <c r="D58" s="6">
        <v>1.2690145502645502</v>
      </c>
    </row>
    <row r="59" spans="1:4" ht="15.75" customHeight="1">
      <c r="A59" s="10">
        <v>20602</v>
      </c>
      <c r="B59" s="11" t="s">
        <v>77</v>
      </c>
      <c r="C59" s="6">
        <v>1.5114583333333333</v>
      </c>
      <c r="D59" s="6">
        <v>1.5712428107026757</v>
      </c>
    </row>
    <row r="60" spans="1:4" ht="15.75" customHeight="1">
      <c r="A60" s="10">
        <v>20603</v>
      </c>
      <c r="B60" s="11" t="s">
        <v>78</v>
      </c>
      <c r="C60" s="6">
        <v>1.2321522921522921</v>
      </c>
      <c r="D60" s="6">
        <v>1.675</v>
      </c>
    </row>
    <row r="61" spans="1:4" ht="15.75" customHeight="1">
      <c r="A61" s="10">
        <v>20604</v>
      </c>
      <c r="B61" s="11" t="s">
        <v>79</v>
      </c>
      <c r="C61" s="6">
        <v>2.8444444444444446</v>
      </c>
      <c r="D61" s="6">
        <v>1.6603174603174604</v>
      </c>
    </row>
    <row r="62" spans="1:4" ht="15.75" customHeight="1">
      <c r="A62" s="10">
        <v>20605</v>
      </c>
      <c r="B62" s="11" t="s">
        <v>80</v>
      </c>
      <c r="C62" s="6">
        <v>1.3333333333333333</v>
      </c>
      <c r="D62" s="6">
        <v>0.72222222222222232</v>
      </c>
    </row>
    <row r="63" spans="1:4" ht="15.75" customHeight="1">
      <c r="A63" s="10">
        <v>20606</v>
      </c>
      <c r="B63" s="11" t="s">
        <v>81</v>
      </c>
      <c r="C63" s="6">
        <v>1.1593944099378881</v>
      </c>
      <c r="D63" s="6">
        <v>2.1333333333333333</v>
      </c>
    </row>
    <row r="64" spans="1:4" ht="15.75" customHeight="1">
      <c r="A64" s="10">
        <v>20607</v>
      </c>
      <c r="B64" s="11" t="s">
        <v>82</v>
      </c>
      <c r="C64" s="6">
        <v>1.4821316789626648</v>
      </c>
      <c r="D64" s="6">
        <v>1.4955223080223081</v>
      </c>
    </row>
    <row r="65" spans="1:4" ht="15.75" customHeight="1">
      <c r="A65" s="10">
        <v>20608</v>
      </c>
      <c r="B65" s="11" t="s">
        <v>83</v>
      </c>
      <c r="C65" s="6">
        <v>1.4741545893719807</v>
      </c>
      <c r="D65" s="6">
        <v>1.4477124183006538</v>
      </c>
    </row>
    <row r="66" spans="1:4" ht="15.75" customHeight="1">
      <c r="A66" s="10">
        <v>20701</v>
      </c>
      <c r="B66" s="11" t="s">
        <v>85</v>
      </c>
      <c r="C66" s="6">
        <v>1.6630466755466753</v>
      </c>
      <c r="D66" s="6">
        <v>1.6337299213470697</v>
      </c>
    </row>
    <row r="67" spans="1:4" ht="15.75" customHeight="1">
      <c r="A67" s="10">
        <v>20702</v>
      </c>
      <c r="B67" s="11" t="s">
        <v>86</v>
      </c>
      <c r="C67" s="6">
        <v>1.1925925925925924</v>
      </c>
      <c r="D67" s="6">
        <v>1.9428571428571431</v>
      </c>
    </row>
    <row r="68" spans="1:4" ht="15.75" customHeight="1">
      <c r="A68" s="10">
        <v>20801</v>
      </c>
      <c r="B68" s="11" t="s">
        <v>88</v>
      </c>
      <c r="C68" s="6">
        <v>1.4656192469097686</v>
      </c>
      <c r="D68" s="6">
        <v>1.3977878977878977</v>
      </c>
    </row>
    <row r="69" spans="1:4" ht="15.75" customHeight="1">
      <c r="A69" s="10">
        <v>20802</v>
      </c>
      <c r="B69" s="11" t="s">
        <v>89</v>
      </c>
      <c r="C69" s="6">
        <v>0.6306513409961686</v>
      </c>
      <c r="D69" s="6">
        <v>1.5</v>
      </c>
    </row>
    <row r="70" spans="1:4" ht="15.75" customHeight="1">
      <c r="A70" s="10">
        <v>20803</v>
      </c>
      <c r="B70" s="11" t="s">
        <v>90</v>
      </c>
      <c r="C70" s="6">
        <v>1.0484126984126985</v>
      </c>
      <c r="D70" s="6">
        <v>0.81481481481481477</v>
      </c>
    </row>
    <row r="71" spans="1:4" ht="15.75" customHeight="1">
      <c r="A71" s="10">
        <v>20804</v>
      </c>
      <c r="B71" s="11" t="s">
        <v>91</v>
      </c>
      <c r="C71" s="6">
        <v>2.1944444444444442</v>
      </c>
      <c r="D71" s="6">
        <v>1.0999999999999999</v>
      </c>
    </row>
    <row r="72" spans="1:4" ht="15.75" customHeight="1">
      <c r="A72" s="10">
        <v>20805</v>
      </c>
      <c r="B72" s="11" t="s">
        <v>92</v>
      </c>
      <c r="C72" s="6">
        <v>1.5608465608465609</v>
      </c>
      <c r="D72" s="6">
        <v>2.1851851851851851</v>
      </c>
    </row>
    <row r="73" spans="1:4" ht="15.75" customHeight="1">
      <c r="A73" s="10">
        <v>20806</v>
      </c>
      <c r="B73" s="11" t="s">
        <v>93</v>
      </c>
      <c r="C73" s="6">
        <v>0.74510266080033516</v>
      </c>
      <c r="D73" s="6">
        <v>1.1708333333333334</v>
      </c>
    </row>
    <row r="74" spans="1:4" ht="15.75" customHeight="1">
      <c r="A74" s="10">
        <v>20807</v>
      </c>
      <c r="B74" s="11" t="s">
        <v>94</v>
      </c>
      <c r="C74" s="6">
        <v>0.87746031746031738</v>
      </c>
      <c r="D74" s="6">
        <v>2.75</v>
      </c>
    </row>
    <row r="75" spans="1:4" ht="15.75" customHeight="1">
      <c r="A75" s="10">
        <v>20901</v>
      </c>
      <c r="B75" s="11" t="s">
        <v>96</v>
      </c>
      <c r="C75" s="6">
        <v>1.5454498277078923</v>
      </c>
      <c r="D75" s="6">
        <v>1.351388888888889</v>
      </c>
    </row>
    <row r="76" spans="1:4" ht="15.75" customHeight="1">
      <c r="A76" s="10">
        <v>20902</v>
      </c>
      <c r="B76" s="11" t="s">
        <v>97</v>
      </c>
      <c r="C76" s="6">
        <v>1.3235294117647058</v>
      </c>
      <c r="D76" s="6">
        <v>1.1610644257703082</v>
      </c>
    </row>
    <row r="77" spans="1:4" ht="15.75" customHeight="1">
      <c r="A77" s="10">
        <v>20903</v>
      </c>
      <c r="B77" s="11" t="s">
        <v>98</v>
      </c>
      <c r="C77" s="6">
        <v>1.0914839181286549</v>
      </c>
      <c r="D77" s="6">
        <v>0.77472527472527464</v>
      </c>
    </row>
    <row r="78" spans="1:4" ht="15.75" customHeight="1">
      <c r="A78" s="10">
        <v>20904</v>
      </c>
      <c r="B78" s="11" t="s">
        <v>99</v>
      </c>
      <c r="C78" s="6">
        <v>2.1333333333333333</v>
      </c>
      <c r="D78" s="6">
        <v>1</v>
      </c>
    </row>
    <row r="79" spans="1:4" ht="15.75" customHeight="1">
      <c r="A79" s="10">
        <v>20905</v>
      </c>
      <c r="B79" s="11" t="s">
        <v>100</v>
      </c>
      <c r="C79" s="6">
        <v>1.0091673032849504</v>
      </c>
      <c r="D79" s="6">
        <v>0.9211759504862953</v>
      </c>
    </row>
    <row r="80" spans="1:4" ht="15.75" customHeight="1">
      <c r="A80" s="10">
        <v>21001</v>
      </c>
      <c r="B80" s="11" t="s">
        <v>101</v>
      </c>
      <c r="C80" s="6">
        <v>1.2051282051282051</v>
      </c>
      <c r="D80" s="6">
        <v>1.0203703703703704</v>
      </c>
    </row>
    <row r="81" spans="1:4" ht="15.75" customHeight="1">
      <c r="A81" s="10">
        <v>21002</v>
      </c>
      <c r="B81" s="11" t="s">
        <v>102</v>
      </c>
      <c r="C81" s="6">
        <v>1.8341269841269841</v>
      </c>
      <c r="D81" s="6">
        <v>1.925</v>
      </c>
    </row>
    <row r="82" spans="1:4" ht="15.75" customHeight="1">
      <c r="A82" s="10">
        <v>21003</v>
      </c>
      <c r="B82" s="11" t="s">
        <v>103</v>
      </c>
      <c r="C82" s="6">
        <v>2.0952134476979198</v>
      </c>
      <c r="D82" s="6">
        <v>2.2275689223057644</v>
      </c>
    </row>
    <row r="83" spans="1:4" ht="15.75" customHeight="1">
      <c r="A83" s="10">
        <v>21004</v>
      </c>
      <c r="B83" s="11" t="s">
        <v>104</v>
      </c>
      <c r="C83" s="6">
        <v>1.1089093788624307</v>
      </c>
      <c r="D83" s="6">
        <v>1.2512984248616432</v>
      </c>
    </row>
    <row r="84" spans="1:4" ht="15.75" customHeight="1">
      <c r="A84" s="10">
        <v>21005</v>
      </c>
      <c r="B84" s="11" t="s">
        <v>105</v>
      </c>
      <c r="C84" s="6">
        <v>1.2986111111111114</v>
      </c>
      <c r="D84" s="6">
        <v>1.0625</v>
      </c>
    </row>
    <row r="85" spans="1:4" ht="15.75" customHeight="1">
      <c r="A85" s="10">
        <v>21006</v>
      </c>
      <c r="B85" s="11" t="s">
        <v>106</v>
      </c>
      <c r="C85" s="6">
        <v>2.0805555555555553</v>
      </c>
      <c r="D85" s="6">
        <v>3.1999999999999997</v>
      </c>
    </row>
    <row r="86" spans="1:4" ht="15.75" customHeight="1">
      <c r="A86" s="10">
        <v>21101</v>
      </c>
      <c r="B86" s="11" t="s">
        <v>108</v>
      </c>
      <c r="C86" s="6">
        <v>1.7309507451211334</v>
      </c>
      <c r="D86" s="6">
        <v>1.778794813119756</v>
      </c>
    </row>
    <row r="87" spans="1:4" ht="15.75" customHeight="1">
      <c r="A87" s="10">
        <v>21102</v>
      </c>
      <c r="B87" s="11" t="s">
        <v>109</v>
      </c>
      <c r="C87" s="6">
        <v>1.3043953043953043</v>
      </c>
      <c r="D87" s="6">
        <v>1.631111111111111</v>
      </c>
    </row>
    <row r="88" spans="1:4" ht="15.75" customHeight="1">
      <c r="A88" s="10">
        <v>21103</v>
      </c>
      <c r="B88" s="11" t="s">
        <v>110</v>
      </c>
      <c r="C88" s="6">
        <v>1.4393939393939394</v>
      </c>
      <c r="D88" s="6">
        <v>1.9444444444444446</v>
      </c>
    </row>
    <row r="89" spans="1:4" ht="15.75" customHeight="1">
      <c r="A89" s="10">
        <v>21104</v>
      </c>
      <c r="B89" s="11" t="s">
        <v>111</v>
      </c>
      <c r="C89" s="6">
        <v>1.3623003510853977</v>
      </c>
      <c r="D89" s="6">
        <v>1.8303703703703704</v>
      </c>
    </row>
    <row r="90" spans="1:4" ht="15.75" customHeight="1">
      <c r="A90" s="10">
        <v>21105</v>
      </c>
      <c r="B90" s="11" t="s">
        <v>112</v>
      </c>
      <c r="C90" s="6">
        <v>1.4332327430773024</v>
      </c>
      <c r="D90" s="6">
        <v>1.9397306918433681</v>
      </c>
    </row>
    <row r="91" spans="1:4" ht="15.75" customHeight="1">
      <c r="A91" s="10">
        <v>21201</v>
      </c>
      <c r="B91" s="11" t="s">
        <v>114</v>
      </c>
      <c r="C91" s="6">
        <v>0.84542929144550871</v>
      </c>
      <c r="D91" s="6">
        <v>1.3144930644930646</v>
      </c>
    </row>
    <row r="92" spans="1:4" ht="15.75" customHeight="1">
      <c r="A92" s="10">
        <v>21202</v>
      </c>
      <c r="B92" s="11" t="s">
        <v>115</v>
      </c>
      <c r="C92" s="6">
        <v>1.1274068517129283</v>
      </c>
      <c r="D92" s="6">
        <v>1.0615686274509804</v>
      </c>
    </row>
    <row r="93" spans="1:4" ht="15.75" customHeight="1">
      <c r="A93" s="10">
        <v>21203</v>
      </c>
      <c r="B93" s="11" t="s">
        <v>116</v>
      </c>
      <c r="C93" s="6">
        <v>0.84750351617440234</v>
      </c>
      <c r="D93" s="6">
        <v>1.0869408369408369</v>
      </c>
    </row>
    <row r="94" spans="1:4" ht="15.75" customHeight="1">
      <c r="A94" s="10">
        <v>21204</v>
      </c>
      <c r="B94" s="11" t="s">
        <v>117</v>
      </c>
      <c r="C94" s="6">
        <v>0.62409812409812404</v>
      </c>
      <c r="D94" s="6">
        <v>1.1388888888888888</v>
      </c>
    </row>
    <row r="95" spans="1:4" ht="15.75" customHeight="1">
      <c r="A95" s="10">
        <v>21301</v>
      </c>
      <c r="B95" s="11" t="s">
        <v>119</v>
      </c>
      <c r="C95" s="6">
        <v>1.2630379966959395</v>
      </c>
      <c r="D95" s="6">
        <v>1.4978832442067738</v>
      </c>
    </row>
    <row r="96" spans="1:4" ht="15.75" customHeight="1">
      <c r="A96" s="10">
        <v>21302</v>
      </c>
      <c r="B96" s="11" t="s">
        <v>120</v>
      </c>
      <c r="C96" s="6">
        <v>1.1114692415794007</v>
      </c>
      <c r="D96" s="6">
        <v>0.98194444444444429</v>
      </c>
    </row>
    <row r="97" spans="1:4" ht="15.75" customHeight="1">
      <c r="A97" s="10">
        <v>21303</v>
      </c>
      <c r="B97" s="11" t="s">
        <v>121</v>
      </c>
      <c r="C97" s="6">
        <v>0.83719400803799771</v>
      </c>
      <c r="D97" s="6">
        <v>0.52317290552584672</v>
      </c>
    </row>
    <row r="98" spans="1:4" ht="15.75" customHeight="1">
      <c r="A98" s="10">
        <v>21304</v>
      </c>
      <c r="B98" s="11" t="s">
        <v>122</v>
      </c>
      <c r="C98" s="6">
        <v>0.791277069419146</v>
      </c>
      <c r="D98" s="6">
        <v>0.85687229437229429</v>
      </c>
    </row>
    <row r="99" spans="1:4" ht="15.75" customHeight="1">
      <c r="A99" s="10">
        <v>21305</v>
      </c>
      <c r="B99" s="11" t="s">
        <v>123</v>
      </c>
      <c r="C99" s="6">
        <v>1.0745984969154283</v>
      </c>
      <c r="D99" s="6">
        <v>1.4429239766081874</v>
      </c>
    </row>
    <row r="100" spans="1:4" ht="15.75" customHeight="1">
      <c r="A100" s="10">
        <v>21306</v>
      </c>
      <c r="B100" s="11" t="s">
        <v>124</v>
      </c>
      <c r="C100" s="6">
        <v>0.89265623598457167</v>
      </c>
      <c r="D100" s="6">
        <v>1.3666666666666665</v>
      </c>
    </row>
    <row r="101" spans="1:4" ht="15.75" customHeight="1">
      <c r="A101" s="10">
        <v>21307</v>
      </c>
      <c r="B101" s="11" t="s">
        <v>125</v>
      </c>
      <c r="C101" s="6">
        <v>1</v>
      </c>
      <c r="D101" s="6">
        <v>3.3333333333333335</v>
      </c>
    </row>
    <row r="102" spans="1:4" ht="15.75" customHeight="1">
      <c r="A102" s="10">
        <v>21401</v>
      </c>
      <c r="B102" s="11" t="s">
        <v>127</v>
      </c>
      <c r="C102" s="6">
        <v>1.3864950087857748</v>
      </c>
      <c r="D102" s="6">
        <v>1.6838383838383839</v>
      </c>
    </row>
    <row r="103" spans="1:4" ht="15.75" customHeight="1">
      <c r="A103" s="10">
        <v>21402</v>
      </c>
      <c r="B103" s="11" t="s">
        <v>128</v>
      </c>
      <c r="C103" s="6">
        <v>1.4535104364326374</v>
      </c>
      <c r="D103" s="6">
        <v>1.5083333333333335</v>
      </c>
    </row>
    <row r="104" spans="1:4" ht="15.75" customHeight="1">
      <c r="A104" s="10">
        <v>21501</v>
      </c>
      <c r="B104" s="11" t="s">
        <v>130</v>
      </c>
      <c r="C104" s="6">
        <v>1.3938127090301002</v>
      </c>
      <c r="D104" s="6">
        <v>1.6361273554256011</v>
      </c>
    </row>
    <row r="105" spans="1:4" ht="15.75" customHeight="1">
      <c r="A105" s="10">
        <v>21502</v>
      </c>
      <c r="B105" s="11" t="s">
        <v>131</v>
      </c>
      <c r="C105" s="6">
        <v>2.0001461988304094</v>
      </c>
      <c r="D105" s="6">
        <v>1.0568356374807988</v>
      </c>
    </row>
    <row r="106" spans="1:4" ht="15.75" customHeight="1">
      <c r="A106" s="10">
        <v>21601</v>
      </c>
      <c r="B106" s="11" t="s">
        <v>133</v>
      </c>
      <c r="C106" s="6">
        <v>0.77361582931044748</v>
      </c>
      <c r="D106" s="6">
        <v>1.0231481481481481</v>
      </c>
    </row>
    <row r="107" spans="1:4" ht="15.75" customHeight="1">
      <c r="A107" s="10">
        <v>21602</v>
      </c>
      <c r="B107" s="11" t="s">
        <v>134</v>
      </c>
      <c r="C107" s="6">
        <v>1.4333333333333333</v>
      </c>
      <c r="D107" s="6">
        <v>1.6666666666666667</v>
      </c>
    </row>
    <row r="108" spans="1:4" ht="15.75" customHeight="1">
      <c r="A108" s="10">
        <v>21701</v>
      </c>
      <c r="B108" s="11" t="s">
        <v>136</v>
      </c>
      <c r="C108" s="6">
        <v>1.0983739837398374</v>
      </c>
      <c r="D108" s="6">
        <v>1.1761904761904762</v>
      </c>
    </row>
    <row r="109" spans="1:4" ht="15.75" customHeight="1">
      <c r="A109" s="10">
        <v>21702</v>
      </c>
      <c r="B109" s="11" t="s">
        <v>137</v>
      </c>
      <c r="C109" s="6">
        <v>1.6714285714285715</v>
      </c>
      <c r="D109" s="6">
        <v>1.25</v>
      </c>
    </row>
    <row r="110" spans="1:4" ht="15.75" customHeight="1">
      <c r="A110" s="10">
        <v>21703</v>
      </c>
      <c r="B110" s="11" t="s">
        <v>138</v>
      </c>
      <c r="C110" s="6">
        <v>1</v>
      </c>
      <c r="D110" s="6">
        <v>0.5</v>
      </c>
    </row>
    <row r="111" spans="1:4" ht="15.75" customHeight="1">
      <c r="A111" s="10">
        <v>21801</v>
      </c>
      <c r="B111" s="11" t="s">
        <v>140</v>
      </c>
      <c r="C111" s="6">
        <v>1.2657407407407408</v>
      </c>
      <c r="D111" s="6">
        <v>1.175</v>
      </c>
    </row>
    <row r="112" spans="1:4" ht="15.75" customHeight="1">
      <c r="A112" s="10">
        <v>21802</v>
      </c>
      <c r="B112" s="11" t="s">
        <v>142</v>
      </c>
      <c r="C112" s="6">
        <v>1.0478337754199822</v>
      </c>
      <c r="D112" s="6">
        <v>1.0444444444444445</v>
      </c>
    </row>
    <row r="113" spans="1:4" ht="15.75" customHeight="1">
      <c r="A113" s="10">
        <v>21803</v>
      </c>
      <c r="B113" s="11" t="s">
        <v>143</v>
      </c>
      <c r="C113" s="6">
        <v>2.1388888888888888</v>
      </c>
      <c r="D113" s="6">
        <v>0.16666666666666666</v>
      </c>
    </row>
    <row r="114" spans="1:4" ht="15.75" customHeight="1">
      <c r="A114" s="10">
        <v>21901</v>
      </c>
      <c r="B114" s="11" t="s">
        <v>145</v>
      </c>
      <c r="C114" s="6">
        <v>1.1005291005291005</v>
      </c>
      <c r="D114" s="6">
        <v>1.9551282051282051</v>
      </c>
    </row>
    <row r="115" spans="1:4" ht="15.75" customHeight="1">
      <c r="A115" s="10">
        <v>21902</v>
      </c>
      <c r="B115" s="11" t="s">
        <v>146</v>
      </c>
      <c r="C115" s="6">
        <v>2.3333333333333335</v>
      </c>
      <c r="D115" s="6">
        <v>2</v>
      </c>
    </row>
    <row r="116" spans="1:4" ht="15.75" customHeight="1">
      <c r="A116" s="10">
        <v>22001</v>
      </c>
      <c r="B116" s="11" t="s">
        <v>147</v>
      </c>
      <c r="C116" s="6">
        <v>1.3758176169885139</v>
      </c>
      <c r="D116" s="6">
        <v>1.507816933378731</v>
      </c>
    </row>
    <row r="117" spans="1:4" ht="15.75" customHeight="1">
      <c r="A117" s="10">
        <v>22002</v>
      </c>
      <c r="B117" s="11" t="s">
        <v>148</v>
      </c>
      <c r="C117" s="6">
        <v>2.2352941176470589</v>
      </c>
      <c r="D117" s="6">
        <v>2.1422558922558923</v>
      </c>
    </row>
    <row r="118" spans="1:4" ht="15.75" customHeight="1">
      <c r="A118" s="10">
        <v>30101</v>
      </c>
      <c r="B118" s="11" t="s">
        <v>149</v>
      </c>
      <c r="C118" s="6">
        <v>1.7072040222904796</v>
      </c>
      <c r="D118" s="6">
        <v>1.5058799443083799</v>
      </c>
    </row>
    <row r="119" spans="1:4" ht="15.75" customHeight="1">
      <c r="A119" s="10">
        <v>30201</v>
      </c>
      <c r="B119" s="11" t="s">
        <v>152</v>
      </c>
      <c r="C119" s="6">
        <v>1.3223703274413214</v>
      </c>
      <c r="D119" s="6">
        <v>1.4610747675263804</v>
      </c>
    </row>
    <row r="120" spans="1:4" ht="15.75" customHeight="1">
      <c r="A120" s="10">
        <v>30202</v>
      </c>
      <c r="B120" s="11" t="s">
        <v>153</v>
      </c>
      <c r="C120" s="6">
        <v>1.2138888888888888</v>
      </c>
      <c r="D120" s="6">
        <v>0.75</v>
      </c>
    </row>
    <row r="121" spans="1:4" ht="15.75" customHeight="1">
      <c r="A121" s="10">
        <v>30203</v>
      </c>
      <c r="B121" s="11" t="s">
        <v>154</v>
      </c>
      <c r="C121" s="6">
        <v>1.4928774928774928</v>
      </c>
      <c r="D121" s="6">
        <v>1.0555555555555556</v>
      </c>
    </row>
    <row r="122" spans="1:4" ht="15.75" customHeight="1">
      <c r="A122" s="10">
        <v>30301</v>
      </c>
      <c r="B122" s="11" t="s">
        <v>156</v>
      </c>
      <c r="C122" s="6">
        <v>1.2559436952566723</v>
      </c>
      <c r="D122" s="6">
        <v>1.1508771929824562</v>
      </c>
    </row>
    <row r="123" spans="1:4" ht="15.75" customHeight="1">
      <c r="A123" s="10">
        <v>30302</v>
      </c>
      <c r="B123" s="11" t="s">
        <v>157</v>
      </c>
      <c r="C123" s="6">
        <v>1.0631974408570153</v>
      </c>
      <c r="D123" s="6">
        <v>1.3630952380952379</v>
      </c>
    </row>
    <row r="124" spans="1:4" ht="15.75" customHeight="1">
      <c r="A124" s="10">
        <v>30303</v>
      </c>
      <c r="B124" s="11" t="s">
        <v>158</v>
      </c>
      <c r="C124" s="6">
        <v>1.32</v>
      </c>
      <c r="D124" s="6">
        <v>1.1898148148148149</v>
      </c>
    </row>
    <row r="125" spans="1:4" ht="15.75" customHeight="1">
      <c r="A125" s="10">
        <v>30401</v>
      </c>
      <c r="B125" s="11" t="s">
        <v>160</v>
      </c>
      <c r="C125" s="6">
        <v>1.507020757020757</v>
      </c>
      <c r="D125" s="6">
        <v>1.4170274170274169</v>
      </c>
    </row>
    <row r="126" spans="1:4" ht="15.75" customHeight="1">
      <c r="A126" s="10">
        <v>30402</v>
      </c>
      <c r="B126" s="11" t="s">
        <v>161</v>
      </c>
      <c r="C126" s="6">
        <v>1.2092044197307354</v>
      </c>
      <c r="D126" s="6">
        <v>1.4444444444444444</v>
      </c>
    </row>
    <row r="127" spans="1:4" ht="15.75" customHeight="1">
      <c r="A127" s="10">
        <v>30403</v>
      </c>
      <c r="B127" s="11" t="s">
        <v>162</v>
      </c>
      <c r="C127" s="6">
        <v>1.4997921371669982</v>
      </c>
      <c r="D127" s="6">
        <v>1.3112121212121213</v>
      </c>
    </row>
    <row r="128" spans="1:4" ht="15.75" customHeight="1">
      <c r="A128" s="10">
        <v>30404</v>
      </c>
      <c r="B128" s="11" t="s">
        <v>163</v>
      </c>
      <c r="C128" s="6">
        <v>1.4235294117647059</v>
      </c>
      <c r="D128" s="6">
        <v>2.9518518518518522</v>
      </c>
    </row>
    <row r="129" spans="1:4" ht="15.75" customHeight="1">
      <c r="A129" s="10">
        <v>30501</v>
      </c>
      <c r="B129" s="11" t="s">
        <v>164</v>
      </c>
      <c r="C129" s="6">
        <v>1.60849559236656</v>
      </c>
      <c r="D129" s="6">
        <v>2.2777777777777781</v>
      </c>
    </row>
    <row r="130" spans="1:4" ht="15.75" customHeight="1">
      <c r="A130" s="10">
        <v>30502</v>
      </c>
      <c r="B130" s="11" t="s">
        <v>165</v>
      </c>
      <c r="C130" s="6">
        <v>1.1337806823044305</v>
      </c>
      <c r="D130" s="6">
        <v>1.2518939393939394</v>
      </c>
    </row>
    <row r="131" spans="1:4" ht="15.75" customHeight="1">
      <c r="A131" s="10">
        <v>30601</v>
      </c>
      <c r="B131" s="11" t="s">
        <v>166</v>
      </c>
      <c r="C131" s="6">
        <v>0.92460810411120964</v>
      </c>
      <c r="D131" s="6">
        <v>1.0820105820105821</v>
      </c>
    </row>
    <row r="132" spans="1:4" ht="15.75" customHeight="1">
      <c r="A132" s="10">
        <v>30602</v>
      </c>
      <c r="B132" s="11" t="s">
        <v>167</v>
      </c>
      <c r="C132" s="6">
        <v>1.045673323092678</v>
      </c>
      <c r="D132" s="6">
        <v>1.0874999999999999</v>
      </c>
    </row>
    <row r="133" spans="1:4" ht="15.75" customHeight="1">
      <c r="A133" s="10">
        <v>30701</v>
      </c>
      <c r="B133" s="11" t="s">
        <v>168</v>
      </c>
      <c r="C133" s="6">
        <v>1.4645274584929757</v>
      </c>
      <c r="D133" s="6">
        <v>1.6202986202986205</v>
      </c>
    </row>
    <row r="134" spans="1:4" ht="15.75" customHeight="1">
      <c r="A134" s="10">
        <v>30702</v>
      </c>
      <c r="B134" s="11" t="s">
        <v>169</v>
      </c>
      <c r="C134" s="6">
        <v>1.8388888888888888</v>
      </c>
      <c r="D134" s="6">
        <v>1.4555555555555557</v>
      </c>
    </row>
    <row r="135" spans="1:4" ht="15.75" customHeight="1">
      <c r="A135" s="10">
        <v>30703</v>
      </c>
      <c r="B135" s="11" t="s">
        <v>170</v>
      </c>
      <c r="C135" s="6">
        <v>1.6055555555555558</v>
      </c>
      <c r="D135" s="6">
        <v>1.1777777777777778</v>
      </c>
    </row>
    <row r="136" spans="1:4" ht="15.75" customHeight="1">
      <c r="A136" s="10">
        <v>30801</v>
      </c>
      <c r="B136" s="11" t="s">
        <v>172</v>
      </c>
      <c r="C136" s="6">
        <v>2.0440632529098375</v>
      </c>
      <c r="D136" s="6">
        <v>1.1761556895485468</v>
      </c>
    </row>
    <row r="137" spans="1:4" ht="15.75" customHeight="1">
      <c r="A137" s="10">
        <v>30802</v>
      </c>
      <c r="B137" s="11" t="s">
        <v>173</v>
      </c>
      <c r="C137" s="6">
        <v>1.5929437564499482</v>
      </c>
      <c r="D137" s="6">
        <v>1.2490842490842491</v>
      </c>
    </row>
    <row r="138" spans="1:4" ht="15.75" customHeight="1">
      <c r="A138" s="10">
        <v>30803</v>
      </c>
      <c r="B138" s="11" t="s">
        <v>174</v>
      </c>
      <c r="C138" s="6">
        <v>2.4435897435897438</v>
      </c>
      <c r="D138" s="6">
        <v>1.0894660894660895</v>
      </c>
    </row>
    <row r="139" spans="1:4" ht="15.75" customHeight="1">
      <c r="A139" s="10">
        <v>30901</v>
      </c>
      <c r="B139" s="11" t="s">
        <v>175</v>
      </c>
      <c r="C139" s="6">
        <v>1.7120668576801312</v>
      </c>
      <c r="D139" s="6">
        <v>1.615659868696306</v>
      </c>
    </row>
    <row r="140" spans="1:4" ht="15.75" customHeight="1">
      <c r="A140" s="10">
        <v>30902</v>
      </c>
      <c r="B140" s="11" t="s">
        <v>176</v>
      </c>
      <c r="C140" s="6">
        <v>1.8159657013598463</v>
      </c>
      <c r="D140" s="6">
        <v>1.3736153103216597</v>
      </c>
    </row>
    <row r="141" spans="1:4" ht="15.75" customHeight="1">
      <c r="A141" s="10">
        <v>30903</v>
      </c>
      <c r="B141" s="11" t="s">
        <v>177</v>
      </c>
      <c r="C141" s="6">
        <v>1.5160436415184175</v>
      </c>
      <c r="D141" s="6">
        <v>1.186819374064461</v>
      </c>
    </row>
    <row r="142" spans="1:4" ht="15.75" customHeight="1">
      <c r="A142" s="10">
        <v>30904</v>
      </c>
      <c r="B142" s="11" t="s">
        <v>178</v>
      </c>
      <c r="C142" s="6">
        <v>1.7757322679629468</v>
      </c>
      <c r="D142" s="6">
        <v>1.3792016806722689</v>
      </c>
    </row>
    <row r="143" spans="1:4" ht="15.75" customHeight="1">
      <c r="A143" s="10">
        <v>30905</v>
      </c>
      <c r="B143" s="11" t="s">
        <v>179</v>
      </c>
      <c r="C143" s="6">
        <v>1.7658474348643569</v>
      </c>
      <c r="D143" s="6">
        <v>1.3562801932367148</v>
      </c>
    </row>
    <row r="144" spans="1:4" ht="15.75" customHeight="1">
      <c r="A144" s="10">
        <v>31001</v>
      </c>
      <c r="B144" s="11" t="s">
        <v>181</v>
      </c>
      <c r="C144" s="6">
        <v>1.6303734852190164</v>
      </c>
      <c r="D144" s="6">
        <v>1.4522674027253084</v>
      </c>
    </row>
    <row r="145" spans="1:4" ht="15.75" customHeight="1">
      <c r="A145" s="10">
        <v>31002</v>
      </c>
      <c r="B145" s="11" t="s">
        <v>182</v>
      </c>
      <c r="C145" s="6">
        <v>1.3358627806302223</v>
      </c>
      <c r="D145" s="6">
        <v>1.3041187739463602</v>
      </c>
    </row>
    <row r="146" spans="1:4" ht="15.75" customHeight="1">
      <c r="A146" s="10">
        <v>31003</v>
      </c>
      <c r="B146" s="11" t="s">
        <v>183</v>
      </c>
      <c r="C146" s="6">
        <v>1.5332412394462878</v>
      </c>
      <c r="D146" s="6">
        <v>1.6429202828672453</v>
      </c>
    </row>
    <row r="147" spans="1:4" ht="15.75" customHeight="1">
      <c r="A147" s="10">
        <v>31101</v>
      </c>
      <c r="B147" s="11" t="s">
        <v>184</v>
      </c>
      <c r="C147" s="6">
        <v>0.94983844069209933</v>
      </c>
      <c r="D147" s="6">
        <v>0.88744042612839935</v>
      </c>
    </row>
    <row r="148" spans="1:4" ht="15.75" customHeight="1">
      <c r="A148" s="10">
        <v>31201</v>
      </c>
      <c r="B148" s="11" t="s">
        <v>186</v>
      </c>
      <c r="C148" s="6">
        <v>1.4712475633528266</v>
      </c>
      <c r="D148" s="6">
        <v>1.2780246913580247</v>
      </c>
    </row>
    <row r="149" spans="1:4" ht="15.75" customHeight="1">
      <c r="A149" s="10">
        <v>31202</v>
      </c>
      <c r="B149" s="11" t="s">
        <v>187</v>
      </c>
      <c r="C149" s="6">
        <v>1.2236164736164736</v>
      </c>
      <c r="D149" s="6">
        <v>1.4579916815210934</v>
      </c>
    </row>
    <row r="150" spans="1:4" ht="15.75" customHeight="1">
      <c r="A150" s="10">
        <v>31203</v>
      </c>
      <c r="B150" s="11" t="s">
        <v>188</v>
      </c>
      <c r="C150" s="6">
        <v>1.1293096958747364</v>
      </c>
      <c r="D150" s="6">
        <v>1.4380952380952381</v>
      </c>
    </row>
    <row r="151" spans="1:4" ht="15.75" customHeight="1">
      <c r="A151" s="10">
        <v>31204</v>
      </c>
      <c r="B151" s="11" t="s">
        <v>189</v>
      </c>
      <c r="C151" s="6">
        <v>1.7558054973499322</v>
      </c>
      <c r="D151" s="6">
        <v>1.8279350173180875</v>
      </c>
    </row>
    <row r="152" spans="1:4" ht="15.75" customHeight="1">
      <c r="A152" s="10">
        <v>31205</v>
      </c>
      <c r="B152" s="11" t="s">
        <v>190</v>
      </c>
      <c r="C152" s="6">
        <v>1.7237416904083573</v>
      </c>
      <c r="D152" s="6">
        <v>1.450716926986426</v>
      </c>
    </row>
    <row r="153" spans="1:4" ht="15.75" customHeight="1">
      <c r="A153" s="10">
        <v>31206</v>
      </c>
      <c r="B153" s="11" t="s">
        <v>191</v>
      </c>
      <c r="C153" s="6">
        <v>1.8465755799373567</v>
      </c>
      <c r="D153" s="6">
        <v>1.3791291291291292</v>
      </c>
    </row>
    <row r="154" spans="1:4" ht="15.75" customHeight="1">
      <c r="A154" s="10">
        <v>31301</v>
      </c>
      <c r="B154" s="11" t="s">
        <v>192</v>
      </c>
      <c r="C154" s="6">
        <v>1.297889684581248</v>
      </c>
      <c r="D154" s="6">
        <v>1.1948115359481155</v>
      </c>
    </row>
    <row r="155" spans="1:4" ht="15.75" customHeight="1">
      <c r="A155" s="10">
        <v>31302</v>
      </c>
      <c r="B155" s="11" t="s">
        <v>193</v>
      </c>
      <c r="C155" s="6">
        <v>1.576328502415459</v>
      </c>
      <c r="D155" s="6">
        <v>1.4777777777777779</v>
      </c>
    </row>
    <row r="156" spans="1:4" ht="15.75" customHeight="1">
      <c r="A156" s="10">
        <v>31303</v>
      </c>
      <c r="B156" s="11" t="s">
        <v>194</v>
      </c>
      <c r="C156" s="6">
        <v>1.3182539682539682</v>
      </c>
      <c r="D156" s="6">
        <v>0.91666666666666663</v>
      </c>
    </row>
    <row r="157" spans="1:4" ht="15.75" customHeight="1">
      <c r="A157" s="10">
        <v>31304</v>
      </c>
      <c r="B157" s="11" t="s">
        <v>195</v>
      </c>
      <c r="C157" s="6">
        <v>1.0474816305744843</v>
      </c>
      <c r="D157" s="6">
        <v>1.2823163138231632</v>
      </c>
    </row>
    <row r="158" spans="1:4" ht="15.75" customHeight="1">
      <c r="A158" s="10">
        <v>31401</v>
      </c>
      <c r="B158" s="11" t="s">
        <v>196</v>
      </c>
      <c r="C158" s="6">
        <v>1.588512241054614</v>
      </c>
      <c r="D158" s="6">
        <v>1.1920727117623444</v>
      </c>
    </row>
    <row r="159" spans="1:4" ht="15.75" customHeight="1">
      <c r="A159" s="10">
        <v>31402</v>
      </c>
      <c r="B159" s="11" t="s">
        <v>197</v>
      </c>
      <c r="C159" s="6">
        <v>1.2702020202020201</v>
      </c>
      <c r="D159" s="6">
        <v>1.2980392156862746</v>
      </c>
    </row>
    <row r="160" spans="1:4" ht="15.75" customHeight="1">
      <c r="A160" s="10">
        <v>31403</v>
      </c>
      <c r="B160" s="11" t="s">
        <v>198</v>
      </c>
      <c r="C160" s="6">
        <v>1.7817317916002127</v>
      </c>
      <c r="D160" s="6">
        <v>1.8270202020202018</v>
      </c>
    </row>
    <row r="161" spans="1:4" ht="15.75" customHeight="1">
      <c r="A161" s="10">
        <v>31404</v>
      </c>
      <c r="B161" s="11" t="s">
        <v>199</v>
      </c>
      <c r="C161" s="6">
        <v>2</v>
      </c>
      <c r="D161" s="6"/>
    </row>
    <row r="162" spans="1:4" ht="15.75" customHeight="1">
      <c r="A162" s="10">
        <v>31405</v>
      </c>
      <c r="B162" s="11" t="s">
        <v>200</v>
      </c>
      <c r="C162" s="6">
        <v>0.30158730158730157</v>
      </c>
      <c r="D162" s="6"/>
    </row>
    <row r="163" spans="1:4" ht="15.75" customHeight="1">
      <c r="A163" s="10">
        <v>31501</v>
      </c>
      <c r="B163" s="11" t="s">
        <v>201</v>
      </c>
      <c r="C163" s="6">
        <v>0.99065934065934069</v>
      </c>
      <c r="D163" s="6">
        <v>1.1388888888888891</v>
      </c>
    </row>
    <row r="164" spans="1:4" ht="15.75" customHeight="1">
      <c r="A164" s="10">
        <v>31601</v>
      </c>
      <c r="B164" s="11" t="s">
        <v>202</v>
      </c>
      <c r="C164" s="6">
        <v>1.5768501806670177</v>
      </c>
      <c r="D164" s="6">
        <v>1.4878189561116388</v>
      </c>
    </row>
    <row r="165" spans="1:4" ht="15.75" customHeight="1">
      <c r="A165" s="10">
        <v>31602</v>
      </c>
      <c r="B165" s="11" t="s">
        <v>203</v>
      </c>
      <c r="C165" s="6">
        <v>1.631578947368421</v>
      </c>
      <c r="D165" s="6">
        <v>1.2291874791874793</v>
      </c>
    </row>
    <row r="166" spans="1:4" ht="15.75" customHeight="1">
      <c r="A166" s="10">
        <v>40101</v>
      </c>
      <c r="B166" s="11" t="s">
        <v>204</v>
      </c>
      <c r="C166" s="6">
        <v>1.7781898204852684</v>
      </c>
      <c r="D166" s="6">
        <v>1.3996591957372253</v>
      </c>
    </row>
    <row r="167" spans="1:4" ht="15.75" customHeight="1">
      <c r="A167" s="10">
        <v>40102</v>
      </c>
      <c r="B167" s="11" t="s">
        <v>205</v>
      </c>
      <c r="C167" s="6">
        <v>1.1552449965493443</v>
      </c>
      <c r="D167" s="6">
        <v>1.587962962962963</v>
      </c>
    </row>
    <row r="168" spans="1:4" ht="15.75" customHeight="1">
      <c r="A168" s="10">
        <v>40103</v>
      </c>
      <c r="B168" s="11" t="s">
        <v>206</v>
      </c>
      <c r="C168" s="6">
        <v>0.96666666666666667</v>
      </c>
      <c r="D168" s="6">
        <v>1.7142857142857144</v>
      </c>
    </row>
    <row r="169" spans="1:4" ht="15.75" customHeight="1">
      <c r="A169" s="10">
        <v>40104</v>
      </c>
      <c r="B169" s="11" t="s">
        <v>207</v>
      </c>
      <c r="C169" s="6">
        <v>1.0041654082351756</v>
      </c>
      <c r="D169" s="6">
        <v>0.99433769609208211</v>
      </c>
    </row>
    <row r="170" spans="1:4" ht="15.75" customHeight="1">
      <c r="A170" s="10">
        <v>40201</v>
      </c>
      <c r="B170" s="11" t="s">
        <v>209</v>
      </c>
      <c r="C170" s="6">
        <v>1.3949842109128294</v>
      </c>
      <c r="D170" s="6">
        <v>1.2231005709266578</v>
      </c>
    </row>
    <row r="171" spans="1:4" ht="15.75" customHeight="1">
      <c r="A171" s="10">
        <v>40202</v>
      </c>
      <c r="B171" s="11" t="s">
        <v>210</v>
      </c>
      <c r="C171" s="6">
        <v>0.93518518518518512</v>
      </c>
      <c r="D171" s="6">
        <v>1.0999999999999999</v>
      </c>
    </row>
    <row r="172" spans="1:4" ht="15.75" customHeight="1">
      <c r="A172" s="10">
        <v>40301</v>
      </c>
      <c r="B172" s="11" t="s">
        <v>212</v>
      </c>
      <c r="C172" s="6">
        <v>0.96458704693998809</v>
      </c>
      <c r="D172" s="6">
        <v>1.1843434343434345</v>
      </c>
    </row>
    <row r="173" spans="1:4" ht="15.75" customHeight="1">
      <c r="A173" s="10">
        <v>40302</v>
      </c>
      <c r="B173" s="11" t="s">
        <v>213</v>
      </c>
      <c r="C173" s="6">
        <v>1.1111111111111112</v>
      </c>
      <c r="D173" s="6"/>
    </row>
    <row r="174" spans="1:4" ht="15.75" customHeight="1">
      <c r="A174" s="10">
        <v>40401</v>
      </c>
      <c r="B174" s="11" t="s">
        <v>215</v>
      </c>
      <c r="C174" s="6">
        <v>0.79629629629629628</v>
      </c>
      <c r="D174" s="6">
        <v>1.8888888888888886</v>
      </c>
    </row>
    <row r="175" spans="1:4" ht="15.75" customHeight="1">
      <c r="A175" s="10">
        <v>40402</v>
      </c>
      <c r="B175" s="11" t="s">
        <v>216</v>
      </c>
      <c r="C175" s="6">
        <v>0.794047619047619</v>
      </c>
      <c r="D175" s="6">
        <v>1.0222222222222221</v>
      </c>
    </row>
    <row r="176" spans="1:4" ht="15.75" customHeight="1">
      <c r="A176" s="10">
        <v>40501</v>
      </c>
      <c r="B176" s="11" t="s">
        <v>218</v>
      </c>
      <c r="C176" s="6">
        <v>0.9</v>
      </c>
      <c r="D176" s="6">
        <v>2</v>
      </c>
    </row>
    <row r="177" spans="1:4" ht="15.75" customHeight="1">
      <c r="A177" s="10">
        <v>40502</v>
      </c>
      <c r="B177" s="11" t="s">
        <v>219</v>
      </c>
      <c r="C177" s="6">
        <v>1.3333333333333333</v>
      </c>
      <c r="D177" s="6">
        <v>1</v>
      </c>
    </row>
    <row r="178" spans="1:4" ht="15.75" customHeight="1">
      <c r="A178" s="10">
        <v>40503</v>
      </c>
      <c r="B178" s="11" t="s">
        <v>220</v>
      </c>
      <c r="C178" s="6">
        <v>0</v>
      </c>
      <c r="D178" s="6"/>
    </row>
    <row r="179" spans="1:4" ht="15.75" customHeight="1">
      <c r="A179" s="10">
        <v>40504</v>
      </c>
      <c r="B179" s="11" t="s">
        <v>221</v>
      </c>
      <c r="C179" s="6">
        <v>1</v>
      </c>
      <c r="D179" s="6"/>
    </row>
    <row r="180" spans="1:4" ht="15.75" customHeight="1">
      <c r="A180" s="10">
        <v>40505</v>
      </c>
      <c r="B180" s="11" t="s">
        <v>222</v>
      </c>
      <c r="C180" s="6">
        <v>0</v>
      </c>
      <c r="D180" s="6"/>
    </row>
    <row r="181" spans="1:4" ht="15.75" customHeight="1">
      <c r="A181" s="10">
        <v>40601</v>
      </c>
      <c r="B181" s="11" t="s">
        <v>223</v>
      </c>
      <c r="C181" s="6">
        <v>1.4345238095238095</v>
      </c>
      <c r="D181" s="6">
        <v>1.5925925925925926</v>
      </c>
    </row>
    <row r="182" spans="1:4" ht="15.75" customHeight="1">
      <c r="A182" s="10">
        <v>40602</v>
      </c>
      <c r="B182" s="11" t="s">
        <v>224</v>
      </c>
      <c r="C182" s="6">
        <v>1.1329365079365079</v>
      </c>
      <c r="D182" s="6">
        <v>2.3083333333333331</v>
      </c>
    </row>
    <row r="183" spans="1:4" ht="15.75" customHeight="1">
      <c r="A183" s="10">
        <v>40603</v>
      </c>
      <c r="B183" s="11" t="s">
        <v>225</v>
      </c>
      <c r="C183" s="6">
        <v>0.84761904761904761</v>
      </c>
      <c r="D183" s="6">
        <v>0</v>
      </c>
    </row>
    <row r="184" spans="1:4" ht="15.75" customHeight="1">
      <c r="A184" s="10">
        <v>40701</v>
      </c>
      <c r="B184" s="11" t="s">
        <v>227</v>
      </c>
      <c r="C184" s="6">
        <v>1.6371598884931309</v>
      </c>
      <c r="D184" s="6">
        <v>1.4218500797448168</v>
      </c>
    </row>
    <row r="185" spans="1:4" ht="15.75" customHeight="1">
      <c r="A185" s="10">
        <v>40702</v>
      </c>
      <c r="B185" s="11" t="s">
        <v>228</v>
      </c>
      <c r="C185" s="6">
        <v>1.6458333333333333</v>
      </c>
      <c r="D185" s="6">
        <v>1.0550925925925927</v>
      </c>
    </row>
    <row r="186" spans="1:4" ht="15.75" customHeight="1">
      <c r="A186" s="10">
        <v>40801</v>
      </c>
      <c r="B186" s="11" t="s">
        <v>230</v>
      </c>
      <c r="C186" s="6">
        <v>1.292684325192065</v>
      </c>
      <c r="D186" s="6">
        <v>1.2238095238095237</v>
      </c>
    </row>
    <row r="187" spans="1:4" ht="15.75" customHeight="1">
      <c r="A187" s="10">
        <v>40802</v>
      </c>
      <c r="B187" s="11" t="s">
        <v>231</v>
      </c>
      <c r="C187" s="6">
        <v>0.75555555555555554</v>
      </c>
      <c r="D187" s="6">
        <v>0.83333333333333337</v>
      </c>
    </row>
    <row r="188" spans="1:4" ht="15.75" customHeight="1">
      <c r="A188" s="10">
        <v>40901</v>
      </c>
      <c r="B188" s="11" t="s">
        <v>232</v>
      </c>
      <c r="C188" s="6">
        <v>0.65714285714285714</v>
      </c>
      <c r="D188" s="6">
        <v>1.5666666666666667</v>
      </c>
    </row>
    <row r="189" spans="1:4" ht="15.75" customHeight="1">
      <c r="A189" s="10">
        <v>40902</v>
      </c>
      <c r="B189" s="11" t="s">
        <v>233</v>
      </c>
      <c r="C189" s="6">
        <v>1</v>
      </c>
      <c r="D189" s="6">
        <v>0</v>
      </c>
    </row>
    <row r="190" spans="1:4" ht="15.75" customHeight="1">
      <c r="A190" s="10">
        <v>40903</v>
      </c>
      <c r="B190" s="11" t="s">
        <v>234</v>
      </c>
      <c r="C190" s="6">
        <v>0.7525252525252526</v>
      </c>
      <c r="D190" s="6">
        <v>1.3666666666666665</v>
      </c>
    </row>
    <row r="191" spans="1:4" ht="15.75" customHeight="1">
      <c r="A191" s="10">
        <v>41001</v>
      </c>
      <c r="B191" s="11" t="s">
        <v>236</v>
      </c>
      <c r="C191" s="6">
        <v>0.8224177256435321</v>
      </c>
      <c r="D191" s="6">
        <v>2.4666666666666668</v>
      </c>
    </row>
    <row r="192" spans="1:4" ht="15.75" customHeight="1">
      <c r="A192" s="10">
        <v>41101</v>
      </c>
      <c r="B192" s="11" t="s">
        <v>238</v>
      </c>
      <c r="C192" s="6">
        <v>1.5714285714285714</v>
      </c>
      <c r="D192" s="6">
        <v>0.72727272727272718</v>
      </c>
    </row>
    <row r="193" spans="1:4" ht="15.75" customHeight="1">
      <c r="A193" s="10">
        <v>41201</v>
      </c>
      <c r="B193" s="11" t="s">
        <v>240</v>
      </c>
      <c r="C193" s="6">
        <v>1.5252525252525253</v>
      </c>
      <c r="D193" s="6">
        <v>3.1666666666666665</v>
      </c>
    </row>
    <row r="194" spans="1:4" ht="15.75" customHeight="1">
      <c r="A194" s="10">
        <v>41202</v>
      </c>
      <c r="B194" s="11" t="s">
        <v>241</v>
      </c>
      <c r="C194" s="6">
        <v>2.5</v>
      </c>
      <c r="D194" s="6">
        <v>0.8666666666666667</v>
      </c>
    </row>
    <row r="195" spans="1:4" ht="15.75" customHeight="1">
      <c r="A195" s="10">
        <v>41301</v>
      </c>
      <c r="B195" s="11" t="s">
        <v>242</v>
      </c>
      <c r="C195" s="6">
        <v>1.1906432748538012</v>
      </c>
      <c r="D195" s="6">
        <v>0.75982905982905979</v>
      </c>
    </row>
    <row r="196" spans="1:4" ht="15.75" customHeight="1">
      <c r="A196" s="10">
        <v>41401</v>
      </c>
      <c r="B196" s="11" t="s">
        <v>244</v>
      </c>
      <c r="C196" s="6">
        <v>1.1764761365780041</v>
      </c>
      <c r="D196" s="6">
        <v>2.6333333333333333</v>
      </c>
    </row>
    <row r="197" spans="1:4" ht="15.75" customHeight="1">
      <c r="A197" s="10">
        <v>41501</v>
      </c>
      <c r="B197" s="11" t="s">
        <v>246</v>
      </c>
      <c r="C197" s="6">
        <v>1</v>
      </c>
      <c r="D197" s="6">
        <v>0.25</v>
      </c>
    </row>
    <row r="198" spans="1:4" ht="15.75" customHeight="1">
      <c r="A198" s="10">
        <v>41502</v>
      </c>
      <c r="B198" s="11" t="s">
        <v>247</v>
      </c>
      <c r="C198" s="6">
        <v>3</v>
      </c>
      <c r="D198" s="6">
        <v>0</v>
      </c>
    </row>
    <row r="199" spans="1:4" ht="15.75" customHeight="1">
      <c r="A199" s="10">
        <v>41503</v>
      </c>
      <c r="B199" s="11" t="s">
        <v>211</v>
      </c>
      <c r="C199" s="6">
        <v>0</v>
      </c>
      <c r="D199" s="6"/>
    </row>
    <row r="200" spans="1:4" ht="15.75" customHeight="1">
      <c r="A200" s="10">
        <v>41601</v>
      </c>
      <c r="B200" s="11" t="s">
        <v>249</v>
      </c>
      <c r="C200" s="6">
        <v>1.5102564102564102</v>
      </c>
      <c r="D200" s="6">
        <v>1.8333333333333333</v>
      </c>
    </row>
    <row r="201" spans="1:4" ht="15.75" customHeight="1">
      <c r="A201" s="10">
        <v>50101</v>
      </c>
      <c r="B201" s="11" t="s">
        <v>250</v>
      </c>
      <c r="C201" s="6">
        <v>1.7724703748812576</v>
      </c>
      <c r="D201" s="6">
        <v>1.422310783441219</v>
      </c>
    </row>
    <row r="202" spans="1:4" ht="15.75" customHeight="1">
      <c r="A202" s="10">
        <v>50102</v>
      </c>
      <c r="B202" s="11" t="s">
        <v>252</v>
      </c>
      <c r="C202" s="6">
        <v>0.99346202881351209</v>
      </c>
      <c r="D202" s="6">
        <v>1.368487394957983</v>
      </c>
    </row>
    <row r="203" spans="1:4" ht="15.75" customHeight="1">
      <c r="A203" s="10">
        <v>50103</v>
      </c>
      <c r="B203" s="11" t="s">
        <v>253</v>
      </c>
      <c r="C203" s="6">
        <v>2.0370552818828682</v>
      </c>
      <c r="D203" s="6">
        <v>2.4126984126984126</v>
      </c>
    </row>
    <row r="204" spans="1:4" ht="15.75" customHeight="1">
      <c r="A204" s="10">
        <v>50104</v>
      </c>
      <c r="B204" s="11" t="s">
        <v>254</v>
      </c>
      <c r="C204" s="6">
        <v>1.6111111111111109</v>
      </c>
      <c r="D204" s="6"/>
    </row>
    <row r="205" spans="1:4" ht="15.75" customHeight="1">
      <c r="A205" s="10">
        <v>50201</v>
      </c>
      <c r="B205" s="11" t="s">
        <v>256</v>
      </c>
      <c r="C205" s="6">
        <v>1.3860075026063363</v>
      </c>
      <c r="D205" s="6">
        <v>1.2213994385295832</v>
      </c>
    </row>
    <row r="206" spans="1:4" ht="15.75" customHeight="1">
      <c r="A206" s="10">
        <v>50202</v>
      </c>
      <c r="B206" s="11" t="s">
        <v>257</v>
      </c>
      <c r="C206" s="6">
        <v>1.0557343057343056</v>
      </c>
      <c r="D206" s="6">
        <v>0.98081232492997206</v>
      </c>
    </row>
    <row r="207" spans="1:4" ht="15.75" customHeight="1">
      <c r="A207" s="10">
        <v>50203</v>
      </c>
      <c r="B207" s="11" t="s">
        <v>258</v>
      </c>
      <c r="C207" s="6">
        <v>1.5957697273486746</v>
      </c>
      <c r="D207" s="6">
        <v>1.3123342175066313</v>
      </c>
    </row>
    <row r="208" spans="1:4" ht="15.75" customHeight="1">
      <c r="A208" s="10">
        <v>50204</v>
      </c>
      <c r="B208" s="11" t="s">
        <v>259</v>
      </c>
      <c r="C208" s="6">
        <v>0.94285714285714284</v>
      </c>
      <c r="D208" s="6">
        <v>2.6488095238095237</v>
      </c>
    </row>
    <row r="209" spans="1:4" ht="15.75" customHeight="1">
      <c r="A209" s="10">
        <v>50301</v>
      </c>
      <c r="B209" s="11" t="s">
        <v>261</v>
      </c>
      <c r="C209" s="6">
        <v>1.1531493155114543</v>
      </c>
      <c r="D209" s="6">
        <v>1.6554972804972807</v>
      </c>
    </row>
    <row r="210" spans="1:4" ht="15.75" customHeight="1">
      <c r="A210" s="10">
        <v>50302</v>
      </c>
      <c r="B210" s="11" t="s">
        <v>262</v>
      </c>
      <c r="C210" s="6">
        <v>1.6404269293924465</v>
      </c>
      <c r="D210" s="6">
        <v>1.6333333333333335</v>
      </c>
    </row>
    <row r="211" spans="1:4" ht="15.75" customHeight="1">
      <c r="A211" s="10">
        <v>50303</v>
      </c>
      <c r="B211" s="11" t="s">
        <v>263</v>
      </c>
      <c r="C211" s="6">
        <v>1.0299948273632484</v>
      </c>
      <c r="D211" s="6">
        <v>1.2797619047619049</v>
      </c>
    </row>
    <row r="212" spans="1:4" ht="15.75" customHeight="1">
      <c r="A212" s="10">
        <v>50401</v>
      </c>
      <c r="B212" s="11" t="s">
        <v>264</v>
      </c>
      <c r="C212" s="6">
        <v>1.1513749822766073</v>
      </c>
      <c r="D212" s="6">
        <v>1.3189429198095544</v>
      </c>
    </row>
    <row r="213" spans="1:4" ht="15.75" customHeight="1">
      <c r="A213" s="10">
        <v>50402</v>
      </c>
      <c r="B213" s="11" t="s">
        <v>265</v>
      </c>
      <c r="C213" s="6">
        <v>1.1360846097688204</v>
      </c>
      <c r="D213" s="6">
        <v>1.8276014109347443</v>
      </c>
    </row>
    <row r="214" spans="1:4" ht="15.75" customHeight="1">
      <c r="A214" s="10">
        <v>50403</v>
      </c>
      <c r="B214" s="11" t="s">
        <v>266</v>
      </c>
      <c r="C214" s="6">
        <v>1.0797610109654079</v>
      </c>
      <c r="D214" s="6">
        <v>0.94424091662897636</v>
      </c>
    </row>
    <row r="215" spans="1:4" ht="15.75" customHeight="1">
      <c r="A215" s="10">
        <v>50404</v>
      </c>
      <c r="B215" s="11" t="s">
        <v>267</v>
      </c>
      <c r="C215" s="6">
        <v>1.2171557349372992</v>
      </c>
      <c r="D215" s="6">
        <v>1.9891443167305234</v>
      </c>
    </row>
    <row r="216" spans="1:4" ht="15.75" customHeight="1">
      <c r="A216" s="10">
        <v>50405</v>
      </c>
      <c r="B216" s="11" t="s">
        <v>268</v>
      </c>
      <c r="C216" s="6">
        <v>1.1513749822766073</v>
      </c>
      <c r="D216" s="6">
        <v>1.3440860215053763</v>
      </c>
    </row>
    <row r="217" spans="1:4" ht="15.75" customHeight="1">
      <c r="A217" s="10">
        <v>50501</v>
      </c>
      <c r="B217" s="11" t="s">
        <v>270</v>
      </c>
      <c r="C217" s="6">
        <v>1.0234556213166839</v>
      </c>
      <c r="D217" s="6">
        <v>1.0999135183803059</v>
      </c>
    </row>
    <row r="218" spans="1:4" ht="15.75" customHeight="1">
      <c r="A218" s="10">
        <v>50502</v>
      </c>
      <c r="B218" s="11" t="s">
        <v>271</v>
      </c>
      <c r="C218" s="6">
        <v>1.0724053724053724</v>
      </c>
      <c r="D218" s="6">
        <v>1.0819645732689211</v>
      </c>
    </row>
    <row r="219" spans="1:4" ht="15.75" customHeight="1">
      <c r="A219" s="10">
        <v>50601</v>
      </c>
      <c r="B219" s="11" t="s">
        <v>273</v>
      </c>
      <c r="C219" s="6">
        <v>1.1860981550877379</v>
      </c>
      <c r="D219" s="6">
        <v>1.1285619023803568</v>
      </c>
    </row>
    <row r="220" spans="1:4" ht="15.75" customHeight="1">
      <c r="A220" s="10">
        <v>50602</v>
      </c>
      <c r="B220" s="11" t="s">
        <v>274</v>
      </c>
      <c r="C220" s="6">
        <v>1.4170376685295694</v>
      </c>
      <c r="D220" s="6">
        <v>2.0555555555555558</v>
      </c>
    </row>
    <row r="221" spans="1:4" ht="15.75" customHeight="1">
      <c r="A221" s="10">
        <v>50701</v>
      </c>
      <c r="B221" s="11" t="s">
        <v>276</v>
      </c>
      <c r="C221" s="6">
        <v>0.84741738225344776</v>
      </c>
      <c r="D221" s="6">
        <v>1.6150183150183153</v>
      </c>
    </row>
    <row r="222" spans="1:4" ht="15.75" customHeight="1">
      <c r="A222" s="10">
        <v>50702</v>
      </c>
      <c r="B222" s="11" t="s">
        <v>277</v>
      </c>
      <c r="C222" s="6">
        <v>0.97579202767882001</v>
      </c>
      <c r="D222" s="6">
        <v>1.1556618819776714</v>
      </c>
    </row>
    <row r="223" spans="1:4" ht="15.75" customHeight="1">
      <c r="A223" s="10">
        <v>50801</v>
      </c>
      <c r="B223" s="11" t="s">
        <v>279</v>
      </c>
      <c r="C223" s="6">
        <v>1.3997416020671833</v>
      </c>
      <c r="D223" s="6">
        <v>1.5264423076923077</v>
      </c>
    </row>
    <row r="224" spans="1:4" ht="15.75" customHeight="1">
      <c r="A224" s="10">
        <v>50802</v>
      </c>
      <c r="B224" s="11" t="s">
        <v>280</v>
      </c>
      <c r="C224" s="6">
        <v>1.0767356425251162</v>
      </c>
      <c r="D224" s="6">
        <v>1.3462962962962963</v>
      </c>
    </row>
    <row r="225" spans="1:4" ht="15.75" customHeight="1">
      <c r="A225" s="10">
        <v>50901</v>
      </c>
      <c r="B225" s="11" t="s">
        <v>282</v>
      </c>
      <c r="C225" s="6">
        <v>1.111858076563959</v>
      </c>
      <c r="D225" s="6">
        <v>1.0692307692307692</v>
      </c>
    </row>
    <row r="226" spans="1:4" ht="15.75" customHeight="1">
      <c r="A226" s="10">
        <v>50902</v>
      </c>
      <c r="B226" s="11" t="s">
        <v>283</v>
      </c>
      <c r="C226" s="6">
        <v>8</v>
      </c>
      <c r="D226" s="6">
        <v>1</v>
      </c>
    </row>
    <row r="227" spans="1:4" ht="15.75" customHeight="1">
      <c r="A227" s="10">
        <v>51001</v>
      </c>
      <c r="B227" s="11" t="s">
        <v>285</v>
      </c>
      <c r="C227" s="6">
        <v>0.90909090909090917</v>
      </c>
      <c r="D227" s="6">
        <v>1.75</v>
      </c>
    </row>
    <row r="228" spans="1:4" ht="15.75" customHeight="1">
      <c r="A228" s="10">
        <v>51002</v>
      </c>
      <c r="B228" s="11" t="s">
        <v>286</v>
      </c>
      <c r="C228" s="6">
        <v>0.33333333333333331</v>
      </c>
      <c r="D228" s="6"/>
    </row>
    <row r="229" spans="1:4" ht="15.75" customHeight="1">
      <c r="A229" s="10">
        <v>51003</v>
      </c>
      <c r="B229" s="11" t="s">
        <v>287</v>
      </c>
      <c r="C229" s="6">
        <v>2.5555555555555558</v>
      </c>
      <c r="D229" s="6">
        <v>0.5</v>
      </c>
    </row>
    <row r="230" spans="1:4" ht="15.75" customHeight="1">
      <c r="A230" s="10">
        <v>51101</v>
      </c>
      <c r="B230" s="11" t="s">
        <v>289</v>
      </c>
      <c r="C230" s="6">
        <v>1.1362225683059464</v>
      </c>
      <c r="D230" s="6">
        <v>0.92902874902874899</v>
      </c>
    </row>
    <row r="231" spans="1:4" ht="15.75" customHeight="1">
      <c r="A231" s="10">
        <v>51102</v>
      </c>
      <c r="B231" s="11" t="s">
        <v>290</v>
      </c>
      <c r="C231" s="6">
        <v>1.4661654135338347</v>
      </c>
      <c r="D231" s="6">
        <v>1.1462450592885374</v>
      </c>
    </row>
    <row r="232" spans="1:4" ht="15.75" customHeight="1">
      <c r="A232" s="10">
        <v>51103</v>
      </c>
      <c r="B232" s="11" t="s">
        <v>291</v>
      </c>
      <c r="C232" s="6">
        <v>1.0113636363636365</v>
      </c>
      <c r="D232" s="6">
        <v>2.1235431235431235</v>
      </c>
    </row>
    <row r="233" spans="1:4" ht="15.75" customHeight="1">
      <c r="A233" s="10">
        <v>51201</v>
      </c>
      <c r="B233" s="11" t="s">
        <v>293</v>
      </c>
      <c r="C233" s="6">
        <v>1.5139400022304006</v>
      </c>
      <c r="D233" s="6">
        <v>1.4447348044909021</v>
      </c>
    </row>
    <row r="234" spans="1:4" ht="15.75" customHeight="1">
      <c r="A234" s="10">
        <v>51202</v>
      </c>
      <c r="B234" s="11" t="s">
        <v>294</v>
      </c>
      <c r="C234" s="6">
        <v>1.4710640236956027</v>
      </c>
      <c r="D234" s="6">
        <v>1.5423280423280421</v>
      </c>
    </row>
    <row r="235" spans="1:4" ht="15.75" customHeight="1">
      <c r="A235" s="10">
        <v>51203</v>
      </c>
      <c r="B235" s="11" t="s">
        <v>295</v>
      </c>
      <c r="C235" s="6">
        <v>0.98301994301994311</v>
      </c>
      <c r="D235" s="6">
        <v>1.6082251082251082</v>
      </c>
    </row>
    <row r="236" spans="1:4" ht="15.75" customHeight="1">
      <c r="A236" s="10">
        <v>51204</v>
      </c>
      <c r="B236" s="11" t="s">
        <v>296</v>
      </c>
      <c r="C236" s="6">
        <v>1.4710640236956027</v>
      </c>
      <c r="D236" s="6">
        <v>1.3968253968253967</v>
      </c>
    </row>
    <row r="237" spans="1:4" ht="15.75" customHeight="1">
      <c r="A237" s="10">
        <v>51301</v>
      </c>
      <c r="B237" s="11" t="s">
        <v>298</v>
      </c>
      <c r="C237" s="6">
        <v>1.04206510190283</v>
      </c>
      <c r="D237" s="6">
        <v>1.2483974358974359</v>
      </c>
    </row>
    <row r="238" spans="1:4" ht="15.75" customHeight="1">
      <c r="A238" s="10">
        <v>51302</v>
      </c>
      <c r="B238" s="11" t="s">
        <v>299</v>
      </c>
      <c r="C238" s="6">
        <v>2.2070707070707072</v>
      </c>
      <c r="D238" s="6">
        <v>1.0029411764705882</v>
      </c>
    </row>
    <row r="239" spans="1:4" ht="15.75" customHeight="1">
      <c r="A239" s="10">
        <v>51401</v>
      </c>
      <c r="B239" s="11" t="s">
        <v>301</v>
      </c>
      <c r="C239" s="6">
        <v>1.6346153846153844</v>
      </c>
      <c r="D239" s="6">
        <v>0.6594516594516594</v>
      </c>
    </row>
    <row r="240" spans="1:4" ht="15.75" customHeight="1">
      <c r="A240" s="10">
        <v>51402</v>
      </c>
      <c r="B240" s="11" t="s">
        <v>302</v>
      </c>
      <c r="C240" s="6">
        <v>0.98888888888888893</v>
      </c>
      <c r="D240" s="6">
        <v>1</v>
      </c>
    </row>
    <row r="241" spans="1:4" ht="15.75" customHeight="1">
      <c r="A241" s="10">
        <v>51501</v>
      </c>
      <c r="B241" s="11" t="s">
        <v>304</v>
      </c>
      <c r="C241" s="6">
        <v>1.3789112283014724</v>
      </c>
      <c r="D241" s="6">
        <v>1.5906851768920733</v>
      </c>
    </row>
    <row r="242" spans="1:4" ht="15.75" customHeight="1">
      <c r="A242" s="10">
        <v>51601</v>
      </c>
      <c r="B242" s="11" t="s">
        <v>306</v>
      </c>
      <c r="C242" s="6">
        <v>1.4880952380952381</v>
      </c>
      <c r="D242" s="6">
        <v>0.5</v>
      </c>
    </row>
    <row r="243" spans="1:4" ht="15.75" customHeight="1">
      <c r="A243" s="10">
        <v>60101</v>
      </c>
      <c r="B243" s="11" t="s">
        <v>307</v>
      </c>
      <c r="C243" s="6">
        <v>1.6520495611254582</v>
      </c>
      <c r="D243" s="6">
        <v>1.3504860489034869</v>
      </c>
    </row>
    <row r="244" spans="1:4" ht="15.75" customHeight="1">
      <c r="A244" s="10">
        <v>60201</v>
      </c>
      <c r="B244" s="11" t="s">
        <v>309</v>
      </c>
      <c r="C244" s="6">
        <v>1.5371598663871897</v>
      </c>
      <c r="D244" s="6">
        <v>2.4121212121212121</v>
      </c>
    </row>
    <row r="245" spans="1:4" ht="15.75" customHeight="1">
      <c r="A245" s="10">
        <v>60202</v>
      </c>
      <c r="B245" s="11" t="s">
        <v>310</v>
      </c>
      <c r="C245" s="6">
        <v>1.6023090676883782</v>
      </c>
      <c r="D245" s="6">
        <v>1.8138888888888889</v>
      </c>
    </row>
    <row r="246" spans="1:4" ht="15.75" customHeight="1">
      <c r="A246" s="10">
        <v>60301</v>
      </c>
      <c r="B246" s="11" t="s">
        <v>312</v>
      </c>
      <c r="C246" s="6">
        <v>1.5057474053746607</v>
      </c>
      <c r="D246" s="6">
        <v>1.6222649319929037</v>
      </c>
    </row>
    <row r="247" spans="1:4" ht="15.75" customHeight="1">
      <c r="A247" s="10">
        <v>60302</v>
      </c>
      <c r="B247" s="11" t="s">
        <v>313</v>
      </c>
      <c r="C247" s="6">
        <v>1.3468713583624663</v>
      </c>
      <c r="D247" s="6">
        <v>1.7916666666666667</v>
      </c>
    </row>
    <row r="248" spans="1:4" ht="15.75" customHeight="1">
      <c r="A248" s="10">
        <v>60303</v>
      </c>
      <c r="B248" s="11" t="s">
        <v>314</v>
      </c>
      <c r="C248" s="6">
        <v>1.5723041754752742</v>
      </c>
      <c r="D248" s="6">
        <v>1.6619774419873383</v>
      </c>
    </row>
    <row r="249" spans="1:4" ht="15.75" customHeight="1">
      <c r="A249" s="10">
        <v>60401</v>
      </c>
      <c r="B249" s="11" t="s">
        <v>316</v>
      </c>
      <c r="C249" s="6">
        <v>0.94796312815938144</v>
      </c>
      <c r="D249" s="6">
        <v>1.8353174603174602</v>
      </c>
    </row>
    <row r="250" spans="1:4" ht="15.75" customHeight="1">
      <c r="A250" s="10">
        <v>60402</v>
      </c>
      <c r="B250" s="11" t="s">
        <v>317</v>
      </c>
      <c r="C250" s="6">
        <v>1.8813131313131315</v>
      </c>
      <c r="D250" s="6">
        <v>1.3841269841269843</v>
      </c>
    </row>
    <row r="251" spans="1:4" ht="15.75" customHeight="1">
      <c r="A251" s="10">
        <v>60501</v>
      </c>
      <c r="B251" s="11" t="s">
        <v>319</v>
      </c>
      <c r="C251" s="6">
        <v>1.5269859742761402</v>
      </c>
      <c r="D251" s="6">
        <v>1.7043478260869567</v>
      </c>
    </row>
    <row r="252" spans="1:4" ht="15.75" customHeight="1">
      <c r="A252" s="10">
        <v>60502</v>
      </c>
      <c r="B252" s="11" t="s">
        <v>320</v>
      </c>
      <c r="C252" s="6">
        <v>1.4181759042414779</v>
      </c>
      <c r="D252" s="6">
        <v>1.6793650793650794</v>
      </c>
    </row>
    <row r="253" spans="1:4" ht="15.75" customHeight="1">
      <c r="A253" s="10">
        <v>60601</v>
      </c>
      <c r="B253" s="11" t="s">
        <v>191</v>
      </c>
      <c r="C253" s="6">
        <v>1.2920243262135667</v>
      </c>
      <c r="D253" s="6">
        <v>1.4097371565113501</v>
      </c>
    </row>
    <row r="254" spans="1:4" ht="15.75" customHeight="1">
      <c r="A254" s="10">
        <v>70101</v>
      </c>
      <c r="B254" s="11" t="s">
        <v>324</v>
      </c>
      <c r="C254" s="6">
        <v>1.4250270005950822</v>
      </c>
      <c r="D254" s="6">
        <v>1.4047847010227319</v>
      </c>
    </row>
    <row r="255" spans="1:4" ht="15.75" customHeight="1">
      <c r="A255" s="10">
        <v>70102</v>
      </c>
      <c r="B255" s="11" t="s">
        <v>325</v>
      </c>
      <c r="C255" s="6">
        <v>1.5887253260705441</v>
      </c>
      <c r="D255" s="6">
        <v>1.5185901479494344</v>
      </c>
    </row>
    <row r="256" spans="1:4" ht="15.75" customHeight="1">
      <c r="A256" s="10">
        <v>70103</v>
      </c>
      <c r="B256" s="11" t="s">
        <v>326</v>
      </c>
      <c r="C256" s="6">
        <v>1.4429204270305966</v>
      </c>
      <c r="D256" s="6">
        <v>1.5909090909090911</v>
      </c>
    </row>
    <row r="257" spans="1:4" ht="15.75" customHeight="1">
      <c r="A257" s="10">
        <v>70104</v>
      </c>
      <c r="B257" s="11" t="s">
        <v>327</v>
      </c>
      <c r="C257" s="6">
        <v>1.4251260558266929</v>
      </c>
      <c r="D257" s="6">
        <v>1.5157114127702362</v>
      </c>
    </row>
    <row r="258" spans="1:4" ht="15.75" customHeight="1">
      <c r="A258" s="10">
        <v>70105</v>
      </c>
      <c r="B258" s="11" t="s">
        <v>328</v>
      </c>
      <c r="C258" s="6">
        <v>1.7264123682599124</v>
      </c>
      <c r="D258" s="6">
        <v>1.8510101010101012</v>
      </c>
    </row>
    <row r="259" spans="1:4" ht="15.75" customHeight="1">
      <c r="A259" s="10">
        <v>70201</v>
      </c>
      <c r="B259" s="11" t="s">
        <v>329</v>
      </c>
      <c r="C259" s="6">
        <v>1.5557470721486135</v>
      </c>
      <c r="D259" s="6">
        <v>1.3925612942955155</v>
      </c>
    </row>
    <row r="260" spans="1:4" ht="15.75" customHeight="1">
      <c r="A260" s="10">
        <v>70202</v>
      </c>
      <c r="B260" s="11" t="s">
        <v>330</v>
      </c>
      <c r="C260" s="6">
        <v>1.5261437908496731</v>
      </c>
      <c r="D260" s="6">
        <v>1.2962962962962965</v>
      </c>
    </row>
    <row r="261" spans="1:4" ht="15.75" customHeight="1">
      <c r="A261" s="10">
        <v>70301</v>
      </c>
      <c r="B261" s="11" t="s">
        <v>332</v>
      </c>
      <c r="C261" s="6">
        <v>1.293885087143644</v>
      </c>
      <c r="D261" s="6">
        <v>1.504036704036704</v>
      </c>
    </row>
    <row r="262" spans="1:4" ht="15.75" customHeight="1">
      <c r="A262" s="10">
        <v>70302</v>
      </c>
      <c r="B262" s="11" t="s">
        <v>333</v>
      </c>
      <c r="C262" s="6">
        <v>1.6191919191919191</v>
      </c>
      <c r="D262" s="6">
        <v>1.9621031746031745</v>
      </c>
    </row>
    <row r="263" spans="1:4" ht="15.75" customHeight="1">
      <c r="A263" s="10">
        <v>70303</v>
      </c>
      <c r="B263" s="11" t="s">
        <v>334</v>
      </c>
      <c r="C263" s="6">
        <v>1.6293266951161687</v>
      </c>
      <c r="D263" s="6">
        <v>1.5185185185185184</v>
      </c>
    </row>
    <row r="264" spans="1:4" ht="15.75" customHeight="1">
      <c r="A264" s="10">
        <v>70401</v>
      </c>
      <c r="B264" s="11" t="s">
        <v>336</v>
      </c>
      <c r="C264" s="6">
        <v>1.470619864928808</v>
      </c>
      <c r="D264" s="6">
        <v>1.4553429027113236</v>
      </c>
    </row>
    <row r="265" spans="1:4" ht="15.75" customHeight="1">
      <c r="A265" s="10">
        <v>70402</v>
      </c>
      <c r="B265" s="11" t="s">
        <v>337</v>
      </c>
      <c r="C265" s="6">
        <v>1.6825692825692826</v>
      </c>
      <c r="D265" s="6">
        <v>1.4405598126862496</v>
      </c>
    </row>
    <row r="266" spans="1:4" ht="15.75" customHeight="1">
      <c r="A266" s="10">
        <v>70403</v>
      </c>
      <c r="B266" s="11" t="s">
        <v>338</v>
      </c>
      <c r="C266" s="6">
        <v>1.8537839370376397</v>
      </c>
      <c r="D266" s="6">
        <v>1.3355173054029554</v>
      </c>
    </row>
    <row r="267" spans="1:4" ht="15.75" customHeight="1">
      <c r="A267" s="10">
        <v>70404</v>
      </c>
      <c r="B267" s="11" t="s">
        <v>339</v>
      </c>
      <c r="C267" s="6">
        <v>1.3341614906832298</v>
      </c>
      <c r="D267" s="6">
        <v>1.7019230769230769</v>
      </c>
    </row>
    <row r="268" spans="1:4" ht="15.75" customHeight="1">
      <c r="A268" s="10">
        <v>70501</v>
      </c>
      <c r="B268" s="11" t="s">
        <v>341</v>
      </c>
      <c r="C268" s="6">
        <v>1.528343177509899</v>
      </c>
      <c r="D268" s="6">
        <v>1.2770704391394048</v>
      </c>
    </row>
    <row r="269" spans="1:4" ht="15.75" customHeight="1">
      <c r="A269" s="10">
        <v>70502</v>
      </c>
      <c r="B269" s="11" t="s">
        <v>342</v>
      </c>
      <c r="C269" s="6">
        <v>1.2648005698005698</v>
      </c>
      <c r="D269" s="6">
        <v>1.4401455026455026</v>
      </c>
    </row>
    <row r="270" spans="1:4" ht="15.75" customHeight="1">
      <c r="A270" s="10">
        <v>70503</v>
      </c>
      <c r="B270" s="11" t="s">
        <v>343</v>
      </c>
      <c r="C270" s="6">
        <v>1.5766723356009067</v>
      </c>
      <c r="D270" s="6">
        <v>1.1608695652173913</v>
      </c>
    </row>
    <row r="271" spans="1:4" ht="15.75" customHeight="1">
      <c r="A271" s="10">
        <v>70601</v>
      </c>
      <c r="B271" s="11" t="s">
        <v>345</v>
      </c>
      <c r="C271" s="6">
        <v>1.656825396825397</v>
      </c>
      <c r="D271" s="6">
        <v>1.6176046176046175</v>
      </c>
    </row>
    <row r="272" spans="1:4" ht="15.75" customHeight="1">
      <c r="A272" s="10">
        <v>70602</v>
      </c>
      <c r="B272" s="11" t="s">
        <v>346</v>
      </c>
      <c r="C272" s="6">
        <v>1.4930720730924605</v>
      </c>
      <c r="D272" s="6">
        <v>1.6916818779563878</v>
      </c>
    </row>
    <row r="273" spans="1:4" ht="15.75" customHeight="1">
      <c r="A273" s="10">
        <v>70603</v>
      </c>
      <c r="B273" s="11" t="s">
        <v>347</v>
      </c>
      <c r="C273" s="6">
        <v>1.4093093093093092</v>
      </c>
      <c r="D273" s="6">
        <v>1.6094276094276097</v>
      </c>
    </row>
    <row r="274" spans="1:4" ht="15.75" customHeight="1">
      <c r="A274" s="10">
        <v>70701</v>
      </c>
      <c r="B274" s="11" t="s">
        <v>349</v>
      </c>
      <c r="C274" s="6">
        <v>1.8877024210357545</v>
      </c>
      <c r="D274" s="6">
        <v>2.7904040404040402</v>
      </c>
    </row>
    <row r="275" spans="1:4" ht="15.75" customHeight="1">
      <c r="A275" s="10">
        <v>70702</v>
      </c>
      <c r="B275" s="11" t="s">
        <v>350</v>
      </c>
      <c r="C275" s="6">
        <v>1.3883991876581039</v>
      </c>
      <c r="D275" s="6">
        <v>1.4672514619883039</v>
      </c>
    </row>
    <row r="276" spans="1:4" ht="15.75" customHeight="1">
      <c r="A276" s="10">
        <v>70703</v>
      </c>
      <c r="B276" s="11" t="s">
        <v>351</v>
      </c>
      <c r="C276" s="6">
        <v>1.8377360357304386</v>
      </c>
      <c r="D276" s="6">
        <v>1.6233569767404354</v>
      </c>
    </row>
    <row r="277" spans="1:4" ht="15.75" customHeight="1">
      <c r="A277" s="10">
        <v>70704</v>
      </c>
      <c r="B277" s="11" t="s">
        <v>352</v>
      </c>
      <c r="C277" s="6">
        <v>2.7619047619047614</v>
      </c>
      <c r="D277" s="6">
        <v>3.2833333333333332</v>
      </c>
    </row>
    <row r="278" spans="1:4" ht="15.75" customHeight="1">
      <c r="A278" s="10">
        <v>70705</v>
      </c>
      <c r="B278" s="11" t="s">
        <v>353</v>
      </c>
      <c r="C278" s="6">
        <v>1.5718576792419097</v>
      </c>
      <c r="D278" s="6">
        <v>1.412974465148378</v>
      </c>
    </row>
    <row r="279" spans="1:4" ht="15.75" customHeight="1">
      <c r="A279" s="10">
        <v>70706</v>
      </c>
      <c r="B279" s="11" t="s">
        <v>354</v>
      </c>
      <c r="C279" s="6">
        <v>1.3615289500753871</v>
      </c>
      <c r="D279" s="6">
        <v>1.4702720003471885</v>
      </c>
    </row>
    <row r="280" spans="1:4" ht="15.75" customHeight="1">
      <c r="A280" s="10">
        <v>70707</v>
      </c>
      <c r="B280" s="11" t="s">
        <v>355</v>
      </c>
      <c r="C280" s="6">
        <v>1.5560044893378224</v>
      </c>
      <c r="D280" s="6">
        <v>1.2857142857142858</v>
      </c>
    </row>
    <row r="281" spans="1:4" ht="15.75" customHeight="1">
      <c r="A281" s="10">
        <v>70801</v>
      </c>
      <c r="B281" s="11" t="s">
        <v>356</v>
      </c>
      <c r="C281" s="6">
        <v>1.5648501285419669</v>
      </c>
      <c r="D281" s="6">
        <v>3.0780303030303031</v>
      </c>
    </row>
    <row r="282" spans="1:4" ht="15.75" customHeight="1">
      <c r="A282" s="10">
        <v>70802</v>
      </c>
      <c r="B282" s="11" t="s">
        <v>357</v>
      </c>
      <c r="C282" s="6">
        <v>1.8444444444444443</v>
      </c>
      <c r="D282" s="6">
        <v>4</v>
      </c>
    </row>
    <row r="283" spans="1:4" ht="15.75" customHeight="1">
      <c r="A283" s="10">
        <v>70803</v>
      </c>
      <c r="B283" s="11" t="s">
        <v>358</v>
      </c>
      <c r="C283" s="6">
        <v>1.6793650793650794</v>
      </c>
      <c r="D283" s="6">
        <v>2.4285714285714284</v>
      </c>
    </row>
    <row r="284" spans="1:4" ht="15.75" customHeight="1">
      <c r="A284" s="10">
        <v>70804</v>
      </c>
      <c r="B284" s="11" t="s">
        <v>359</v>
      </c>
      <c r="C284" s="6">
        <v>2.1666666666666665</v>
      </c>
      <c r="D284" s="6">
        <v>1.5</v>
      </c>
    </row>
    <row r="285" spans="1:4" ht="15.75" customHeight="1">
      <c r="A285" s="10">
        <v>70805</v>
      </c>
      <c r="B285" s="11" t="s">
        <v>360</v>
      </c>
      <c r="C285" s="6">
        <v>2.2380952380952381</v>
      </c>
      <c r="D285" s="6"/>
    </row>
    <row r="286" spans="1:4" ht="15.75" customHeight="1">
      <c r="A286" s="10">
        <v>70901</v>
      </c>
      <c r="B286" s="11" t="s">
        <v>362</v>
      </c>
      <c r="C286" s="6">
        <v>1.4437321937321936</v>
      </c>
      <c r="D286" s="6">
        <v>1.4365079365079367</v>
      </c>
    </row>
    <row r="287" spans="1:4" ht="15.75" customHeight="1">
      <c r="A287" s="10">
        <v>70902</v>
      </c>
      <c r="B287" s="11" t="s">
        <v>363</v>
      </c>
      <c r="C287" s="6">
        <v>1.9000000000000001</v>
      </c>
      <c r="D287" s="6">
        <v>2.7994708994708994</v>
      </c>
    </row>
    <row r="288" spans="1:4" ht="15.75" customHeight="1">
      <c r="A288" s="10">
        <v>70903</v>
      </c>
      <c r="B288" s="11" t="s">
        <v>364</v>
      </c>
      <c r="C288" s="6">
        <v>1.607094859819302</v>
      </c>
      <c r="D288" s="6">
        <v>2.1940273606940273</v>
      </c>
    </row>
    <row r="289" spans="1:4" ht="15.75" customHeight="1">
      <c r="A289" s="10">
        <v>70904</v>
      </c>
      <c r="B289" s="11" t="s">
        <v>365</v>
      </c>
      <c r="C289" s="6">
        <v>1.7962962962962965</v>
      </c>
      <c r="D289" s="6">
        <v>0.5</v>
      </c>
    </row>
    <row r="290" spans="1:4" ht="15.75" customHeight="1">
      <c r="A290" s="10">
        <v>71001</v>
      </c>
      <c r="B290" s="11" t="s">
        <v>367</v>
      </c>
      <c r="C290" s="6">
        <v>1.5199261015358012</v>
      </c>
      <c r="D290" s="6">
        <v>1.2568651032872158</v>
      </c>
    </row>
    <row r="291" spans="1:4" ht="15.75" customHeight="1">
      <c r="A291" s="10">
        <v>71002</v>
      </c>
      <c r="B291" s="11" t="s">
        <v>368</v>
      </c>
      <c r="C291" s="6">
        <v>1.6164797008547007</v>
      </c>
      <c r="D291" s="6">
        <v>1.1446424702676199</v>
      </c>
    </row>
    <row r="292" spans="1:4" ht="15.75" customHeight="1">
      <c r="A292" s="10">
        <v>71003</v>
      </c>
      <c r="B292" s="11" t="s">
        <v>369</v>
      </c>
      <c r="C292" s="6">
        <v>1.4837495865816208</v>
      </c>
      <c r="D292" s="6">
        <v>1.3439321674615792</v>
      </c>
    </row>
    <row r="293" spans="1:4" ht="15.75" customHeight="1">
      <c r="A293" s="10">
        <v>71004</v>
      </c>
      <c r="B293" s="11" t="s">
        <v>370</v>
      </c>
      <c r="C293" s="6">
        <v>1.3391077756931418</v>
      </c>
      <c r="D293" s="6">
        <v>2.3896825396825396</v>
      </c>
    </row>
    <row r="294" spans="1:4" ht="15.75" customHeight="1">
      <c r="A294" s="10">
        <v>71005</v>
      </c>
      <c r="B294" s="11" t="s">
        <v>371</v>
      </c>
      <c r="C294" s="6">
        <v>1.8109790960688337</v>
      </c>
      <c r="D294" s="6">
        <v>1.5754292084726866</v>
      </c>
    </row>
    <row r="295" spans="1:4" ht="15.75" customHeight="1">
      <c r="A295" s="10">
        <v>71101</v>
      </c>
      <c r="B295" s="11" t="s">
        <v>373</v>
      </c>
      <c r="C295" s="6">
        <v>1.5513796773929418</v>
      </c>
      <c r="D295" s="6">
        <v>1.054965986394558</v>
      </c>
    </row>
    <row r="296" spans="1:4" ht="15.75" customHeight="1">
      <c r="A296" s="10">
        <v>71102</v>
      </c>
      <c r="B296" s="11" t="s">
        <v>374</v>
      </c>
      <c r="C296" s="6">
        <v>1.5533292855697229</v>
      </c>
      <c r="D296" s="6">
        <v>1.5721500721500721</v>
      </c>
    </row>
    <row r="297" spans="1:4" ht="15.75" customHeight="1">
      <c r="A297" s="10">
        <v>71103</v>
      </c>
      <c r="B297" s="11" t="s">
        <v>375</v>
      </c>
      <c r="C297" s="6">
        <v>1.3735254465790361</v>
      </c>
      <c r="D297" s="6">
        <v>1.3235903056874925</v>
      </c>
    </row>
    <row r="298" spans="1:4" ht="15.75" customHeight="1">
      <c r="A298" s="10">
        <v>71104</v>
      </c>
      <c r="B298" s="11" t="s">
        <v>376</v>
      </c>
      <c r="C298" s="6">
        <v>1.4732823841750686</v>
      </c>
      <c r="D298" s="6">
        <v>1.8967538967538966</v>
      </c>
    </row>
    <row r="299" spans="1:4" ht="15.75" customHeight="1">
      <c r="A299" s="10">
        <v>71105</v>
      </c>
      <c r="B299" s="11" t="s">
        <v>377</v>
      </c>
      <c r="C299" s="6">
        <v>2.0446570972886762</v>
      </c>
      <c r="D299" s="6">
        <v>1.3386243386243386</v>
      </c>
    </row>
    <row r="300" spans="1:4" ht="15.75" customHeight="1">
      <c r="A300" s="10">
        <v>71106</v>
      </c>
      <c r="B300" s="11" t="s">
        <v>378</v>
      </c>
      <c r="C300" s="6">
        <v>1.6749173765302796</v>
      </c>
      <c r="D300" s="6">
        <v>1.8143939393939394</v>
      </c>
    </row>
    <row r="301" spans="1:4" ht="15.75" customHeight="1">
      <c r="A301" s="10">
        <v>71201</v>
      </c>
      <c r="B301" s="11" t="s">
        <v>380</v>
      </c>
      <c r="C301" s="6">
        <v>1.3574223634464599</v>
      </c>
      <c r="D301" s="6">
        <v>1.5101343101343101</v>
      </c>
    </row>
    <row r="302" spans="1:4" ht="15.75" customHeight="1">
      <c r="A302" s="10">
        <v>71301</v>
      </c>
      <c r="B302" s="11" t="s">
        <v>382</v>
      </c>
      <c r="C302" s="6">
        <v>1.6968995510662177</v>
      </c>
      <c r="D302" s="6">
        <v>1.7210828606959812</v>
      </c>
    </row>
    <row r="303" spans="1:4" ht="15.75" customHeight="1">
      <c r="A303" s="10">
        <v>71302</v>
      </c>
      <c r="B303" s="11" t="s">
        <v>383</v>
      </c>
      <c r="C303" s="6">
        <v>2.1111111111111112</v>
      </c>
      <c r="D303" s="6">
        <v>1.767857142857143</v>
      </c>
    </row>
    <row r="304" spans="1:4" ht="15.75" customHeight="1">
      <c r="A304" s="10">
        <v>71401</v>
      </c>
      <c r="B304" s="11" t="s">
        <v>385</v>
      </c>
      <c r="C304" s="6">
        <v>1.5618894687541818</v>
      </c>
      <c r="D304" s="6">
        <v>1.8324879227053141</v>
      </c>
    </row>
    <row r="305" spans="1:4" ht="15.75" customHeight="1">
      <c r="A305" s="10">
        <v>71402</v>
      </c>
      <c r="B305" s="11" t="s">
        <v>386</v>
      </c>
      <c r="C305" s="6">
        <v>1.5119165839126119</v>
      </c>
      <c r="D305" s="6">
        <v>1.3942831215970963</v>
      </c>
    </row>
    <row r="306" spans="1:4" ht="15.75" customHeight="1">
      <c r="A306" s="10">
        <v>71403</v>
      </c>
      <c r="B306" s="11" t="s">
        <v>387</v>
      </c>
      <c r="C306" s="6">
        <v>1.2735785953177259</v>
      </c>
      <c r="D306" s="6">
        <v>1.3521825396825395</v>
      </c>
    </row>
    <row r="307" spans="1:4" ht="15.75" customHeight="1">
      <c r="A307" s="10">
        <v>71501</v>
      </c>
      <c r="B307" s="11" t="s">
        <v>389</v>
      </c>
      <c r="C307" s="6">
        <v>1.4718142050425513</v>
      </c>
      <c r="D307" s="6">
        <v>1.2880975744652785</v>
      </c>
    </row>
    <row r="308" spans="1:4" ht="15.75" customHeight="1">
      <c r="A308" s="10">
        <v>71502</v>
      </c>
      <c r="B308" s="11" t="s">
        <v>390</v>
      </c>
      <c r="C308" s="6">
        <v>1.2075154730327144</v>
      </c>
      <c r="D308" s="6">
        <v>1.0656862745098039</v>
      </c>
    </row>
    <row r="309" spans="1:4" ht="15.75" customHeight="1">
      <c r="A309" s="10">
        <v>71503</v>
      </c>
      <c r="B309" s="11" t="s">
        <v>320</v>
      </c>
      <c r="C309" s="6">
        <v>2.2116687192118225</v>
      </c>
      <c r="D309" s="6">
        <v>1.6498972922502333</v>
      </c>
    </row>
    <row r="310" spans="1:4" ht="15.75" customHeight="1">
      <c r="A310" s="10">
        <v>80101</v>
      </c>
      <c r="B310" s="11" t="s">
        <v>392</v>
      </c>
      <c r="C310" s="6">
        <v>1.3179620019571707</v>
      </c>
      <c r="D310" s="6">
        <v>1.2459670161534582</v>
      </c>
    </row>
    <row r="311" spans="1:4" ht="15.75" customHeight="1">
      <c r="A311" s="10">
        <v>80102</v>
      </c>
      <c r="B311" s="11" t="s">
        <v>374</v>
      </c>
      <c r="C311" s="6">
        <v>0.99271708683473392</v>
      </c>
      <c r="D311" s="6">
        <v>1.2847222222222221</v>
      </c>
    </row>
    <row r="312" spans="1:4" ht="15.75" customHeight="1">
      <c r="A312" s="10">
        <v>80201</v>
      </c>
      <c r="B312" s="11" t="s">
        <v>394</v>
      </c>
      <c r="C312" s="6">
        <v>1.3699826136891871</v>
      </c>
      <c r="D312" s="6">
        <v>1.3385009957802885</v>
      </c>
    </row>
    <row r="313" spans="1:4" ht="15.75" customHeight="1">
      <c r="A313" s="10">
        <v>80202</v>
      </c>
      <c r="B313" s="11" t="s">
        <v>395</v>
      </c>
      <c r="C313" s="6">
        <v>1.4242448047595107</v>
      </c>
      <c r="D313" s="6">
        <v>1.3758180850355979</v>
      </c>
    </row>
    <row r="314" spans="1:4" ht="15.75" customHeight="1">
      <c r="A314" s="10">
        <v>80301</v>
      </c>
      <c r="B314" s="11" t="s">
        <v>397</v>
      </c>
      <c r="C314" s="6">
        <v>1.3900938769791231</v>
      </c>
      <c r="D314" s="6">
        <v>1.6439237477052189</v>
      </c>
    </row>
    <row r="315" spans="1:4" ht="15.75" customHeight="1">
      <c r="A315" s="10">
        <v>80302</v>
      </c>
      <c r="B315" s="11" t="s">
        <v>398</v>
      </c>
      <c r="C315" s="6">
        <v>1.3145296933488815</v>
      </c>
      <c r="D315" s="6">
        <v>1.3015380015007645</v>
      </c>
    </row>
    <row r="316" spans="1:4" ht="15.75" customHeight="1">
      <c r="A316" s="10">
        <v>80303</v>
      </c>
      <c r="B316" s="11" t="s">
        <v>399</v>
      </c>
      <c r="C316" s="6">
        <v>1.3565409986036883</v>
      </c>
      <c r="D316" s="6">
        <v>1.4245014245014247</v>
      </c>
    </row>
    <row r="317" spans="1:4" ht="15.75" customHeight="1">
      <c r="A317" s="10">
        <v>80304</v>
      </c>
      <c r="B317" s="11" t="s">
        <v>400</v>
      </c>
      <c r="C317" s="6">
        <v>1.1076767676767678</v>
      </c>
      <c r="D317" s="6">
        <v>1.2312849985263778</v>
      </c>
    </row>
    <row r="318" spans="1:4" ht="15.75" customHeight="1">
      <c r="A318" s="10">
        <v>80401</v>
      </c>
      <c r="B318" s="11" t="s">
        <v>402</v>
      </c>
      <c r="C318" s="6">
        <v>1.2978717931098884</v>
      </c>
      <c r="D318" s="6">
        <v>1.3566117160717888</v>
      </c>
    </row>
    <row r="319" spans="1:4" ht="15.75" customHeight="1">
      <c r="A319" s="10">
        <v>80402</v>
      </c>
      <c r="B319" s="11" t="s">
        <v>403</v>
      </c>
      <c r="C319" s="6">
        <v>1.3756944444444443</v>
      </c>
      <c r="D319" s="6">
        <v>1.826007326007326</v>
      </c>
    </row>
    <row r="320" spans="1:4" ht="15.75" customHeight="1">
      <c r="A320" s="10">
        <v>80501</v>
      </c>
      <c r="B320" s="11" t="s">
        <v>405</v>
      </c>
      <c r="C320" s="6">
        <v>1.2785473061991672</v>
      </c>
      <c r="D320" s="6">
        <v>1.4764652014652013</v>
      </c>
    </row>
    <row r="321" spans="1:4" ht="15.75" customHeight="1">
      <c r="A321" s="10">
        <v>80601</v>
      </c>
      <c r="B321" s="11" t="s">
        <v>407</v>
      </c>
      <c r="C321" s="6">
        <v>1.9162393162393163</v>
      </c>
      <c r="D321" s="6">
        <v>1.0416666666666667</v>
      </c>
    </row>
    <row r="322" spans="1:4" ht="15.75" customHeight="1">
      <c r="A322" s="10">
        <v>80602</v>
      </c>
      <c r="B322" s="11" t="s">
        <v>408</v>
      </c>
      <c r="C322" s="6">
        <v>1.3524978933429637</v>
      </c>
      <c r="D322" s="6">
        <v>1.764367816091954</v>
      </c>
    </row>
    <row r="323" spans="1:4" ht="15.75" customHeight="1">
      <c r="A323" s="10">
        <v>80701</v>
      </c>
      <c r="B323" s="11" t="s">
        <v>410</v>
      </c>
      <c r="C323" s="6">
        <v>1.4463450292397662</v>
      </c>
      <c r="D323" s="6">
        <v>1.1313549574419139</v>
      </c>
    </row>
    <row r="324" spans="1:4" ht="15.75" customHeight="1">
      <c r="A324" s="10">
        <v>80702</v>
      </c>
      <c r="B324" s="11" t="s">
        <v>375</v>
      </c>
      <c r="C324" s="6">
        <v>1.0919117647058822</v>
      </c>
      <c r="D324" s="6">
        <v>0.77578347578347573</v>
      </c>
    </row>
    <row r="325" spans="1:4" ht="15.75" customHeight="1">
      <c r="A325" s="10">
        <v>80703</v>
      </c>
      <c r="B325" s="11" t="s">
        <v>411</v>
      </c>
      <c r="C325" s="6">
        <v>1.6166666666666665</v>
      </c>
      <c r="D325" s="6">
        <v>0.85714285714285721</v>
      </c>
    </row>
    <row r="326" spans="1:4" ht="15.75" customHeight="1">
      <c r="A326" s="10">
        <v>80801</v>
      </c>
      <c r="B326" s="11" t="s">
        <v>413</v>
      </c>
      <c r="C326" s="6">
        <v>1.4614938307091225</v>
      </c>
      <c r="D326" s="6">
        <v>1.0736343631080474</v>
      </c>
    </row>
    <row r="327" spans="1:4" ht="15.75" customHeight="1">
      <c r="A327" s="10">
        <v>80802</v>
      </c>
      <c r="B327" s="11" t="s">
        <v>414</v>
      </c>
      <c r="C327" s="6">
        <v>1.1026228673287497</v>
      </c>
      <c r="D327" s="6">
        <v>1.6555555555555557</v>
      </c>
    </row>
    <row r="328" spans="1:4" ht="15.75" customHeight="1">
      <c r="A328" s="10">
        <v>80803</v>
      </c>
      <c r="B328" s="11" t="s">
        <v>415</v>
      </c>
      <c r="C328" s="6">
        <v>1.0868589743589745</v>
      </c>
      <c r="D328" s="6">
        <v>1.3555555555555554</v>
      </c>
    </row>
    <row r="329" spans="1:4" ht="15.75" customHeight="1">
      <c r="A329" s="10">
        <v>80901</v>
      </c>
      <c r="B329" s="11" t="s">
        <v>416</v>
      </c>
      <c r="C329" s="6">
        <v>1.2865615116495397</v>
      </c>
      <c r="D329" s="6">
        <v>1.4364702496582489</v>
      </c>
    </row>
    <row r="330" spans="1:4" ht="15.75" customHeight="1">
      <c r="A330" s="10">
        <v>90101</v>
      </c>
      <c r="B330" s="11" t="s">
        <v>419</v>
      </c>
      <c r="C330" s="6">
        <v>1.4082357653664956</v>
      </c>
      <c r="D330" s="6">
        <v>1.2121392716630812</v>
      </c>
    </row>
    <row r="331" spans="1:4" ht="15.75" customHeight="1">
      <c r="A331" s="10">
        <v>90102</v>
      </c>
      <c r="B331" s="11" t="s">
        <v>420</v>
      </c>
      <c r="C331" s="6">
        <v>1.932738758825715</v>
      </c>
      <c r="D331" s="6">
        <v>1.4962962962962962</v>
      </c>
    </row>
    <row r="332" spans="1:4" ht="15.75" customHeight="1">
      <c r="A332" s="10">
        <v>90103</v>
      </c>
      <c r="B332" s="11" t="s">
        <v>421</v>
      </c>
      <c r="C332" s="6">
        <v>1.6128205128205126</v>
      </c>
      <c r="D332" s="6">
        <v>2.2853535353535355</v>
      </c>
    </row>
    <row r="333" spans="1:4" ht="15.75" customHeight="1">
      <c r="A333" s="10">
        <v>90104</v>
      </c>
      <c r="B333" s="11" t="s">
        <v>422</v>
      </c>
      <c r="C333" s="6">
        <v>1.4376006441223834</v>
      </c>
      <c r="D333" s="6">
        <v>2.2870370370370368</v>
      </c>
    </row>
    <row r="334" spans="1:4" ht="15.75" customHeight="1">
      <c r="A334" s="10">
        <v>90201</v>
      </c>
      <c r="B334" s="11" t="s">
        <v>424</v>
      </c>
      <c r="C334" s="6">
        <v>1.3402787386805652</v>
      </c>
      <c r="D334" s="6">
        <v>1.5703703703703704</v>
      </c>
    </row>
    <row r="335" spans="1:4" ht="15.75" customHeight="1">
      <c r="A335" s="10">
        <v>90202</v>
      </c>
      <c r="B335" s="11" t="s">
        <v>371</v>
      </c>
      <c r="C335" s="6">
        <v>2.125</v>
      </c>
      <c r="D335" s="6">
        <v>1.7301587301587302</v>
      </c>
    </row>
    <row r="336" spans="1:4" ht="15.75" customHeight="1">
      <c r="A336" s="10">
        <v>90203</v>
      </c>
      <c r="B336" s="11" t="s">
        <v>425</v>
      </c>
      <c r="C336" s="6">
        <v>2.0791735084838532</v>
      </c>
      <c r="D336" s="6">
        <v>1.4256606990622336</v>
      </c>
    </row>
    <row r="337" spans="1:4" ht="15.75" customHeight="1">
      <c r="A337" s="10">
        <v>90301</v>
      </c>
      <c r="B337" s="11" t="s">
        <v>427</v>
      </c>
      <c r="C337" s="6">
        <v>0.99191838897721263</v>
      </c>
      <c r="D337" s="6">
        <v>1.2588235294117647</v>
      </c>
    </row>
    <row r="338" spans="1:4" ht="15.75" customHeight="1">
      <c r="A338" s="10">
        <v>90302</v>
      </c>
      <c r="B338" s="11" t="s">
        <v>428</v>
      </c>
      <c r="C338" s="6">
        <v>1.2091213553979512</v>
      </c>
      <c r="D338" s="6">
        <v>1.2048775597162693</v>
      </c>
    </row>
    <row r="339" spans="1:4" ht="15.75" customHeight="1">
      <c r="A339" s="10">
        <v>90303</v>
      </c>
      <c r="B339" s="11" t="s">
        <v>429</v>
      </c>
      <c r="C339" s="6">
        <v>1.1961840628507294</v>
      </c>
      <c r="D339" s="6">
        <v>1.0553443941679237</v>
      </c>
    </row>
    <row r="340" spans="1:4" ht="15.75" customHeight="1">
      <c r="A340" s="10">
        <v>90401</v>
      </c>
      <c r="B340" s="11" t="s">
        <v>431</v>
      </c>
      <c r="C340" s="6">
        <v>1.1724867724867727</v>
      </c>
      <c r="D340" s="6">
        <v>2.6324786324786325</v>
      </c>
    </row>
    <row r="341" spans="1:4" ht="15.75" customHeight="1">
      <c r="A341" s="10">
        <v>90402</v>
      </c>
      <c r="B341" s="11" t="s">
        <v>87</v>
      </c>
      <c r="C341" s="6">
        <v>1.0227272727272727</v>
      </c>
      <c r="D341" s="6">
        <v>1.0578032742887815</v>
      </c>
    </row>
    <row r="342" spans="1:4" ht="15.75" customHeight="1">
      <c r="A342" s="10">
        <v>90501</v>
      </c>
      <c r="B342" s="11" t="s">
        <v>433</v>
      </c>
      <c r="C342" s="6">
        <v>1.9851851851851852</v>
      </c>
      <c r="D342" s="6">
        <v>1.1740196078431373</v>
      </c>
    </row>
    <row r="343" spans="1:4" ht="15.75" customHeight="1">
      <c r="A343" s="10">
        <v>90502</v>
      </c>
      <c r="B343" s="11" t="s">
        <v>434</v>
      </c>
      <c r="C343" s="6">
        <v>1.444098793363499</v>
      </c>
      <c r="D343" s="6">
        <v>1.1805555555555556</v>
      </c>
    </row>
    <row r="344" spans="1:4" ht="15.75" customHeight="1">
      <c r="A344" s="10">
        <v>90503</v>
      </c>
      <c r="B344" s="11" t="s">
        <v>435</v>
      </c>
      <c r="C344" s="6">
        <v>2.9743589743589745</v>
      </c>
      <c r="D344" s="6">
        <v>0.7946428571428571</v>
      </c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228B-FBAA-465A-AB1D-2FC1AC92961F}">
  <sheetPr>
    <tabColor rgb="FFFF0000"/>
    <outlinePr summaryBelow="0" summaryRight="0"/>
  </sheetPr>
  <dimension ref="A1:I1001"/>
  <sheetViews>
    <sheetView topLeftCell="A322" workbookViewId="0">
      <selection activeCell="G336" sqref="G336"/>
    </sheetView>
  </sheetViews>
  <sheetFormatPr baseColWidth="10" defaultColWidth="12.6640625" defaultRowHeight="15" customHeight="1"/>
  <cols>
    <col min="1" max="2" width="12.6640625" customWidth="1"/>
  </cols>
  <sheetData>
    <row r="1" spans="1:9" ht="15.75" customHeight="1">
      <c r="A1" s="10" t="s">
        <v>0</v>
      </c>
      <c r="B1" s="11" t="s">
        <v>436</v>
      </c>
      <c r="C1" s="2" t="s">
        <v>476</v>
      </c>
      <c r="D1" s="2" t="s">
        <v>477</v>
      </c>
    </row>
    <row r="2" spans="1:9" ht="15.75" customHeight="1">
      <c r="A2" s="10">
        <v>10101</v>
      </c>
      <c r="B2" s="11" t="s">
        <v>6</v>
      </c>
      <c r="C2" s="6"/>
      <c r="D2" s="6"/>
      <c r="F2" s="12"/>
      <c r="G2" s="13"/>
      <c r="H2" s="12"/>
      <c r="I2" s="12"/>
    </row>
    <row r="3" spans="1:9" ht="15.75" customHeight="1">
      <c r="A3" s="10">
        <v>10102</v>
      </c>
      <c r="B3" s="11" t="s">
        <v>7</v>
      </c>
      <c r="C3" s="6"/>
      <c r="D3" s="6"/>
      <c r="F3" s="12"/>
      <c r="G3" s="13"/>
      <c r="H3" s="12"/>
      <c r="I3" s="12"/>
    </row>
    <row r="4" spans="1:9" ht="15.75" customHeight="1">
      <c r="A4" s="10">
        <v>10103</v>
      </c>
      <c r="B4" s="11" t="s">
        <v>8</v>
      </c>
      <c r="C4" s="6"/>
      <c r="D4" s="6"/>
    </row>
    <row r="5" spans="1:9" ht="15.75" customHeight="1">
      <c r="A5" s="10">
        <v>10201</v>
      </c>
      <c r="B5" s="11" t="s">
        <v>10</v>
      </c>
      <c r="C5" s="6"/>
      <c r="D5" s="6"/>
    </row>
    <row r="6" spans="1:9" ht="15.75" customHeight="1">
      <c r="A6" s="10">
        <v>10202</v>
      </c>
      <c r="B6" s="11" t="s">
        <v>11</v>
      </c>
      <c r="C6" s="6"/>
      <c r="D6" s="6"/>
    </row>
    <row r="7" spans="1:9" ht="15.75" customHeight="1">
      <c r="A7" s="10">
        <v>10301</v>
      </c>
      <c r="B7" s="11" t="s">
        <v>13</v>
      </c>
      <c r="C7" s="6"/>
      <c r="D7" s="6"/>
    </row>
    <row r="8" spans="1:9" ht="15.75" customHeight="1">
      <c r="A8" s="10">
        <v>10302</v>
      </c>
      <c r="B8" s="11" t="s">
        <v>14</v>
      </c>
      <c r="C8" s="6"/>
      <c r="D8" s="6"/>
    </row>
    <row r="9" spans="1:9" ht="15.75" customHeight="1">
      <c r="A9" s="10">
        <v>10303</v>
      </c>
      <c r="B9" s="11" t="s">
        <v>15</v>
      </c>
      <c r="C9" s="6"/>
      <c r="D9" s="6"/>
    </row>
    <row r="10" spans="1:9" ht="15.75" customHeight="1">
      <c r="A10" s="10">
        <v>10304</v>
      </c>
      <c r="B10" s="11" t="s">
        <v>16</v>
      </c>
      <c r="C10" s="6"/>
      <c r="D10" s="6"/>
    </row>
    <row r="11" spans="1:9" ht="15.75" customHeight="1">
      <c r="A11" s="10">
        <v>10401</v>
      </c>
      <c r="B11" s="11" t="s">
        <v>18</v>
      </c>
      <c r="C11" s="6"/>
      <c r="D11" s="6"/>
    </row>
    <row r="12" spans="1:9" ht="15.75" customHeight="1">
      <c r="A12" s="10">
        <v>10402</v>
      </c>
      <c r="B12" s="11" t="s">
        <v>17</v>
      </c>
      <c r="C12" s="6"/>
      <c r="D12" s="6"/>
    </row>
    <row r="13" spans="1:9" ht="15.75" customHeight="1">
      <c r="A13" s="10">
        <v>10403</v>
      </c>
      <c r="B13" s="11" t="s">
        <v>19</v>
      </c>
      <c r="C13" s="6"/>
      <c r="D13" s="6"/>
    </row>
    <row r="14" spans="1:9" ht="15.75" customHeight="1">
      <c r="A14" s="10">
        <v>10404</v>
      </c>
      <c r="B14" s="11" t="s">
        <v>20</v>
      </c>
      <c r="C14" s="6"/>
      <c r="D14" s="6"/>
    </row>
    <row r="15" spans="1:9" ht="15.75" customHeight="1">
      <c r="A15" s="10">
        <v>10405</v>
      </c>
      <c r="B15" s="11" t="s">
        <v>21</v>
      </c>
      <c r="C15" s="6"/>
      <c r="D15" s="6"/>
    </row>
    <row r="16" spans="1:9" ht="15.75" customHeight="1">
      <c r="A16" s="10">
        <v>10501</v>
      </c>
      <c r="B16" s="11" t="s">
        <v>23</v>
      </c>
      <c r="C16" s="6"/>
      <c r="D16" s="6"/>
    </row>
    <row r="17" spans="1:4" ht="15.75" customHeight="1">
      <c r="A17" s="10">
        <v>10502</v>
      </c>
      <c r="B17" s="11" t="s">
        <v>24</v>
      </c>
      <c r="C17" s="6"/>
      <c r="D17" s="6"/>
    </row>
    <row r="18" spans="1:4" ht="15.75" customHeight="1">
      <c r="A18" s="10">
        <v>10601</v>
      </c>
      <c r="B18" s="11" t="s">
        <v>26</v>
      </c>
      <c r="C18" s="6"/>
      <c r="D18" s="6"/>
    </row>
    <row r="19" spans="1:4" ht="15.75" customHeight="1">
      <c r="A19" s="10">
        <v>10602</v>
      </c>
      <c r="B19" s="11" t="s">
        <v>25</v>
      </c>
      <c r="C19" s="6"/>
      <c r="D19" s="6"/>
    </row>
    <row r="20" spans="1:4" ht="15.75" customHeight="1">
      <c r="A20" s="10">
        <v>10701</v>
      </c>
      <c r="B20" s="11" t="s">
        <v>28</v>
      </c>
      <c r="C20" s="6"/>
      <c r="D20" s="6"/>
    </row>
    <row r="21" spans="1:4" ht="15.75" customHeight="1">
      <c r="A21" s="10">
        <v>10702</v>
      </c>
      <c r="B21" s="11" t="s">
        <v>29</v>
      </c>
      <c r="C21" s="6"/>
      <c r="D21" s="6"/>
    </row>
    <row r="22" spans="1:4" ht="15.75" customHeight="1">
      <c r="A22" s="10">
        <v>10703</v>
      </c>
      <c r="B22" s="11" t="s">
        <v>30</v>
      </c>
      <c r="C22" s="6"/>
      <c r="D22" s="6"/>
    </row>
    <row r="23" spans="1:4" ht="15.75" customHeight="1">
      <c r="A23" s="10">
        <v>10704</v>
      </c>
      <c r="B23" s="11" t="s">
        <v>31</v>
      </c>
      <c r="C23" s="6"/>
      <c r="D23" s="6"/>
    </row>
    <row r="24" spans="1:4" ht="15.75" customHeight="1">
      <c r="A24" s="10">
        <v>10801</v>
      </c>
      <c r="B24" s="11" t="s">
        <v>33</v>
      </c>
      <c r="C24" s="6"/>
      <c r="D24" s="6"/>
    </row>
    <row r="25" spans="1:4" ht="15.75" customHeight="1">
      <c r="A25" s="10">
        <v>10901</v>
      </c>
      <c r="B25" s="11" t="s">
        <v>35</v>
      </c>
      <c r="C25" s="6"/>
      <c r="D25" s="6"/>
    </row>
    <row r="26" spans="1:4" ht="15.75" customHeight="1">
      <c r="A26" s="10">
        <v>10902</v>
      </c>
      <c r="B26" s="11" t="s">
        <v>36</v>
      </c>
      <c r="C26" s="6"/>
      <c r="D26" s="6"/>
    </row>
    <row r="27" spans="1:4" ht="15.75" customHeight="1">
      <c r="A27" s="10">
        <v>10903</v>
      </c>
      <c r="B27" s="11" t="s">
        <v>37</v>
      </c>
      <c r="C27" s="6"/>
      <c r="D27" s="6"/>
    </row>
    <row r="28" spans="1:4" ht="15.75" customHeight="1">
      <c r="A28" s="10">
        <v>11001</v>
      </c>
      <c r="B28" s="11" t="s">
        <v>39</v>
      </c>
      <c r="C28" s="6"/>
      <c r="D28" s="6"/>
    </row>
    <row r="29" spans="1:4" ht="15.75" customHeight="1">
      <c r="A29" s="10">
        <v>11002</v>
      </c>
      <c r="B29" s="11" t="s">
        <v>40</v>
      </c>
      <c r="C29" s="6"/>
      <c r="D29" s="6"/>
    </row>
    <row r="30" spans="1:4" ht="15.75" customHeight="1">
      <c r="A30" s="10">
        <v>11003</v>
      </c>
      <c r="B30" s="11" t="s">
        <v>41</v>
      </c>
      <c r="C30" s="6"/>
      <c r="D30" s="6"/>
    </row>
    <row r="31" spans="1:4" ht="15.75" customHeight="1">
      <c r="A31" s="10">
        <v>20101</v>
      </c>
      <c r="B31" s="11" t="s">
        <v>44</v>
      </c>
      <c r="C31" s="6"/>
      <c r="D31" s="6"/>
    </row>
    <row r="32" spans="1:4" ht="15.75" customHeight="1">
      <c r="A32" s="10">
        <v>20102</v>
      </c>
      <c r="B32" s="11" t="s">
        <v>45</v>
      </c>
      <c r="C32" s="6"/>
      <c r="D32" s="6"/>
    </row>
    <row r="33" spans="1:4" ht="15.75" customHeight="1">
      <c r="A33" s="10">
        <v>20103</v>
      </c>
      <c r="B33" s="11" t="s">
        <v>46</v>
      </c>
      <c r="C33" s="6"/>
      <c r="D33" s="6"/>
    </row>
    <row r="34" spans="1:4" ht="15.75" customHeight="1">
      <c r="A34" s="10">
        <v>20104</v>
      </c>
      <c r="B34" s="11" t="s">
        <v>47</v>
      </c>
      <c r="C34" s="6"/>
      <c r="D34" s="6"/>
    </row>
    <row r="35" spans="1:4" ht="15.75" customHeight="1">
      <c r="A35" s="10">
        <v>20105</v>
      </c>
      <c r="B35" s="11" t="s">
        <v>48</v>
      </c>
      <c r="C35" s="6"/>
      <c r="D35" s="6"/>
    </row>
    <row r="36" spans="1:4" ht="15.75" customHeight="1">
      <c r="A36" s="10">
        <v>20201</v>
      </c>
      <c r="B36" s="11" t="s">
        <v>50</v>
      </c>
      <c r="C36" s="6"/>
      <c r="D36" s="6"/>
    </row>
    <row r="37" spans="1:4" ht="15.75" customHeight="1">
      <c r="A37" s="10">
        <v>20202</v>
      </c>
      <c r="B37" s="11" t="s">
        <v>51</v>
      </c>
      <c r="C37" s="6"/>
      <c r="D37" s="6"/>
    </row>
    <row r="38" spans="1:4" ht="15.75" customHeight="1">
      <c r="A38" s="10">
        <v>20203</v>
      </c>
      <c r="B38" s="11" t="s">
        <v>52</v>
      </c>
      <c r="C38" s="6"/>
      <c r="D38" s="6"/>
    </row>
    <row r="39" spans="1:4" ht="15.75" customHeight="1">
      <c r="A39" s="10">
        <v>20204</v>
      </c>
      <c r="B39" s="11" t="s">
        <v>53</v>
      </c>
      <c r="C39" s="6"/>
      <c r="D39" s="6"/>
    </row>
    <row r="40" spans="1:4" ht="15.75" customHeight="1">
      <c r="A40" s="10">
        <v>20205</v>
      </c>
      <c r="B40" s="11" t="s">
        <v>54</v>
      </c>
      <c r="C40" s="6"/>
      <c r="D40" s="6"/>
    </row>
    <row r="41" spans="1:4" ht="15.75" customHeight="1">
      <c r="A41" s="10">
        <v>20206</v>
      </c>
      <c r="B41" s="11" t="s">
        <v>55</v>
      </c>
      <c r="C41" s="6"/>
      <c r="D41" s="6"/>
    </row>
    <row r="42" spans="1:4" ht="15.75" customHeight="1">
      <c r="A42" s="10">
        <v>20301</v>
      </c>
      <c r="B42" s="11" t="s">
        <v>57</v>
      </c>
      <c r="C42" s="6"/>
      <c r="D42" s="6"/>
    </row>
    <row r="43" spans="1:4" ht="15.75" customHeight="1">
      <c r="A43" s="10">
        <v>20302</v>
      </c>
      <c r="B43" s="11" t="s">
        <v>58</v>
      </c>
      <c r="C43" s="6"/>
      <c r="D43" s="6"/>
    </row>
    <row r="44" spans="1:4" ht="15.75" customHeight="1">
      <c r="A44" s="10">
        <v>20303</v>
      </c>
      <c r="B44" s="11" t="s">
        <v>59</v>
      </c>
      <c r="C44" s="6"/>
      <c r="D44" s="6"/>
    </row>
    <row r="45" spans="1:4" ht="15.75" customHeight="1">
      <c r="A45" s="10">
        <v>20304</v>
      </c>
      <c r="B45" s="11" t="s">
        <v>60</v>
      </c>
      <c r="C45" s="6"/>
      <c r="D45" s="6"/>
    </row>
    <row r="46" spans="1:4" ht="15.75" customHeight="1">
      <c r="A46" s="10">
        <v>20305</v>
      </c>
      <c r="B46" s="11" t="s">
        <v>61</v>
      </c>
      <c r="C46" s="6"/>
      <c r="D46" s="6"/>
    </row>
    <row r="47" spans="1:4" ht="15.75" customHeight="1">
      <c r="A47" s="10">
        <v>20306</v>
      </c>
      <c r="B47" s="11" t="s">
        <v>62</v>
      </c>
      <c r="C47" s="6"/>
      <c r="D47" s="6"/>
    </row>
    <row r="48" spans="1:4" ht="15.75" customHeight="1">
      <c r="A48" s="10">
        <v>20307</v>
      </c>
      <c r="B48" s="11" t="s">
        <v>63</v>
      </c>
      <c r="C48" s="6"/>
      <c r="D48" s="6"/>
    </row>
    <row r="49" spans="1:4" ht="15.75" customHeight="1">
      <c r="A49" s="10">
        <v>20308</v>
      </c>
      <c r="B49" s="11" t="s">
        <v>64</v>
      </c>
      <c r="C49" s="6"/>
      <c r="D49" s="6"/>
    </row>
    <row r="50" spans="1:4" ht="15.75" customHeight="1">
      <c r="A50" s="10">
        <v>20401</v>
      </c>
      <c r="B50" s="11" t="s">
        <v>66</v>
      </c>
      <c r="C50" s="6"/>
      <c r="D50" s="6"/>
    </row>
    <row r="51" spans="1:4" ht="15.75" customHeight="1">
      <c r="A51" s="10">
        <v>20402</v>
      </c>
      <c r="B51" s="11" t="s">
        <v>67</v>
      </c>
      <c r="C51" s="6"/>
      <c r="D51" s="6"/>
    </row>
    <row r="52" spans="1:4" ht="15.75" customHeight="1">
      <c r="A52" s="10">
        <v>20403</v>
      </c>
      <c r="B52" s="11" t="s">
        <v>68</v>
      </c>
      <c r="C52" s="6"/>
      <c r="D52" s="6"/>
    </row>
    <row r="53" spans="1:4" ht="15.75" customHeight="1">
      <c r="A53" s="10">
        <v>20404</v>
      </c>
      <c r="B53" s="11" t="s">
        <v>69</v>
      </c>
      <c r="C53" s="6"/>
      <c r="D53" s="6"/>
    </row>
    <row r="54" spans="1:4" ht="15.75" customHeight="1">
      <c r="A54" s="10">
        <v>20405</v>
      </c>
      <c r="B54" s="11" t="s">
        <v>70</v>
      </c>
      <c r="C54" s="6"/>
      <c r="D54" s="6"/>
    </row>
    <row r="55" spans="1:4" ht="15.75" customHeight="1">
      <c r="A55" s="10">
        <v>20501</v>
      </c>
      <c r="B55" s="11" t="s">
        <v>72</v>
      </c>
      <c r="C55" s="6"/>
      <c r="D55" s="6"/>
    </row>
    <row r="56" spans="1:4" ht="15.75" customHeight="1">
      <c r="A56" s="10">
        <v>20502</v>
      </c>
      <c r="B56" s="11" t="s">
        <v>73</v>
      </c>
      <c r="C56" s="6"/>
      <c r="D56" s="6"/>
    </row>
    <row r="57" spans="1:4" ht="15.75" customHeight="1">
      <c r="A57" s="10">
        <v>20503</v>
      </c>
      <c r="B57" s="11" t="s">
        <v>74</v>
      </c>
      <c r="C57" s="6"/>
      <c r="D57" s="6"/>
    </row>
    <row r="58" spans="1:4" ht="15.75" customHeight="1">
      <c r="A58" s="10">
        <v>20601</v>
      </c>
      <c r="B58" s="11" t="s">
        <v>76</v>
      </c>
      <c r="C58" s="6"/>
      <c r="D58" s="6"/>
    </row>
    <row r="59" spans="1:4" ht="15.75" customHeight="1">
      <c r="A59" s="10">
        <v>20602</v>
      </c>
      <c r="B59" s="11" t="s">
        <v>77</v>
      </c>
      <c r="C59" s="6"/>
      <c r="D59" s="6"/>
    </row>
    <row r="60" spans="1:4" ht="15.75" customHeight="1">
      <c r="A60" s="10">
        <v>20603</v>
      </c>
      <c r="B60" s="11" t="s">
        <v>78</v>
      </c>
      <c r="C60" s="6"/>
      <c r="D60" s="6"/>
    </row>
    <row r="61" spans="1:4" ht="15.75" customHeight="1">
      <c r="A61" s="10">
        <v>20604</v>
      </c>
      <c r="B61" s="11" t="s">
        <v>79</v>
      </c>
      <c r="C61" s="6"/>
      <c r="D61" s="6"/>
    </row>
    <row r="62" spans="1:4" ht="15.75" customHeight="1">
      <c r="A62" s="10">
        <v>20605</v>
      </c>
      <c r="B62" s="11" t="s">
        <v>80</v>
      </c>
      <c r="C62" s="6"/>
      <c r="D62" s="6"/>
    </row>
    <row r="63" spans="1:4" ht="15.75" customHeight="1">
      <c r="A63" s="10">
        <v>20606</v>
      </c>
      <c r="B63" s="11" t="s">
        <v>81</v>
      </c>
      <c r="C63" s="6"/>
      <c r="D63" s="6"/>
    </row>
    <row r="64" spans="1:4" ht="15.75" customHeight="1">
      <c r="A64" s="10">
        <v>20607</v>
      </c>
      <c r="B64" s="11" t="s">
        <v>82</v>
      </c>
      <c r="C64" s="6"/>
      <c r="D64" s="6"/>
    </row>
    <row r="65" spans="1:4" ht="15.75" customHeight="1">
      <c r="A65" s="10">
        <v>20608</v>
      </c>
      <c r="B65" s="11" t="s">
        <v>83</v>
      </c>
      <c r="C65" s="6"/>
      <c r="D65" s="6"/>
    </row>
    <row r="66" spans="1:4" ht="15.75" customHeight="1">
      <c r="A66" s="10">
        <v>20701</v>
      </c>
      <c r="B66" s="11" t="s">
        <v>85</v>
      </c>
      <c r="C66" s="6"/>
      <c r="D66" s="6"/>
    </row>
    <row r="67" spans="1:4" ht="15.75" customHeight="1">
      <c r="A67" s="10">
        <v>20702</v>
      </c>
      <c r="B67" s="11" t="s">
        <v>86</v>
      </c>
      <c r="C67" s="6"/>
      <c r="D67" s="6"/>
    </row>
    <row r="68" spans="1:4" ht="15.75" customHeight="1">
      <c r="A68" s="10">
        <v>20801</v>
      </c>
      <c r="B68" s="11" t="s">
        <v>88</v>
      </c>
      <c r="C68" s="6"/>
      <c r="D68" s="6"/>
    </row>
    <row r="69" spans="1:4" ht="15.75" customHeight="1">
      <c r="A69" s="10">
        <v>20802</v>
      </c>
      <c r="B69" s="11" t="s">
        <v>89</v>
      </c>
      <c r="C69" s="6"/>
      <c r="D69" s="6"/>
    </row>
    <row r="70" spans="1:4" ht="15.75" customHeight="1">
      <c r="A70" s="10">
        <v>20803</v>
      </c>
      <c r="B70" s="11" t="s">
        <v>90</v>
      </c>
      <c r="C70" s="6"/>
      <c r="D70" s="6"/>
    </row>
    <row r="71" spans="1:4" ht="15.75" customHeight="1">
      <c r="A71" s="10">
        <v>20804</v>
      </c>
      <c r="B71" s="11" t="s">
        <v>91</v>
      </c>
      <c r="C71" s="6"/>
      <c r="D71" s="6"/>
    </row>
    <row r="72" spans="1:4" ht="15.75" customHeight="1">
      <c r="A72" s="10">
        <v>20805</v>
      </c>
      <c r="B72" s="11" t="s">
        <v>92</v>
      </c>
      <c r="C72" s="6"/>
      <c r="D72" s="6"/>
    </row>
    <row r="73" spans="1:4" ht="15.75" customHeight="1">
      <c r="A73" s="10">
        <v>20806</v>
      </c>
      <c r="B73" s="11" t="s">
        <v>93</v>
      </c>
      <c r="C73" s="6"/>
      <c r="D73" s="6"/>
    </row>
    <row r="74" spans="1:4" ht="15.75" customHeight="1">
      <c r="A74" s="10">
        <v>20807</v>
      </c>
      <c r="B74" s="11" t="s">
        <v>94</v>
      </c>
      <c r="C74" s="6"/>
      <c r="D74" s="6"/>
    </row>
    <row r="75" spans="1:4" ht="15.75" customHeight="1">
      <c r="A75" s="10">
        <v>20901</v>
      </c>
      <c r="B75" s="11" t="s">
        <v>96</v>
      </c>
      <c r="C75" s="6"/>
      <c r="D75" s="6"/>
    </row>
    <row r="76" spans="1:4" ht="15.75" customHeight="1">
      <c r="A76" s="10">
        <v>20902</v>
      </c>
      <c r="B76" s="11" t="s">
        <v>97</v>
      </c>
      <c r="C76" s="6"/>
      <c r="D76" s="6"/>
    </row>
    <row r="77" spans="1:4" ht="15.75" customHeight="1">
      <c r="A77" s="10">
        <v>20903</v>
      </c>
      <c r="B77" s="11" t="s">
        <v>98</v>
      </c>
      <c r="C77" s="6"/>
      <c r="D77" s="6"/>
    </row>
    <row r="78" spans="1:4" ht="15.75" customHeight="1">
      <c r="A78" s="10">
        <v>20904</v>
      </c>
      <c r="B78" s="11" t="s">
        <v>99</v>
      </c>
      <c r="C78" s="6"/>
      <c r="D78" s="6"/>
    </row>
    <row r="79" spans="1:4" ht="15.75" customHeight="1">
      <c r="A79" s="10">
        <v>20905</v>
      </c>
      <c r="B79" s="11" t="s">
        <v>100</v>
      </c>
      <c r="C79" s="6"/>
      <c r="D79" s="6"/>
    </row>
    <row r="80" spans="1:4" ht="15.75" customHeight="1">
      <c r="A80" s="10">
        <v>21001</v>
      </c>
      <c r="B80" s="11" t="s">
        <v>101</v>
      </c>
      <c r="C80" s="6"/>
      <c r="D80" s="6"/>
    </row>
    <row r="81" spans="1:4" ht="15.75" customHeight="1">
      <c r="A81" s="10">
        <v>21002</v>
      </c>
      <c r="B81" s="11" t="s">
        <v>102</v>
      </c>
      <c r="C81" s="6"/>
      <c r="D81" s="6"/>
    </row>
    <row r="82" spans="1:4" ht="15.75" customHeight="1">
      <c r="A82" s="10">
        <v>21003</v>
      </c>
      <c r="B82" s="11" t="s">
        <v>103</v>
      </c>
      <c r="C82" s="6"/>
      <c r="D82" s="6"/>
    </row>
    <row r="83" spans="1:4" ht="15.75" customHeight="1">
      <c r="A83" s="10">
        <v>21004</v>
      </c>
      <c r="B83" s="11" t="s">
        <v>104</v>
      </c>
      <c r="C83" s="6"/>
      <c r="D83" s="6"/>
    </row>
    <row r="84" spans="1:4" ht="15.75" customHeight="1">
      <c r="A84" s="10">
        <v>21005</v>
      </c>
      <c r="B84" s="11" t="s">
        <v>105</v>
      </c>
      <c r="C84" s="6"/>
      <c r="D84" s="6"/>
    </row>
    <row r="85" spans="1:4" ht="15.75" customHeight="1">
      <c r="A85" s="10">
        <v>21006</v>
      </c>
      <c r="B85" s="11" t="s">
        <v>106</v>
      </c>
      <c r="C85" s="6"/>
      <c r="D85" s="6"/>
    </row>
    <row r="86" spans="1:4" ht="15.75" customHeight="1">
      <c r="A86" s="10">
        <v>21101</v>
      </c>
      <c r="B86" s="11" t="s">
        <v>108</v>
      </c>
      <c r="C86" s="6"/>
      <c r="D86" s="6"/>
    </row>
    <row r="87" spans="1:4" ht="15.75" customHeight="1">
      <c r="A87" s="10">
        <v>21102</v>
      </c>
      <c r="B87" s="11" t="s">
        <v>109</v>
      </c>
      <c r="C87" s="6"/>
      <c r="D87" s="6"/>
    </row>
    <row r="88" spans="1:4" ht="15.75" customHeight="1">
      <c r="A88" s="10">
        <v>21103</v>
      </c>
      <c r="B88" s="11" t="s">
        <v>110</v>
      </c>
      <c r="C88" s="6"/>
      <c r="D88" s="6"/>
    </row>
    <row r="89" spans="1:4" ht="15.75" customHeight="1">
      <c r="A89" s="10">
        <v>21104</v>
      </c>
      <c r="B89" s="11" t="s">
        <v>111</v>
      </c>
      <c r="C89" s="6"/>
      <c r="D89" s="6"/>
    </row>
    <row r="90" spans="1:4" ht="15.75" customHeight="1">
      <c r="A90" s="10">
        <v>21105</v>
      </c>
      <c r="B90" s="11" t="s">
        <v>112</v>
      </c>
      <c r="C90" s="6"/>
      <c r="D90" s="6"/>
    </row>
    <row r="91" spans="1:4" ht="15.75" customHeight="1">
      <c r="A91" s="10">
        <v>21201</v>
      </c>
      <c r="B91" s="11" t="s">
        <v>114</v>
      </c>
      <c r="C91" s="6"/>
      <c r="D91" s="6"/>
    </row>
    <row r="92" spans="1:4" ht="15.75" customHeight="1">
      <c r="A92" s="10">
        <v>21202</v>
      </c>
      <c r="B92" s="11" t="s">
        <v>115</v>
      </c>
      <c r="C92" s="6"/>
      <c r="D92" s="6"/>
    </row>
    <row r="93" spans="1:4" ht="15.75" customHeight="1">
      <c r="A93" s="10">
        <v>21203</v>
      </c>
      <c r="B93" s="11" t="s">
        <v>116</v>
      </c>
      <c r="C93" s="6"/>
      <c r="D93" s="6"/>
    </row>
    <row r="94" spans="1:4" ht="15.75" customHeight="1">
      <c r="A94" s="10">
        <v>21204</v>
      </c>
      <c r="B94" s="11" t="s">
        <v>117</v>
      </c>
      <c r="C94" s="6"/>
      <c r="D94" s="6"/>
    </row>
    <row r="95" spans="1:4" ht="15.75" customHeight="1">
      <c r="A95" s="10">
        <v>21301</v>
      </c>
      <c r="B95" s="11" t="s">
        <v>119</v>
      </c>
      <c r="C95" s="6"/>
      <c r="D95" s="6"/>
    </row>
    <row r="96" spans="1:4" ht="15.75" customHeight="1">
      <c r="A96" s="10">
        <v>21302</v>
      </c>
      <c r="B96" s="11" t="s">
        <v>120</v>
      </c>
      <c r="C96" s="6"/>
      <c r="D96" s="6"/>
    </row>
    <row r="97" spans="1:4" ht="15.75" customHeight="1">
      <c r="A97" s="10">
        <v>21303</v>
      </c>
      <c r="B97" s="11" t="s">
        <v>121</v>
      </c>
      <c r="C97" s="6"/>
      <c r="D97" s="6"/>
    </row>
    <row r="98" spans="1:4" ht="15.75" customHeight="1">
      <c r="A98" s="10">
        <v>21304</v>
      </c>
      <c r="B98" s="11" t="s">
        <v>122</v>
      </c>
      <c r="C98" s="6"/>
      <c r="D98" s="6"/>
    </row>
    <row r="99" spans="1:4" ht="15.75" customHeight="1">
      <c r="A99" s="10">
        <v>21305</v>
      </c>
      <c r="B99" s="11" t="s">
        <v>123</v>
      </c>
      <c r="C99" s="6"/>
      <c r="D99" s="6"/>
    </row>
    <row r="100" spans="1:4" ht="15.75" customHeight="1">
      <c r="A100" s="10">
        <v>21306</v>
      </c>
      <c r="B100" s="11" t="s">
        <v>124</v>
      </c>
      <c r="C100" s="6"/>
      <c r="D100" s="6"/>
    </row>
    <row r="101" spans="1:4" ht="15.75" customHeight="1">
      <c r="A101" s="10">
        <v>21307</v>
      </c>
      <c r="B101" s="11" t="s">
        <v>125</v>
      </c>
      <c r="C101" s="6"/>
      <c r="D101" s="6"/>
    </row>
    <row r="102" spans="1:4" ht="15.75" customHeight="1">
      <c r="A102" s="10">
        <v>21401</v>
      </c>
      <c r="B102" s="11" t="s">
        <v>127</v>
      </c>
      <c r="C102" s="6"/>
      <c r="D102" s="6"/>
    </row>
    <row r="103" spans="1:4" ht="15.75" customHeight="1">
      <c r="A103" s="10">
        <v>21402</v>
      </c>
      <c r="B103" s="11" t="s">
        <v>128</v>
      </c>
      <c r="C103" s="6"/>
      <c r="D103" s="6"/>
    </row>
    <row r="104" spans="1:4" ht="15.75" customHeight="1">
      <c r="A104" s="10">
        <v>21501</v>
      </c>
      <c r="B104" s="11" t="s">
        <v>130</v>
      </c>
      <c r="C104" s="6"/>
      <c r="D104" s="6"/>
    </row>
    <row r="105" spans="1:4" ht="15.75" customHeight="1">
      <c r="A105" s="10">
        <v>21502</v>
      </c>
      <c r="B105" s="11" t="s">
        <v>131</v>
      </c>
      <c r="C105" s="6"/>
      <c r="D105" s="6"/>
    </row>
    <row r="106" spans="1:4" ht="15.75" customHeight="1">
      <c r="A106" s="10">
        <v>21601</v>
      </c>
      <c r="B106" s="11" t="s">
        <v>133</v>
      </c>
      <c r="C106" s="6"/>
      <c r="D106" s="6"/>
    </row>
    <row r="107" spans="1:4" ht="15.75" customHeight="1">
      <c r="A107" s="10">
        <v>21602</v>
      </c>
      <c r="B107" s="11" t="s">
        <v>134</v>
      </c>
      <c r="C107" s="6"/>
      <c r="D107" s="6"/>
    </row>
    <row r="108" spans="1:4" ht="15.75" customHeight="1">
      <c r="A108" s="10">
        <v>21701</v>
      </c>
      <c r="B108" s="11" t="s">
        <v>136</v>
      </c>
      <c r="C108" s="6"/>
      <c r="D108" s="6"/>
    </row>
    <row r="109" spans="1:4" ht="15.75" customHeight="1">
      <c r="A109" s="10">
        <v>21702</v>
      </c>
      <c r="B109" s="11" t="s">
        <v>137</v>
      </c>
      <c r="C109" s="6"/>
      <c r="D109" s="6"/>
    </row>
    <row r="110" spans="1:4" ht="15.75" customHeight="1">
      <c r="A110" s="10">
        <v>21703</v>
      </c>
      <c r="B110" s="11" t="s">
        <v>138</v>
      </c>
      <c r="C110" s="6"/>
      <c r="D110" s="6"/>
    </row>
    <row r="111" spans="1:4" ht="15.75" customHeight="1">
      <c r="A111" s="10">
        <v>21801</v>
      </c>
      <c r="B111" s="11" t="s">
        <v>140</v>
      </c>
      <c r="C111" s="6"/>
      <c r="D111" s="6"/>
    </row>
    <row r="112" spans="1:4" ht="15.75" customHeight="1">
      <c r="A112" s="10">
        <v>21802</v>
      </c>
      <c r="B112" s="11" t="s">
        <v>142</v>
      </c>
      <c r="C112" s="6"/>
      <c r="D112" s="6"/>
    </row>
    <row r="113" spans="1:4" ht="15.75" customHeight="1">
      <c r="A113" s="10">
        <v>21803</v>
      </c>
      <c r="B113" s="11" t="s">
        <v>143</v>
      </c>
      <c r="C113" s="6"/>
      <c r="D113" s="6"/>
    </row>
    <row r="114" spans="1:4" ht="15.75" customHeight="1">
      <c r="A114" s="10">
        <v>21901</v>
      </c>
      <c r="B114" s="11" t="s">
        <v>145</v>
      </c>
      <c r="C114" s="6"/>
      <c r="D114" s="6"/>
    </row>
    <row r="115" spans="1:4" ht="15.75" customHeight="1">
      <c r="A115" s="10">
        <v>21902</v>
      </c>
      <c r="B115" s="11" t="s">
        <v>146</v>
      </c>
      <c r="C115" s="6"/>
      <c r="D115" s="6"/>
    </row>
    <row r="116" spans="1:4" ht="15.75" customHeight="1">
      <c r="A116" s="10">
        <v>22001</v>
      </c>
      <c r="B116" s="11" t="s">
        <v>147</v>
      </c>
      <c r="C116" s="6"/>
      <c r="D116" s="6"/>
    </row>
    <row r="117" spans="1:4" ht="15.75" customHeight="1">
      <c r="A117" s="10">
        <v>22002</v>
      </c>
      <c r="B117" s="11" t="s">
        <v>148</v>
      </c>
      <c r="C117" s="6"/>
      <c r="D117" s="6"/>
    </row>
    <row r="118" spans="1:4" ht="15.75" customHeight="1">
      <c r="A118" s="10">
        <v>30101</v>
      </c>
      <c r="B118" s="11" t="s">
        <v>149</v>
      </c>
      <c r="C118" s="6"/>
      <c r="D118" s="6"/>
    </row>
    <row r="119" spans="1:4" ht="15.75" customHeight="1">
      <c r="A119" s="10">
        <v>30201</v>
      </c>
      <c r="B119" s="11" t="s">
        <v>152</v>
      </c>
      <c r="C119" s="6"/>
      <c r="D119" s="6"/>
    </row>
    <row r="120" spans="1:4" ht="15.75" customHeight="1">
      <c r="A120" s="10">
        <v>30202</v>
      </c>
      <c r="B120" s="11" t="s">
        <v>153</v>
      </c>
      <c r="C120" s="6"/>
      <c r="D120" s="6"/>
    </row>
    <row r="121" spans="1:4" ht="15.75" customHeight="1">
      <c r="A121" s="10">
        <v>30203</v>
      </c>
      <c r="B121" s="11" t="s">
        <v>154</v>
      </c>
      <c r="C121" s="6"/>
      <c r="D121" s="6"/>
    </row>
    <row r="122" spans="1:4" ht="15.75" customHeight="1">
      <c r="A122" s="10">
        <v>30301</v>
      </c>
      <c r="B122" s="11" t="s">
        <v>156</v>
      </c>
      <c r="C122" s="6"/>
      <c r="D122" s="6"/>
    </row>
    <row r="123" spans="1:4" ht="15.75" customHeight="1">
      <c r="A123" s="10">
        <v>30302</v>
      </c>
      <c r="B123" s="11" t="s">
        <v>157</v>
      </c>
      <c r="C123" s="6"/>
      <c r="D123" s="6"/>
    </row>
    <row r="124" spans="1:4" ht="15.75" customHeight="1">
      <c r="A124" s="10">
        <v>30303</v>
      </c>
      <c r="B124" s="11" t="s">
        <v>158</v>
      </c>
      <c r="C124" s="6"/>
      <c r="D124" s="6"/>
    </row>
    <row r="125" spans="1:4" ht="15.75" customHeight="1">
      <c r="A125" s="10">
        <v>30401</v>
      </c>
      <c r="B125" s="11" t="s">
        <v>160</v>
      </c>
      <c r="C125" s="6"/>
      <c r="D125" s="6"/>
    </row>
    <row r="126" spans="1:4" ht="15.75" customHeight="1">
      <c r="A126" s="10">
        <v>30402</v>
      </c>
      <c r="B126" s="11" t="s">
        <v>161</v>
      </c>
      <c r="C126" s="6"/>
      <c r="D126" s="6"/>
    </row>
    <row r="127" spans="1:4" ht="15.75" customHeight="1">
      <c r="A127" s="10">
        <v>30403</v>
      </c>
      <c r="B127" s="11" t="s">
        <v>162</v>
      </c>
      <c r="C127" s="6"/>
      <c r="D127" s="6"/>
    </row>
    <row r="128" spans="1:4" ht="15.75" customHeight="1">
      <c r="A128" s="10">
        <v>30404</v>
      </c>
      <c r="B128" s="11" t="s">
        <v>163</v>
      </c>
      <c r="C128" s="6"/>
      <c r="D128" s="6"/>
    </row>
    <row r="129" spans="1:4" ht="15.75" customHeight="1">
      <c r="A129" s="10">
        <v>30501</v>
      </c>
      <c r="B129" s="11" t="s">
        <v>164</v>
      </c>
      <c r="C129" s="6"/>
      <c r="D129" s="6"/>
    </row>
    <row r="130" spans="1:4" ht="15.75" customHeight="1">
      <c r="A130" s="10">
        <v>30502</v>
      </c>
      <c r="B130" s="11" t="s">
        <v>165</v>
      </c>
      <c r="C130" s="6"/>
      <c r="D130" s="6"/>
    </row>
    <row r="131" spans="1:4" ht="15.75" customHeight="1">
      <c r="A131" s="10">
        <v>30601</v>
      </c>
      <c r="B131" s="11" t="s">
        <v>166</v>
      </c>
      <c r="C131" s="6"/>
      <c r="D131" s="6"/>
    </row>
    <row r="132" spans="1:4" ht="15.75" customHeight="1">
      <c r="A132" s="10">
        <v>30602</v>
      </c>
      <c r="B132" s="11" t="s">
        <v>167</v>
      </c>
      <c r="C132" s="6"/>
      <c r="D132" s="6"/>
    </row>
    <row r="133" spans="1:4" ht="15.75" customHeight="1">
      <c r="A133" s="10">
        <v>30701</v>
      </c>
      <c r="B133" s="11" t="s">
        <v>168</v>
      </c>
      <c r="C133" s="6"/>
      <c r="D133" s="6"/>
    </row>
    <row r="134" spans="1:4" ht="15.75" customHeight="1">
      <c r="A134" s="10">
        <v>30702</v>
      </c>
      <c r="B134" s="11" t="s">
        <v>169</v>
      </c>
      <c r="C134" s="6"/>
      <c r="D134" s="6"/>
    </row>
    <row r="135" spans="1:4" ht="15.75" customHeight="1">
      <c r="A135" s="10">
        <v>30703</v>
      </c>
      <c r="B135" s="11" t="s">
        <v>170</v>
      </c>
      <c r="C135" s="6"/>
      <c r="D135" s="6"/>
    </row>
    <row r="136" spans="1:4" ht="15.75" customHeight="1">
      <c r="A136" s="10">
        <v>30801</v>
      </c>
      <c r="B136" s="11" t="s">
        <v>172</v>
      </c>
      <c r="C136" s="6"/>
      <c r="D136" s="6"/>
    </row>
    <row r="137" spans="1:4" ht="15.75" customHeight="1">
      <c r="A137" s="10">
        <v>30802</v>
      </c>
      <c r="B137" s="11" t="s">
        <v>173</v>
      </c>
      <c r="C137" s="6"/>
      <c r="D137" s="6"/>
    </row>
    <row r="138" spans="1:4" ht="15.75" customHeight="1">
      <c r="A138" s="10">
        <v>30803</v>
      </c>
      <c r="B138" s="11" t="s">
        <v>174</v>
      </c>
      <c r="C138" s="6"/>
      <c r="D138" s="6"/>
    </row>
    <row r="139" spans="1:4" ht="15.75" customHeight="1">
      <c r="A139" s="10">
        <v>30901</v>
      </c>
      <c r="B139" s="11" t="s">
        <v>175</v>
      </c>
      <c r="C139" s="6"/>
      <c r="D139" s="6"/>
    </row>
    <row r="140" spans="1:4" ht="15.75" customHeight="1">
      <c r="A140" s="10">
        <v>30902</v>
      </c>
      <c r="B140" s="11" t="s">
        <v>176</v>
      </c>
      <c r="C140" s="6"/>
      <c r="D140" s="6"/>
    </row>
    <row r="141" spans="1:4" ht="15.75" customHeight="1">
      <c r="A141" s="10">
        <v>30903</v>
      </c>
      <c r="B141" s="11" t="s">
        <v>177</v>
      </c>
      <c r="C141" s="6"/>
      <c r="D141" s="6"/>
    </row>
    <row r="142" spans="1:4" ht="15.75" customHeight="1">
      <c r="A142" s="10">
        <v>30904</v>
      </c>
      <c r="B142" s="11" t="s">
        <v>178</v>
      </c>
      <c r="C142" s="6"/>
      <c r="D142" s="6"/>
    </row>
    <row r="143" spans="1:4" ht="15.75" customHeight="1">
      <c r="A143" s="10">
        <v>30905</v>
      </c>
      <c r="B143" s="11" t="s">
        <v>179</v>
      </c>
      <c r="C143" s="6"/>
      <c r="D143" s="6"/>
    </row>
    <row r="144" spans="1:4" ht="15.75" customHeight="1">
      <c r="A144" s="10">
        <v>31001</v>
      </c>
      <c r="B144" s="11" t="s">
        <v>181</v>
      </c>
      <c r="C144" s="6"/>
      <c r="D144" s="6"/>
    </row>
    <row r="145" spans="1:4" ht="15.75" customHeight="1">
      <c r="A145" s="10">
        <v>31002</v>
      </c>
      <c r="B145" s="11" t="s">
        <v>182</v>
      </c>
      <c r="C145" s="6"/>
      <c r="D145" s="6"/>
    </row>
    <row r="146" spans="1:4" ht="15.75" customHeight="1">
      <c r="A146" s="10">
        <v>31003</v>
      </c>
      <c r="B146" s="11" t="s">
        <v>183</v>
      </c>
      <c r="C146" s="6"/>
      <c r="D146" s="6"/>
    </row>
    <row r="147" spans="1:4" ht="15.75" customHeight="1">
      <c r="A147" s="10">
        <v>31101</v>
      </c>
      <c r="B147" s="11" t="s">
        <v>184</v>
      </c>
      <c r="C147" s="6"/>
      <c r="D147" s="6"/>
    </row>
    <row r="148" spans="1:4" ht="15.75" customHeight="1">
      <c r="A148" s="10">
        <v>31201</v>
      </c>
      <c r="B148" s="11" t="s">
        <v>186</v>
      </c>
      <c r="C148" s="6"/>
      <c r="D148" s="6"/>
    </row>
    <row r="149" spans="1:4" ht="15.75" customHeight="1">
      <c r="A149" s="10">
        <v>31202</v>
      </c>
      <c r="B149" s="11" t="s">
        <v>187</v>
      </c>
      <c r="C149" s="6"/>
      <c r="D149" s="6"/>
    </row>
    <row r="150" spans="1:4" ht="15.75" customHeight="1">
      <c r="A150" s="10">
        <v>31203</v>
      </c>
      <c r="B150" s="11" t="s">
        <v>188</v>
      </c>
      <c r="C150" s="6"/>
      <c r="D150" s="6"/>
    </row>
    <row r="151" spans="1:4" ht="15.75" customHeight="1">
      <c r="A151" s="10">
        <v>31204</v>
      </c>
      <c r="B151" s="11" t="s">
        <v>189</v>
      </c>
      <c r="C151" s="6"/>
      <c r="D151" s="6"/>
    </row>
    <row r="152" spans="1:4" ht="15.75" customHeight="1">
      <c r="A152" s="10">
        <v>31205</v>
      </c>
      <c r="B152" s="11" t="s">
        <v>190</v>
      </c>
      <c r="C152" s="6"/>
      <c r="D152" s="6"/>
    </row>
    <row r="153" spans="1:4" ht="15.75" customHeight="1">
      <c r="A153" s="10">
        <v>31206</v>
      </c>
      <c r="B153" s="11" t="s">
        <v>191</v>
      </c>
      <c r="C153" s="6"/>
      <c r="D153" s="6"/>
    </row>
    <row r="154" spans="1:4" ht="15.75" customHeight="1">
      <c r="A154" s="10">
        <v>31301</v>
      </c>
      <c r="B154" s="11" t="s">
        <v>192</v>
      </c>
      <c r="C154" s="6"/>
      <c r="D154" s="6"/>
    </row>
    <row r="155" spans="1:4" ht="15.75" customHeight="1">
      <c r="A155" s="10">
        <v>31302</v>
      </c>
      <c r="B155" s="11" t="s">
        <v>193</v>
      </c>
      <c r="C155" s="6"/>
      <c r="D155" s="6"/>
    </row>
    <row r="156" spans="1:4" ht="15.75" customHeight="1">
      <c r="A156" s="10">
        <v>31303</v>
      </c>
      <c r="B156" s="11" t="s">
        <v>194</v>
      </c>
      <c r="C156" s="6"/>
      <c r="D156" s="6"/>
    </row>
    <row r="157" spans="1:4" ht="15.75" customHeight="1">
      <c r="A157" s="10">
        <v>31304</v>
      </c>
      <c r="B157" s="11" t="s">
        <v>195</v>
      </c>
      <c r="C157" s="6"/>
      <c r="D157" s="6"/>
    </row>
    <row r="158" spans="1:4" ht="15.75" customHeight="1">
      <c r="A158" s="10">
        <v>31401</v>
      </c>
      <c r="B158" s="11" t="s">
        <v>196</v>
      </c>
      <c r="C158" s="6"/>
      <c r="D158" s="6"/>
    </row>
    <row r="159" spans="1:4" ht="15.75" customHeight="1">
      <c r="A159" s="10">
        <v>31402</v>
      </c>
      <c r="B159" s="11" t="s">
        <v>197</v>
      </c>
      <c r="C159" s="6"/>
      <c r="D159" s="6"/>
    </row>
    <row r="160" spans="1:4" ht="15.75" customHeight="1">
      <c r="A160" s="10">
        <v>31403</v>
      </c>
      <c r="B160" s="11" t="s">
        <v>198</v>
      </c>
      <c r="C160" s="6"/>
      <c r="D160" s="6"/>
    </row>
    <row r="161" spans="1:4" ht="15.75" customHeight="1">
      <c r="A161" s="10">
        <v>31404</v>
      </c>
      <c r="B161" s="11" t="s">
        <v>199</v>
      </c>
      <c r="C161" s="6"/>
      <c r="D161" s="6"/>
    </row>
    <row r="162" spans="1:4" ht="15.75" customHeight="1">
      <c r="A162" s="10">
        <v>31405</v>
      </c>
      <c r="B162" s="11" t="s">
        <v>200</v>
      </c>
      <c r="C162" s="6"/>
      <c r="D162" s="6"/>
    </row>
    <row r="163" spans="1:4" ht="15.75" customHeight="1">
      <c r="A163" s="10">
        <v>31501</v>
      </c>
      <c r="B163" s="11" t="s">
        <v>201</v>
      </c>
      <c r="C163" s="6"/>
      <c r="D163" s="6"/>
    </row>
    <row r="164" spans="1:4" ht="15.75" customHeight="1">
      <c r="A164" s="10">
        <v>31601</v>
      </c>
      <c r="B164" s="11" t="s">
        <v>202</v>
      </c>
      <c r="C164" s="6"/>
      <c r="D164" s="6"/>
    </row>
    <row r="165" spans="1:4" ht="15.75" customHeight="1">
      <c r="A165" s="10">
        <v>31602</v>
      </c>
      <c r="B165" s="11" t="s">
        <v>203</v>
      </c>
      <c r="C165" s="6"/>
      <c r="D165" s="6"/>
    </row>
    <row r="166" spans="1:4" ht="15.75" customHeight="1">
      <c r="A166" s="10">
        <v>40101</v>
      </c>
      <c r="B166" s="11" t="s">
        <v>204</v>
      </c>
      <c r="C166" s="6"/>
      <c r="D166" s="6"/>
    </row>
    <row r="167" spans="1:4" ht="15.75" customHeight="1">
      <c r="A167" s="10">
        <v>40102</v>
      </c>
      <c r="B167" s="11" t="s">
        <v>205</v>
      </c>
      <c r="C167" s="6"/>
      <c r="D167" s="6"/>
    </row>
    <row r="168" spans="1:4" ht="15.75" customHeight="1">
      <c r="A168" s="10">
        <v>40103</v>
      </c>
      <c r="B168" s="11" t="s">
        <v>206</v>
      </c>
      <c r="C168" s="6"/>
      <c r="D168" s="6"/>
    </row>
    <row r="169" spans="1:4" ht="15.75" customHeight="1">
      <c r="A169" s="10">
        <v>40104</v>
      </c>
      <c r="B169" s="11" t="s">
        <v>207</v>
      </c>
      <c r="C169" s="6"/>
      <c r="D169" s="6"/>
    </row>
    <row r="170" spans="1:4" ht="15.75" customHeight="1">
      <c r="A170" s="10">
        <v>40201</v>
      </c>
      <c r="B170" s="11" t="s">
        <v>209</v>
      </c>
      <c r="C170" s="6"/>
      <c r="D170" s="6"/>
    </row>
    <row r="171" spans="1:4" ht="15.75" customHeight="1">
      <c r="A171" s="10">
        <v>40202</v>
      </c>
      <c r="B171" s="11" t="s">
        <v>210</v>
      </c>
      <c r="C171" s="6"/>
      <c r="D171" s="6"/>
    </row>
    <row r="172" spans="1:4" ht="15.75" customHeight="1">
      <c r="A172" s="10">
        <v>40301</v>
      </c>
      <c r="B172" s="11" t="s">
        <v>212</v>
      </c>
      <c r="C172" s="6"/>
      <c r="D172" s="6"/>
    </row>
    <row r="173" spans="1:4" ht="15.75" customHeight="1">
      <c r="A173" s="10">
        <v>40302</v>
      </c>
      <c r="B173" s="11" t="s">
        <v>213</v>
      </c>
      <c r="C173" s="6"/>
      <c r="D173" s="6"/>
    </row>
    <row r="174" spans="1:4" ht="15.75" customHeight="1">
      <c r="A174" s="10">
        <v>40401</v>
      </c>
      <c r="B174" s="11" t="s">
        <v>215</v>
      </c>
      <c r="C174" s="6"/>
      <c r="D174" s="6"/>
    </row>
    <row r="175" spans="1:4" ht="15.75" customHeight="1">
      <c r="A175" s="10">
        <v>40402</v>
      </c>
      <c r="B175" s="11" t="s">
        <v>216</v>
      </c>
      <c r="C175" s="6"/>
      <c r="D175" s="6"/>
    </row>
    <row r="176" spans="1:4" ht="15.75" customHeight="1">
      <c r="A176" s="10">
        <v>40501</v>
      </c>
      <c r="B176" s="11" t="s">
        <v>218</v>
      </c>
      <c r="C176" s="6"/>
      <c r="D176" s="6"/>
    </row>
    <row r="177" spans="1:4" ht="15.75" customHeight="1">
      <c r="A177" s="10">
        <v>40502</v>
      </c>
      <c r="B177" s="11" t="s">
        <v>219</v>
      </c>
      <c r="C177" s="6"/>
      <c r="D177" s="6"/>
    </row>
    <row r="178" spans="1:4" ht="15.75" customHeight="1">
      <c r="A178" s="10">
        <v>40503</v>
      </c>
      <c r="B178" s="11" t="s">
        <v>220</v>
      </c>
      <c r="C178" s="6"/>
      <c r="D178" s="6"/>
    </row>
    <row r="179" spans="1:4" ht="15.75" customHeight="1">
      <c r="A179" s="10">
        <v>40504</v>
      </c>
      <c r="B179" s="11" t="s">
        <v>221</v>
      </c>
      <c r="C179" s="6"/>
      <c r="D179" s="6"/>
    </row>
    <row r="180" spans="1:4" ht="15.75" customHeight="1">
      <c r="A180" s="10">
        <v>40505</v>
      </c>
      <c r="B180" s="11" t="s">
        <v>222</v>
      </c>
      <c r="C180" s="6"/>
      <c r="D180" s="6"/>
    </row>
    <row r="181" spans="1:4" ht="15.75" customHeight="1">
      <c r="A181" s="10">
        <v>40601</v>
      </c>
      <c r="B181" s="11" t="s">
        <v>223</v>
      </c>
      <c r="C181" s="6"/>
      <c r="D181" s="6"/>
    </row>
    <row r="182" spans="1:4" ht="15.75" customHeight="1">
      <c r="A182" s="10">
        <v>40602</v>
      </c>
      <c r="B182" s="11" t="s">
        <v>224</v>
      </c>
      <c r="C182" s="6"/>
      <c r="D182" s="6"/>
    </row>
    <row r="183" spans="1:4" ht="15.75" customHeight="1">
      <c r="A183" s="10">
        <v>40603</v>
      </c>
      <c r="B183" s="11" t="s">
        <v>225</v>
      </c>
      <c r="C183" s="6"/>
      <c r="D183" s="6"/>
    </row>
    <row r="184" spans="1:4" ht="15.75" customHeight="1">
      <c r="A184" s="10">
        <v>40701</v>
      </c>
      <c r="B184" s="11" t="s">
        <v>227</v>
      </c>
      <c r="C184" s="6"/>
      <c r="D184" s="6"/>
    </row>
    <row r="185" spans="1:4" ht="15.75" customHeight="1">
      <c r="A185" s="10">
        <v>40702</v>
      </c>
      <c r="B185" s="11" t="s">
        <v>228</v>
      </c>
      <c r="C185" s="6"/>
      <c r="D185" s="6"/>
    </row>
    <row r="186" spans="1:4" ht="15.75" customHeight="1">
      <c r="A186" s="10">
        <v>40801</v>
      </c>
      <c r="B186" s="11" t="s">
        <v>230</v>
      </c>
      <c r="C186" s="6"/>
      <c r="D186" s="6"/>
    </row>
    <row r="187" spans="1:4" ht="15.75" customHeight="1">
      <c r="A187" s="10">
        <v>40802</v>
      </c>
      <c r="B187" s="11" t="s">
        <v>231</v>
      </c>
      <c r="C187" s="6"/>
      <c r="D187" s="6"/>
    </row>
    <row r="188" spans="1:4" ht="15.75" customHeight="1">
      <c r="A188" s="10">
        <v>40901</v>
      </c>
      <c r="B188" s="11" t="s">
        <v>232</v>
      </c>
      <c r="C188" s="6"/>
      <c r="D188" s="6"/>
    </row>
    <row r="189" spans="1:4" ht="15.75" customHeight="1">
      <c r="A189" s="10">
        <v>40902</v>
      </c>
      <c r="B189" s="11" t="s">
        <v>233</v>
      </c>
      <c r="C189" s="6"/>
      <c r="D189" s="6"/>
    </row>
    <row r="190" spans="1:4" ht="15.75" customHeight="1">
      <c r="A190" s="10">
        <v>40903</v>
      </c>
      <c r="B190" s="11" t="s">
        <v>234</v>
      </c>
      <c r="C190" s="6"/>
      <c r="D190" s="6"/>
    </row>
    <row r="191" spans="1:4" ht="15.75" customHeight="1">
      <c r="A191" s="10">
        <v>41001</v>
      </c>
      <c r="B191" s="11" t="s">
        <v>236</v>
      </c>
      <c r="C191" s="6"/>
      <c r="D191" s="6"/>
    </row>
    <row r="192" spans="1:4" ht="15.75" customHeight="1">
      <c r="A192" s="10">
        <v>41101</v>
      </c>
      <c r="B192" s="11" t="s">
        <v>238</v>
      </c>
      <c r="C192" s="6"/>
      <c r="D192" s="6"/>
    </row>
    <row r="193" spans="1:4" ht="15.75" customHeight="1">
      <c r="A193" s="10">
        <v>41201</v>
      </c>
      <c r="B193" s="11" t="s">
        <v>240</v>
      </c>
      <c r="C193" s="6"/>
      <c r="D193" s="6"/>
    </row>
    <row r="194" spans="1:4" ht="15.75" customHeight="1">
      <c r="A194" s="10">
        <v>41202</v>
      </c>
      <c r="B194" s="11" t="s">
        <v>241</v>
      </c>
      <c r="C194" s="6"/>
      <c r="D194" s="6"/>
    </row>
    <row r="195" spans="1:4" ht="15.75" customHeight="1">
      <c r="A195" s="10">
        <v>41301</v>
      </c>
      <c r="B195" s="11" t="s">
        <v>242</v>
      </c>
      <c r="C195" s="6"/>
      <c r="D195" s="6"/>
    </row>
    <row r="196" spans="1:4" ht="15.75" customHeight="1">
      <c r="A196" s="10">
        <v>41401</v>
      </c>
      <c r="B196" s="11" t="s">
        <v>244</v>
      </c>
      <c r="C196" s="6"/>
      <c r="D196" s="6"/>
    </row>
    <row r="197" spans="1:4" ht="15.75" customHeight="1">
      <c r="A197" s="10">
        <v>41501</v>
      </c>
      <c r="B197" s="11" t="s">
        <v>246</v>
      </c>
      <c r="C197" s="6"/>
      <c r="D197" s="6"/>
    </row>
    <row r="198" spans="1:4" ht="15.75" customHeight="1">
      <c r="A198" s="10">
        <v>41502</v>
      </c>
      <c r="B198" s="11" t="s">
        <v>247</v>
      </c>
      <c r="C198" s="6"/>
      <c r="D198" s="6"/>
    </row>
    <row r="199" spans="1:4" ht="15.75" customHeight="1">
      <c r="A199" s="10">
        <v>41503</v>
      </c>
      <c r="B199" s="11" t="s">
        <v>211</v>
      </c>
      <c r="C199" s="6"/>
      <c r="D199" s="6"/>
    </row>
    <row r="200" spans="1:4" ht="15.75" customHeight="1">
      <c r="A200" s="10">
        <v>41601</v>
      </c>
      <c r="B200" s="11" t="s">
        <v>249</v>
      </c>
      <c r="C200" s="6"/>
      <c r="D200" s="6"/>
    </row>
    <row r="201" spans="1:4" ht="15.75" customHeight="1">
      <c r="A201" s="10">
        <v>50101</v>
      </c>
      <c r="B201" s="11" t="s">
        <v>250</v>
      </c>
      <c r="C201" s="6"/>
      <c r="D201" s="6"/>
    </row>
    <row r="202" spans="1:4" ht="15.75" customHeight="1">
      <c r="A202" s="10">
        <v>50102</v>
      </c>
      <c r="B202" s="11" t="s">
        <v>252</v>
      </c>
      <c r="C202" s="6"/>
      <c r="D202" s="6"/>
    </row>
    <row r="203" spans="1:4" ht="15.75" customHeight="1">
      <c r="A203" s="10">
        <v>50103</v>
      </c>
      <c r="B203" s="11" t="s">
        <v>253</v>
      </c>
      <c r="C203" s="6"/>
      <c r="D203" s="6"/>
    </row>
    <row r="204" spans="1:4" ht="15.75" customHeight="1">
      <c r="A204" s="10">
        <v>50104</v>
      </c>
      <c r="B204" s="11" t="s">
        <v>254</v>
      </c>
      <c r="C204" s="6"/>
      <c r="D204" s="6"/>
    </row>
    <row r="205" spans="1:4" ht="15.75" customHeight="1">
      <c r="A205" s="10">
        <v>50201</v>
      </c>
      <c r="B205" s="11" t="s">
        <v>256</v>
      </c>
      <c r="C205" s="6"/>
      <c r="D205" s="6"/>
    </row>
    <row r="206" spans="1:4" ht="15.75" customHeight="1">
      <c r="A206" s="10">
        <v>50202</v>
      </c>
      <c r="B206" s="11" t="s">
        <v>257</v>
      </c>
      <c r="C206" s="6"/>
      <c r="D206" s="6"/>
    </row>
    <row r="207" spans="1:4" ht="15.75" customHeight="1">
      <c r="A207" s="10">
        <v>50203</v>
      </c>
      <c r="B207" s="11" t="s">
        <v>258</v>
      </c>
      <c r="C207" s="6"/>
      <c r="D207" s="6"/>
    </row>
    <row r="208" spans="1:4" ht="15.75" customHeight="1">
      <c r="A208" s="10">
        <v>50204</v>
      </c>
      <c r="B208" s="11" t="s">
        <v>259</v>
      </c>
      <c r="C208" s="6"/>
      <c r="D208" s="6"/>
    </row>
    <row r="209" spans="1:4" ht="15.75" customHeight="1">
      <c r="A209" s="10">
        <v>50301</v>
      </c>
      <c r="B209" s="11" t="s">
        <v>261</v>
      </c>
      <c r="C209" s="6"/>
      <c r="D209" s="6"/>
    </row>
    <row r="210" spans="1:4" ht="15.75" customHeight="1">
      <c r="A210" s="10">
        <v>50302</v>
      </c>
      <c r="B210" s="11" t="s">
        <v>262</v>
      </c>
      <c r="C210" s="6"/>
      <c r="D210" s="6"/>
    </row>
    <row r="211" spans="1:4" ht="15.75" customHeight="1">
      <c r="A211" s="10">
        <v>50303</v>
      </c>
      <c r="B211" s="11" t="s">
        <v>263</v>
      </c>
      <c r="C211" s="6"/>
      <c r="D211" s="6"/>
    </row>
    <row r="212" spans="1:4" ht="15.75" customHeight="1">
      <c r="A212" s="10">
        <v>50401</v>
      </c>
      <c r="B212" s="11" t="s">
        <v>264</v>
      </c>
      <c r="C212" s="6"/>
      <c r="D212" s="6"/>
    </row>
    <row r="213" spans="1:4" ht="15.75" customHeight="1">
      <c r="A213" s="10">
        <v>50402</v>
      </c>
      <c r="B213" s="11" t="s">
        <v>265</v>
      </c>
      <c r="C213" s="6"/>
      <c r="D213" s="6"/>
    </row>
    <row r="214" spans="1:4" ht="15.75" customHeight="1">
      <c r="A214" s="10">
        <v>50403</v>
      </c>
      <c r="B214" s="11" t="s">
        <v>266</v>
      </c>
      <c r="C214" s="6"/>
      <c r="D214" s="6"/>
    </row>
    <row r="215" spans="1:4" ht="15.75" customHeight="1">
      <c r="A215" s="10">
        <v>50404</v>
      </c>
      <c r="B215" s="11" t="s">
        <v>267</v>
      </c>
      <c r="C215" s="6"/>
      <c r="D215" s="6"/>
    </row>
    <row r="216" spans="1:4" ht="15.75" customHeight="1">
      <c r="A216" s="10">
        <v>50405</v>
      </c>
      <c r="B216" s="11" t="s">
        <v>268</v>
      </c>
      <c r="C216" s="6"/>
      <c r="D216" s="6"/>
    </row>
    <row r="217" spans="1:4" ht="15.75" customHeight="1">
      <c r="A217" s="10">
        <v>50501</v>
      </c>
      <c r="B217" s="11" t="s">
        <v>270</v>
      </c>
      <c r="C217" s="6"/>
      <c r="D217" s="6"/>
    </row>
    <row r="218" spans="1:4" ht="15.75" customHeight="1">
      <c r="A218" s="10">
        <v>50502</v>
      </c>
      <c r="B218" s="11" t="s">
        <v>271</v>
      </c>
      <c r="C218" s="6"/>
      <c r="D218" s="6"/>
    </row>
    <row r="219" spans="1:4" ht="15.75" customHeight="1">
      <c r="A219" s="10">
        <v>50601</v>
      </c>
      <c r="B219" s="11" t="s">
        <v>273</v>
      </c>
      <c r="C219" s="6"/>
      <c r="D219" s="6"/>
    </row>
    <row r="220" spans="1:4" ht="15.75" customHeight="1">
      <c r="A220" s="10">
        <v>50602</v>
      </c>
      <c r="B220" s="11" t="s">
        <v>274</v>
      </c>
      <c r="C220" s="6"/>
      <c r="D220" s="6"/>
    </row>
    <row r="221" spans="1:4" ht="15.75" customHeight="1">
      <c r="A221" s="10">
        <v>50701</v>
      </c>
      <c r="B221" s="11" t="s">
        <v>276</v>
      </c>
      <c r="C221" s="6"/>
      <c r="D221" s="6"/>
    </row>
    <row r="222" spans="1:4" ht="15.75" customHeight="1">
      <c r="A222" s="10">
        <v>50702</v>
      </c>
      <c r="B222" s="11" t="s">
        <v>277</v>
      </c>
      <c r="C222" s="6"/>
      <c r="D222" s="6"/>
    </row>
    <row r="223" spans="1:4" ht="15.75" customHeight="1">
      <c r="A223" s="10">
        <v>50801</v>
      </c>
      <c r="B223" s="11" t="s">
        <v>279</v>
      </c>
      <c r="C223" s="6"/>
      <c r="D223" s="6"/>
    </row>
    <row r="224" spans="1:4" ht="15.75" customHeight="1">
      <c r="A224" s="10">
        <v>50802</v>
      </c>
      <c r="B224" s="11" t="s">
        <v>280</v>
      </c>
      <c r="C224" s="6"/>
      <c r="D224" s="6"/>
    </row>
    <row r="225" spans="1:4" ht="15.75" customHeight="1">
      <c r="A225" s="10">
        <v>50901</v>
      </c>
      <c r="B225" s="11" t="s">
        <v>282</v>
      </c>
      <c r="C225" s="6"/>
      <c r="D225" s="6"/>
    </row>
    <row r="226" spans="1:4" ht="15.75" customHeight="1">
      <c r="A226" s="10">
        <v>50902</v>
      </c>
      <c r="B226" s="11" t="s">
        <v>283</v>
      </c>
      <c r="C226" s="6"/>
      <c r="D226" s="6"/>
    </row>
    <row r="227" spans="1:4" ht="15.75" customHeight="1">
      <c r="A227" s="10">
        <v>51001</v>
      </c>
      <c r="B227" s="11" t="s">
        <v>285</v>
      </c>
      <c r="C227" s="6"/>
      <c r="D227" s="6"/>
    </row>
    <row r="228" spans="1:4" ht="15.75" customHeight="1">
      <c r="A228" s="10">
        <v>51002</v>
      </c>
      <c r="B228" s="11" t="s">
        <v>286</v>
      </c>
      <c r="C228" s="6"/>
      <c r="D228" s="6"/>
    </row>
    <row r="229" spans="1:4" ht="15.75" customHeight="1">
      <c r="A229" s="10">
        <v>51003</v>
      </c>
      <c r="B229" s="11" t="s">
        <v>287</v>
      </c>
      <c r="C229" s="6"/>
      <c r="D229" s="6"/>
    </row>
    <row r="230" spans="1:4" ht="15.75" customHeight="1">
      <c r="A230" s="10">
        <v>51101</v>
      </c>
      <c r="B230" s="11" t="s">
        <v>289</v>
      </c>
      <c r="C230" s="6"/>
      <c r="D230" s="6"/>
    </row>
    <row r="231" spans="1:4" ht="15.75" customHeight="1">
      <c r="A231" s="10">
        <v>51102</v>
      </c>
      <c r="B231" s="11" t="s">
        <v>290</v>
      </c>
      <c r="C231" s="6"/>
      <c r="D231" s="6"/>
    </row>
    <row r="232" spans="1:4" ht="15.75" customHeight="1">
      <c r="A232" s="10">
        <v>51103</v>
      </c>
      <c r="B232" s="11" t="s">
        <v>291</v>
      </c>
      <c r="C232" s="6"/>
      <c r="D232" s="6"/>
    </row>
    <row r="233" spans="1:4" ht="15.75" customHeight="1">
      <c r="A233" s="10">
        <v>51201</v>
      </c>
      <c r="B233" s="11" t="s">
        <v>293</v>
      </c>
      <c r="C233" s="6"/>
      <c r="D233" s="6"/>
    </row>
    <row r="234" spans="1:4" ht="15.75" customHeight="1">
      <c r="A234" s="10">
        <v>51202</v>
      </c>
      <c r="B234" s="11" t="s">
        <v>294</v>
      </c>
      <c r="C234" s="6"/>
      <c r="D234" s="6"/>
    </row>
    <row r="235" spans="1:4" ht="15.75" customHeight="1">
      <c r="A235" s="10">
        <v>51203</v>
      </c>
      <c r="B235" s="11" t="s">
        <v>295</v>
      </c>
      <c r="C235" s="6"/>
      <c r="D235" s="6"/>
    </row>
    <row r="236" spans="1:4" ht="15.75" customHeight="1">
      <c r="A236" s="10">
        <v>51204</v>
      </c>
      <c r="B236" s="11" t="s">
        <v>296</v>
      </c>
      <c r="C236" s="6"/>
      <c r="D236" s="6"/>
    </row>
    <row r="237" spans="1:4" ht="15.75" customHeight="1">
      <c r="A237" s="10">
        <v>51301</v>
      </c>
      <c r="B237" s="11" t="s">
        <v>298</v>
      </c>
      <c r="C237" s="6"/>
      <c r="D237" s="6"/>
    </row>
    <row r="238" spans="1:4" ht="15.75" customHeight="1">
      <c r="A238" s="10">
        <v>51302</v>
      </c>
      <c r="B238" s="11" t="s">
        <v>299</v>
      </c>
      <c r="C238" s="6"/>
      <c r="D238" s="6"/>
    </row>
    <row r="239" spans="1:4" ht="15.75" customHeight="1">
      <c r="A239" s="10">
        <v>51401</v>
      </c>
      <c r="B239" s="11" t="s">
        <v>301</v>
      </c>
      <c r="C239" s="6"/>
      <c r="D239" s="6"/>
    </row>
    <row r="240" spans="1:4" ht="15.75" customHeight="1">
      <c r="A240" s="10">
        <v>51402</v>
      </c>
      <c r="B240" s="11" t="s">
        <v>302</v>
      </c>
      <c r="C240" s="6"/>
      <c r="D240" s="6"/>
    </row>
    <row r="241" spans="1:4" ht="15.75" customHeight="1">
      <c r="A241" s="10">
        <v>51501</v>
      </c>
      <c r="B241" s="11" t="s">
        <v>304</v>
      </c>
      <c r="C241" s="6"/>
      <c r="D241" s="6"/>
    </row>
    <row r="242" spans="1:4" ht="15.75" customHeight="1">
      <c r="A242" s="10">
        <v>51601</v>
      </c>
      <c r="B242" s="11" t="s">
        <v>306</v>
      </c>
      <c r="C242" s="6"/>
      <c r="D242" s="6"/>
    </row>
    <row r="243" spans="1:4" ht="15.75" customHeight="1">
      <c r="A243" s="10">
        <v>60101</v>
      </c>
      <c r="B243" s="11" t="s">
        <v>307</v>
      </c>
      <c r="C243" s="6"/>
      <c r="D243" s="6"/>
    </row>
    <row r="244" spans="1:4" ht="15.75" customHeight="1">
      <c r="A244" s="10">
        <v>60201</v>
      </c>
      <c r="B244" s="11" t="s">
        <v>309</v>
      </c>
      <c r="C244" s="6"/>
      <c r="D244" s="6"/>
    </row>
    <row r="245" spans="1:4" ht="15.75" customHeight="1">
      <c r="A245" s="10">
        <v>60202</v>
      </c>
      <c r="B245" s="11" t="s">
        <v>310</v>
      </c>
      <c r="C245" s="6"/>
      <c r="D245" s="6"/>
    </row>
    <row r="246" spans="1:4" ht="15.75" customHeight="1">
      <c r="A246" s="10">
        <v>60301</v>
      </c>
      <c r="B246" s="11" t="s">
        <v>312</v>
      </c>
      <c r="C246" s="6"/>
      <c r="D246" s="6"/>
    </row>
    <row r="247" spans="1:4" ht="15.75" customHeight="1">
      <c r="A247" s="10">
        <v>60302</v>
      </c>
      <c r="B247" s="11" t="s">
        <v>313</v>
      </c>
      <c r="C247" s="6"/>
      <c r="D247" s="6"/>
    </row>
    <row r="248" spans="1:4" ht="15.75" customHeight="1">
      <c r="A248" s="10">
        <v>60303</v>
      </c>
      <c r="B248" s="11" t="s">
        <v>314</v>
      </c>
      <c r="C248" s="6"/>
      <c r="D248" s="6"/>
    </row>
    <row r="249" spans="1:4" ht="15.75" customHeight="1">
      <c r="A249" s="10">
        <v>60401</v>
      </c>
      <c r="B249" s="11" t="s">
        <v>316</v>
      </c>
      <c r="C249" s="6"/>
      <c r="D249" s="6"/>
    </row>
    <row r="250" spans="1:4" ht="15.75" customHeight="1">
      <c r="A250" s="10">
        <v>60402</v>
      </c>
      <c r="B250" s="11" t="s">
        <v>317</v>
      </c>
      <c r="C250" s="6"/>
      <c r="D250" s="6"/>
    </row>
    <row r="251" spans="1:4" ht="15.75" customHeight="1">
      <c r="A251" s="10">
        <v>60501</v>
      </c>
      <c r="B251" s="11" t="s">
        <v>319</v>
      </c>
      <c r="C251" s="6"/>
      <c r="D251" s="6"/>
    </row>
    <row r="252" spans="1:4" ht="15.75" customHeight="1">
      <c r="A252" s="10">
        <v>60502</v>
      </c>
      <c r="B252" s="11" t="s">
        <v>320</v>
      </c>
      <c r="C252" s="6"/>
      <c r="D252" s="6"/>
    </row>
    <row r="253" spans="1:4" ht="15.75" customHeight="1">
      <c r="A253" s="10">
        <v>60601</v>
      </c>
      <c r="B253" s="11" t="s">
        <v>191</v>
      </c>
      <c r="C253" s="6"/>
      <c r="D253" s="6"/>
    </row>
    <row r="254" spans="1:4" ht="15.75" customHeight="1">
      <c r="A254" s="10">
        <v>70101</v>
      </c>
      <c r="B254" s="11" t="s">
        <v>324</v>
      </c>
      <c r="C254" s="6"/>
      <c r="D254" s="6"/>
    </row>
    <row r="255" spans="1:4" ht="15.75" customHeight="1">
      <c r="A255" s="10">
        <v>70102</v>
      </c>
      <c r="B255" s="11" t="s">
        <v>325</v>
      </c>
      <c r="C255" s="6"/>
      <c r="D255" s="6"/>
    </row>
    <row r="256" spans="1:4" ht="15.75" customHeight="1">
      <c r="A256" s="10">
        <v>70103</v>
      </c>
      <c r="B256" s="11" t="s">
        <v>326</v>
      </c>
      <c r="C256" s="6"/>
      <c r="D256" s="6"/>
    </row>
    <row r="257" spans="1:4" ht="15.75" customHeight="1">
      <c r="A257" s="10">
        <v>70104</v>
      </c>
      <c r="B257" s="11" t="s">
        <v>327</v>
      </c>
      <c r="C257" s="6"/>
      <c r="D257" s="6"/>
    </row>
    <row r="258" spans="1:4" ht="15.75" customHeight="1">
      <c r="A258" s="10">
        <v>70105</v>
      </c>
      <c r="B258" s="11" t="s">
        <v>328</v>
      </c>
      <c r="C258" s="6"/>
      <c r="D258" s="6"/>
    </row>
    <row r="259" spans="1:4" ht="15.75" customHeight="1">
      <c r="A259" s="10">
        <v>70201</v>
      </c>
      <c r="B259" s="11" t="s">
        <v>329</v>
      </c>
      <c r="C259" s="6"/>
      <c r="D259" s="6"/>
    </row>
    <row r="260" spans="1:4" ht="15.75" customHeight="1">
      <c r="A260" s="10">
        <v>70202</v>
      </c>
      <c r="B260" s="11" t="s">
        <v>330</v>
      </c>
      <c r="C260" s="6"/>
      <c r="D260" s="6"/>
    </row>
    <row r="261" spans="1:4" ht="15.75" customHeight="1">
      <c r="A261" s="10">
        <v>70301</v>
      </c>
      <c r="B261" s="11" t="s">
        <v>332</v>
      </c>
      <c r="C261" s="6"/>
      <c r="D261" s="6"/>
    </row>
    <row r="262" spans="1:4" ht="15.75" customHeight="1">
      <c r="A262" s="10">
        <v>70302</v>
      </c>
      <c r="B262" s="11" t="s">
        <v>333</v>
      </c>
      <c r="C262" s="6"/>
      <c r="D262" s="6"/>
    </row>
    <row r="263" spans="1:4" ht="15.75" customHeight="1">
      <c r="A263" s="10">
        <v>70303</v>
      </c>
      <c r="B263" s="11" t="s">
        <v>334</v>
      </c>
      <c r="C263" s="6"/>
      <c r="D263" s="6"/>
    </row>
    <row r="264" spans="1:4" ht="15.75" customHeight="1">
      <c r="A264" s="10">
        <v>70401</v>
      </c>
      <c r="B264" s="11" t="s">
        <v>336</v>
      </c>
      <c r="C264" s="6"/>
      <c r="D264" s="6"/>
    </row>
    <row r="265" spans="1:4" ht="15.75" customHeight="1">
      <c r="A265" s="10">
        <v>70402</v>
      </c>
      <c r="B265" s="11" t="s">
        <v>337</v>
      </c>
      <c r="C265" s="6"/>
      <c r="D265" s="6"/>
    </row>
    <row r="266" spans="1:4" ht="15.75" customHeight="1">
      <c r="A266" s="10">
        <v>70403</v>
      </c>
      <c r="B266" s="11" t="s">
        <v>338</v>
      </c>
      <c r="C266" s="6"/>
      <c r="D266" s="6"/>
    </row>
    <row r="267" spans="1:4" ht="15.75" customHeight="1">
      <c r="A267" s="10">
        <v>70404</v>
      </c>
      <c r="B267" s="11" t="s">
        <v>339</v>
      </c>
      <c r="C267" s="6"/>
      <c r="D267" s="6"/>
    </row>
    <row r="268" spans="1:4" ht="15.75" customHeight="1">
      <c r="A268" s="10">
        <v>70501</v>
      </c>
      <c r="B268" s="11" t="s">
        <v>341</v>
      </c>
      <c r="C268" s="6"/>
      <c r="D268" s="6"/>
    </row>
    <row r="269" spans="1:4" ht="15.75" customHeight="1">
      <c r="A269" s="10">
        <v>70502</v>
      </c>
      <c r="B269" s="11" t="s">
        <v>342</v>
      </c>
      <c r="C269" s="6"/>
      <c r="D269" s="6"/>
    </row>
    <row r="270" spans="1:4" ht="15.75" customHeight="1">
      <c r="A270" s="10">
        <v>70503</v>
      </c>
      <c r="B270" s="11" t="s">
        <v>343</v>
      </c>
      <c r="C270" s="6"/>
      <c r="D270" s="6"/>
    </row>
    <row r="271" spans="1:4" ht="15.75" customHeight="1">
      <c r="A271" s="10">
        <v>70601</v>
      </c>
      <c r="B271" s="11" t="s">
        <v>345</v>
      </c>
      <c r="C271" s="6"/>
      <c r="D271" s="6"/>
    </row>
    <row r="272" spans="1:4" ht="15.75" customHeight="1">
      <c r="A272" s="10">
        <v>70602</v>
      </c>
      <c r="B272" s="11" t="s">
        <v>346</v>
      </c>
      <c r="C272" s="6"/>
      <c r="D272" s="6"/>
    </row>
    <row r="273" spans="1:4" ht="15.75" customHeight="1">
      <c r="A273" s="10">
        <v>70603</v>
      </c>
      <c r="B273" s="11" t="s">
        <v>347</v>
      </c>
      <c r="C273" s="6"/>
      <c r="D273" s="6"/>
    </row>
    <row r="274" spans="1:4" ht="15.75" customHeight="1">
      <c r="A274" s="10">
        <v>70701</v>
      </c>
      <c r="B274" s="11" t="s">
        <v>349</v>
      </c>
      <c r="C274" s="6"/>
      <c r="D274" s="6"/>
    </row>
    <row r="275" spans="1:4" ht="15.75" customHeight="1">
      <c r="A275" s="10">
        <v>70702</v>
      </c>
      <c r="B275" s="11" t="s">
        <v>350</v>
      </c>
      <c r="C275" s="6"/>
      <c r="D275" s="6"/>
    </row>
    <row r="276" spans="1:4" ht="15.75" customHeight="1">
      <c r="A276" s="10">
        <v>70703</v>
      </c>
      <c r="B276" s="11" t="s">
        <v>351</v>
      </c>
      <c r="C276" s="6"/>
      <c r="D276" s="6"/>
    </row>
    <row r="277" spans="1:4" ht="15.75" customHeight="1">
      <c r="A277" s="10">
        <v>70704</v>
      </c>
      <c r="B277" s="11" t="s">
        <v>352</v>
      </c>
      <c r="C277" s="6"/>
      <c r="D277" s="6"/>
    </row>
    <row r="278" spans="1:4" ht="15.75" customHeight="1">
      <c r="A278" s="10">
        <v>70705</v>
      </c>
      <c r="B278" s="11" t="s">
        <v>353</v>
      </c>
      <c r="C278" s="6"/>
      <c r="D278" s="6"/>
    </row>
    <row r="279" spans="1:4" ht="15.75" customHeight="1">
      <c r="A279" s="10">
        <v>70706</v>
      </c>
      <c r="B279" s="11" t="s">
        <v>354</v>
      </c>
      <c r="C279" s="6"/>
      <c r="D279" s="6"/>
    </row>
    <row r="280" spans="1:4" ht="15.75" customHeight="1">
      <c r="A280" s="10">
        <v>70707</v>
      </c>
      <c r="B280" s="11" t="s">
        <v>355</v>
      </c>
      <c r="C280" s="6"/>
      <c r="D280" s="6"/>
    </row>
    <row r="281" spans="1:4" ht="15.75" customHeight="1">
      <c r="A281" s="10">
        <v>70801</v>
      </c>
      <c r="B281" s="11" t="s">
        <v>356</v>
      </c>
      <c r="C281" s="6"/>
      <c r="D281" s="6"/>
    </row>
    <row r="282" spans="1:4" ht="15.75" customHeight="1">
      <c r="A282" s="10">
        <v>70802</v>
      </c>
      <c r="B282" s="11" t="s">
        <v>357</v>
      </c>
      <c r="C282" s="6"/>
      <c r="D282" s="6"/>
    </row>
    <row r="283" spans="1:4" ht="15.75" customHeight="1">
      <c r="A283" s="10">
        <v>70803</v>
      </c>
      <c r="B283" s="11" t="s">
        <v>358</v>
      </c>
      <c r="C283" s="6"/>
      <c r="D283" s="6"/>
    </row>
    <row r="284" spans="1:4" ht="15.75" customHeight="1">
      <c r="A284" s="10">
        <v>70804</v>
      </c>
      <c r="B284" s="11" t="s">
        <v>359</v>
      </c>
      <c r="C284" s="6"/>
      <c r="D284" s="6"/>
    </row>
    <row r="285" spans="1:4" ht="15.75" customHeight="1">
      <c r="A285" s="10">
        <v>70805</v>
      </c>
      <c r="B285" s="11" t="s">
        <v>360</v>
      </c>
      <c r="C285" s="6"/>
      <c r="D285" s="6"/>
    </row>
    <row r="286" spans="1:4" ht="15.75" customHeight="1">
      <c r="A286" s="10">
        <v>70901</v>
      </c>
      <c r="B286" s="11" t="s">
        <v>362</v>
      </c>
      <c r="C286" s="6"/>
      <c r="D286" s="6"/>
    </row>
    <row r="287" spans="1:4" ht="15.75" customHeight="1">
      <c r="A287" s="10">
        <v>70902</v>
      </c>
      <c r="B287" s="11" t="s">
        <v>363</v>
      </c>
      <c r="C287" s="6"/>
      <c r="D287" s="6"/>
    </row>
    <row r="288" spans="1:4" ht="15.75" customHeight="1">
      <c r="A288" s="10">
        <v>70903</v>
      </c>
      <c r="B288" s="11" t="s">
        <v>364</v>
      </c>
      <c r="C288" s="6"/>
      <c r="D288" s="6"/>
    </row>
    <row r="289" spans="1:4" ht="15.75" customHeight="1">
      <c r="A289" s="10">
        <v>70904</v>
      </c>
      <c r="B289" s="11" t="s">
        <v>365</v>
      </c>
      <c r="C289" s="6"/>
      <c r="D289" s="6"/>
    </row>
    <row r="290" spans="1:4" ht="15.75" customHeight="1">
      <c r="A290" s="10">
        <v>71001</v>
      </c>
      <c r="B290" s="11" t="s">
        <v>367</v>
      </c>
      <c r="C290" s="6"/>
      <c r="D290" s="6"/>
    </row>
    <row r="291" spans="1:4" ht="15.75" customHeight="1">
      <c r="A291" s="10">
        <v>71002</v>
      </c>
      <c r="B291" s="11" t="s">
        <v>368</v>
      </c>
      <c r="C291" s="6"/>
      <c r="D291" s="6"/>
    </row>
    <row r="292" spans="1:4" ht="15.75" customHeight="1">
      <c r="A292" s="10">
        <v>71003</v>
      </c>
      <c r="B292" s="11" t="s">
        <v>369</v>
      </c>
      <c r="C292" s="6"/>
      <c r="D292" s="6"/>
    </row>
    <row r="293" spans="1:4" ht="15.75" customHeight="1">
      <c r="A293" s="10">
        <v>71004</v>
      </c>
      <c r="B293" s="11" t="s">
        <v>370</v>
      </c>
      <c r="C293" s="6"/>
      <c r="D293" s="6"/>
    </row>
    <row r="294" spans="1:4" ht="15.75" customHeight="1">
      <c r="A294" s="10">
        <v>71005</v>
      </c>
      <c r="B294" s="11" t="s">
        <v>371</v>
      </c>
      <c r="C294" s="6"/>
      <c r="D294" s="6"/>
    </row>
    <row r="295" spans="1:4" ht="15.75" customHeight="1">
      <c r="A295" s="10">
        <v>71101</v>
      </c>
      <c r="B295" s="11" t="s">
        <v>373</v>
      </c>
      <c r="C295" s="6"/>
      <c r="D295" s="6"/>
    </row>
    <row r="296" spans="1:4" ht="15.75" customHeight="1">
      <c r="A296" s="10">
        <v>71102</v>
      </c>
      <c r="B296" s="11" t="s">
        <v>374</v>
      </c>
      <c r="C296" s="6"/>
      <c r="D296" s="6"/>
    </row>
    <row r="297" spans="1:4" ht="15.75" customHeight="1">
      <c r="A297" s="10">
        <v>71103</v>
      </c>
      <c r="B297" s="11" t="s">
        <v>375</v>
      </c>
      <c r="C297" s="6"/>
      <c r="D297" s="6"/>
    </row>
    <row r="298" spans="1:4" ht="15.75" customHeight="1">
      <c r="A298" s="10">
        <v>71104</v>
      </c>
      <c r="B298" s="11" t="s">
        <v>376</v>
      </c>
      <c r="C298" s="6"/>
      <c r="D298" s="6"/>
    </row>
    <row r="299" spans="1:4" ht="15.75" customHeight="1">
      <c r="A299" s="10">
        <v>71105</v>
      </c>
      <c r="B299" s="11" t="s">
        <v>377</v>
      </c>
      <c r="C299" s="6"/>
      <c r="D299" s="6"/>
    </row>
    <row r="300" spans="1:4" ht="15.75" customHeight="1">
      <c r="A300" s="10">
        <v>71106</v>
      </c>
      <c r="B300" s="11" t="s">
        <v>378</v>
      </c>
      <c r="C300" s="6"/>
      <c r="D300" s="6"/>
    </row>
    <row r="301" spans="1:4" ht="15.75" customHeight="1">
      <c r="A301" s="10">
        <v>71201</v>
      </c>
      <c r="B301" s="11" t="s">
        <v>380</v>
      </c>
      <c r="C301" s="6"/>
      <c r="D301" s="6"/>
    </row>
    <row r="302" spans="1:4" ht="15.75" customHeight="1">
      <c r="A302" s="10">
        <v>71301</v>
      </c>
      <c r="B302" s="11" t="s">
        <v>382</v>
      </c>
      <c r="C302" s="6"/>
      <c r="D302" s="6"/>
    </row>
    <row r="303" spans="1:4" ht="15.75" customHeight="1">
      <c r="A303" s="10">
        <v>71302</v>
      </c>
      <c r="B303" s="11" t="s">
        <v>383</v>
      </c>
      <c r="C303" s="6"/>
      <c r="D303" s="6"/>
    </row>
    <row r="304" spans="1:4" ht="15.75" customHeight="1">
      <c r="A304" s="10">
        <v>71401</v>
      </c>
      <c r="B304" s="11" t="s">
        <v>385</v>
      </c>
      <c r="C304" s="6"/>
      <c r="D304" s="6"/>
    </row>
    <row r="305" spans="1:4" ht="15.75" customHeight="1">
      <c r="A305" s="10">
        <v>71402</v>
      </c>
      <c r="B305" s="11" t="s">
        <v>386</v>
      </c>
      <c r="C305" s="6"/>
      <c r="D305" s="6"/>
    </row>
    <row r="306" spans="1:4" ht="15.75" customHeight="1">
      <c r="A306" s="10">
        <v>71403</v>
      </c>
      <c r="B306" s="11" t="s">
        <v>387</v>
      </c>
      <c r="C306" s="6"/>
      <c r="D306" s="6"/>
    </row>
    <row r="307" spans="1:4" ht="15.75" customHeight="1">
      <c r="A307" s="10">
        <v>71501</v>
      </c>
      <c r="B307" s="11" t="s">
        <v>389</v>
      </c>
      <c r="C307" s="6"/>
      <c r="D307" s="6"/>
    </row>
    <row r="308" spans="1:4" ht="15.75" customHeight="1">
      <c r="A308" s="10">
        <v>71502</v>
      </c>
      <c r="B308" s="11" t="s">
        <v>390</v>
      </c>
      <c r="C308" s="6"/>
      <c r="D308" s="6"/>
    </row>
    <row r="309" spans="1:4" ht="15.75" customHeight="1">
      <c r="A309" s="10">
        <v>71503</v>
      </c>
      <c r="B309" s="11" t="s">
        <v>320</v>
      </c>
      <c r="C309" s="6"/>
      <c r="D309" s="6"/>
    </row>
    <row r="310" spans="1:4" ht="15.75" customHeight="1">
      <c r="A310" s="10">
        <v>80101</v>
      </c>
      <c r="B310" s="11" t="s">
        <v>392</v>
      </c>
      <c r="C310" s="6"/>
      <c r="D310" s="6"/>
    </row>
    <row r="311" spans="1:4" ht="15.75" customHeight="1">
      <c r="A311" s="10">
        <v>80102</v>
      </c>
      <c r="B311" s="11" t="s">
        <v>374</v>
      </c>
      <c r="C311" s="6"/>
      <c r="D311" s="6"/>
    </row>
    <row r="312" spans="1:4" ht="15.75" customHeight="1">
      <c r="A312" s="10">
        <v>80201</v>
      </c>
      <c r="B312" s="11" t="s">
        <v>394</v>
      </c>
      <c r="C312" s="6"/>
      <c r="D312" s="6"/>
    </row>
    <row r="313" spans="1:4" ht="15.75" customHeight="1">
      <c r="A313" s="10">
        <v>80202</v>
      </c>
      <c r="B313" s="11" t="s">
        <v>395</v>
      </c>
      <c r="C313" s="6"/>
      <c r="D313" s="6"/>
    </row>
    <row r="314" spans="1:4" ht="15.75" customHeight="1">
      <c r="A314" s="10">
        <v>80301</v>
      </c>
      <c r="B314" s="11" t="s">
        <v>397</v>
      </c>
      <c r="C314" s="6"/>
      <c r="D314" s="6"/>
    </row>
    <row r="315" spans="1:4" ht="15.75" customHeight="1">
      <c r="A315" s="10">
        <v>80302</v>
      </c>
      <c r="B315" s="11" t="s">
        <v>398</v>
      </c>
      <c r="C315" s="6"/>
      <c r="D315" s="6"/>
    </row>
    <row r="316" spans="1:4" ht="15.75" customHeight="1">
      <c r="A316" s="10">
        <v>80303</v>
      </c>
      <c r="B316" s="11" t="s">
        <v>399</v>
      </c>
      <c r="C316" s="6"/>
      <c r="D316" s="6"/>
    </row>
    <row r="317" spans="1:4" ht="15.75" customHeight="1">
      <c r="A317" s="10">
        <v>80304</v>
      </c>
      <c r="B317" s="11" t="s">
        <v>400</v>
      </c>
      <c r="C317" s="6"/>
      <c r="D317" s="6"/>
    </row>
    <row r="318" spans="1:4" ht="15.75" customHeight="1">
      <c r="A318" s="10">
        <v>80401</v>
      </c>
      <c r="B318" s="11" t="s">
        <v>402</v>
      </c>
      <c r="C318" s="6"/>
      <c r="D318" s="6"/>
    </row>
    <row r="319" spans="1:4" ht="15.75" customHeight="1">
      <c r="A319" s="10">
        <v>80402</v>
      </c>
      <c r="B319" s="11" t="s">
        <v>403</v>
      </c>
      <c r="C319" s="6"/>
      <c r="D319" s="6"/>
    </row>
    <row r="320" spans="1:4" ht="15.75" customHeight="1">
      <c r="A320" s="10">
        <v>80501</v>
      </c>
      <c r="B320" s="11" t="s">
        <v>405</v>
      </c>
      <c r="C320" s="6"/>
      <c r="D320" s="6"/>
    </row>
    <row r="321" spans="1:4" ht="15.75" customHeight="1">
      <c r="A321" s="10">
        <v>80601</v>
      </c>
      <c r="B321" s="11" t="s">
        <v>407</v>
      </c>
      <c r="C321" s="6"/>
      <c r="D321" s="6"/>
    </row>
    <row r="322" spans="1:4" ht="15.75" customHeight="1">
      <c r="A322" s="10">
        <v>80602</v>
      </c>
      <c r="B322" s="11" t="s">
        <v>408</v>
      </c>
      <c r="C322" s="6"/>
      <c r="D322" s="6"/>
    </row>
    <row r="323" spans="1:4" ht="15.75" customHeight="1">
      <c r="A323" s="10">
        <v>80701</v>
      </c>
      <c r="B323" s="11" t="s">
        <v>410</v>
      </c>
      <c r="C323" s="6"/>
      <c r="D323" s="6"/>
    </row>
    <row r="324" spans="1:4" ht="15.75" customHeight="1">
      <c r="A324" s="10">
        <v>80702</v>
      </c>
      <c r="B324" s="11" t="s">
        <v>375</v>
      </c>
      <c r="C324" s="6"/>
      <c r="D324" s="6"/>
    </row>
    <row r="325" spans="1:4" ht="15.75" customHeight="1">
      <c r="A325" s="10">
        <v>80703</v>
      </c>
      <c r="B325" s="11" t="s">
        <v>411</v>
      </c>
      <c r="C325" s="6"/>
      <c r="D325" s="6"/>
    </row>
    <row r="326" spans="1:4" ht="15.75" customHeight="1">
      <c r="A326" s="10">
        <v>80801</v>
      </c>
      <c r="B326" s="11" t="s">
        <v>413</v>
      </c>
      <c r="C326" s="6"/>
      <c r="D326" s="6"/>
    </row>
    <row r="327" spans="1:4" ht="15.75" customHeight="1">
      <c r="A327" s="10">
        <v>80802</v>
      </c>
      <c r="B327" s="11" t="s">
        <v>414</v>
      </c>
      <c r="C327" s="6"/>
      <c r="D327" s="6"/>
    </row>
    <row r="328" spans="1:4" ht="15.75" customHeight="1">
      <c r="A328" s="10">
        <v>80803</v>
      </c>
      <c r="B328" s="11" t="s">
        <v>415</v>
      </c>
      <c r="C328" s="6"/>
      <c r="D328" s="6"/>
    </row>
    <row r="329" spans="1:4" ht="15.75" customHeight="1">
      <c r="A329" s="10">
        <v>80901</v>
      </c>
      <c r="B329" s="11" t="s">
        <v>416</v>
      </c>
      <c r="C329" s="6"/>
      <c r="D329" s="6"/>
    </row>
    <row r="330" spans="1:4" ht="15.75" customHeight="1">
      <c r="A330" s="10">
        <v>90101</v>
      </c>
      <c r="B330" s="11" t="s">
        <v>419</v>
      </c>
      <c r="C330" s="6"/>
      <c r="D330" s="6"/>
    </row>
    <row r="331" spans="1:4" ht="15.75" customHeight="1">
      <c r="A331" s="10">
        <v>90102</v>
      </c>
      <c r="B331" s="11" t="s">
        <v>420</v>
      </c>
      <c r="C331" s="6"/>
      <c r="D331" s="6"/>
    </row>
    <row r="332" spans="1:4" ht="15.75" customHeight="1">
      <c r="A332" s="10">
        <v>90103</v>
      </c>
      <c r="B332" s="11" t="s">
        <v>421</v>
      </c>
      <c r="C332" s="6"/>
      <c r="D332" s="6"/>
    </row>
    <row r="333" spans="1:4" ht="15.75" customHeight="1">
      <c r="A333" s="10">
        <v>90104</v>
      </c>
      <c r="B333" s="11" t="s">
        <v>422</v>
      </c>
      <c r="C333" s="6"/>
      <c r="D333" s="6"/>
    </row>
    <row r="334" spans="1:4" ht="15.75" customHeight="1">
      <c r="A334" s="10">
        <v>90201</v>
      </c>
      <c r="B334" s="11" t="s">
        <v>424</v>
      </c>
      <c r="C334" s="6"/>
      <c r="D334" s="6"/>
    </row>
    <row r="335" spans="1:4" ht="15.75" customHeight="1">
      <c r="A335" s="10">
        <v>90202</v>
      </c>
      <c r="B335" s="11" t="s">
        <v>371</v>
      </c>
      <c r="C335" s="6"/>
      <c r="D335" s="6"/>
    </row>
    <row r="336" spans="1:4" ht="15.75" customHeight="1">
      <c r="A336" s="10">
        <v>90203</v>
      </c>
      <c r="B336" s="11" t="s">
        <v>425</v>
      </c>
      <c r="C336" s="6"/>
      <c r="D336" s="6"/>
    </row>
    <row r="337" spans="1:4" ht="15.75" customHeight="1">
      <c r="A337" s="10">
        <v>90301</v>
      </c>
      <c r="B337" s="11" t="s">
        <v>427</v>
      </c>
      <c r="C337" s="6"/>
      <c r="D337" s="6"/>
    </row>
    <row r="338" spans="1:4" ht="15.75" customHeight="1">
      <c r="A338" s="10">
        <v>90302</v>
      </c>
      <c r="B338" s="11" t="s">
        <v>428</v>
      </c>
      <c r="C338" s="6"/>
      <c r="D338" s="6"/>
    </row>
    <row r="339" spans="1:4" ht="15.75" customHeight="1">
      <c r="A339" s="10">
        <v>90303</v>
      </c>
      <c r="B339" s="11" t="s">
        <v>429</v>
      </c>
      <c r="C339" s="6"/>
      <c r="D339" s="6"/>
    </row>
    <row r="340" spans="1:4" ht="15.75" customHeight="1">
      <c r="A340" s="10">
        <v>90401</v>
      </c>
      <c r="B340" s="11" t="s">
        <v>431</v>
      </c>
      <c r="C340" s="6"/>
      <c r="D340" s="6"/>
    </row>
    <row r="341" spans="1:4" ht="15.75" customHeight="1">
      <c r="A341" s="10">
        <v>90402</v>
      </c>
      <c r="B341" s="11" t="s">
        <v>87</v>
      </c>
      <c r="C341" s="6"/>
      <c r="D341" s="6"/>
    </row>
    <row r="342" spans="1:4" ht="15.75" customHeight="1">
      <c r="A342" s="10">
        <v>90501</v>
      </c>
      <c r="B342" s="11" t="s">
        <v>433</v>
      </c>
      <c r="C342" s="6"/>
      <c r="D342" s="6"/>
    </row>
    <row r="343" spans="1:4" ht="15.75" customHeight="1">
      <c r="A343" s="10">
        <v>90502</v>
      </c>
      <c r="B343" s="11" t="s">
        <v>434</v>
      </c>
      <c r="C343" s="6"/>
      <c r="D343" s="6"/>
    </row>
    <row r="344" spans="1:4" ht="15.75" customHeight="1">
      <c r="A344" s="10">
        <v>90503</v>
      </c>
      <c r="B344" s="11" t="s">
        <v>435</v>
      </c>
      <c r="C344" s="6"/>
      <c r="D344" s="6"/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I1000"/>
  <sheetViews>
    <sheetView workbookViewId="0">
      <selection activeCell="F11" sqref="F11"/>
    </sheetView>
  </sheetViews>
  <sheetFormatPr baseColWidth="10" defaultColWidth="12.6640625" defaultRowHeight="15" customHeight="1"/>
  <sheetData>
    <row r="1" spans="1:9" ht="15" customHeight="1">
      <c r="A1" s="2" t="s">
        <v>437</v>
      </c>
      <c r="B1" s="2" t="s">
        <v>438</v>
      </c>
      <c r="C1" s="14" t="s">
        <v>472</v>
      </c>
      <c r="D1" s="14" t="s">
        <v>473</v>
      </c>
      <c r="F1" s="4"/>
      <c r="G1" s="4"/>
      <c r="H1" s="5"/>
      <c r="I1" s="5"/>
    </row>
    <row r="2" spans="1:9" ht="15" customHeight="1">
      <c r="A2" s="15">
        <v>1</v>
      </c>
      <c r="B2" s="2" t="s">
        <v>4</v>
      </c>
      <c r="C2" s="14">
        <v>1.5474445283040119</v>
      </c>
      <c r="D2" s="14">
        <v>1.42405372416059</v>
      </c>
      <c r="F2" s="13"/>
      <c r="G2" s="13"/>
      <c r="H2" s="13"/>
      <c r="I2" s="13"/>
    </row>
    <row r="3" spans="1:9" ht="15" customHeight="1">
      <c r="A3" s="15">
        <v>2</v>
      </c>
      <c r="B3" s="2" t="s">
        <v>42</v>
      </c>
      <c r="C3" s="14">
        <v>1.3977925917722853</v>
      </c>
      <c r="D3" s="14">
        <v>1.4043834752325808</v>
      </c>
      <c r="F3" s="13"/>
      <c r="G3" s="13"/>
      <c r="H3" s="13"/>
      <c r="I3" s="13"/>
    </row>
    <row r="4" spans="1:9" ht="15" customHeight="1">
      <c r="A4" s="15">
        <v>3</v>
      </c>
      <c r="B4" s="2" t="s">
        <v>149</v>
      </c>
      <c r="C4" s="14">
        <v>1.5609175191868303</v>
      </c>
      <c r="D4" s="14">
        <v>1.2732362255693161</v>
      </c>
      <c r="F4" s="13"/>
      <c r="G4" s="13"/>
      <c r="H4" s="13"/>
      <c r="I4" s="13"/>
    </row>
    <row r="5" spans="1:9" ht="15" customHeight="1">
      <c r="A5" s="15">
        <v>4</v>
      </c>
      <c r="B5" s="2" t="s">
        <v>204</v>
      </c>
      <c r="C5" s="14">
        <v>1.4915118559838147</v>
      </c>
      <c r="D5" s="14">
        <v>1.2428432148569446</v>
      </c>
      <c r="F5" s="13"/>
      <c r="G5" s="13"/>
      <c r="H5" s="13"/>
      <c r="I5" s="13"/>
    </row>
    <row r="6" spans="1:9" ht="15" customHeight="1">
      <c r="A6" s="15">
        <v>5</v>
      </c>
      <c r="B6" s="2" t="s">
        <v>250</v>
      </c>
      <c r="C6" s="14">
        <v>1.2995610404856643</v>
      </c>
      <c r="D6" s="14">
        <v>1.393758286906537</v>
      </c>
      <c r="F6" s="13"/>
      <c r="G6" s="13"/>
      <c r="H6" s="13"/>
      <c r="I6" s="13"/>
    </row>
    <row r="7" spans="1:9" ht="15" customHeight="1">
      <c r="A7" s="15">
        <v>6</v>
      </c>
      <c r="B7" s="2" t="s">
        <v>307</v>
      </c>
      <c r="C7" s="14">
        <v>1.5158052994033728</v>
      </c>
      <c r="D7" s="14">
        <v>0.80778969980268212</v>
      </c>
      <c r="F7" s="13"/>
      <c r="G7" s="13"/>
      <c r="H7" s="13"/>
      <c r="I7" s="13"/>
    </row>
    <row r="8" spans="1:9" ht="15" customHeight="1">
      <c r="A8" s="15">
        <v>7</v>
      </c>
      <c r="B8" s="2" t="s">
        <v>322</v>
      </c>
      <c r="C8" s="14">
        <v>1.4756109279694971</v>
      </c>
      <c r="D8" s="14">
        <v>1.8223057145856272</v>
      </c>
      <c r="F8" s="13"/>
      <c r="G8" s="13"/>
      <c r="H8" s="13"/>
      <c r="I8" s="13"/>
    </row>
    <row r="9" spans="1:9" ht="15" customHeight="1">
      <c r="A9" s="15">
        <v>8</v>
      </c>
      <c r="B9" s="2" t="s">
        <v>391</v>
      </c>
      <c r="C9" s="14">
        <v>1.3272482170846425</v>
      </c>
      <c r="D9" s="14">
        <v>2.4688928506990573</v>
      </c>
      <c r="F9" s="13"/>
      <c r="G9" s="13"/>
      <c r="H9" s="13"/>
      <c r="I9" s="13"/>
    </row>
    <row r="10" spans="1:9" ht="15" customHeight="1">
      <c r="A10" s="39">
        <v>9</v>
      </c>
      <c r="B10" s="40" t="s">
        <v>417</v>
      </c>
      <c r="C10" s="41">
        <v>1.3986171720276233</v>
      </c>
      <c r="D10" s="41">
        <v>2.1714490167919704</v>
      </c>
      <c r="F10" s="13"/>
      <c r="G10" s="13"/>
      <c r="H10" s="13"/>
      <c r="I10" s="13"/>
    </row>
    <row r="11" spans="1:9" ht="13.2">
      <c r="A11" s="42">
        <v>10</v>
      </c>
      <c r="B11" s="43" t="s">
        <v>311</v>
      </c>
      <c r="C11" s="44"/>
      <c r="D11" s="44"/>
      <c r="F11" s="16"/>
      <c r="G11" s="16"/>
    </row>
    <row r="12" spans="1:9" ht="13.2">
      <c r="A12" s="42">
        <v>11</v>
      </c>
      <c r="B12" s="43" t="s">
        <v>471</v>
      </c>
      <c r="C12" s="44"/>
      <c r="D12" s="44"/>
      <c r="F12" s="16"/>
      <c r="G12" s="16"/>
    </row>
    <row r="13" spans="1:9" ht="13.2">
      <c r="A13" s="16"/>
      <c r="B13" s="16"/>
      <c r="F13" s="16"/>
      <c r="G13" s="16"/>
    </row>
    <row r="14" spans="1:9" ht="13.2">
      <c r="A14" s="16"/>
      <c r="B14" s="16"/>
      <c r="F14" s="16"/>
      <c r="G14" s="16"/>
    </row>
    <row r="15" spans="1:9" ht="13.2">
      <c r="A15" s="16"/>
      <c r="B15" s="16"/>
      <c r="F15" s="16"/>
      <c r="G15" s="16"/>
    </row>
    <row r="16" spans="1:9" ht="13.2">
      <c r="A16" s="16"/>
      <c r="B16" s="16"/>
      <c r="F16" s="16"/>
      <c r="G16" s="16"/>
    </row>
    <row r="17" spans="1:7" ht="13.2">
      <c r="A17" s="16"/>
      <c r="B17" s="16"/>
      <c r="F17" s="16"/>
      <c r="G17" s="16"/>
    </row>
    <row r="18" spans="1:7" ht="13.2">
      <c r="A18" s="16"/>
      <c r="B18" s="16"/>
      <c r="F18" s="16"/>
      <c r="G18" s="16"/>
    </row>
    <row r="19" spans="1:7" ht="13.2">
      <c r="A19" s="16"/>
      <c r="B19" s="16"/>
      <c r="F19" s="16"/>
      <c r="G19" s="16"/>
    </row>
    <row r="20" spans="1:7" ht="13.2">
      <c r="A20" s="16"/>
      <c r="B20" s="16"/>
      <c r="F20" s="16"/>
      <c r="G20" s="16"/>
    </row>
    <row r="21" spans="1:7" ht="13.2">
      <c r="A21" s="16"/>
      <c r="B21" s="16"/>
      <c r="F21" s="16"/>
      <c r="G21" s="16"/>
    </row>
    <row r="22" spans="1:7" ht="13.2">
      <c r="A22" s="16"/>
      <c r="B22" s="16"/>
      <c r="F22" s="16"/>
      <c r="G22" s="16"/>
    </row>
    <row r="23" spans="1:7" ht="13.2">
      <c r="A23" s="16"/>
      <c r="B23" s="16"/>
      <c r="C23" s="17"/>
      <c r="D23" s="17"/>
      <c r="F23" s="16"/>
      <c r="G23" s="16"/>
    </row>
    <row r="24" spans="1:7" ht="13.2">
      <c r="A24" s="16"/>
      <c r="B24" s="16"/>
      <c r="C24" s="17"/>
      <c r="D24" s="17"/>
      <c r="F24" s="16"/>
      <c r="G24" s="16"/>
    </row>
    <row r="25" spans="1:7" ht="13.2">
      <c r="A25" s="16"/>
      <c r="B25" s="16"/>
      <c r="C25" s="17"/>
      <c r="D25" s="17"/>
      <c r="F25" s="16"/>
      <c r="G25" s="16"/>
    </row>
    <row r="26" spans="1:7" ht="13.2">
      <c r="A26" s="16"/>
      <c r="B26" s="16"/>
      <c r="C26" s="17"/>
      <c r="D26" s="17"/>
      <c r="F26" s="16"/>
      <c r="G26" s="16"/>
    </row>
    <row r="27" spans="1:7" ht="13.2">
      <c r="A27" s="16"/>
      <c r="B27" s="16"/>
      <c r="C27" s="17"/>
      <c r="D27" s="17"/>
      <c r="F27" s="16"/>
      <c r="G27" s="16"/>
    </row>
    <row r="28" spans="1:7" ht="13.2">
      <c r="A28" s="16"/>
      <c r="B28" s="16"/>
      <c r="C28" s="17"/>
      <c r="D28" s="17"/>
      <c r="F28" s="16"/>
      <c r="G28" s="16"/>
    </row>
    <row r="29" spans="1:7" ht="13.2">
      <c r="A29" s="16"/>
      <c r="B29" s="16"/>
      <c r="C29" s="17"/>
      <c r="D29" s="17"/>
      <c r="F29" s="16"/>
      <c r="G29" s="16"/>
    </row>
    <row r="30" spans="1:7" ht="13.2">
      <c r="A30" s="16"/>
      <c r="B30" s="16"/>
      <c r="C30" s="17"/>
      <c r="D30" s="17"/>
      <c r="F30" s="16"/>
      <c r="G30" s="16"/>
    </row>
    <row r="31" spans="1:7" ht="13.2">
      <c r="A31" s="16"/>
      <c r="B31" s="16"/>
      <c r="C31" s="17"/>
      <c r="D31" s="17"/>
      <c r="F31" s="16"/>
      <c r="G31" s="16"/>
    </row>
    <row r="32" spans="1:7" ht="13.2">
      <c r="A32" s="16"/>
      <c r="B32" s="16"/>
      <c r="C32" s="17"/>
      <c r="D32" s="17"/>
      <c r="F32" s="16"/>
      <c r="G32" s="16"/>
    </row>
    <row r="33" spans="1:7" ht="13.2">
      <c r="A33" s="16"/>
      <c r="B33" s="16"/>
      <c r="C33" s="17"/>
      <c r="D33" s="17"/>
      <c r="F33" s="16"/>
      <c r="G33" s="16"/>
    </row>
    <row r="34" spans="1:7" ht="13.2">
      <c r="A34" s="16"/>
      <c r="B34" s="16"/>
      <c r="C34" s="17"/>
      <c r="D34" s="17"/>
      <c r="F34" s="16"/>
      <c r="G34" s="16"/>
    </row>
    <row r="35" spans="1:7" ht="13.2">
      <c r="A35" s="16"/>
      <c r="B35" s="16"/>
      <c r="C35" s="17"/>
      <c r="D35" s="17"/>
      <c r="F35" s="16"/>
      <c r="G35" s="16"/>
    </row>
    <row r="36" spans="1:7" ht="13.2">
      <c r="A36" s="16"/>
      <c r="B36" s="16"/>
      <c r="C36" s="17"/>
      <c r="D36" s="17"/>
      <c r="F36" s="16"/>
      <c r="G36" s="16"/>
    </row>
    <row r="37" spans="1:7" ht="13.2">
      <c r="A37" s="16"/>
      <c r="B37" s="16"/>
      <c r="C37" s="17"/>
      <c r="D37" s="17"/>
      <c r="F37" s="16"/>
      <c r="G37" s="16"/>
    </row>
    <row r="38" spans="1:7" ht="13.2">
      <c r="A38" s="16"/>
      <c r="B38" s="16"/>
      <c r="C38" s="17"/>
      <c r="D38" s="17"/>
      <c r="F38" s="16"/>
      <c r="G38" s="16"/>
    </row>
    <row r="39" spans="1:7" ht="13.2">
      <c r="A39" s="16"/>
      <c r="B39" s="16"/>
      <c r="C39" s="17"/>
      <c r="D39" s="17"/>
      <c r="F39" s="16"/>
      <c r="G39" s="16"/>
    </row>
    <row r="40" spans="1:7" ht="13.2">
      <c r="A40" s="16"/>
      <c r="B40" s="16"/>
      <c r="C40" s="17"/>
      <c r="D40" s="17"/>
      <c r="F40" s="16"/>
      <c r="G40" s="16"/>
    </row>
    <row r="41" spans="1:7" ht="13.2">
      <c r="A41" s="16"/>
      <c r="B41" s="16"/>
      <c r="C41" s="17"/>
      <c r="D41" s="17"/>
      <c r="F41" s="16"/>
      <c r="G41" s="16"/>
    </row>
    <row r="42" spans="1:7" ht="13.2">
      <c r="A42" s="16"/>
      <c r="B42" s="16"/>
      <c r="C42" s="17"/>
      <c r="D42" s="17"/>
      <c r="F42" s="16"/>
      <c r="G42" s="16"/>
    </row>
    <row r="43" spans="1:7" ht="13.2">
      <c r="A43" s="16"/>
      <c r="B43" s="16"/>
      <c r="C43" s="17"/>
      <c r="D43" s="17"/>
      <c r="F43" s="16"/>
      <c r="G43" s="16"/>
    </row>
    <row r="44" spans="1:7" ht="13.2">
      <c r="A44" s="16"/>
      <c r="B44" s="16"/>
      <c r="C44" s="17"/>
      <c r="D44" s="17"/>
      <c r="F44" s="16"/>
      <c r="G44" s="16"/>
    </row>
    <row r="45" spans="1:7" ht="13.2">
      <c r="A45" s="16"/>
      <c r="B45" s="16"/>
      <c r="C45" s="17"/>
      <c r="D45" s="17"/>
      <c r="F45" s="16"/>
      <c r="G45" s="16"/>
    </row>
    <row r="46" spans="1:7" ht="13.2">
      <c r="A46" s="16"/>
      <c r="B46" s="16"/>
      <c r="C46" s="17"/>
      <c r="D46" s="17"/>
      <c r="F46" s="16"/>
      <c r="G46" s="16"/>
    </row>
    <row r="47" spans="1:7" ht="13.2">
      <c r="A47" s="16"/>
      <c r="B47" s="16"/>
      <c r="C47" s="17"/>
      <c r="D47" s="17"/>
      <c r="F47" s="16"/>
      <c r="G47" s="16"/>
    </row>
    <row r="48" spans="1:7" ht="13.2">
      <c r="A48" s="16"/>
      <c r="B48" s="16"/>
      <c r="C48" s="17"/>
      <c r="D48" s="17"/>
      <c r="F48" s="16"/>
      <c r="G48" s="16"/>
    </row>
    <row r="49" spans="1:7" ht="13.2">
      <c r="A49" s="16"/>
      <c r="B49" s="16"/>
      <c r="C49" s="17"/>
      <c r="D49" s="17"/>
      <c r="F49" s="16"/>
      <c r="G49" s="16"/>
    </row>
    <row r="50" spans="1:7" ht="13.2">
      <c r="A50" s="16"/>
      <c r="B50" s="16"/>
      <c r="C50" s="17"/>
      <c r="D50" s="17"/>
      <c r="F50" s="16"/>
      <c r="G50" s="16"/>
    </row>
    <row r="51" spans="1:7" ht="13.2">
      <c r="A51" s="16"/>
      <c r="B51" s="16"/>
      <c r="C51" s="17"/>
      <c r="D51" s="17"/>
      <c r="F51" s="16"/>
      <c r="G51" s="16"/>
    </row>
    <row r="52" spans="1:7" ht="13.2">
      <c r="A52" s="16"/>
      <c r="B52" s="16"/>
      <c r="C52" s="17"/>
      <c r="D52" s="17"/>
      <c r="F52" s="16"/>
      <c r="G52" s="16"/>
    </row>
    <row r="53" spans="1:7" ht="13.2">
      <c r="A53" s="16"/>
      <c r="B53" s="16"/>
      <c r="C53" s="17"/>
      <c r="D53" s="17"/>
      <c r="F53" s="16"/>
      <c r="G53" s="16"/>
    </row>
    <row r="54" spans="1:7" ht="13.2">
      <c r="A54" s="16"/>
      <c r="B54" s="16"/>
      <c r="C54" s="17"/>
      <c r="D54" s="17"/>
      <c r="F54" s="16"/>
      <c r="G54" s="16"/>
    </row>
    <row r="55" spans="1:7" ht="13.2">
      <c r="A55" s="16"/>
      <c r="B55" s="16"/>
      <c r="C55" s="17"/>
      <c r="D55" s="17"/>
      <c r="F55" s="16"/>
      <c r="G55" s="16"/>
    </row>
    <row r="56" spans="1:7" ht="13.2">
      <c r="A56" s="16"/>
      <c r="B56" s="16"/>
      <c r="C56" s="17"/>
      <c r="D56" s="17"/>
      <c r="F56" s="16"/>
      <c r="G56" s="16"/>
    </row>
    <row r="57" spans="1:7" ht="13.2">
      <c r="A57" s="16"/>
      <c r="B57" s="16"/>
      <c r="C57" s="17"/>
      <c r="D57" s="17"/>
      <c r="F57" s="16"/>
      <c r="G57" s="16"/>
    </row>
    <row r="58" spans="1:7" ht="13.2">
      <c r="A58" s="16"/>
      <c r="B58" s="16"/>
      <c r="C58" s="17"/>
      <c r="D58" s="17"/>
      <c r="F58" s="16"/>
      <c r="G58" s="16"/>
    </row>
    <row r="59" spans="1:7" ht="13.2">
      <c r="A59" s="16"/>
      <c r="B59" s="16"/>
      <c r="C59" s="17"/>
      <c r="D59" s="17"/>
      <c r="F59" s="16"/>
      <c r="G59" s="16"/>
    </row>
    <row r="60" spans="1:7" ht="13.2">
      <c r="A60" s="16"/>
      <c r="B60" s="16"/>
      <c r="C60" s="17"/>
      <c r="D60" s="17"/>
      <c r="F60" s="16"/>
      <c r="G60" s="16"/>
    </row>
    <row r="61" spans="1:7" ht="13.2">
      <c r="A61" s="16"/>
      <c r="B61" s="16"/>
      <c r="C61" s="17"/>
      <c r="D61" s="17"/>
      <c r="F61" s="16"/>
      <c r="G61" s="16"/>
    </row>
    <row r="62" spans="1:7" ht="13.2">
      <c r="A62" s="16"/>
      <c r="B62" s="16"/>
      <c r="C62" s="17"/>
      <c r="D62" s="17"/>
      <c r="F62" s="16"/>
      <c r="G62" s="16"/>
    </row>
    <row r="63" spans="1:7" ht="13.2">
      <c r="A63" s="16"/>
      <c r="B63" s="16"/>
      <c r="C63" s="17"/>
      <c r="D63" s="17"/>
      <c r="F63" s="16"/>
      <c r="G63" s="16"/>
    </row>
    <row r="64" spans="1:7" ht="13.2">
      <c r="A64" s="16"/>
      <c r="B64" s="16"/>
      <c r="C64" s="17"/>
      <c r="D64" s="17"/>
      <c r="F64" s="16"/>
      <c r="G64" s="16"/>
    </row>
    <row r="65" spans="1:7" ht="13.2">
      <c r="A65" s="16"/>
      <c r="B65" s="16"/>
      <c r="C65" s="17"/>
      <c r="D65" s="17"/>
      <c r="F65" s="16"/>
      <c r="G65" s="16"/>
    </row>
    <row r="66" spans="1:7" ht="13.2">
      <c r="A66" s="16"/>
      <c r="B66" s="16"/>
      <c r="C66" s="17"/>
      <c r="D66" s="17"/>
      <c r="F66" s="16"/>
      <c r="G66" s="16"/>
    </row>
    <row r="67" spans="1:7" ht="13.2">
      <c r="A67" s="16"/>
      <c r="B67" s="16"/>
      <c r="C67" s="17"/>
      <c r="D67" s="17"/>
      <c r="F67" s="16"/>
      <c r="G67" s="16"/>
    </row>
    <row r="68" spans="1:7" ht="13.2">
      <c r="A68" s="16"/>
      <c r="B68" s="16"/>
      <c r="C68" s="17"/>
      <c r="D68" s="17"/>
      <c r="F68" s="16"/>
      <c r="G68" s="16"/>
    </row>
    <row r="69" spans="1:7" ht="13.2">
      <c r="A69" s="16"/>
      <c r="B69" s="16"/>
      <c r="C69" s="17"/>
      <c r="D69" s="17"/>
      <c r="F69" s="16"/>
      <c r="G69" s="16"/>
    </row>
    <row r="70" spans="1:7" ht="13.2">
      <c r="A70" s="16"/>
      <c r="B70" s="16"/>
      <c r="C70" s="17"/>
      <c r="D70" s="17"/>
      <c r="F70" s="16"/>
      <c r="G70" s="16"/>
    </row>
    <row r="71" spans="1:7" ht="13.2">
      <c r="A71" s="16"/>
      <c r="B71" s="16"/>
      <c r="C71" s="17"/>
      <c r="D71" s="17"/>
      <c r="F71" s="16"/>
      <c r="G71" s="16"/>
    </row>
    <row r="72" spans="1:7" ht="13.2">
      <c r="A72" s="16"/>
      <c r="B72" s="16"/>
      <c r="C72" s="17"/>
      <c r="D72" s="17"/>
      <c r="F72" s="16"/>
      <c r="G72" s="16"/>
    </row>
    <row r="73" spans="1:7" ht="13.2">
      <c r="A73" s="16"/>
      <c r="B73" s="16"/>
      <c r="C73" s="17"/>
      <c r="D73" s="17"/>
      <c r="F73" s="16"/>
      <c r="G73" s="16"/>
    </row>
    <row r="74" spans="1:7" ht="13.2">
      <c r="A74" s="16"/>
      <c r="B74" s="16"/>
      <c r="C74" s="17"/>
      <c r="D74" s="17"/>
      <c r="F74" s="16"/>
      <c r="G74" s="16"/>
    </row>
    <row r="75" spans="1:7" ht="13.2">
      <c r="A75" s="16"/>
      <c r="B75" s="16"/>
      <c r="C75" s="17"/>
      <c r="D75" s="17"/>
      <c r="F75" s="16"/>
      <c r="G75" s="16"/>
    </row>
    <row r="76" spans="1:7" ht="13.2">
      <c r="A76" s="16"/>
      <c r="B76" s="16"/>
      <c r="C76" s="17"/>
      <c r="D76" s="17"/>
      <c r="F76" s="16"/>
      <c r="G76" s="16"/>
    </row>
    <row r="77" spans="1:7" ht="13.2">
      <c r="A77" s="16"/>
      <c r="B77" s="16"/>
      <c r="C77" s="17"/>
      <c r="D77" s="17"/>
      <c r="F77" s="16"/>
      <c r="G77" s="16"/>
    </row>
    <row r="78" spans="1:7" ht="13.2">
      <c r="A78" s="16"/>
      <c r="B78" s="16"/>
      <c r="C78" s="17"/>
      <c r="D78" s="17"/>
      <c r="F78" s="16"/>
      <c r="G78" s="16"/>
    </row>
    <row r="79" spans="1:7" ht="13.2">
      <c r="A79" s="16"/>
      <c r="B79" s="16"/>
      <c r="C79" s="17"/>
      <c r="D79" s="17"/>
      <c r="F79" s="16"/>
      <c r="G79" s="16"/>
    </row>
    <row r="80" spans="1:7" ht="13.2">
      <c r="A80" s="16"/>
      <c r="B80" s="16"/>
      <c r="C80" s="17"/>
      <c r="D80" s="17"/>
      <c r="F80" s="16"/>
      <c r="G80" s="16"/>
    </row>
    <row r="81" spans="1:7" ht="13.2">
      <c r="A81" s="16"/>
      <c r="B81" s="16"/>
      <c r="C81" s="17"/>
      <c r="D81" s="17"/>
      <c r="F81" s="16"/>
      <c r="G81" s="16"/>
    </row>
    <row r="82" spans="1:7" ht="13.2">
      <c r="A82" s="16"/>
      <c r="B82" s="16"/>
      <c r="C82" s="17"/>
      <c r="D82" s="17"/>
      <c r="F82" s="16"/>
      <c r="G82" s="16"/>
    </row>
    <row r="83" spans="1:7" ht="13.2">
      <c r="A83" s="16"/>
      <c r="B83" s="16"/>
      <c r="C83" s="17"/>
      <c r="D83" s="17"/>
      <c r="F83" s="16"/>
      <c r="G83" s="16"/>
    </row>
    <row r="84" spans="1:7" ht="13.2">
      <c r="A84" s="16"/>
      <c r="B84" s="16"/>
      <c r="C84" s="17"/>
      <c r="D84" s="17"/>
      <c r="F84" s="16"/>
      <c r="G84" s="16"/>
    </row>
    <row r="85" spans="1:7" ht="13.2">
      <c r="A85" s="16"/>
      <c r="B85" s="16"/>
      <c r="C85" s="17"/>
      <c r="D85" s="17"/>
      <c r="F85" s="16"/>
      <c r="G85" s="16"/>
    </row>
    <row r="86" spans="1:7" ht="13.2">
      <c r="A86" s="16"/>
      <c r="B86" s="16"/>
      <c r="C86" s="17"/>
      <c r="D86" s="17"/>
      <c r="F86" s="16"/>
      <c r="G86" s="16"/>
    </row>
    <row r="87" spans="1:7" ht="13.2">
      <c r="A87" s="16"/>
      <c r="B87" s="16"/>
      <c r="C87" s="17"/>
      <c r="D87" s="17"/>
      <c r="F87" s="16"/>
      <c r="G87" s="16"/>
    </row>
    <row r="88" spans="1:7" ht="13.2">
      <c r="A88" s="16"/>
      <c r="B88" s="16"/>
      <c r="C88" s="17"/>
      <c r="D88" s="17"/>
      <c r="F88" s="16"/>
      <c r="G88" s="16"/>
    </row>
    <row r="89" spans="1:7" ht="13.2">
      <c r="A89" s="16"/>
      <c r="B89" s="16"/>
      <c r="C89" s="17"/>
      <c r="D89" s="17"/>
      <c r="F89" s="16"/>
      <c r="G89" s="16"/>
    </row>
    <row r="90" spans="1:7" ht="13.2">
      <c r="A90" s="16"/>
      <c r="B90" s="16"/>
      <c r="C90" s="17"/>
      <c r="D90" s="17"/>
      <c r="F90" s="16"/>
      <c r="G90" s="16"/>
    </row>
    <row r="91" spans="1:7" ht="13.2">
      <c r="A91" s="16"/>
      <c r="B91" s="16"/>
      <c r="C91" s="17"/>
      <c r="D91" s="17"/>
      <c r="F91" s="16"/>
      <c r="G91" s="16"/>
    </row>
    <row r="92" spans="1:7" ht="13.2">
      <c r="A92" s="16"/>
      <c r="B92" s="16"/>
      <c r="C92" s="17"/>
      <c r="D92" s="17"/>
      <c r="F92" s="16"/>
      <c r="G92" s="16"/>
    </row>
    <row r="93" spans="1:7" ht="13.2">
      <c r="A93" s="16"/>
      <c r="B93" s="16"/>
      <c r="C93" s="17"/>
      <c r="D93" s="17"/>
      <c r="F93" s="16"/>
      <c r="G93" s="16"/>
    </row>
    <row r="94" spans="1:7" ht="13.2">
      <c r="A94" s="16"/>
      <c r="B94" s="16"/>
      <c r="C94" s="17"/>
      <c r="D94" s="17"/>
      <c r="F94" s="16"/>
      <c r="G94" s="16"/>
    </row>
    <row r="95" spans="1:7" ht="13.2">
      <c r="A95" s="16"/>
      <c r="B95" s="16"/>
      <c r="C95" s="17"/>
      <c r="D95" s="17"/>
      <c r="F95" s="16"/>
      <c r="G95" s="16"/>
    </row>
    <row r="96" spans="1:7" ht="13.2">
      <c r="A96" s="16"/>
      <c r="B96" s="16"/>
      <c r="C96" s="17"/>
      <c r="D96" s="17"/>
      <c r="F96" s="16"/>
      <c r="G96" s="16"/>
    </row>
    <row r="97" spans="1:7" ht="13.2">
      <c r="A97" s="16"/>
      <c r="B97" s="16"/>
      <c r="C97" s="17"/>
      <c r="D97" s="17"/>
      <c r="F97" s="16"/>
      <c r="G97" s="16"/>
    </row>
    <row r="98" spans="1:7" ht="13.2">
      <c r="A98" s="16"/>
      <c r="B98" s="16"/>
      <c r="C98" s="17"/>
      <c r="D98" s="17"/>
      <c r="F98" s="16"/>
      <c r="G98" s="16"/>
    </row>
    <row r="99" spans="1:7" ht="13.2">
      <c r="A99" s="16"/>
      <c r="B99" s="16"/>
      <c r="C99" s="17"/>
      <c r="D99" s="17"/>
      <c r="F99" s="16"/>
      <c r="G99" s="16"/>
    </row>
    <row r="100" spans="1:7" ht="13.2">
      <c r="A100" s="16"/>
      <c r="B100" s="16"/>
      <c r="C100" s="17"/>
      <c r="D100" s="17"/>
      <c r="F100" s="16"/>
      <c r="G100" s="16"/>
    </row>
    <row r="101" spans="1:7" ht="13.2">
      <c r="A101" s="16"/>
      <c r="B101" s="16"/>
      <c r="C101" s="17"/>
      <c r="D101" s="17"/>
      <c r="F101" s="16"/>
      <c r="G101" s="16"/>
    </row>
    <row r="102" spans="1:7" ht="13.2">
      <c r="A102" s="16"/>
      <c r="B102" s="16"/>
      <c r="C102" s="17"/>
      <c r="D102" s="17"/>
      <c r="F102" s="16"/>
      <c r="G102" s="16"/>
    </row>
    <row r="103" spans="1:7" ht="13.2">
      <c r="A103" s="16"/>
      <c r="B103" s="16"/>
      <c r="C103" s="17"/>
      <c r="D103" s="17"/>
      <c r="F103" s="16"/>
      <c r="G103" s="16"/>
    </row>
    <row r="104" spans="1:7" ht="13.2">
      <c r="A104" s="16"/>
      <c r="B104" s="16"/>
      <c r="C104" s="17"/>
      <c r="D104" s="17"/>
      <c r="F104" s="16"/>
      <c r="G104" s="16"/>
    </row>
    <row r="105" spans="1:7" ht="13.2">
      <c r="A105" s="16"/>
      <c r="B105" s="16"/>
      <c r="C105" s="17"/>
      <c r="D105" s="17"/>
      <c r="F105" s="16"/>
      <c r="G105" s="16"/>
    </row>
    <row r="106" spans="1:7" ht="13.2">
      <c r="A106" s="16"/>
      <c r="B106" s="16"/>
      <c r="C106" s="17"/>
      <c r="D106" s="17"/>
      <c r="F106" s="16"/>
      <c r="G106" s="16"/>
    </row>
    <row r="107" spans="1:7" ht="13.2">
      <c r="A107" s="16"/>
      <c r="B107" s="16"/>
      <c r="C107" s="17"/>
      <c r="D107" s="17"/>
      <c r="F107" s="16"/>
      <c r="G107" s="16"/>
    </row>
    <row r="108" spans="1:7" ht="13.2">
      <c r="A108" s="16"/>
      <c r="B108" s="16"/>
      <c r="C108" s="17"/>
      <c r="D108" s="17"/>
      <c r="F108" s="16"/>
      <c r="G108" s="16"/>
    </row>
    <row r="109" spans="1:7" ht="13.2">
      <c r="A109" s="16"/>
      <c r="B109" s="16"/>
      <c r="C109" s="17"/>
      <c r="D109" s="17"/>
      <c r="F109" s="16"/>
      <c r="G109" s="16"/>
    </row>
    <row r="110" spans="1:7" ht="13.2">
      <c r="A110" s="16"/>
      <c r="B110" s="16"/>
      <c r="C110" s="17"/>
      <c r="D110" s="17"/>
      <c r="F110" s="16"/>
      <c r="G110" s="16"/>
    </row>
    <row r="111" spans="1:7" ht="13.2">
      <c r="A111" s="16"/>
      <c r="B111" s="16"/>
      <c r="C111" s="17"/>
      <c r="D111" s="17"/>
      <c r="F111" s="16"/>
      <c r="G111" s="16"/>
    </row>
    <row r="112" spans="1:7" ht="13.2">
      <c r="A112" s="16"/>
      <c r="B112" s="16"/>
      <c r="C112" s="17"/>
      <c r="D112" s="17"/>
      <c r="F112" s="16"/>
      <c r="G112" s="16"/>
    </row>
    <row r="113" spans="1:7" ht="13.2">
      <c r="A113" s="16"/>
      <c r="B113" s="16"/>
      <c r="C113" s="17"/>
      <c r="D113" s="17"/>
      <c r="F113" s="16"/>
      <c r="G113" s="16"/>
    </row>
    <row r="114" spans="1:7" ht="13.2">
      <c r="A114" s="16"/>
      <c r="B114" s="16"/>
      <c r="C114" s="17"/>
      <c r="D114" s="17"/>
      <c r="F114" s="16"/>
      <c r="G114" s="16"/>
    </row>
    <row r="115" spans="1:7" ht="13.2">
      <c r="A115" s="16"/>
      <c r="B115" s="16"/>
      <c r="C115" s="17"/>
      <c r="D115" s="17"/>
      <c r="F115" s="16"/>
      <c r="G115" s="16"/>
    </row>
    <row r="116" spans="1:7" ht="13.2">
      <c r="A116" s="16"/>
      <c r="B116" s="16"/>
      <c r="C116" s="17"/>
      <c r="D116" s="17"/>
      <c r="F116" s="16"/>
      <c r="G116" s="16"/>
    </row>
    <row r="117" spans="1:7" ht="13.2">
      <c r="A117" s="16"/>
      <c r="B117" s="16"/>
      <c r="C117" s="17"/>
      <c r="D117" s="17"/>
      <c r="F117" s="16"/>
      <c r="G117" s="16"/>
    </row>
    <row r="118" spans="1:7" ht="13.2">
      <c r="A118" s="16"/>
      <c r="B118" s="16"/>
      <c r="C118" s="17"/>
      <c r="D118" s="17"/>
      <c r="F118" s="16"/>
      <c r="G118" s="16"/>
    </row>
    <row r="119" spans="1:7" ht="13.2">
      <c r="A119" s="16"/>
      <c r="B119" s="16"/>
      <c r="C119" s="17"/>
      <c r="D119" s="17"/>
      <c r="F119" s="16"/>
      <c r="G119" s="16"/>
    </row>
    <row r="120" spans="1:7" ht="13.2">
      <c r="A120" s="16"/>
      <c r="B120" s="16"/>
      <c r="C120" s="17"/>
      <c r="D120" s="17"/>
      <c r="F120" s="16"/>
      <c r="G120" s="16"/>
    </row>
    <row r="121" spans="1:7" ht="13.2">
      <c r="A121" s="16"/>
      <c r="B121" s="16"/>
      <c r="C121" s="17"/>
      <c r="D121" s="17"/>
      <c r="F121" s="16"/>
      <c r="G121" s="16"/>
    </row>
    <row r="122" spans="1:7" ht="13.2">
      <c r="A122" s="16"/>
      <c r="B122" s="16"/>
      <c r="C122" s="17"/>
      <c r="D122" s="17"/>
      <c r="F122" s="16"/>
      <c r="G122" s="16"/>
    </row>
    <row r="123" spans="1:7" ht="13.2">
      <c r="A123" s="16"/>
      <c r="B123" s="16"/>
      <c r="C123" s="17"/>
      <c r="D123" s="17"/>
      <c r="F123" s="16"/>
      <c r="G123" s="16"/>
    </row>
    <row r="124" spans="1:7" ht="13.2">
      <c r="A124" s="16"/>
      <c r="B124" s="16"/>
      <c r="C124" s="17"/>
      <c r="D124" s="17"/>
      <c r="F124" s="16"/>
      <c r="G124" s="16"/>
    </row>
    <row r="125" spans="1:7" ht="13.2">
      <c r="A125" s="16"/>
      <c r="B125" s="16"/>
      <c r="C125" s="17"/>
      <c r="D125" s="17"/>
      <c r="F125" s="16"/>
      <c r="G125" s="16"/>
    </row>
    <row r="126" spans="1:7" ht="13.2">
      <c r="A126" s="16"/>
      <c r="B126" s="16"/>
      <c r="C126" s="17"/>
      <c r="D126" s="17"/>
      <c r="F126" s="16"/>
      <c r="G126" s="16"/>
    </row>
    <row r="127" spans="1:7" ht="13.2">
      <c r="A127" s="16"/>
      <c r="B127" s="16"/>
      <c r="C127" s="17"/>
      <c r="D127" s="17"/>
      <c r="F127" s="16"/>
      <c r="G127" s="16"/>
    </row>
    <row r="128" spans="1:7" ht="13.2">
      <c r="A128" s="16"/>
      <c r="B128" s="16"/>
      <c r="C128" s="17"/>
      <c r="D128" s="17"/>
      <c r="F128" s="16"/>
      <c r="G128" s="16"/>
    </row>
    <row r="129" spans="1:7" ht="13.2">
      <c r="A129" s="16"/>
      <c r="B129" s="16"/>
      <c r="C129" s="17"/>
      <c r="D129" s="17"/>
      <c r="F129" s="16"/>
      <c r="G129" s="16"/>
    </row>
    <row r="130" spans="1:7" ht="13.2">
      <c r="A130" s="16"/>
      <c r="B130" s="16"/>
      <c r="C130" s="17"/>
      <c r="D130" s="17"/>
      <c r="F130" s="16"/>
      <c r="G130" s="16"/>
    </row>
    <row r="131" spans="1:7" ht="13.2">
      <c r="A131" s="16"/>
      <c r="B131" s="16"/>
      <c r="C131" s="17"/>
      <c r="D131" s="17"/>
      <c r="F131" s="16"/>
      <c r="G131" s="16"/>
    </row>
    <row r="132" spans="1:7" ht="13.2">
      <c r="A132" s="16"/>
      <c r="B132" s="16"/>
      <c r="C132" s="17"/>
      <c r="D132" s="17"/>
      <c r="F132" s="16"/>
      <c r="G132" s="16"/>
    </row>
    <row r="133" spans="1:7" ht="13.2">
      <c r="A133" s="16"/>
      <c r="B133" s="16"/>
      <c r="C133" s="17"/>
      <c r="D133" s="17"/>
      <c r="F133" s="16"/>
      <c r="G133" s="16"/>
    </row>
    <row r="134" spans="1:7" ht="13.2">
      <c r="A134" s="16"/>
      <c r="B134" s="16"/>
      <c r="C134" s="17"/>
      <c r="D134" s="17"/>
      <c r="F134" s="16"/>
      <c r="G134" s="16"/>
    </row>
    <row r="135" spans="1:7" ht="13.2">
      <c r="A135" s="16"/>
      <c r="B135" s="16"/>
      <c r="C135" s="17"/>
      <c r="D135" s="17"/>
      <c r="F135" s="16"/>
      <c r="G135" s="16"/>
    </row>
    <row r="136" spans="1:7" ht="13.2">
      <c r="A136" s="16"/>
      <c r="B136" s="16"/>
      <c r="C136" s="17"/>
      <c r="D136" s="17"/>
      <c r="F136" s="16"/>
      <c r="G136" s="16"/>
    </row>
    <row r="137" spans="1:7" ht="13.2">
      <c r="A137" s="16"/>
      <c r="B137" s="16"/>
      <c r="C137" s="17"/>
      <c r="D137" s="17"/>
      <c r="F137" s="16"/>
      <c r="G137" s="16"/>
    </row>
    <row r="138" spans="1:7" ht="13.2">
      <c r="A138" s="16"/>
      <c r="B138" s="16"/>
      <c r="C138" s="17"/>
      <c r="D138" s="17"/>
      <c r="F138" s="16"/>
      <c r="G138" s="16"/>
    </row>
    <row r="139" spans="1:7" ht="13.2">
      <c r="A139" s="16"/>
      <c r="B139" s="16"/>
      <c r="C139" s="17"/>
      <c r="D139" s="17"/>
      <c r="F139" s="16"/>
      <c r="G139" s="16"/>
    </row>
    <row r="140" spans="1:7" ht="13.2">
      <c r="A140" s="16"/>
      <c r="B140" s="16"/>
      <c r="C140" s="17"/>
      <c r="D140" s="17"/>
      <c r="F140" s="16"/>
      <c r="G140" s="16"/>
    </row>
    <row r="141" spans="1:7" ht="13.2">
      <c r="A141" s="16"/>
      <c r="B141" s="16"/>
      <c r="C141" s="17"/>
      <c r="D141" s="17"/>
      <c r="F141" s="16"/>
      <c r="G141" s="16"/>
    </row>
    <row r="142" spans="1:7" ht="13.2">
      <c r="A142" s="16"/>
      <c r="B142" s="16"/>
      <c r="C142" s="17"/>
      <c r="D142" s="17"/>
      <c r="F142" s="16"/>
      <c r="G142" s="16"/>
    </row>
    <row r="143" spans="1:7" ht="13.2">
      <c r="A143" s="16"/>
      <c r="B143" s="16"/>
      <c r="C143" s="17"/>
      <c r="D143" s="17"/>
      <c r="F143" s="16"/>
      <c r="G143" s="16"/>
    </row>
    <row r="144" spans="1:7" ht="13.2">
      <c r="A144" s="16"/>
      <c r="B144" s="16"/>
      <c r="C144" s="17"/>
      <c r="D144" s="17"/>
      <c r="F144" s="16"/>
      <c r="G144" s="16"/>
    </row>
    <row r="145" spans="1:7" ht="13.2">
      <c r="A145" s="16"/>
      <c r="B145" s="16"/>
      <c r="C145" s="17"/>
      <c r="D145" s="17"/>
      <c r="F145" s="16"/>
      <c r="G145" s="16"/>
    </row>
    <row r="146" spans="1:7" ht="13.2">
      <c r="A146" s="16"/>
      <c r="B146" s="16"/>
      <c r="C146" s="17"/>
      <c r="D146" s="17"/>
      <c r="F146" s="16"/>
      <c r="G146" s="16"/>
    </row>
    <row r="147" spans="1:7" ht="13.2">
      <c r="A147" s="16"/>
      <c r="B147" s="16"/>
      <c r="C147" s="17"/>
      <c r="D147" s="17"/>
      <c r="F147" s="16"/>
      <c r="G147" s="16"/>
    </row>
    <row r="148" spans="1:7" ht="13.2">
      <c r="A148" s="16"/>
      <c r="B148" s="16"/>
      <c r="C148" s="17"/>
      <c r="D148" s="17"/>
      <c r="F148" s="16"/>
      <c r="G148" s="16"/>
    </row>
    <row r="149" spans="1:7" ht="13.2">
      <c r="A149" s="16"/>
      <c r="B149" s="16"/>
      <c r="C149" s="17"/>
      <c r="D149" s="17"/>
      <c r="F149" s="16"/>
      <c r="G149" s="16"/>
    </row>
    <row r="150" spans="1:7" ht="13.2">
      <c r="A150" s="16"/>
      <c r="B150" s="16"/>
      <c r="C150" s="17"/>
      <c r="D150" s="17"/>
      <c r="F150" s="16"/>
      <c r="G150" s="16"/>
    </row>
    <row r="151" spans="1:7" ht="13.2">
      <c r="A151" s="16"/>
      <c r="B151" s="16"/>
      <c r="C151" s="17"/>
      <c r="D151" s="17"/>
      <c r="F151" s="16"/>
      <c r="G151" s="16"/>
    </row>
    <row r="152" spans="1:7" ht="13.2">
      <c r="A152" s="16"/>
      <c r="B152" s="16"/>
      <c r="C152" s="17"/>
      <c r="D152" s="17"/>
      <c r="F152" s="16"/>
      <c r="G152" s="16"/>
    </row>
    <row r="153" spans="1:7" ht="13.2">
      <c r="A153" s="16"/>
      <c r="B153" s="16"/>
      <c r="C153" s="17"/>
      <c r="D153" s="17"/>
      <c r="F153" s="16"/>
      <c r="G153" s="16"/>
    </row>
    <row r="154" spans="1:7" ht="13.2">
      <c r="A154" s="16"/>
      <c r="B154" s="16"/>
      <c r="C154" s="17"/>
      <c r="D154" s="17"/>
      <c r="F154" s="16"/>
      <c r="G154" s="16"/>
    </row>
    <row r="155" spans="1:7" ht="13.2">
      <c r="A155" s="16"/>
      <c r="B155" s="16"/>
      <c r="C155" s="17"/>
      <c r="D155" s="17"/>
      <c r="F155" s="16"/>
      <c r="G155" s="16"/>
    </row>
    <row r="156" spans="1:7" ht="13.2">
      <c r="A156" s="16"/>
      <c r="B156" s="16"/>
      <c r="C156" s="17"/>
      <c r="D156" s="17"/>
      <c r="F156" s="16"/>
      <c r="G156" s="16"/>
    </row>
    <row r="157" spans="1:7" ht="13.2">
      <c r="A157" s="16"/>
      <c r="B157" s="16"/>
      <c r="C157" s="17"/>
      <c r="D157" s="17"/>
      <c r="F157" s="16"/>
      <c r="G157" s="16"/>
    </row>
    <row r="158" spans="1:7" ht="13.2">
      <c r="A158" s="16"/>
      <c r="B158" s="16"/>
      <c r="C158" s="17"/>
      <c r="D158" s="17"/>
      <c r="F158" s="16"/>
      <c r="G158" s="16"/>
    </row>
    <row r="159" spans="1:7" ht="13.2">
      <c r="A159" s="16"/>
      <c r="B159" s="16"/>
      <c r="C159" s="17"/>
      <c r="D159" s="17"/>
      <c r="F159" s="16"/>
      <c r="G159" s="16"/>
    </row>
    <row r="160" spans="1:7" ht="13.2">
      <c r="A160" s="16"/>
      <c r="B160" s="16"/>
      <c r="C160" s="17"/>
      <c r="D160" s="17"/>
      <c r="F160" s="16"/>
      <c r="G160" s="16"/>
    </row>
    <row r="161" spans="1:7" ht="13.2">
      <c r="A161" s="16"/>
      <c r="B161" s="16"/>
      <c r="C161" s="17"/>
      <c r="D161" s="17"/>
      <c r="F161" s="16"/>
      <c r="G161" s="16"/>
    </row>
    <row r="162" spans="1:7" ht="13.2">
      <c r="A162" s="16"/>
      <c r="B162" s="16"/>
      <c r="C162" s="17"/>
      <c r="D162" s="17"/>
      <c r="F162" s="16"/>
      <c r="G162" s="16"/>
    </row>
    <row r="163" spans="1:7" ht="13.2">
      <c r="A163" s="16"/>
      <c r="B163" s="16"/>
      <c r="C163" s="17"/>
      <c r="D163" s="17"/>
      <c r="F163" s="16"/>
      <c r="G163" s="16"/>
    </row>
    <row r="164" spans="1:7" ht="13.2">
      <c r="A164" s="16"/>
      <c r="B164" s="16"/>
      <c r="C164" s="17"/>
      <c r="D164" s="17"/>
      <c r="F164" s="16"/>
      <c r="G164" s="16"/>
    </row>
    <row r="165" spans="1:7" ht="13.2">
      <c r="A165" s="16"/>
      <c r="B165" s="16"/>
      <c r="C165" s="17"/>
      <c r="D165" s="17"/>
      <c r="F165" s="16"/>
      <c r="G165" s="16"/>
    </row>
    <row r="166" spans="1:7" ht="13.2">
      <c r="A166" s="16"/>
      <c r="B166" s="16"/>
      <c r="C166" s="17"/>
      <c r="D166" s="17"/>
      <c r="F166" s="16"/>
      <c r="G166" s="16"/>
    </row>
    <row r="167" spans="1:7" ht="13.2">
      <c r="A167" s="16"/>
      <c r="B167" s="16"/>
      <c r="C167" s="17"/>
      <c r="D167" s="17"/>
      <c r="F167" s="16"/>
      <c r="G167" s="16"/>
    </row>
    <row r="168" spans="1:7" ht="13.2">
      <c r="A168" s="16"/>
      <c r="B168" s="16"/>
      <c r="C168" s="17"/>
      <c r="D168" s="17"/>
      <c r="F168" s="16"/>
      <c r="G168" s="16"/>
    </row>
    <row r="169" spans="1:7" ht="13.2">
      <c r="A169" s="16"/>
      <c r="B169" s="16"/>
      <c r="C169" s="17"/>
      <c r="D169" s="17"/>
      <c r="F169" s="16"/>
      <c r="G169" s="16"/>
    </row>
    <row r="170" spans="1:7" ht="13.2">
      <c r="A170" s="16"/>
      <c r="B170" s="16"/>
      <c r="C170" s="17"/>
      <c r="D170" s="17"/>
      <c r="F170" s="16"/>
      <c r="G170" s="16"/>
    </row>
    <row r="171" spans="1:7" ht="13.2">
      <c r="A171" s="16"/>
      <c r="B171" s="16"/>
      <c r="C171" s="17"/>
      <c r="D171" s="17"/>
      <c r="F171" s="16"/>
      <c r="G171" s="16"/>
    </row>
    <row r="172" spans="1:7" ht="13.2">
      <c r="A172" s="16"/>
      <c r="B172" s="16"/>
      <c r="C172" s="17"/>
      <c r="D172" s="17"/>
      <c r="F172" s="16"/>
      <c r="G172" s="16"/>
    </row>
    <row r="173" spans="1:7" ht="13.2">
      <c r="A173" s="16"/>
      <c r="B173" s="16"/>
      <c r="C173" s="17"/>
      <c r="D173" s="17"/>
      <c r="F173" s="16"/>
      <c r="G173" s="16"/>
    </row>
    <row r="174" spans="1:7" ht="13.2">
      <c r="A174" s="16"/>
      <c r="B174" s="16"/>
      <c r="C174" s="17"/>
      <c r="D174" s="17"/>
      <c r="F174" s="16"/>
      <c r="G174" s="16"/>
    </row>
    <row r="175" spans="1:7" ht="13.2">
      <c r="A175" s="16"/>
      <c r="B175" s="16"/>
      <c r="C175" s="17"/>
      <c r="D175" s="17"/>
      <c r="F175" s="16"/>
      <c r="G175" s="16"/>
    </row>
    <row r="176" spans="1:7" ht="13.2">
      <c r="A176" s="16"/>
      <c r="B176" s="16"/>
      <c r="C176" s="17"/>
      <c r="D176" s="17"/>
      <c r="F176" s="16"/>
      <c r="G176" s="16"/>
    </row>
    <row r="177" spans="1:7" ht="13.2">
      <c r="A177" s="16"/>
      <c r="B177" s="16"/>
      <c r="C177" s="17"/>
      <c r="D177" s="17"/>
      <c r="F177" s="16"/>
      <c r="G177" s="16"/>
    </row>
    <row r="178" spans="1:7" ht="13.2">
      <c r="A178" s="16"/>
      <c r="B178" s="16"/>
      <c r="C178" s="17"/>
      <c r="D178" s="17"/>
      <c r="F178" s="16"/>
      <c r="G178" s="16"/>
    </row>
    <row r="179" spans="1:7" ht="13.2">
      <c r="A179" s="16"/>
      <c r="B179" s="16"/>
      <c r="C179" s="17"/>
      <c r="D179" s="17"/>
      <c r="F179" s="16"/>
      <c r="G179" s="16"/>
    </row>
    <row r="180" spans="1:7" ht="13.2">
      <c r="A180" s="16"/>
      <c r="B180" s="16"/>
      <c r="C180" s="17"/>
      <c r="D180" s="17"/>
      <c r="F180" s="16"/>
      <c r="G180" s="16"/>
    </row>
    <row r="181" spans="1:7" ht="13.2">
      <c r="A181" s="16"/>
      <c r="B181" s="16"/>
      <c r="C181" s="17"/>
      <c r="D181" s="17"/>
      <c r="F181" s="16"/>
      <c r="G181" s="16"/>
    </row>
    <row r="182" spans="1:7" ht="13.2">
      <c r="A182" s="16"/>
      <c r="B182" s="16"/>
      <c r="C182" s="17"/>
      <c r="D182" s="17"/>
      <c r="F182" s="16"/>
      <c r="G182" s="16"/>
    </row>
    <row r="183" spans="1:7" ht="13.2">
      <c r="A183" s="16"/>
      <c r="B183" s="16"/>
      <c r="C183" s="17"/>
      <c r="D183" s="17"/>
      <c r="F183" s="16"/>
      <c r="G183" s="16"/>
    </row>
    <row r="184" spans="1:7" ht="13.2">
      <c r="A184" s="16"/>
      <c r="B184" s="16"/>
      <c r="C184" s="17"/>
      <c r="D184" s="17"/>
      <c r="F184" s="16"/>
      <c r="G184" s="16"/>
    </row>
    <row r="185" spans="1:7" ht="13.2">
      <c r="A185" s="16"/>
      <c r="B185" s="16"/>
      <c r="C185" s="17"/>
      <c r="D185" s="17"/>
      <c r="F185" s="16"/>
      <c r="G185" s="16"/>
    </row>
    <row r="186" spans="1:7" ht="13.2">
      <c r="A186" s="16"/>
      <c r="B186" s="16"/>
      <c r="C186" s="17"/>
      <c r="D186" s="17"/>
      <c r="F186" s="16"/>
      <c r="G186" s="16"/>
    </row>
    <row r="187" spans="1:7" ht="13.2">
      <c r="A187" s="16"/>
      <c r="B187" s="16"/>
      <c r="C187" s="17"/>
      <c r="D187" s="17"/>
      <c r="F187" s="16"/>
      <c r="G187" s="16"/>
    </row>
    <row r="188" spans="1:7" ht="13.2">
      <c r="A188" s="16"/>
      <c r="B188" s="16"/>
      <c r="C188" s="17"/>
      <c r="D188" s="17"/>
      <c r="F188" s="16"/>
      <c r="G188" s="16"/>
    </row>
    <row r="189" spans="1:7" ht="13.2">
      <c r="A189" s="16"/>
      <c r="B189" s="16"/>
      <c r="C189" s="17"/>
      <c r="D189" s="17"/>
      <c r="F189" s="16"/>
      <c r="G189" s="16"/>
    </row>
    <row r="190" spans="1:7" ht="13.2">
      <c r="A190" s="16"/>
      <c r="B190" s="16"/>
      <c r="C190" s="17"/>
      <c r="D190" s="17"/>
      <c r="F190" s="16"/>
      <c r="G190" s="16"/>
    </row>
    <row r="191" spans="1:7" ht="13.2">
      <c r="A191" s="16"/>
      <c r="B191" s="16"/>
      <c r="C191" s="17"/>
      <c r="D191" s="17"/>
      <c r="F191" s="16"/>
      <c r="G191" s="16"/>
    </row>
    <row r="192" spans="1:7" ht="13.2">
      <c r="A192" s="16"/>
      <c r="B192" s="16"/>
      <c r="C192" s="17"/>
      <c r="D192" s="17"/>
      <c r="F192" s="16"/>
      <c r="G192" s="16"/>
    </row>
    <row r="193" spans="1:7" ht="13.2">
      <c r="A193" s="16"/>
      <c r="B193" s="16"/>
      <c r="C193" s="17"/>
      <c r="D193" s="17"/>
      <c r="F193" s="16"/>
      <c r="G193" s="16"/>
    </row>
    <row r="194" spans="1:7" ht="13.2">
      <c r="A194" s="16"/>
      <c r="B194" s="16"/>
      <c r="C194" s="17"/>
      <c r="D194" s="17"/>
      <c r="F194" s="16"/>
      <c r="G194" s="16"/>
    </row>
    <row r="195" spans="1:7" ht="13.2">
      <c r="A195" s="16"/>
      <c r="B195" s="16"/>
      <c r="C195" s="17"/>
      <c r="D195" s="17"/>
      <c r="F195" s="16"/>
      <c r="G195" s="16"/>
    </row>
    <row r="196" spans="1:7" ht="13.2">
      <c r="A196" s="16"/>
      <c r="B196" s="16"/>
      <c r="C196" s="17"/>
      <c r="D196" s="17"/>
      <c r="F196" s="16"/>
      <c r="G196" s="16"/>
    </row>
    <row r="197" spans="1:7" ht="13.2">
      <c r="A197" s="16"/>
      <c r="B197" s="16"/>
      <c r="C197" s="17"/>
      <c r="D197" s="17"/>
      <c r="F197" s="16"/>
      <c r="G197" s="16"/>
    </row>
    <row r="198" spans="1:7" ht="13.2">
      <c r="A198" s="16"/>
      <c r="B198" s="16"/>
      <c r="C198" s="17"/>
      <c r="D198" s="17"/>
      <c r="F198" s="16"/>
      <c r="G198" s="16"/>
    </row>
    <row r="199" spans="1:7" ht="13.2">
      <c r="A199" s="16"/>
      <c r="B199" s="16"/>
      <c r="C199" s="17"/>
      <c r="D199" s="17"/>
      <c r="F199" s="16"/>
      <c r="G199" s="16"/>
    </row>
    <row r="200" spans="1:7" ht="13.2">
      <c r="A200" s="16"/>
      <c r="B200" s="16"/>
      <c r="C200" s="17"/>
      <c r="D200" s="17"/>
      <c r="F200" s="16"/>
      <c r="G200" s="16"/>
    </row>
    <row r="201" spans="1:7" ht="13.2">
      <c r="A201" s="16"/>
      <c r="B201" s="16"/>
      <c r="C201" s="17"/>
      <c r="D201" s="17"/>
      <c r="F201" s="16"/>
      <c r="G201" s="16"/>
    </row>
    <row r="202" spans="1:7" ht="13.2">
      <c r="A202" s="16"/>
      <c r="B202" s="16"/>
      <c r="C202" s="17"/>
      <c r="D202" s="17"/>
      <c r="F202" s="16"/>
      <c r="G202" s="16"/>
    </row>
    <row r="203" spans="1:7" ht="13.2">
      <c r="A203" s="16"/>
      <c r="B203" s="16"/>
      <c r="C203" s="17"/>
      <c r="D203" s="17"/>
      <c r="F203" s="16"/>
      <c r="G203" s="16"/>
    </row>
    <row r="204" spans="1:7" ht="13.2">
      <c r="A204" s="16"/>
      <c r="B204" s="16"/>
      <c r="C204" s="17"/>
      <c r="D204" s="17"/>
      <c r="F204" s="16"/>
      <c r="G204" s="16"/>
    </row>
    <row r="205" spans="1:7" ht="13.2">
      <c r="A205" s="16"/>
      <c r="B205" s="16"/>
      <c r="C205" s="17"/>
      <c r="D205" s="17"/>
      <c r="F205" s="16"/>
      <c r="G205" s="16"/>
    </row>
    <row r="206" spans="1:7" ht="13.2">
      <c r="A206" s="16"/>
      <c r="B206" s="16"/>
      <c r="C206" s="17"/>
      <c r="D206" s="17"/>
      <c r="F206" s="16"/>
      <c r="G206" s="16"/>
    </row>
    <row r="207" spans="1:7" ht="13.2">
      <c r="A207" s="16"/>
      <c r="B207" s="16"/>
      <c r="C207" s="17"/>
      <c r="D207" s="17"/>
      <c r="F207" s="16"/>
      <c r="G207" s="16"/>
    </row>
    <row r="208" spans="1:7" ht="13.2">
      <c r="A208" s="16"/>
      <c r="B208" s="16"/>
      <c r="C208" s="17"/>
      <c r="D208" s="17"/>
      <c r="F208" s="16"/>
      <c r="G208" s="16"/>
    </row>
    <row r="209" spans="1:7" ht="13.2">
      <c r="A209" s="16"/>
      <c r="B209" s="16"/>
      <c r="C209" s="17"/>
      <c r="D209" s="17"/>
      <c r="F209" s="16"/>
      <c r="G209" s="16"/>
    </row>
    <row r="210" spans="1:7" ht="13.2">
      <c r="A210" s="16"/>
      <c r="B210" s="16"/>
      <c r="C210" s="17"/>
      <c r="D210" s="17"/>
      <c r="F210" s="16"/>
      <c r="G210" s="16"/>
    </row>
    <row r="211" spans="1:7" ht="13.2">
      <c r="A211" s="16"/>
      <c r="B211" s="16"/>
      <c r="C211" s="17"/>
      <c r="D211" s="17"/>
      <c r="F211" s="16"/>
      <c r="G211" s="16"/>
    </row>
    <row r="212" spans="1:7" ht="13.2">
      <c r="A212" s="16"/>
      <c r="B212" s="16"/>
      <c r="C212" s="17"/>
      <c r="D212" s="17"/>
      <c r="F212" s="16"/>
      <c r="G212" s="16"/>
    </row>
    <row r="213" spans="1:7" ht="13.2">
      <c r="A213" s="16"/>
      <c r="B213" s="16"/>
      <c r="C213" s="17"/>
      <c r="D213" s="17"/>
      <c r="F213" s="16"/>
      <c r="G213" s="16"/>
    </row>
    <row r="214" spans="1:7" ht="13.2">
      <c r="A214" s="16"/>
      <c r="B214" s="16"/>
      <c r="C214" s="17"/>
      <c r="D214" s="17"/>
      <c r="F214" s="16"/>
      <c r="G214" s="16"/>
    </row>
    <row r="215" spans="1:7" ht="13.2">
      <c r="A215" s="16"/>
      <c r="B215" s="16"/>
      <c r="C215" s="17"/>
      <c r="D215" s="17"/>
      <c r="F215" s="16"/>
      <c r="G215" s="16"/>
    </row>
    <row r="216" spans="1:7" ht="13.2">
      <c r="A216" s="16"/>
      <c r="B216" s="16"/>
      <c r="C216" s="17"/>
      <c r="D216" s="17"/>
      <c r="F216" s="16"/>
      <c r="G216" s="16"/>
    </row>
    <row r="217" spans="1:7" ht="13.2">
      <c r="A217" s="16"/>
      <c r="B217" s="16"/>
      <c r="C217" s="17"/>
      <c r="D217" s="17"/>
      <c r="F217" s="16"/>
      <c r="G217" s="16"/>
    </row>
    <row r="218" spans="1:7" ht="13.2">
      <c r="A218" s="16"/>
      <c r="B218" s="16"/>
      <c r="C218" s="17"/>
      <c r="D218" s="17"/>
      <c r="F218" s="16"/>
      <c r="G218" s="16"/>
    </row>
    <row r="219" spans="1:7" ht="13.2">
      <c r="A219" s="16"/>
      <c r="B219" s="16"/>
      <c r="C219" s="17"/>
      <c r="D219" s="17"/>
      <c r="F219" s="16"/>
      <c r="G219" s="16"/>
    </row>
    <row r="220" spans="1:7" ht="13.2">
      <c r="A220" s="16"/>
      <c r="B220" s="16"/>
      <c r="C220" s="17"/>
      <c r="D220" s="17"/>
      <c r="F220" s="16"/>
      <c r="G220" s="16"/>
    </row>
    <row r="221" spans="1:7" ht="13.2">
      <c r="A221" s="16"/>
      <c r="B221" s="16"/>
      <c r="C221" s="17"/>
      <c r="D221" s="17"/>
      <c r="F221" s="16"/>
      <c r="G221" s="16"/>
    </row>
    <row r="222" spans="1:7" ht="13.2">
      <c r="A222" s="16"/>
      <c r="B222" s="16"/>
      <c r="C222" s="17"/>
      <c r="D222" s="17"/>
      <c r="F222" s="16"/>
      <c r="G222" s="16"/>
    </row>
    <row r="223" spans="1:7" ht="13.2">
      <c r="A223" s="16"/>
      <c r="B223" s="16"/>
      <c r="C223" s="17"/>
      <c r="D223" s="17"/>
      <c r="F223" s="16"/>
      <c r="G223" s="16"/>
    </row>
    <row r="224" spans="1:7" ht="13.2">
      <c r="A224" s="16"/>
      <c r="B224" s="16"/>
      <c r="C224" s="17"/>
      <c r="D224" s="17"/>
      <c r="F224" s="16"/>
      <c r="G224" s="16"/>
    </row>
    <row r="225" spans="1:7" ht="13.2">
      <c r="A225" s="16"/>
      <c r="B225" s="16"/>
      <c r="C225" s="17"/>
      <c r="D225" s="17"/>
      <c r="F225" s="16"/>
      <c r="G225" s="16"/>
    </row>
    <row r="226" spans="1:7" ht="13.2">
      <c r="A226" s="16"/>
      <c r="B226" s="16"/>
      <c r="C226" s="17"/>
      <c r="D226" s="17"/>
      <c r="F226" s="16"/>
      <c r="G226" s="16"/>
    </row>
    <row r="227" spans="1:7" ht="13.2">
      <c r="A227" s="16"/>
      <c r="B227" s="16"/>
      <c r="C227" s="17"/>
      <c r="D227" s="17"/>
      <c r="F227" s="16"/>
      <c r="G227" s="16"/>
    </row>
    <row r="228" spans="1:7" ht="13.2">
      <c r="A228" s="16"/>
      <c r="B228" s="16"/>
      <c r="C228" s="17"/>
      <c r="D228" s="17"/>
      <c r="F228" s="16"/>
      <c r="G228" s="16"/>
    </row>
    <row r="229" spans="1:7" ht="13.2">
      <c r="A229" s="16"/>
      <c r="B229" s="16"/>
      <c r="C229" s="17"/>
      <c r="D229" s="17"/>
      <c r="F229" s="16"/>
      <c r="G229" s="16"/>
    </row>
    <row r="230" spans="1:7" ht="13.2">
      <c r="A230" s="16"/>
      <c r="B230" s="16"/>
      <c r="C230" s="17"/>
      <c r="D230" s="17"/>
      <c r="F230" s="16"/>
      <c r="G230" s="16"/>
    </row>
    <row r="231" spans="1:7" ht="13.2">
      <c r="A231" s="16"/>
      <c r="B231" s="16"/>
      <c r="C231" s="17"/>
      <c r="D231" s="17"/>
      <c r="F231" s="16"/>
      <c r="G231" s="16"/>
    </row>
    <row r="232" spans="1:7" ht="13.2">
      <c r="A232" s="16"/>
      <c r="B232" s="16"/>
      <c r="C232" s="17"/>
      <c r="D232" s="17"/>
      <c r="F232" s="16"/>
      <c r="G232" s="16"/>
    </row>
    <row r="233" spans="1:7" ht="13.2">
      <c r="A233" s="16"/>
      <c r="B233" s="16"/>
      <c r="C233" s="17"/>
      <c r="D233" s="17"/>
      <c r="F233" s="16"/>
      <c r="G233" s="16"/>
    </row>
    <row r="234" spans="1:7" ht="13.2">
      <c r="A234" s="16"/>
      <c r="B234" s="16"/>
      <c r="C234" s="17"/>
      <c r="D234" s="17"/>
      <c r="F234" s="16"/>
      <c r="G234" s="16"/>
    </row>
    <row r="235" spans="1:7" ht="13.2">
      <c r="A235" s="16"/>
      <c r="B235" s="16"/>
      <c r="C235" s="17"/>
      <c r="D235" s="17"/>
      <c r="F235" s="16"/>
      <c r="G235" s="16"/>
    </row>
    <row r="236" spans="1:7" ht="13.2">
      <c r="A236" s="16"/>
      <c r="B236" s="16"/>
      <c r="C236" s="17"/>
      <c r="D236" s="17"/>
      <c r="F236" s="16"/>
      <c r="G236" s="16"/>
    </row>
    <row r="237" spans="1:7" ht="13.2">
      <c r="A237" s="16"/>
      <c r="B237" s="16"/>
      <c r="C237" s="17"/>
      <c r="D237" s="17"/>
      <c r="F237" s="16"/>
      <c r="G237" s="16"/>
    </row>
    <row r="238" spans="1:7" ht="13.2">
      <c r="A238" s="16"/>
      <c r="B238" s="16"/>
      <c r="C238" s="17"/>
      <c r="D238" s="17"/>
      <c r="F238" s="16"/>
      <c r="G238" s="16"/>
    </row>
    <row r="239" spans="1:7" ht="13.2">
      <c r="A239" s="16"/>
      <c r="B239" s="16"/>
      <c r="C239" s="17"/>
      <c r="D239" s="17"/>
      <c r="F239" s="16"/>
      <c r="G239" s="16"/>
    </row>
    <row r="240" spans="1:7" ht="13.2">
      <c r="A240" s="16"/>
      <c r="B240" s="16"/>
      <c r="C240" s="17"/>
      <c r="D240" s="17"/>
      <c r="F240" s="16"/>
      <c r="G240" s="16"/>
    </row>
    <row r="241" spans="1:7" ht="13.2">
      <c r="A241" s="16"/>
      <c r="B241" s="16"/>
      <c r="C241" s="17"/>
      <c r="D241" s="17"/>
      <c r="F241" s="16"/>
      <c r="G241" s="16"/>
    </row>
    <row r="242" spans="1:7" ht="13.2">
      <c r="A242" s="16"/>
      <c r="B242" s="16"/>
      <c r="C242" s="17"/>
      <c r="D242" s="17"/>
      <c r="F242" s="16"/>
      <c r="G242" s="16"/>
    </row>
    <row r="243" spans="1:7" ht="13.2">
      <c r="A243" s="16"/>
      <c r="B243" s="16"/>
      <c r="C243" s="17"/>
      <c r="D243" s="17"/>
      <c r="F243" s="16"/>
      <c r="G243" s="16"/>
    </row>
    <row r="244" spans="1:7" ht="13.2">
      <c r="A244" s="16"/>
      <c r="B244" s="16"/>
      <c r="C244" s="17"/>
      <c r="D244" s="17"/>
      <c r="F244" s="16"/>
      <c r="G244" s="16"/>
    </row>
    <row r="245" spans="1:7" ht="13.2">
      <c r="A245" s="16"/>
      <c r="B245" s="16"/>
      <c r="C245" s="17"/>
      <c r="D245" s="17"/>
      <c r="F245" s="16"/>
      <c r="G245" s="16"/>
    </row>
    <row r="246" spans="1:7" ht="13.2">
      <c r="A246" s="16"/>
      <c r="B246" s="16"/>
      <c r="C246" s="17"/>
      <c r="D246" s="17"/>
      <c r="F246" s="16"/>
      <c r="G246" s="16"/>
    </row>
    <row r="247" spans="1:7" ht="13.2">
      <c r="A247" s="16"/>
      <c r="B247" s="16"/>
      <c r="C247" s="17"/>
      <c r="D247" s="17"/>
      <c r="F247" s="16"/>
      <c r="G247" s="16"/>
    </row>
    <row r="248" spans="1:7" ht="13.2">
      <c r="A248" s="16"/>
      <c r="B248" s="16"/>
      <c r="C248" s="17"/>
      <c r="D248" s="17"/>
      <c r="F248" s="16"/>
      <c r="G248" s="16"/>
    </row>
    <row r="249" spans="1:7" ht="13.2">
      <c r="A249" s="16"/>
      <c r="B249" s="16"/>
      <c r="C249" s="17"/>
      <c r="D249" s="17"/>
      <c r="F249" s="16"/>
      <c r="G249" s="16"/>
    </row>
    <row r="250" spans="1:7" ht="13.2">
      <c r="A250" s="16"/>
      <c r="B250" s="16"/>
      <c r="C250" s="17"/>
      <c r="D250" s="17"/>
      <c r="F250" s="16"/>
      <c r="G250" s="16"/>
    </row>
    <row r="251" spans="1:7" ht="13.2">
      <c r="A251" s="16"/>
      <c r="B251" s="16"/>
      <c r="C251" s="17"/>
      <c r="D251" s="17"/>
      <c r="F251" s="16"/>
      <c r="G251" s="16"/>
    </row>
    <row r="252" spans="1:7" ht="13.2">
      <c r="A252" s="16"/>
      <c r="B252" s="16"/>
      <c r="C252" s="17"/>
      <c r="D252" s="17"/>
      <c r="F252" s="16"/>
      <c r="G252" s="16"/>
    </row>
    <row r="253" spans="1:7" ht="13.2">
      <c r="A253" s="16"/>
      <c r="B253" s="16"/>
      <c r="C253" s="17"/>
      <c r="D253" s="17"/>
      <c r="F253" s="16"/>
      <c r="G253" s="16"/>
    </row>
    <row r="254" spans="1:7" ht="13.2">
      <c r="A254" s="16"/>
      <c r="B254" s="16"/>
      <c r="C254" s="17"/>
      <c r="D254" s="17"/>
      <c r="F254" s="16"/>
      <c r="G254" s="16"/>
    </row>
    <row r="255" spans="1:7" ht="13.2">
      <c r="A255" s="16"/>
      <c r="B255" s="16"/>
      <c r="C255" s="17"/>
      <c r="D255" s="17"/>
      <c r="F255" s="16"/>
      <c r="G255" s="16"/>
    </row>
    <row r="256" spans="1:7" ht="13.2">
      <c r="A256" s="16"/>
      <c r="B256" s="16"/>
      <c r="C256" s="17"/>
      <c r="D256" s="17"/>
      <c r="F256" s="16"/>
      <c r="G256" s="16"/>
    </row>
    <row r="257" spans="1:7" ht="13.2">
      <c r="A257" s="16"/>
      <c r="B257" s="16"/>
      <c r="C257" s="17"/>
      <c r="D257" s="17"/>
      <c r="F257" s="16"/>
      <c r="G257" s="16"/>
    </row>
    <row r="258" spans="1:7" ht="13.2">
      <c r="A258" s="16"/>
      <c r="B258" s="16"/>
      <c r="C258" s="17"/>
      <c r="D258" s="17"/>
      <c r="F258" s="16"/>
      <c r="G258" s="16"/>
    </row>
    <row r="259" spans="1:7" ht="13.2">
      <c r="A259" s="16"/>
      <c r="B259" s="16"/>
      <c r="C259" s="17"/>
      <c r="D259" s="17"/>
      <c r="F259" s="16"/>
      <c r="G259" s="16"/>
    </row>
    <row r="260" spans="1:7" ht="13.2">
      <c r="A260" s="16"/>
      <c r="B260" s="16"/>
      <c r="C260" s="17"/>
      <c r="D260" s="17"/>
      <c r="F260" s="16"/>
      <c r="G260" s="16"/>
    </row>
    <row r="261" spans="1:7" ht="13.2">
      <c r="A261" s="16"/>
      <c r="B261" s="16"/>
      <c r="C261" s="17"/>
      <c r="D261" s="17"/>
      <c r="F261" s="16"/>
      <c r="G261" s="16"/>
    </row>
    <row r="262" spans="1:7" ht="13.2">
      <c r="A262" s="16"/>
      <c r="B262" s="16"/>
      <c r="C262" s="17"/>
      <c r="D262" s="17"/>
      <c r="F262" s="16"/>
      <c r="G262" s="16"/>
    </row>
    <row r="263" spans="1:7" ht="13.2">
      <c r="A263" s="16"/>
      <c r="B263" s="16"/>
      <c r="C263" s="17"/>
      <c r="D263" s="17"/>
      <c r="F263" s="16"/>
      <c r="G263" s="16"/>
    </row>
    <row r="264" spans="1:7" ht="13.2">
      <c r="A264" s="16"/>
      <c r="B264" s="16"/>
      <c r="C264" s="17"/>
      <c r="D264" s="17"/>
      <c r="F264" s="16"/>
      <c r="G264" s="16"/>
    </row>
    <row r="265" spans="1:7" ht="13.2">
      <c r="A265" s="16"/>
      <c r="B265" s="16"/>
      <c r="C265" s="17"/>
      <c r="D265" s="17"/>
      <c r="F265" s="16"/>
      <c r="G265" s="16"/>
    </row>
    <row r="266" spans="1:7" ht="13.2">
      <c r="A266" s="16"/>
      <c r="B266" s="16"/>
      <c r="C266" s="17"/>
      <c r="D266" s="17"/>
      <c r="F266" s="16"/>
      <c r="G266" s="16"/>
    </row>
    <row r="267" spans="1:7" ht="13.2">
      <c r="A267" s="16"/>
      <c r="B267" s="16"/>
      <c r="C267" s="17"/>
      <c r="D267" s="17"/>
      <c r="F267" s="16"/>
      <c r="G267" s="16"/>
    </row>
    <row r="268" spans="1:7" ht="13.2">
      <c r="A268" s="16"/>
      <c r="B268" s="16"/>
      <c r="C268" s="17"/>
      <c r="D268" s="17"/>
      <c r="F268" s="16"/>
      <c r="G268" s="16"/>
    </row>
    <row r="269" spans="1:7" ht="13.2">
      <c r="A269" s="16"/>
      <c r="B269" s="16"/>
      <c r="C269" s="17"/>
      <c r="D269" s="17"/>
      <c r="F269" s="16"/>
      <c r="G269" s="16"/>
    </row>
    <row r="270" spans="1:7" ht="13.2">
      <c r="A270" s="16"/>
      <c r="B270" s="16"/>
      <c r="C270" s="17"/>
      <c r="D270" s="17"/>
      <c r="F270" s="16"/>
      <c r="G270" s="16"/>
    </row>
    <row r="271" spans="1:7" ht="13.2">
      <c r="A271" s="16"/>
      <c r="B271" s="16"/>
      <c r="C271" s="17"/>
      <c r="D271" s="17"/>
      <c r="F271" s="16"/>
      <c r="G271" s="16"/>
    </row>
    <row r="272" spans="1:7" ht="13.2">
      <c r="A272" s="16"/>
      <c r="B272" s="16"/>
      <c r="C272" s="17"/>
      <c r="D272" s="17"/>
      <c r="F272" s="16"/>
      <c r="G272" s="16"/>
    </row>
    <row r="273" spans="1:7" ht="13.2">
      <c r="A273" s="16"/>
      <c r="B273" s="16"/>
      <c r="C273" s="17"/>
      <c r="D273" s="17"/>
      <c r="F273" s="16"/>
      <c r="G273" s="16"/>
    </row>
    <row r="274" spans="1:7" ht="13.2">
      <c r="A274" s="16"/>
      <c r="B274" s="16"/>
      <c r="C274" s="17"/>
      <c r="D274" s="17"/>
      <c r="F274" s="16"/>
      <c r="G274" s="16"/>
    </row>
    <row r="275" spans="1:7" ht="13.2">
      <c r="A275" s="16"/>
      <c r="B275" s="16"/>
      <c r="C275" s="17"/>
      <c r="D275" s="17"/>
      <c r="F275" s="16"/>
      <c r="G275" s="16"/>
    </row>
    <row r="276" spans="1:7" ht="13.2">
      <c r="A276" s="16"/>
      <c r="B276" s="16"/>
      <c r="C276" s="17"/>
      <c r="D276" s="17"/>
      <c r="F276" s="16"/>
      <c r="G276" s="16"/>
    </row>
    <row r="277" spans="1:7" ht="13.2">
      <c r="A277" s="16"/>
      <c r="B277" s="16"/>
      <c r="C277" s="17"/>
      <c r="D277" s="17"/>
      <c r="F277" s="16"/>
      <c r="G277" s="16"/>
    </row>
    <row r="278" spans="1:7" ht="13.2">
      <c r="A278" s="16"/>
      <c r="B278" s="16"/>
      <c r="C278" s="17"/>
      <c r="D278" s="17"/>
      <c r="F278" s="16"/>
      <c r="G278" s="16"/>
    </row>
    <row r="279" spans="1:7" ht="13.2">
      <c r="A279" s="16"/>
      <c r="B279" s="16"/>
      <c r="C279" s="17"/>
      <c r="D279" s="17"/>
      <c r="F279" s="16"/>
      <c r="G279" s="16"/>
    </row>
    <row r="280" spans="1:7" ht="13.2">
      <c r="A280" s="16"/>
      <c r="B280" s="16"/>
      <c r="C280" s="17"/>
      <c r="D280" s="17"/>
      <c r="F280" s="16"/>
      <c r="G280" s="16"/>
    </row>
    <row r="281" spans="1:7" ht="13.2">
      <c r="A281" s="16"/>
      <c r="B281" s="16"/>
      <c r="C281" s="17"/>
      <c r="D281" s="17"/>
      <c r="F281" s="16"/>
      <c r="G281" s="16"/>
    </row>
    <row r="282" spans="1:7" ht="13.2">
      <c r="A282" s="16"/>
      <c r="B282" s="16"/>
      <c r="C282" s="17"/>
      <c r="D282" s="17"/>
      <c r="F282" s="16"/>
      <c r="G282" s="16"/>
    </row>
    <row r="283" spans="1:7" ht="13.2">
      <c r="A283" s="16"/>
      <c r="B283" s="16"/>
      <c r="C283" s="17"/>
      <c r="D283" s="17"/>
      <c r="F283" s="16"/>
      <c r="G283" s="16"/>
    </row>
    <row r="284" spans="1:7" ht="13.2">
      <c r="A284" s="16"/>
      <c r="B284" s="16"/>
      <c r="C284" s="17"/>
      <c r="D284" s="17"/>
      <c r="F284" s="16"/>
      <c r="G284" s="16"/>
    </row>
    <row r="285" spans="1:7" ht="13.2">
      <c r="A285" s="16"/>
      <c r="B285" s="16"/>
      <c r="C285" s="17"/>
      <c r="D285" s="17"/>
      <c r="F285" s="16"/>
      <c r="G285" s="16"/>
    </row>
    <row r="286" spans="1:7" ht="13.2">
      <c r="A286" s="16"/>
      <c r="B286" s="16"/>
      <c r="C286" s="17"/>
      <c r="D286" s="17"/>
      <c r="F286" s="16"/>
      <c r="G286" s="16"/>
    </row>
    <row r="287" spans="1:7" ht="13.2">
      <c r="A287" s="16"/>
      <c r="B287" s="16"/>
      <c r="C287" s="17"/>
      <c r="D287" s="17"/>
      <c r="F287" s="16"/>
      <c r="G287" s="16"/>
    </row>
    <row r="288" spans="1:7" ht="13.2">
      <c r="A288" s="16"/>
      <c r="B288" s="16"/>
      <c r="C288" s="17"/>
      <c r="D288" s="17"/>
      <c r="F288" s="16"/>
      <c r="G288" s="16"/>
    </row>
    <row r="289" spans="1:7" ht="13.2">
      <c r="A289" s="16"/>
      <c r="B289" s="16"/>
      <c r="C289" s="17"/>
      <c r="D289" s="17"/>
      <c r="F289" s="16"/>
      <c r="G289" s="16"/>
    </row>
    <row r="290" spans="1:7" ht="13.2">
      <c r="A290" s="16"/>
      <c r="B290" s="16"/>
      <c r="C290" s="17"/>
      <c r="D290" s="17"/>
      <c r="F290" s="16"/>
      <c r="G290" s="16"/>
    </row>
    <row r="291" spans="1:7" ht="13.2">
      <c r="A291" s="16"/>
      <c r="B291" s="16"/>
      <c r="C291" s="17"/>
      <c r="D291" s="17"/>
      <c r="F291" s="16"/>
      <c r="G291" s="16"/>
    </row>
    <row r="292" spans="1:7" ht="13.2">
      <c r="A292" s="16"/>
      <c r="B292" s="16"/>
      <c r="C292" s="17"/>
      <c r="D292" s="17"/>
      <c r="F292" s="16"/>
      <c r="G292" s="16"/>
    </row>
    <row r="293" spans="1:7" ht="13.2">
      <c r="A293" s="16"/>
      <c r="B293" s="16"/>
      <c r="C293" s="17"/>
      <c r="D293" s="17"/>
      <c r="F293" s="16"/>
      <c r="G293" s="16"/>
    </row>
    <row r="294" spans="1:7" ht="13.2">
      <c r="A294" s="16"/>
      <c r="B294" s="16"/>
      <c r="C294" s="17"/>
      <c r="D294" s="17"/>
      <c r="F294" s="16"/>
      <c r="G294" s="16"/>
    </row>
    <row r="295" spans="1:7" ht="13.2">
      <c r="A295" s="16"/>
      <c r="B295" s="16"/>
      <c r="C295" s="17"/>
      <c r="D295" s="17"/>
      <c r="F295" s="16"/>
      <c r="G295" s="16"/>
    </row>
    <row r="296" spans="1:7" ht="13.2">
      <c r="A296" s="16"/>
      <c r="B296" s="16"/>
      <c r="C296" s="17"/>
      <c r="D296" s="17"/>
      <c r="F296" s="16"/>
      <c r="G296" s="16"/>
    </row>
    <row r="297" spans="1:7" ht="13.2">
      <c r="A297" s="16"/>
      <c r="B297" s="16"/>
      <c r="C297" s="17"/>
      <c r="D297" s="17"/>
      <c r="F297" s="16"/>
      <c r="G297" s="16"/>
    </row>
    <row r="298" spans="1:7" ht="13.2">
      <c r="A298" s="16"/>
      <c r="B298" s="16"/>
      <c r="C298" s="17"/>
      <c r="D298" s="17"/>
      <c r="F298" s="16"/>
      <c r="G298" s="16"/>
    </row>
    <row r="299" spans="1:7" ht="13.2">
      <c r="A299" s="16"/>
      <c r="B299" s="16"/>
      <c r="C299" s="17"/>
      <c r="D299" s="17"/>
      <c r="F299" s="16"/>
      <c r="G299" s="16"/>
    </row>
    <row r="300" spans="1:7" ht="13.2">
      <c r="A300" s="16"/>
      <c r="B300" s="16"/>
      <c r="C300" s="17"/>
      <c r="D300" s="17"/>
      <c r="F300" s="16"/>
      <c r="G300" s="16"/>
    </row>
    <row r="301" spans="1:7" ht="13.2">
      <c r="A301" s="16"/>
      <c r="B301" s="16"/>
      <c r="C301" s="17"/>
      <c r="D301" s="17"/>
      <c r="F301" s="16"/>
      <c r="G301" s="16"/>
    </row>
    <row r="302" spans="1:7" ht="13.2">
      <c r="A302" s="16"/>
      <c r="B302" s="16"/>
      <c r="C302" s="17"/>
      <c r="D302" s="17"/>
      <c r="F302" s="16"/>
      <c r="G302" s="16"/>
    </row>
    <row r="303" spans="1:7" ht="13.2">
      <c r="A303" s="16"/>
      <c r="B303" s="16"/>
      <c r="C303" s="17"/>
      <c r="D303" s="17"/>
      <c r="F303" s="16"/>
      <c r="G303" s="16"/>
    </row>
    <row r="304" spans="1:7" ht="13.2">
      <c r="A304" s="16"/>
      <c r="B304" s="16"/>
      <c r="C304" s="17"/>
      <c r="D304" s="17"/>
      <c r="F304" s="16"/>
      <c r="G304" s="16"/>
    </row>
    <row r="305" spans="1:7" ht="13.2">
      <c r="A305" s="16"/>
      <c r="B305" s="16"/>
      <c r="C305" s="17"/>
      <c r="D305" s="17"/>
      <c r="F305" s="16"/>
      <c r="G305" s="16"/>
    </row>
    <row r="306" spans="1:7" ht="13.2">
      <c r="A306" s="16"/>
      <c r="B306" s="16"/>
      <c r="C306" s="17"/>
      <c r="D306" s="17"/>
      <c r="F306" s="16"/>
      <c r="G306" s="16"/>
    </row>
    <row r="307" spans="1:7" ht="13.2">
      <c r="A307" s="16"/>
      <c r="B307" s="16"/>
      <c r="C307" s="17"/>
      <c r="D307" s="17"/>
      <c r="F307" s="16"/>
      <c r="G307" s="16"/>
    </row>
    <row r="308" spans="1:7" ht="13.2">
      <c r="A308" s="16"/>
      <c r="B308" s="16"/>
      <c r="C308" s="17"/>
      <c r="D308" s="17"/>
      <c r="F308" s="16"/>
      <c r="G308" s="16"/>
    </row>
    <row r="309" spans="1:7" ht="13.2">
      <c r="A309" s="16"/>
      <c r="B309" s="16"/>
      <c r="C309" s="17"/>
      <c r="D309" s="17"/>
      <c r="F309" s="16"/>
      <c r="G309" s="16"/>
    </row>
    <row r="310" spans="1:7" ht="13.2">
      <c r="A310" s="16"/>
      <c r="B310" s="16"/>
      <c r="C310" s="17"/>
      <c r="D310" s="17"/>
      <c r="F310" s="16"/>
      <c r="G310" s="16"/>
    </row>
    <row r="311" spans="1:7" ht="13.2">
      <c r="A311" s="16"/>
      <c r="B311" s="16"/>
      <c r="C311" s="17"/>
      <c r="D311" s="17"/>
      <c r="F311" s="16"/>
      <c r="G311" s="16"/>
    </row>
    <row r="312" spans="1:7" ht="13.2">
      <c r="A312" s="16"/>
      <c r="B312" s="16"/>
      <c r="C312" s="17"/>
      <c r="D312" s="17"/>
      <c r="F312" s="16"/>
      <c r="G312" s="16"/>
    </row>
    <row r="313" spans="1:7" ht="13.2">
      <c r="A313" s="16"/>
      <c r="B313" s="16"/>
      <c r="C313" s="17"/>
      <c r="D313" s="17"/>
      <c r="F313" s="16"/>
      <c r="G313" s="16"/>
    </row>
    <row r="314" spans="1:7" ht="13.2">
      <c r="A314" s="16"/>
      <c r="B314" s="16"/>
      <c r="C314" s="17"/>
      <c r="D314" s="17"/>
      <c r="F314" s="16"/>
      <c r="G314" s="16"/>
    </row>
    <row r="315" spans="1:7" ht="13.2">
      <c r="A315" s="16"/>
      <c r="B315" s="16"/>
      <c r="C315" s="17"/>
      <c r="D315" s="17"/>
      <c r="F315" s="16"/>
      <c r="G315" s="16"/>
    </row>
    <row r="316" spans="1:7" ht="13.2">
      <c r="A316" s="16"/>
      <c r="B316" s="16"/>
      <c r="C316" s="17"/>
      <c r="D316" s="17"/>
      <c r="F316" s="16"/>
      <c r="G316" s="16"/>
    </row>
    <row r="317" spans="1:7" ht="13.2">
      <c r="A317" s="16"/>
      <c r="B317" s="16"/>
      <c r="C317" s="17"/>
      <c r="D317" s="17"/>
      <c r="F317" s="16"/>
      <c r="G317" s="16"/>
    </row>
    <row r="318" spans="1:7" ht="13.2">
      <c r="A318" s="16"/>
      <c r="B318" s="16"/>
      <c r="C318" s="17"/>
      <c r="D318" s="17"/>
      <c r="F318" s="16"/>
      <c r="G318" s="16"/>
    </row>
    <row r="319" spans="1:7" ht="13.2">
      <c r="A319" s="16"/>
      <c r="B319" s="16"/>
      <c r="C319" s="17"/>
      <c r="D319" s="17"/>
      <c r="F319" s="16"/>
      <c r="G319" s="16"/>
    </row>
    <row r="320" spans="1:7" ht="13.2">
      <c r="A320" s="16"/>
      <c r="B320" s="16"/>
      <c r="C320" s="17"/>
      <c r="D320" s="17"/>
      <c r="F320" s="16"/>
      <c r="G320" s="16"/>
    </row>
    <row r="321" spans="1:7" ht="13.2">
      <c r="A321" s="16"/>
      <c r="B321" s="16"/>
      <c r="C321" s="17"/>
      <c r="D321" s="17"/>
      <c r="F321" s="16"/>
      <c r="G321" s="16"/>
    </row>
    <row r="322" spans="1:7" ht="13.2">
      <c r="A322" s="16"/>
      <c r="B322" s="16"/>
      <c r="C322" s="17"/>
      <c r="D322" s="17"/>
      <c r="F322" s="16"/>
      <c r="G322" s="16"/>
    </row>
    <row r="323" spans="1:7" ht="13.2">
      <c r="A323" s="16"/>
      <c r="B323" s="16"/>
      <c r="C323" s="17"/>
      <c r="D323" s="17"/>
      <c r="F323" s="16"/>
      <c r="G323" s="16"/>
    </row>
    <row r="324" spans="1:7" ht="13.2">
      <c r="A324" s="16"/>
      <c r="B324" s="16"/>
      <c r="C324" s="17"/>
      <c r="D324" s="17"/>
      <c r="F324" s="16"/>
      <c r="G324" s="16"/>
    </row>
    <row r="325" spans="1:7" ht="13.2">
      <c r="A325" s="16"/>
      <c r="B325" s="16"/>
      <c r="C325" s="17"/>
      <c r="D325" s="17"/>
      <c r="F325" s="16"/>
      <c r="G325" s="16"/>
    </row>
    <row r="326" spans="1:7" ht="13.2">
      <c r="A326" s="16"/>
      <c r="B326" s="16"/>
      <c r="C326" s="17"/>
      <c r="D326" s="17"/>
      <c r="F326" s="16"/>
      <c r="G326" s="16"/>
    </row>
    <row r="327" spans="1:7" ht="13.2">
      <c r="A327" s="16"/>
      <c r="B327" s="16"/>
      <c r="C327" s="17"/>
      <c r="D327" s="17"/>
      <c r="F327" s="16"/>
      <c r="G327" s="16"/>
    </row>
    <row r="328" spans="1:7" ht="13.2">
      <c r="A328" s="16"/>
      <c r="B328" s="16"/>
      <c r="C328" s="17"/>
      <c r="D328" s="17"/>
      <c r="F328" s="16"/>
      <c r="G328" s="16"/>
    </row>
    <row r="329" spans="1:7" ht="13.2">
      <c r="A329" s="16"/>
      <c r="B329" s="16"/>
      <c r="C329" s="17"/>
      <c r="D329" s="17"/>
      <c r="F329" s="16"/>
      <c r="G329" s="16"/>
    </row>
    <row r="330" spans="1:7" ht="13.2">
      <c r="A330" s="16"/>
      <c r="B330" s="16"/>
      <c r="C330" s="17"/>
      <c r="D330" s="17"/>
      <c r="F330" s="16"/>
      <c r="G330" s="16"/>
    </row>
    <row r="331" spans="1:7" ht="13.2">
      <c r="A331" s="16"/>
      <c r="B331" s="16"/>
      <c r="C331" s="17"/>
      <c r="D331" s="17"/>
      <c r="F331" s="16"/>
      <c r="G331" s="16"/>
    </row>
    <row r="332" spans="1:7" ht="13.2">
      <c r="A332" s="16"/>
      <c r="B332" s="16"/>
      <c r="C332" s="17"/>
      <c r="D332" s="17"/>
      <c r="F332" s="16"/>
      <c r="G332" s="16"/>
    </row>
    <row r="333" spans="1:7" ht="13.2">
      <c r="A333" s="16"/>
      <c r="B333" s="16"/>
      <c r="C333" s="17"/>
      <c r="D333" s="17"/>
      <c r="F333" s="16"/>
      <c r="G333" s="16"/>
    </row>
    <row r="334" spans="1:7" ht="13.2">
      <c r="A334" s="16"/>
      <c r="B334" s="16"/>
      <c r="C334" s="17"/>
      <c r="D334" s="17"/>
      <c r="F334" s="16"/>
      <c r="G334" s="16"/>
    </row>
    <row r="335" spans="1:7" ht="13.2">
      <c r="A335" s="16"/>
      <c r="B335" s="16"/>
      <c r="C335" s="17"/>
      <c r="D335" s="17"/>
      <c r="F335" s="16"/>
      <c r="G335" s="16"/>
    </row>
    <row r="336" spans="1:7" ht="13.2">
      <c r="A336" s="16"/>
      <c r="B336" s="16"/>
      <c r="C336" s="17"/>
      <c r="D336" s="17"/>
      <c r="F336" s="16"/>
      <c r="G336" s="16"/>
    </row>
    <row r="337" spans="1:7" ht="13.2">
      <c r="A337" s="16"/>
      <c r="B337" s="16"/>
      <c r="C337" s="17"/>
      <c r="D337" s="17"/>
      <c r="F337" s="16"/>
      <c r="G337" s="16"/>
    </row>
    <row r="338" spans="1:7" ht="13.2">
      <c r="A338" s="16"/>
      <c r="B338" s="16"/>
      <c r="C338" s="17"/>
      <c r="D338" s="17"/>
      <c r="F338" s="16"/>
      <c r="G338" s="16"/>
    </row>
    <row r="339" spans="1:7" ht="13.2">
      <c r="A339" s="16"/>
      <c r="B339" s="16"/>
      <c r="C339" s="17"/>
      <c r="D339" s="17"/>
      <c r="F339" s="16"/>
      <c r="G339" s="16"/>
    </row>
    <row r="340" spans="1:7" ht="13.2">
      <c r="A340" s="16"/>
      <c r="B340" s="16"/>
      <c r="C340" s="17"/>
      <c r="D340" s="17"/>
      <c r="F340" s="16"/>
      <c r="G340" s="16"/>
    </row>
    <row r="341" spans="1:7" ht="13.2">
      <c r="A341" s="16"/>
      <c r="B341" s="16"/>
      <c r="C341" s="17"/>
      <c r="D341" s="17"/>
      <c r="F341" s="16"/>
      <c r="G341" s="16"/>
    </row>
    <row r="342" spans="1:7" ht="13.2">
      <c r="A342" s="16"/>
      <c r="B342" s="16"/>
      <c r="C342" s="17"/>
      <c r="D342" s="17"/>
      <c r="F342" s="16"/>
      <c r="G342" s="16"/>
    </row>
    <row r="343" spans="1:7" ht="13.2">
      <c r="A343" s="16"/>
      <c r="B343" s="16"/>
      <c r="C343" s="17"/>
      <c r="D343" s="17"/>
      <c r="F343" s="16"/>
      <c r="G343" s="16"/>
    </row>
    <row r="344" spans="1:7" ht="13.2">
      <c r="A344" s="16"/>
      <c r="B344" s="16"/>
      <c r="C344" s="17"/>
      <c r="D344" s="17"/>
      <c r="F344" s="16"/>
      <c r="G344" s="16"/>
    </row>
    <row r="345" spans="1:7" ht="13.2">
      <c r="A345" s="16"/>
      <c r="B345" s="16"/>
      <c r="C345" s="17"/>
      <c r="D345" s="17"/>
      <c r="F345" s="16"/>
      <c r="G345" s="16"/>
    </row>
    <row r="346" spans="1:7" ht="13.2">
      <c r="A346" s="16"/>
      <c r="B346" s="16"/>
      <c r="C346" s="17"/>
      <c r="D346" s="17"/>
      <c r="F346" s="16"/>
      <c r="G346" s="16"/>
    </row>
    <row r="347" spans="1:7" ht="13.2">
      <c r="A347" s="16"/>
      <c r="B347" s="16"/>
      <c r="C347" s="17"/>
      <c r="D347" s="17"/>
      <c r="F347" s="16"/>
      <c r="G347" s="16"/>
    </row>
    <row r="348" spans="1:7" ht="13.2">
      <c r="A348" s="16"/>
      <c r="B348" s="16"/>
      <c r="C348" s="17"/>
      <c r="D348" s="17"/>
      <c r="F348" s="16"/>
      <c r="G348" s="16"/>
    </row>
    <row r="349" spans="1:7" ht="13.2">
      <c r="A349" s="16"/>
      <c r="B349" s="16"/>
      <c r="C349" s="17"/>
      <c r="D349" s="17"/>
      <c r="F349" s="16"/>
      <c r="G349" s="16"/>
    </row>
    <row r="350" spans="1:7" ht="13.2">
      <c r="A350" s="16"/>
      <c r="B350" s="16"/>
      <c r="C350" s="17"/>
      <c r="D350" s="17"/>
      <c r="F350" s="16"/>
      <c r="G350" s="16"/>
    </row>
    <row r="351" spans="1:7" ht="13.2">
      <c r="A351" s="16"/>
      <c r="B351" s="16"/>
      <c r="C351" s="17"/>
      <c r="D351" s="17"/>
      <c r="F351" s="16"/>
      <c r="G351" s="16"/>
    </row>
    <row r="352" spans="1:7" ht="13.2">
      <c r="A352" s="16"/>
      <c r="B352" s="16"/>
      <c r="C352" s="17"/>
      <c r="D352" s="17"/>
      <c r="F352" s="16"/>
      <c r="G352" s="16"/>
    </row>
    <row r="353" spans="1:7" ht="13.2">
      <c r="A353" s="16"/>
      <c r="B353" s="16"/>
      <c r="C353" s="17"/>
      <c r="D353" s="17"/>
      <c r="F353" s="16"/>
      <c r="G353" s="16"/>
    </row>
    <row r="354" spans="1:7" ht="13.2">
      <c r="A354" s="16"/>
      <c r="B354" s="16"/>
      <c r="C354" s="17"/>
      <c r="D354" s="17"/>
      <c r="F354" s="16"/>
      <c r="G354" s="16"/>
    </row>
    <row r="355" spans="1:7" ht="13.2">
      <c r="A355" s="16"/>
      <c r="B355" s="16"/>
      <c r="C355" s="17"/>
      <c r="D355" s="17"/>
      <c r="F355" s="16"/>
      <c r="G355" s="16"/>
    </row>
    <row r="356" spans="1:7" ht="13.2">
      <c r="A356" s="16"/>
      <c r="B356" s="16"/>
      <c r="C356" s="17"/>
      <c r="D356" s="17"/>
      <c r="F356" s="16"/>
      <c r="G356" s="16"/>
    </row>
    <row r="357" spans="1:7" ht="13.2">
      <c r="A357" s="16"/>
      <c r="B357" s="16"/>
      <c r="C357" s="17"/>
      <c r="D357" s="17"/>
      <c r="F357" s="16"/>
      <c r="G357" s="16"/>
    </row>
    <row r="358" spans="1:7" ht="13.2">
      <c r="A358" s="16"/>
      <c r="B358" s="16"/>
      <c r="C358" s="17"/>
      <c r="D358" s="17"/>
      <c r="F358" s="16"/>
      <c r="G358" s="16"/>
    </row>
    <row r="359" spans="1:7" ht="13.2">
      <c r="A359" s="16"/>
      <c r="B359" s="16"/>
      <c r="C359" s="17"/>
      <c r="D359" s="17"/>
      <c r="F359" s="16"/>
      <c r="G359" s="16"/>
    </row>
    <row r="360" spans="1:7" ht="13.2">
      <c r="A360" s="16"/>
      <c r="B360" s="16"/>
      <c r="C360" s="17"/>
      <c r="D360" s="17"/>
      <c r="F360" s="16"/>
      <c r="G360" s="16"/>
    </row>
    <row r="361" spans="1:7" ht="13.2">
      <c r="A361" s="16"/>
      <c r="B361" s="16"/>
      <c r="C361" s="17"/>
      <c r="D361" s="17"/>
      <c r="F361" s="16"/>
      <c r="G361" s="16"/>
    </row>
    <row r="362" spans="1:7" ht="13.2">
      <c r="A362" s="16"/>
      <c r="B362" s="16"/>
      <c r="C362" s="17"/>
      <c r="D362" s="17"/>
      <c r="F362" s="16"/>
      <c r="G362" s="16"/>
    </row>
    <row r="363" spans="1:7" ht="13.2">
      <c r="A363" s="16"/>
      <c r="B363" s="16"/>
      <c r="C363" s="17"/>
      <c r="D363" s="17"/>
      <c r="F363" s="16"/>
      <c r="G363" s="16"/>
    </row>
    <row r="364" spans="1:7" ht="13.2">
      <c r="A364" s="16"/>
      <c r="B364" s="16"/>
      <c r="C364" s="17"/>
      <c r="D364" s="17"/>
      <c r="F364" s="16"/>
      <c r="G364" s="16"/>
    </row>
    <row r="365" spans="1:7" ht="13.2">
      <c r="A365" s="16"/>
      <c r="B365" s="16"/>
      <c r="C365" s="17"/>
      <c r="D365" s="17"/>
      <c r="F365" s="16"/>
      <c r="G365" s="16"/>
    </row>
    <row r="366" spans="1:7" ht="13.2">
      <c r="A366" s="16"/>
      <c r="B366" s="16"/>
      <c r="C366" s="17"/>
      <c r="D366" s="17"/>
      <c r="F366" s="16"/>
      <c r="G366" s="16"/>
    </row>
    <row r="367" spans="1:7" ht="13.2">
      <c r="A367" s="16"/>
      <c r="B367" s="16"/>
      <c r="C367" s="17"/>
      <c r="D367" s="17"/>
      <c r="F367" s="16"/>
      <c r="G367" s="16"/>
    </row>
    <row r="368" spans="1:7" ht="13.2">
      <c r="A368" s="16"/>
      <c r="B368" s="16"/>
      <c r="C368" s="17"/>
      <c r="D368" s="17"/>
      <c r="F368" s="16"/>
      <c r="G368" s="16"/>
    </row>
    <row r="369" spans="1:7" ht="13.2">
      <c r="A369" s="16"/>
      <c r="B369" s="16"/>
      <c r="C369" s="17"/>
      <c r="D369" s="17"/>
      <c r="F369" s="16"/>
      <c r="G369" s="16"/>
    </row>
    <row r="370" spans="1:7" ht="13.2">
      <c r="A370" s="16"/>
      <c r="B370" s="16"/>
      <c r="C370" s="17"/>
      <c r="D370" s="17"/>
      <c r="F370" s="16"/>
      <c r="G370" s="16"/>
    </row>
    <row r="371" spans="1:7" ht="13.2">
      <c r="A371" s="16"/>
      <c r="B371" s="16"/>
      <c r="C371" s="17"/>
      <c r="D371" s="17"/>
      <c r="F371" s="16"/>
      <c r="G371" s="16"/>
    </row>
    <row r="372" spans="1:7" ht="13.2">
      <c r="A372" s="16"/>
      <c r="B372" s="16"/>
      <c r="C372" s="17"/>
      <c r="D372" s="17"/>
      <c r="F372" s="16"/>
      <c r="G372" s="16"/>
    </row>
    <row r="373" spans="1:7" ht="13.2">
      <c r="A373" s="16"/>
      <c r="B373" s="16"/>
      <c r="C373" s="17"/>
      <c r="D373" s="17"/>
      <c r="F373" s="16"/>
      <c r="G373" s="16"/>
    </row>
    <row r="374" spans="1:7" ht="13.2">
      <c r="A374" s="16"/>
      <c r="B374" s="16"/>
      <c r="C374" s="17"/>
      <c r="D374" s="17"/>
      <c r="F374" s="16"/>
      <c r="G374" s="16"/>
    </row>
    <row r="375" spans="1:7" ht="13.2">
      <c r="A375" s="16"/>
      <c r="B375" s="16"/>
      <c r="C375" s="17"/>
      <c r="D375" s="17"/>
      <c r="F375" s="16"/>
      <c r="G375" s="16"/>
    </row>
    <row r="376" spans="1:7" ht="13.2">
      <c r="A376" s="16"/>
      <c r="B376" s="16"/>
      <c r="C376" s="17"/>
      <c r="D376" s="17"/>
      <c r="F376" s="16"/>
      <c r="G376" s="16"/>
    </row>
    <row r="377" spans="1:7" ht="13.2">
      <c r="A377" s="16"/>
      <c r="B377" s="16"/>
      <c r="C377" s="17"/>
      <c r="D377" s="17"/>
      <c r="F377" s="16"/>
      <c r="G377" s="16"/>
    </row>
    <row r="378" spans="1:7" ht="13.2">
      <c r="A378" s="16"/>
      <c r="B378" s="16"/>
      <c r="C378" s="17"/>
      <c r="D378" s="17"/>
      <c r="F378" s="16"/>
      <c r="G378" s="16"/>
    </row>
    <row r="379" spans="1:7" ht="13.2">
      <c r="A379" s="16"/>
      <c r="B379" s="16"/>
      <c r="C379" s="17"/>
      <c r="D379" s="17"/>
      <c r="F379" s="16"/>
      <c r="G379" s="16"/>
    </row>
    <row r="380" spans="1:7" ht="13.2">
      <c r="A380" s="16"/>
      <c r="B380" s="16"/>
      <c r="C380" s="17"/>
      <c r="D380" s="17"/>
      <c r="F380" s="16"/>
      <c r="G380" s="16"/>
    </row>
    <row r="381" spans="1:7" ht="13.2">
      <c r="A381" s="16"/>
      <c r="B381" s="16"/>
      <c r="C381" s="17"/>
      <c r="D381" s="17"/>
      <c r="F381" s="16"/>
      <c r="G381" s="16"/>
    </row>
    <row r="382" spans="1:7" ht="13.2">
      <c r="A382" s="16"/>
      <c r="B382" s="16"/>
      <c r="C382" s="17"/>
      <c r="D382" s="17"/>
      <c r="F382" s="16"/>
      <c r="G382" s="16"/>
    </row>
    <row r="383" spans="1:7" ht="13.2">
      <c r="A383" s="16"/>
      <c r="B383" s="16"/>
      <c r="C383" s="17"/>
      <c r="D383" s="17"/>
      <c r="F383" s="16"/>
      <c r="G383" s="16"/>
    </row>
    <row r="384" spans="1:7" ht="13.2">
      <c r="A384" s="16"/>
      <c r="B384" s="16"/>
      <c r="C384" s="17"/>
      <c r="D384" s="17"/>
      <c r="F384" s="16"/>
      <c r="G384" s="16"/>
    </row>
    <row r="385" spans="1:7" ht="13.2">
      <c r="A385" s="16"/>
      <c r="B385" s="16"/>
      <c r="C385" s="17"/>
      <c r="D385" s="17"/>
      <c r="F385" s="16"/>
      <c r="G385" s="16"/>
    </row>
    <row r="386" spans="1:7" ht="13.2">
      <c r="A386" s="16"/>
      <c r="B386" s="16"/>
      <c r="C386" s="17"/>
      <c r="D386" s="17"/>
      <c r="F386" s="16"/>
      <c r="G386" s="16"/>
    </row>
    <row r="387" spans="1:7" ht="13.2">
      <c r="A387" s="16"/>
      <c r="B387" s="16"/>
      <c r="C387" s="17"/>
      <c r="D387" s="17"/>
      <c r="F387" s="16"/>
      <c r="G387" s="16"/>
    </row>
    <row r="388" spans="1:7" ht="13.2">
      <c r="A388" s="16"/>
      <c r="B388" s="16"/>
      <c r="C388" s="17"/>
      <c r="D388" s="17"/>
      <c r="F388" s="16"/>
      <c r="G388" s="16"/>
    </row>
    <row r="389" spans="1:7" ht="13.2">
      <c r="A389" s="16"/>
      <c r="B389" s="16"/>
      <c r="C389" s="17"/>
      <c r="D389" s="17"/>
      <c r="F389" s="16"/>
      <c r="G389" s="16"/>
    </row>
    <row r="390" spans="1:7" ht="13.2">
      <c r="A390" s="16"/>
      <c r="B390" s="16"/>
      <c r="C390" s="17"/>
      <c r="D390" s="17"/>
      <c r="F390" s="16"/>
      <c r="G390" s="16"/>
    </row>
    <row r="391" spans="1:7" ht="13.2">
      <c r="A391" s="16"/>
      <c r="B391" s="16"/>
      <c r="C391" s="17"/>
      <c r="D391" s="17"/>
      <c r="F391" s="16"/>
      <c r="G391" s="16"/>
    </row>
    <row r="392" spans="1:7" ht="13.2">
      <c r="A392" s="16"/>
      <c r="B392" s="16"/>
      <c r="C392" s="17"/>
      <c r="D392" s="17"/>
      <c r="F392" s="16"/>
      <c r="G392" s="16"/>
    </row>
    <row r="393" spans="1:7" ht="13.2">
      <c r="A393" s="16"/>
      <c r="B393" s="16"/>
      <c r="C393" s="17"/>
      <c r="D393" s="17"/>
      <c r="F393" s="16"/>
      <c r="G393" s="16"/>
    </row>
    <row r="394" spans="1:7" ht="13.2">
      <c r="A394" s="16"/>
      <c r="B394" s="16"/>
      <c r="C394" s="17"/>
      <c r="D394" s="17"/>
      <c r="F394" s="16"/>
      <c r="G394" s="16"/>
    </row>
    <row r="395" spans="1:7" ht="13.2">
      <c r="A395" s="16"/>
      <c r="B395" s="16"/>
      <c r="C395" s="17"/>
      <c r="D395" s="17"/>
      <c r="F395" s="16"/>
      <c r="G395" s="16"/>
    </row>
    <row r="396" spans="1:7" ht="13.2">
      <c r="A396" s="16"/>
      <c r="B396" s="16"/>
      <c r="C396" s="17"/>
      <c r="D396" s="17"/>
      <c r="F396" s="16"/>
      <c r="G396" s="16"/>
    </row>
    <row r="397" spans="1:7" ht="13.2">
      <c r="A397" s="16"/>
      <c r="B397" s="16"/>
      <c r="C397" s="17"/>
      <c r="D397" s="17"/>
      <c r="F397" s="16"/>
      <c r="G397" s="16"/>
    </row>
    <row r="398" spans="1:7" ht="13.2">
      <c r="A398" s="16"/>
      <c r="B398" s="16"/>
      <c r="C398" s="17"/>
      <c r="D398" s="17"/>
      <c r="F398" s="16"/>
      <c r="G398" s="16"/>
    </row>
    <row r="399" spans="1:7" ht="13.2">
      <c r="A399" s="16"/>
      <c r="B399" s="16"/>
      <c r="C399" s="17"/>
      <c r="D399" s="17"/>
      <c r="F399" s="16"/>
      <c r="G399" s="16"/>
    </row>
    <row r="400" spans="1:7" ht="13.2">
      <c r="A400" s="16"/>
      <c r="B400" s="16"/>
      <c r="C400" s="17"/>
      <c r="D400" s="17"/>
      <c r="F400" s="16"/>
      <c r="G400" s="16"/>
    </row>
    <row r="401" spans="1:7" ht="13.2">
      <c r="A401" s="16"/>
      <c r="B401" s="16"/>
      <c r="C401" s="17"/>
      <c r="D401" s="17"/>
      <c r="F401" s="16"/>
      <c r="G401" s="16"/>
    </row>
    <row r="402" spans="1:7" ht="13.2">
      <c r="A402" s="16"/>
      <c r="B402" s="16"/>
      <c r="C402" s="17"/>
      <c r="D402" s="17"/>
      <c r="F402" s="16"/>
      <c r="G402" s="16"/>
    </row>
    <row r="403" spans="1:7" ht="13.2">
      <c r="A403" s="16"/>
      <c r="B403" s="16"/>
      <c r="C403" s="17"/>
      <c r="D403" s="17"/>
      <c r="F403" s="16"/>
      <c r="G403" s="16"/>
    </row>
    <row r="404" spans="1:7" ht="13.2">
      <c r="A404" s="16"/>
      <c r="B404" s="16"/>
      <c r="C404" s="17"/>
      <c r="D404" s="17"/>
      <c r="F404" s="16"/>
      <c r="G404" s="16"/>
    </row>
    <row r="405" spans="1:7" ht="13.2">
      <c r="A405" s="16"/>
      <c r="B405" s="16"/>
      <c r="C405" s="17"/>
      <c r="D405" s="17"/>
      <c r="F405" s="16"/>
      <c r="G405" s="16"/>
    </row>
    <row r="406" spans="1:7" ht="13.2">
      <c r="A406" s="16"/>
      <c r="B406" s="16"/>
      <c r="C406" s="17"/>
      <c r="D406" s="17"/>
      <c r="F406" s="16"/>
      <c r="G406" s="16"/>
    </row>
    <row r="407" spans="1:7" ht="13.2">
      <c r="A407" s="16"/>
      <c r="B407" s="16"/>
      <c r="C407" s="17"/>
      <c r="D407" s="17"/>
      <c r="F407" s="16"/>
      <c r="G407" s="16"/>
    </row>
    <row r="408" spans="1:7" ht="13.2">
      <c r="A408" s="16"/>
      <c r="B408" s="16"/>
      <c r="C408" s="17"/>
      <c r="D408" s="17"/>
      <c r="F408" s="16"/>
      <c r="G408" s="16"/>
    </row>
    <row r="409" spans="1:7" ht="13.2">
      <c r="A409" s="16"/>
      <c r="B409" s="16"/>
      <c r="C409" s="17"/>
      <c r="D409" s="17"/>
      <c r="F409" s="16"/>
      <c r="G409" s="16"/>
    </row>
    <row r="410" spans="1:7" ht="13.2">
      <c r="A410" s="16"/>
      <c r="B410" s="16"/>
      <c r="C410" s="17"/>
      <c r="D410" s="17"/>
      <c r="F410" s="16"/>
      <c r="G410" s="16"/>
    </row>
    <row r="411" spans="1:7" ht="13.2">
      <c r="A411" s="16"/>
      <c r="B411" s="16"/>
      <c r="C411" s="17"/>
      <c r="D411" s="17"/>
      <c r="F411" s="16"/>
      <c r="G411" s="16"/>
    </row>
    <row r="412" spans="1:7" ht="13.2">
      <c r="A412" s="16"/>
      <c r="B412" s="16"/>
      <c r="C412" s="17"/>
      <c r="D412" s="17"/>
      <c r="F412" s="16"/>
      <c r="G412" s="16"/>
    </row>
    <row r="413" spans="1:7" ht="13.2">
      <c r="A413" s="16"/>
      <c r="B413" s="16"/>
      <c r="C413" s="17"/>
      <c r="D413" s="17"/>
      <c r="F413" s="16"/>
      <c r="G413" s="16"/>
    </row>
    <row r="414" spans="1:7" ht="13.2">
      <c r="A414" s="16"/>
      <c r="B414" s="16"/>
      <c r="C414" s="17"/>
      <c r="D414" s="17"/>
      <c r="F414" s="16"/>
      <c r="G414" s="16"/>
    </row>
    <row r="415" spans="1:7" ht="13.2">
      <c r="A415" s="16"/>
      <c r="B415" s="16"/>
      <c r="C415" s="17"/>
      <c r="D415" s="17"/>
      <c r="F415" s="16"/>
      <c r="G415" s="16"/>
    </row>
    <row r="416" spans="1:7" ht="13.2">
      <c r="A416" s="16"/>
      <c r="B416" s="16"/>
      <c r="C416" s="17"/>
      <c r="D416" s="17"/>
      <c r="F416" s="16"/>
      <c r="G416" s="16"/>
    </row>
    <row r="417" spans="1:7" ht="13.2">
      <c r="A417" s="16"/>
      <c r="B417" s="16"/>
      <c r="C417" s="17"/>
      <c r="D417" s="17"/>
      <c r="F417" s="16"/>
      <c r="G417" s="16"/>
    </row>
    <row r="418" spans="1:7" ht="13.2">
      <c r="A418" s="16"/>
      <c r="B418" s="16"/>
      <c r="C418" s="17"/>
      <c r="D418" s="17"/>
      <c r="F418" s="16"/>
      <c r="G418" s="16"/>
    </row>
    <row r="419" spans="1:7" ht="13.2">
      <c r="A419" s="16"/>
      <c r="B419" s="16"/>
      <c r="C419" s="17"/>
      <c r="D419" s="17"/>
      <c r="F419" s="16"/>
      <c r="G419" s="16"/>
    </row>
    <row r="420" spans="1:7" ht="13.2">
      <c r="A420" s="16"/>
      <c r="B420" s="16"/>
      <c r="C420" s="17"/>
      <c r="D420" s="17"/>
      <c r="F420" s="16"/>
      <c r="G420" s="16"/>
    </row>
    <row r="421" spans="1:7" ht="13.2">
      <c r="A421" s="16"/>
      <c r="B421" s="16"/>
      <c r="C421" s="17"/>
      <c r="D421" s="17"/>
      <c r="F421" s="16"/>
      <c r="G421" s="16"/>
    </row>
    <row r="422" spans="1:7" ht="13.2">
      <c r="A422" s="16"/>
      <c r="B422" s="16"/>
      <c r="C422" s="17"/>
      <c r="D422" s="17"/>
      <c r="F422" s="16"/>
      <c r="G422" s="16"/>
    </row>
    <row r="423" spans="1:7" ht="13.2">
      <c r="A423" s="16"/>
      <c r="B423" s="16"/>
      <c r="C423" s="17"/>
      <c r="D423" s="17"/>
      <c r="F423" s="16"/>
      <c r="G423" s="16"/>
    </row>
    <row r="424" spans="1:7" ht="13.2">
      <c r="A424" s="16"/>
      <c r="B424" s="16"/>
      <c r="C424" s="17"/>
      <c r="D424" s="17"/>
      <c r="F424" s="16"/>
      <c r="G424" s="16"/>
    </row>
    <row r="425" spans="1:7" ht="13.2">
      <c r="A425" s="16"/>
      <c r="B425" s="16"/>
      <c r="C425" s="17"/>
      <c r="D425" s="17"/>
      <c r="F425" s="16"/>
      <c r="G425" s="16"/>
    </row>
    <row r="426" spans="1:7" ht="13.2">
      <c r="A426" s="16"/>
      <c r="B426" s="16"/>
      <c r="C426" s="17"/>
      <c r="D426" s="17"/>
      <c r="F426" s="16"/>
      <c r="G426" s="16"/>
    </row>
    <row r="427" spans="1:7" ht="13.2">
      <c r="A427" s="16"/>
      <c r="B427" s="16"/>
      <c r="C427" s="17"/>
      <c r="D427" s="17"/>
      <c r="F427" s="16"/>
      <c r="G427" s="16"/>
    </row>
    <row r="428" spans="1:7" ht="13.2">
      <c r="A428" s="16"/>
      <c r="B428" s="16"/>
      <c r="C428" s="17"/>
      <c r="D428" s="17"/>
      <c r="F428" s="16"/>
      <c r="G428" s="16"/>
    </row>
    <row r="429" spans="1:7" ht="13.2">
      <c r="A429" s="16"/>
      <c r="B429" s="16"/>
      <c r="C429" s="17"/>
      <c r="D429" s="17"/>
      <c r="F429" s="16"/>
      <c r="G429" s="16"/>
    </row>
    <row r="430" spans="1:7" ht="13.2">
      <c r="A430" s="16"/>
      <c r="B430" s="16"/>
      <c r="C430" s="17"/>
      <c r="D430" s="17"/>
      <c r="F430" s="16"/>
      <c r="G430" s="16"/>
    </row>
    <row r="431" spans="1:7" ht="13.2">
      <c r="A431" s="16"/>
      <c r="B431" s="16"/>
      <c r="C431" s="17"/>
      <c r="D431" s="17"/>
      <c r="F431" s="16"/>
      <c r="G431" s="16"/>
    </row>
    <row r="432" spans="1:7" ht="13.2">
      <c r="A432" s="16"/>
      <c r="B432" s="16"/>
      <c r="C432" s="17"/>
      <c r="D432" s="17"/>
      <c r="F432" s="16"/>
      <c r="G432" s="16"/>
    </row>
    <row r="433" spans="1:7" ht="13.2">
      <c r="A433" s="16"/>
      <c r="B433" s="16"/>
      <c r="C433" s="17"/>
      <c r="D433" s="17"/>
      <c r="F433" s="16"/>
      <c r="G433" s="16"/>
    </row>
    <row r="434" spans="1:7" ht="13.2">
      <c r="A434" s="16"/>
      <c r="B434" s="16"/>
      <c r="C434" s="17"/>
      <c r="D434" s="17"/>
      <c r="F434" s="16"/>
      <c r="G434" s="16"/>
    </row>
    <row r="435" spans="1:7" ht="13.2">
      <c r="A435" s="16"/>
      <c r="B435" s="16"/>
      <c r="C435" s="17"/>
      <c r="D435" s="17"/>
      <c r="F435" s="16"/>
      <c r="G435" s="16"/>
    </row>
    <row r="436" spans="1:7" ht="13.2">
      <c r="A436" s="16"/>
      <c r="B436" s="16"/>
      <c r="C436" s="17"/>
      <c r="D436" s="17"/>
      <c r="F436" s="16"/>
      <c r="G436" s="16"/>
    </row>
    <row r="437" spans="1:7" ht="13.2">
      <c r="A437" s="16"/>
      <c r="B437" s="16"/>
      <c r="C437" s="17"/>
      <c r="D437" s="17"/>
      <c r="F437" s="16"/>
      <c r="G437" s="16"/>
    </row>
    <row r="438" spans="1:7" ht="13.2">
      <c r="A438" s="16"/>
      <c r="B438" s="16"/>
      <c r="C438" s="17"/>
      <c r="D438" s="17"/>
      <c r="F438" s="16"/>
      <c r="G438" s="16"/>
    </row>
    <row r="439" spans="1:7" ht="13.2">
      <c r="A439" s="16"/>
      <c r="B439" s="16"/>
      <c r="C439" s="17"/>
      <c r="D439" s="17"/>
      <c r="F439" s="16"/>
      <c r="G439" s="16"/>
    </row>
    <row r="440" spans="1:7" ht="13.2">
      <c r="A440" s="16"/>
      <c r="B440" s="16"/>
      <c r="C440" s="17"/>
      <c r="D440" s="17"/>
      <c r="F440" s="16"/>
      <c r="G440" s="16"/>
    </row>
    <row r="441" spans="1:7" ht="13.2">
      <c r="A441" s="16"/>
      <c r="B441" s="16"/>
      <c r="C441" s="17"/>
      <c r="D441" s="17"/>
      <c r="F441" s="16"/>
      <c r="G441" s="16"/>
    </row>
    <row r="442" spans="1:7" ht="13.2">
      <c r="A442" s="16"/>
      <c r="B442" s="16"/>
      <c r="C442" s="17"/>
      <c r="D442" s="17"/>
      <c r="F442" s="16"/>
      <c r="G442" s="16"/>
    </row>
    <row r="443" spans="1:7" ht="13.2">
      <c r="A443" s="16"/>
      <c r="B443" s="16"/>
      <c r="C443" s="17"/>
      <c r="D443" s="17"/>
      <c r="F443" s="16"/>
      <c r="G443" s="16"/>
    </row>
    <row r="444" spans="1:7" ht="13.2">
      <c r="A444" s="16"/>
      <c r="B444" s="16"/>
      <c r="C444" s="17"/>
      <c r="D444" s="17"/>
      <c r="F444" s="16"/>
      <c r="G444" s="16"/>
    </row>
    <row r="445" spans="1:7" ht="13.2">
      <c r="A445" s="16"/>
      <c r="B445" s="16"/>
      <c r="C445" s="17"/>
      <c r="D445" s="17"/>
      <c r="F445" s="16"/>
      <c r="G445" s="16"/>
    </row>
    <row r="446" spans="1:7" ht="13.2">
      <c r="A446" s="16"/>
      <c r="B446" s="16"/>
      <c r="C446" s="17"/>
      <c r="D446" s="17"/>
      <c r="F446" s="16"/>
      <c r="G446" s="16"/>
    </row>
    <row r="447" spans="1:7" ht="13.2">
      <c r="A447" s="16"/>
      <c r="B447" s="16"/>
      <c r="C447" s="17"/>
      <c r="D447" s="17"/>
      <c r="F447" s="16"/>
      <c r="G447" s="16"/>
    </row>
    <row r="448" spans="1:7" ht="13.2">
      <c r="A448" s="16"/>
      <c r="B448" s="16"/>
      <c r="C448" s="17"/>
      <c r="D448" s="17"/>
      <c r="F448" s="16"/>
      <c r="G448" s="16"/>
    </row>
    <row r="449" spans="1:7" ht="13.2">
      <c r="A449" s="16"/>
      <c r="B449" s="16"/>
      <c r="C449" s="17"/>
      <c r="D449" s="17"/>
      <c r="F449" s="16"/>
      <c r="G449" s="16"/>
    </row>
    <row r="450" spans="1:7" ht="13.2">
      <c r="A450" s="16"/>
      <c r="B450" s="16"/>
      <c r="C450" s="17"/>
      <c r="D450" s="17"/>
      <c r="F450" s="16"/>
      <c r="G450" s="16"/>
    </row>
    <row r="451" spans="1:7" ht="13.2">
      <c r="A451" s="16"/>
      <c r="B451" s="16"/>
      <c r="C451" s="17"/>
      <c r="D451" s="17"/>
      <c r="F451" s="16"/>
      <c r="G451" s="16"/>
    </row>
    <row r="452" spans="1:7" ht="13.2">
      <c r="A452" s="16"/>
      <c r="B452" s="16"/>
      <c r="C452" s="17"/>
      <c r="D452" s="17"/>
      <c r="F452" s="16"/>
      <c r="G452" s="16"/>
    </row>
    <row r="453" spans="1:7" ht="13.2">
      <c r="A453" s="16"/>
      <c r="B453" s="16"/>
      <c r="C453" s="17"/>
      <c r="D453" s="17"/>
      <c r="F453" s="16"/>
      <c r="G453" s="16"/>
    </row>
    <row r="454" spans="1:7" ht="13.2">
      <c r="A454" s="16"/>
      <c r="B454" s="16"/>
      <c r="C454" s="17"/>
      <c r="D454" s="17"/>
      <c r="F454" s="16"/>
      <c r="G454" s="16"/>
    </row>
    <row r="455" spans="1:7" ht="13.2">
      <c r="A455" s="16"/>
      <c r="B455" s="16"/>
      <c r="C455" s="17"/>
      <c r="D455" s="17"/>
      <c r="F455" s="16"/>
      <c r="G455" s="16"/>
    </row>
    <row r="456" spans="1:7" ht="13.2">
      <c r="A456" s="16"/>
      <c r="B456" s="16"/>
      <c r="C456" s="17"/>
      <c r="D456" s="17"/>
      <c r="F456" s="16"/>
      <c r="G456" s="16"/>
    </row>
    <row r="457" spans="1:7" ht="13.2">
      <c r="A457" s="16"/>
      <c r="B457" s="16"/>
      <c r="C457" s="17"/>
      <c r="D457" s="17"/>
      <c r="F457" s="16"/>
      <c r="G457" s="16"/>
    </row>
    <row r="458" spans="1:7" ht="13.2">
      <c r="A458" s="16"/>
      <c r="B458" s="16"/>
      <c r="C458" s="17"/>
      <c r="D458" s="17"/>
      <c r="F458" s="16"/>
      <c r="G458" s="16"/>
    </row>
    <row r="459" spans="1:7" ht="13.2">
      <c r="A459" s="16"/>
      <c r="B459" s="16"/>
      <c r="C459" s="17"/>
      <c r="D459" s="17"/>
      <c r="F459" s="16"/>
      <c r="G459" s="16"/>
    </row>
    <row r="460" spans="1:7" ht="13.2">
      <c r="A460" s="16"/>
      <c r="B460" s="16"/>
      <c r="C460" s="17"/>
      <c r="D460" s="17"/>
      <c r="F460" s="16"/>
      <c r="G460" s="16"/>
    </row>
    <row r="461" spans="1:7" ht="13.2">
      <c r="A461" s="16"/>
      <c r="B461" s="16"/>
      <c r="C461" s="17"/>
      <c r="D461" s="17"/>
      <c r="F461" s="16"/>
      <c r="G461" s="16"/>
    </row>
    <row r="462" spans="1:7" ht="13.2">
      <c r="A462" s="16"/>
      <c r="B462" s="16"/>
      <c r="C462" s="17"/>
      <c r="D462" s="17"/>
      <c r="F462" s="16"/>
      <c r="G462" s="16"/>
    </row>
    <row r="463" spans="1:7" ht="13.2">
      <c r="A463" s="16"/>
      <c r="B463" s="16"/>
      <c r="C463" s="17"/>
      <c r="D463" s="17"/>
      <c r="F463" s="16"/>
      <c r="G463" s="16"/>
    </row>
    <row r="464" spans="1:7" ht="13.2">
      <c r="A464" s="16"/>
      <c r="B464" s="16"/>
      <c r="C464" s="17"/>
      <c r="D464" s="17"/>
      <c r="F464" s="16"/>
      <c r="G464" s="16"/>
    </row>
    <row r="465" spans="1:7" ht="13.2">
      <c r="A465" s="16"/>
      <c r="B465" s="16"/>
      <c r="C465" s="17"/>
      <c r="D465" s="17"/>
      <c r="F465" s="16"/>
      <c r="G465" s="16"/>
    </row>
    <row r="466" spans="1:7" ht="13.2">
      <c r="A466" s="16"/>
      <c r="B466" s="16"/>
      <c r="C466" s="17"/>
      <c r="D466" s="17"/>
      <c r="F466" s="16"/>
      <c r="G466" s="16"/>
    </row>
    <row r="467" spans="1:7" ht="13.2">
      <c r="A467" s="16"/>
      <c r="B467" s="16"/>
      <c r="C467" s="17"/>
      <c r="D467" s="17"/>
      <c r="F467" s="16"/>
      <c r="G467" s="16"/>
    </row>
    <row r="468" spans="1:7" ht="13.2">
      <c r="A468" s="16"/>
      <c r="B468" s="16"/>
      <c r="C468" s="17"/>
      <c r="D468" s="17"/>
      <c r="F468" s="16"/>
      <c r="G468" s="16"/>
    </row>
    <row r="469" spans="1:7" ht="13.2">
      <c r="A469" s="16"/>
      <c r="B469" s="16"/>
      <c r="C469" s="17"/>
      <c r="D469" s="17"/>
      <c r="F469" s="16"/>
      <c r="G469" s="16"/>
    </row>
    <row r="470" spans="1:7" ht="13.2">
      <c r="A470" s="16"/>
      <c r="B470" s="16"/>
      <c r="C470" s="17"/>
      <c r="D470" s="17"/>
      <c r="F470" s="16"/>
      <c r="G470" s="16"/>
    </row>
    <row r="471" spans="1:7" ht="13.2">
      <c r="A471" s="16"/>
      <c r="B471" s="16"/>
      <c r="C471" s="17"/>
      <c r="D471" s="17"/>
      <c r="F471" s="16"/>
      <c r="G471" s="16"/>
    </row>
    <row r="472" spans="1:7" ht="13.2">
      <c r="A472" s="16"/>
      <c r="B472" s="16"/>
      <c r="C472" s="17"/>
      <c r="D472" s="17"/>
      <c r="F472" s="16"/>
      <c r="G472" s="16"/>
    </row>
    <row r="473" spans="1:7" ht="13.2">
      <c r="A473" s="16"/>
      <c r="B473" s="16"/>
      <c r="C473" s="17"/>
      <c r="D473" s="17"/>
      <c r="F473" s="16"/>
      <c r="G473" s="16"/>
    </row>
    <row r="474" spans="1:7" ht="13.2">
      <c r="A474" s="16"/>
      <c r="B474" s="16"/>
      <c r="C474" s="17"/>
      <c r="D474" s="17"/>
      <c r="F474" s="16"/>
      <c r="G474" s="16"/>
    </row>
    <row r="475" spans="1:7" ht="13.2">
      <c r="A475" s="16"/>
      <c r="B475" s="16"/>
      <c r="C475" s="17"/>
      <c r="D475" s="17"/>
      <c r="F475" s="16"/>
      <c r="G475" s="16"/>
    </row>
    <row r="476" spans="1:7" ht="13.2">
      <c r="A476" s="16"/>
      <c r="B476" s="16"/>
      <c r="C476" s="17"/>
      <c r="D476" s="17"/>
      <c r="F476" s="16"/>
      <c r="G476" s="16"/>
    </row>
    <row r="477" spans="1:7" ht="13.2">
      <c r="A477" s="16"/>
      <c r="B477" s="16"/>
      <c r="C477" s="17"/>
      <c r="D477" s="17"/>
      <c r="F477" s="16"/>
      <c r="G477" s="16"/>
    </row>
    <row r="478" spans="1:7" ht="13.2">
      <c r="A478" s="16"/>
      <c r="B478" s="16"/>
      <c r="C478" s="17"/>
      <c r="D478" s="17"/>
      <c r="F478" s="16"/>
      <c r="G478" s="16"/>
    </row>
    <row r="479" spans="1:7" ht="13.2">
      <c r="A479" s="16"/>
      <c r="B479" s="16"/>
      <c r="C479" s="17"/>
      <c r="D479" s="17"/>
      <c r="F479" s="16"/>
      <c r="G479" s="16"/>
    </row>
    <row r="480" spans="1:7" ht="13.2">
      <c r="A480" s="16"/>
      <c r="B480" s="16"/>
      <c r="C480" s="17"/>
      <c r="D480" s="17"/>
      <c r="F480" s="16"/>
      <c r="G480" s="16"/>
    </row>
    <row r="481" spans="1:7" ht="13.2">
      <c r="A481" s="16"/>
      <c r="B481" s="16"/>
      <c r="C481" s="17"/>
      <c r="D481" s="17"/>
      <c r="F481" s="16"/>
      <c r="G481" s="16"/>
    </row>
    <row r="482" spans="1:7" ht="13.2">
      <c r="A482" s="16"/>
      <c r="B482" s="16"/>
      <c r="C482" s="17"/>
      <c r="D482" s="17"/>
      <c r="F482" s="16"/>
      <c r="G482" s="16"/>
    </row>
    <row r="483" spans="1:7" ht="13.2">
      <c r="A483" s="16"/>
      <c r="B483" s="16"/>
      <c r="C483" s="17"/>
      <c r="D483" s="17"/>
      <c r="F483" s="16"/>
      <c r="G483" s="16"/>
    </row>
    <row r="484" spans="1:7" ht="13.2">
      <c r="A484" s="16"/>
      <c r="B484" s="16"/>
      <c r="C484" s="17"/>
      <c r="D484" s="17"/>
      <c r="F484" s="16"/>
      <c r="G484" s="16"/>
    </row>
    <row r="485" spans="1:7" ht="13.2">
      <c r="A485" s="16"/>
      <c r="B485" s="16"/>
      <c r="C485" s="17"/>
      <c r="D485" s="17"/>
      <c r="F485" s="16"/>
      <c r="G485" s="16"/>
    </row>
    <row r="486" spans="1:7" ht="13.2">
      <c r="A486" s="16"/>
      <c r="B486" s="16"/>
      <c r="C486" s="17"/>
      <c r="D486" s="17"/>
      <c r="F486" s="16"/>
      <c r="G486" s="16"/>
    </row>
    <row r="487" spans="1:7" ht="13.2">
      <c r="A487" s="16"/>
      <c r="B487" s="16"/>
      <c r="C487" s="17"/>
      <c r="D487" s="17"/>
      <c r="F487" s="16"/>
      <c r="G487" s="16"/>
    </row>
    <row r="488" spans="1:7" ht="13.2">
      <c r="A488" s="16"/>
      <c r="B488" s="16"/>
      <c r="C488" s="17"/>
      <c r="D488" s="17"/>
      <c r="F488" s="16"/>
      <c r="G488" s="16"/>
    </row>
    <row r="489" spans="1:7" ht="13.2">
      <c r="A489" s="16"/>
      <c r="B489" s="16"/>
      <c r="C489" s="17"/>
      <c r="D489" s="17"/>
      <c r="F489" s="16"/>
      <c r="G489" s="16"/>
    </row>
    <row r="490" spans="1:7" ht="13.2">
      <c r="A490" s="16"/>
      <c r="B490" s="16"/>
      <c r="C490" s="17"/>
      <c r="D490" s="17"/>
      <c r="F490" s="16"/>
      <c r="G490" s="16"/>
    </row>
    <row r="491" spans="1:7" ht="13.2">
      <c r="A491" s="16"/>
      <c r="B491" s="16"/>
      <c r="C491" s="17"/>
      <c r="D491" s="17"/>
      <c r="F491" s="16"/>
      <c r="G491" s="16"/>
    </row>
    <row r="492" spans="1:7" ht="13.2">
      <c r="A492" s="16"/>
      <c r="B492" s="16"/>
      <c r="C492" s="17"/>
      <c r="D492" s="17"/>
      <c r="F492" s="16"/>
      <c r="G492" s="16"/>
    </row>
    <row r="493" spans="1:7" ht="13.2">
      <c r="A493" s="16"/>
      <c r="B493" s="16"/>
      <c r="C493" s="17"/>
      <c r="D493" s="17"/>
      <c r="F493" s="16"/>
      <c r="G493" s="16"/>
    </row>
    <row r="494" spans="1:7" ht="13.2">
      <c r="A494" s="16"/>
      <c r="B494" s="16"/>
      <c r="C494" s="17"/>
      <c r="D494" s="17"/>
      <c r="F494" s="16"/>
      <c r="G494" s="16"/>
    </row>
    <row r="495" spans="1:7" ht="13.2">
      <c r="A495" s="16"/>
      <c r="B495" s="16"/>
      <c r="C495" s="17"/>
      <c r="D495" s="17"/>
      <c r="F495" s="16"/>
      <c r="G495" s="16"/>
    </row>
    <row r="496" spans="1:7" ht="13.2">
      <c r="A496" s="16"/>
      <c r="B496" s="16"/>
      <c r="C496" s="17"/>
      <c r="D496" s="17"/>
      <c r="F496" s="16"/>
      <c r="G496" s="16"/>
    </row>
    <row r="497" spans="1:7" ht="13.2">
      <c r="A497" s="16"/>
      <c r="B497" s="16"/>
      <c r="C497" s="17"/>
      <c r="D497" s="17"/>
      <c r="F497" s="16"/>
      <c r="G497" s="16"/>
    </row>
    <row r="498" spans="1:7" ht="13.2">
      <c r="A498" s="16"/>
      <c r="B498" s="16"/>
      <c r="C498" s="17"/>
      <c r="D498" s="17"/>
      <c r="F498" s="16"/>
      <c r="G498" s="16"/>
    </row>
    <row r="499" spans="1:7" ht="13.2">
      <c r="A499" s="16"/>
      <c r="B499" s="16"/>
      <c r="C499" s="17"/>
      <c r="D499" s="17"/>
      <c r="F499" s="16"/>
      <c r="G499" s="16"/>
    </row>
    <row r="500" spans="1:7" ht="13.2">
      <c r="A500" s="16"/>
      <c r="B500" s="16"/>
      <c r="C500" s="17"/>
      <c r="D500" s="17"/>
      <c r="F500" s="16"/>
      <c r="G500" s="16"/>
    </row>
    <row r="501" spans="1:7" ht="13.2">
      <c r="A501" s="16"/>
      <c r="B501" s="16"/>
      <c r="C501" s="17"/>
      <c r="D501" s="17"/>
      <c r="F501" s="16"/>
      <c r="G501" s="16"/>
    </row>
    <row r="502" spans="1:7" ht="13.2">
      <c r="A502" s="16"/>
      <c r="B502" s="16"/>
      <c r="C502" s="17"/>
      <c r="D502" s="17"/>
      <c r="F502" s="16"/>
      <c r="G502" s="16"/>
    </row>
    <row r="503" spans="1:7" ht="13.2">
      <c r="A503" s="16"/>
      <c r="B503" s="16"/>
      <c r="C503" s="17"/>
      <c r="D503" s="17"/>
      <c r="F503" s="16"/>
      <c r="G503" s="16"/>
    </row>
    <row r="504" spans="1:7" ht="13.2">
      <c r="A504" s="16"/>
      <c r="B504" s="16"/>
      <c r="C504" s="17"/>
      <c r="D504" s="17"/>
      <c r="F504" s="16"/>
      <c r="G504" s="16"/>
    </row>
    <row r="505" spans="1:7" ht="13.2">
      <c r="A505" s="16"/>
      <c r="B505" s="16"/>
      <c r="C505" s="17"/>
      <c r="D505" s="17"/>
      <c r="F505" s="16"/>
      <c r="G505" s="16"/>
    </row>
    <row r="506" spans="1:7" ht="13.2">
      <c r="A506" s="16"/>
      <c r="B506" s="16"/>
      <c r="C506" s="17"/>
      <c r="D506" s="17"/>
      <c r="F506" s="16"/>
      <c r="G506" s="16"/>
    </row>
    <row r="507" spans="1:7" ht="13.2">
      <c r="A507" s="16"/>
      <c r="B507" s="16"/>
      <c r="C507" s="17"/>
      <c r="D507" s="17"/>
      <c r="F507" s="16"/>
      <c r="G507" s="16"/>
    </row>
    <row r="508" spans="1:7" ht="13.2">
      <c r="A508" s="16"/>
      <c r="B508" s="16"/>
      <c r="C508" s="17"/>
      <c r="D508" s="17"/>
      <c r="F508" s="16"/>
      <c r="G508" s="16"/>
    </row>
    <row r="509" spans="1:7" ht="13.2">
      <c r="A509" s="16"/>
      <c r="B509" s="16"/>
      <c r="C509" s="17"/>
      <c r="D509" s="17"/>
      <c r="F509" s="16"/>
      <c r="G509" s="16"/>
    </row>
    <row r="510" spans="1:7" ht="13.2">
      <c r="A510" s="16"/>
      <c r="B510" s="16"/>
      <c r="C510" s="17"/>
      <c r="D510" s="17"/>
      <c r="F510" s="16"/>
      <c r="G510" s="16"/>
    </row>
    <row r="511" spans="1:7" ht="13.2">
      <c r="A511" s="16"/>
      <c r="B511" s="16"/>
      <c r="C511" s="17"/>
      <c r="D511" s="17"/>
      <c r="F511" s="16"/>
      <c r="G511" s="16"/>
    </row>
    <row r="512" spans="1:7" ht="13.2">
      <c r="A512" s="16"/>
      <c r="B512" s="16"/>
      <c r="C512" s="17"/>
      <c r="D512" s="17"/>
      <c r="F512" s="16"/>
      <c r="G512" s="16"/>
    </row>
    <row r="513" spans="1:7" ht="13.2">
      <c r="A513" s="16"/>
      <c r="B513" s="16"/>
      <c r="C513" s="17"/>
      <c r="D513" s="17"/>
      <c r="F513" s="16"/>
      <c r="G513" s="16"/>
    </row>
    <row r="514" spans="1:7" ht="13.2">
      <c r="A514" s="16"/>
      <c r="B514" s="16"/>
      <c r="C514" s="17"/>
      <c r="D514" s="17"/>
      <c r="F514" s="16"/>
      <c r="G514" s="16"/>
    </row>
    <row r="515" spans="1:7" ht="13.2">
      <c r="A515" s="16"/>
      <c r="B515" s="16"/>
      <c r="C515" s="17"/>
      <c r="D515" s="17"/>
      <c r="F515" s="16"/>
      <c r="G515" s="16"/>
    </row>
    <row r="516" spans="1:7" ht="13.2">
      <c r="A516" s="16"/>
      <c r="B516" s="16"/>
      <c r="C516" s="17"/>
      <c r="D516" s="17"/>
      <c r="F516" s="16"/>
      <c r="G516" s="16"/>
    </row>
    <row r="517" spans="1:7" ht="13.2">
      <c r="A517" s="16"/>
      <c r="B517" s="16"/>
      <c r="C517" s="17"/>
      <c r="D517" s="17"/>
      <c r="F517" s="16"/>
      <c r="G517" s="16"/>
    </row>
    <row r="518" spans="1:7" ht="13.2">
      <c r="A518" s="16"/>
      <c r="B518" s="16"/>
      <c r="C518" s="17"/>
      <c r="D518" s="17"/>
      <c r="F518" s="16"/>
      <c r="G518" s="16"/>
    </row>
    <row r="519" spans="1:7" ht="13.2">
      <c r="A519" s="16"/>
      <c r="B519" s="16"/>
      <c r="C519" s="17"/>
      <c r="D519" s="17"/>
      <c r="F519" s="16"/>
      <c r="G519" s="16"/>
    </row>
    <row r="520" spans="1:7" ht="13.2">
      <c r="A520" s="16"/>
      <c r="B520" s="16"/>
      <c r="C520" s="17"/>
      <c r="D520" s="17"/>
      <c r="F520" s="16"/>
      <c r="G520" s="16"/>
    </row>
    <row r="521" spans="1:7" ht="13.2">
      <c r="A521" s="16"/>
      <c r="B521" s="16"/>
      <c r="C521" s="17"/>
      <c r="D521" s="17"/>
      <c r="F521" s="16"/>
      <c r="G521" s="16"/>
    </row>
    <row r="522" spans="1:7" ht="13.2">
      <c r="A522" s="16"/>
      <c r="B522" s="16"/>
      <c r="C522" s="17"/>
      <c r="D522" s="17"/>
      <c r="F522" s="16"/>
      <c r="G522" s="16"/>
    </row>
    <row r="523" spans="1:7" ht="13.2">
      <c r="A523" s="16"/>
      <c r="B523" s="16"/>
      <c r="C523" s="17"/>
      <c r="D523" s="17"/>
      <c r="F523" s="16"/>
      <c r="G523" s="16"/>
    </row>
    <row r="524" spans="1:7" ht="13.2">
      <c r="A524" s="16"/>
      <c r="B524" s="16"/>
      <c r="C524" s="17"/>
      <c r="D524" s="17"/>
      <c r="F524" s="16"/>
      <c r="G524" s="16"/>
    </row>
    <row r="525" spans="1:7" ht="13.2">
      <c r="A525" s="16"/>
      <c r="B525" s="16"/>
      <c r="C525" s="17"/>
      <c r="D525" s="17"/>
      <c r="F525" s="16"/>
      <c r="G525" s="16"/>
    </row>
    <row r="526" spans="1:7" ht="13.2">
      <c r="A526" s="16"/>
      <c r="B526" s="16"/>
      <c r="C526" s="17"/>
      <c r="D526" s="17"/>
      <c r="F526" s="16"/>
      <c r="G526" s="16"/>
    </row>
    <row r="527" spans="1:7" ht="13.2">
      <c r="A527" s="16"/>
      <c r="B527" s="16"/>
      <c r="C527" s="17"/>
      <c r="D527" s="17"/>
      <c r="F527" s="16"/>
      <c r="G527" s="16"/>
    </row>
    <row r="528" spans="1:7" ht="13.2">
      <c r="A528" s="16"/>
      <c r="B528" s="16"/>
      <c r="C528" s="17"/>
      <c r="D528" s="17"/>
      <c r="F528" s="16"/>
      <c r="G528" s="16"/>
    </row>
    <row r="529" spans="1:7" ht="13.2">
      <c r="A529" s="16"/>
      <c r="B529" s="16"/>
      <c r="C529" s="17"/>
      <c r="D529" s="17"/>
      <c r="F529" s="16"/>
      <c r="G529" s="16"/>
    </row>
    <row r="530" spans="1:7" ht="13.2">
      <c r="A530" s="16"/>
      <c r="B530" s="16"/>
      <c r="C530" s="17"/>
      <c r="D530" s="17"/>
      <c r="F530" s="16"/>
      <c r="G530" s="16"/>
    </row>
    <row r="531" spans="1:7" ht="13.2">
      <c r="A531" s="16"/>
      <c r="B531" s="16"/>
      <c r="C531" s="17"/>
      <c r="D531" s="17"/>
      <c r="F531" s="16"/>
      <c r="G531" s="16"/>
    </row>
    <row r="532" spans="1:7" ht="13.2">
      <c r="A532" s="16"/>
      <c r="B532" s="16"/>
      <c r="C532" s="17"/>
      <c r="D532" s="17"/>
      <c r="F532" s="16"/>
      <c r="G532" s="16"/>
    </row>
    <row r="533" spans="1:7" ht="13.2">
      <c r="A533" s="16"/>
      <c r="B533" s="16"/>
      <c r="C533" s="17"/>
      <c r="D533" s="17"/>
      <c r="F533" s="16"/>
      <c r="G533" s="16"/>
    </row>
    <row r="534" spans="1:7" ht="13.2">
      <c r="A534" s="16"/>
      <c r="B534" s="16"/>
      <c r="C534" s="17"/>
      <c r="D534" s="17"/>
      <c r="F534" s="16"/>
      <c r="G534" s="16"/>
    </row>
    <row r="535" spans="1:7" ht="13.2">
      <c r="A535" s="16"/>
      <c r="B535" s="16"/>
      <c r="C535" s="17"/>
      <c r="D535" s="17"/>
      <c r="F535" s="16"/>
      <c r="G535" s="16"/>
    </row>
    <row r="536" spans="1:7" ht="13.2">
      <c r="A536" s="16"/>
      <c r="B536" s="16"/>
      <c r="C536" s="17"/>
      <c r="D536" s="17"/>
      <c r="F536" s="16"/>
      <c r="G536" s="16"/>
    </row>
    <row r="537" spans="1:7" ht="13.2">
      <c r="A537" s="16"/>
      <c r="B537" s="16"/>
      <c r="C537" s="17"/>
      <c r="D537" s="17"/>
      <c r="F537" s="16"/>
      <c r="G537" s="16"/>
    </row>
    <row r="538" spans="1:7" ht="13.2">
      <c r="A538" s="16"/>
      <c r="B538" s="16"/>
      <c r="C538" s="17"/>
      <c r="D538" s="17"/>
      <c r="F538" s="16"/>
      <c r="G538" s="16"/>
    </row>
    <row r="539" spans="1:7" ht="13.2">
      <c r="A539" s="16"/>
      <c r="B539" s="16"/>
      <c r="C539" s="17"/>
      <c r="D539" s="17"/>
      <c r="F539" s="16"/>
      <c r="G539" s="16"/>
    </row>
    <row r="540" spans="1:7" ht="13.2">
      <c r="A540" s="16"/>
      <c r="B540" s="16"/>
      <c r="C540" s="17"/>
      <c r="D540" s="17"/>
      <c r="F540" s="16"/>
      <c r="G540" s="16"/>
    </row>
    <row r="541" spans="1:7" ht="13.2">
      <c r="A541" s="16"/>
      <c r="B541" s="16"/>
      <c r="C541" s="17"/>
      <c r="D541" s="17"/>
      <c r="F541" s="16"/>
      <c r="G541" s="16"/>
    </row>
    <row r="542" spans="1:7" ht="13.2">
      <c r="A542" s="16"/>
      <c r="B542" s="16"/>
      <c r="C542" s="17"/>
      <c r="D542" s="17"/>
      <c r="F542" s="16"/>
      <c r="G542" s="16"/>
    </row>
    <row r="543" spans="1:7" ht="13.2">
      <c r="A543" s="16"/>
      <c r="B543" s="16"/>
      <c r="C543" s="17"/>
      <c r="D543" s="17"/>
      <c r="F543" s="16"/>
      <c r="G543" s="16"/>
    </row>
    <row r="544" spans="1:7" ht="13.2">
      <c r="A544" s="16"/>
      <c r="B544" s="16"/>
      <c r="C544" s="17"/>
      <c r="D544" s="17"/>
      <c r="F544" s="16"/>
      <c r="G544" s="16"/>
    </row>
    <row r="545" spans="1:7" ht="13.2">
      <c r="A545" s="16"/>
      <c r="B545" s="16"/>
      <c r="C545" s="17"/>
      <c r="D545" s="17"/>
      <c r="F545" s="16"/>
      <c r="G545" s="16"/>
    </row>
    <row r="546" spans="1:7" ht="13.2">
      <c r="A546" s="16"/>
      <c r="B546" s="16"/>
      <c r="C546" s="17"/>
      <c r="D546" s="17"/>
      <c r="F546" s="16"/>
      <c r="G546" s="16"/>
    </row>
    <row r="547" spans="1:7" ht="13.2">
      <c r="A547" s="16"/>
      <c r="B547" s="16"/>
      <c r="C547" s="17"/>
      <c r="D547" s="17"/>
      <c r="F547" s="16"/>
      <c r="G547" s="16"/>
    </row>
    <row r="548" spans="1:7" ht="13.2">
      <c r="A548" s="16"/>
      <c r="B548" s="16"/>
      <c r="C548" s="17"/>
      <c r="D548" s="17"/>
      <c r="F548" s="16"/>
      <c r="G548" s="16"/>
    </row>
    <row r="549" spans="1:7" ht="13.2">
      <c r="A549" s="16"/>
      <c r="B549" s="16"/>
      <c r="C549" s="17"/>
      <c r="D549" s="17"/>
      <c r="F549" s="16"/>
      <c r="G549" s="16"/>
    </row>
    <row r="550" spans="1:7" ht="13.2">
      <c r="A550" s="16"/>
      <c r="B550" s="16"/>
      <c r="C550" s="17"/>
      <c r="D550" s="17"/>
      <c r="F550" s="16"/>
      <c r="G550" s="16"/>
    </row>
    <row r="551" spans="1:7" ht="13.2">
      <c r="A551" s="16"/>
      <c r="B551" s="16"/>
      <c r="C551" s="17"/>
      <c r="D551" s="17"/>
      <c r="F551" s="16"/>
      <c r="G551" s="16"/>
    </row>
    <row r="552" spans="1:7" ht="13.2">
      <c r="A552" s="16"/>
      <c r="B552" s="16"/>
      <c r="C552" s="17"/>
      <c r="D552" s="17"/>
      <c r="F552" s="16"/>
      <c r="G552" s="16"/>
    </row>
    <row r="553" spans="1:7" ht="13.2">
      <c r="A553" s="16"/>
      <c r="B553" s="16"/>
      <c r="C553" s="17"/>
      <c r="D553" s="17"/>
      <c r="F553" s="16"/>
      <c r="G553" s="16"/>
    </row>
    <row r="554" spans="1:7" ht="13.2">
      <c r="A554" s="16"/>
      <c r="B554" s="16"/>
      <c r="C554" s="17"/>
      <c r="D554" s="17"/>
      <c r="F554" s="16"/>
      <c r="G554" s="16"/>
    </row>
    <row r="555" spans="1:7" ht="13.2">
      <c r="A555" s="16"/>
      <c r="B555" s="16"/>
      <c r="C555" s="17"/>
      <c r="D555" s="17"/>
      <c r="F555" s="16"/>
      <c r="G555" s="16"/>
    </row>
    <row r="556" spans="1:7" ht="13.2">
      <c r="A556" s="16"/>
      <c r="B556" s="16"/>
      <c r="C556" s="17"/>
      <c r="D556" s="17"/>
      <c r="F556" s="16"/>
      <c r="G556" s="16"/>
    </row>
    <row r="557" spans="1:7" ht="13.2">
      <c r="A557" s="16"/>
      <c r="B557" s="16"/>
      <c r="C557" s="17"/>
      <c r="D557" s="17"/>
      <c r="F557" s="16"/>
      <c r="G557" s="16"/>
    </row>
    <row r="558" spans="1:7" ht="13.2">
      <c r="A558" s="16"/>
      <c r="B558" s="16"/>
      <c r="C558" s="17"/>
      <c r="D558" s="17"/>
      <c r="F558" s="16"/>
      <c r="G558" s="16"/>
    </row>
    <row r="559" spans="1:7" ht="13.2">
      <c r="A559" s="16"/>
      <c r="B559" s="16"/>
      <c r="C559" s="17"/>
      <c r="D559" s="17"/>
      <c r="F559" s="16"/>
      <c r="G559" s="16"/>
    </row>
    <row r="560" spans="1:7" ht="13.2">
      <c r="A560" s="16"/>
      <c r="B560" s="16"/>
      <c r="C560" s="17"/>
      <c r="D560" s="17"/>
      <c r="F560" s="16"/>
      <c r="G560" s="16"/>
    </row>
    <row r="561" spans="1:7" ht="13.2">
      <c r="A561" s="16"/>
      <c r="B561" s="16"/>
      <c r="C561" s="17"/>
      <c r="D561" s="17"/>
      <c r="F561" s="16"/>
      <c r="G561" s="16"/>
    </row>
    <row r="562" spans="1:7" ht="13.2">
      <c r="A562" s="16"/>
      <c r="B562" s="16"/>
      <c r="C562" s="17"/>
      <c r="D562" s="17"/>
      <c r="F562" s="16"/>
      <c r="G562" s="16"/>
    </row>
    <row r="563" spans="1:7" ht="13.2">
      <c r="A563" s="16"/>
      <c r="B563" s="16"/>
      <c r="C563" s="17"/>
      <c r="D563" s="17"/>
      <c r="F563" s="16"/>
      <c r="G563" s="16"/>
    </row>
    <row r="564" spans="1:7" ht="13.2">
      <c r="A564" s="16"/>
      <c r="B564" s="16"/>
      <c r="C564" s="17"/>
      <c r="D564" s="17"/>
      <c r="F564" s="16"/>
      <c r="G564" s="16"/>
    </row>
    <row r="565" spans="1:7" ht="13.2">
      <c r="A565" s="16"/>
      <c r="B565" s="16"/>
      <c r="C565" s="17"/>
      <c r="D565" s="17"/>
      <c r="F565" s="16"/>
      <c r="G565" s="16"/>
    </row>
    <row r="566" spans="1:7" ht="13.2">
      <c r="A566" s="16"/>
      <c r="B566" s="16"/>
      <c r="C566" s="17"/>
      <c r="D566" s="17"/>
      <c r="F566" s="16"/>
      <c r="G566" s="16"/>
    </row>
    <row r="567" spans="1:7" ht="13.2">
      <c r="A567" s="16"/>
      <c r="B567" s="16"/>
      <c r="C567" s="17"/>
      <c r="D567" s="17"/>
      <c r="F567" s="16"/>
      <c r="G567" s="16"/>
    </row>
    <row r="568" spans="1:7" ht="13.2">
      <c r="A568" s="16"/>
      <c r="B568" s="16"/>
      <c r="C568" s="17"/>
      <c r="D568" s="17"/>
      <c r="F568" s="16"/>
      <c r="G568" s="16"/>
    </row>
    <row r="569" spans="1:7" ht="13.2">
      <c r="A569" s="16"/>
      <c r="B569" s="16"/>
      <c r="C569" s="17"/>
      <c r="D569" s="17"/>
      <c r="F569" s="16"/>
      <c r="G569" s="16"/>
    </row>
    <row r="570" spans="1:7" ht="13.2">
      <c r="A570" s="16"/>
      <c r="B570" s="16"/>
      <c r="C570" s="17"/>
      <c r="D570" s="17"/>
      <c r="F570" s="16"/>
      <c r="G570" s="16"/>
    </row>
    <row r="571" spans="1:7" ht="13.2">
      <c r="A571" s="16"/>
      <c r="B571" s="16"/>
      <c r="C571" s="17"/>
      <c r="D571" s="17"/>
      <c r="F571" s="16"/>
      <c r="G571" s="16"/>
    </row>
    <row r="572" spans="1:7" ht="13.2">
      <c r="A572" s="16"/>
      <c r="B572" s="16"/>
      <c r="C572" s="17"/>
      <c r="D572" s="17"/>
      <c r="F572" s="16"/>
      <c r="G572" s="16"/>
    </row>
    <row r="573" spans="1:7" ht="13.2">
      <c r="A573" s="16"/>
      <c r="B573" s="16"/>
      <c r="C573" s="17"/>
      <c r="D573" s="17"/>
      <c r="F573" s="16"/>
      <c r="G573" s="16"/>
    </row>
    <row r="574" spans="1:7" ht="13.2">
      <c r="A574" s="16"/>
      <c r="B574" s="16"/>
      <c r="C574" s="17"/>
      <c r="D574" s="17"/>
      <c r="F574" s="16"/>
      <c r="G574" s="16"/>
    </row>
    <row r="575" spans="1:7" ht="13.2">
      <c r="A575" s="16"/>
      <c r="B575" s="16"/>
      <c r="C575" s="17"/>
      <c r="D575" s="17"/>
      <c r="F575" s="16"/>
      <c r="G575" s="16"/>
    </row>
    <row r="576" spans="1:7" ht="13.2">
      <c r="A576" s="16"/>
      <c r="B576" s="16"/>
      <c r="C576" s="17"/>
      <c r="D576" s="17"/>
      <c r="F576" s="16"/>
      <c r="G576" s="16"/>
    </row>
    <row r="577" spans="1:7" ht="13.2">
      <c r="A577" s="16"/>
      <c r="B577" s="16"/>
      <c r="C577" s="17"/>
      <c r="D577" s="17"/>
      <c r="F577" s="16"/>
      <c r="G577" s="16"/>
    </row>
    <row r="578" spans="1:7" ht="13.2">
      <c r="A578" s="16"/>
      <c r="B578" s="16"/>
      <c r="C578" s="17"/>
      <c r="D578" s="17"/>
      <c r="F578" s="16"/>
      <c r="G578" s="16"/>
    </row>
    <row r="579" spans="1:7" ht="13.2">
      <c r="A579" s="16"/>
      <c r="B579" s="16"/>
      <c r="C579" s="17"/>
      <c r="D579" s="17"/>
      <c r="F579" s="16"/>
      <c r="G579" s="16"/>
    </row>
    <row r="580" spans="1:7" ht="13.2">
      <c r="A580" s="16"/>
      <c r="B580" s="16"/>
      <c r="C580" s="17"/>
      <c r="D580" s="17"/>
      <c r="F580" s="16"/>
      <c r="G580" s="16"/>
    </row>
    <row r="581" spans="1:7" ht="13.2">
      <c r="A581" s="16"/>
      <c r="B581" s="16"/>
      <c r="C581" s="17"/>
      <c r="D581" s="17"/>
      <c r="F581" s="16"/>
      <c r="G581" s="16"/>
    </row>
    <row r="582" spans="1:7" ht="13.2">
      <c r="A582" s="16"/>
      <c r="B582" s="16"/>
      <c r="C582" s="17"/>
      <c r="D582" s="17"/>
      <c r="F582" s="16"/>
      <c r="G582" s="16"/>
    </row>
    <row r="583" spans="1:7" ht="13.2">
      <c r="A583" s="16"/>
      <c r="B583" s="16"/>
      <c r="C583" s="17"/>
      <c r="D583" s="17"/>
      <c r="F583" s="16"/>
      <c r="G583" s="16"/>
    </row>
    <row r="584" spans="1:7" ht="13.2">
      <c r="A584" s="16"/>
      <c r="B584" s="16"/>
      <c r="C584" s="17"/>
      <c r="D584" s="17"/>
      <c r="F584" s="16"/>
      <c r="G584" s="16"/>
    </row>
    <row r="585" spans="1:7" ht="13.2">
      <c r="A585" s="16"/>
      <c r="B585" s="16"/>
      <c r="C585" s="17"/>
      <c r="D585" s="17"/>
      <c r="F585" s="16"/>
      <c r="G585" s="16"/>
    </row>
    <row r="586" spans="1:7" ht="13.2">
      <c r="A586" s="16"/>
      <c r="B586" s="16"/>
      <c r="C586" s="17"/>
      <c r="D586" s="17"/>
      <c r="F586" s="16"/>
      <c r="G586" s="16"/>
    </row>
    <row r="587" spans="1:7" ht="13.2">
      <c r="A587" s="16"/>
      <c r="B587" s="16"/>
      <c r="C587" s="17"/>
      <c r="D587" s="17"/>
      <c r="F587" s="16"/>
      <c r="G587" s="16"/>
    </row>
    <row r="588" spans="1:7" ht="13.2">
      <c r="A588" s="16"/>
      <c r="B588" s="16"/>
      <c r="C588" s="17"/>
      <c r="D588" s="17"/>
      <c r="F588" s="16"/>
      <c r="G588" s="16"/>
    </row>
    <row r="589" spans="1:7" ht="13.2">
      <c r="A589" s="16"/>
      <c r="B589" s="16"/>
      <c r="C589" s="17"/>
      <c r="D589" s="17"/>
      <c r="F589" s="16"/>
      <c r="G589" s="16"/>
    </row>
    <row r="590" spans="1:7" ht="13.2">
      <c r="A590" s="16"/>
      <c r="B590" s="16"/>
      <c r="C590" s="17"/>
      <c r="D590" s="17"/>
      <c r="F590" s="16"/>
      <c r="G590" s="16"/>
    </row>
    <row r="591" spans="1:7" ht="13.2">
      <c r="A591" s="16"/>
      <c r="B591" s="16"/>
      <c r="C591" s="17"/>
      <c r="D591" s="17"/>
      <c r="F591" s="16"/>
      <c r="G591" s="16"/>
    </row>
    <row r="592" spans="1:7" ht="13.2">
      <c r="A592" s="16"/>
      <c r="B592" s="16"/>
      <c r="C592" s="17"/>
      <c r="D592" s="17"/>
      <c r="F592" s="16"/>
      <c r="G592" s="16"/>
    </row>
    <row r="593" spans="1:7" ht="13.2">
      <c r="A593" s="16"/>
      <c r="B593" s="16"/>
      <c r="C593" s="17"/>
      <c r="D593" s="17"/>
      <c r="F593" s="16"/>
      <c r="G593" s="16"/>
    </row>
    <row r="594" spans="1:7" ht="13.2">
      <c r="A594" s="16"/>
      <c r="B594" s="16"/>
      <c r="C594" s="17"/>
      <c r="D594" s="17"/>
      <c r="F594" s="16"/>
      <c r="G594" s="16"/>
    </row>
    <row r="595" spans="1:7" ht="13.2">
      <c r="A595" s="16"/>
      <c r="B595" s="16"/>
      <c r="C595" s="17"/>
      <c r="D595" s="17"/>
      <c r="F595" s="16"/>
      <c r="G595" s="16"/>
    </row>
    <row r="596" spans="1:7" ht="13.2">
      <c r="A596" s="16"/>
      <c r="B596" s="16"/>
      <c r="C596" s="17"/>
      <c r="D596" s="17"/>
      <c r="F596" s="16"/>
      <c r="G596" s="16"/>
    </row>
    <row r="597" spans="1:7" ht="13.2">
      <c r="A597" s="16"/>
      <c r="B597" s="16"/>
      <c r="C597" s="17"/>
      <c r="D597" s="17"/>
      <c r="F597" s="16"/>
      <c r="G597" s="16"/>
    </row>
    <row r="598" spans="1:7" ht="13.2">
      <c r="A598" s="16"/>
      <c r="B598" s="16"/>
      <c r="C598" s="17"/>
      <c r="D598" s="17"/>
      <c r="F598" s="16"/>
      <c r="G598" s="16"/>
    </row>
    <row r="599" spans="1:7" ht="13.2">
      <c r="A599" s="16"/>
      <c r="B599" s="16"/>
      <c r="C599" s="17"/>
      <c r="D599" s="17"/>
      <c r="F599" s="16"/>
      <c r="G599" s="16"/>
    </row>
    <row r="600" spans="1:7" ht="13.2">
      <c r="A600" s="16"/>
      <c r="B600" s="16"/>
      <c r="C600" s="17"/>
      <c r="D600" s="17"/>
      <c r="F600" s="16"/>
      <c r="G600" s="16"/>
    </row>
    <row r="601" spans="1:7" ht="13.2">
      <c r="A601" s="16"/>
      <c r="B601" s="16"/>
      <c r="C601" s="17"/>
      <c r="D601" s="17"/>
      <c r="F601" s="16"/>
      <c r="G601" s="16"/>
    </row>
    <row r="602" spans="1:7" ht="13.2">
      <c r="A602" s="16"/>
      <c r="B602" s="16"/>
      <c r="C602" s="17"/>
      <c r="D602" s="17"/>
      <c r="F602" s="16"/>
      <c r="G602" s="16"/>
    </row>
    <row r="603" spans="1:7" ht="13.2">
      <c r="A603" s="16"/>
      <c r="B603" s="16"/>
      <c r="C603" s="17"/>
      <c r="D603" s="17"/>
      <c r="F603" s="16"/>
      <c r="G603" s="16"/>
    </row>
    <row r="604" spans="1:7" ht="13.2">
      <c r="A604" s="16"/>
      <c r="B604" s="16"/>
      <c r="C604" s="17"/>
      <c r="D604" s="17"/>
      <c r="F604" s="16"/>
      <c r="G604" s="16"/>
    </row>
    <row r="605" spans="1:7" ht="13.2">
      <c r="A605" s="16"/>
      <c r="B605" s="16"/>
      <c r="C605" s="17"/>
      <c r="D605" s="17"/>
      <c r="F605" s="16"/>
      <c r="G605" s="16"/>
    </row>
    <row r="606" spans="1:7" ht="13.2">
      <c r="A606" s="16"/>
      <c r="B606" s="16"/>
      <c r="C606" s="17"/>
      <c r="D606" s="17"/>
      <c r="F606" s="16"/>
      <c r="G606" s="16"/>
    </row>
    <row r="607" spans="1:7" ht="13.2">
      <c r="A607" s="16"/>
      <c r="B607" s="16"/>
      <c r="C607" s="17"/>
      <c r="D607" s="17"/>
      <c r="F607" s="16"/>
      <c r="G607" s="16"/>
    </row>
    <row r="608" spans="1:7" ht="13.2">
      <c r="A608" s="16"/>
      <c r="B608" s="16"/>
      <c r="C608" s="17"/>
      <c r="D608" s="17"/>
      <c r="F608" s="16"/>
      <c r="G608" s="16"/>
    </row>
    <row r="609" spans="1:7" ht="13.2">
      <c r="A609" s="16"/>
      <c r="B609" s="16"/>
      <c r="C609" s="17"/>
      <c r="D609" s="17"/>
      <c r="F609" s="16"/>
      <c r="G609" s="16"/>
    </row>
    <row r="610" spans="1:7" ht="13.2">
      <c r="A610" s="16"/>
      <c r="B610" s="16"/>
      <c r="C610" s="17"/>
      <c r="D610" s="17"/>
      <c r="F610" s="16"/>
      <c r="G610" s="16"/>
    </row>
    <row r="611" spans="1:7" ht="13.2">
      <c r="A611" s="16"/>
      <c r="B611" s="16"/>
      <c r="C611" s="17"/>
      <c r="D611" s="17"/>
      <c r="F611" s="16"/>
      <c r="G611" s="16"/>
    </row>
    <row r="612" spans="1:7" ht="13.2">
      <c r="A612" s="16"/>
      <c r="B612" s="16"/>
      <c r="C612" s="17"/>
      <c r="D612" s="17"/>
      <c r="F612" s="16"/>
      <c r="G612" s="16"/>
    </row>
    <row r="613" spans="1:7" ht="13.2">
      <c r="A613" s="16"/>
      <c r="B613" s="16"/>
      <c r="C613" s="17"/>
      <c r="D613" s="17"/>
      <c r="F613" s="16"/>
      <c r="G613" s="16"/>
    </row>
    <row r="614" spans="1:7" ht="13.2">
      <c r="A614" s="16"/>
      <c r="B614" s="16"/>
      <c r="C614" s="17"/>
      <c r="D614" s="17"/>
      <c r="F614" s="16"/>
      <c r="G614" s="16"/>
    </row>
    <row r="615" spans="1:7" ht="13.2">
      <c r="A615" s="16"/>
      <c r="B615" s="16"/>
      <c r="C615" s="17"/>
      <c r="D615" s="17"/>
      <c r="F615" s="16"/>
      <c r="G615" s="16"/>
    </row>
    <row r="616" spans="1:7" ht="13.2">
      <c r="A616" s="16"/>
      <c r="B616" s="16"/>
      <c r="C616" s="17"/>
      <c r="D616" s="17"/>
      <c r="F616" s="16"/>
      <c r="G616" s="16"/>
    </row>
    <row r="617" spans="1:7" ht="13.2">
      <c r="A617" s="16"/>
      <c r="B617" s="16"/>
      <c r="C617" s="17"/>
      <c r="D617" s="17"/>
      <c r="F617" s="16"/>
      <c r="G617" s="16"/>
    </row>
    <row r="618" spans="1:7" ht="13.2">
      <c r="A618" s="16"/>
      <c r="B618" s="16"/>
      <c r="C618" s="17"/>
      <c r="D618" s="17"/>
      <c r="F618" s="16"/>
      <c r="G618" s="16"/>
    </row>
    <row r="619" spans="1:7" ht="13.2">
      <c r="A619" s="16"/>
      <c r="B619" s="16"/>
      <c r="C619" s="17"/>
      <c r="D619" s="17"/>
      <c r="F619" s="16"/>
      <c r="G619" s="16"/>
    </row>
    <row r="620" spans="1:7" ht="13.2">
      <c r="A620" s="16"/>
      <c r="B620" s="16"/>
      <c r="C620" s="17"/>
      <c r="D620" s="17"/>
      <c r="F620" s="16"/>
      <c r="G620" s="16"/>
    </row>
    <row r="621" spans="1:7" ht="13.2">
      <c r="A621" s="16"/>
      <c r="B621" s="16"/>
      <c r="C621" s="17"/>
      <c r="D621" s="17"/>
      <c r="F621" s="16"/>
      <c r="G621" s="16"/>
    </row>
    <row r="622" spans="1:7" ht="13.2">
      <c r="A622" s="16"/>
      <c r="B622" s="16"/>
      <c r="C622" s="17"/>
      <c r="D622" s="17"/>
      <c r="F622" s="16"/>
      <c r="G622" s="16"/>
    </row>
    <row r="623" spans="1:7" ht="13.2">
      <c r="A623" s="16"/>
      <c r="B623" s="16"/>
      <c r="C623" s="17"/>
      <c r="D623" s="17"/>
      <c r="F623" s="16"/>
      <c r="G623" s="16"/>
    </row>
    <row r="624" spans="1:7" ht="13.2">
      <c r="A624" s="16"/>
      <c r="B624" s="16"/>
      <c r="C624" s="17"/>
      <c r="D624" s="17"/>
      <c r="F624" s="16"/>
      <c r="G624" s="16"/>
    </row>
    <row r="625" spans="1:7" ht="13.2">
      <c r="A625" s="16"/>
      <c r="B625" s="16"/>
      <c r="C625" s="17"/>
      <c r="D625" s="17"/>
      <c r="F625" s="16"/>
      <c r="G625" s="16"/>
    </row>
    <row r="626" spans="1:7" ht="13.2">
      <c r="A626" s="16"/>
      <c r="B626" s="16"/>
      <c r="C626" s="17"/>
      <c r="D626" s="17"/>
      <c r="F626" s="16"/>
      <c r="G626" s="16"/>
    </row>
    <row r="627" spans="1:7" ht="13.2">
      <c r="A627" s="16"/>
      <c r="B627" s="16"/>
      <c r="C627" s="17"/>
      <c r="D627" s="17"/>
      <c r="F627" s="16"/>
      <c r="G627" s="16"/>
    </row>
    <row r="628" spans="1:7" ht="13.2">
      <c r="A628" s="16"/>
      <c r="B628" s="16"/>
      <c r="C628" s="17"/>
      <c r="D628" s="17"/>
      <c r="F628" s="16"/>
      <c r="G628" s="16"/>
    </row>
    <row r="629" spans="1:7" ht="13.2">
      <c r="A629" s="16"/>
      <c r="B629" s="16"/>
      <c r="C629" s="17"/>
      <c r="D629" s="17"/>
      <c r="F629" s="16"/>
      <c r="G629" s="16"/>
    </row>
    <row r="630" spans="1:7" ht="13.2">
      <c r="A630" s="16"/>
      <c r="B630" s="16"/>
      <c r="C630" s="17"/>
      <c r="D630" s="17"/>
      <c r="F630" s="16"/>
      <c r="G630" s="16"/>
    </row>
    <row r="631" spans="1:7" ht="13.2">
      <c r="A631" s="16"/>
      <c r="B631" s="16"/>
      <c r="C631" s="17"/>
      <c r="D631" s="17"/>
      <c r="F631" s="16"/>
      <c r="G631" s="16"/>
    </row>
    <row r="632" spans="1:7" ht="13.2">
      <c r="A632" s="16"/>
      <c r="B632" s="16"/>
      <c r="C632" s="17"/>
      <c r="D632" s="17"/>
      <c r="F632" s="16"/>
      <c r="G632" s="16"/>
    </row>
    <row r="633" spans="1:7" ht="13.2">
      <c r="A633" s="16"/>
      <c r="B633" s="16"/>
      <c r="C633" s="17"/>
      <c r="D633" s="17"/>
      <c r="F633" s="16"/>
      <c r="G633" s="16"/>
    </row>
    <row r="634" spans="1:7" ht="13.2">
      <c r="A634" s="16"/>
      <c r="B634" s="16"/>
      <c r="C634" s="17"/>
      <c r="D634" s="17"/>
      <c r="F634" s="16"/>
      <c r="G634" s="16"/>
    </row>
    <row r="635" spans="1:7" ht="13.2">
      <c r="A635" s="16"/>
      <c r="B635" s="16"/>
      <c r="C635" s="17"/>
      <c r="D635" s="17"/>
      <c r="F635" s="16"/>
      <c r="G635" s="16"/>
    </row>
    <row r="636" spans="1:7" ht="13.2">
      <c r="A636" s="16"/>
      <c r="B636" s="16"/>
      <c r="C636" s="17"/>
      <c r="D636" s="17"/>
      <c r="F636" s="16"/>
      <c r="G636" s="16"/>
    </row>
    <row r="637" spans="1:7" ht="13.2">
      <c r="A637" s="16"/>
      <c r="B637" s="16"/>
      <c r="C637" s="17"/>
      <c r="D637" s="17"/>
      <c r="F637" s="16"/>
      <c r="G637" s="16"/>
    </row>
    <row r="638" spans="1:7" ht="13.2">
      <c r="A638" s="16"/>
      <c r="B638" s="16"/>
      <c r="C638" s="17"/>
      <c r="D638" s="17"/>
      <c r="F638" s="16"/>
      <c r="G638" s="16"/>
    </row>
    <row r="639" spans="1:7" ht="13.2">
      <c r="A639" s="16"/>
      <c r="B639" s="16"/>
      <c r="C639" s="17"/>
      <c r="D639" s="17"/>
      <c r="F639" s="16"/>
      <c r="G639" s="16"/>
    </row>
    <row r="640" spans="1:7" ht="13.2">
      <c r="A640" s="16"/>
      <c r="B640" s="16"/>
      <c r="C640" s="17"/>
      <c r="D640" s="17"/>
      <c r="F640" s="16"/>
      <c r="G640" s="16"/>
    </row>
    <row r="641" spans="1:7" ht="13.2">
      <c r="A641" s="16"/>
      <c r="B641" s="16"/>
      <c r="C641" s="17"/>
      <c r="D641" s="17"/>
      <c r="F641" s="16"/>
      <c r="G641" s="16"/>
    </row>
    <row r="642" spans="1:7" ht="13.2">
      <c r="A642" s="16"/>
      <c r="B642" s="16"/>
      <c r="C642" s="17"/>
      <c r="D642" s="17"/>
      <c r="F642" s="16"/>
      <c r="G642" s="16"/>
    </row>
    <row r="643" spans="1:7" ht="13.2">
      <c r="A643" s="16"/>
      <c r="B643" s="16"/>
      <c r="C643" s="17"/>
      <c r="D643" s="17"/>
      <c r="F643" s="16"/>
      <c r="G643" s="16"/>
    </row>
    <row r="644" spans="1:7" ht="13.2">
      <c r="A644" s="16"/>
      <c r="B644" s="16"/>
      <c r="C644" s="17"/>
      <c r="D644" s="17"/>
      <c r="F644" s="16"/>
      <c r="G644" s="16"/>
    </row>
    <row r="645" spans="1:7" ht="13.2">
      <c r="A645" s="16"/>
      <c r="B645" s="16"/>
      <c r="C645" s="17"/>
      <c r="D645" s="17"/>
      <c r="F645" s="16"/>
      <c r="G645" s="16"/>
    </row>
    <row r="646" spans="1:7" ht="13.2">
      <c r="A646" s="16"/>
      <c r="B646" s="16"/>
      <c r="C646" s="17"/>
      <c r="D646" s="17"/>
      <c r="F646" s="16"/>
      <c r="G646" s="16"/>
    </row>
    <row r="647" spans="1:7" ht="13.2">
      <c r="A647" s="16"/>
      <c r="B647" s="16"/>
      <c r="C647" s="17"/>
      <c r="D647" s="17"/>
      <c r="F647" s="16"/>
      <c r="G647" s="16"/>
    </row>
    <row r="648" spans="1:7" ht="13.2">
      <c r="A648" s="16"/>
      <c r="B648" s="16"/>
      <c r="C648" s="17"/>
      <c r="D648" s="17"/>
      <c r="F648" s="16"/>
      <c r="G648" s="16"/>
    </row>
    <row r="649" spans="1:7" ht="13.2">
      <c r="A649" s="16"/>
      <c r="B649" s="16"/>
      <c r="C649" s="17"/>
      <c r="D649" s="17"/>
      <c r="F649" s="16"/>
      <c r="G649" s="16"/>
    </row>
    <row r="650" spans="1:7" ht="13.2">
      <c r="A650" s="16"/>
      <c r="B650" s="16"/>
      <c r="C650" s="17"/>
      <c r="D650" s="17"/>
      <c r="F650" s="16"/>
      <c r="G650" s="16"/>
    </row>
    <row r="651" spans="1:7" ht="13.2">
      <c r="A651" s="16"/>
      <c r="B651" s="16"/>
      <c r="C651" s="17"/>
      <c r="D651" s="17"/>
      <c r="F651" s="16"/>
      <c r="G651" s="16"/>
    </row>
    <row r="652" spans="1:7" ht="13.2">
      <c r="A652" s="16"/>
      <c r="B652" s="16"/>
      <c r="C652" s="17"/>
      <c r="D652" s="17"/>
      <c r="F652" s="16"/>
      <c r="G652" s="16"/>
    </row>
    <row r="653" spans="1:7" ht="13.2">
      <c r="A653" s="16"/>
      <c r="B653" s="16"/>
      <c r="C653" s="17"/>
      <c r="D653" s="17"/>
      <c r="F653" s="16"/>
      <c r="G653" s="16"/>
    </row>
    <row r="654" spans="1:7" ht="13.2">
      <c r="A654" s="16"/>
      <c r="B654" s="16"/>
      <c r="C654" s="17"/>
      <c r="D654" s="17"/>
      <c r="F654" s="16"/>
      <c r="G654" s="16"/>
    </row>
    <row r="655" spans="1:7" ht="13.2">
      <c r="A655" s="16"/>
      <c r="B655" s="16"/>
      <c r="C655" s="17"/>
      <c r="D655" s="17"/>
      <c r="F655" s="16"/>
      <c r="G655" s="16"/>
    </row>
    <row r="656" spans="1:7" ht="13.2">
      <c r="A656" s="16"/>
      <c r="B656" s="16"/>
      <c r="C656" s="17"/>
      <c r="D656" s="17"/>
      <c r="F656" s="16"/>
      <c r="G656" s="16"/>
    </row>
    <row r="657" spans="1:7" ht="13.2">
      <c r="A657" s="16"/>
      <c r="B657" s="16"/>
      <c r="C657" s="17"/>
      <c r="D657" s="17"/>
      <c r="F657" s="16"/>
      <c r="G657" s="16"/>
    </row>
    <row r="658" spans="1:7" ht="13.2">
      <c r="A658" s="16"/>
      <c r="B658" s="16"/>
      <c r="C658" s="17"/>
      <c r="D658" s="17"/>
      <c r="F658" s="16"/>
      <c r="G658" s="16"/>
    </row>
    <row r="659" spans="1:7" ht="13.2">
      <c r="A659" s="16"/>
      <c r="B659" s="16"/>
      <c r="C659" s="17"/>
      <c r="D659" s="17"/>
      <c r="F659" s="16"/>
      <c r="G659" s="16"/>
    </row>
    <row r="660" spans="1:7" ht="13.2">
      <c r="A660" s="16"/>
      <c r="B660" s="16"/>
      <c r="C660" s="17"/>
      <c r="D660" s="17"/>
      <c r="F660" s="16"/>
      <c r="G660" s="16"/>
    </row>
    <row r="661" spans="1:7" ht="13.2">
      <c r="A661" s="16"/>
      <c r="B661" s="16"/>
      <c r="C661" s="17"/>
      <c r="D661" s="17"/>
      <c r="F661" s="16"/>
      <c r="G661" s="16"/>
    </row>
    <row r="662" spans="1:7" ht="13.2">
      <c r="A662" s="16"/>
      <c r="B662" s="16"/>
      <c r="C662" s="17"/>
      <c r="D662" s="17"/>
      <c r="F662" s="16"/>
      <c r="G662" s="16"/>
    </row>
    <row r="663" spans="1:7" ht="13.2">
      <c r="A663" s="16"/>
      <c r="B663" s="16"/>
      <c r="C663" s="17"/>
      <c r="D663" s="17"/>
      <c r="F663" s="16"/>
      <c r="G663" s="16"/>
    </row>
    <row r="664" spans="1:7" ht="13.2">
      <c r="A664" s="16"/>
      <c r="B664" s="16"/>
      <c r="C664" s="17"/>
      <c r="D664" s="17"/>
      <c r="F664" s="16"/>
      <c r="G664" s="16"/>
    </row>
    <row r="665" spans="1:7" ht="13.2">
      <c r="A665" s="16"/>
      <c r="B665" s="16"/>
      <c r="C665" s="17"/>
      <c r="D665" s="17"/>
      <c r="F665" s="16"/>
      <c r="G665" s="16"/>
    </row>
    <row r="666" spans="1:7" ht="13.2">
      <c r="A666" s="16"/>
      <c r="B666" s="16"/>
      <c r="C666" s="17"/>
      <c r="D666" s="17"/>
      <c r="F666" s="16"/>
      <c r="G666" s="16"/>
    </row>
    <row r="667" spans="1:7" ht="13.2">
      <c r="A667" s="16"/>
      <c r="B667" s="16"/>
      <c r="C667" s="17"/>
      <c r="D667" s="17"/>
      <c r="F667" s="16"/>
      <c r="G667" s="16"/>
    </row>
    <row r="668" spans="1:7" ht="13.2">
      <c r="A668" s="16"/>
      <c r="B668" s="16"/>
      <c r="C668" s="17"/>
      <c r="D668" s="17"/>
      <c r="F668" s="16"/>
      <c r="G668" s="16"/>
    </row>
    <row r="669" spans="1:7" ht="13.2">
      <c r="A669" s="16"/>
      <c r="B669" s="16"/>
      <c r="C669" s="17"/>
      <c r="D669" s="17"/>
      <c r="F669" s="16"/>
      <c r="G669" s="16"/>
    </row>
    <row r="670" spans="1:7" ht="13.2">
      <c r="A670" s="16"/>
      <c r="B670" s="16"/>
      <c r="C670" s="17"/>
      <c r="D670" s="17"/>
      <c r="F670" s="16"/>
      <c r="G670" s="16"/>
    </row>
    <row r="671" spans="1:7" ht="13.2">
      <c r="A671" s="16"/>
      <c r="B671" s="16"/>
      <c r="C671" s="17"/>
      <c r="D671" s="17"/>
      <c r="F671" s="16"/>
      <c r="G671" s="16"/>
    </row>
    <row r="672" spans="1:7" ht="13.2">
      <c r="A672" s="16"/>
      <c r="B672" s="16"/>
      <c r="C672" s="17"/>
      <c r="D672" s="17"/>
      <c r="F672" s="16"/>
      <c r="G672" s="16"/>
    </row>
    <row r="673" spans="1:7" ht="13.2">
      <c r="A673" s="16"/>
      <c r="B673" s="16"/>
      <c r="C673" s="17"/>
      <c r="D673" s="17"/>
      <c r="F673" s="16"/>
      <c r="G673" s="16"/>
    </row>
    <row r="674" spans="1:7" ht="13.2">
      <c r="A674" s="16"/>
      <c r="B674" s="16"/>
      <c r="C674" s="17"/>
      <c r="D674" s="17"/>
      <c r="F674" s="16"/>
      <c r="G674" s="16"/>
    </row>
    <row r="675" spans="1:7" ht="13.2">
      <c r="A675" s="16"/>
      <c r="B675" s="16"/>
      <c r="C675" s="17"/>
      <c r="D675" s="17"/>
      <c r="F675" s="16"/>
      <c r="G675" s="16"/>
    </row>
    <row r="676" spans="1:7" ht="13.2">
      <c r="A676" s="16"/>
      <c r="B676" s="16"/>
      <c r="C676" s="17"/>
      <c r="D676" s="17"/>
      <c r="F676" s="16"/>
      <c r="G676" s="16"/>
    </row>
    <row r="677" spans="1:7" ht="13.2">
      <c r="A677" s="16"/>
      <c r="B677" s="16"/>
      <c r="C677" s="17"/>
      <c r="D677" s="17"/>
      <c r="F677" s="16"/>
      <c r="G677" s="16"/>
    </row>
    <row r="678" spans="1:7" ht="13.2">
      <c r="A678" s="16"/>
      <c r="B678" s="16"/>
      <c r="C678" s="17"/>
      <c r="D678" s="17"/>
      <c r="F678" s="16"/>
      <c r="G678" s="16"/>
    </row>
    <row r="679" spans="1:7" ht="13.2">
      <c r="A679" s="16"/>
      <c r="B679" s="16"/>
      <c r="C679" s="17"/>
      <c r="D679" s="17"/>
      <c r="F679" s="16"/>
      <c r="G679" s="16"/>
    </row>
    <row r="680" spans="1:7" ht="13.2">
      <c r="A680" s="16"/>
      <c r="B680" s="16"/>
      <c r="C680" s="17"/>
      <c r="D680" s="17"/>
      <c r="F680" s="16"/>
      <c r="G680" s="16"/>
    </row>
    <row r="681" spans="1:7" ht="13.2">
      <c r="A681" s="16"/>
      <c r="B681" s="16"/>
      <c r="C681" s="17"/>
      <c r="D681" s="17"/>
      <c r="F681" s="16"/>
      <c r="G681" s="16"/>
    </row>
    <row r="682" spans="1:7" ht="13.2">
      <c r="A682" s="16"/>
      <c r="B682" s="16"/>
      <c r="C682" s="17"/>
      <c r="D682" s="17"/>
      <c r="F682" s="16"/>
      <c r="G682" s="16"/>
    </row>
    <row r="683" spans="1:7" ht="13.2">
      <c r="A683" s="16"/>
      <c r="B683" s="16"/>
      <c r="C683" s="17"/>
      <c r="D683" s="17"/>
      <c r="F683" s="16"/>
      <c r="G683" s="16"/>
    </row>
    <row r="684" spans="1:7" ht="13.2">
      <c r="A684" s="16"/>
      <c r="B684" s="16"/>
      <c r="C684" s="17"/>
      <c r="D684" s="17"/>
      <c r="F684" s="16"/>
      <c r="G684" s="16"/>
    </row>
    <row r="685" spans="1:7" ht="13.2">
      <c r="A685" s="16"/>
      <c r="B685" s="16"/>
      <c r="C685" s="17"/>
      <c r="D685" s="17"/>
      <c r="F685" s="16"/>
      <c r="G685" s="16"/>
    </row>
    <row r="686" spans="1:7" ht="13.2">
      <c r="A686" s="16"/>
      <c r="B686" s="16"/>
      <c r="C686" s="17"/>
      <c r="D686" s="17"/>
      <c r="F686" s="16"/>
      <c r="G686" s="16"/>
    </row>
    <row r="687" spans="1:7" ht="13.2">
      <c r="A687" s="16"/>
      <c r="B687" s="16"/>
      <c r="C687" s="17"/>
      <c r="D687" s="17"/>
      <c r="F687" s="16"/>
      <c r="G687" s="16"/>
    </row>
    <row r="688" spans="1:7" ht="13.2">
      <c r="A688" s="16"/>
      <c r="B688" s="16"/>
      <c r="C688" s="17"/>
      <c r="D688" s="17"/>
      <c r="F688" s="16"/>
      <c r="G688" s="16"/>
    </row>
    <row r="689" spans="1:7" ht="13.2">
      <c r="A689" s="16"/>
      <c r="B689" s="16"/>
      <c r="C689" s="17"/>
      <c r="D689" s="17"/>
      <c r="F689" s="16"/>
      <c r="G689" s="16"/>
    </row>
    <row r="690" spans="1:7" ht="13.2">
      <c r="A690" s="16"/>
      <c r="B690" s="16"/>
      <c r="C690" s="17"/>
      <c r="D690" s="17"/>
      <c r="F690" s="16"/>
      <c r="G690" s="16"/>
    </row>
    <row r="691" spans="1:7" ht="13.2">
      <c r="A691" s="16"/>
      <c r="B691" s="16"/>
      <c r="C691" s="17"/>
      <c r="D691" s="17"/>
      <c r="F691" s="16"/>
      <c r="G691" s="16"/>
    </row>
    <row r="692" spans="1:7" ht="13.2">
      <c r="A692" s="16"/>
      <c r="B692" s="16"/>
      <c r="C692" s="17"/>
      <c r="D692" s="17"/>
      <c r="F692" s="16"/>
      <c r="G692" s="16"/>
    </row>
    <row r="693" spans="1:7" ht="13.2">
      <c r="A693" s="16"/>
      <c r="B693" s="16"/>
      <c r="C693" s="17"/>
      <c r="D693" s="17"/>
      <c r="F693" s="16"/>
      <c r="G693" s="16"/>
    </row>
    <row r="694" spans="1:7" ht="13.2">
      <c r="A694" s="16"/>
      <c r="B694" s="16"/>
      <c r="C694" s="17"/>
      <c r="D694" s="17"/>
      <c r="F694" s="16"/>
      <c r="G694" s="16"/>
    </row>
    <row r="695" spans="1:7" ht="13.2">
      <c r="A695" s="16"/>
      <c r="B695" s="16"/>
      <c r="C695" s="17"/>
      <c r="D695" s="17"/>
      <c r="F695" s="16"/>
      <c r="G695" s="16"/>
    </row>
    <row r="696" spans="1:7" ht="13.2">
      <c r="A696" s="16"/>
      <c r="B696" s="16"/>
      <c r="C696" s="17"/>
      <c r="D696" s="17"/>
      <c r="F696" s="16"/>
      <c r="G696" s="16"/>
    </row>
    <row r="697" spans="1:7" ht="13.2">
      <c r="A697" s="16"/>
      <c r="B697" s="16"/>
      <c r="C697" s="17"/>
      <c r="D697" s="17"/>
      <c r="F697" s="16"/>
      <c r="G697" s="16"/>
    </row>
    <row r="698" spans="1:7" ht="13.2">
      <c r="A698" s="16"/>
      <c r="B698" s="16"/>
      <c r="C698" s="17"/>
      <c r="D698" s="17"/>
      <c r="F698" s="16"/>
      <c r="G698" s="16"/>
    </row>
    <row r="699" spans="1:7" ht="13.2">
      <c r="A699" s="16"/>
      <c r="B699" s="16"/>
      <c r="C699" s="17"/>
      <c r="D699" s="17"/>
      <c r="F699" s="16"/>
      <c r="G699" s="16"/>
    </row>
    <row r="700" spans="1:7" ht="13.2">
      <c r="A700" s="16"/>
      <c r="B700" s="16"/>
      <c r="C700" s="17"/>
      <c r="D700" s="17"/>
      <c r="F700" s="16"/>
      <c r="G700" s="16"/>
    </row>
    <row r="701" spans="1:7" ht="13.2">
      <c r="A701" s="16"/>
      <c r="B701" s="16"/>
      <c r="C701" s="17"/>
      <c r="D701" s="17"/>
      <c r="F701" s="16"/>
      <c r="G701" s="16"/>
    </row>
    <row r="702" spans="1:7" ht="13.2">
      <c r="A702" s="16"/>
      <c r="B702" s="16"/>
      <c r="C702" s="17"/>
      <c r="D702" s="17"/>
      <c r="F702" s="16"/>
      <c r="G702" s="16"/>
    </row>
    <row r="703" spans="1:7" ht="13.2">
      <c r="A703" s="16"/>
      <c r="B703" s="16"/>
      <c r="C703" s="17"/>
      <c r="D703" s="17"/>
      <c r="F703" s="16"/>
      <c r="G703" s="16"/>
    </row>
    <row r="704" spans="1:7" ht="13.2">
      <c r="A704" s="16"/>
      <c r="B704" s="16"/>
      <c r="C704" s="17"/>
      <c r="D704" s="17"/>
      <c r="F704" s="16"/>
      <c r="G704" s="16"/>
    </row>
    <row r="705" spans="1:7" ht="13.2">
      <c r="A705" s="16"/>
      <c r="B705" s="16"/>
      <c r="C705" s="17"/>
      <c r="D705" s="17"/>
      <c r="F705" s="16"/>
      <c r="G705" s="16"/>
    </row>
    <row r="706" spans="1:7" ht="13.2">
      <c r="A706" s="16"/>
      <c r="B706" s="16"/>
      <c r="C706" s="17"/>
      <c r="D706" s="17"/>
      <c r="F706" s="16"/>
      <c r="G706" s="16"/>
    </row>
    <row r="707" spans="1:7" ht="13.2">
      <c r="A707" s="16"/>
      <c r="B707" s="16"/>
      <c r="C707" s="17"/>
      <c r="D707" s="17"/>
      <c r="F707" s="16"/>
      <c r="G707" s="16"/>
    </row>
    <row r="708" spans="1:7" ht="13.2">
      <c r="A708" s="16"/>
      <c r="B708" s="16"/>
      <c r="C708" s="17"/>
      <c r="D708" s="17"/>
      <c r="F708" s="16"/>
      <c r="G708" s="16"/>
    </row>
    <row r="709" spans="1:7" ht="13.2">
      <c r="A709" s="16"/>
      <c r="B709" s="16"/>
      <c r="C709" s="17"/>
      <c r="D709" s="17"/>
      <c r="F709" s="16"/>
      <c r="G709" s="16"/>
    </row>
    <row r="710" spans="1:7" ht="13.2">
      <c r="A710" s="16"/>
      <c r="B710" s="16"/>
      <c r="C710" s="17"/>
      <c r="D710" s="17"/>
      <c r="F710" s="16"/>
      <c r="G710" s="16"/>
    </row>
    <row r="711" spans="1:7" ht="13.2">
      <c r="A711" s="16"/>
      <c r="B711" s="16"/>
      <c r="C711" s="17"/>
      <c r="D711" s="17"/>
      <c r="F711" s="16"/>
      <c r="G711" s="16"/>
    </row>
    <row r="712" spans="1:7" ht="13.2">
      <c r="A712" s="16"/>
      <c r="B712" s="16"/>
      <c r="C712" s="17"/>
      <c r="D712" s="17"/>
      <c r="F712" s="16"/>
      <c r="G712" s="16"/>
    </row>
    <row r="713" spans="1:7" ht="13.2">
      <c r="A713" s="16"/>
      <c r="B713" s="16"/>
      <c r="C713" s="17"/>
      <c r="D713" s="17"/>
      <c r="F713" s="16"/>
      <c r="G713" s="16"/>
    </row>
    <row r="714" spans="1:7" ht="13.2">
      <c r="A714" s="16"/>
      <c r="B714" s="16"/>
      <c r="C714" s="17"/>
      <c r="D714" s="17"/>
      <c r="F714" s="16"/>
      <c r="G714" s="16"/>
    </row>
    <row r="715" spans="1:7" ht="13.2">
      <c r="A715" s="16"/>
      <c r="B715" s="16"/>
      <c r="C715" s="17"/>
      <c r="D715" s="17"/>
      <c r="F715" s="16"/>
      <c r="G715" s="16"/>
    </row>
    <row r="716" spans="1:7" ht="13.2">
      <c r="A716" s="16"/>
      <c r="B716" s="16"/>
      <c r="C716" s="17"/>
      <c r="D716" s="17"/>
      <c r="F716" s="16"/>
      <c r="G716" s="16"/>
    </row>
    <row r="717" spans="1:7" ht="13.2">
      <c r="A717" s="16"/>
      <c r="B717" s="16"/>
      <c r="C717" s="17"/>
      <c r="D717" s="17"/>
      <c r="F717" s="16"/>
      <c r="G717" s="16"/>
    </row>
    <row r="718" spans="1:7" ht="13.2">
      <c r="A718" s="16"/>
      <c r="B718" s="16"/>
      <c r="C718" s="17"/>
      <c r="D718" s="17"/>
      <c r="F718" s="16"/>
      <c r="G718" s="16"/>
    </row>
    <row r="719" spans="1:7" ht="13.2">
      <c r="A719" s="16"/>
      <c r="B719" s="16"/>
      <c r="C719" s="17"/>
      <c r="D719" s="17"/>
      <c r="F719" s="16"/>
      <c r="G719" s="16"/>
    </row>
    <row r="720" spans="1:7" ht="13.2">
      <c r="A720" s="16"/>
      <c r="B720" s="16"/>
      <c r="C720" s="17"/>
      <c r="D720" s="17"/>
      <c r="F720" s="16"/>
      <c r="G720" s="16"/>
    </row>
    <row r="721" spans="1:7" ht="13.2">
      <c r="A721" s="16"/>
      <c r="B721" s="16"/>
      <c r="C721" s="17"/>
      <c r="D721" s="17"/>
      <c r="F721" s="16"/>
      <c r="G721" s="16"/>
    </row>
    <row r="722" spans="1:7" ht="13.2">
      <c r="A722" s="16"/>
      <c r="B722" s="16"/>
      <c r="C722" s="17"/>
      <c r="D722" s="17"/>
      <c r="F722" s="16"/>
      <c r="G722" s="16"/>
    </row>
    <row r="723" spans="1:7" ht="13.2">
      <c r="A723" s="16"/>
      <c r="B723" s="16"/>
      <c r="C723" s="17"/>
      <c r="D723" s="17"/>
      <c r="F723" s="16"/>
      <c r="G723" s="16"/>
    </row>
    <row r="724" spans="1:7" ht="13.2">
      <c r="A724" s="16"/>
      <c r="B724" s="16"/>
      <c r="C724" s="17"/>
      <c r="D724" s="17"/>
      <c r="F724" s="16"/>
      <c r="G724" s="16"/>
    </row>
    <row r="725" spans="1:7" ht="13.2">
      <c r="A725" s="16"/>
      <c r="B725" s="16"/>
      <c r="C725" s="17"/>
      <c r="D725" s="17"/>
      <c r="F725" s="16"/>
      <c r="G725" s="16"/>
    </row>
    <row r="726" spans="1:7" ht="13.2">
      <c r="A726" s="16"/>
      <c r="B726" s="16"/>
      <c r="C726" s="17"/>
      <c r="D726" s="17"/>
      <c r="F726" s="16"/>
      <c r="G726" s="16"/>
    </row>
    <row r="727" spans="1:7" ht="13.2">
      <c r="A727" s="16"/>
      <c r="B727" s="16"/>
      <c r="C727" s="17"/>
      <c r="D727" s="17"/>
      <c r="F727" s="16"/>
      <c r="G727" s="16"/>
    </row>
    <row r="728" spans="1:7" ht="13.2">
      <c r="A728" s="16"/>
      <c r="B728" s="16"/>
      <c r="C728" s="17"/>
      <c r="D728" s="17"/>
      <c r="F728" s="16"/>
      <c r="G728" s="16"/>
    </row>
    <row r="729" spans="1:7" ht="13.2">
      <c r="A729" s="16"/>
      <c r="B729" s="16"/>
      <c r="C729" s="17"/>
      <c r="D729" s="17"/>
      <c r="F729" s="16"/>
      <c r="G729" s="16"/>
    </row>
    <row r="730" spans="1:7" ht="13.2">
      <c r="A730" s="16"/>
      <c r="B730" s="16"/>
      <c r="C730" s="17"/>
      <c r="D730" s="17"/>
      <c r="F730" s="16"/>
      <c r="G730" s="16"/>
    </row>
    <row r="731" spans="1:7" ht="13.2">
      <c r="A731" s="16"/>
      <c r="B731" s="16"/>
      <c r="C731" s="17"/>
      <c r="D731" s="17"/>
      <c r="F731" s="16"/>
      <c r="G731" s="16"/>
    </row>
    <row r="732" spans="1:7" ht="13.2">
      <c r="A732" s="16"/>
      <c r="B732" s="16"/>
      <c r="C732" s="17"/>
      <c r="D732" s="17"/>
      <c r="F732" s="16"/>
      <c r="G732" s="16"/>
    </row>
    <row r="733" spans="1:7" ht="13.2">
      <c r="A733" s="16"/>
      <c r="B733" s="16"/>
      <c r="C733" s="17"/>
      <c r="D733" s="17"/>
      <c r="F733" s="16"/>
      <c r="G733" s="16"/>
    </row>
    <row r="734" spans="1:7" ht="13.2">
      <c r="A734" s="16"/>
      <c r="B734" s="16"/>
      <c r="C734" s="17"/>
      <c r="D734" s="17"/>
      <c r="F734" s="16"/>
      <c r="G734" s="16"/>
    </row>
    <row r="735" spans="1:7" ht="13.2">
      <c r="A735" s="16"/>
      <c r="B735" s="16"/>
      <c r="C735" s="17"/>
      <c r="D735" s="17"/>
      <c r="F735" s="16"/>
      <c r="G735" s="16"/>
    </row>
    <row r="736" spans="1:7" ht="13.2">
      <c r="A736" s="16"/>
      <c r="B736" s="16"/>
      <c r="C736" s="17"/>
      <c r="D736" s="17"/>
      <c r="F736" s="16"/>
      <c r="G736" s="16"/>
    </row>
    <row r="737" spans="1:7" ht="13.2">
      <c r="A737" s="16"/>
      <c r="B737" s="16"/>
      <c r="C737" s="17"/>
      <c r="D737" s="17"/>
      <c r="F737" s="16"/>
      <c r="G737" s="16"/>
    </row>
    <row r="738" spans="1:7" ht="13.2">
      <c r="A738" s="16"/>
      <c r="B738" s="16"/>
      <c r="C738" s="17"/>
      <c r="D738" s="17"/>
      <c r="F738" s="16"/>
      <c r="G738" s="16"/>
    </row>
    <row r="739" spans="1:7" ht="13.2">
      <c r="A739" s="16"/>
      <c r="B739" s="16"/>
      <c r="C739" s="17"/>
      <c r="D739" s="17"/>
      <c r="F739" s="16"/>
      <c r="G739" s="16"/>
    </row>
    <row r="740" spans="1:7" ht="13.2">
      <c r="A740" s="16"/>
      <c r="B740" s="16"/>
      <c r="C740" s="17"/>
      <c r="D740" s="17"/>
      <c r="F740" s="16"/>
      <c r="G740" s="16"/>
    </row>
    <row r="741" spans="1:7" ht="13.2">
      <c r="A741" s="16"/>
      <c r="B741" s="16"/>
      <c r="C741" s="17"/>
      <c r="D741" s="17"/>
      <c r="F741" s="16"/>
      <c r="G741" s="16"/>
    </row>
    <row r="742" spans="1:7" ht="13.2">
      <c r="A742" s="16"/>
      <c r="B742" s="16"/>
      <c r="C742" s="17"/>
      <c r="D742" s="17"/>
      <c r="F742" s="16"/>
      <c r="G742" s="16"/>
    </row>
    <row r="743" spans="1:7" ht="13.2">
      <c r="A743" s="16"/>
      <c r="B743" s="16"/>
      <c r="C743" s="17"/>
      <c r="D743" s="17"/>
      <c r="F743" s="16"/>
      <c r="G743" s="16"/>
    </row>
    <row r="744" spans="1:7" ht="13.2">
      <c r="A744" s="16"/>
      <c r="B744" s="16"/>
      <c r="C744" s="17"/>
      <c r="D744" s="17"/>
      <c r="F744" s="16"/>
      <c r="G744" s="16"/>
    </row>
    <row r="745" spans="1:7" ht="13.2">
      <c r="A745" s="16"/>
      <c r="B745" s="16"/>
      <c r="C745" s="17"/>
      <c r="D745" s="17"/>
      <c r="F745" s="16"/>
      <c r="G745" s="16"/>
    </row>
    <row r="746" spans="1:7" ht="13.2">
      <c r="A746" s="16"/>
      <c r="B746" s="16"/>
      <c r="C746" s="17"/>
      <c r="D746" s="17"/>
      <c r="F746" s="16"/>
      <c r="G746" s="16"/>
    </row>
    <row r="747" spans="1:7" ht="13.2">
      <c r="A747" s="16"/>
      <c r="B747" s="16"/>
      <c r="C747" s="17"/>
      <c r="D747" s="17"/>
      <c r="F747" s="16"/>
      <c r="G747" s="16"/>
    </row>
    <row r="748" spans="1:7" ht="13.2">
      <c r="A748" s="16"/>
      <c r="B748" s="16"/>
      <c r="C748" s="17"/>
      <c r="D748" s="17"/>
      <c r="F748" s="16"/>
      <c r="G748" s="16"/>
    </row>
    <row r="749" spans="1:7" ht="13.2">
      <c r="A749" s="16"/>
      <c r="B749" s="16"/>
      <c r="C749" s="17"/>
      <c r="D749" s="17"/>
      <c r="F749" s="16"/>
      <c r="G749" s="16"/>
    </row>
    <row r="750" spans="1:7" ht="13.2">
      <c r="A750" s="16"/>
      <c r="B750" s="16"/>
      <c r="C750" s="17"/>
      <c r="D750" s="17"/>
      <c r="F750" s="16"/>
      <c r="G750" s="16"/>
    </row>
    <row r="751" spans="1:7" ht="13.2">
      <c r="A751" s="16"/>
      <c r="B751" s="16"/>
      <c r="C751" s="17"/>
      <c r="D751" s="17"/>
      <c r="F751" s="16"/>
      <c r="G751" s="16"/>
    </row>
    <row r="752" spans="1:7" ht="13.2">
      <c r="A752" s="16"/>
      <c r="B752" s="16"/>
      <c r="C752" s="17"/>
      <c r="D752" s="17"/>
      <c r="F752" s="16"/>
      <c r="G752" s="16"/>
    </row>
    <row r="753" spans="1:7" ht="13.2">
      <c r="A753" s="16"/>
      <c r="B753" s="16"/>
      <c r="C753" s="17"/>
      <c r="D753" s="17"/>
      <c r="F753" s="16"/>
      <c r="G753" s="16"/>
    </row>
    <row r="754" spans="1:7" ht="13.2">
      <c r="A754" s="16"/>
      <c r="B754" s="16"/>
      <c r="C754" s="17"/>
      <c r="D754" s="17"/>
      <c r="F754" s="16"/>
      <c r="G754" s="16"/>
    </row>
    <row r="755" spans="1:7" ht="13.2">
      <c r="A755" s="16"/>
      <c r="B755" s="16"/>
      <c r="C755" s="17"/>
      <c r="D755" s="17"/>
      <c r="F755" s="16"/>
      <c r="G755" s="16"/>
    </row>
    <row r="756" spans="1:7" ht="13.2">
      <c r="A756" s="16"/>
      <c r="B756" s="16"/>
      <c r="C756" s="17"/>
      <c r="D756" s="17"/>
      <c r="F756" s="16"/>
      <c r="G756" s="16"/>
    </row>
    <row r="757" spans="1:7" ht="13.2">
      <c r="A757" s="16"/>
      <c r="B757" s="16"/>
      <c r="C757" s="17"/>
      <c r="D757" s="17"/>
      <c r="F757" s="16"/>
      <c r="G757" s="16"/>
    </row>
    <row r="758" spans="1:7" ht="13.2">
      <c r="A758" s="16"/>
      <c r="B758" s="16"/>
      <c r="C758" s="17"/>
      <c r="D758" s="17"/>
      <c r="F758" s="16"/>
      <c r="G758" s="16"/>
    </row>
    <row r="759" spans="1:7" ht="13.2">
      <c r="A759" s="16"/>
      <c r="B759" s="16"/>
      <c r="C759" s="17"/>
      <c r="D759" s="17"/>
      <c r="F759" s="16"/>
      <c r="G759" s="16"/>
    </row>
    <row r="760" spans="1:7" ht="13.2">
      <c r="A760" s="16"/>
      <c r="B760" s="16"/>
      <c r="C760" s="17"/>
      <c r="D760" s="17"/>
      <c r="F760" s="16"/>
      <c r="G760" s="16"/>
    </row>
    <row r="761" spans="1:7" ht="13.2">
      <c r="A761" s="16"/>
      <c r="B761" s="16"/>
      <c r="C761" s="17"/>
      <c r="D761" s="17"/>
      <c r="F761" s="16"/>
      <c r="G761" s="16"/>
    </row>
    <row r="762" spans="1:7" ht="13.2">
      <c r="A762" s="16"/>
      <c r="B762" s="16"/>
      <c r="C762" s="17"/>
      <c r="D762" s="17"/>
      <c r="F762" s="16"/>
      <c r="G762" s="16"/>
    </row>
    <row r="763" spans="1:7" ht="13.2">
      <c r="A763" s="16"/>
      <c r="B763" s="16"/>
      <c r="C763" s="17"/>
      <c r="D763" s="17"/>
      <c r="F763" s="16"/>
      <c r="G763" s="16"/>
    </row>
    <row r="764" spans="1:7" ht="13.2">
      <c r="A764" s="16"/>
      <c r="B764" s="16"/>
      <c r="C764" s="17"/>
      <c r="D764" s="17"/>
      <c r="F764" s="16"/>
      <c r="G764" s="16"/>
    </row>
    <row r="765" spans="1:7" ht="13.2">
      <c r="A765" s="16"/>
      <c r="B765" s="16"/>
      <c r="C765" s="17"/>
      <c r="D765" s="17"/>
      <c r="F765" s="16"/>
      <c r="G765" s="16"/>
    </row>
    <row r="766" spans="1:7" ht="13.2">
      <c r="A766" s="16"/>
      <c r="B766" s="16"/>
      <c r="C766" s="17"/>
      <c r="D766" s="17"/>
      <c r="F766" s="16"/>
      <c r="G766" s="16"/>
    </row>
    <row r="767" spans="1:7" ht="13.2">
      <c r="A767" s="16"/>
      <c r="B767" s="16"/>
      <c r="C767" s="17"/>
      <c r="D767" s="17"/>
      <c r="F767" s="16"/>
      <c r="G767" s="16"/>
    </row>
    <row r="768" spans="1:7" ht="13.2">
      <c r="A768" s="16"/>
      <c r="B768" s="16"/>
      <c r="C768" s="17"/>
      <c r="D768" s="17"/>
      <c r="F768" s="16"/>
      <c r="G768" s="16"/>
    </row>
    <row r="769" spans="1:7" ht="13.2">
      <c r="A769" s="16"/>
      <c r="B769" s="16"/>
      <c r="C769" s="17"/>
      <c r="D769" s="17"/>
      <c r="F769" s="16"/>
      <c r="G769" s="16"/>
    </row>
    <row r="770" spans="1:7" ht="13.2">
      <c r="A770" s="16"/>
      <c r="B770" s="16"/>
      <c r="C770" s="17"/>
      <c r="D770" s="17"/>
      <c r="F770" s="16"/>
      <c r="G770" s="16"/>
    </row>
    <row r="771" spans="1:7" ht="13.2">
      <c r="A771" s="16"/>
      <c r="B771" s="16"/>
      <c r="C771" s="17"/>
      <c r="D771" s="17"/>
      <c r="F771" s="16"/>
      <c r="G771" s="16"/>
    </row>
    <row r="772" spans="1:7" ht="13.2">
      <c r="A772" s="16"/>
      <c r="B772" s="16"/>
      <c r="C772" s="17"/>
      <c r="D772" s="17"/>
      <c r="F772" s="16"/>
      <c r="G772" s="16"/>
    </row>
    <row r="773" spans="1:7" ht="13.2">
      <c r="A773" s="16"/>
      <c r="B773" s="16"/>
      <c r="C773" s="17"/>
      <c r="D773" s="17"/>
      <c r="F773" s="16"/>
      <c r="G773" s="16"/>
    </row>
    <row r="774" spans="1:7" ht="13.2">
      <c r="A774" s="16"/>
      <c r="B774" s="16"/>
      <c r="C774" s="17"/>
      <c r="D774" s="17"/>
      <c r="F774" s="16"/>
      <c r="G774" s="16"/>
    </row>
    <row r="775" spans="1:7" ht="13.2">
      <c r="A775" s="16"/>
      <c r="B775" s="16"/>
      <c r="C775" s="17"/>
      <c r="D775" s="17"/>
      <c r="F775" s="16"/>
      <c r="G775" s="16"/>
    </row>
    <row r="776" spans="1:7" ht="13.2">
      <c r="A776" s="16"/>
      <c r="B776" s="16"/>
      <c r="C776" s="17"/>
      <c r="D776" s="17"/>
      <c r="F776" s="16"/>
      <c r="G776" s="16"/>
    </row>
    <row r="777" spans="1:7" ht="13.2">
      <c r="A777" s="16"/>
      <c r="B777" s="16"/>
      <c r="C777" s="17"/>
      <c r="D777" s="17"/>
      <c r="F777" s="16"/>
      <c r="G777" s="16"/>
    </row>
    <row r="778" spans="1:7" ht="13.2">
      <c r="A778" s="16"/>
      <c r="B778" s="16"/>
      <c r="C778" s="17"/>
      <c r="D778" s="17"/>
      <c r="F778" s="16"/>
      <c r="G778" s="16"/>
    </row>
    <row r="779" spans="1:7" ht="13.2">
      <c r="A779" s="16"/>
      <c r="B779" s="16"/>
      <c r="C779" s="17"/>
      <c r="D779" s="17"/>
      <c r="F779" s="16"/>
      <c r="G779" s="16"/>
    </row>
    <row r="780" spans="1:7" ht="13.2">
      <c r="A780" s="16"/>
      <c r="B780" s="16"/>
      <c r="C780" s="17"/>
      <c r="D780" s="17"/>
      <c r="F780" s="16"/>
      <c r="G780" s="16"/>
    </row>
    <row r="781" spans="1:7" ht="13.2">
      <c r="A781" s="16"/>
      <c r="B781" s="16"/>
      <c r="C781" s="17"/>
      <c r="D781" s="17"/>
      <c r="F781" s="16"/>
      <c r="G781" s="16"/>
    </row>
    <row r="782" spans="1:7" ht="13.2">
      <c r="A782" s="16"/>
      <c r="B782" s="16"/>
      <c r="C782" s="17"/>
      <c r="D782" s="17"/>
      <c r="F782" s="16"/>
      <c r="G782" s="16"/>
    </row>
    <row r="783" spans="1:7" ht="13.2">
      <c r="A783" s="16"/>
      <c r="B783" s="16"/>
      <c r="C783" s="17"/>
      <c r="D783" s="17"/>
      <c r="F783" s="16"/>
      <c r="G783" s="16"/>
    </row>
    <row r="784" spans="1:7" ht="13.2">
      <c r="A784" s="16"/>
      <c r="B784" s="16"/>
      <c r="C784" s="17"/>
      <c r="D784" s="17"/>
      <c r="F784" s="16"/>
      <c r="G784" s="16"/>
    </row>
    <row r="785" spans="1:7" ht="13.2">
      <c r="A785" s="16"/>
      <c r="B785" s="16"/>
      <c r="C785" s="17"/>
      <c r="D785" s="17"/>
      <c r="F785" s="16"/>
      <c r="G785" s="16"/>
    </row>
    <row r="786" spans="1:7" ht="13.2">
      <c r="A786" s="16"/>
      <c r="B786" s="16"/>
      <c r="C786" s="17"/>
      <c r="D786" s="17"/>
      <c r="F786" s="16"/>
      <c r="G786" s="16"/>
    </row>
    <row r="787" spans="1:7" ht="13.2">
      <c r="A787" s="16"/>
      <c r="B787" s="16"/>
      <c r="C787" s="17"/>
      <c r="D787" s="17"/>
      <c r="F787" s="16"/>
      <c r="G787" s="16"/>
    </row>
    <row r="788" spans="1:7" ht="13.2">
      <c r="A788" s="16"/>
      <c r="B788" s="16"/>
      <c r="C788" s="17"/>
      <c r="D788" s="17"/>
      <c r="F788" s="16"/>
      <c r="G788" s="16"/>
    </row>
    <row r="789" spans="1:7" ht="13.2">
      <c r="A789" s="16"/>
      <c r="B789" s="16"/>
      <c r="C789" s="17"/>
      <c r="D789" s="17"/>
      <c r="F789" s="16"/>
      <c r="G789" s="16"/>
    </row>
    <row r="790" spans="1:7" ht="13.2">
      <c r="A790" s="16"/>
      <c r="B790" s="16"/>
      <c r="C790" s="17"/>
      <c r="D790" s="17"/>
      <c r="F790" s="16"/>
      <c r="G790" s="16"/>
    </row>
    <row r="791" spans="1:7" ht="13.2">
      <c r="A791" s="16"/>
      <c r="B791" s="16"/>
      <c r="C791" s="17"/>
      <c r="D791" s="17"/>
      <c r="F791" s="16"/>
      <c r="G791" s="16"/>
    </row>
    <row r="792" spans="1:7" ht="13.2">
      <c r="A792" s="16"/>
      <c r="B792" s="16"/>
      <c r="C792" s="17"/>
      <c r="D792" s="17"/>
      <c r="F792" s="16"/>
      <c r="G792" s="16"/>
    </row>
    <row r="793" spans="1:7" ht="13.2">
      <c r="A793" s="16"/>
      <c r="B793" s="16"/>
      <c r="C793" s="17"/>
      <c r="D793" s="17"/>
      <c r="F793" s="16"/>
      <c r="G793" s="16"/>
    </row>
    <row r="794" spans="1:7" ht="13.2">
      <c r="A794" s="16"/>
      <c r="B794" s="16"/>
      <c r="C794" s="17"/>
      <c r="D794" s="17"/>
      <c r="F794" s="16"/>
      <c r="G794" s="16"/>
    </row>
    <row r="795" spans="1:7" ht="13.2">
      <c r="A795" s="16"/>
      <c r="B795" s="16"/>
      <c r="C795" s="17"/>
      <c r="D795" s="17"/>
      <c r="F795" s="16"/>
      <c r="G795" s="16"/>
    </row>
    <row r="796" spans="1:7" ht="13.2">
      <c r="A796" s="16"/>
      <c r="B796" s="16"/>
      <c r="C796" s="17"/>
      <c r="D796" s="17"/>
      <c r="F796" s="16"/>
      <c r="G796" s="16"/>
    </row>
    <row r="797" spans="1:7" ht="13.2">
      <c r="A797" s="16"/>
      <c r="B797" s="16"/>
      <c r="C797" s="17"/>
      <c r="D797" s="17"/>
      <c r="F797" s="16"/>
      <c r="G797" s="16"/>
    </row>
    <row r="798" spans="1:7" ht="13.2">
      <c r="A798" s="16"/>
      <c r="B798" s="16"/>
      <c r="C798" s="17"/>
      <c r="D798" s="17"/>
      <c r="F798" s="16"/>
      <c r="G798" s="16"/>
    </row>
    <row r="799" spans="1:7" ht="13.2">
      <c r="A799" s="16"/>
      <c r="B799" s="16"/>
      <c r="C799" s="17"/>
      <c r="D799" s="17"/>
      <c r="F799" s="16"/>
      <c r="G799" s="16"/>
    </row>
    <row r="800" spans="1:7" ht="13.2">
      <c r="A800" s="16"/>
      <c r="B800" s="16"/>
      <c r="C800" s="17"/>
      <c r="D800" s="17"/>
      <c r="F800" s="16"/>
      <c r="G800" s="16"/>
    </row>
    <row r="801" spans="1:7" ht="13.2">
      <c r="A801" s="16"/>
      <c r="B801" s="16"/>
      <c r="C801" s="17"/>
      <c r="D801" s="17"/>
      <c r="F801" s="16"/>
      <c r="G801" s="16"/>
    </row>
    <row r="802" spans="1:7" ht="13.2">
      <c r="A802" s="16"/>
      <c r="B802" s="16"/>
      <c r="C802" s="17"/>
      <c r="D802" s="17"/>
      <c r="F802" s="16"/>
      <c r="G802" s="16"/>
    </row>
    <row r="803" spans="1:7" ht="13.2">
      <c r="A803" s="16"/>
      <c r="B803" s="16"/>
      <c r="C803" s="17"/>
      <c r="D803" s="17"/>
      <c r="F803" s="16"/>
      <c r="G803" s="16"/>
    </row>
    <row r="804" spans="1:7" ht="13.2">
      <c r="A804" s="16"/>
      <c r="B804" s="16"/>
      <c r="C804" s="17"/>
      <c r="D804" s="17"/>
      <c r="F804" s="16"/>
      <c r="G804" s="16"/>
    </row>
    <row r="805" spans="1:7" ht="13.2">
      <c r="A805" s="16"/>
      <c r="B805" s="16"/>
      <c r="C805" s="17"/>
      <c r="D805" s="17"/>
      <c r="F805" s="16"/>
      <c r="G805" s="16"/>
    </row>
    <row r="806" spans="1:7" ht="13.2">
      <c r="A806" s="16"/>
      <c r="B806" s="16"/>
      <c r="C806" s="17"/>
      <c r="D806" s="17"/>
      <c r="F806" s="16"/>
      <c r="G806" s="16"/>
    </row>
    <row r="807" spans="1:7" ht="13.2">
      <c r="A807" s="16"/>
      <c r="B807" s="16"/>
      <c r="C807" s="17"/>
      <c r="D807" s="17"/>
      <c r="F807" s="16"/>
      <c r="G807" s="16"/>
    </row>
    <row r="808" spans="1:7" ht="13.2">
      <c r="A808" s="16"/>
      <c r="B808" s="16"/>
      <c r="C808" s="17"/>
      <c r="D808" s="17"/>
      <c r="F808" s="16"/>
      <c r="G808" s="16"/>
    </row>
    <row r="809" spans="1:7" ht="13.2">
      <c r="A809" s="16"/>
      <c r="B809" s="16"/>
      <c r="C809" s="17"/>
      <c r="D809" s="17"/>
      <c r="F809" s="16"/>
      <c r="G809" s="16"/>
    </row>
    <row r="810" spans="1:7" ht="13.2">
      <c r="A810" s="16"/>
      <c r="B810" s="16"/>
      <c r="C810" s="17"/>
      <c r="D810" s="17"/>
      <c r="F810" s="16"/>
      <c r="G810" s="16"/>
    </row>
    <row r="811" spans="1:7" ht="13.2">
      <c r="A811" s="16"/>
      <c r="B811" s="16"/>
      <c r="C811" s="17"/>
      <c r="D811" s="17"/>
      <c r="F811" s="16"/>
      <c r="G811" s="16"/>
    </row>
    <row r="812" spans="1:7" ht="13.2">
      <c r="A812" s="16"/>
      <c r="B812" s="16"/>
      <c r="C812" s="17"/>
      <c r="D812" s="17"/>
      <c r="F812" s="16"/>
      <c r="G812" s="16"/>
    </row>
    <row r="813" spans="1:7" ht="13.2">
      <c r="A813" s="16"/>
      <c r="B813" s="16"/>
      <c r="C813" s="17"/>
      <c r="D813" s="17"/>
      <c r="F813" s="16"/>
      <c r="G813" s="16"/>
    </row>
    <row r="814" spans="1:7" ht="13.2">
      <c r="A814" s="16"/>
      <c r="B814" s="16"/>
      <c r="C814" s="17"/>
      <c r="D814" s="17"/>
      <c r="F814" s="16"/>
      <c r="G814" s="16"/>
    </row>
    <row r="815" spans="1:7" ht="13.2">
      <c r="A815" s="16"/>
      <c r="B815" s="16"/>
      <c r="C815" s="17"/>
      <c r="D815" s="17"/>
      <c r="F815" s="16"/>
      <c r="G815" s="16"/>
    </row>
    <row r="816" spans="1:7" ht="13.2">
      <c r="A816" s="16"/>
      <c r="B816" s="16"/>
      <c r="C816" s="17"/>
      <c r="D816" s="17"/>
      <c r="F816" s="16"/>
      <c r="G816" s="16"/>
    </row>
    <row r="817" spans="1:7" ht="13.2">
      <c r="A817" s="16"/>
      <c r="B817" s="16"/>
      <c r="C817" s="17"/>
      <c r="D817" s="17"/>
      <c r="F817" s="16"/>
      <c r="G817" s="16"/>
    </row>
    <row r="818" spans="1:7" ht="13.2">
      <c r="A818" s="16"/>
      <c r="B818" s="16"/>
      <c r="C818" s="17"/>
      <c r="D818" s="17"/>
      <c r="F818" s="16"/>
      <c r="G818" s="16"/>
    </row>
    <row r="819" spans="1:7" ht="13.2">
      <c r="A819" s="16"/>
      <c r="B819" s="16"/>
      <c r="C819" s="17"/>
      <c r="D819" s="17"/>
      <c r="F819" s="16"/>
      <c r="G819" s="16"/>
    </row>
    <row r="820" spans="1:7" ht="13.2">
      <c r="A820" s="16"/>
      <c r="B820" s="16"/>
      <c r="C820" s="17"/>
      <c r="D820" s="17"/>
      <c r="F820" s="16"/>
      <c r="G820" s="16"/>
    </row>
    <row r="821" spans="1:7" ht="13.2">
      <c r="A821" s="16"/>
      <c r="B821" s="16"/>
      <c r="C821" s="17"/>
      <c r="D821" s="17"/>
      <c r="F821" s="16"/>
      <c r="G821" s="16"/>
    </row>
    <row r="822" spans="1:7" ht="13.2">
      <c r="A822" s="16"/>
      <c r="B822" s="16"/>
      <c r="C822" s="17"/>
      <c r="D822" s="17"/>
      <c r="F822" s="16"/>
      <c r="G822" s="16"/>
    </row>
    <row r="823" spans="1:7" ht="13.2">
      <c r="A823" s="16"/>
      <c r="B823" s="16"/>
      <c r="C823" s="17"/>
      <c r="D823" s="17"/>
      <c r="F823" s="16"/>
      <c r="G823" s="16"/>
    </row>
    <row r="824" spans="1:7" ht="13.2">
      <c r="A824" s="16"/>
      <c r="B824" s="16"/>
      <c r="C824" s="17"/>
      <c r="D824" s="17"/>
      <c r="F824" s="16"/>
      <c r="G824" s="16"/>
    </row>
    <row r="825" spans="1:7" ht="13.2">
      <c r="A825" s="16"/>
      <c r="B825" s="16"/>
      <c r="C825" s="17"/>
      <c r="D825" s="17"/>
      <c r="F825" s="16"/>
      <c r="G825" s="16"/>
    </row>
    <row r="826" spans="1:7" ht="13.2">
      <c r="A826" s="16"/>
      <c r="B826" s="16"/>
      <c r="C826" s="17"/>
      <c r="D826" s="17"/>
      <c r="F826" s="16"/>
      <c r="G826" s="16"/>
    </row>
    <row r="827" spans="1:7" ht="13.2">
      <c r="A827" s="16"/>
      <c r="B827" s="16"/>
      <c r="C827" s="17"/>
      <c r="D827" s="17"/>
      <c r="F827" s="16"/>
      <c r="G827" s="16"/>
    </row>
    <row r="828" spans="1:7" ht="13.2">
      <c r="A828" s="16"/>
      <c r="B828" s="16"/>
      <c r="C828" s="17"/>
      <c r="D828" s="17"/>
      <c r="F828" s="16"/>
      <c r="G828" s="16"/>
    </row>
    <row r="829" spans="1:7" ht="13.2">
      <c r="A829" s="16"/>
      <c r="B829" s="16"/>
      <c r="C829" s="17"/>
      <c r="D829" s="17"/>
      <c r="F829" s="16"/>
      <c r="G829" s="16"/>
    </row>
    <row r="830" spans="1:7" ht="13.2">
      <c r="A830" s="16"/>
      <c r="B830" s="16"/>
      <c r="C830" s="17"/>
      <c r="D830" s="17"/>
      <c r="F830" s="16"/>
      <c r="G830" s="16"/>
    </row>
    <row r="831" spans="1:7" ht="13.2">
      <c r="A831" s="16"/>
      <c r="B831" s="16"/>
      <c r="C831" s="17"/>
      <c r="D831" s="17"/>
      <c r="F831" s="16"/>
      <c r="G831" s="16"/>
    </row>
    <row r="832" spans="1:7" ht="13.2">
      <c r="A832" s="16"/>
      <c r="B832" s="16"/>
      <c r="C832" s="17"/>
      <c r="D832" s="17"/>
      <c r="F832" s="16"/>
      <c r="G832" s="16"/>
    </row>
    <row r="833" spans="1:7" ht="13.2">
      <c r="A833" s="16"/>
      <c r="B833" s="16"/>
      <c r="C833" s="17"/>
      <c r="D833" s="17"/>
      <c r="F833" s="16"/>
      <c r="G833" s="16"/>
    </row>
    <row r="834" spans="1:7" ht="13.2">
      <c r="A834" s="16"/>
      <c r="B834" s="16"/>
      <c r="C834" s="17"/>
      <c r="D834" s="17"/>
      <c r="F834" s="16"/>
      <c r="G834" s="16"/>
    </row>
    <row r="835" spans="1:7" ht="13.2">
      <c r="A835" s="16"/>
      <c r="B835" s="16"/>
      <c r="C835" s="17"/>
      <c r="D835" s="17"/>
      <c r="F835" s="16"/>
      <c r="G835" s="16"/>
    </row>
    <row r="836" spans="1:7" ht="13.2">
      <c r="A836" s="16"/>
      <c r="B836" s="16"/>
      <c r="C836" s="17"/>
      <c r="D836" s="17"/>
      <c r="F836" s="16"/>
      <c r="G836" s="16"/>
    </row>
    <row r="837" spans="1:7" ht="13.2">
      <c r="A837" s="16"/>
      <c r="B837" s="16"/>
      <c r="C837" s="17"/>
      <c r="D837" s="17"/>
      <c r="F837" s="16"/>
      <c r="G837" s="16"/>
    </row>
    <row r="838" spans="1:7" ht="13.2">
      <c r="A838" s="16"/>
      <c r="B838" s="16"/>
      <c r="C838" s="17"/>
      <c r="D838" s="17"/>
      <c r="F838" s="16"/>
      <c r="G838" s="16"/>
    </row>
    <row r="839" spans="1:7" ht="13.2">
      <c r="A839" s="16"/>
      <c r="B839" s="16"/>
      <c r="C839" s="17"/>
      <c r="D839" s="17"/>
      <c r="F839" s="16"/>
      <c r="G839" s="16"/>
    </row>
    <row r="840" spans="1:7" ht="13.2">
      <c r="A840" s="16"/>
      <c r="B840" s="16"/>
      <c r="C840" s="17"/>
      <c r="D840" s="17"/>
      <c r="F840" s="16"/>
      <c r="G840" s="16"/>
    </row>
    <row r="841" spans="1:7" ht="13.2">
      <c r="A841" s="16"/>
      <c r="B841" s="16"/>
      <c r="C841" s="17"/>
      <c r="D841" s="17"/>
      <c r="F841" s="16"/>
      <c r="G841" s="16"/>
    </row>
    <row r="842" spans="1:7" ht="13.2">
      <c r="A842" s="16"/>
      <c r="B842" s="16"/>
      <c r="C842" s="17"/>
      <c r="D842" s="17"/>
      <c r="F842" s="16"/>
      <c r="G842" s="16"/>
    </row>
    <row r="843" spans="1:7" ht="13.2">
      <c r="A843" s="16"/>
      <c r="B843" s="16"/>
      <c r="C843" s="17"/>
      <c r="D843" s="17"/>
      <c r="F843" s="16"/>
      <c r="G843" s="16"/>
    </row>
    <row r="844" spans="1:7" ht="13.2">
      <c r="A844" s="16"/>
      <c r="B844" s="16"/>
      <c r="C844" s="17"/>
      <c r="D844" s="17"/>
      <c r="F844" s="16"/>
      <c r="G844" s="16"/>
    </row>
    <row r="845" spans="1:7" ht="13.2">
      <c r="A845" s="16"/>
      <c r="B845" s="16"/>
      <c r="C845" s="17"/>
      <c r="D845" s="17"/>
      <c r="F845" s="16"/>
      <c r="G845" s="16"/>
    </row>
    <row r="846" spans="1:7" ht="13.2">
      <c r="A846" s="16"/>
      <c r="B846" s="16"/>
      <c r="C846" s="17"/>
      <c r="D846" s="17"/>
      <c r="F846" s="16"/>
      <c r="G846" s="16"/>
    </row>
    <row r="847" spans="1:7" ht="13.2">
      <c r="A847" s="16"/>
      <c r="B847" s="16"/>
      <c r="C847" s="17"/>
      <c r="D847" s="17"/>
      <c r="F847" s="16"/>
      <c r="G847" s="16"/>
    </row>
    <row r="848" spans="1:7" ht="13.2">
      <c r="A848" s="16"/>
      <c r="B848" s="16"/>
      <c r="C848" s="17"/>
      <c r="D848" s="17"/>
      <c r="F848" s="16"/>
      <c r="G848" s="16"/>
    </row>
    <row r="849" spans="1:7" ht="13.2">
      <c r="A849" s="16"/>
      <c r="B849" s="16"/>
      <c r="C849" s="17"/>
      <c r="D849" s="17"/>
      <c r="F849" s="16"/>
      <c r="G849" s="16"/>
    </row>
    <row r="850" spans="1:7" ht="13.2">
      <c r="A850" s="16"/>
      <c r="B850" s="16"/>
      <c r="C850" s="17"/>
      <c r="D850" s="17"/>
      <c r="F850" s="16"/>
      <c r="G850" s="16"/>
    </row>
    <row r="851" spans="1:7" ht="13.2">
      <c r="A851" s="16"/>
      <c r="B851" s="16"/>
      <c r="C851" s="17"/>
      <c r="D851" s="17"/>
      <c r="F851" s="16"/>
      <c r="G851" s="16"/>
    </row>
    <row r="852" spans="1:7" ht="13.2">
      <c r="A852" s="16"/>
      <c r="B852" s="16"/>
      <c r="C852" s="17"/>
      <c r="D852" s="17"/>
      <c r="F852" s="16"/>
      <c r="G852" s="16"/>
    </row>
    <row r="853" spans="1:7" ht="13.2">
      <c r="A853" s="16"/>
      <c r="B853" s="16"/>
      <c r="C853" s="17"/>
      <c r="D853" s="17"/>
      <c r="F853" s="16"/>
      <c r="G853" s="16"/>
    </row>
    <row r="854" spans="1:7" ht="13.2">
      <c r="A854" s="16"/>
      <c r="B854" s="16"/>
      <c r="C854" s="17"/>
      <c r="D854" s="17"/>
      <c r="F854" s="16"/>
      <c r="G854" s="16"/>
    </row>
    <row r="855" spans="1:7" ht="13.2">
      <c r="A855" s="16"/>
      <c r="B855" s="16"/>
      <c r="C855" s="17"/>
      <c r="D855" s="17"/>
      <c r="F855" s="16"/>
      <c r="G855" s="16"/>
    </row>
    <row r="856" spans="1:7" ht="13.2">
      <c r="A856" s="16"/>
      <c r="B856" s="16"/>
      <c r="C856" s="17"/>
      <c r="D856" s="17"/>
      <c r="F856" s="16"/>
      <c r="G856" s="16"/>
    </row>
    <row r="857" spans="1:7" ht="13.2">
      <c r="A857" s="16"/>
      <c r="B857" s="16"/>
      <c r="C857" s="17"/>
      <c r="D857" s="17"/>
      <c r="F857" s="16"/>
      <c r="G857" s="16"/>
    </row>
    <row r="858" spans="1:7" ht="13.2">
      <c r="A858" s="16"/>
      <c r="B858" s="16"/>
      <c r="C858" s="17"/>
      <c r="D858" s="17"/>
      <c r="F858" s="16"/>
      <c r="G858" s="16"/>
    </row>
    <row r="859" spans="1:7" ht="13.2">
      <c r="A859" s="16"/>
      <c r="B859" s="16"/>
      <c r="C859" s="17"/>
      <c r="D859" s="17"/>
      <c r="F859" s="16"/>
      <c r="G859" s="16"/>
    </row>
    <row r="860" spans="1:7" ht="13.2">
      <c r="A860" s="16"/>
      <c r="B860" s="16"/>
      <c r="C860" s="17"/>
      <c r="D860" s="17"/>
      <c r="F860" s="16"/>
      <c r="G860" s="16"/>
    </row>
    <row r="861" spans="1:7" ht="13.2">
      <c r="A861" s="16"/>
      <c r="B861" s="16"/>
      <c r="C861" s="17"/>
      <c r="D861" s="17"/>
      <c r="F861" s="16"/>
      <c r="G861" s="16"/>
    </row>
    <row r="862" spans="1:7" ht="13.2">
      <c r="A862" s="16"/>
      <c r="B862" s="16"/>
      <c r="C862" s="17"/>
      <c r="D862" s="17"/>
      <c r="F862" s="16"/>
      <c r="G862" s="16"/>
    </row>
    <row r="863" spans="1:7" ht="13.2">
      <c r="A863" s="16"/>
      <c r="B863" s="16"/>
      <c r="C863" s="17"/>
      <c r="D863" s="17"/>
      <c r="F863" s="16"/>
      <c r="G863" s="16"/>
    </row>
    <row r="864" spans="1:7" ht="13.2">
      <c r="A864" s="16"/>
      <c r="B864" s="16"/>
      <c r="C864" s="17"/>
      <c r="D864" s="17"/>
      <c r="F864" s="16"/>
      <c r="G864" s="16"/>
    </row>
    <row r="865" spans="1:7" ht="13.2">
      <c r="A865" s="16"/>
      <c r="B865" s="16"/>
      <c r="C865" s="17"/>
      <c r="D865" s="17"/>
      <c r="F865" s="16"/>
      <c r="G865" s="16"/>
    </row>
    <row r="866" spans="1:7" ht="13.2">
      <c r="A866" s="16"/>
      <c r="B866" s="16"/>
      <c r="C866" s="17"/>
      <c r="D866" s="17"/>
      <c r="F866" s="16"/>
      <c r="G866" s="16"/>
    </row>
    <row r="867" spans="1:7" ht="13.2">
      <c r="A867" s="16"/>
      <c r="B867" s="16"/>
      <c r="C867" s="17"/>
      <c r="D867" s="17"/>
      <c r="F867" s="16"/>
      <c r="G867" s="16"/>
    </row>
    <row r="868" spans="1:7" ht="13.2">
      <c r="A868" s="16"/>
      <c r="B868" s="16"/>
      <c r="C868" s="17"/>
      <c r="D868" s="17"/>
      <c r="F868" s="16"/>
      <c r="G868" s="16"/>
    </row>
    <row r="869" spans="1:7" ht="13.2">
      <c r="A869" s="16"/>
      <c r="B869" s="16"/>
      <c r="C869" s="17"/>
      <c r="D869" s="17"/>
      <c r="F869" s="16"/>
      <c r="G869" s="16"/>
    </row>
    <row r="870" spans="1:7" ht="13.2">
      <c r="A870" s="16"/>
      <c r="B870" s="16"/>
      <c r="C870" s="17"/>
      <c r="D870" s="17"/>
      <c r="F870" s="16"/>
      <c r="G870" s="16"/>
    </row>
    <row r="871" spans="1:7" ht="13.2">
      <c r="A871" s="16"/>
      <c r="B871" s="16"/>
      <c r="C871" s="17"/>
      <c r="D871" s="17"/>
      <c r="F871" s="16"/>
      <c r="G871" s="16"/>
    </row>
    <row r="872" spans="1:7" ht="13.2">
      <c r="A872" s="16"/>
      <c r="B872" s="16"/>
      <c r="C872" s="17"/>
      <c r="D872" s="17"/>
      <c r="F872" s="16"/>
      <c r="G872" s="16"/>
    </row>
    <row r="873" spans="1:7" ht="13.2">
      <c r="A873" s="16"/>
      <c r="B873" s="16"/>
      <c r="C873" s="17"/>
      <c r="D873" s="17"/>
      <c r="F873" s="16"/>
      <c r="G873" s="16"/>
    </row>
    <row r="874" spans="1:7" ht="13.2">
      <c r="A874" s="16"/>
      <c r="B874" s="16"/>
      <c r="C874" s="17"/>
      <c r="D874" s="17"/>
      <c r="F874" s="16"/>
      <c r="G874" s="16"/>
    </row>
    <row r="875" spans="1:7" ht="13.2">
      <c r="A875" s="16"/>
      <c r="B875" s="16"/>
      <c r="C875" s="17"/>
      <c r="D875" s="17"/>
      <c r="F875" s="16"/>
      <c r="G875" s="16"/>
    </row>
    <row r="876" spans="1:7" ht="13.2">
      <c r="A876" s="16"/>
      <c r="B876" s="16"/>
      <c r="C876" s="17"/>
      <c r="D876" s="17"/>
      <c r="F876" s="16"/>
      <c r="G876" s="16"/>
    </row>
    <row r="877" spans="1:7" ht="13.2">
      <c r="A877" s="16"/>
      <c r="B877" s="16"/>
      <c r="C877" s="17"/>
      <c r="D877" s="17"/>
      <c r="F877" s="16"/>
      <c r="G877" s="16"/>
    </row>
    <row r="878" spans="1:7" ht="13.2">
      <c r="A878" s="16"/>
      <c r="B878" s="16"/>
      <c r="C878" s="17"/>
      <c r="D878" s="17"/>
      <c r="F878" s="16"/>
      <c r="G878" s="16"/>
    </row>
    <row r="879" spans="1:7" ht="13.2">
      <c r="A879" s="16"/>
      <c r="B879" s="16"/>
      <c r="C879" s="17"/>
      <c r="D879" s="17"/>
      <c r="F879" s="16"/>
      <c r="G879" s="16"/>
    </row>
    <row r="880" spans="1:7" ht="13.2">
      <c r="A880" s="16"/>
      <c r="B880" s="16"/>
      <c r="C880" s="17"/>
      <c r="D880" s="17"/>
      <c r="F880" s="16"/>
      <c r="G880" s="16"/>
    </row>
    <row r="881" spans="1:7" ht="13.2">
      <c r="A881" s="16"/>
      <c r="B881" s="16"/>
      <c r="C881" s="17"/>
      <c r="D881" s="17"/>
      <c r="F881" s="16"/>
      <c r="G881" s="16"/>
    </row>
    <row r="882" spans="1:7" ht="13.2">
      <c r="A882" s="16"/>
      <c r="B882" s="16"/>
      <c r="C882" s="17"/>
      <c r="D882" s="17"/>
      <c r="F882" s="16"/>
      <c r="G882" s="16"/>
    </row>
    <row r="883" spans="1:7" ht="13.2">
      <c r="A883" s="16"/>
      <c r="B883" s="16"/>
      <c r="C883" s="17"/>
      <c r="D883" s="17"/>
      <c r="F883" s="16"/>
      <c r="G883" s="16"/>
    </row>
    <row r="884" spans="1:7" ht="13.2">
      <c r="A884" s="16"/>
      <c r="B884" s="16"/>
      <c r="C884" s="17"/>
      <c r="D884" s="17"/>
      <c r="F884" s="16"/>
      <c r="G884" s="16"/>
    </row>
    <row r="885" spans="1:7" ht="13.2">
      <c r="A885" s="16"/>
      <c r="B885" s="16"/>
      <c r="C885" s="17"/>
      <c r="D885" s="17"/>
      <c r="F885" s="16"/>
      <c r="G885" s="16"/>
    </row>
    <row r="886" spans="1:7" ht="13.2">
      <c r="A886" s="16"/>
      <c r="B886" s="16"/>
      <c r="C886" s="17"/>
      <c r="D886" s="17"/>
      <c r="F886" s="16"/>
      <c r="G886" s="16"/>
    </row>
    <row r="887" spans="1:7" ht="13.2">
      <c r="A887" s="16"/>
      <c r="B887" s="16"/>
      <c r="C887" s="17"/>
      <c r="D887" s="17"/>
      <c r="F887" s="16"/>
      <c r="G887" s="16"/>
    </row>
    <row r="888" spans="1:7" ht="13.2">
      <c r="A888" s="16"/>
      <c r="B888" s="16"/>
      <c r="C888" s="17"/>
      <c r="D888" s="17"/>
      <c r="F888" s="16"/>
      <c r="G888" s="16"/>
    </row>
    <row r="889" spans="1:7" ht="13.2">
      <c r="A889" s="16"/>
      <c r="B889" s="16"/>
      <c r="C889" s="17"/>
      <c r="D889" s="17"/>
      <c r="F889" s="16"/>
      <c r="G889" s="16"/>
    </row>
    <row r="890" spans="1:7" ht="13.2">
      <c r="A890" s="16"/>
      <c r="B890" s="16"/>
      <c r="C890" s="17"/>
      <c r="D890" s="17"/>
      <c r="F890" s="16"/>
      <c r="G890" s="16"/>
    </row>
    <row r="891" spans="1:7" ht="13.2">
      <c r="A891" s="16"/>
      <c r="B891" s="16"/>
      <c r="C891" s="17"/>
      <c r="D891" s="17"/>
      <c r="F891" s="16"/>
      <c r="G891" s="16"/>
    </row>
    <row r="892" spans="1:7" ht="13.2">
      <c r="A892" s="16"/>
      <c r="B892" s="16"/>
      <c r="C892" s="17"/>
      <c r="D892" s="17"/>
      <c r="F892" s="16"/>
      <c r="G892" s="16"/>
    </row>
    <row r="893" spans="1:7" ht="13.2">
      <c r="A893" s="16"/>
      <c r="B893" s="16"/>
      <c r="C893" s="17"/>
      <c r="D893" s="17"/>
      <c r="F893" s="16"/>
      <c r="G893" s="16"/>
    </row>
    <row r="894" spans="1:7" ht="13.2">
      <c r="A894" s="16"/>
      <c r="B894" s="16"/>
      <c r="C894" s="17"/>
      <c r="D894" s="17"/>
      <c r="F894" s="16"/>
      <c r="G894" s="16"/>
    </row>
    <row r="895" spans="1:7" ht="13.2">
      <c r="A895" s="16"/>
      <c r="B895" s="16"/>
      <c r="C895" s="17"/>
      <c r="D895" s="17"/>
      <c r="F895" s="16"/>
      <c r="G895" s="16"/>
    </row>
    <row r="896" spans="1:7" ht="13.2">
      <c r="A896" s="16"/>
      <c r="B896" s="16"/>
      <c r="C896" s="17"/>
      <c r="D896" s="17"/>
      <c r="F896" s="16"/>
      <c r="G896" s="16"/>
    </row>
    <row r="897" spans="1:7" ht="13.2">
      <c r="A897" s="16"/>
      <c r="B897" s="16"/>
      <c r="C897" s="17"/>
      <c r="D897" s="17"/>
      <c r="F897" s="16"/>
      <c r="G897" s="16"/>
    </row>
    <row r="898" spans="1:7" ht="13.2">
      <c r="A898" s="16"/>
      <c r="B898" s="16"/>
      <c r="C898" s="17"/>
      <c r="D898" s="17"/>
      <c r="F898" s="16"/>
      <c r="G898" s="16"/>
    </row>
    <row r="899" spans="1:7" ht="13.2">
      <c r="A899" s="16"/>
      <c r="B899" s="16"/>
      <c r="C899" s="17"/>
      <c r="D899" s="17"/>
      <c r="F899" s="16"/>
      <c r="G899" s="16"/>
    </row>
    <row r="900" spans="1:7" ht="13.2">
      <c r="A900" s="16"/>
      <c r="B900" s="16"/>
      <c r="C900" s="17"/>
      <c r="D900" s="17"/>
      <c r="F900" s="16"/>
      <c r="G900" s="16"/>
    </row>
    <row r="901" spans="1:7" ht="13.2">
      <c r="A901" s="16"/>
      <c r="B901" s="16"/>
      <c r="C901" s="17"/>
      <c r="D901" s="17"/>
      <c r="F901" s="16"/>
      <c r="G901" s="16"/>
    </row>
    <row r="902" spans="1:7" ht="13.2">
      <c r="A902" s="16"/>
      <c r="B902" s="16"/>
      <c r="C902" s="17"/>
      <c r="D902" s="17"/>
      <c r="F902" s="16"/>
      <c r="G902" s="16"/>
    </row>
    <row r="903" spans="1:7" ht="13.2">
      <c r="A903" s="16"/>
      <c r="B903" s="16"/>
      <c r="C903" s="17"/>
      <c r="D903" s="17"/>
      <c r="F903" s="16"/>
      <c r="G903" s="16"/>
    </row>
    <row r="904" spans="1:7" ht="13.2">
      <c r="A904" s="16"/>
      <c r="B904" s="16"/>
      <c r="C904" s="17"/>
      <c r="D904" s="17"/>
      <c r="F904" s="16"/>
      <c r="G904" s="16"/>
    </row>
    <row r="905" spans="1:7" ht="13.2">
      <c r="A905" s="16"/>
      <c r="B905" s="16"/>
      <c r="C905" s="17"/>
      <c r="D905" s="17"/>
      <c r="F905" s="16"/>
      <c r="G905" s="16"/>
    </row>
    <row r="906" spans="1:7" ht="13.2">
      <c r="A906" s="16"/>
      <c r="B906" s="16"/>
      <c r="C906" s="17"/>
      <c r="D906" s="17"/>
      <c r="F906" s="16"/>
      <c r="G906" s="16"/>
    </row>
    <row r="907" spans="1:7" ht="13.2">
      <c r="A907" s="16"/>
      <c r="B907" s="16"/>
      <c r="C907" s="17"/>
      <c r="D907" s="17"/>
      <c r="F907" s="16"/>
      <c r="G907" s="16"/>
    </row>
    <row r="908" spans="1:7" ht="13.2">
      <c r="A908" s="16"/>
      <c r="B908" s="16"/>
      <c r="C908" s="17"/>
      <c r="D908" s="17"/>
      <c r="F908" s="16"/>
      <c r="G908" s="16"/>
    </row>
    <row r="909" spans="1:7" ht="13.2">
      <c r="A909" s="16"/>
      <c r="B909" s="16"/>
      <c r="C909" s="17"/>
      <c r="D909" s="17"/>
      <c r="F909" s="16"/>
      <c r="G909" s="16"/>
    </row>
    <row r="910" spans="1:7" ht="13.2">
      <c r="A910" s="16"/>
      <c r="B910" s="16"/>
      <c r="C910" s="17"/>
      <c r="D910" s="17"/>
      <c r="F910" s="16"/>
      <c r="G910" s="16"/>
    </row>
    <row r="911" spans="1:7" ht="13.2">
      <c r="A911" s="16"/>
      <c r="B911" s="16"/>
      <c r="C911" s="17"/>
      <c r="D911" s="17"/>
      <c r="F911" s="16"/>
      <c r="G911" s="16"/>
    </row>
    <row r="912" spans="1:7" ht="13.2">
      <c r="A912" s="16"/>
      <c r="B912" s="16"/>
      <c r="C912" s="17"/>
      <c r="D912" s="17"/>
      <c r="F912" s="16"/>
      <c r="G912" s="16"/>
    </row>
    <row r="913" spans="1:7" ht="13.2">
      <c r="A913" s="16"/>
      <c r="B913" s="16"/>
      <c r="C913" s="17"/>
      <c r="D913" s="17"/>
      <c r="F913" s="16"/>
      <c r="G913" s="16"/>
    </row>
    <row r="914" spans="1:7" ht="13.2">
      <c r="A914" s="16"/>
      <c r="B914" s="16"/>
      <c r="C914" s="17"/>
      <c r="D914" s="17"/>
      <c r="F914" s="16"/>
      <c r="G914" s="16"/>
    </row>
    <row r="915" spans="1:7" ht="13.2">
      <c r="A915" s="16"/>
      <c r="B915" s="16"/>
      <c r="C915" s="17"/>
      <c r="D915" s="17"/>
      <c r="F915" s="16"/>
      <c r="G915" s="16"/>
    </row>
    <row r="916" spans="1:7" ht="13.2">
      <c r="A916" s="16"/>
      <c r="B916" s="16"/>
      <c r="C916" s="17"/>
      <c r="D916" s="17"/>
      <c r="F916" s="16"/>
      <c r="G916" s="16"/>
    </row>
    <row r="917" spans="1:7" ht="13.2">
      <c r="A917" s="16"/>
      <c r="B917" s="16"/>
      <c r="C917" s="17"/>
      <c r="D917" s="17"/>
      <c r="F917" s="16"/>
      <c r="G917" s="16"/>
    </row>
    <row r="918" spans="1:7" ht="13.2">
      <c r="A918" s="16"/>
      <c r="B918" s="16"/>
      <c r="C918" s="17"/>
      <c r="D918" s="17"/>
      <c r="F918" s="16"/>
      <c r="G918" s="16"/>
    </row>
    <row r="919" spans="1:7" ht="13.2">
      <c r="A919" s="16"/>
      <c r="B919" s="16"/>
      <c r="C919" s="17"/>
      <c r="D919" s="17"/>
      <c r="F919" s="16"/>
      <c r="G919" s="16"/>
    </row>
    <row r="920" spans="1:7" ht="13.2">
      <c r="A920" s="16"/>
      <c r="B920" s="16"/>
      <c r="C920" s="17"/>
      <c r="D920" s="17"/>
      <c r="F920" s="16"/>
      <c r="G920" s="16"/>
    </row>
    <row r="921" spans="1:7" ht="13.2">
      <c r="A921" s="16"/>
      <c r="B921" s="16"/>
      <c r="C921" s="17"/>
      <c r="D921" s="17"/>
      <c r="F921" s="16"/>
      <c r="G921" s="16"/>
    </row>
    <row r="922" spans="1:7" ht="13.2">
      <c r="A922" s="16"/>
      <c r="B922" s="16"/>
      <c r="C922" s="17"/>
      <c r="D922" s="17"/>
      <c r="F922" s="16"/>
      <c r="G922" s="16"/>
    </row>
    <row r="923" spans="1:7" ht="13.2">
      <c r="A923" s="16"/>
      <c r="B923" s="16"/>
      <c r="C923" s="17"/>
      <c r="D923" s="17"/>
      <c r="F923" s="16"/>
      <c r="G923" s="16"/>
    </row>
    <row r="924" spans="1:7" ht="13.2">
      <c r="A924" s="16"/>
      <c r="B924" s="16"/>
      <c r="C924" s="17"/>
      <c r="D924" s="17"/>
      <c r="F924" s="16"/>
      <c r="G924" s="16"/>
    </row>
    <row r="925" spans="1:7" ht="13.2">
      <c r="A925" s="16"/>
      <c r="B925" s="16"/>
      <c r="C925" s="17"/>
      <c r="D925" s="17"/>
      <c r="F925" s="16"/>
      <c r="G925" s="16"/>
    </row>
    <row r="926" spans="1:7" ht="13.2">
      <c r="A926" s="16"/>
      <c r="B926" s="16"/>
      <c r="C926" s="17"/>
      <c r="D926" s="17"/>
      <c r="F926" s="16"/>
      <c r="G926" s="16"/>
    </row>
    <row r="927" spans="1:7" ht="13.2">
      <c r="A927" s="16"/>
      <c r="B927" s="16"/>
      <c r="C927" s="17"/>
      <c r="D927" s="17"/>
      <c r="F927" s="16"/>
      <c r="G927" s="16"/>
    </row>
    <row r="928" spans="1:7" ht="13.2">
      <c r="A928" s="16"/>
      <c r="B928" s="16"/>
      <c r="C928" s="17"/>
      <c r="D928" s="17"/>
      <c r="F928" s="16"/>
      <c r="G928" s="16"/>
    </row>
    <row r="929" spans="1:7" ht="13.2">
      <c r="A929" s="16"/>
      <c r="B929" s="16"/>
      <c r="C929" s="17"/>
      <c r="D929" s="17"/>
      <c r="F929" s="16"/>
      <c r="G929" s="16"/>
    </row>
    <row r="930" spans="1:7" ht="13.2">
      <c r="A930" s="16"/>
      <c r="B930" s="16"/>
      <c r="C930" s="17"/>
      <c r="D930" s="17"/>
      <c r="F930" s="16"/>
      <c r="G930" s="16"/>
    </row>
    <row r="931" spans="1:7" ht="13.2">
      <c r="A931" s="16"/>
      <c r="B931" s="16"/>
      <c r="C931" s="17"/>
      <c r="D931" s="17"/>
      <c r="F931" s="16"/>
      <c r="G931" s="16"/>
    </row>
    <row r="932" spans="1:7" ht="13.2">
      <c r="A932" s="16"/>
      <c r="B932" s="16"/>
      <c r="C932" s="17"/>
      <c r="D932" s="17"/>
      <c r="F932" s="16"/>
      <c r="G932" s="16"/>
    </row>
    <row r="933" spans="1:7" ht="13.2">
      <c r="A933" s="16"/>
      <c r="B933" s="16"/>
      <c r="C933" s="17"/>
      <c r="D933" s="17"/>
      <c r="F933" s="16"/>
      <c r="G933" s="16"/>
    </row>
    <row r="934" spans="1:7" ht="13.2">
      <c r="A934" s="16"/>
      <c r="B934" s="16"/>
      <c r="C934" s="17"/>
      <c r="D934" s="17"/>
      <c r="F934" s="16"/>
      <c r="G934" s="16"/>
    </row>
    <row r="935" spans="1:7" ht="13.2">
      <c r="A935" s="16"/>
      <c r="B935" s="16"/>
      <c r="C935" s="17"/>
      <c r="D935" s="17"/>
      <c r="F935" s="16"/>
      <c r="G935" s="16"/>
    </row>
    <row r="936" spans="1:7" ht="13.2">
      <c r="A936" s="16"/>
      <c r="B936" s="16"/>
      <c r="C936" s="17"/>
      <c r="D936" s="17"/>
      <c r="F936" s="16"/>
      <c r="G936" s="16"/>
    </row>
    <row r="937" spans="1:7" ht="13.2">
      <c r="A937" s="16"/>
      <c r="B937" s="16"/>
      <c r="C937" s="17"/>
      <c r="D937" s="17"/>
      <c r="F937" s="16"/>
      <c r="G937" s="16"/>
    </row>
    <row r="938" spans="1:7" ht="13.2">
      <c r="A938" s="16"/>
      <c r="B938" s="16"/>
      <c r="C938" s="17"/>
      <c r="D938" s="17"/>
      <c r="F938" s="16"/>
      <c r="G938" s="16"/>
    </row>
    <row r="939" spans="1:7" ht="13.2">
      <c r="A939" s="16"/>
      <c r="B939" s="16"/>
      <c r="C939" s="17"/>
      <c r="D939" s="17"/>
      <c r="F939" s="16"/>
      <c r="G939" s="16"/>
    </row>
    <row r="940" spans="1:7" ht="13.2">
      <c r="A940" s="16"/>
      <c r="B940" s="16"/>
      <c r="C940" s="17"/>
      <c r="D940" s="17"/>
      <c r="F940" s="16"/>
      <c r="G940" s="16"/>
    </row>
    <row r="941" spans="1:7" ht="13.2">
      <c r="A941" s="16"/>
      <c r="B941" s="16"/>
      <c r="C941" s="17"/>
      <c r="D941" s="17"/>
      <c r="F941" s="16"/>
      <c r="G941" s="16"/>
    </row>
    <row r="942" spans="1:7" ht="13.2">
      <c r="A942" s="16"/>
      <c r="B942" s="16"/>
      <c r="C942" s="17"/>
      <c r="D942" s="17"/>
      <c r="F942" s="16"/>
      <c r="G942" s="16"/>
    </row>
    <row r="943" spans="1:7" ht="13.2">
      <c r="A943" s="16"/>
      <c r="B943" s="16"/>
      <c r="C943" s="17"/>
      <c r="D943" s="17"/>
      <c r="F943" s="16"/>
      <c r="G943" s="16"/>
    </row>
    <row r="944" spans="1:7" ht="13.2">
      <c r="A944" s="16"/>
      <c r="B944" s="16"/>
      <c r="C944" s="17"/>
      <c r="D944" s="17"/>
      <c r="F944" s="16"/>
      <c r="G944" s="16"/>
    </row>
    <row r="945" spans="1:7" ht="13.2">
      <c r="A945" s="16"/>
      <c r="B945" s="16"/>
      <c r="C945" s="17"/>
      <c r="D945" s="17"/>
      <c r="F945" s="16"/>
      <c r="G945" s="16"/>
    </row>
    <row r="946" spans="1:7" ht="13.2">
      <c r="A946" s="16"/>
      <c r="B946" s="16"/>
      <c r="C946" s="17"/>
      <c r="D946" s="17"/>
      <c r="F946" s="16"/>
      <c r="G946" s="16"/>
    </row>
    <row r="947" spans="1:7" ht="13.2">
      <c r="A947" s="16"/>
      <c r="B947" s="16"/>
      <c r="C947" s="17"/>
      <c r="D947" s="17"/>
      <c r="F947" s="16"/>
      <c r="G947" s="16"/>
    </row>
    <row r="948" spans="1:7" ht="13.2">
      <c r="A948" s="16"/>
      <c r="B948" s="16"/>
      <c r="C948" s="17"/>
      <c r="D948" s="17"/>
      <c r="F948" s="16"/>
      <c r="G948" s="16"/>
    </row>
    <row r="949" spans="1:7" ht="13.2">
      <c r="A949" s="16"/>
      <c r="B949" s="16"/>
      <c r="C949" s="17"/>
      <c r="D949" s="17"/>
      <c r="F949" s="16"/>
      <c r="G949" s="16"/>
    </row>
    <row r="950" spans="1:7" ht="13.2">
      <c r="A950" s="16"/>
      <c r="B950" s="16"/>
      <c r="C950" s="17"/>
      <c r="D950" s="17"/>
      <c r="F950" s="16"/>
      <c r="G950" s="16"/>
    </row>
    <row r="951" spans="1:7" ht="13.2">
      <c r="A951" s="16"/>
      <c r="B951" s="16"/>
      <c r="C951" s="17"/>
      <c r="D951" s="17"/>
      <c r="F951" s="16"/>
      <c r="G951" s="16"/>
    </row>
    <row r="952" spans="1:7" ht="13.2">
      <c r="A952" s="16"/>
      <c r="B952" s="16"/>
      <c r="C952" s="17"/>
      <c r="D952" s="17"/>
      <c r="F952" s="16"/>
      <c r="G952" s="16"/>
    </row>
    <row r="953" spans="1:7" ht="13.2">
      <c r="A953" s="16"/>
      <c r="B953" s="16"/>
      <c r="C953" s="17"/>
      <c r="D953" s="17"/>
      <c r="F953" s="16"/>
      <c r="G953" s="16"/>
    </row>
    <row r="954" spans="1:7" ht="13.2">
      <c r="A954" s="16"/>
      <c r="B954" s="16"/>
      <c r="C954" s="17"/>
      <c r="D954" s="17"/>
      <c r="F954" s="16"/>
      <c r="G954" s="16"/>
    </row>
    <row r="955" spans="1:7" ht="13.2">
      <c r="A955" s="16"/>
      <c r="B955" s="16"/>
      <c r="C955" s="17"/>
      <c r="D955" s="17"/>
      <c r="F955" s="16"/>
      <c r="G955" s="16"/>
    </row>
    <row r="956" spans="1:7" ht="13.2">
      <c r="A956" s="16"/>
      <c r="B956" s="16"/>
      <c r="C956" s="17"/>
      <c r="D956" s="17"/>
      <c r="F956" s="16"/>
      <c r="G956" s="16"/>
    </row>
    <row r="957" spans="1:7" ht="13.2">
      <c r="A957" s="16"/>
      <c r="B957" s="16"/>
      <c r="C957" s="17"/>
      <c r="D957" s="17"/>
      <c r="F957" s="16"/>
      <c r="G957" s="16"/>
    </row>
    <row r="958" spans="1:7" ht="13.2">
      <c r="A958" s="16"/>
      <c r="B958" s="16"/>
      <c r="C958" s="17"/>
      <c r="D958" s="17"/>
      <c r="F958" s="16"/>
      <c r="G958" s="16"/>
    </row>
    <row r="959" spans="1:7" ht="13.2">
      <c r="A959" s="16"/>
      <c r="B959" s="16"/>
      <c r="C959" s="17"/>
      <c r="D959" s="17"/>
      <c r="F959" s="16"/>
      <c r="G959" s="16"/>
    </row>
    <row r="960" spans="1:7" ht="13.2">
      <c r="A960" s="16"/>
      <c r="B960" s="16"/>
      <c r="C960" s="17"/>
      <c r="D960" s="17"/>
      <c r="F960" s="16"/>
      <c r="G960" s="16"/>
    </row>
    <row r="961" spans="1:7" ht="13.2">
      <c r="A961" s="16"/>
      <c r="B961" s="16"/>
      <c r="C961" s="17"/>
      <c r="D961" s="17"/>
      <c r="F961" s="16"/>
      <c r="G961" s="16"/>
    </row>
    <row r="962" spans="1:7" ht="13.2">
      <c r="A962" s="16"/>
      <c r="B962" s="16"/>
      <c r="C962" s="17"/>
      <c r="D962" s="17"/>
      <c r="F962" s="16"/>
      <c r="G962" s="16"/>
    </row>
    <row r="963" spans="1:7" ht="13.2">
      <c r="A963" s="16"/>
      <c r="B963" s="16"/>
      <c r="C963" s="17"/>
      <c r="D963" s="17"/>
      <c r="F963" s="16"/>
      <c r="G963" s="16"/>
    </row>
    <row r="964" spans="1:7" ht="13.2">
      <c r="A964" s="16"/>
      <c r="B964" s="16"/>
      <c r="C964" s="17"/>
      <c r="D964" s="17"/>
      <c r="F964" s="16"/>
      <c r="G964" s="16"/>
    </row>
    <row r="965" spans="1:7" ht="13.2">
      <c r="A965" s="16"/>
      <c r="B965" s="16"/>
      <c r="C965" s="17"/>
      <c r="D965" s="17"/>
      <c r="F965" s="16"/>
      <c r="G965" s="16"/>
    </row>
    <row r="966" spans="1:7" ht="13.2">
      <c r="A966" s="16"/>
      <c r="B966" s="16"/>
      <c r="C966" s="17"/>
      <c r="D966" s="17"/>
      <c r="F966" s="16"/>
      <c r="G966" s="16"/>
    </row>
    <row r="967" spans="1:7" ht="13.2">
      <c r="A967" s="16"/>
      <c r="B967" s="16"/>
      <c r="C967" s="17"/>
      <c r="D967" s="17"/>
      <c r="F967" s="16"/>
      <c r="G967" s="16"/>
    </row>
    <row r="968" spans="1:7" ht="13.2">
      <c r="A968" s="16"/>
      <c r="B968" s="16"/>
      <c r="C968" s="17"/>
      <c r="D968" s="17"/>
      <c r="F968" s="16"/>
      <c r="G968" s="16"/>
    </row>
    <row r="969" spans="1:7" ht="13.2">
      <c r="A969" s="16"/>
      <c r="B969" s="16"/>
      <c r="C969" s="17"/>
      <c r="D969" s="17"/>
      <c r="F969" s="16"/>
      <c r="G969" s="16"/>
    </row>
    <row r="970" spans="1:7" ht="13.2">
      <c r="A970" s="16"/>
      <c r="B970" s="16"/>
      <c r="C970" s="17"/>
      <c r="D970" s="17"/>
      <c r="F970" s="16"/>
      <c r="G970" s="16"/>
    </row>
    <row r="971" spans="1:7" ht="13.2">
      <c r="A971" s="16"/>
      <c r="B971" s="16"/>
      <c r="C971" s="17"/>
      <c r="D971" s="17"/>
      <c r="F971" s="16"/>
      <c r="G971" s="16"/>
    </row>
    <row r="972" spans="1:7" ht="13.2">
      <c r="A972" s="16"/>
      <c r="B972" s="16"/>
      <c r="C972" s="17"/>
      <c r="D972" s="17"/>
      <c r="F972" s="16"/>
      <c r="G972" s="16"/>
    </row>
    <row r="973" spans="1:7" ht="13.2">
      <c r="A973" s="16"/>
      <c r="B973" s="16"/>
      <c r="C973" s="17"/>
      <c r="D973" s="17"/>
      <c r="F973" s="16"/>
      <c r="G973" s="16"/>
    </row>
    <row r="974" spans="1:7" ht="13.2">
      <c r="A974" s="16"/>
      <c r="B974" s="16"/>
      <c r="C974" s="17"/>
      <c r="D974" s="17"/>
      <c r="F974" s="16"/>
      <c r="G974" s="16"/>
    </row>
    <row r="975" spans="1:7" ht="13.2">
      <c r="A975" s="16"/>
      <c r="B975" s="16"/>
      <c r="C975" s="17"/>
      <c r="D975" s="17"/>
      <c r="F975" s="16"/>
      <c r="G975" s="16"/>
    </row>
    <row r="976" spans="1:7" ht="13.2">
      <c r="A976" s="16"/>
      <c r="B976" s="16"/>
      <c r="C976" s="17"/>
      <c r="D976" s="17"/>
      <c r="F976" s="16"/>
      <c r="G976" s="16"/>
    </row>
    <row r="977" spans="1:7" ht="13.2">
      <c r="A977" s="16"/>
      <c r="B977" s="16"/>
      <c r="C977" s="17"/>
      <c r="D977" s="17"/>
      <c r="F977" s="16"/>
      <c r="G977" s="16"/>
    </row>
    <row r="978" spans="1:7" ht="13.2">
      <c r="A978" s="16"/>
      <c r="B978" s="16"/>
      <c r="C978" s="17"/>
      <c r="D978" s="17"/>
      <c r="F978" s="16"/>
      <c r="G978" s="16"/>
    </row>
    <row r="979" spans="1:7" ht="13.2">
      <c r="A979" s="16"/>
      <c r="B979" s="16"/>
      <c r="C979" s="17"/>
      <c r="D979" s="17"/>
      <c r="F979" s="16"/>
      <c r="G979" s="16"/>
    </row>
    <row r="980" spans="1:7" ht="13.2">
      <c r="A980" s="16"/>
      <c r="B980" s="16"/>
      <c r="C980" s="17"/>
      <c r="D980" s="17"/>
      <c r="F980" s="16"/>
      <c r="G980" s="16"/>
    </row>
    <row r="981" spans="1:7" ht="13.2">
      <c r="A981" s="16"/>
      <c r="B981" s="16"/>
      <c r="C981" s="17"/>
      <c r="D981" s="17"/>
      <c r="F981" s="16"/>
      <c r="G981" s="16"/>
    </row>
    <row r="982" spans="1:7" ht="13.2">
      <c r="A982" s="16"/>
      <c r="B982" s="16"/>
      <c r="C982" s="17"/>
      <c r="D982" s="17"/>
      <c r="F982" s="16"/>
      <c r="G982" s="16"/>
    </row>
    <row r="983" spans="1:7" ht="13.2">
      <c r="A983" s="16"/>
      <c r="B983" s="16"/>
      <c r="C983" s="17"/>
      <c r="D983" s="17"/>
      <c r="F983" s="16"/>
      <c r="G983" s="16"/>
    </row>
    <row r="984" spans="1:7" ht="13.2">
      <c r="A984" s="16"/>
      <c r="B984" s="16"/>
      <c r="C984" s="17"/>
      <c r="D984" s="17"/>
      <c r="F984" s="16"/>
      <c r="G984" s="16"/>
    </row>
    <row r="985" spans="1:7" ht="13.2">
      <c r="A985" s="16"/>
      <c r="B985" s="16"/>
      <c r="C985" s="17"/>
      <c r="D985" s="17"/>
      <c r="F985" s="16"/>
      <c r="G985" s="16"/>
    </row>
    <row r="986" spans="1:7" ht="13.2">
      <c r="A986" s="16"/>
      <c r="B986" s="16"/>
      <c r="C986" s="17"/>
      <c r="D986" s="17"/>
      <c r="F986" s="16"/>
      <c r="G986" s="16"/>
    </row>
    <row r="987" spans="1:7" ht="13.2">
      <c r="A987" s="16"/>
      <c r="B987" s="16"/>
      <c r="C987" s="17"/>
      <c r="D987" s="17"/>
      <c r="F987" s="16"/>
      <c r="G987" s="16"/>
    </row>
    <row r="988" spans="1:7" ht="13.2">
      <c r="A988" s="16"/>
      <c r="B988" s="16"/>
      <c r="C988" s="17"/>
      <c r="D988" s="17"/>
      <c r="F988" s="16"/>
      <c r="G988" s="16"/>
    </row>
    <row r="989" spans="1:7" ht="13.2">
      <c r="A989" s="16"/>
      <c r="B989" s="16"/>
      <c r="C989" s="17"/>
      <c r="D989" s="17"/>
      <c r="F989" s="16"/>
      <c r="G989" s="16"/>
    </row>
    <row r="990" spans="1:7" ht="13.2">
      <c r="A990" s="16"/>
      <c r="B990" s="16"/>
      <c r="C990" s="17"/>
      <c r="D990" s="17"/>
      <c r="F990" s="16"/>
      <c r="G990" s="16"/>
    </row>
    <row r="991" spans="1:7" ht="13.2">
      <c r="A991" s="16"/>
      <c r="B991" s="16"/>
      <c r="C991" s="17"/>
      <c r="D991" s="17"/>
      <c r="F991" s="16"/>
      <c r="G991" s="16"/>
    </row>
    <row r="992" spans="1:7" ht="13.2">
      <c r="A992" s="16"/>
      <c r="B992" s="16"/>
      <c r="C992" s="17"/>
      <c r="D992" s="17"/>
      <c r="F992" s="16"/>
      <c r="G992" s="16"/>
    </row>
    <row r="993" spans="1:7" ht="13.2">
      <c r="A993" s="16"/>
      <c r="B993" s="16"/>
      <c r="C993" s="17"/>
      <c r="D993" s="17"/>
      <c r="F993" s="16"/>
      <c r="G993" s="16"/>
    </row>
    <row r="994" spans="1:7" ht="13.2">
      <c r="A994" s="16"/>
      <c r="B994" s="16"/>
      <c r="C994" s="17"/>
      <c r="D994" s="17"/>
      <c r="F994" s="16"/>
      <c r="G994" s="16"/>
    </row>
    <row r="995" spans="1:7" ht="13.2">
      <c r="A995" s="16"/>
      <c r="B995" s="16"/>
      <c r="C995" s="17"/>
      <c r="D995" s="17"/>
      <c r="F995" s="16"/>
      <c r="G995" s="16"/>
    </row>
    <row r="996" spans="1:7" ht="13.2">
      <c r="A996" s="16"/>
      <c r="B996" s="16"/>
      <c r="C996" s="17"/>
      <c r="D996" s="17"/>
      <c r="F996" s="16"/>
      <c r="G996" s="16"/>
    </row>
    <row r="997" spans="1:7" ht="13.2">
      <c r="A997" s="16"/>
      <c r="B997" s="16"/>
      <c r="C997" s="17"/>
      <c r="D997" s="17"/>
      <c r="F997" s="16"/>
      <c r="G997" s="16"/>
    </row>
    <row r="998" spans="1:7" ht="13.2">
      <c r="A998" s="16"/>
      <c r="B998" s="16"/>
      <c r="C998" s="17"/>
      <c r="D998" s="17"/>
      <c r="F998" s="16"/>
      <c r="G998" s="16"/>
    </row>
    <row r="999" spans="1:7" ht="13.2">
      <c r="A999" s="16"/>
      <c r="B999" s="16"/>
      <c r="C999" s="17"/>
      <c r="D999" s="17"/>
      <c r="F999" s="16"/>
      <c r="G999" s="16"/>
    </row>
    <row r="1000" spans="1:7" ht="13.2">
      <c r="A1000" s="16"/>
      <c r="B1000" s="16"/>
      <c r="C1000" s="17"/>
      <c r="D1000" s="17"/>
      <c r="F1000" s="16"/>
      <c r="G100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9EE3-91F0-4D88-9BF1-7BB2E7978D87}">
  <sheetPr>
    <tabColor rgb="FFFF0000"/>
    <outlinePr summaryBelow="0" summaryRight="0"/>
  </sheetPr>
  <dimension ref="A1:I1000"/>
  <sheetViews>
    <sheetView tabSelected="1" workbookViewId="0">
      <selection activeCell="K13" sqref="K13"/>
    </sheetView>
  </sheetViews>
  <sheetFormatPr baseColWidth="10" defaultColWidth="12.6640625" defaultRowHeight="15" customHeight="1"/>
  <sheetData>
    <row r="1" spans="1:9" ht="15" customHeight="1">
      <c r="A1" s="2" t="s">
        <v>437</v>
      </c>
      <c r="B1" s="2" t="s">
        <v>438</v>
      </c>
      <c r="C1" s="14" t="s">
        <v>476</v>
      </c>
      <c r="D1" s="14" t="s">
        <v>477</v>
      </c>
      <c r="F1" s="4"/>
      <c r="G1" s="4"/>
      <c r="H1" s="5"/>
      <c r="I1" s="5"/>
    </row>
    <row r="2" spans="1:9" ht="15" customHeight="1">
      <c r="A2" s="15">
        <v>1</v>
      </c>
      <c r="B2" s="2" t="s">
        <v>4</v>
      </c>
      <c r="C2" s="14"/>
      <c r="D2" s="14"/>
      <c r="F2" s="13"/>
      <c r="G2" s="13"/>
      <c r="H2" s="13"/>
      <c r="I2" s="13"/>
    </row>
    <row r="3" spans="1:9" ht="15" customHeight="1">
      <c r="A3" s="15">
        <v>2</v>
      </c>
      <c r="B3" s="2" t="s">
        <v>42</v>
      </c>
      <c r="C3" s="14"/>
      <c r="D3" s="14"/>
      <c r="F3" s="13"/>
      <c r="G3" s="13"/>
      <c r="H3" s="13"/>
      <c r="I3" s="13"/>
    </row>
    <row r="4" spans="1:9" ht="15" customHeight="1">
      <c r="A4" s="15">
        <v>3</v>
      </c>
      <c r="B4" s="2" t="s">
        <v>149</v>
      </c>
      <c r="C4" s="14"/>
      <c r="D4" s="14"/>
      <c r="F4" s="13"/>
      <c r="G4" s="13"/>
      <c r="H4" s="13"/>
      <c r="I4" s="13"/>
    </row>
    <row r="5" spans="1:9" ht="15" customHeight="1">
      <c r="A5" s="15">
        <v>4</v>
      </c>
      <c r="B5" s="2" t="s">
        <v>204</v>
      </c>
      <c r="C5" s="14"/>
      <c r="D5" s="14"/>
      <c r="F5" s="13"/>
      <c r="G5" s="13"/>
      <c r="H5" s="13"/>
      <c r="I5" s="13"/>
    </row>
    <row r="6" spans="1:9" ht="15" customHeight="1">
      <c r="A6" s="15">
        <v>5</v>
      </c>
      <c r="B6" s="2" t="s">
        <v>250</v>
      </c>
      <c r="C6" s="14"/>
      <c r="D6" s="14"/>
      <c r="F6" s="13"/>
      <c r="G6" s="13"/>
      <c r="H6" s="13"/>
      <c r="I6" s="13"/>
    </row>
    <row r="7" spans="1:9" ht="15" customHeight="1">
      <c r="A7" s="15">
        <v>6</v>
      </c>
      <c r="B7" s="2" t="s">
        <v>307</v>
      </c>
      <c r="C7" s="14"/>
      <c r="D7" s="14"/>
      <c r="F7" s="13"/>
      <c r="G7" s="13"/>
      <c r="H7" s="13"/>
      <c r="I7" s="13"/>
    </row>
    <row r="8" spans="1:9" ht="15" customHeight="1">
      <c r="A8" s="15">
        <v>7</v>
      </c>
      <c r="B8" s="2" t="s">
        <v>322</v>
      </c>
      <c r="C8" s="14"/>
      <c r="D8" s="14"/>
      <c r="F8" s="13"/>
      <c r="G8" s="13"/>
      <c r="H8" s="13"/>
      <c r="I8" s="13"/>
    </row>
    <row r="9" spans="1:9" ht="15" customHeight="1">
      <c r="A9" s="15">
        <v>8</v>
      </c>
      <c r="B9" s="2" t="s">
        <v>391</v>
      </c>
      <c r="C9" s="14"/>
      <c r="D9" s="14"/>
      <c r="F9" s="13"/>
      <c r="G9" s="13"/>
      <c r="H9" s="13"/>
      <c r="I9" s="13"/>
    </row>
    <row r="10" spans="1:9" ht="15" customHeight="1">
      <c r="A10" s="39">
        <v>9</v>
      </c>
      <c r="B10" s="40" t="s">
        <v>417</v>
      </c>
      <c r="C10" s="14"/>
      <c r="D10" s="14"/>
      <c r="F10" s="13"/>
      <c r="G10" s="13"/>
      <c r="H10" s="13"/>
      <c r="I10" s="13"/>
    </row>
    <row r="11" spans="1:9" ht="13.2">
      <c r="A11" s="42">
        <v>10</v>
      </c>
      <c r="B11" s="43" t="s">
        <v>311</v>
      </c>
      <c r="C11" s="14"/>
      <c r="D11" s="14"/>
      <c r="F11" s="16"/>
      <c r="G11" s="16"/>
    </row>
    <row r="12" spans="1:9" ht="13.2">
      <c r="A12" s="42">
        <v>11</v>
      </c>
      <c r="B12" s="43" t="s">
        <v>471</v>
      </c>
      <c r="C12" s="44"/>
      <c r="D12" s="44"/>
      <c r="F12" s="16"/>
      <c r="G12" s="16"/>
    </row>
    <row r="13" spans="1:9" ht="13.2">
      <c r="A13" s="16"/>
      <c r="B13" s="16"/>
      <c r="F13" s="16"/>
      <c r="G13" s="16"/>
    </row>
    <row r="14" spans="1:9" ht="13.2">
      <c r="A14" s="16"/>
      <c r="B14" s="16"/>
      <c r="F14" s="16"/>
      <c r="G14" s="16"/>
    </row>
    <row r="15" spans="1:9" ht="13.2">
      <c r="A15" s="16"/>
      <c r="B15" s="16"/>
      <c r="F15" s="16"/>
      <c r="G15" s="16"/>
    </row>
    <row r="16" spans="1:9" ht="13.2">
      <c r="A16" s="16"/>
      <c r="B16" s="16"/>
      <c r="F16" s="16"/>
      <c r="G16" s="16"/>
    </row>
    <row r="17" spans="1:7" ht="13.2">
      <c r="A17" s="16"/>
      <c r="B17" s="16"/>
      <c r="F17" s="16"/>
      <c r="G17" s="16"/>
    </row>
    <row r="18" spans="1:7" ht="13.2">
      <c r="A18" s="16"/>
      <c r="B18" s="16"/>
      <c r="F18" s="16"/>
      <c r="G18" s="16"/>
    </row>
    <row r="19" spans="1:7" ht="13.2">
      <c r="A19" s="16"/>
      <c r="B19" s="16"/>
      <c r="F19" s="16"/>
      <c r="G19" s="16"/>
    </row>
    <row r="20" spans="1:7" ht="13.2">
      <c r="A20" s="16"/>
      <c r="B20" s="16"/>
      <c r="F20" s="16"/>
      <c r="G20" s="16"/>
    </row>
    <row r="21" spans="1:7" ht="13.2">
      <c r="A21" s="16"/>
      <c r="B21" s="16"/>
      <c r="F21" s="16"/>
      <c r="G21" s="16"/>
    </row>
    <row r="22" spans="1:7" ht="13.2">
      <c r="A22" s="16"/>
      <c r="B22" s="16"/>
      <c r="F22" s="16"/>
      <c r="G22" s="16"/>
    </row>
    <row r="23" spans="1:7" ht="13.2">
      <c r="A23" s="16"/>
      <c r="B23" s="16"/>
      <c r="C23" s="17"/>
      <c r="D23" s="17"/>
      <c r="F23" s="16"/>
      <c r="G23" s="16"/>
    </row>
    <row r="24" spans="1:7" ht="13.2">
      <c r="A24" s="16"/>
      <c r="B24" s="16"/>
      <c r="C24" s="17"/>
      <c r="D24" s="17"/>
      <c r="F24" s="16"/>
      <c r="G24" s="16"/>
    </row>
    <row r="25" spans="1:7" ht="13.2">
      <c r="A25" s="16"/>
      <c r="B25" s="16"/>
      <c r="C25" s="17"/>
      <c r="D25" s="17"/>
      <c r="F25" s="16"/>
      <c r="G25" s="16"/>
    </row>
    <row r="26" spans="1:7" ht="13.2">
      <c r="A26" s="16"/>
      <c r="B26" s="16"/>
      <c r="C26" s="17"/>
      <c r="D26" s="17"/>
      <c r="F26" s="16"/>
      <c r="G26" s="16"/>
    </row>
    <row r="27" spans="1:7" ht="13.2">
      <c r="A27" s="16"/>
      <c r="B27" s="16"/>
      <c r="C27" s="17"/>
      <c r="D27" s="17"/>
      <c r="F27" s="16"/>
      <c r="G27" s="16"/>
    </row>
    <row r="28" spans="1:7" ht="13.2">
      <c r="A28" s="16"/>
      <c r="B28" s="16"/>
      <c r="C28" s="17"/>
      <c r="D28" s="17"/>
      <c r="F28" s="16"/>
      <c r="G28" s="16"/>
    </row>
    <row r="29" spans="1:7" ht="13.2">
      <c r="A29" s="16"/>
      <c r="B29" s="16"/>
      <c r="C29" s="17"/>
      <c r="D29" s="17"/>
      <c r="F29" s="16"/>
      <c r="G29" s="16"/>
    </row>
    <row r="30" spans="1:7" ht="13.2">
      <c r="A30" s="16"/>
      <c r="B30" s="16"/>
      <c r="C30" s="17"/>
      <c r="D30" s="17"/>
      <c r="F30" s="16"/>
      <c r="G30" s="16"/>
    </row>
    <row r="31" spans="1:7" ht="13.2">
      <c r="A31" s="16"/>
      <c r="B31" s="16"/>
      <c r="C31" s="17"/>
      <c r="D31" s="17"/>
      <c r="F31" s="16"/>
      <c r="G31" s="16"/>
    </row>
    <row r="32" spans="1:7" ht="13.2">
      <c r="A32" s="16"/>
      <c r="B32" s="16"/>
      <c r="C32" s="17"/>
      <c r="D32" s="17"/>
      <c r="F32" s="16"/>
      <c r="G32" s="16"/>
    </row>
    <row r="33" spans="1:7" ht="13.2">
      <c r="A33" s="16"/>
      <c r="B33" s="16"/>
      <c r="C33" s="17"/>
      <c r="D33" s="17"/>
      <c r="F33" s="16"/>
      <c r="G33" s="16"/>
    </row>
    <row r="34" spans="1:7" ht="13.2">
      <c r="A34" s="16"/>
      <c r="B34" s="16"/>
      <c r="C34" s="17"/>
      <c r="D34" s="17"/>
      <c r="F34" s="16"/>
      <c r="G34" s="16"/>
    </row>
    <row r="35" spans="1:7" ht="13.2">
      <c r="A35" s="16"/>
      <c r="B35" s="16"/>
      <c r="C35" s="17"/>
      <c r="D35" s="17"/>
      <c r="F35" s="16"/>
      <c r="G35" s="16"/>
    </row>
    <row r="36" spans="1:7" ht="13.2">
      <c r="A36" s="16"/>
      <c r="B36" s="16"/>
      <c r="C36" s="17"/>
      <c r="D36" s="17"/>
      <c r="F36" s="16"/>
      <c r="G36" s="16"/>
    </row>
    <row r="37" spans="1:7" ht="13.2">
      <c r="A37" s="16"/>
      <c r="B37" s="16"/>
      <c r="C37" s="17"/>
      <c r="D37" s="17"/>
      <c r="F37" s="16"/>
      <c r="G37" s="16"/>
    </row>
    <row r="38" spans="1:7" ht="13.2">
      <c r="A38" s="16"/>
      <c r="B38" s="16"/>
      <c r="C38" s="17"/>
      <c r="D38" s="17"/>
      <c r="F38" s="16"/>
      <c r="G38" s="16"/>
    </row>
    <row r="39" spans="1:7" ht="13.2">
      <c r="A39" s="16"/>
      <c r="B39" s="16"/>
      <c r="C39" s="17"/>
      <c r="D39" s="17"/>
      <c r="F39" s="16"/>
      <c r="G39" s="16"/>
    </row>
    <row r="40" spans="1:7" ht="13.2">
      <c r="A40" s="16"/>
      <c r="B40" s="16"/>
      <c r="C40" s="17"/>
      <c r="D40" s="17"/>
      <c r="F40" s="16"/>
      <c r="G40" s="16"/>
    </row>
    <row r="41" spans="1:7" ht="13.2">
      <c r="A41" s="16"/>
      <c r="B41" s="16"/>
      <c r="C41" s="17"/>
      <c r="D41" s="17"/>
      <c r="F41" s="16"/>
      <c r="G41" s="16"/>
    </row>
    <row r="42" spans="1:7" ht="13.2">
      <c r="A42" s="16"/>
      <c r="B42" s="16"/>
      <c r="C42" s="17"/>
      <c r="D42" s="17"/>
      <c r="F42" s="16"/>
      <c r="G42" s="16"/>
    </row>
    <row r="43" spans="1:7" ht="13.2">
      <c r="A43" s="16"/>
      <c r="B43" s="16"/>
      <c r="C43" s="17"/>
      <c r="D43" s="17"/>
      <c r="F43" s="16"/>
      <c r="G43" s="16"/>
    </row>
    <row r="44" spans="1:7" ht="13.2">
      <c r="A44" s="16"/>
      <c r="B44" s="16"/>
      <c r="C44" s="17"/>
      <c r="D44" s="17"/>
      <c r="F44" s="16"/>
      <c r="G44" s="16"/>
    </row>
    <row r="45" spans="1:7" ht="13.2">
      <c r="A45" s="16"/>
      <c r="B45" s="16"/>
      <c r="C45" s="17"/>
      <c r="D45" s="17"/>
      <c r="F45" s="16"/>
      <c r="G45" s="16"/>
    </row>
    <row r="46" spans="1:7" ht="13.2">
      <c r="A46" s="16"/>
      <c r="B46" s="16"/>
      <c r="C46" s="17"/>
      <c r="D46" s="17"/>
      <c r="F46" s="16"/>
      <c r="G46" s="16"/>
    </row>
    <row r="47" spans="1:7" ht="13.2">
      <c r="A47" s="16"/>
      <c r="B47" s="16"/>
      <c r="C47" s="17"/>
      <c r="D47" s="17"/>
      <c r="F47" s="16"/>
      <c r="G47" s="16"/>
    </row>
    <row r="48" spans="1:7" ht="13.2">
      <c r="A48" s="16"/>
      <c r="B48" s="16"/>
      <c r="C48" s="17"/>
      <c r="D48" s="17"/>
      <c r="F48" s="16"/>
      <c r="G48" s="16"/>
    </row>
    <row r="49" spans="1:7" ht="13.2">
      <c r="A49" s="16"/>
      <c r="B49" s="16"/>
      <c r="C49" s="17"/>
      <c r="D49" s="17"/>
      <c r="F49" s="16"/>
      <c r="G49" s="16"/>
    </row>
    <row r="50" spans="1:7" ht="13.2">
      <c r="A50" s="16"/>
      <c r="B50" s="16"/>
      <c r="C50" s="17"/>
      <c r="D50" s="17"/>
      <c r="F50" s="16"/>
      <c r="G50" s="16"/>
    </row>
    <row r="51" spans="1:7" ht="13.2">
      <c r="A51" s="16"/>
      <c r="B51" s="16"/>
      <c r="C51" s="17"/>
      <c r="D51" s="17"/>
      <c r="F51" s="16"/>
      <c r="G51" s="16"/>
    </row>
    <row r="52" spans="1:7" ht="13.2">
      <c r="A52" s="16"/>
      <c r="B52" s="16"/>
      <c r="C52" s="17"/>
      <c r="D52" s="17"/>
      <c r="F52" s="16"/>
      <c r="G52" s="16"/>
    </row>
    <row r="53" spans="1:7" ht="13.2">
      <c r="A53" s="16"/>
      <c r="B53" s="16"/>
      <c r="C53" s="17"/>
      <c r="D53" s="17"/>
      <c r="F53" s="16"/>
      <c r="G53" s="16"/>
    </row>
    <row r="54" spans="1:7" ht="13.2">
      <c r="A54" s="16"/>
      <c r="B54" s="16"/>
      <c r="C54" s="17"/>
      <c r="D54" s="17"/>
      <c r="F54" s="16"/>
      <c r="G54" s="16"/>
    </row>
    <row r="55" spans="1:7" ht="13.2">
      <c r="A55" s="16"/>
      <c r="B55" s="16"/>
      <c r="C55" s="17"/>
      <c r="D55" s="17"/>
      <c r="F55" s="16"/>
      <c r="G55" s="16"/>
    </row>
    <row r="56" spans="1:7" ht="13.2">
      <c r="A56" s="16"/>
      <c r="B56" s="16"/>
      <c r="C56" s="17"/>
      <c r="D56" s="17"/>
      <c r="F56" s="16"/>
      <c r="G56" s="16"/>
    </row>
    <row r="57" spans="1:7" ht="13.2">
      <c r="A57" s="16"/>
      <c r="B57" s="16"/>
      <c r="C57" s="17"/>
      <c r="D57" s="17"/>
      <c r="F57" s="16"/>
      <c r="G57" s="16"/>
    </row>
    <row r="58" spans="1:7" ht="13.2">
      <c r="A58" s="16"/>
      <c r="B58" s="16"/>
      <c r="C58" s="17"/>
      <c r="D58" s="17"/>
      <c r="F58" s="16"/>
      <c r="G58" s="16"/>
    </row>
    <row r="59" spans="1:7" ht="13.2">
      <c r="A59" s="16"/>
      <c r="B59" s="16"/>
      <c r="C59" s="17"/>
      <c r="D59" s="17"/>
      <c r="F59" s="16"/>
      <c r="G59" s="16"/>
    </row>
    <row r="60" spans="1:7" ht="13.2">
      <c r="A60" s="16"/>
      <c r="B60" s="16"/>
      <c r="C60" s="17"/>
      <c r="D60" s="17"/>
      <c r="F60" s="16"/>
      <c r="G60" s="16"/>
    </row>
    <row r="61" spans="1:7" ht="13.2">
      <c r="A61" s="16"/>
      <c r="B61" s="16"/>
      <c r="C61" s="17"/>
      <c r="D61" s="17"/>
      <c r="F61" s="16"/>
      <c r="G61" s="16"/>
    </row>
    <row r="62" spans="1:7" ht="13.2">
      <c r="A62" s="16"/>
      <c r="B62" s="16"/>
      <c r="C62" s="17"/>
      <c r="D62" s="17"/>
      <c r="F62" s="16"/>
      <c r="G62" s="16"/>
    </row>
    <row r="63" spans="1:7" ht="13.2">
      <c r="A63" s="16"/>
      <c r="B63" s="16"/>
      <c r="C63" s="17"/>
      <c r="D63" s="17"/>
      <c r="F63" s="16"/>
      <c r="G63" s="16"/>
    </row>
    <row r="64" spans="1:7" ht="13.2">
      <c r="A64" s="16"/>
      <c r="B64" s="16"/>
      <c r="C64" s="17"/>
      <c r="D64" s="17"/>
      <c r="F64" s="16"/>
      <c r="G64" s="16"/>
    </row>
    <row r="65" spans="1:7" ht="13.2">
      <c r="A65" s="16"/>
      <c r="B65" s="16"/>
      <c r="C65" s="17"/>
      <c r="D65" s="17"/>
      <c r="F65" s="16"/>
      <c r="G65" s="16"/>
    </row>
    <row r="66" spans="1:7" ht="13.2">
      <c r="A66" s="16"/>
      <c r="B66" s="16"/>
      <c r="C66" s="17"/>
      <c r="D66" s="17"/>
      <c r="F66" s="16"/>
      <c r="G66" s="16"/>
    </row>
    <row r="67" spans="1:7" ht="13.2">
      <c r="A67" s="16"/>
      <c r="B67" s="16"/>
      <c r="C67" s="17"/>
      <c r="D67" s="17"/>
      <c r="F67" s="16"/>
      <c r="G67" s="16"/>
    </row>
    <row r="68" spans="1:7" ht="13.2">
      <c r="A68" s="16"/>
      <c r="B68" s="16"/>
      <c r="C68" s="17"/>
      <c r="D68" s="17"/>
      <c r="F68" s="16"/>
      <c r="G68" s="16"/>
    </row>
    <row r="69" spans="1:7" ht="13.2">
      <c r="A69" s="16"/>
      <c r="B69" s="16"/>
      <c r="C69" s="17"/>
      <c r="D69" s="17"/>
      <c r="F69" s="16"/>
      <c r="G69" s="16"/>
    </row>
    <row r="70" spans="1:7" ht="13.2">
      <c r="A70" s="16"/>
      <c r="B70" s="16"/>
      <c r="C70" s="17"/>
      <c r="D70" s="17"/>
      <c r="F70" s="16"/>
      <c r="G70" s="16"/>
    </row>
    <row r="71" spans="1:7" ht="13.2">
      <c r="A71" s="16"/>
      <c r="B71" s="16"/>
      <c r="C71" s="17"/>
      <c r="D71" s="17"/>
      <c r="F71" s="16"/>
      <c r="G71" s="16"/>
    </row>
    <row r="72" spans="1:7" ht="13.2">
      <c r="A72" s="16"/>
      <c r="B72" s="16"/>
      <c r="C72" s="17"/>
      <c r="D72" s="17"/>
      <c r="F72" s="16"/>
      <c r="G72" s="16"/>
    </row>
    <row r="73" spans="1:7" ht="13.2">
      <c r="A73" s="16"/>
      <c r="B73" s="16"/>
      <c r="C73" s="17"/>
      <c r="D73" s="17"/>
      <c r="F73" s="16"/>
      <c r="G73" s="16"/>
    </row>
    <row r="74" spans="1:7" ht="13.2">
      <c r="A74" s="16"/>
      <c r="B74" s="16"/>
      <c r="C74" s="17"/>
      <c r="D74" s="17"/>
      <c r="F74" s="16"/>
      <c r="G74" s="16"/>
    </row>
    <row r="75" spans="1:7" ht="13.2">
      <c r="A75" s="16"/>
      <c r="B75" s="16"/>
      <c r="C75" s="17"/>
      <c r="D75" s="17"/>
      <c r="F75" s="16"/>
      <c r="G75" s="16"/>
    </row>
    <row r="76" spans="1:7" ht="13.2">
      <c r="A76" s="16"/>
      <c r="B76" s="16"/>
      <c r="C76" s="17"/>
      <c r="D76" s="17"/>
      <c r="F76" s="16"/>
      <c r="G76" s="16"/>
    </row>
    <row r="77" spans="1:7" ht="13.2">
      <c r="A77" s="16"/>
      <c r="B77" s="16"/>
      <c r="C77" s="17"/>
      <c r="D77" s="17"/>
      <c r="F77" s="16"/>
      <c r="G77" s="16"/>
    </row>
    <row r="78" spans="1:7" ht="13.2">
      <c r="A78" s="16"/>
      <c r="B78" s="16"/>
      <c r="C78" s="17"/>
      <c r="D78" s="17"/>
      <c r="F78" s="16"/>
      <c r="G78" s="16"/>
    </row>
    <row r="79" spans="1:7" ht="13.2">
      <c r="A79" s="16"/>
      <c r="B79" s="16"/>
      <c r="C79" s="17"/>
      <c r="D79" s="17"/>
      <c r="F79" s="16"/>
      <c r="G79" s="16"/>
    </row>
    <row r="80" spans="1:7" ht="13.2">
      <c r="A80" s="16"/>
      <c r="B80" s="16"/>
      <c r="C80" s="17"/>
      <c r="D80" s="17"/>
      <c r="F80" s="16"/>
      <c r="G80" s="16"/>
    </row>
    <row r="81" spans="1:7" ht="13.2">
      <c r="A81" s="16"/>
      <c r="B81" s="16"/>
      <c r="C81" s="17"/>
      <c r="D81" s="17"/>
      <c r="F81" s="16"/>
      <c r="G81" s="16"/>
    </row>
    <row r="82" spans="1:7" ht="13.2">
      <c r="A82" s="16"/>
      <c r="B82" s="16"/>
      <c r="C82" s="17"/>
      <c r="D82" s="17"/>
      <c r="F82" s="16"/>
      <c r="G82" s="16"/>
    </row>
    <row r="83" spans="1:7" ht="13.2">
      <c r="A83" s="16"/>
      <c r="B83" s="16"/>
      <c r="C83" s="17"/>
      <c r="D83" s="17"/>
      <c r="F83" s="16"/>
      <c r="G83" s="16"/>
    </row>
    <row r="84" spans="1:7" ht="13.2">
      <c r="A84" s="16"/>
      <c r="B84" s="16"/>
      <c r="C84" s="17"/>
      <c r="D84" s="17"/>
      <c r="F84" s="16"/>
      <c r="G84" s="16"/>
    </row>
    <row r="85" spans="1:7" ht="13.2">
      <c r="A85" s="16"/>
      <c r="B85" s="16"/>
      <c r="C85" s="17"/>
      <c r="D85" s="17"/>
      <c r="F85" s="16"/>
      <c r="G85" s="16"/>
    </row>
    <row r="86" spans="1:7" ht="13.2">
      <c r="A86" s="16"/>
      <c r="B86" s="16"/>
      <c r="C86" s="17"/>
      <c r="D86" s="17"/>
      <c r="F86" s="16"/>
      <c r="G86" s="16"/>
    </row>
    <row r="87" spans="1:7" ht="13.2">
      <c r="A87" s="16"/>
      <c r="B87" s="16"/>
      <c r="C87" s="17"/>
      <c r="D87" s="17"/>
      <c r="F87" s="16"/>
      <c r="G87" s="16"/>
    </row>
    <row r="88" spans="1:7" ht="13.2">
      <c r="A88" s="16"/>
      <c r="B88" s="16"/>
      <c r="C88" s="17"/>
      <c r="D88" s="17"/>
      <c r="F88" s="16"/>
      <c r="G88" s="16"/>
    </row>
    <row r="89" spans="1:7" ht="13.2">
      <c r="A89" s="16"/>
      <c r="B89" s="16"/>
      <c r="C89" s="17"/>
      <c r="D89" s="17"/>
      <c r="F89" s="16"/>
      <c r="G89" s="16"/>
    </row>
    <row r="90" spans="1:7" ht="13.2">
      <c r="A90" s="16"/>
      <c r="B90" s="16"/>
      <c r="C90" s="17"/>
      <c r="D90" s="17"/>
      <c r="F90" s="16"/>
      <c r="G90" s="16"/>
    </row>
    <row r="91" spans="1:7" ht="13.2">
      <c r="A91" s="16"/>
      <c r="B91" s="16"/>
      <c r="C91" s="17"/>
      <c r="D91" s="17"/>
      <c r="F91" s="16"/>
      <c r="G91" s="16"/>
    </row>
    <row r="92" spans="1:7" ht="13.2">
      <c r="A92" s="16"/>
      <c r="B92" s="16"/>
      <c r="C92" s="17"/>
      <c r="D92" s="17"/>
      <c r="F92" s="16"/>
      <c r="G92" s="16"/>
    </row>
    <row r="93" spans="1:7" ht="13.2">
      <c r="A93" s="16"/>
      <c r="B93" s="16"/>
      <c r="C93" s="17"/>
      <c r="D93" s="17"/>
      <c r="F93" s="16"/>
      <c r="G93" s="16"/>
    </row>
    <row r="94" spans="1:7" ht="13.2">
      <c r="A94" s="16"/>
      <c r="B94" s="16"/>
      <c r="C94" s="17"/>
      <c r="D94" s="17"/>
      <c r="F94" s="16"/>
      <c r="G94" s="16"/>
    </row>
    <row r="95" spans="1:7" ht="13.2">
      <c r="A95" s="16"/>
      <c r="B95" s="16"/>
      <c r="C95" s="17"/>
      <c r="D95" s="17"/>
      <c r="F95" s="16"/>
      <c r="G95" s="16"/>
    </row>
    <row r="96" spans="1:7" ht="13.2">
      <c r="A96" s="16"/>
      <c r="B96" s="16"/>
      <c r="C96" s="17"/>
      <c r="D96" s="17"/>
      <c r="F96" s="16"/>
      <c r="G96" s="16"/>
    </row>
    <row r="97" spans="1:7" ht="13.2">
      <c r="A97" s="16"/>
      <c r="B97" s="16"/>
      <c r="C97" s="17"/>
      <c r="D97" s="17"/>
      <c r="F97" s="16"/>
      <c r="G97" s="16"/>
    </row>
    <row r="98" spans="1:7" ht="13.2">
      <c r="A98" s="16"/>
      <c r="B98" s="16"/>
      <c r="C98" s="17"/>
      <c r="D98" s="17"/>
      <c r="F98" s="16"/>
      <c r="G98" s="16"/>
    </row>
    <row r="99" spans="1:7" ht="13.2">
      <c r="A99" s="16"/>
      <c r="B99" s="16"/>
      <c r="C99" s="17"/>
      <c r="D99" s="17"/>
      <c r="F99" s="16"/>
      <c r="G99" s="16"/>
    </row>
    <row r="100" spans="1:7" ht="13.2">
      <c r="A100" s="16"/>
      <c r="B100" s="16"/>
      <c r="C100" s="17"/>
      <c r="D100" s="17"/>
      <c r="F100" s="16"/>
      <c r="G100" s="16"/>
    </row>
    <row r="101" spans="1:7" ht="13.2">
      <c r="A101" s="16"/>
      <c r="B101" s="16"/>
      <c r="C101" s="17"/>
      <c r="D101" s="17"/>
      <c r="F101" s="16"/>
      <c r="G101" s="16"/>
    </row>
    <row r="102" spans="1:7" ht="13.2">
      <c r="A102" s="16"/>
      <c r="B102" s="16"/>
      <c r="C102" s="17"/>
      <c r="D102" s="17"/>
      <c r="F102" s="16"/>
      <c r="G102" s="16"/>
    </row>
    <row r="103" spans="1:7" ht="13.2">
      <c r="A103" s="16"/>
      <c r="B103" s="16"/>
      <c r="C103" s="17"/>
      <c r="D103" s="17"/>
      <c r="F103" s="16"/>
      <c r="G103" s="16"/>
    </row>
    <row r="104" spans="1:7" ht="13.2">
      <c r="A104" s="16"/>
      <c r="B104" s="16"/>
      <c r="C104" s="17"/>
      <c r="D104" s="17"/>
      <c r="F104" s="16"/>
      <c r="G104" s="16"/>
    </row>
    <row r="105" spans="1:7" ht="13.2">
      <c r="A105" s="16"/>
      <c r="B105" s="16"/>
      <c r="C105" s="17"/>
      <c r="D105" s="17"/>
      <c r="F105" s="16"/>
      <c r="G105" s="16"/>
    </row>
    <row r="106" spans="1:7" ht="13.2">
      <c r="A106" s="16"/>
      <c r="B106" s="16"/>
      <c r="C106" s="17"/>
      <c r="D106" s="17"/>
      <c r="F106" s="16"/>
      <c r="G106" s="16"/>
    </row>
    <row r="107" spans="1:7" ht="13.2">
      <c r="A107" s="16"/>
      <c r="B107" s="16"/>
      <c r="C107" s="17"/>
      <c r="D107" s="17"/>
      <c r="F107" s="16"/>
      <c r="G107" s="16"/>
    </row>
    <row r="108" spans="1:7" ht="13.2">
      <c r="A108" s="16"/>
      <c r="B108" s="16"/>
      <c r="C108" s="17"/>
      <c r="D108" s="17"/>
      <c r="F108" s="16"/>
      <c r="G108" s="16"/>
    </row>
    <row r="109" spans="1:7" ht="13.2">
      <c r="A109" s="16"/>
      <c r="B109" s="16"/>
      <c r="C109" s="17"/>
      <c r="D109" s="17"/>
      <c r="F109" s="16"/>
      <c r="G109" s="16"/>
    </row>
    <row r="110" spans="1:7" ht="13.2">
      <c r="A110" s="16"/>
      <c r="B110" s="16"/>
      <c r="C110" s="17"/>
      <c r="D110" s="17"/>
      <c r="F110" s="16"/>
      <c r="G110" s="16"/>
    </row>
    <row r="111" spans="1:7" ht="13.2">
      <c r="A111" s="16"/>
      <c r="B111" s="16"/>
      <c r="C111" s="17"/>
      <c r="D111" s="17"/>
      <c r="F111" s="16"/>
      <c r="G111" s="16"/>
    </row>
    <row r="112" spans="1:7" ht="13.2">
      <c r="A112" s="16"/>
      <c r="B112" s="16"/>
      <c r="C112" s="17"/>
      <c r="D112" s="17"/>
      <c r="F112" s="16"/>
      <c r="G112" s="16"/>
    </row>
    <row r="113" spans="1:7" ht="13.2">
      <c r="A113" s="16"/>
      <c r="B113" s="16"/>
      <c r="C113" s="17"/>
      <c r="D113" s="17"/>
      <c r="F113" s="16"/>
      <c r="G113" s="16"/>
    </row>
    <row r="114" spans="1:7" ht="13.2">
      <c r="A114" s="16"/>
      <c r="B114" s="16"/>
      <c r="C114" s="17"/>
      <c r="D114" s="17"/>
      <c r="F114" s="16"/>
      <c r="G114" s="16"/>
    </row>
    <row r="115" spans="1:7" ht="13.2">
      <c r="A115" s="16"/>
      <c r="B115" s="16"/>
      <c r="C115" s="17"/>
      <c r="D115" s="17"/>
      <c r="F115" s="16"/>
      <c r="G115" s="16"/>
    </row>
    <row r="116" spans="1:7" ht="13.2">
      <c r="A116" s="16"/>
      <c r="B116" s="16"/>
      <c r="C116" s="17"/>
      <c r="D116" s="17"/>
      <c r="F116" s="16"/>
      <c r="G116" s="16"/>
    </row>
    <row r="117" spans="1:7" ht="13.2">
      <c r="A117" s="16"/>
      <c r="B117" s="16"/>
      <c r="C117" s="17"/>
      <c r="D117" s="17"/>
      <c r="F117" s="16"/>
      <c r="G117" s="16"/>
    </row>
    <row r="118" spans="1:7" ht="13.2">
      <c r="A118" s="16"/>
      <c r="B118" s="16"/>
      <c r="C118" s="17"/>
      <c r="D118" s="17"/>
      <c r="F118" s="16"/>
      <c r="G118" s="16"/>
    </row>
    <row r="119" spans="1:7" ht="13.2">
      <c r="A119" s="16"/>
      <c r="B119" s="16"/>
      <c r="C119" s="17"/>
      <c r="D119" s="17"/>
      <c r="F119" s="16"/>
      <c r="G119" s="16"/>
    </row>
    <row r="120" spans="1:7" ht="13.2">
      <c r="A120" s="16"/>
      <c r="B120" s="16"/>
      <c r="C120" s="17"/>
      <c r="D120" s="17"/>
      <c r="F120" s="16"/>
      <c r="G120" s="16"/>
    </row>
    <row r="121" spans="1:7" ht="13.2">
      <c r="A121" s="16"/>
      <c r="B121" s="16"/>
      <c r="C121" s="17"/>
      <c r="D121" s="17"/>
      <c r="F121" s="16"/>
      <c r="G121" s="16"/>
    </row>
    <row r="122" spans="1:7" ht="13.2">
      <c r="A122" s="16"/>
      <c r="B122" s="16"/>
      <c r="C122" s="17"/>
      <c r="D122" s="17"/>
      <c r="F122" s="16"/>
      <c r="G122" s="16"/>
    </row>
    <row r="123" spans="1:7" ht="13.2">
      <c r="A123" s="16"/>
      <c r="B123" s="16"/>
      <c r="C123" s="17"/>
      <c r="D123" s="17"/>
      <c r="F123" s="16"/>
      <c r="G123" s="16"/>
    </row>
    <row r="124" spans="1:7" ht="13.2">
      <c r="A124" s="16"/>
      <c r="B124" s="16"/>
      <c r="C124" s="17"/>
      <c r="D124" s="17"/>
      <c r="F124" s="16"/>
      <c r="G124" s="16"/>
    </row>
    <row r="125" spans="1:7" ht="13.2">
      <c r="A125" s="16"/>
      <c r="B125" s="16"/>
      <c r="C125" s="17"/>
      <c r="D125" s="17"/>
      <c r="F125" s="16"/>
      <c r="G125" s="16"/>
    </row>
    <row r="126" spans="1:7" ht="13.2">
      <c r="A126" s="16"/>
      <c r="B126" s="16"/>
      <c r="C126" s="17"/>
      <c r="D126" s="17"/>
      <c r="F126" s="16"/>
      <c r="G126" s="16"/>
    </row>
    <row r="127" spans="1:7" ht="13.2">
      <c r="A127" s="16"/>
      <c r="B127" s="16"/>
      <c r="C127" s="17"/>
      <c r="D127" s="17"/>
      <c r="F127" s="16"/>
      <c r="G127" s="16"/>
    </row>
    <row r="128" spans="1:7" ht="13.2">
      <c r="A128" s="16"/>
      <c r="B128" s="16"/>
      <c r="C128" s="17"/>
      <c r="D128" s="17"/>
      <c r="F128" s="16"/>
      <c r="G128" s="16"/>
    </row>
    <row r="129" spans="1:7" ht="13.2">
      <c r="A129" s="16"/>
      <c r="B129" s="16"/>
      <c r="C129" s="17"/>
      <c r="D129" s="17"/>
      <c r="F129" s="16"/>
      <c r="G129" s="16"/>
    </row>
    <row r="130" spans="1:7" ht="13.2">
      <c r="A130" s="16"/>
      <c r="B130" s="16"/>
      <c r="C130" s="17"/>
      <c r="D130" s="17"/>
      <c r="F130" s="16"/>
      <c r="G130" s="16"/>
    </row>
    <row r="131" spans="1:7" ht="13.2">
      <c r="A131" s="16"/>
      <c r="B131" s="16"/>
      <c r="C131" s="17"/>
      <c r="D131" s="17"/>
      <c r="F131" s="16"/>
      <c r="G131" s="16"/>
    </row>
    <row r="132" spans="1:7" ht="13.2">
      <c r="A132" s="16"/>
      <c r="B132" s="16"/>
      <c r="C132" s="17"/>
      <c r="D132" s="17"/>
      <c r="F132" s="16"/>
      <c r="G132" s="16"/>
    </row>
    <row r="133" spans="1:7" ht="13.2">
      <c r="A133" s="16"/>
      <c r="B133" s="16"/>
      <c r="C133" s="17"/>
      <c r="D133" s="17"/>
      <c r="F133" s="16"/>
      <c r="G133" s="16"/>
    </row>
    <row r="134" spans="1:7" ht="13.2">
      <c r="A134" s="16"/>
      <c r="B134" s="16"/>
      <c r="C134" s="17"/>
      <c r="D134" s="17"/>
      <c r="F134" s="16"/>
      <c r="G134" s="16"/>
    </row>
    <row r="135" spans="1:7" ht="13.2">
      <c r="A135" s="16"/>
      <c r="B135" s="16"/>
      <c r="C135" s="17"/>
      <c r="D135" s="17"/>
      <c r="F135" s="16"/>
      <c r="G135" s="16"/>
    </row>
    <row r="136" spans="1:7" ht="13.2">
      <c r="A136" s="16"/>
      <c r="B136" s="16"/>
      <c r="C136" s="17"/>
      <c r="D136" s="17"/>
      <c r="F136" s="16"/>
      <c r="G136" s="16"/>
    </row>
    <row r="137" spans="1:7" ht="13.2">
      <c r="A137" s="16"/>
      <c r="B137" s="16"/>
      <c r="C137" s="17"/>
      <c r="D137" s="17"/>
      <c r="F137" s="16"/>
      <c r="G137" s="16"/>
    </row>
    <row r="138" spans="1:7" ht="13.2">
      <c r="A138" s="16"/>
      <c r="B138" s="16"/>
      <c r="C138" s="17"/>
      <c r="D138" s="17"/>
      <c r="F138" s="16"/>
      <c r="G138" s="16"/>
    </row>
    <row r="139" spans="1:7" ht="13.2">
      <c r="A139" s="16"/>
      <c r="B139" s="16"/>
      <c r="C139" s="17"/>
      <c r="D139" s="17"/>
      <c r="F139" s="16"/>
      <c r="G139" s="16"/>
    </row>
    <row r="140" spans="1:7" ht="13.2">
      <c r="A140" s="16"/>
      <c r="B140" s="16"/>
      <c r="C140" s="17"/>
      <c r="D140" s="17"/>
      <c r="F140" s="16"/>
      <c r="G140" s="16"/>
    </row>
    <row r="141" spans="1:7" ht="13.2">
      <c r="A141" s="16"/>
      <c r="B141" s="16"/>
      <c r="C141" s="17"/>
      <c r="D141" s="17"/>
      <c r="F141" s="16"/>
      <c r="G141" s="16"/>
    </row>
    <row r="142" spans="1:7" ht="13.2">
      <c r="A142" s="16"/>
      <c r="B142" s="16"/>
      <c r="C142" s="17"/>
      <c r="D142" s="17"/>
      <c r="F142" s="16"/>
      <c r="G142" s="16"/>
    </row>
    <row r="143" spans="1:7" ht="13.2">
      <c r="A143" s="16"/>
      <c r="B143" s="16"/>
      <c r="C143" s="17"/>
      <c r="D143" s="17"/>
      <c r="F143" s="16"/>
      <c r="G143" s="16"/>
    </row>
    <row r="144" spans="1:7" ht="13.2">
      <c r="A144" s="16"/>
      <c r="B144" s="16"/>
      <c r="C144" s="17"/>
      <c r="D144" s="17"/>
      <c r="F144" s="16"/>
      <c r="G144" s="16"/>
    </row>
    <row r="145" spans="1:7" ht="13.2">
      <c r="A145" s="16"/>
      <c r="B145" s="16"/>
      <c r="C145" s="17"/>
      <c r="D145" s="17"/>
      <c r="F145" s="16"/>
      <c r="G145" s="16"/>
    </row>
    <row r="146" spans="1:7" ht="13.2">
      <c r="A146" s="16"/>
      <c r="B146" s="16"/>
      <c r="C146" s="17"/>
      <c r="D146" s="17"/>
      <c r="F146" s="16"/>
      <c r="G146" s="16"/>
    </row>
    <row r="147" spans="1:7" ht="13.2">
      <c r="A147" s="16"/>
      <c r="B147" s="16"/>
      <c r="C147" s="17"/>
      <c r="D147" s="17"/>
      <c r="F147" s="16"/>
      <c r="G147" s="16"/>
    </row>
    <row r="148" spans="1:7" ht="13.2">
      <c r="A148" s="16"/>
      <c r="B148" s="16"/>
      <c r="C148" s="17"/>
      <c r="D148" s="17"/>
      <c r="F148" s="16"/>
      <c r="G148" s="16"/>
    </row>
    <row r="149" spans="1:7" ht="13.2">
      <c r="A149" s="16"/>
      <c r="B149" s="16"/>
      <c r="C149" s="17"/>
      <c r="D149" s="17"/>
      <c r="F149" s="16"/>
      <c r="G149" s="16"/>
    </row>
    <row r="150" spans="1:7" ht="13.2">
      <c r="A150" s="16"/>
      <c r="B150" s="16"/>
      <c r="C150" s="17"/>
      <c r="D150" s="17"/>
      <c r="F150" s="16"/>
      <c r="G150" s="16"/>
    </row>
    <row r="151" spans="1:7" ht="13.2">
      <c r="A151" s="16"/>
      <c r="B151" s="16"/>
      <c r="C151" s="17"/>
      <c r="D151" s="17"/>
      <c r="F151" s="16"/>
      <c r="G151" s="16"/>
    </row>
    <row r="152" spans="1:7" ht="13.2">
      <c r="A152" s="16"/>
      <c r="B152" s="16"/>
      <c r="C152" s="17"/>
      <c r="D152" s="17"/>
      <c r="F152" s="16"/>
      <c r="G152" s="16"/>
    </row>
    <row r="153" spans="1:7" ht="13.2">
      <c r="A153" s="16"/>
      <c r="B153" s="16"/>
      <c r="C153" s="17"/>
      <c r="D153" s="17"/>
      <c r="F153" s="16"/>
      <c r="G153" s="16"/>
    </row>
    <row r="154" spans="1:7" ht="13.2">
      <c r="A154" s="16"/>
      <c r="B154" s="16"/>
      <c r="C154" s="17"/>
      <c r="D154" s="17"/>
      <c r="F154" s="16"/>
      <c r="G154" s="16"/>
    </row>
    <row r="155" spans="1:7" ht="13.2">
      <c r="A155" s="16"/>
      <c r="B155" s="16"/>
      <c r="C155" s="17"/>
      <c r="D155" s="17"/>
      <c r="F155" s="16"/>
      <c r="G155" s="16"/>
    </row>
    <row r="156" spans="1:7" ht="13.2">
      <c r="A156" s="16"/>
      <c r="B156" s="16"/>
      <c r="C156" s="17"/>
      <c r="D156" s="17"/>
      <c r="F156" s="16"/>
      <c r="G156" s="16"/>
    </row>
    <row r="157" spans="1:7" ht="13.2">
      <c r="A157" s="16"/>
      <c r="B157" s="16"/>
      <c r="C157" s="17"/>
      <c r="D157" s="17"/>
      <c r="F157" s="16"/>
      <c r="G157" s="16"/>
    </row>
    <row r="158" spans="1:7" ht="13.2">
      <c r="A158" s="16"/>
      <c r="B158" s="16"/>
      <c r="C158" s="17"/>
      <c r="D158" s="17"/>
      <c r="F158" s="16"/>
      <c r="G158" s="16"/>
    </row>
    <row r="159" spans="1:7" ht="13.2">
      <c r="A159" s="16"/>
      <c r="B159" s="16"/>
      <c r="C159" s="17"/>
      <c r="D159" s="17"/>
      <c r="F159" s="16"/>
      <c r="G159" s="16"/>
    </row>
    <row r="160" spans="1:7" ht="13.2">
      <c r="A160" s="16"/>
      <c r="B160" s="16"/>
      <c r="C160" s="17"/>
      <c r="D160" s="17"/>
      <c r="F160" s="16"/>
      <c r="G160" s="16"/>
    </row>
    <row r="161" spans="1:7" ht="13.2">
      <c r="A161" s="16"/>
      <c r="B161" s="16"/>
      <c r="C161" s="17"/>
      <c r="D161" s="17"/>
      <c r="F161" s="16"/>
      <c r="G161" s="16"/>
    </row>
    <row r="162" spans="1:7" ht="13.2">
      <c r="A162" s="16"/>
      <c r="B162" s="16"/>
      <c r="C162" s="17"/>
      <c r="D162" s="17"/>
      <c r="F162" s="16"/>
      <c r="G162" s="16"/>
    </row>
    <row r="163" spans="1:7" ht="13.2">
      <c r="A163" s="16"/>
      <c r="B163" s="16"/>
      <c r="C163" s="17"/>
      <c r="D163" s="17"/>
      <c r="F163" s="16"/>
      <c r="G163" s="16"/>
    </row>
    <row r="164" spans="1:7" ht="13.2">
      <c r="A164" s="16"/>
      <c r="B164" s="16"/>
      <c r="C164" s="17"/>
      <c r="D164" s="17"/>
      <c r="F164" s="16"/>
      <c r="G164" s="16"/>
    </row>
    <row r="165" spans="1:7" ht="13.2">
      <c r="A165" s="16"/>
      <c r="B165" s="16"/>
      <c r="C165" s="17"/>
      <c r="D165" s="17"/>
      <c r="F165" s="16"/>
      <c r="G165" s="16"/>
    </row>
    <row r="166" spans="1:7" ht="13.2">
      <c r="A166" s="16"/>
      <c r="B166" s="16"/>
      <c r="C166" s="17"/>
      <c r="D166" s="17"/>
      <c r="F166" s="16"/>
      <c r="G166" s="16"/>
    </row>
    <row r="167" spans="1:7" ht="13.2">
      <c r="A167" s="16"/>
      <c r="B167" s="16"/>
      <c r="C167" s="17"/>
      <c r="D167" s="17"/>
      <c r="F167" s="16"/>
      <c r="G167" s="16"/>
    </row>
    <row r="168" spans="1:7" ht="13.2">
      <c r="A168" s="16"/>
      <c r="B168" s="16"/>
      <c r="C168" s="17"/>
      <c r="D168" s="17"/>
      <c r="F168" s="16"/>
      <c r="G168" s="16"/>
    </row>
    <row r="169" spans="1:7" ht="13.2">
      <c r="A169" s="16"/>
      <c r="B169" s="16"/>
      <c r="C169" s="17"/>
      <c r="D169" s="17"/>
      <c r="F169" s="16"/>
      <c r="G169" s="16"/>
    </row>
    <row r="170" spans="1:7" ht="13.2">
      <c r="A170" s="16"/>
      <c r="B170" s="16"/>
      <c r="C170" s="17"/>
      <c r="D170" s="17"/>
      <c r="F170" s="16"/>
      <c r="G170" s="16"/>
    </row>
    <row r="171" spans="1:7" ht="13.2">
      <c r="A171" s="16"/>
      <c r="B171" s="16"/>
      <c r="C171" s="17"/>
      <c r="D171" s="17"/>
      <c r="F171" s="16"/>
      <c r="G171" s="16"/>
    </row>
    <row r="172" spans="1:7" ht="13.2">
      <c r="A172" s="16"/>
      <c r="B172" s="16"/>
      <c r="C172" s="17"/>
      <c r="D172" s="17"/>
      <c r="F172" s="16"/>
      <c r="G172" s="16"/>
    </row>
    <row r="173" spans="1:7" ht="13.2">
      <c r="A173" s="16"/>
      <c r="B173" s="16"/>
      <c r="C173" s="17"/>
      <c r="D173" s="17"/>
      <c r="F173" s="16"/>
      <c r="G173" s="16"/>
    </row>
    <row r="174" spans="1:7" ht="13.2">
      <c r="A174" s="16"/>
      <c r="B174" s="16"/>
      <c r="C174" s="17"/>
      <c r="D174" s="17"/>
      <c r="F174" s="16"/>
      <c r="G174" s="16"/>
    </row>
    <row r="175" spans="1:7" ht="13.2">
      <c r="A175" s="16"/>
      <c r="B175" s="16"/>
      <c r="C175" s="17"/>
      <c r="D175" s="17"/>
      <c r="F175" s="16"/>
      <c r="G175" s="16"/>
    </row>
    <row r="176" spans="1:7" ht="13.2">
      <c r="A176" s="16"/>
      <c r="B176" s="16"/>
      <c r="C176" s="17"/>
      <c r="D176" s="17"/>
      <c r="F176" s="16"/>
      <c r="G176" s="16"/>
    </row>
    <row r="177" spans="1:7" ht="13.2">
      <c r="A177" s="16"/>
      <c r="B177" s="16"/>
      <c r="C177" s="17"/>
      <c r="D177" s="17"/>
      <c r="F177" s="16"/>
      <c r="G177" s="16"/>
    </row>
    <row r="178" spans="1:7" ht="13.2">
      <c r="A178" s="16"/>
      <c r="B178" s="16"/>
      <c r="C178" s="17"/>
      <c r="D178" s="17"/>
      <c r="F178" s="16"/>
      <c r="G178" s="16"/>
    </row>
    <row r="179" spans="1:7" ht="13.2">
      <c r="A179" s="16"/>
      <c r="B179" s="16"/>
      <c r="C179" s="17"/>
      <c r="D179" s="17"/>
      <c r="F179" s="16"/>
      <c r="G179" s="16"/>
    </row>
    <row r="180" spans="1:7" ht="13.2">
      <c r="A180" s="16"/>
      <c r="B180" s="16"/>
      <c r="C180" s="17"/>
      <c r="D180" s="17"/>
      <c r="F180" s="16"/>
      <c r="G180" s="16"/>
    </row>
    <row r="181" spans="1:7" ht="13.2">
      <c r="A181" s="16"/>
      <c r="B181" s="16"/>
      <c r="C181" s="17"/>
      <c r="D181" s="17"/>
      <c r="F181" s="16"/>
      <c r="G181" s="16"/>
    </row>
    <row r="182" spans="1:7" ht="13.2">
      <c r="A182" s="16"/>
      <c r="B182" s="16"/>
      <c r="C182" s="17"/>
      <c r="D182" s="17"/>
      <c r="F182" s="16"/>
      <c r="G182" s="16"/>
    </row>
    <row r="183" spans="1:7" ht="13.2">
      <c r="A183" s="16"/>
      <c r="B183" s="16"/>
      <c r="C183" s="17"/>
      <c r="D183" s="17"/>
      <c r="F183" s="16"/>
      <c r="G183" s="16"/>
    </row>
    <row r="184" spans="1:7" ht="13.2">
      <c r="A184" s="16"/>
      <c r="B184" s="16"/>
      <c r="C184" s="17"/>
      <c r="D184" s="17"/>
      <c r="F184" s="16"/>
      <c r="G184" s="16"/>
    </row>
    <row r="185" spans="1:7" ht="13.2">
      <c r="A185" s="16"/>
      <c r="B185" s="16"/>
      <c r="C185" s="17"/>
      <c r="D185" s="17"/>
      <c r="F185" s="16"/>
      <c r="G185" s="16"/>
    </row>
    <row r="186" spans="1:7" ht="13.2">
      <c r="A186" s="16"/>
      <c r="B186" s="16"/>
      <c r="C186" s="17"/>
      <c r="D186" s="17"/>
      <c r="F186" s="16"/>
      <c r="G186" s="16"/>
    </row>
    <row r="187" spans="1:7" ht="13.2">
      <c r="A187" s="16"/>
      <c r="B187" s="16"/>
      <c r="C187" s="17"/>
      <c r="D187" s="17"/>
      <c r="F187" s="16"/>
      <c r="G187" s="16"/>
    </row>
    <row r="188" spans="1:7" ht="13.2">
      <c r="A188" s="16"/>
      <c r="B188" s="16"/>
      <c r="C188" s="17"/>
      <c r="D188" s="17"/>
      <c r="F188" s="16"/>
      <c r="G188" s="16"/>
    </row>
    <row r="189" spans="1:7" ht="13.2">
      <c r="A189" s="16"/>
      <c r="B189" s="16"/>
      <c r="C189" s="17"/>
      <c r="D189" s="17"/>
      <c r="F189" s="16"/>
      <c r="G189" s="16"/>
    </row>
    <row r="190" spans="1:7" ht="13.2">
      <c r="A190" s="16"/>
      <c r="B190" s="16"/>
      <c r="C190" s="17"/>
      <c r="D190" s="17"/>
      <c r="F190" s="16"/>
      <c r="G190" s="16"/>
    </row>
    <row r="191" spans="1:7" ht="13.2">
      <c r="A191" s="16"/>
      <c r="B191" s="16"/>
      <c r="C191" s="17"/>
      <c r="D191" s="17"/>
      <c r="F191" s="16"/>
      <c r="G191" s="16"/>
    </row>
    <row r="192" spans="1:7" ht="13.2">
      <c r="A192" s="16"/>
      <c r="B192" s="16"/>
      <c r="C192" s="17"/>
      <c r="D192" s="17"/>
      <c r="F192" s="16"/>
      <c r="G192" s="16"/>
    </row>
    <row r="193" spans="1:7" ht="13.2">
      <c r="A193" s="16"/>
      <c r="B193" s="16"/>
      <c r="C193" s="17"/>
      <c r="D193" s="17"/>
      <c r="F193" s="16"/>
      <c r="G193" s="16"/>
    </row>
    <row r="194" spans="1:7" ht="13.2">
      <c r="A194" s="16"/>
      <c r="B194" s="16"/>
      <c r="C194" s="17"/>
      <c r="D194" s="17"/>
      <c r="F194" s="16"/>
      <c r="G194" s="16"/>
    </row>
    <row r="195" spans="1:7" ht="13.2">
      <c r="A195" s="16"/>
      <c r="B195" s="16"/>
      <c r="C195" s="17"/>
      <c r="D195" s="17"/>
      <c r="F195" s="16"/>
      <c r="G195" s="16"/>
    </row>
    <row r="196" spans="1:7" ht="13.2">
      <c r="A196" s="16"/>
      <c r="B196" s="16"/>
      <c r="C196" s="17"/>
      <c r="D196" s="17"/>
      <c r="F196" s="16"/>
      <c r="G196" s="16"/>
    </row>
    <row r="197" spans="1:7" ht="13.2">
      <c r="A197" s="16"/>
      <c r="B197" s="16"/>
      <c r="C197" s="17"/>
      <c r="D197" s="17"/>
      <c r="F197" s="16"/>
      <c r="G197" s="16"/>
    </row>
    <row r="198" spans="1:7" ht="13.2">
      <c r="A198" s="16"/>
      <c r="B198" s="16"/>
      <c r="C198" s="17"/>
      <c r="D198" s="17"/>
      <c r="F198" s="16"/>
      <c r="G198" s="16"/>
    </row>
    <row r="199" spans="1:7" ht="13.2">
      <c r="A199" s="16"/>
      <c r="B199" s="16"/>
      <c r="C199" s="17"/>
      <c r="D199" s="17"/>
      <c r="F199" s="16"/>
      <c r="G199" s="16"/>
    </row>
    <row r="200" spans="1:7" ht="13.2">
      <c r="A200" s="16"/>
      <c r="B200" s="16"/>
      <c r="C200" s="17"/>
      <c r="D200" s="17"/>
      <c r="F200" s="16"/>
      <c r="G200" s="16"/>
    </row>
    <row r="201" spans="1:7" ht="13.2">
      <c r="A201" s="16"/>
      <c r="B201" s="16"/>
      <c r="C201" s="17"/>
      <c r="D201" s="17"/>
      <c r="F201" s="16"/>
      <c r="G201" s="16"/>
    </row>
    <row r="202" spans="1:7" ht="13.2">
      <c r="A202" s="16"/>
      <c r="B202" s="16"/>
      <c r="C202" s="17"/>
      <c r="D202" s="17"/>
      <c r="F202" s="16"/>
      <c r="G202" s="16"/>
    </row>
    <row r="203" spans="1:7" ht="13.2">
      <c r="A203" s="16"/>
      <c r="B203" s="16"/>
      <c r="C203" s="17"/>
      <c r="D203" s="17"/>
      <c r="F203" s="16"/>
      <c r="G203" s="16"/>
    </row>
    <row r="204" spans="1:7" ht="13.2">
      <c r="A204" s="16"/>
      <c r="B204" s="16"/>
      <c r="C204" s="17"/>
      <c r="D204" s="17"/>
      <c r="F204" s="16"/>
      <c r="G204" s="16"/>
    </row>
    <row r="205" spans="1:7" ht="13.2">
      <c r="A205" s="16"/>
      <c r="B205" s="16"/>
      <c r="C205" s="17"/>
      <c r="D205" s="17"/>
      <c r="F205" s="16"/>
      <c r="G205" s="16"/>
    </row>
    <row r="206" spans="1:7" ht="13.2">
      <c r="A206" s="16"/>
      <c r="B206" s="16"/>
      <c r="C206" s="17"/>
      <c r="D206" s="17"/>
      <c r="F206" s="16"/>
      <c r="G206" s="16"/>
    </row>
    <row r="207" spans="1:7" ht="13.2">
      <c r="A207" s="16"/>
      <c r="B207" s="16"/>
      <c r="C207" s="17"/>
      <c r="D207" s="17"/>
      <c r="F207" s="16"/>
      <c r="G207" s="16"/>
    </row>
    <row r="208" spans="1:7" ht="13.2">
      <c r="A208" s="16"/>
      <c r="B208" s="16"/>
      <c r="C208" s="17"/>
      <c r="D208" s="17"/>
      <c r="F208" s="16"/>
      <c r="G208" s="16"/>
    </row>
    <row r="209" spans="1:7" ht="13.2">
      <c r="A209" s="16"/>
      <c r="B209" s="16"/>
      <c r="C209" s="17"/>
      <c r="D209" s="17"/>
      <c r="F209" s="16"/>
      <c r="G209" s="16"/>
    </row>
    <row r="210" spans="1:7" ht="13.2">
      <c r="A210" s="16"/>
      <c r="B210" s="16"/>
      <c r="C210" s="17"/>
      <c r="D210" s="17"/>
      <c r="F210" s="16"/>
      <c r="G210" s="16"/>
    </row>
    <row r="211" spans="1:7" ht="13.2">
      <c r="A211" s="16"/>
      <c r="B211" s="16"/>
      <c r="C211" s="17"/>
      <c r="D211" s="17"/>
      <c r="F211" s="16"/>
      <c r="G211" s="16"/>
    </row>
    <row r="212" spans="1:7" ht="13.2">
      <c r="A212" s="16"/>
      <c r="B212" s="16"/>
      <c r="C212" s="17"/>
      <c r="D212" s="17"/>
      <c r="F212" s="16"/>
      <c r="G212" s="16"/>
    </row>
    <row r="213" spans="1:7" ht="13.2">
      <c r="A213" s="16"/>
      <c r="B213" s="16"/>
      <c r="C213" s="17"/>
      <c r="D213" s="17"/>
      <c r="F213" s="16"/>
      <c r="G213" s="16"/>
    </row>
    <row r="214" spans="1:7" ht="13.2">
      <c r="A214" s="16"/>
      <c r="B214" s="16"/>
      <c r="C214" s="17"/>
      <c r="D214" s="17"/>
      <c r="F214" s="16"/>
      <c r="G214" s="16"/>
    </row>
    <row r="215" spans="1:7" ht="13.2">
      <c r="A215" s="16"/>
      <c r="B215" s="16"/>
      <c r="C215" s="17"/>
      <c r="D215" s="17"/>
      <c r="F215" s="16"/>
      <c r="G215" s="16"/>
    </row>
    <row r="216" spans="1:7" ht="13.2">
      <c r="A216" s="16"/>
      <c r="B216" s="16"/>
      <c r="C216" s="17"/>
      <c r="D216" s="17"/>
      <c r="F216" s="16"/>
      <c r="G216" s="16"/>
    </row>
    <row r="217" spans="1:7" ht="13.2">
      <c r="A217" s="16"/>
      <c r="B217" s="16"/>
      <c r="C217" s="17"/>
      <c r="D217" s="17"/>
      <c r="F217" s="16"/>
      <c r="G217" s="16"/>
    </row>
    <row r="218" spans="1:7" ht="13.2">
      <c r="A218" s="16"/>
      <c r="B218" s="16"/>
      <c r="C218" s="17"/>
      <c r="D218" s="17"/>
      <c r="F218" s="16"/>
      <c r="G218" s="16"/>
    </row>
    <row r="219" spans="1:7" ht="13.2">
      <c r="A219" s="16"/>
      <c r="B219" s="16"/>
      <c r="C219" s="17"/>
      <c r="D219" s="17"/>
      <c r="F219" s="16"/>
      <c r="G219" s="16"/>
    </row>
    <row r="220" spans="1:7" ht="13.2">
      <c r="A220" s="16"/>
      <c r="B220" s="16"/>
      <c r="C220" s="17"/>
      <c r="D220" s="17"/>
      <c r="F220" s="16"/>
      <c r="G220" s="16"/>
    </row>
    <row r="221" spans="1:7" ht="13.2">
      <c r="A221" s="16"/>
      <c r="B221" s="16"/>
      <c r="C221" s="17"/>
      <c r="D221" s="17"/>
      <c r="F221" s="16"/>
      <c r="G221" s="16"/>
    </row>
    <row r="222" spans="1:7" ht="13.2">
      <c r="A222" s="16"/>
      <c r="B222" s="16"/>
      <c r="C222" s="17"/>
      <c r="D222" s="17"/>
      <c r="F222" s="16"/>
      <c r="G222" s="16"/>
    </row>
    <row r="223" spans="1:7" ht="13.2">
      <c r="A223" s="16"/>
      <c r="B223" s="16"/>
      <c r="C223" s="17"/>
      <c r="D223" s="17"/>
      <c r="F223" s="16"/>
      <c r="G223" s="16"/>
    </row>
    <row r="224" spans="1:7" ht="13.2">
      <c r="A224" s="16"/>
      <c r="B224" s="16"/>
      <c r="C224" s="17"/>
      <c r="D224" s="17"/>
      <c r="F224" s="16"/>
      <c r="G224" s="16"/>
    </row>
    <row r="225" spans="1:7" ht="13.2">
      <c r="A225" s="16"/>
      <c r="B225" s="16"/>
      <c r="C225" s="17"/>
      <c r="D225" s="17"/>
      <c r="F225" s="16"/>
      <c r="G225" s="16"/>
    </row>
    <row r="226" spans="1:7" ht="13.2">
      <c r="A226" s="16"/>
      <c r="B226" s="16"/>
      <c r="C226" s="17"/>
      <c r="D226" s="17"/>
      <c r="F226" s="16"/>
      <c r="G226" s="16"/>
    </row>
    <row r="227" spans="1:7" ht="13.2">
      <c r="A227" s="16"/>
      <c r="B227" s="16"/>
      <c r="C227" s="17"/>
      <c r="D227" s="17"/>
      <c r="F227" s="16"/>
      <c r="G227" s="16"/>
    </row>
    <row r="228" spans="1:7" ht="13.2">
      <c r="A228" s="16"/>
      <c r="B228" s="16"/>
      <c r="C228" s="17"/>
      <c r="D228" s="17"/>
      <c r="F228" s="16"/>
      <c r="G228" s="16"/>
    </row>
    <row r="229" spans="1:7" ht="13.2">
      <c r="A229" s="16"/>
      <c r="B229" s="16"/>
      <c r="C229" s="17"/>
      <c r="D229" s="17"/>
      <c r="F229" s="16"/>
      <c r="G229" s="16"/>
    </row>
    <row r="230" spans="1:7" ht="13.2">
      <c r="A230" s="16"/>
      <c r="B230" s="16"/>
      <c r="C230" s="17"/>
      <c r="D230" s="17"/>
      <c r="F230" s="16"/>
      <c r="G230" s="16"/>
    </row>
    <row r="231" spans="1:7" ht="13.2">
      <c r="A231" s="16"/>
      <c r="B231" s="16"/>
      <c r="C231" s="17"/>
      <c r="D231" s="17"/>
      <c r="F231" s="16"/>
      <c r="G231" s="16"/>
    </row>
    <row r="232" spans="1:7" ht="13.2">
      <c r="A232" s="16"/>
      <c r="B232" s="16"/>
      <c r="C232" s="17"/>
      <c r="D232" s="17"/>
      <c r="F232" s="16"/>
      <c r="G232" s="16"/>
    </row>
    <row r="233" spans="1:7" ht="13.2">
      <c r="A233" s="16"/>
      <c r="B233" s="16"/>
      <c r="C233" s="17"/>
      <c r="D233" s="17"/>
      <c r="F233" s="16"/>
      <c r="G233" s="16"/>
    </row>
    <row r="234" spans="1:7" ht="13.2">
      <c r="A234" s="16"/>
      <c r="B234" s="16"/>
      <c r="C234" s="17"/>
      <c r="D234" s="17"/>
      <c r="F234" s="16"/>
      <c r="G234" s="16"/>
    </row>
    <row r="235" spans="1:7" ht="13.2">
      <c r="A235" s="16"/>
      <c r="B235" s="16"/>
      <c r="C235" s="17"/>
      <c r="D235" s="17"/>
      <c r="F235" s="16"/>
      <c r="G235" s="16"/>
    </row>
    <row r="236" spans="1:7" ht="13.2">
      <c r="A236" s="16"/>
      <c r="B236" s="16"/>
      <c r="C236" s="17"/>
      <c r="D236" s="17"/>
      <c r="F236" s="16"/>
      <c r="G236" s="16"/>
    </row>
    <row r="237" spans="1:7" ht="13.2">
      <c r="A237" s="16"/>
      <c r="B237" s="16"/>
      <c r="C237" s="17"/>
      <c r="D237" s="17"/>
      <c r="F237" s="16"/>
      <c r="G237" s="16"/>
    </row>
    <row r="238" spans="1:7" ht="13.2">
      <c r="A238" s="16"/>
      <c r="B238" s="16"/>
      <c r="C238" s="17"/>
      <c r="D238" s="17"/>
      <c r="F238" s="16"/>
      <c r="G238" s="16"/>
    </row>
    <row r="239" spans="1:7" ht="13.2">
      <c r="A239" s="16"/>
      <c r="B239" s="16"/>
      <c r="C239" s="17"/>
      <c r="D239" s="17"/>
      <c r="F239" s="16"/>
      <c r="G239" s="16"/>
    </row>
    <row r="240" spans="1:7" ht="13.2">
      <c r="A240" s="16"/>
      <c r="B240" s="16"/>
      <c r="C240" s="17"/>
      <c r="D240" s="17"/>
      <c r="F240" s="16"/>
      <c r="G240" s="16"/>
    </row>
    <row r="241" spans="1:7" ht="13.2">
      <c r="A241" s="16"/>
      <c r="B241" s="16"/>
      <c r="C241" s="17"/>
      <c r="D241" s="17"/>
      <c r="F241" s="16"/>
      <c r="G241" s="16"/>
    </row>
    <row r="242" spans="1:7" ht="13.2">
      <c r="A242" s="16"/>
      <c r="B242" s="16"/>
      <c r="C242" s="17"/>
      <c r="D242" s="17"/>
      <c r="F242" s="16"/>
      <c r="G242" s="16"/>
    </row>
    <row r="243" spans="1:7" ht="13.2">
      <c r="A243" s="16"/>
      <c r="B243" s="16"/>
      <c r="C243" s="17"/>
      <c r="D243" s="17"/>
      <c r="F243" s="16"/>
      <c r="G243" s="16"/>
    </row>
    <row r="244" spans="1:7" ht="13.2">
      <c r="A244" s="16"/>
      <c r="B244" s="16"/>
      <c r="C244" s="17"/>
      <c r="D244" s="17"/>
      <c r="F244" s="16"/>
      <c r="G244" s="16"/>
    </row>
    <row r="245" spans="1:7" ht="13.2">
      <c r="A245" s="16"/>
      <c r="B245" s="16"/>
      <c r="C245" s="17"/>
      <c r="D245" s="17"/>
      <c r="F245" s="16"/>
      <c r="G245" s="16"/>
    </row>
    <row r="246" spans="1:7" ht="13.2">
      <c r="A246" s="16"/>
      <c r="B246" s="16"/>
      <c r="C246" s="17"/>
      <c r="D246" s="17"/>
      <c r="F246" s="16"/>
      <c r="G246" s="16"/>
    </row>
    <row r="247" spans="1:7" ht="13.2">
      <c r="A247" s="16"/>
      <c r="B247" s="16"/>
      <c r="C247" s="17"/>
      <c r="D247" s="17"/>
      <c r="F247" s="16"/>
      <c r="G247" s="16"/>
    </row>
    <row r="248" spans="1:7" ht="13.2">
      <c r="A248" s="16"/>
      <c r="B248" s="16"/>
      <c r="C248" s="17"/>
      <c r="D248" s="17"/>
      <c r="F248" s="16"/>
      <c r="G248" s="16"/>
    </row>
    <row r="249" spans="1:7" ht="13.2">
      <c r="A249" s="16"/>
      <c r="B249" s="16"/>
      <c r="C249" s="17"/>
      <c r="D249" s="17"/>
      <c r="F249" s="16"/>
      <c r="G249" s="16"/>
    </row>
    <row r="250" spans="1:7" ht="13.2">
      <c r="A250" s="16"/>
      <c r="B250" s="16"/>
      <c r="C250" s="17"/>
      <c r="D250" s="17"/>
      <c r="F250" s="16"/>
      <c r="G250" s="16"/>
    </row>
    <row r="251" spans="1:7" ht="13.2">
      <c r="A251" s="16"/>
      <c r="B251" s="16"/>
      <c r="C251" s="17"/>
      <c r="D251" s="17"/>
      <c r="F251" s="16"/>
      <c r="G251" s="16"/>
    </row>
    <row r="252" spans="1:7" ht="13.2">
      <c r="A252" s="16"/>
      <c r="B252" s="16"/>
      <c r="C252" s="17"/>
      <c r="D252" s="17"/>
      <c r="F252" s="16"/>
      <c r="G252" s="16"/>
    </row>
    <row r="253" spans="1:7" ht="13.2">
      <c r="A253" s="16"/>
      <c r="B253" s="16"/>
      <c r="C253" s="17"/>
      <c r="D253" s="17"/>
      <c r="F253" s="16"/>
      <c r="G253" s="16"/>
    </row>
    <row r="254" spans="1:7" ht="13.2">
      <c r="A254" s="16"/>
      <c r="B254" s="16"/>
      <c r="C254" s="17"/>
      <c r="D254" s="17"/>
      <c r="F254" s="16"/>
      <c r="G254" s="16"/>
    </row>
    <row r="255" spans="1:7" ht="13.2">
      <c r="A255" s="16"/>
      <c r="B255" s="16"/>
      <c r="C255" s="17"/>
      <c r="D255" s="17"/>
      <c r="F255" s="16"/>
      <c r="G255" s="16"/>
    </row>
    <row r="256" spans="1:7" ht="13.2">
      <c r="A256" s="16"/>
      <c r="B256" s="16"/>
      <c r="C256" s="17"/>
      <c r="D256" s="17"/>
      <c r="F256" s="16"/>
      <c r="G256" s="16"/>
    </row>
    <row r="257" spans="1:7" ht="13.2">
      <c r="A257" s="16"/>
      <c r="B257" s="16"/>
      <c r="C257" s="17"/>
      <c r="D257" s="17"/>
      <c r="F257" s="16"/>
      <c r="G257" s="16"/>
    </row>
    <row r="258" spans="1:7" ht="13.2">
      <c r="A258" s="16"/>
      <c r="B258" s="16"/>
      <c r="C258" s="17"/>
      <c r="D258" s="17"/>
      <c r="F258" s="16"/>
      <c r="G258" s="16"/>
    </row>
    <row r="259" spans="1:7" ht="13.2">
      <c r="A259" s="16"/>
      <c r="B259" s="16"/>
      <c r="C259" s="17"/>
      <c r="D259" s="17"/>
      <c r="F259" s="16"/>
      <c r="G259" s="16"/>
    </row>
    <row r="260" spans="1:7" ht="13.2">
      <c r="A260" s="16"/>
      <c r="B260" s="16"/>
      <c r="C260" s="17"/>
      <c r="D260" s="17"/>
      <c r="F260" s="16"/>
      <c r="G260" s="16"/>
    </row>
    <row r="261" spans="1:7" ht="13.2">
      <c r="A261" s="16"/>
      <c r="B261" s="16"/>
      <c r="C261" s="17"/>
      <c r="D261" s="17"/>
      <c r="F261" s="16"/>
      <c r="G261" s="16"/>
    </row>
    <row r="262" spans="1:7" ht="13.2">
      <c r="A262" s="16"/>
      <c r="B262" s="16"/>
      <c r="C262" s="17"/>
      <c r="D262" s="17"/>
      <c r="F262" s="16"/>
      <c r="G262" s="16"/>
    </row>
    <row r="263" spans="1:7" ht="13.2">
      <c r="A263" s="16"/>
      <c r="B263" s="16"/>
      <c r="C263" s="17"/>
      <c r="D263" s="17"/>
      <c r="F263" s="16"/>
      <c r="G263" s="16"/>
    </row>
    <row r="264" spans="1:7" ht="13.2">
      <c r="A264" s="16"/>
      <c r="B264" s="16"/>
      <c r="C264" s="17"/>
      <c r="D264" s="17"/>
      <c r="F264" s="16"/>
      <c r="G264" s="16"/>
    </row>
    <row r="265" spans="1:7" ht="13.2">
      <c r="A265" s="16"/>
      <c r="B265" s="16"/>
      <c r="C265" s="17"/>
      <c r="D265" s="17"/>
      <c r="F265" s="16"/>
      <c r="G265" s="16"/>
    </row>
    <row r="266" spans="1:7" ht="13.2">
      <c r="A266" s="16"/>
      <c r="B266" s="16"/>
      <c r="C266" s="17"/>
      <c r="D266" s="17"/>
      <c r="F266" s="16"/>
      <c r="G266" s="16"/>
    </row>
    <row r="267" spans="1:7" ht="13.2">
      <c r="A267" s="16"/>
      <c r="B267" s="16"/>
      <c r="C267" s="17"/>
      <c r="D267" s="17"/>
      <c r="F267" s="16"/>
      <c r="G267" s="16"/>
    </row>
    <row r="268" spans="1:7" ht="13.2">
      <c r="A268" s="16"/>
      <c r="B268" s="16"/>
      <c r="C268" s="17"/>
      <c r="D268" s="17"/>
      <c r="F268" s="16"/>
      <c r="G268" s="16"/>
    </row>
    <row r="269" spans="1:7" ht="13.2">
      <c r="A269" s="16"/>
      <c r="B269" s="16"/>
      <c r="C269" s="17"/>
      <c r="D269" s="17"/>
      <c r="F269" s="16"/>
      <c r="G269" s="16"/>
    </row>
    <row r="270" spans="1:7" ht="13.2">
      <c r="A270" s="16"/>
      <c r="B270" s="16"/>
      <c r="C270" s="17"/>
      <c r="D270" s="17"/>
      <c r="F270" s="16"/>
      <c r="G270" s="16"/>
    </row>
    <row r="271" spans="1:7" ht="13.2">
      <c r="A271" s="16"/>
      <c r="B271" s="16"/>
      <c r="C271" s="17"/>
      <c r="D271" s="17"/>
      <c r="F271" s="16"/>
      <c r="G271" s="16"/>
    </row>
    <row r="272" spans="1:7" ht="13.2">
      <c r="A272" s="16"/>
      <c r="B272" s="16"/>
      <c r="C272" s="17"/>
      <c r="D272" s="17"/>
      <c r="F272" s="16"/>
      <c r="G272" s="16"/>
    </row>
    <row r="273" spans="1:7" ht="13.2">
      <c r="A273" s="16"/>
      <c r="B273" s="16"/>
      <c r="C273" s="17"/>
      <c r="D273" s="17"/>
      <c r="F273" s="16"/>
      <c r="G273" s="16"/>
    </row>
    <row r="274" spans="1:7" ht="13.2">
      <c r="A274" s="16"/>
      <c r="B274" s="16"/>
      <c r="C274" s="17"/>
      <c r="D274" s="17"/>
      <c r="F274" s="16"/>
      <c r="G274" s="16"/>
    </row>
    <row r="275" spans="1:7" ht="13.2">
      <c r="A275" s="16"/>
      <c r="B275" s="16"/>
      <c r="C275" s="17"/>
      <c r="D275" s="17"/>
      <c r="F275" s="16"/>
      <c r="G275" s="16"/>
    </row>
    <row r="276" spans="1:7" ht="13.2">
      <c r="A276" s="16"/>
      <c r="B276" s="16"/>
      <c r="C276" s="17"/>
      <c r="D276" s="17"/>
      <c r="F276" s="16"/>
      <c r="G276" s="16"/>
    </row>
    <row r="277" spans="1:7" ht="13.2">
      <c r="A277" s="16"/>
      <c r="B277" s="16"/>
      <c r="C277" s="17"/>
      <c r="D277" s="17"/>
      <c r="F277" s="16"/>
      <c r="G277" s="16"/>
    </row>
    <row r="278" spans="1:7" ht="13.2">
      <c r="A278" s="16"/>
      <c r="B278" s="16"/>
      <c r="C278" s="17"/>
      <c r="D278" s="17"/>
      <c r="F278" s="16"/>
      <c r="G278" s="16"/>
    </row>
    <row r="279" spans="1:7" ht="13.2">
      <c r="A279" s="16"/>
      <c r="B279" s="16"/>
      <c r="C279" s="17"/>
      <c r="D279" s="17"/>
      <c r="F279" s="16"/>
      <c r="G279" s="16"/>
    </row>
    <row r="280" spans="1:7" ht="13.2">
      <c r="A280" s="16"/>
      <c r="B280" s="16"/>
      <c r="C280" s="17"/>
      <c r="D280" s="17"/>
      <c r="F280" s="16"/>
      <c r="G280" s="16"/>
    </row>
    <row r="281" spans="1:7" ht="13.2">
      <c r="A281" s="16"/>
      <c r="B281" s="16"/>
      <c r="C281" s="17"/>
      <c r="D281" s="17"/>
      <c r="F281" s="16"/>
      <c r="G281" s="16"/>
    </row>
    <row r="282" spans="1:7" ht="13.2">
      <c r="A282" s="16"/>
      <c r="B282" s="16"/>
      <c r="C282" s="17"/>
      <c r="D282" s="17"/>
      <c r="F282" s="16"/>
      <c r="G282" s="16"/>
    </row>
    <row r="283" spans="1:7" ht="13.2">
      <c r="A283" s="16"/>
      <c r="B283" s="16"/>
      <c r="C283" s="17"/>
      <c r="D283" s="17"/>
      <c r="F283" s="16"/>
      <c r="G283" s="16"/>
    </row>
    <row r="284" spans="1:7" ht="13.2">
      <c r="A284" s="16"/>
      <c r="B284" s="16"/>
      <c r="C284" s="17"/>
      <c r="D284" s="17"/>
      <c r="F284" s="16"/>
      <c r="G284" s="16"/>
    </row>
    <row r="285" spans="1:7" ht="13.2">
      <c r="A285" s="16"/>
      <c r="B285" s="16"/>
      <c r="C285" s="17"/>
      <c r="D285" s="17"/>
      <c r="F285" s="16"/>
      <c r="G285" s="16"/>
    </row>
    <row r="286" spans="1:7" ht="13.2">
      <c r="A286" s="16"/>
      <c r="B286" s="16"/>
      <c r="C286" s="17"/>
      <c r="D286" s="17"/>
      <c r="F286" s="16"/>
      <c r="G286" s="16"/>
    </row>
    <row r="287" spans="1:7" ht="13.2">
      <c r="A287" s="16"/>
      <c r="B287" s="16"/>
      <c r="C287" s="17"/>
      <c r="D287" s="17"/>
      <c r="F287" s="16"/>
      <c r="G287" s="16"/>
    </row>
    <row r="288" spans="1:7" ht="13.2">
      <c r="A288" s="16"/>
      <c r="B288" s="16"/>
      <c r="C288" s="17"/>
      <c r="D288" s="17"/>
      <c r="F288" s="16"/>
      <c r="G288" s="16"/>
    </row>
    <row r="289" spans="1:7" ht="13.2">
      <c r="A289" s="16"/>
      <c r="B289" s="16"/>
      <c r="C289" s="17"/>
      <c r="D289" s="17"/>
      <c r="F289" s="16"/>
      <c r="G289" s="16"/>
    </row>
    <row r="290" spans="1:7" ht="13.2">
      <c r="A290" s="16"/>
      <c r="B290" s="16"/>
      <c r="C290" s="17"/>
      <c r="D290" s="17"/>
      <c r="F290" s="16"/>
      <c r="G290" s="16"/>
    </row>
    <row r="291" spans="1:7" ht="13.2">
      <c r="A291" s="16"/>
      <c r="B291" s="16"/>
      <c r="C291" s="17"/>
      <c r="D291" s="17"/>
      <c r="F291" s="16"/>
      <c r="G291" s="16"/>
    </row>
    <row r="292" spans="1:7" ht="13.2">
      <c r="A292" s="16"/>
      <c r="B292" s="16"/>
      <c r="C292" s="17"/>
      <c r="D292" s="17"/>
      <c r="F292" s="16"/>
      <c r="G292" s="16"/>
    </row>
    <row r="293" spans="1:7" ht="13.2">
      <c r="A293" s="16"/>
      <c r="B293" s="16"/>
      <c r="C293" s="17"/>
      <c r="D293" s="17"/>
      <c r="F293" s="16"/>
      <c r="G293" s="16"/>
    </row>
    <row r="294" spans="1:7" ht="13.2">
      <c r="A294" s="16"/>
      <c r="B294" s="16"/>
      <c r="C294" s="17"/>
      <c r="D294" s="17"/>
      <c r="F294" s="16"/>
      <c r="G294" s="16"/>
    </row>
    <row r="295" spans="1:7" ht="13.2">
      <c r="A295" s="16"/>
      <c r="B295" s="16"/>
      <c r="C295" s="17"/>
      <c r="D295" s="17"/>
      <c r="F295" s="16"/>
      <c r="G295" s="16"/>
    </row>
    <row r="296" spans="1:7" ht="13.2">
      <c r="A296" s="16"/>
      <c r="B296" s="16"/>
      <c r="C296" s="17"/>
      <c r="D296" s="17"/>
      <c r="F296" s="16"/>
      <c r="G296" s="16"/>
    </row>
    <row r="297" spans="1:7" ht="13.2">
      <c r="A297" s="16"/>
      <c r="B297" s="16"/>
      <c r="C297" s="17"/>
      <c r="D297" s="17"/>
      <c r="F297" s="16"/>
      <c r="G297" s="16"/>
    </row>
    <row r="298" spans="1:7" ht="13.2">
      <c r="A298" s="16"/>
      <c r="B298" s="16"/>
      <c r="C298" s="17"/>
      <c r="D298" s="17"/>
      <c r="F298" s="16"/>
      <c r="G298" s="16"/>
    </row>
    <row r="299" spans="1:7" ht="13.2">
      <c r="A299" s="16"/>
      <c r="B299" s="16"/>
      <c r="C299" s="17"/>
      <c r="D299" s="17"/>
      <c r="F299" s="16"/>
      <c r="G299" s="16"/>
    </row>
    <row r="300" spans="1:7" ht="13.2">
      <c r="A300" s="16"/>
      <c r="B300" s="16"/>
      <c r="C300" s="17"/>
      <c r="D300" s="17"/>
      <c r="F300" s="16"/>
      <c r="G300" s="16"/>
    </row>
    <row r="301" spans="1:7" ht="13.2">
      <c r="A301" s="16"/>
      <c r="B301" s="16"/>
      <c r="C301" s="17"/>
      <c r="D301" s="17"/>
      <c r="F301" s="16"/>
      <c r="G301" s="16"/>
    </row>
    <row r="302" spans="1:7" ht="13.2">
      <c r="A302" s="16"/>
      <c r="B302" s="16"/>
      <c r="C302" s="17"/>
      <c r="D302" s="17"/>
      <c r="F302" s="16"/>
      <c r="G302" s="16"/>
    </row>
    <row r="303" spans="1:7" ht="13.2">
      <c r="A303" s="16"/>
      <c r="B303" s="16"/>
      <c r="C303" s="17"/>
      <c r="D303" s="17"/>
      <c r="F303" s="16"/>
      <c r="G303" s="16"/>
    </row>
    <row r="304" spans="1:7" ht="13.2">
      <c r="A304" s="16"/>
      <c r="B304" s="16"/>
      <c r="C304" s="17"/>
      <c r="D304" s="17"/>
      <c r="F304" s="16"/>
      <c r="G304" s="16"/>
    </row>
    <row r="305" spans="1:7" ht="13.2">
      <c r="A305" s="16"/>
      <c r="B305" s="16"/>
      <c r="C305" s="17"/>
      <c r="D305" s="17"/>
      <c r="F305" s="16"/>
      <c r="G305" s="16"/>
    </row>
    <row r="306" spans="1:7" ht="13.2">
      <c r="A306" s="16"/>
      <c r="B306" s="16"/>
      <c r="C306" s="17"/>
      <c r="D306" s="17"/>
      <c r="F306" s="16"/>
      <c r="G306" s="16"/>
    </row>
    <row r="307" spans="1:7" ht="13.2">
      <c r="A307" s="16"/>
      <c r="B307" s="16"/>
      <c r="C307" s="17"/>
      <c r="D307" s="17"/>
      <c r="F307" s="16"/>
      <c r="G307" s="16"/>
    </row>
    <row r="308" spans="1:7" ht="13.2">
      <c r="A308" s="16"/>
      <c r="B308" s="16"/>
      <c r="C308" s="17"/>
      <c r="D308" s="17"/>
      <c r="F308" s="16"/>
      <c r="G308" s="16"/>
    </row>
    <row r="309" spans="1:7" ht="13.2">
      <c r="A309" s="16"/>
      <c r="B309" s="16"/>
      <c r="C309" s="17"/>
      <c r="D309" s="17"/>
      <c r="F309" s="16"/>
      <c r="G309" s="16"/>
    </row>
    <row r="310" spans="1:7" ht="13.2">
      <c r="A310" s="16"/>
      <c r="B310" s="16"/>
      <c r="C310" s="17"/>
      <c r="D310" s="17"/>
      <c r="F310" s="16"/>
      <c r="G310" s="16"/>
    </row>
    <row r="311" spans="1:7" ht="13.2">
      <c r="A311" s="16"/>
      <c r="B311" s="16"/>
      <c r="C311" s="17"/>
      <c r="D311" s="17"/>
      <c r="F311" s="16"/>
      <c r="G311" s="16"/>
    </row>
    <row r="312" spans="1:7" ht="13.2">
      <c r="A312" s="16"/>
      <c r="B312" s="16"/>
      <c r="C312" s="17"/>
      <c r="D312" s="17"/>
      <c r="F312" s="16"/>
      <c r="G312" s="16"/>
    </row>
    <row r="313" spans="1:7" ht="13.2">
      <c r="A313" s="16"/>
      <c r="B313" s="16"/>
      <c r="C313" s="17"/>
      <c r="D313" s="17"/>
      <c r="F313" s="16"/>
      <c r="G313" s="16"/>
    </row>
    <row r="314" spans="1:7" ht="13.2">
      <c r="A314" s="16"/>
      <c r="B314" s="16"/>
      <c r="C314" s="17"/>
      <c r="D314" s="17"/>
      <c r="F314" s="16"/>
      <c r="G314" s="16"/>
    </row>
    <row r="315" spans="1:7" ht="13.2">
      <c r="A315" s="16"/>
      <c r="B315" s="16"/>
      <c r="C315" s="17"/>
      <c r="D315" s="17"/>
      <c r="F315" s="16"/>
      <c r="G315" s="16"/>
    </row>
    <row r="316" spans="1:7" ht="13.2">
      <c r="A316" s="16"/>
      <c r="B316" s="16"/>
      <c r="C316" s="17"/>
      <c r="D316" s="17"/>
      <c r="F316" s="16"/>
      <c r="G316" s="16"/>
    </row>
    <row r="317" spans="1:7" ht="13.2">
      <c r="A317" s="16"/>
      <c r="B317" s="16"/>
      <c r="C317" s="17"/>
      <c r="D317" s="17"/>
      <c r="F317" s="16"/>
      <c r="G317" s="16"/>
    </row>
    <row r="318" spans="1:7" ht="13.2">
      <c r="A318" s="16"/>
      <c r="B318" s="16"/>
      <c r="C318" s="17"/>
      <c r="D318" s="17"/>
      <c r="F318" s="16"/>
      <c r="G318" s="16"/>
    </row>
    <row r="319" spans="1:7" ht="13.2">
      <c r="A319" s="16"/>
      <c r="B319" s="16"/>
      <c r="C319" s="17"/>
      <c r="D319" s="17"/>
      <c r="F319" s="16"/>
      <c r="G319" s="16"/>
    </row>
    <row r="320" spans="1:7" ht="13.2">
      <c r="A320" s="16"/>
      <c r="B320" s="16"/>
      <c r="C320" s="17"/>
      <c r="D320" s="17"/>
      <c r="F320" s="16"/>
      <c r="G320" s="16"/>
    </row>
    <row r="321" spans="1:7" ht="13.2">
      <c r="A321" s="16"/>
      <c r="B321" s="16"/>
      <c r="C321" s="17"/>
      <c r="D321" s="17"/>
      <c r="F321" s="16"/>
      <c r="G321" s="16"/>
    </row>
    <row r="322" spans="1:7" ht="13.2">
      <c r="A322" s="16"/>
      <c r="B322" s="16"/>
      <c r="C322" s="17"/>
      <c r="D322" s="17"/>
      <c r="F322" s="16"/>
      <c r="G322" s="16"/>
    </row>
    <row r="323" spans="1:7" ht="13.2">
      <c r="A323" s="16"/>
      <c r="B323" s="16"/>
      <c r="C323" s="17"/>
      <c r="D323" s="17"/>
      <c r="F323" s="16"/>
      <c r="G323" s="16"/>
    </row>
    <row r="324" spans="1:7" ht="13.2">
      <c r="A324" s="16"/>
      <c r="B324" s="16"/>
      <c r="C324" s="17"/>
      <c r="D324" s="17"/>
      <c r="F324" s="16"/>
      <c r="G324" s="16"/>
    </row>
    <row r="325" spans="1:7" ht="13.2">
      <c r="A325" s="16"/>
      <c r="B325" s="16"/>
      <c r="C325" s="17"/>
      <c r="D325" s="17"/>
      <c r="F325" s="16"/>
      <c r="G325" s="16"/>
    </row>
    <row r="326" spans="1:7" ht="13.2">
      <c r="A326" s="16"/>
      <c r="B326" s="16"/>
      <c r="C326" s="17"/>
      <c r="D326" s="17"/>
      <c r="F326" s="16"/>
      <c r="G326" s="16"/>
    </row>
    <row r="327" spans="1:7" ht="13.2">
      <c r="A327" s="16"/>
      <c r="B327" s="16"/>
      <c r="C327" s="17"/>
      <c r="D327" s="17"/>
      <c r="F327" s="16"/>
      <c r="G327" s="16"/>
    </row>
    <row r="328" spans="1:7" ht="13.2">
      <c r="A328" s="16"/>
      <c r="B328" s="16"/>
      <c r="C328" s="17"/>
      <c r="D328" s="17"/>
      <c r="F328" s="16"/>
      <c r="G328" s="16"/>
    </row>
    <row r="329" spans="1:7" ht="13.2">
      <c r="A329" s="16"/>
      <c r="B329" s="16"/>
      <c r="C329" s="17"/>
      <c r="D329" s="17"/>
      <c r="F329" s="16"/>
      <c r="G329" s="16"/>
    </row>
    <row r="330" spans="1:7" ht="13.2">
      <c r="A330" s="16"/>
      <c r="B330" s="16"/>
      <c r="C330" s="17"/>
      <c r="D330" s="17"/>
      <c r="F330" s="16"/>
      <c r="G330" s="16"/>
    </row>
    <row r="331" spans="1:7" ht="13.2">
      <c r="A331" s="16"/>
      <c r="B331" s="16"/>
      <c r="C331" s="17"/>
      <c r="D331" s="17"/>
      <c r="F331" s="16"/>
      <c r="G331" s="16"/>
    </row>
    <row r="332" spans="1:7" ht="13.2">
      <c r="A332" s="16"/>
      <c r="B332" s="16"/>
      <c r="C332" s="17"/>
      <c r="D332" s="17"/>
      <c r="F332" s="16"/>
      <c r="G332" s="16"/>
    </row>
    <row r="333" spans="1:7" ht="13.2">
      <c r="A333" s="16"/>
      <c r="B333" s="16"/>
      <c r="C333" s="17"/>
      <c r="D333" s="17"/>
      <c r="F333" s="16"/>
      <c r="G333" s="16"/>
    </row>
    <row r="334" spans="1:7" ht="13.2">
      <c r="A334" s="16"/>
      <c r="B334" s="16"/>
      <c r="C334" s="17"/>
      <c r="D334" s="17"/>
      <c r="F334" s="16"/>
      <c r="G334" s="16"/>
    </row>
    <row r="335" spans="1:7" ht="13.2">
      <c r="A335" s="16"/>
      <c r="B335" s="16"/>
      <c r="C335" s="17"/>
      <c r="D335" s="17"/>
      <c r="F335" s="16"/>
      <c r="G335" s="16"/>
    </row>
    <row r="336" spans="1:7" ht="13.2">
      <c r="A336" s="16"/>
      <c r="B336" s="16"/>
      <c r="C336" s="17"/>
      <c r="D336" s="17"/>
      <c r="F336" s="16"/>
      <c r="G336" s="16"/>
    </row>
    <row r="337" spans="1:7" ht="13.2">
      <c r="A337" s="16"/>
      <c r="B337" s="16"/>
      <c r="C337" s="17"/>
      <c r="D337" s="17"/>
      <c r="F337" s="16"/>
      <c r="G337" s="16"/>
    </row>
    <row r="338" spans="1:7" ht="13.2">
      <c r="A338" s="16"/>
      <c r="B338" s="16"/>
      <c r="C338" s="17"/>
      <c r="D338" s="17"/>
      <c r="F338" s="16"/>
      <c r="G338" s="16"/>
    </row>
    <row r="339" spans="1:7" ht="13.2">
      <c r="A339" s="16"/>
      <c r="B339" s="16"/>
      <c r="C339" s="17"/>
      <c r="D339" s="17"/>
      <c r="F339" s="16"/>
      <c r="G339" s="16"/>
    </row>
    <row r="340" spans="1:7" ht="13.2">
      <c r="A340" s="16"/>
      <c r="B340" s="16"/>
      <c r="C340" s="17"/>
      <c r="D340" s="17"/>
      <c r="F340" s="16"/>
      <c r="G340" s="16"/>
    </row>
    <row r="341" spans="1:7" ht="13.2">
      <c r="A341" s="16"/>
      <c r="B341" s="16"/>
      <c r="C341" s="17"/>
      <c r="D341" s="17"/>
      <c r="F341" s="16"/>
      <c r="G341" s="16"/>
    </row>
    <row r="342" spans="1:7" ht="13.2">
      <c r="A342" s="16"/>
      <c r="B342" s="16"/>
      <c r="C342" s="17"/>
      <c r="D342" s="17"/>
      <c r="F342" s="16"/>
      <c r="G342" s="16"/>
    </row>
    <row r="343" spans="1:7" ht="13.2">
      <c r="A343" s="16"/>
      <c r="B343" s="16"/>
      <c r="C343" s="17"/>
      <c r="D343" s="17"/>
      <c r="F343" s="16"/>
      <c r="G343" s="16"/>
    </row>
    <row r="344" spans="1:7" ht="13.2">
      <c r="A344" s="16"/>
      <c r="B344" s="16"/>
      <c r="C344" s="17"/>
      <c r="D344" s="17"/>
      <c r="F344" s="16"/>
      <c r="G344" s="16"/>
    </row>
    <row r="345" spans="1:7" ht="13.2">
      <c r="A345" s="16"/>
      <c r="B345" s="16"/>
      <c r="C345" s="17"/>
      <c r="D345" s="17"/>
      <c r="F345" s="16"/>
      <c r="G345" s="16"/>
    </row>
    <row r="346" spans="1:7" ht="13.2">
      <c r="A346" s="16"/>
      <c r="B346" s="16"/>
      <c r="C346" s="17"/>
      <c r="D346" s="17"/>
      <c r="F346" s="16"/>
      <c r="G346" s="16"/>
    </row>
    <row r="347" spans="1:7" ht="13.2">
      <c r="A347" s="16"/>
      <c r="B347" s="16"/>
      <c r="C347" s="17"/>
      <c r="D347" s="17"/>
      <c r="F347" s="16"/>
      <c r="G347" s="16"/>
    </row>
    <row r="348" spans="1:7" ht="13.2">
      <c r="A348" s="16"/>
      <c r="B348" s="16"/>
      <c r="C348" s="17"/>
      <c r="D348" s="17"/>
      <c r="F348" s="16"/>
      <c r="G348" s="16"/>
    </row>
    <row r="349" spans="1:7" ht="13.2">
      <c r="A349" s="16"/>
      <c r="B349" s="16"/>
      <c r="C349" s="17"/>
      <c r="D349" s="17"/>
      <c r="F349" s="16"/>
      <c r="G349" s="16"/>
    </row>
    <row r="350" spans="1:7" ht="13.2">
      <c r="A350" s="16"/>
      <c r="B350" s="16"/>
      <c r="C350" s="17"/>
      <c r="D350" s="17"/>
      <c r="F350" s="16"/>
      <c r="G350" s="16"/>
    </row>
    <row r="351" spans="1:7" ht="13.2">
      <c r="A351" s="16"/>
      <c r="B351" s="16"/>
      <c r="C351" s="17"/>
      <c r="D351" s="17"/>
      <c r="F351" s="16"/>
      <c r="G351" s="16"/>
    </row>
    <row r="352" spans="1:7" ht="13.2">
      <c r="A352" s="16"/>
      <c r="B352" s="16"/>
      <c r="C352" s="17"/>
      <c r="D352" s="17"/>
      <c r="F352" s="16"/>
      <c r="G352" s="16"/>
    </row>
    <row r="353" spans="1:7" ht="13.2">
      <c r="A353" s="16"/>
      <c r="B353" s="16"/>
      <c r="C353" s="17"/>
      <c r="D353" s="17"/>
      <c r="F353" s="16"/>
      <c r="G353" s="16"/>
    </row>
    <row r="354" spans="1:7" ht="13.2">
      <c r="A354" s="16"/>
      <c r="B354" s="16"/>
      <c r="C354" s="17"/>
      <c r="D354" s="17"/>
      <c r="F354" s="16"/>
      <c r="G354" s="16"/>
    </row>
    <row r="355" spans="1:7" ht="13.2">
      <c r="A355" s="16"/>
      <c r="B355" s="16"/>
      <c r="C355" s="17"/>
      <c r="D355" s="17"/>
      <c r="F355" s="16"/>
      <c r="G355" s="16"/>
    </row>
    <row r="356" spans="1:7" ht="13.2">
      <c r="A356" s="16"/>
      <c r="B356" s="16"/>
      <c r="C356" s="17"/>
      <c r="D356" s="17"/>
      <c r="F356" s="16"/>
      <c r="G356" s="16"/>
    </row>
    <row r="357" spans="1:7" ht="13.2">
      <c r="A357" s="16"/>
      <c r="B357" s="16"/>
      <c r="C357" s="17"/>
      <c r="D357" s="17"/>
      <c r="F357" s="16"/>
      <c r="G357" s="16"/>
    </row>
    <row r="358" spans="1:7" ht="13.2">
      <c r="A358" s="16"/>
      <c r="B358" s="16"/>
      <c r="C358" s="17"/>
      <c r="D358" s="17"/>
      <c r="F358" s="16"/>
      <c r="G358" s="16"/>
    </row>
    <row r="359" spans="1:7" ht="13.2">
      <c r="A359" s="16"/>
      <c r="B359" s="16"/>
      <c r="C359" s="17"/>
      <c r="D359" s="17"/>
      <c r="F359" s="16"/>
      <c r="G359" s="16"/>
    </row>
    <row r="360" spans="1:7" ht="13.2">
      <c r="A360" s="16"/>
      <c r="B360" s="16"/>
      <c r="C360" s="17"/>
      <c r="D360" s="17"/>
      <c r="F360" s="16"/>
      <c r="G360" s="16"/>
    </row>
    <row r="361" spans="1:7" ht="13.2">
      <c r="A361" s="16"/>
      <c r="B361" s="16"/>
      <c r="C361" s="17"/>
      <c r="D361" s="17"/>
      <c r="F361" s="16"/>
      <c r="G361" s="16"/>
    </row>
    <row r="362" spans="1:7" ht="13.2">
      <c r="A362" s="16"/>
      <c r="B362" s="16"/>
      <c r="C362" s="17"/>
      <c r="D362" s="17"/>
      <c r="F362" s="16"/>
      <c r="G362" s="16"/>
    </row>
    <row r="363" spans="1:7" ht="13.2">
      <c r="A363" s="16"/>
      <c r="B363" s="16"/>
      <c r="C363" s="17"/>
      <c r="D363" s="17"/>
      <c r="F363" s="16"/>
      <c r="G363" s="16"/>
    </row>
    <row r="364" spans="1:7" ht="13.2">
      <c r="A364" s="16"/>
      <c r="B364" s="16"/>
      <c r="C364" s="17"/>
      <c r="D364" s="17"/>
      <c r="F364" s="16"/>
      <c r="G364" s="16"/>
    </row>
    <row r="365" spans="1:7" ht="13.2">
      <c r="A365" s="16"/>
      <c r="B365" s="16"/>
      <c r="C365" s="17"/>
      <c r="D365" s="17"/>
      <c r="F365" s="16"/>
      <c r="G365" s="16"/>
    </row>
    <row r="366" spans="1:7" ht="13.2">
      <c r="A366" s="16"/>
      <c r="B366" s="16"/>
      <c r="C366" s="17"/>
      <c r="D366" s="17"/>
      <c r="F366" s="16"/>
      <c r="G366" s="16"/>
    </row>
    <row r="367" spans="1:7" ht="13.2">
      <c r="A367" s="16"/>
      <c r="B367" s="16"/>
      <c r="C367" s="17"/>
      <c r="D367" s="17"/>
      <c r="F367" s="16"/>
      <c r="G367" s="16"/>
    </row>
    <row r="368" spans="1:7" ht="13.2">
      <c r="A368" s="16"/>
      <c r="B368" s="16"/>
      <c r="C368" s="17"/>
      <c r="D368" s="17"/>
      <c r="F368" s="16"/>
      <c r="G368" s="16"/>
    </row>
    <row r="369" spans="1:7" ht="13.2">
      <c r="A369" s="16"/>
      <c r="B369" s="16"/>
      <c r="C369" s="17"/>
      <c r="D369" s="17"/>
      <c r="F369" s="16"/>
      <c r="G369" s="16"/>
    </row>
    <row r="370" spans="1:7" ht="13.2">
      <c r="A370" s="16"/>
      <c r="B370" s="16"/>
      <c r="C370" s="17"/>
      <c r="D370" s="17"/>
      <c r="F370" s="16"/>
      <c r="G370" s="16"/>
    </row>
    <row r="371" spans="1:7" ht="13.2">
      <c r="A371" s="16"/>
      <c r="B371" s="16"/>
      <c r="C371" s="17"/>
      <c r="D371" s="17"/>
      <c r="F371" s="16"/>
      <c r="G371" s="16"/>
    </row>
    <row r="372" spans="1:7" ht="13.2">
      <c r="A372" s="16"/>
      <c r="B372" s="16"/>
      <c r="C372" s="17"/>
      <c r="D372" s="17"/>
      <c r="F372" s="16"/>
      <c r="G372" s="16"/>
    </row>
    <row r="373" spans="1:7" ht="13.2">
      <c r="A373" s="16"/>
      <c r="B373" s="16"/>
      <c r="C373" s="17"/>
      <c r="D373" s="17"/>
      <c r="F373" s="16"/>
      <c r="G373" s="16"/>
    </row>
    <row r="374" spans="1:7" ht="13.2">
      <c r="A374" s="16"/>
      <c r="B374" s="16"/>
      <c r="C374" s="17"/>
      <c r="D374" s="17"/>
      <c r="F374" s="16"/>
      <c r="G374" s="16"/>
    </row>
    <row r="375" spans="1:7" ht="13.2">
      <c r="A375" s="16"/>
      <c r="B375" s="16"/>
      <c r="C375" s="17"/>
      <c r="D375" s="17"/>
      <c r="F375" s="16"/>
      <c r="G375" s="16"/>
    </row>
    <row r="376" spans="1:7" ht="13.2">
      <c r="A376" s="16"/>
      <c r="B376" s="16"/>
      <c r="C376" s="17"/>
      <c r="D376" s="17"/>
      <c r="F376" s="16"/>
      <c r="G376" s="16"/>
    </row>
    <row r="377" spans="1:7" ht="13.2">
      <c r="A377" s="16"/>
      <c r="B377" s="16"/>
      <c r="C377" s="17"/>
      <c r="D377" s="17"/>
      <c r="F377" s="16"/>
      <c r="G377" s="16"/>
    </row>
    <row r="378" spans="1:7" ht="13.2">
      <c r="A378" s="16"/>
      <c r="B378" s="16"/>
      <c r="C378" s="17"/>
      <c r="D378" s="17"/>
      <c r="F378" s="16"/>
      <c r="G378" s="16"/>
    </row>
    <row r="379" spans="1:7" ht="13.2">
      <c r="A379" s="16"/>
      <c r="B379" s="16"/>
      <c r="C379" s="17"/>
      <c r="D379" s="17"/>
      <c r="F379" s="16"/>
      <c r="G379" s="16"/>
    </row>
    <row r="380" spans="1:7" ht="13.2">
      <c r="A380" s="16"/>
      <c r="B380" s="16"/>
      <c r="C380" s="17"/>
      <c r="D380" s="17"/>
      <c r="F380" s="16"/>
      <c r="G380" s="16"/>
    </row>
    <row r="381" spans="1:7" ht="13.2">
      <c r="A381" s="16"/>
      <c r="B381" s="16"/>
      <c r="C381" s="17"/>
      <c r="D381" s="17"/>
      <c r="F381" s="16"/>
      <c r="G381" s="16"/>
    </row>
    <row r="382" spans="1:7" ht="13.2">
      <c r="A382" s="16"/>
      <c r="B382" s="16"/>
      <c r="C382" s="17"/>
      <c r="D382" s="17"/>
      <c r="F382" s="16"/>
      <c r="G382" s="16"/>
    </row>
    <row r="383" spans="1:7" ht="13.2">
      <c r="A383" s="16"/>
      <c r="B383" s="16"/>
      <c r="C383" s="17"/>
      <c r="D383" s="17"/>
      <c r="F383" s="16"/>
      <c r="G383" s="16"/>
    </row>
    <row r="384" spans="1:7" ht="13.2">
      <c r="A384" s="16"/>
      <c r="B384" s="16"/>
      <c r="C384" s="17"/>
      <c r="D384" s="17"/>
      <c r="F384" s="16"/>
      <c r="G384" s="16"/>
    </row>
    <row r="385" spans="1:7" ht="13.2">
      <c r="A385" s="16"/>
      <c r="B385" s="16"/>
      <c r="C385" s="17"/>
      <c r="D385" s="17"/>
      <c r="F385" s="16"/>
      <c r="G385" s="16"/>
    </row>
    <row r="386" spans="1:7" ht="13.2">
      <c r="A386" s="16"/>
      <c r="B386" s="16"/>
      <c r="C386" s="17"/>
      <c r="D386" s="17"/>
      <c r="F386" s="16"/>
      <c r="G386" s="16"/>
    </row>
    <row r="387" spans="1:7" ht="13.2">
      <c r="A387" s="16"/>
      <c r="B387" s="16"/>
      <c r="C387" s="17"/>
      <c r="D387" s="17"/>
      <c r="F387" s="16"/>
      <c r="G387" s="16"/>
    </row>
    <row r="388" spans="1:7" ht="13.2">
      <c r="A388" s="16"/>
      <c r="B388" s="16"/>
      <c r="C388" s="17"/>
      <c r="D388" s="17"/>
      <c r="F388" s="16"/>
      <c r="G388" s="16"/>
    </row>
    <row r="389" spans="1:7" ht="13.2">
      <c r="A389" s="16"/>
      <c r="B389" s="16"/>
      <c r="C389" s="17"/>
      <c r="D389" s="17"/>
      <c r="F389" s="16"/>
      <c r="G389" s="16"/>
    </row>
    <row r="390" spans="1:7" ht="13.2">
      <c r="A390" s="16"/>
      <c r="B390" s="16"/>
      <c r="C390" s="17"/>
      <c r="D390" s="17"/>
      <c r="F390" s="16"/>
      <c r="G390" s="16"/>
    </row>
    <row r="391" spans="1:7" ht="13.2">
      <c r="A391" s="16"/>
      <c r="B391" s="16"/>
      <c r="C391" s="17"/>
      <c r="D391" s="17"/>
      <c r="F391" s="16"/>
      <c r="G391" s="16"/>
    </row>
    <row r="392" spans="1:7" ht="13.2">
      <c r="A392" s="16"/>
      <c r="B392" s="16"/>
      <c r="C392" s="17"/>
      <c r="D392" s="17"/>
      <c r="F392" s="16"/>
      <c r="G392" s="16"/>
    </row>
    <row r="393" spans="1:7" ht="13.2">
      <c r="A393" s="16"/>
      <c r="B393" s="16"/>
      <c r="C393" s="17"/>
      <c r="D393" s="17"/>
      <c r="F393" s="16"/>
      <c r="G393" s="16"/>
    </row>
    <row r="394" spans="1:7" ht="13.2">
      <c r="A394" s="16"/>
      <c r="B394" s="16"/>
      <c r="C394" s="17"/>
      <c r="D394" s="17"/>
      <c r="F394" s="16"/>
      <c r="G394" s="16"/>
    </row>
    <row r="395" spans="1:7" ht="13.2">
      <c r="A395" s="16"/>
      <c r="B395" s="16"/>
      <c r="C395" s="17"/>
      <c r="D395" s="17"/>
      <c r="F395" s="16"/>
      <c r="G395" s="16"/>
    </row>
    <row r="396" spans="1:7" ht="13.2">
      <c r="A396" s="16"/>
      <c r="B396" s="16"/>
      <c r="C396" s="17"/>
      <c r="D396" s="17"/>
      <c r="F396" s="16"/>
      <c r="G396" s="16"/>
    </row>
    <row r="397" spans="1:7" ht="13.2">
      <c r="A397" s="16"/>
      <c r="B397" s="16"/>
      <c r="C397" s="17"/>
      <c r="D397" s="17"/>
      <c r="F397" s="16"/>
      <c r="G397" s="16"/>
    </row>
    <row r="398" spans="1:7" ht="13.2">
      <c r="A398" s="16"/>
      <c r="B398" s="16"/>
      <c r="C398" s="17"/>
      <c r="D398" s="17"/>
      <c r="F398" s="16"/>
      <c r="G398" s="16"/>
    </row>
    <row r="399" spans="1:7" ht="13.2">
      <c r="A399" s="16"/>
      <c r="B399" s="16"/>
      <c r="C399" s="17"/>
      <c r="D399" s="17"/>
      <c r="F399" s="16"/>
      <c r="G399" s="16"/>
    </row>
    <row r="400" spans="1:7" ht="13.2">
      <c r="A400" s="16"/>
      <c r="B400" s="16"/>
      <c r="C400" s="17"/>
      <c r="D400" s="17"/>
      <c r="F400" s="16"/>
      <c r="G400" s="16"/>
    </row>
    <row r="401" spans="1:7" ht="13.2">
      <c r="A401" s="16"/>
      <c r="B401" s="16"/>
      <c r="C401" s="17"/>
      <c r="D401" s="17"/>
      <c r="F401" s="16"/>
      <c r="G401" s="16"/>
    </row>
    <row r="402" spans="1:7" ht="13.2">
      <c r="A402" s="16"/>
      <c r="B402" s="16"/>
      <c r="C402" s="17"/>
      <c r="D402" s="17"/>
      <c r="F402" s="16"/>
      <c r="G402" s="16"/>
    </row>
    <row r="403" spans="1:7" ht="13.2">
      <c r="A403" s="16"/>
      <c r="B403" s="16"/>
      <c r="C403" s="17"/>
      <c r="D403" s="17"/>
      <c r="F403" s="16"/>
      <c r="G403" s="16"/>
    </row>
    <row r="404" spans="1:7" ht="13.2">
      <c r="A404" s="16"/>
      <c r="B404" s="16"/>
      <c r="C404" s="17"/>
      <c r="D404" s="17"/>
      <c r="F404" s="16"/>
      <c r="G404" s="16"/>
    </row>
    <row r="405" spans="1:7" ht="13.2">
      <c r="A405" s="16"/>
      <c r="B405" s="16"/>
      <c r="C405" s="17"/>
      <c r="D405" s="17"/>
      <c r="F405" s="16"/>
      <c r="G405" s="16"/>
    </row>
    <row r="406" spans="1:7" ht="13.2">
      <c r="A406" s="16"/>
      <c r="B406" s="16"/>
      <c r="C406" s="17"/>
      <c r="D406" s="17"/>
      <c r="F406" s="16"/>
      <c r="G406" s="16"/>
    </row>
    <row r="407" spans="1:7" ht="13.2">
      <c r="A407" s="16"/>
      <c r="B407" s="16"/>
      <c r="C407" s="17"/>
      <c r="D407" s="17"/>
      <c r="F407" s="16"/>
      <c r="G407" s="16"/>
    </row>
    <row r="408" spans="1:7" ht="13.2">
      <c r="A408" s="16"/>
      <c r="B408" s="16"/>
      <c r="C408" s="17"/>
      <c r="D408" s="17"/>
      <c r="F408" s="16"/>
      <c r="G408" s="16"/>
    </row>
    <row r="409" spans="1:7" ht="13.2">
      <c r="A409" s="16"/>
      <c r="B409" s="16"/>
      <c r="C409" s="17"/>
      <c r="D409" s="17"/>
      <c r="F409" s="16"/>
      <c r="G409" s="16"/>
    </row>
    <row r="410" spans="1:7" ht="13.2">
      <c r="A410" s="16"/>
      <c r="B410" s="16"/>
      <c r="C410" s="17"/>
      <c r="D410" s="17"/>
      <c r="F410" s="16"/>
      <c r="G410" s="16"/>
    </row>
    <row r="411" spans="1:7" ht="13.2">
      <c r="A411" s="16"/>
      <c r="B411" s="16"/>
      <c r="C411" s="17"/>
      <c r="D411" s="17"/>
      <c r="F411" s="16"/>
      <c r="G411" s="16"/>
    </row>
    <row r="412" spans="1:7" ht="13.2">
      <c r="A412" s="16"/>
      <c r="B412" s="16"/>
      <c r="C412" s="17"/>
      <c r="D412" s="17"/>
      <c r="F412" s="16"/>
      <c r="G412" s="16"/>
    </row>
    <row r="413" spans="1:7" ht="13.2">
      <c r="A413" s="16"/>
      <c r="B413" s="16"/>
      <c r="C413" s="17"/>
      <c r="D413" s="17"/>
      <c r="F413" s="16"/>
      <c r="G413" s="16"/>
    </row>
    <row r="414" spans="1:7" ht="13.2">
      <c r="A414" s="16"/>
      <c r="B414" s="16"/>
      <c r="C414" s="17"/>
      <c r="D414" s="17"/>
      <c r="F414" s="16"/>
      <c r="G414" s="16"/>
    </row>
    <row r="415" spans="1:7" ht="13.2">
      <c r="A415" s="16"/>
      <c r="B415" s="16"/>
      <c r="C415" s="17"/>
      <c r="D415" s="17"/>
      <c r="F415" s="16"/>
      <c r="G415" s="16"/>
    </row>
    <row r="416" spans="1:7" ht="13.2">
      <c r="A416" s="16"/>
      <c r="B416" s="16"/>
      <c r="C416" s="17"/>
      <c r="D416" s="17"/>
      <c r="F416" s="16"/>
      <c r="G416" s="16"/>
    </row>
    <row r="417" spans="1:7" ht="13.2">
      <c r="A417" s="16"/>
      <c r="B417" s="16"/>
      <c r="C417" s="17"/>
      <c r="D417" s="17"/>
      <c r="F417" s="16"/>
      <c r="G417" s="16"/>
    </row>
    <row r="418" spans="1:7" ht="13.2">
      <c r="A418" s="16"/>
      <c r="B418" s="16"/>
      <c r="C418" s="17"/>
      <c r="D418" s="17"/>
      <c r="F418" s="16"/>
      <c r="G418" s="16"/>
    </row>
    <row r="419" spans="1:7" ht="13.2">
      <c r="A419" s="16"/>
      <c r="B419" s="16"/>
      <c r="C419" s="17"/>
      <c r="D419" s="17"/>
      <c r="F419" s="16"/>
      <c r="G419" s="16"/>
    </row>
    <row r="420" spans="1:7" ht="13.2">
      <c r="A420" s="16"/>
      <c r="B420" s="16"/>
      <c r="C420" s="17"/>
      <c r="D420" s="17"/>
      <c r="F420" s="16"/>
      <c r="G420" s="16"/>
    </row>
    <row r="421" spans="1:7" ht="13.2">
      <c r="A421" s="16"/>
      <c r="B421" s="16"/>
      <c r="C421" s="17"/>
      <c r="D421" s="17"/>
      <c r="F421" s="16"/>
      <c r="G421" s="16"/>
    </row>
    <row r="422" spans="1:7" ht="13.2">
      <c r="A422" s="16"/>
      <c r="B422" s="16"/>
      <c r="C422" s="17"/>
      <c r="D422" s="17"/>
      <c r="F422" s="16"/>
      <c r="G422" s="16"/>
    </row>
    <row r="423" spans="1:7" ht="13.2">
      <c r="A423" s="16"/>
      <c r="B423" s="16"/>
      <c r="C423" s="17"/>
      <c r="D423" s="17"/>
      <c r="F423" s="16"/>
      <c r="G423" s="16"/>
    </row>
    <row r="424" spans="1:7" ht="13.2">
      <c r="A424" s="16"/>
      <c r="B424" s="16"/>
      <c r="C424" s="17"/>
      <c r="D424" s="17"/>
      <c r="F424" s="16"/>
      <c r="G424" s="16"/>
    </row>
    <row r="425" spans="1:7" ht="13.2">
      <c r="A425" s="16"/>
      <c r="B425" s="16"/>
      <c r="C425" s="17"/>
      <c r="D425" s="17"/>
      <c r="F425" s="16"/>
      <c r="G425" s="16"/>
    </row>
    <row r="426" spans="1:7" ht="13.2">
      <c r="A426" s="16"/>
      <c r="B426" s="16"/>
      <c r="C426" s="17"/>
      <c r="D426" s="17"/>
      <c r="F426" s="16"/>
      <c r="G426" s="16"/>
    </row>
    <row r="427" spans="1:7" ht="13.2">
      <c r="A427" s="16"/>
      <c r="B427" s="16"/>
      <c r="C427" s="17"/>
      <c r="D427" s="17"/>
      <c r="F427" s="16"/>
      <c r="G427" s="16"/>
    </row>
    <row r="428" spans="1:7" ht="13.2">
      <c r="A428" s="16"/>
      <c r="B428" s="16"/>
      <c r="C428" s="17"/>
      <c r="D428" s="17"/>
      <c r="F428" s="16"/>
      <c r="G428" s="16"/>
    </row>
    <row r="429" spans="1:7" ht="13.2">
      <c r="A429" s="16"/>
      <c r="B429" s="16"/>
      <c r="C429" s="17"/>
      <c r="D429" s="17"/>
      <c r="F429" s="16"/>
      <c r="G429" s="16"/>
    </row>
    <row r="430" spans="1:7" ht="13.2">
      <c r="A430" s="16"/>
      <c r="B430" s="16"/>
      <c r="C430" s="17"/>
      <c r="D430" s="17"/>
      <c r="F430" s="16"/>
      <c r="G430" s="16"/>
    </row>
    <row r="431" spans="1:7" ht="13.2">
      <c r="A431" s="16"/>
      <c r="B431" s="16"/>
      <c r="C431" s="17"/>
      <c r="D431" s="17"/>
      <c r="F431" s="16"/>
      <c r="G431" s="16"/>
    </row>
    <row r="432" spans="1:7" ht="13.2">
      <c r="A432" s="16"/>
      <c r="B432" s="16"/>
      <c r="C432" s="17"/>
      <c r="D432" s="17"/>
      <c r="F432" s="16"/>
      <c r="G432" s="16"/>
    </row>
    <row r="433" spans="1:7" ht="13.2">
      <c r="A433" s="16"/>
      <c r="B433" s="16"/>
      <c r="C433" s="17"/>
      <c r="D433" s="17"/>
      <c r="F433" s="16"/>
      <c r="G433" s="16"/>
    </row>
    <row r="434" spans="1:7" ht="13.2">
      <c r="A434" s="16"/>
      <c r="B434" s="16"/>
      <c r="C434" s="17"/>
      <c r="D434" s="17"/>
      <c r="F434" s="16"/>
      <c r="G434" s="16"/>
    </row>
    <row r="435" spans="1:7" ht="13.2">
      <c r="A435" s="16"/>
      <c r="B435" s="16"/>
      <c r="C435" s="17"/>
      <c r="D435" s="17"/>
      <c r="F435" s="16"/>
      <c r="G435" s="16"/>
    </row>
    <row r="436" spans="1:7" ht="13.2">
      <c r="A436" s="16"/>
      <c r="B436" s="16"/>
      <c r="C436" s="17"/>
      <c r="D436" s="17"/>
      <c r="F436" s="16"/>
      <c r="G436" s="16"/>
    </row>
    <row r="437" spans="1:7" ht="13.2">
      <c r="A437" s="16"/>
      <c r="B437" s="16"/>
      <c r="C437" s="17"/>
      <c r="D437" s="17"/>
      <c r="F437" s="16"/>
      <c r="G437" s="16"/>
    </row>
    <row r="438" spans="1:7" ht="13.2">
      <c r="A438" s="16"/>
      <c r="B438" s="16"/>
      <c r="C438" s="17"/>
      <c r="D438" s="17"/>
      <c r="F438" s="16"/>
      <c r="G438" s="16"/>
    </row>
    <row r="439" spans="1:7" ht="13.2">
      <c r="A439" s="16"/>
      <c r="B439" s="16"/>
      <c r="C439" s="17"/>
      <c r="D439" s="17"/>
      <c r="F439" s="16"/>
      <c r="G439" s="16"/>
    </row>
    <row r="440" spans="1:7" ht="13.2">
      <c r="A440" s="16"/>
      <c r="B440" s="16"/>
      <c r="C440" s="17"/>
      <c r="D440" s="17"/>
      <c r="F440" s="16"/>
      <c r="G440" s="16"/>
    </row>
    <row r="441" spans="1:7" ht="13.2">
      <c r="A441" s="16"/>
      <c r="B441" s="16"/>
      <c r="C441" s="17"/>
      <c r="D441" s="17"/>
      <c r="F441" s="16"/>
      <c r="G441" s="16"/>
    </row>
    <row r="442" spans="1:7" ht="13.2">
      <c r="A442" s="16"/>
      <c r="B442" s="16"/>
      <c r="C442" s="17"/>
      <c r="D442" s="17"/>
      <c r="F442" s="16"/>
      <c r="G442" s="16"/>
    </row>
    <row r="443" spans="1:7" ht="13.2">
      <c r="A443" s="16"/>
      <c r="B443" s="16"/>
      <c r="C443" s="17"/>
      <c r="D443" s="17"/>
      <c r="F443" s="16"/>
      <c r="G443" s="16"/>
    </row>
    <row r="444" spans="1:7" ht="13.2">
      <c r="A444" s="16"/>
      <c r="B444" s="16"/>
      <c r="C444" s="17"/>
      <c r="D444" s="17"/>
      <c r="F444" s="16"/>
      <c r="G444" s="16"/>
    </row>
    <row r="445" spans="1:7" ht="13.2">
      <c r="A445" s="16"/>
      <c r="B445" s="16"/>
      <c r="C445" s="17"/>
      <c r="D445" s="17"/>
      <c r="F445" s="16"/>
      <c r="G445" s="16"/>
    </row>
    <row r="446" spans="1:7" ht="13.2">
      <c r="A446" s="16"/>
      <c r="B446" s="16"/>
      <c r="C446" s="17"/>
      <c r="D446" s="17"/>
      <c r="F446" s="16"/>
      <c r="G446" s="16"/>
    </row>
    <row r="447" spans="1:7" ht="13.2">
      <c r="A447" s="16"/>
      <c r="B447" s="16"/>
      <c r="C447" s="17"/>
      <c r="D447" s="17"/>
      <c r="F447" s="16"/>
      <c r="G447" s="16"/>
    </row>
    <row r="448" spans="1:7" ht="13.2">
      <c r="A448" s="16"/>
      <c r="B448" s="16"/>
      <c r="C448" s="17"/>
      <c r="D448" s="17"/>
      <c r="F448" s="16"/>
      <c r="G448" s="16"/>
    </row>
    <row r="449" spans="1:7" ht="13.2">
      <c r="A449" s="16"/>
      <c r="B449" s="16"/>
      <c r="C449" s="17"/>
      <c r="D449" s="17"/>
      <c r="F449" s="16"/>
      <c r="G449" s="16"/>
    </row>
    <row r="450" spans="1:7" ht="13.2">
      <c r="A450" s="16"/>
      <c r="B450" s="16"/>
      <c r="C450" s="17"/>
      <c r="D450" s="17"/>
      <c r="F450" s="16"/>
      <c r="G450" s="16"/>
    </row>
    <row r="451" spans="1:7" ht="13.2">
      <c r="A451" s="16"/>
      <c r="B451" s="16"/>
      <c r="C451" s="17"/>
      <c r="D451" s="17"/>
      <c r="F451" s="16"/>
      <c r="G451" s="16"/>
    </row>
    <row r="452" spans="1:7" ht="13.2">
      <c r="A452" s="16"/>
      <c r="B452" s="16"/>
      <c r="C452" s="17"/>
      <c r="D452" s="17"/>
      <c r="F452" s="16"/>
      <c r="G452" s="16"/>
    </row>
    <row r="453" spans="1:7" ht="13.2">
      <c r="A453" s="16"/>
      <c r="B453" s="16"/>
      <c r="C453" s="17"/>
      <c r="D453" s="17"/>
      <c r="F453" s="16"/>
      <c r="G453" s="16"/>
    </row>
    <row r="454" spans="1:7" ht="13.2">
      <c r="A454" s="16"/>
      <c r="B454" s="16"/>
      <c r="C454" s="17"/>
      <c r="D454" s="17"/>
      <c r="F454" s="16"/>
      <c r="G454" s="16"/>
    </row>
    <row r="455" spans="1:7" ht="13.2">
      <c r="A455" s="16"/>
      <c r="B455" s="16"/>
      <c r="C455" s="17"/>
      <c r="D455" s="17"/>
      <c r="F455" s="16"/>
      <c r="G455" s="16"/>
    </row>
    <row r="456" spans="1:7" ht="13.2">
      <c r="A456" s="16"/>
      <c r="B456" s="16"/>
      <c r="C456" s="17"/>
      <c r="D456" s="17"/>
      <c r="F456" s="16"/>
      <c r="G456" s="16"/>
    </row>
    <row r="457" spans="1:7" ht="13.2">
      <c r="A457" s="16"/>
      <c r="B457" s="16"/>
      <c r="C457" s="17"/>
      <c r="D457" s="17"/>
      <c r="F457" s="16"/>
      <c r="G457" s="16"/>
    </row>
    <row r="458" spans="1:7" ht="13.2">
      <c r="A458" s="16"/>
      <c r="B458" s="16"/>
      <c r="C458" s="17"/>
      <c r="D458" s="17"/>
      <c r="F458" s="16"/>
      <c r="G458" s="16"/>
    </row>
    <row r="459" spans="1:7" ht="13.2">
      <c r="A459" s="16"/>
      <c r="B459" s="16"/>
      <c r="C459" s="17"/>
      <c r="D459" s="17"/>
      <c r="F459" s="16"/>
      <c r="G459" s="16"/>
    </row>
    <row r="460" spans="1:7" ht="13.2">
      <c r="A460" s="16"/>
      <c r="B460" s="16"/>
      <c r="C460" s="17"/>
      <c r="D460" s="17"/>
      <c r="F460" s="16"/>
      <c r="G460" s="16"/>
    </row>
    <row r="461" spans="1:7" ht="13.2">
      <c r="A461" s="16"/>
      <c r="B461" s="16"/>
      <c r="C461" s="17"/>
      <c r="D461" s="17"/>
      <c r="F461" s="16"/>
      <c r="G461" s="16"/>
    </row>
    <row r="462" spans="1:7" ht="13.2">
      <c r="A462" s="16"/>
      <c r="B462" s="16"/>
      <c r="C462" s="17"/>
      <c r="D462" s="17"/>
      <c r="F462" s="16"/>
      <c r="G462" s="16"/>
    </row>
    <row r="463" spans="1:7" ht="13.2">
      <c r="A463" s="16"/>
      <c r="B463" s="16"/>
      <c r="C463" s="17"/>
      <c r="D463" s="17"/>
      <c r="F463" s="16"/>
      <c r="G463" s="16"/>
    </row>
    <row r="464" spans="1:7" ht="13.2">
      <c r="A464" s="16"/>
      <c r="B464" s="16"/>
      <c r="C464" s="17"/>
      <c r="D464" s="17"/>
      <c r="F464" s="16"/>
      <c r="G464" s="16"/>
    </row>
    <row r="465" spans="1:7" ht="13.2">
      <c r="A465" s="16"/>
      <c r="B465" s="16"/>
      <c r="C465" s="17"/>
      <c r="D465" s="17"/>
      <c r="F465" s="16"/>
      <c r="G465" s="16"/>
    </row>
    <row r="466" spans="1:7" ht="13.2">
      <c r="A466" s="16"/>
      <c r="B466" s="16"/>
      <c r="C466" s="17"/>
      <c r="D466" s="17"/>
      <c r="F466" s="16"/>
      <c r="G466" s="16"/>
    </row>
    <row r="467" spans="1:7" ht="13.2">
      <c r="A467" s="16"/>
      <c r="B467" s="16"/>
      <c r="C467" s="17"/>
      <c r="D467" s="17"/>
      <c r="F467" s="16"/>
      <c r="G467" s="16"/>
    </row>
    <row r="468" spans="1:7" ht="13.2">
      <c r="A468" s="16"/>
      <c r="B468" s="16"/>
      <c r="C468" s="17"/>
      <c r="D468" s="17"/>
      <c r="F468" s="16"/>
      <c r="G468" s="16"/>
    </row>
    <row r="469" spans="1:7" ht="13.2">
      <c r="A469" s="16"/>
      <c r="B469" s="16"/>
      <c r="C469" s="17"/>
      <c r="D469" s="17"/>
      <c r="F469" s="16"/>
      <c r="G469" s="16"/>
    </row>
    <row r="470" spans="1:7" ht="13.2">
      <c r="A470" s="16"/>
      <c r="B470" s="16"/>
      <c r="C470" s="17"/>
      <c r="D470" s="17"/>
      <c r="F470" s="16"/>
      <c r="G470" s="16"/>
    </row>
    <row r="471" spans="1:7" ht="13.2">
      <c r="A471" s="16"/>
      <c r="B471" s="16"/>
      <c r="C471" s="17"/>
      <c r="D471" s="17"/>
      <c r="F471" s="16"/>
      <c r="G471" s="16"/>
    </row>
    <row r="472" spans="1:7" ht="13.2">
      <c r="A472" s="16"/>
      <c r="B472" s="16"/>
      <c r="C472" s="17"/>
      <c r="D472" s="17"/>
      <c r="F472" s="16"/>
      <c r="G472" s="16"/>
    </row>
    <row r="473" spans="1:7" ht="13.2">
      <c r="A473" s="16"/>
      <c r="B473" s="16"/>
      <c r="C473" s="17"/>
      <c r="D473" s="17"/>
      <c r="F473" s="16"/>
      <c r="G473" s="16"/>
    </row>
    <row r="474" spans="1:7" ht="13.2">
      <c r="A474" s="16"/>
      <c r="B474" s="16"/>
      <c r="C474" s="17"/>
      <c r="D474" s="17"/>
      <c r="F474" s="16"/>
      <c r="G474" s="16"/>
    </row>
    <row r="475" spans="1:7" ht="13.2">
      <c r="A475" s="16"/>
      <c r="B475" s="16"/>
      <c r="C475" s="17"/>
      <c r="D475" s="17"/>
      <c r="F475" s="16"/>
      <c r="G475" s="16"/>
    </row>
    <row r="476" spans="1:7" ht="13.2">
      <c r="A476" s="16"/>
      <c r="B476" s="16"/>
      <c r="C476" s="17"/>
      <c r="D476" s="17"/>
      <c r="F476" s="16"/>
      <c r="G476" s="16"/>
    </row>
    <row r="477" spans="1:7" ht="13.2">
      <c r="A477" s="16"/>
      <c r="B477" s="16"/>
      <c r="C477" s="17"/>
      <c r="D477" s="17"/>
      <c r="F477" s="16"/>
      <c r="G477" s="16"/>
    </row>
    <row r="478" spans="1:7" ht="13.2">
      <c r="A478" s="16"/>
      <c r="B478" s="16"/>
      <c r="C478" s="17"/>
      <c r="D478" s="17"/>
      <c r="F478" s="16"/>
      <c r="G478" s="16"/>
    </row>
    <row r="479" spans="1:7" ht="13.2">
      <c r="A479" s="16"/>
      <c r="B479" s="16"/>
      <c r="C479" s="17"/>
      <c r="D479" s="17"/>
      <c r="F479" s="16"/>
      <c r="G479" s="16"/>
    </row>
    <row r="480" spans="1:7" ht="13.2">
      <c r="A480" s="16"/>
      <c r="B480" s="16"/>
      <c r="C480" s="17"/>
      <c r="D480" s="17"/>
      <c r="F480" s="16"/>
      <c r="G480" s="16"/>
    </row>
    <row r="481" spans="1:7" ht="13.2">
      <c r="A481" s="16"/>
      <c r="B481" s="16"/>
      <c r="C481" s="17"/>
      <c r="D481" s="17"/>
      <c r="F481" s="16"/>
      <c r="G481" s="16"/>
    </row>
    <row r="482" spans="1:7" ht="13.2">
      <c r="A482" s="16"/>
      <c r="B482" s="16"/>
      <c r="C482" s="17"/>
      <c r="D482" s="17"/>
      <c r="F482" s="16"/>
      <c r="G482" s="16"/>
    </row>
    <row r="483" spans="1:7" ht="13.2">
      <c r="A483" s="16"/>
      <c r="B483" s="16"/>
      <c r="C483" s="17"/>
      <c r="D483" s="17"/>
      <c r="F483" s="16"/>
      <c r="G483" s="16"/>
    </row>
    <row r="484" spans="1:7" ht="13.2">
      <c r="A484" s="16"/>
      <c r="B484" s="16"/>
      <c r="C484" s="17"/>
      <c r="D484" s="17"/>
      <c r="F484" s="16"/>
      <c r="G484" s="16"/>
    </row>
    <row r="485" spans="1:7" ht="13.2">
      <c r="A485" s="16"/>
      <c r="B485" s="16"/>
      <c r="C485" s="17"/>
      <c r="D485" s="17"/>
      <c r="F485" s="16"/>
      <c r="G485" s="16"/>
    </row>
    <row r="486" spans="1:7" ht="13.2">
      <c r="A486" s="16"/>
      <c r="B486" s="16"/>
      <c r="C486" s="17"/>
      <c r="D486" s="17"/>
      <c r="F486" s="16"/>
      <c r="G486" s="16"/>
    </row>
    <row r="487" spans="1:7" ht="13.2">
      <c r="A487" s="16"/>
      <c r="B487" s="16"/>
      <c r="C487" s="17"/>
      <c r="D487" s="17"/>
      <c r="F487" s="16"/>
      <c r="G487" s="16"/>
    </row>
    <row r="488" spans="1:7" ht="13.2">
      <c r="A488" s="16"/>
      <c r="B488" s="16"/>
      <c r="C488" s="17"/>
      <c r="D488" s="17"/>
      <c r="F488" s="16"/>
      <c r="G488" s="16"/>
    </row>
    <row r="489" spans="1:7" ht="13.2">
      <c r="A489" s="16"/>
      <c r="B489" s="16"/>
      <c r="C489" s="17"/>
      <c r="D489" s="17"/>
      <c r="F489" s="16"/>
      <c r="G489" s="16"/>
    </row>
    <row r="490" spans="1:7" ht="13.2">
      <c r="A490" s="16"/>
      <c r="B490" s="16"/>
      <c r="C490" s="17"/>
      <c r="D490" s="17"/>
      <c r="F490" s="16"/>
      <c r="G490" s="16"/>
    </row>
    <row r="491" spans="1:7" ht="13.2">
      <c r="A491" s="16"/>
      <c r="B491" s="16"/>
      <c r="C491" s="17"/>
      <c r="D491" s="17"/>
      <c r="F491" s="16"/>
      <c r="G491" s="16"/>
    </row>
    <row r="492" spans="1:7" ht="13.2">
      <c r="A492" s="16"/>
      <c r="B492" s="16"/>
      <c r="C492" s="17"/>
      <c r="D492" s="17"/>
      <c r="F492" s="16"/>
      <c r="G492" s="16"/>
    </row>
    <row r="493" spans="1:7" ht="13.2">
      <c r="A493" s="16"/>
      <c r="B493" s="16"/>
      <c r="C493" s="17"/>
      <c r="D493" s="17"/>
      <c r="F493" s="16"/>
      <c r="G493" s="16"/>
    </row>
    <row r="494" spans="1:7" ht="13.2">
      <c r="A494" s="16"/>
      <c r="B494" s="16"/>
      <c r="C494" s="17"/>
      <c r="D494" s="17"/>
      <c r="F494" s="16"/>
      <c r="G494" s="16"/>
    </row>
    <row r="495" spans="1:7" ht="13.2">
      <c r="A495" s="16"/>
      <c r="B495" s="16"/>
      <c r="C495" s="17"/>
      <c r="D495" s="17"/>
      <c r="F495" s="16"/>
      <c r="G495" s="16"/>
    </row>
    <row r="496" spans="1:7" ht="13.2">
      <c r="A496" s="16"/>
      <c r="B496" s="16"/>
      <c r="C496" s="17"/>
      <c r="D496" s="17"/>
      <c r="F496" s="16"/>
      <c r="G496" s="16"/>
    </row>
    <row r="497" spans="1:7" ht="13.2">
      <c r="A497" s="16"/>
      <c r="B497" s="16"/>
      <c r="C497" s="17"/>
      <c r="D497" s="17"/>
      <c r="F497" s="16"/>
      <c r="G497" s="16"/>
    </row>
    <row r="498" spans="1:7" ht="13.2">
      <c r="A498" s="16"/>
      <c r="B498" s="16"/>
      <c r="C498" s="17"/>
      <c r="D498" s="17"/>
      <c r="F498" s="16"/>
      <c r="G498" s="16"/>
    </row>
    <row r="499" spans="1:7" ht="13.2">
      <c r="A499" s="16"/>
      <c r="B499" s="16"/>
      <c r="C499" s="17"/>
      <c r="D499" s="17"/>
      <c r="F499" s="16"/>
      <c r="G499" s="16"/>
    </row>
    <row r="500" spans="1:7" ht="13.2">
      <c r="A500" s="16"/>
      <c r="B500" s="16"/>
      <c r="C500" s="17"/>
      <c r="D500" s="17"/>
      <c r="F500" s="16"/>
      <c r="G500" s="16"/>
    </row>
    <row r="501" spans="1:7" ht="13.2">
      <c r="A501" s="16"/>
      <c r="B501" s="16"/>
      <c r="C501" s="17"/>
      <c r="D501" s="17"/>
      <c r="F501" s="16"/>
      <c r="G501" s="16"/>
    </row>
    <row r="502" spans="1:7" ht="13.2">
      <c r="A502" s="16"/>
      <c r="B502" s="16"/>
      <c r="C502" s="17"/>
      <c r="D502" s="17"/>
      <c r="F502" s="16"/>
      <c r="G502" s="16"/>
    </row>
    <row r="503" spans="1:7" ht="13.2">
      <c r="A503" s="16"/>
      <c r="B503" s="16"/>
      <c r="C503" s="17"/>
      <c r="D503" s="17"/>
      <c r="F503" s="16"/>
      <c r="G503" s="16"/>
    </row>
    <row r="504" spans="1:7" ht="13.2">
      <c r="A504" s="16"/>
      <c r="B504" s="16"/>
      <c r="C504" s="17"/>
      <c r="D504" s="17"/>
      <c r="F504" s="16"/>
      <c r="G504" s="16"/>
    </row>
    <row r="505" spans="1:7" ht="13.2">
      <c r="A505" s="16"/>
      <c r="B505" s="16"/>
      <c r="C505" s="17"/>
      <c r="D505" s="17"/>
      <c r="F505" s="16"/>
      <c r="G505" s="16"/>
    </row>
    <row r="506" spans="1:7" ht="13.2">
      <c r="A506" s="16"/>
      <c r="B506" s="16"/>
      <c r="C506" s="17"/>
      <c r="D506" s="17"/>
      <c r="F506" s="16"/>
      <c r="G506" s="16"/>
    </row>
    <row r="507" spans="1:7" ht="13.2">
      <c r="A507" s="16"/>
      <c r="B507" s="16"/>
      <c r="C507" s="17"/>
      <c r="D507" s="17"/>
      <c r="F507" s="16"/>
      <c r="G507" s="16"/>
    </row>
    <row r="508" spans="1:7" ht="13.2">
      <c r="A508" s="16"/>
      <c r="B508" s="16"/>
      <c r="C508" s="17"/>
      <c r="D508" s="17"/>
      <c r="F508" s="16"/>
      <c r="G508" s="16"/>
    </row>
    <row r="509" spans="1:7" ht="13.2">
      <c r="A509" s="16"/>
      <c r="B509" s="16"/>
      <c r="C509" s="17"/>
      <c r="D509" s="17"/>
      <c r="F509" s="16"/>
      <c r="G509" s="16"/>
    </row>
    <row r="510" spans="1:7" ht="13.2">
      <c r="A510" s="16"/>
      <c r="B510" s="16"/>
      <c r="C510" s="17"/>
      <c r="D510" s="17"/>
      <c r="F510" s="16"/>
      <c r="G510" s="16"/>
    </row>
    <row r="511" spans="1:7" ht="13.2">
      <c r="A511" s="16"/>
      <c r="B511" s="16"/>
      <c r="C511" s="17"/>
      <c r="D511" s="17"/>
      <c r="F511" s="16"/>
      <c r="G511" s="16"/>
    </row>
    <row r="512" spans="1:7" ht="13.2">
      <c r="A512" s="16"/>
      <c r="B512" s="16"/>
      <c r="C512" s="17"/>
      <c r="D512" s="17"/>
      <c r="F512" s="16"/>
      <c r="G512" s="16"/>
    </row>
    <row r="513" spans="1:7" ht="13.2">
      <c r="A513" s="16"/>
      <c r="B513" s="16"/>
      <c r="C513" s="17"/>
      <c r="D513" s="17"/>
      <c r="F513" s="16"/>
      <c r="G513" s="16"/>
    </row>
    <row r="514" spans="1:7" ht="13.2">
      <c r="A514" s="16"/>
      <c r="B514" s="16"/>
      <c r="C514" s="17"/>
      <c r="D514" s="17"/>
      <c r="F514" s="16"/>
      <c r="G514" s="16"/>
    </row>
    <row r="515" spans="1:7" ht="13.2">
      <c r="A515" s="16"/>
      <c r="B515" s="16"/>
      <c r="C515" s="17"/>
      <c r="D515" s="17"/>
      <c r="F515" s="16"/>
      <c r="G515" s="16"/>
    </row>
    <row r="516" spans="1:7" ht="13.2">
      <c r="A516" s="16"/>
      <c r="B516" s="16"/>
      <c r="C516" s="17"/>
      <c r="D516" s="17"/>
      <c r="F516" s="16"/>
      <c r="G516" s="16"/>
    </row>
    <row r="517" spans="1:7" ht="13.2">
      <c r="A517" s="16"/>
      <c r="B517" s="16"/>
      <c r="C517" s="17"/>
      <c r="D517" s="17"/>
      <c r="F517" s="16"/>
      <c r="G517" s="16"/>
    </row>
    <row r="518" spans="1:7" ht="13.2">
      <c r="A518" s="16"/>
      <c r="B518" s="16"/>
      <c r="C518" s="17"/>
      <c r="D518" s="17"/>
      <c r="F518" s="16"/>
      <c r="G518" s="16"/>
    </row>
    <row r="519" spans="1:7" ht="13.2">
      <c r="A519" s="16"/>
      <c r="B519" s="16"/>
      <c r="C519" s="17"/>
      <c r="D519" s="17"/>
      <c r="F519" s="16"/>
      <c r="G519" s="16"/>
    </row>
    <row r="520" spans="1:7" ht="13.2">
      <c r="A520" s="16"/>
      <c r="B520" s="16"/>
      <c r="C520" s="17"/>
      <c r="D520" s="17"/>
      <c r="F520" s="16"/>
      <c r="G520" s="16"/>
    </row>
    <row r="521" spans="1:7" ht="13.2">
      <c r="A521" s="16"/>
      <c r="B521" s="16"/>
      <c r="C521" s="17"/>
      <c r="D521" s="17"/>
      <c r="F521" s="16"/>
      <c r="G521" s="16"/>
    </row>
    <row r="522" spans="1:7" ht="13.2">
      <c r="A522" s="16"/>
      <c r="B522" s="16"/>
      <c r="C522" s="17"/>
      <c r="D522" s="17"/>
      <c r="F522" s="16"/>
      <c r="G522" s="16"/>
    </row>
    <row r="523" spans="1:7" ht="13.2">
      <c r="A523" s="16"/>
      <c r="B523" s="16"/>
      <c r="C523" s="17"/>
      <c r="D523" s="17"/>
      <c r="F523" s="16"/>
      <c r="G523" s="16"/>
    </row>
    <row r="524" spans="1:7" ht="13.2">
      <c r="A524" s="16"/>
      <c r="B524" s="16"/>
      <c r="C524" s="17"/>
      <c r="D524" s="17"/>
      <c r="F524" s="16"/>
      <c r="G524" s="16"/>
    </row>
    <row r="525" spans="1:7" ht="13.2">
      <c r="A525" s="16"/>
      <c r="B525" s="16"/>
      <c r="C525" s="17"/>
      <c r="D525" s="17"/>
      <c r="F525" s="16"/>
      <c r="G525" s="16"/>
    </row>
    <row r="526" spans="1:7" ht="13.2">
      <c r="A526" s="16"/>
      <c r="B526" s="16"/>
      <c r="C526" s="17"/>
      <c r="D526" s="17"/>
      <c r="F526" s="16"/>
      <c r="G526" s="16"/>
    </row>
    <row r="527" spans="1:7" ht="13.2">
      <c r="A527" s="16"/>
      <c r="B527" s="16"/>
      <c r="C527" s="17"/>
      <c r="D527" s="17"/>
      <c r="F527" s="16"/>
      <c r="G527" s="16"/>
    </row>
    <row r="528" spans="1:7" ht="13.2">
      <c r="A528" s="16"/>
      <c r="B528" s="16"/>
      <c r="C528" s="17"/>
      <c r="D528" s="17"/>
      <c r="F528" s="16"/>
      <c r="G528" s="16"/>
    </row>
    <row r="529" spans="1:7" ht="13.2">
      <c r="A529" s="16"/>
      <c r="B529" s="16"/>
      <c r="C529" s="17"/>
      <c r="D529" s="17"/>
      <c r="F529" s="16"/>
      <c r="G529" s="16"/>
    </row>
    <row r="530" spans="1:7" ht="13.2">
      <c r="A530" s="16"/>
      <c r="B530" s="16"/>
      <c r="C530" s="17"/>
      <c r="D530" s="17"/>
      <c r="F530" s="16"/>
      <c r="G530" s="16"/>
    </row>
    <row r="531" spans="1:7" ht="13.2">
      <c r="A531" s="16"/>
      <c r="B531" s="16"/>
      <c r="C531" s="17"/>
      <c r="D531" s="17"/>
      <c r="F531" s="16"/>
      <c r="G531" s="16"/>
    </row>
    <row r="532" spans="1:7" ht="13.2">
      <c r="A532" s="16"/>
      <c r="B532" s="16"/>
      <c r="C532" s="17"/>
      <c r="D532" s="17"/>
      <c r="F532" s="16"/>
      <c r="G532" s="16"/>
    </row>
    <row r="533" spans="1:7" ht="13.2">
      <c r="A533" s="16"/>
      <c r="B533" s="16"/>
      <c r="C533" s="17"/>
      <c r="D533" s="17"/>
      <c r="F533" s="16"/>
      <c r="G533" s="16"/>
    </row>
    <row r="534" spans="1:7" ht="13.2">
      <c r="A534" s="16"/>
      <c r="B534" s="16"/>
      <c r="C534" s="17"/>
      <c r="D534" s="17"/>
      <c r="F534" s="16"/>
      <c r="G534" s="16"/>
    </row>
    <row r="535" spans="1:7" ht="13.2">
      <c r="A535" s="16"/>
      <c r="B535" s="16"/>
      <c r="C535" s="17"/>
      <c r="D535" s="17"/>
      <c r="F535" s="16"/>
      <c r="G535" s="16"/>
    </row>
    <row r="536" spans="1:7" ht="13.2">
      <c r="A536" s="16"/>
      <c r="B536" s="16"/>
      <c r="C536" s="17"/>
      <c r="D536" s="17"/>
      <c r="F536" s="16"/>
      <c r="G536" s="16"/>
    </row>
    <row r="537" spans="1:7" ht="13.2">
      <c r="A537" s="16"/>
      <c r="B537" s="16"/>
      <c r="C537" s="17"/>
      <c r="D537" s="17"/>
      <c r="F537" s="16"/>
      <c r="G537" s="16"/>
    </row>
    <row r="538" spans="1:7" ht="13.2">
      <c r="A538" s="16"/>
      <c r="B538" s="16"/>
      <c r="C538" s="17"/>
      <c r="D538" s="17"/>
      <c r="F538" s="16"/>
      <c r="G538" s="16"/>
    </row>
    <row r="539" spans="1:7" ht="13.2">
      <c r="A539" s="16"/>
      <c r="B539" s="16"/>
      <c r="C539" s="17"/>
      <c r="D539" s="17"/>
      <c r="F539" s="16"/>
      <c r="G539" s="16"/>
    </row>
    <row r="540" spans="1:7" ht="13.2">
      <c r="A540" s="16"/>
      <c r="B540" s="16"/>
      <c r="C540" s="17"/>
      <c r="D540" s="17"/>
      <c r="F540" s="16"/>
      <c r="G540" s="16"/>
    </row>
    <row r="541" spans="1:7" ht="13.2">
      <c r="A541" s="16"/>
      <c r="B541" s="16"/>
      <c r="C541" s="17"/>
      <c r="D541" s="17"/>
      <c r="F541" s="16"/>
      <c r="G541" s="16"/>
    </row>
    <row r="542" spans="1:7" ht="13.2">
      <c r="A542" s="16"/>
      <c r="B542" s="16"/>
      <c r="C542" s="17"/>
      <c r="D542" s="17"/>
      <c r="F542" s="16"/>
      <c r="G542" s="16"/>
    </row>
    <row r="543" spans="1:7" ht="13.2">
      <c r="A543" s="16"/>
      <c r="B543" s="16"/>
      <c r="C543" s="17"/>
      <c r="D543" s="17"/>
      <c r="F543" s="16"/>
      <c r="G543" s="16"/>
    </row>
    <row r="544" spans="1:7" ht="13.2">
      <c r="A544" s="16"/>
      <c r="B544" s="16"/>
      <c r="C544" s="17"/>
      <c r="D544" s="17"/>
      <c r="F544" s="16"/>
      <c r="G544" s="16"/>
    </row>
    <row r="545" spans="1:7" ht="13.2">
      <c r="A545" s="16"/>
      <c r="B545" s="16"/>
      <c r="C545" s="17"/>
      <c r="D545" s="17"/>
      <c r="F545" s="16"/>
      <c r="G545" s="16"/>
    </row>
    <row r="546" spans="1:7" ht="13.2">
      <c r="A546" s="16"/>
      <c r="B546" s="16"/>
      <c r="C546" s="17"/>
      <c r="D546" s="17"/>
      <c r="F546" s="16"/>
      <c r="G546" s="16"/>
    </row>
    <row r="547" spans="1:7" ht="13.2">
      <c r="A547" s="16"/>
      <c r="B547" s="16"/>
      <c r="C547" s="17"/>
      <c r="D547" s="17"/>
      <c r="F547" s="16"/>
      <c r="G547" s="16"/>
    </row>
    <row r="548" spans="1:7" ht="13.2">
      <c r="A548" s="16"/>
      <c r="B548" s="16"/>
      <c r="C548" s="17"/>
      <c r="D548" s="17"/>
      <c r="F548" s="16"/>
      <c r="G548" s="16"/>
    </row>
    <row r="549" spans="1:7" ht="13.2">
      <c r="A549" s="16"/>
      <c r="B549" s="16"/>
      <c r="C549" s="17"/>
      <c r="D549" s="17"/>
      <c r="F549" s="16"/>
      <c r="G549" s="16"/>
    </row>
    <row r="550" spans="1:7" ht="13.2">
      <c r="A550" s="16"/>
      <c r="B550" s="16"/>
      <c r="C550" s="17"/>
      <c r="D550" s="17"/>
      <c r="F550" s="16"/>
      <c r="G550" s="16"/>
    </row>
    <row r="551" spans="1:7" ht="13.2">
      <c r="A551" s="16"/>
      <c r="B551" s="16"/>
      <c r="C551" s="17"/>
      <c r="D551" s="17"/>
      <c r="F551" s="16"/>
      <c r="G551" s="16"/>
    </row>
    <row r="552" spans="1:7" ht="13.2">
      <c r="A552" s="16"/>
      <c r="B552" s="16"/>
      <c r="C552" s="17"/>
      <c r="D552" s="17"/>
      <c r="F552" s="16"/>
      <c r="G552" s="16"/>
    </row>
    <row r="553" spans="1:7" ht="13.2">
      <c r="A553" s="16"/>
      <c r="B553" s="16"/>
      <c r="C553" s="17"/>
      <c r="D553" s="17"/>
      <c r="F553" s="16"/>
      <c r="G553" s="16"/>
    </row>
    <row r="554" spans="1:7" ht="13.2">
      <c r="A554" s="16"/>
      <c r="B554" s="16"/>
      <c r="C554" s="17"/>
      <c r="D554" s="17"/>
      <c r="F554" s="16"/>
      <c r="G554" s="16"/>
    </row>
    <row r="555" spans="1:7" ht="13.2">
      <c r="A555" s="16"/>
      <c r="B555" s="16"/>
      <c r="C555" s="17"/>
      <c r="D555" s="17"/>
      <c r="F555" s="16"/>
      <c r="G555" s="16"/>
    </row>
    <row r="556" spans="1:7" ht="13.2">
      <c r="A556" s="16"/>
      <c r="B556" s="16"/>
      <c r="C556" s="17"/>
      <c r="D556" s="17"/>
      <c r="F556" s="16"/>
      <c r="G556" s="16"/>
    </row>
    <row r="557" spans="1:7" ht="13.2">
      <c r="A557" s="16"/>
      <c r="B557" s="16"/>
      <c r="C557" s="17"/>
      <c r="D557" s="17"/>
      <c r="F557" s="16"/>
      <c r="G557" s="16"/>
    </row>
    <row r="558" spans="1:7" ht="13.2">
      <c r="A558" s="16"/>
      <c r="B558" s="16"/>
      <c r="C558" s="17"/>
      <c r="D558" s="17"/>
      <c r="F558" s="16"/>
      <c r="G558" s="16"/>
    </row>
    <row r="559" spans="1:7" ht="13.2">
      <c r="A559" s="16"/>
      <c r="B559" s="16"/>
      <c r="C559" s="17"/>
      <c r="D559" s="17"/>
      <c r="F559" s="16"/>
      <c r="G559" s="16"/>
    </row>
    <row r="560" spans="1:7" ht="13.2">
      <c r="A560" s="16"/>
      <c r="B560" s="16"/>
      <c r="C560" s="17"/>
      <c r="D560" s="17"/>
      <c r="F560" s="16"/>
      <c r="G560" s="16"/>
    </row>
    <row r="561" spans="1:7" ht="13.2">
      <c r="A561" s="16"/>
      <c r="B561" s="16"/>
      <c r="C561" s="17"/>
      <c r="D561" s="17"/>
      <c r="F561" s="16"/>
      <c r="G561" s="16"/>
    </row>
    <row r="562" spans="1:7" ht="13.2">
      <c r="A562" s="16"/>
      <c r="B562" s="16"/>
      <c r="C562" s="17"/>
      <c r="D562" s="17"/>
      <c r="F562" s="16"/>
      <c r="G562" s="16"/>
    </row>
    <row r="563" spans="1:7" ht="13.2">
      <c r="A563" s="16"/>
      <c r="B563" s="16"/>
      <c r="C563" s="17"/>
      <c r="D563" s="17"/>
      <c r="F563" s="16"/>
      <c r="G563" s="16"/>
    </row>
    <row r="564" spans="1:7" ht="13.2">
      <c r="A564" s="16"/>
      <c r="B564" s="16"/>
      <c r="C564" s="17"/>
      <c r="D564" s="17"/>
      <c r="F564" s="16"/>
      <c r="G564" s="16"/>
    </row>
    <row r="565" spans="1:7" ht="13.2">
      <c r="A565" s="16"/>
      <c r="B565" s="16"/>
      <c r="C565" s="17"/>
      <c r="D565" s="17"/>
      <c r="F565" s="16"/>
      <c r="G565" s="16"/>
    </row>
    <row r="566" spans="1:7" ht="13.2">
      <c r="A566" s="16"/>
      <c r="B566" s="16"/>
      <c r="C566" s="17"/>
      <c r="D566" s="17"/>
      <c r="F566" s="16"/>
      <c r="G566" s="16"/>
    </row>
    <row r="567" spans="1:7" ht="13.2">
      <c r="A567" s="16"/>
      <c r="B567" s="16"/>
      <c r="C567" s="17"/>
      <c r="D567" s="17"/>
      <c r="F567" s="16"/>
      <c r="G567" s="16"/>
    </row>
    <row r="568" spans="1:7" ht="13.2">
      <c r="A568" s="16"/>
      <c r="B568" s="16"/>
      <c r="C568" s="17"/>
      <c r="D568" s="17"/>
      <c r="F568" s="16"/>
      <c r="G568" s="16"/>
    </row>
    <row r="569" spans="1:7" ht="13.2">
      <c r="A569" s="16"/>
      <c r="B569" s="16"/>
      <c r="C569" s="17"/>
      <c r="D569" s="17"/>
      <c r="F569" s="16"/>
      <c r="G569" s="16"/>
    </row>
    <row r="570" spans="1:7" ht="13.2">
      <c r="A570" s="16"/>
      <c r="B570" s="16"/>
      <c r="C570" s="17"/>
      <c r="D570" s="17"/>
      <c r="F570" s="16"/>
      <c r="G570" s="16"/>
    </row>
    <row r="571" spans="1:7" ht="13.2">
      <c r="A571" s="16"/>
      <c r="B571" s="16"/>
      <c r="C571" s="17"/>
      <c r="D571" s="17"/>
      <c r="F571" s="16"/>
      <c r="G571" s="16"/>
    </row>
    <row r="572" spans="1:7" ht="13.2">
      <c r="A572" s="16"/>
      <c r="B572" s="16"/>
      <c r="C572" s="17"/>
      <c r="D572" s="17"/>
      <c r="F572" s="16"/>
      <c r="G572" s="16"/>
    </row>
    <row r="573" spans="1:7" ht="13.2">
      <c r="A573" s="16"/>
      <c r="B573" s="16"/>
      <c r="C573" s="17"/>
      <c r="D573" s="17"/>
      <c r="F573" s="16"/>
      <c r="G573" s="16"/>
    </row>
    <row r="574" spans="1:7" ht="13.2">
      <c r="A574" s="16"/>
      <c r="B574" s="16"/>
      <c r="C574" s="17"/>
      <c r="D574" s="17"/>
      <c r="F574" s="16"/>
      <c r="G574" s="16"/>
    </row>
    <row r="575" spans="1:7" ht="13.2">
      <c r="A575" s="16"/>
      <c r="B575" s="16"/>
      <c r="C575" s="17"/>
      <c r="D575" s="17"/>
      <c r="F575" s="16"/>
      <c r="G575" s="16"/>
    </row>
    <row r="576" spans="1:7" ht="13.2">
      <c r="A576" s="16"/>
      <c r="B576" s="16"/>
      <c r="C576" s="17"/>
      <c r="D576" s="17"/>
      <c r="F576" s="16"/>
      <c r="G576" s="16"/>
    </row>
    <row r="577" spans="1:7" ht="13.2">
      <c r="A577" s="16"/>
      <c r="B577" s="16"/>
      <c r="C577" s="17"/>
      <c r="D577" s="17"/>
      <c r="F577" s="16"/>
      <c r="G577" s="16"/>
    </row>
    <row r="578" spans="1:7" ht="13.2">
      <c r="A578" s="16"/>
      <c r="B578" s="16"/>
      <c r="C578" s="17"/>
      <c r="D578" s="17"/>
      <c r="F578" s="16"/>
      <c r="G578" s="16"/>
    </row>
    <row r="579" spans="1:7" ht="13.2">
      <c r="A579" s="16"/>
      <c r="B579" s="16"/>
      <c r="C579" s="17"/>
      <c r="D579" s="17"/>
      <c r="F579" s="16"/>
      <c r="G579" s="16"/>
    </row>
    <row r="580" spans="1:7" ht="13.2">
      <c r="A580" s="16"/>
      <c r="B580" s="16"/>
      <c r="C580" s="17"/>
      <c r="D580" s="17"/>
      <c r="F580" s="16"/>
      <c r="G580" s="16"/>
    </row>
    <row r="581" spans="1:7" ht="13.2">
      <c r="A581" s="16"/>
      <c r="B581" s="16"/>
      <c r="C581" s="17"/>
      <c r="D581" s="17"/>
      <c r="F581" s="16"/>
      <c r="G581" s="16"/>
    </row>
    <row r="582" spans="1:7" ht="13.2">
      <c r="A582" s="16"/>
      <c r="B582" s="16"/>
      <c r="C582" s="17"/>
      <c r="D582" s="17"/>
      <c r="F582" s="16"/>
      <c r="G582" s="16"/>
    </row>
    <row r="583" spans="1:7" ht="13.2">
      <c r="A583" s="16"/>
      <c r="B583" s="16"/>
      <c r="C583" s="17"/>
      <c r="D583" s="17"/>
      <c r="F583" s="16"/>
      <c r="G583" s="16"/>
    </row>
    <row r="584" spans="1:7" ht="13.2">
      <c r="A584" s="16"/>
      <c r="B584" s="16"/>
      <c r="C584" s="17"/>
      <c r="D584" s="17"/>
      <c r="F584" s="16"/>
      <c r="G584" s="16"/>
    </row>
    <row r="585" spans="1:7" ht="13.2">
      <c r="A585" s="16"/>
      <c r="B585" s="16"/>
      <c r="C585" s="17"/>
      <c r="D585" s="17"/>
      <c r="F585" s="16"/>
      <c r="G585" s="16"/>
    </row>
    <row r="586" spans="1:7" ht="13.2">
      <c r="A586" s="16"/>
      <c r="B586" s="16"/>
      <c r="C586" s="17"/>
      <c r="D586" s="17"/>
      <c r="F586" s="16"/>
      <c r="G586" s="16"/>
    </row>
    <row r="587" spans="1:7" ht="13.2">
      <c r="A587" s="16"/>
      <c r="B587" s="16"/>
      <c r="C587" s="17"/>
      <c r="D587" s="17"/>
      <c r="F587" s="16"/>
      <c r="G587" s="16"/>
    </row>
    <row r="588" spans="1:7" ht="13.2">
      <c r="A588" s="16"/>
      <c r="B588" s="16"/>
      <c r="C588" s="17"/>
      <c r="D588" s="17"/>
      <c r="F588" s="16"/>
      <c r="G588" s="16"/>
    </row>
    <row r="589" spans="1:7" ht="13.2">
      <c r="A589" s="16"/>
      <c r="B589" s="16"/>
      <c r="C589" s="17"/>
      <c r="D589" s="17"/>
      <c r="F589" s="16"/>
      <c r="G589" s="16"/>
    </row>
    <row r="590" spans="1:7" ht="13.2">
      <c r="A590" s="16"/>
      <c r="B590" s="16"/>
      <c r="C590" s="17"/>
      <c r="D590" s="17"/>
      <c r="F590" s="16"/>
      <c r="G590" s="16"/>
    </row>
    <row r="591" spans="1:7" ht="13.2">
      <c r="A591" s="16"/>
      <c r="B591" s="16"/>
      <c r="C591" s="17"/>
      <c r="D591" s="17"/>
      <c r="F591" s="16"/>
      <c r="G591" s="16"/>
    </row>
    <row r="592" spans="1:7" ht="13.2">
      <c r="A592" s="16"/>
      <c r="B592" s="16"/>
      <c r="C592" s="17"/>
      <c r="D592" s="17"/>
      <c r="F592" s="16"/>
      <c r="G592" s="16"/>
    </row>
    <row r="593" spans="1:7" ht="13.2">
      <c r="A593" s="16"/>
      <c r="B593" s="16"/>
      <c r="C593" s="17"/>
      <c r="D593" s="17"/>
      <c r="F593" s="16"/>
      <c r="G593" s="16"/>
    </row>
    <row r="594" spans="1:7" ht="13.2">
      <c r="A594" s="16"/>
      <c r="B594" s="16"/>
      <c r="C594" s="17"/>
      <c r="D594" s="17"/>
      <c r="F594" s="16"/>
      <c r="G594" s="16"/>
    </row>
    <row r="595" spans="1:7" ht="13.2">
      <c r="A595" s="16"/>
      <c r="B595" s="16"/>
      <c r="C595" s="17"/>
      <c r="D595" s="17"/>
      <c r="F595" s="16"/>
      <c r="G595" s="16"/>
    </row>
    <row r="596" spans="1:7" ht="13.2">
      <c r="A596" s="16"/>
      <c r="B596" s="16"/>
      <c r="C596" s="17"/>
      <c r="D596" s="17"/>
      <c r="F596" s="16"/>
      <c r="G596" s="16"/>
    </row>
    <row r="597" spans="1:7" ht="13.2">
      <c r="A597" s="16"/>
      <c r="B597" s="16"/>
      <c r="C597" s="17"/>
      <c r="D597" s="17"/>
      <c r="F597" s="16"/>
      <c r="G597" s="16"/>
    </row>
    <row r="598" spans="1:7" ht="13.2">
      <c r="A598" s="16"/>
      <c r="B598" s="16"/>
      <c r="C598" s="17"/>
      <c r="D598" s="17"/>
      <c r="F598" s="16"/>
      <c r="G598" s="16"/>
    </row>
    <row r="599" spans="1:7" ht="13.2">
      <c r="A599" s="16"/>
      <c r="B599" s="16"/>
      <c r="C599" s="17"/>
      <c r="D599" s="17"/>
      <c r="F599" s="16"/>
      <c r="G599" s="16"/>
    </row>
    <row r="600" spans="1:7" ht="13.2">
      <c r="A600" s="16"/>
      <c r="B600" s="16"/>
      <c r="C600" s="17"/>
      <c r="D600" s="17"/>
      <c r="F600" s="16"/>
      <c r="G600" s="16"/>
    </row>
    <row r="601" spans="1:7" ht="13.2">
      <c r="A601" s="16"/>
      <c r="B601" s="16"/>
      <c r="C601" s="17"/>
      <c r="D601" s="17"/>
      <c r="F601" s="16"/>
      <c r="G601" s="16"/>
    </row>
    <row r="602" spans="1:7" ht="13.2">
      <c r="A602" s="16"/>
      <c r="B602" s="16"/>
      <c r="C602" s="17"/>
      <c r="D602" s="17"/>
      <c r="F602" s="16"/>
      <c r="G602" s="16"/>
    </row>
    <row r="603" spans="1:7" ht="13.2">
      <c r="A603" s="16"/>
      <c r="B603" s="16"/>
      <c r="C603" s="17"/>
      <c r="D603" s="17"/>
      <c r="F603" s="16"/>
      <c r="G603" s="16"/>
    </row>
    <row r="604" spans="1:7" ht="13.2">
      <c r="A604" s="16"/>
      <c r="B604" s="16"/>
      <c r="C604" s="17"/>
      <c r="D604" s="17"/>
      <c r="F604" s="16"/>
      <c r="G604" s="16"/>
    </row>
    <row r="605" spans="1:7" ht="13.2">
      <c r="A605" s="16"/>
      <c r="B605" s="16"/>
      <c r="C605" s="17"/>
      <c r="D605" s="17"/>
      <c r="F605" s="16"/>
      <c r="G605" s="16"/>
    </row>
    <row r="606" spans="1:7" ht="13.2">
      <c r="A606" s="16"/>
      <c r="B606" s="16"/>
      <c r="C606" s="17"/>
      <c r="D606" s="17"/>
      <c r="F606" s="16"/>
      <c r="G606" s="16"/>
    </row>
    <row r="607" spans="1:7" ht="13.2">
      <c r="A607" s="16"/>
      <c r="B607" s="16"/>
      <c r="C607" s="17"/>
      <c r="D607" s="17"/>
      <c r="F607" s="16"/>
      <c r="G607" s="16"/>
    </row>
    <row r="608" spans="1:7" ht="13.2">
      <c r="A608" s="16"/>
      <c r="B608" s="16"/>
      <c r="C608" s="17"/>
      <c r="D608" s="17"/>
      <c r="F608" s="16"/>
      <c r="G608" s="16"/>
    </row>
    <row r="609" spans="1:7" ht="13.2">
      <c r="A609" s="16"/>
      <c r="B609" s="16"/>
      <c r="C609" s="17"/>
      <c r="D609" s="17"/>
      <c r="F609" s="16"/>
      <c r="G609" s="16"/>
    </row>
    <row r="610" spans="1:7" ht="13.2">
      <c r="A610" s="16"/>
      <c r="B610" s="16"/>
      <c r="C610" s="17"/>
      <c r="D610" s="17"/>
      <c r="F610" s="16"/>
      <c r="G610" s="16"/>
    </row>
    <row r="611" spans="1:7" ht="13.2">
      <c r="A611" s="16"/>
      <c r="B611" s="16"/>
      <c r="C611" s="17"/>
      <c r="D611" s="17"/>
      <c r="F611" s="16"/>
      <c r="G611" s="16"/>
    </row>
    <row r="612" spans="1:7" ht="13.2">
      <c r="A612" s="16"/>
      <c r="B612" s="16"/>
      <c r="C612" s="17"/>
      <c r="D612" s="17"/>
      <c r="F612" s="16"/>
      <c r="G612" s="16"/>
    </row>
    <row r="613" spans="1:7" ht="13.2">
      <c r="A613" s="16"/>
      <c r="B613" s="16"/>
      <c r="C613" s="17"/>
      <c r="D613" s="17"/>
      <c r="F613" s="16"/>
      <c r="G613" s="16"/>
    </row>
    <row r="614" spans="1:7" ht="13.2">
      <c r="A614" s="16"/>
      <c r="B614" s="16"/>
      <c r="C614" s="17"/>
      <c r="D614" s="17"/>
      <c r="F614" s="16"/>
      <c r="G614" s="16"/>
    </row>
    <row r="615" spans="1:7" ht="13.2">
      <c r="A615" s="16"/>
      <c r="B615" s="16"/>
      <c r="C615" s="17"/>
      <c r="D615" s="17"/>
      <c r="F615" s="16"/>
      <c r="G615" s="16"/>
    </row>
    <row r="616" spans="1:7" ht="13.2">
      <c r="A616" s="16"/>
      <c r="B616" s="16"/>
      <c r="C616" s="17"/>
      <c r="D616" s="17"/>
      <c r="F616" s="16"/>
      <c r="G616" s="16"/>
    </row>
    <row r="617" spans="1:7" ht="13.2">
      <c r="A617" s="16"/>
      <c r="B617" s="16"/>
      <c r="C617" s="17"/>
      <c r="D617" s="17"/>
      <c r="F617" s="16"/>
      <c r="G617" s="16"/>
    </row>
    <row r="618" spans="1:7" ht="13.2">
      <c r="A618" s="16"/>
      <c r="B618" s="16"/>
      <c r="C618" s="17"/>
      <c r="D618" s="17"/>
      <c r="F618" s="16"/>
      <c r="G618" s="16"/>
    </row>
    <row r="619" spans="1:7" ht="13.2">
      <c r="A619" s="16"/>
      <c r="B619" s="16"/>
      <c r="C619" s="17"/>
      <c r="D619" s="17"/>
      <c r="F619" s="16"/>
      <c r="G619" s="16"/>
    </row>
    <row r="620" spans="1:7" ht="13.2">
      <c r="A620" s="16"/>
      <c r="B620" s="16"/>
      <c r="C620" s="17"/>
      <c r="D620" s="17"/>
      <c r="F620" s="16"/>
      <c r="G620" s="16"/>
    </row>
    <row r="621" spans="1:7" ht="13.2">
      <c r="A621" s="16"/>
      <c r="B621" s="16"/>
      <c r="C621" s="17"/>
      <c r="D621" s="17"/>
      <c r="F621" s="16"/>
      <c r="G621" s="16"/>
    </row>
    <row r="622" spans="1:7" ht="13.2">
      <c r="A622" s="16"/>
      <c r="B622" s="16"/>
      <c r="C622" s="17"/>
      <c r="D622" s="17"/>
      <c r="F622" s="16"/>
      <c r="G622" s="16"/>
    </row>
    <row r="623" spans="1:7" ht="13.2">
      <c r="A623" s="16"/>
      <c r="B623" s="16"/>
      <c r="C623" s="17"/>
      <c r="D623" s="17"/>
      <c r="F623" s="16"/>
      <c r="G623" s="16"/>
    </row>
    <row r="624" spans="1:7" ht="13.2">
      <c r="A624" s="16"/>
      <c r="B624" s="16"/>
      <c r="C624" s="17"/>
      <c r="D624" s="17"/>
      <c r="F624" s="16"/>
      <c r="G624" s="16"/>
    </row>
    <row r="625" spans="1:7" ht="13.2">
      <c r="A625" s="16"/>
      <c r="B625" s="16"/>
      <c r="C625" s="17"/>
      <c r="D625" s="17"/>
      <c r="F625" s="16"/>
      <c r="G625" s="16"/>
    </row>
    <row r="626" spans="1:7" ht="13.2">
      <c r="A626" s="16"/>
      <c r="B626" s="16"/>
      <c r="C626" s="17"/>
      <c r="D626" s="17"/>
      <c r="F626" s="16"/>
      <c r="G626" s="16"/>
    </row>
    <row r="627" spans="1:7" ht="13.2">
      <c r="A627" s="16"/>
      <c r="B627" s="16"/>
      <c r="C627" s="17"/>
      <c r="D627" s="17"/>
      <c r="F627" s="16"/>
      <c r="G627" s="16"/>
    </row>
    <row r="628" spans="1:7" ht="13.2">
      <c r="A628" s="16"/>
      <c r="B628" s="16"/>
      <c r="C628" s="17"/>
      <c r="D628" s="17"/>
      <c r="F628" s="16"/>
      <c r="G628" s="16"/>
    </row>
    <row r="629" spans="1:7" ht="13.2">
      <c r="A629" s="16"/>
      <c r="B629" s="16"/>
      <c r="C629" s="17"/>
      <c r="D629" s="17"/>
      <c r="F629" s="16"/>
      <c r="G629" s="16"/>
    </row>
    <row r="630" spans="1:7" ht="13.2">
      <c r="A630" s="16"/>
      <c r="B630" s="16"/>
      <c r="C630" s="17"/>
      <c r="D630" s="17"/>
      <c r="F630" s="16"/>
      <c r="G630" s="16"/>
    </row>
    <row r="631" spans="1:7" ht="13.2">
      <c r="A631" s="16"/>
      <c r="B631" s="16"/>
      <c r="C631" s="17"/>
      <c r="D631" s="17"/>
      <c r="F631" s="16"/>
      <c r="G631" s="16"/>
    </row>
    <row r="632" spans="1:7" ht="13.2">
      <c r="A632" s="16"/>
      <c r="B632" s="16"/>
      <c r="C632" s="17"/>
      <c r="D632" s="17"/>
      <c r="F632" s="16"/>
      <c r="G632" s="16"/>
    </row>
    <row r="633" spans="1:7" ht="13.2">
      <c r="A633" s="16"/>
      <c r="B633" s="16"/>
      <c r="C633" s="17"/>
      <c r="D633" s="17"/>
      <c r="F633" s="16"/>
      <c r="G633" s="16"/>
    </row>
    <row r="634" spans="1:7" ht="13.2">
      <c r="A634" s="16"/>
      <c r="B634" s="16"/>
      <c r="C634" s="17"/>
      <c r="D634" s="17"/>
      <c r="F634" s="16"/>
      <c r="G634" s="16"/>
    </row>
    <row r="635" spans="1:7" ht="13.2">
      <c r="A635" s="16"/>
      <c r="B635" s="16"/>
      <c r="C635" s="17"/>
      <c r="D635" s="17"/>
      <c r="F635" s="16"/>
      <c r="G635" s="16"/>
    </row>
    <row r="636" spans="1:7" ht="13.2">
      <c r="A636" s="16"/>
      <c r="B636" s="16"/>
      <c r="C636" s="17"/>
      <c r="D636" s="17"/>
      <c r="F636" s="16"/>
      <c r="G636" s="16"/>
    </row>
    <row r="637" spans="1:7" ht="13.2">
      <c r="A637" s="16"/>
      <c r="B637" s="16"/>
      <c r="C637" s="17"/>
      <c r="D637" s="17"/>
      <c r="F637" s="16"/>
      <c r="G637" s="16"/>
    </row>
    <row r="638" spans="1:7" ht="13.2">
      <c r="A638" s="16"/>
      <c r="B638" s="16"/>
      <c r="C638" s="17"/>
      <c r="D638" s="17"/>
      <c r="F638" s="16"/>
      <c r="G638" s="16"/>
    </row>
    <row r="639" spans="1:7" ht="13.2">
      <c r="A639" s="16"/>
      <c r="B639" s="16"/>
      <c r="C639" s="17"/>
      <c r="D639" s="17"/>
      <c r="F639" s="16"/>
      <c r="G639" s="16"/>
    </row>
    <row r="640" spans="1:7" ht="13.2">
      <c r="A640" s="16"/>
      <c r="B640" s="16"/>
      <c r="C640" s="17"/>
      <c r="D640" s="17"/>
      <c r="F640" s="16"/>
      <c r="G640" s="16"/>
    </row>
    <row r="641" spans="1:7" ht="13.2">
      <c r="A641" s="16"/>
      <c r="B641" s="16"/>
      <c r="C641" s="17"/>
      <c r="D641" s="17"/>
      <c r="F641" s="16"/>
      <c r="G641" s="16"/>
    </row>
    <row r="642" spans="1:7" ht="13.2">
      <c r="A642" s="16"/>
      <c r="B642" s="16"/>
      <c r="C642" s="17"/>
      <c r="D642" s="17"/>
      <c r="F642" s="16"/>
      <c r="G642" s="16"/>
    </row>
    <row r="643" spans="1:7" ht="13.2">
      <c r="A643" s="16"/>
      <c r="B643" s="16"/>
      <c r="C643" s="17"/>
      <c r="D643" s="17"/>
      <c r="F643" s="16"/>
      <c r="G643" s="16"/>
    </row>
    <row r="644" spans="1:7" ht="13.2">
      <c r="A644" s="16"/>
      <c r="B644" s="16"/>
      <c r="C644" s="17"/>
      <c r="D644" s="17"/>
      <c r="F644" s="16"/>
      <c r="G644" s="16"/>
    </row>
    <row r="645" spans="1:7" ht="13.2">
      <c r="A645" s="16"/>
      <c r="B645" s="16"/>
      <c r="C645" s="17"/>
      <c r="D645" s="17"/>
      <c r="F645" s="16"/>
      <c r="G645" s="16"/>
    </row>
    <row r="646" spans="1:7" ht="13.2">
      <c r="A646" s="16"/>
      <c r="B646" s="16"/>
      <c r="C646" s="17"/>
      <c r="D646" s="17"/>
      <c r="F646" s="16"/>
      <c r="G646" s="16"/>
    </row>
    <row r="647" spans="1:7" ht="13.2">
      <c r="A647" s="16"/>
      <c r="B647" s="16"/>
      <c r="C647" s="17"/>
      <c r="D647" s="17"/>
      <c r="F647" s="16"/>
      <c r="G647" s="16"/>
    </row>
    <row r="648" spans="1:7" ht="13.2">
      <c r="A648" s="16"/>
      <c r="B648" s="16"/>
      <c r="C648" s="17"/>
      <c r="D648" s="17"/>
      <c r="F648" s="16"/>
      <c r="G648" s="16"/>
    </row>
    <row r="649" spans="1:7" ht="13.2">
      <c r="A649" s="16"/>
      <c r="B649" s="16"/>
      <c r="C649" s="17"/>
      <c r="D649" s="17"/>
      <c r="F649" s="16"/>
      <c r="G649" s="16"/>
    </row>
    <row r="650" spans="1:7" ht="13.2">
      <c r="A650" s="16"/>
      <c r="B650" s="16"/>
      <c r="C650" s="17"/>
      <c r="D650" s="17"/>
      <c r="F650" s="16"/>
      <c r="G650" s="16"/>
    </row>
    <row r="651" spans="1:7" ht="13.2">
      <c r="A651" s="16"/>
      <c r="B651" s="16"/>
      <c r="C651" s="17"/>
      <c r="D651" s="17"/>
      <c r="F651" s="16"/>
      <c r="G651" s="16"/>
    </row>
    <row r="652" spans="1:7" ht="13.2">
      <c r="A652" s="16"/>
      <c r="B652" s="16"/>
      <c r="C652" s="17"/>
      <c r="D652" s="17"/>
      <c r="F652" s="16"/>
      <c r="G652" s="16"/>
    </row>
    <row r="653" spans="1:7" ht="13.2">
      <c r="A653" s="16"/>
      <c r="B653" s="16"/>
      <c r="C653" s="17"/>
      <c r="D653" s="17"/>
      <c r="F653" s="16"/>
      <c r="G653" s="16"/>
    </row>
    <row r="654" spans="1:7" ht="13.2">
      <c r="A654" s="16"/>
      <c r="B654" s="16"/>
      <c r="C654" s="17"/>
      <c r="D654" s="17"/>
      <c r="F654" s="16"/>
      <c r="G654" s="16"/>
    </row>
    <row r="655" spans="1:7" ht="13.2">
      <c r="A655" s="16"/>
      <c r="B655" s="16"/>
      <c r="C655" s="17"/>
      <c r="D655" s="17"/>
      <c r="F655" s="16"/>
      <c r="G655" s="16"/>
    </row>
    <row r="656" spans="1:7" ht="13.2">
      <c r="A656" s="16"/>
      <c r="B656" s="16"/>
      <c r="C656" s="17"/>
      <c r="D656" s="17"/>
      <c r="F656" s="16"/>
      <c r="G656" s="16"/>
    </row>
    <row r="657" spans="1:7" ht="13.2">
      <c r="A657" s="16"/>
      <c r="B657" s="16"/>
      <c r="C657" s="17"/>
      <c r="D657" s="17"/>
      <c r="F657" s="16"/>
      <c r="G657" s="16"/>
    </row>
    <row r="658" spans="1:7" ht="13.2">
      <c r="A658" s="16"/>
      <c r="B658" s="16"/>
      <c r="C658" s="17"/>
      <c r="D658" s="17"/>
      <c r="F658" s="16"/>
      <c r="G658" s="16"/>
    </row>
    <row r="659" spans="1:7" ht="13.2">
      <c r="A659" s="16"/>
      <c r="B659" s="16"/>
      <c r="C659" s="17"/>
      <c r="D659" s="17"/>
      <c r="F659" s="16"/>
      <c r="G659" s="16"/>
    </row>
    <row r="660" spans="1:7" ht="13.2">
      <c r="A660" s="16"/>
      <c r="B660" s="16"/>
      <c r="C660" s="17"/>
      <c r="D660" s="17"/>
      <c r="F660" s="16"/>
      <c r="G660" s="16"/>
    </row>
    <row r="661" spans="1:7" ht="13.2">
      <c r="A661" s="16"/>
      <c r="B661" s="16"/>
      <c r="C661" s="17"/>
      <c r="D661" s="17"/>
      <c r="F661" s="16"/>
      <c r="G661" s="16"/>
    </row>
    <row r="662" spans="1:7" ht="13.2">
      <c r="A662" s="16"/>
      <c r="B662" s="16"/>
      <c r="C662" s="17"/>
      <c r="D662" s="17"/>
      <c r="F662" s="16"/>
      <c r="G662" s="16"/>
    </row>
    <row r="663" spans="1:7" ht="13.2">
      <c r="A663" s="16"/>
      <c r="B663" s="16"/>
      <c r="C663" s="17"/>
      <c r="D663" s="17"/>
      <c r="F663" s="16"/>
      <c r="G663" s="16"/>
    </row>
    <row r="664" spans="1:7" ht="13.2">
      <c r="A664" s="16"/>
      <c r="B664" s="16"/>
      <c r="C664" s="17"/>
      <c r="D664" s="17"/>
      <c r="F664" s="16"/>
      <c r="G664" s="16"/>
    </row>
    <row r="665" spans="1:7" ht="13.2">
      <c r="A665" s="16"/>
      <c r="B665" s="16"/>
      <c r="C665" s="17"/>
      <c r="D665" s="17"/>
      <c r="F665" s="16"/>
      <c r="G665" s="16"/>
    </row>
    <row r="666" spans="1:7" ht="13.2">
      <c r="A666" s="16"/>
      <c r="B666" s="16"/>
      <c r="C666" s="17"/>
      <c r="D666" s="17"/>
      <c r="F666" s="16"/>
      <c r="G666" s="16"/>
    </row>
    <row r="667" spans="1:7" ht="13.2">
      <c r="A667" s="16"/>
      <c r="B667" s="16"/>
      <c r="C667" s="17"/>
      <c r="D667" s="17"/>
      <c r="F667" s="16"/>
      <c r="G667" s="16"/>
    </row>
    <row r="668" spans="1:7" ht="13.2">
      <c r="A668" s="16"/>
      <c r="B668" s="16"/>
      <c r="C668" s="17"/>
      <c r="D668" s="17"/>
      <c r="F668" s="16"/>
      <c r="G668" s="16"/>
    </row>
    <row r="669" spans="1:7" ht="13.2">
      <c r="A669" s="16"/>
      <c r="B669" s="16"/>
      <c r="C669" s="17"/>
      <c r="D669" s="17"/>
      <c r="F669" s="16"/>
      <c r="G669" s="16"/>
    </row>
    <row r="670" spans="1:7" ht="13.2">
      <c r="A670" s="16"/>
      <c r="B670" s="16"/>
      <c r="C670" s="17"/>
      <c r="D670" s="17"/>
      <c r="F670" s="16"/>
      <c r="G670" s="16"/>
    </row>
    <row r="671" spans="1:7" ht="13.2">
      <c r="A671" s="16"/>
      <c r="B671" s="16"/>
      <c r="C671" s="17"/>
      <c r="D671" s="17"/>
      <c r="F671" s="16"/>
      <c r="G671" s="16"/>
    </row>
    <row r="672" spans="1:7" ht="13.2">
      <c r="A672" s="16"/>
      <c r="B672" s="16"/>
      <c r="C672" s="17"/>
      <c r="D672" s="17"/>
      <c r="F672" s="16"/>
      <c r="G672" s="16"/>
    </row>
    <row r="673" spans="1:7" ht="13.2">
      <c r="A673" s="16"/>
      <c r="B673" s="16"/>
      <c r="C673" s="17"/>
      <c r="D673" s="17"/>
      <c r="F673" s="16"/>
      <c r="G673" s="16"/>
    </row>
    <row r="674" spans="1:7" ht="13.2">
      <c r="A674" s="16"/>
      <c r="B674" s="16"/>
      <c r="C674" s="17"/>
      <c r="D674" s="17"/>
      <c r="F674" s="16"/>
      <c r="G674" s="16"/>
    </row>
    <row r="675" spans="1:7" ht="13.2">
      <c r="A675" s="16"/>
      <c r="B675" s="16"/>
      <c r="C675" s="17"/>
      <c r="D675" s="17"/>
      <c r="F675" s="16"/>
      <c r="G675" s="16"/>
    </row>
    <row r="676" spans="1:7" ht="13.2">
      <c r="A676" s="16"/>
      <c r="B676" s="16"/>
      <c r="C676" s="17"/>
      <c r="D676" s="17"/>
      <c r="F676" s="16"/>
      <c r="G676" s="16"/>
    </row>
    <row r="677" spans="1:7" ht="13.2">
      <c r="A677" s="16"/>
      <c r="B677" s="16"/>
      <c r="C677" s="17"/>
      <c r="D677" s="17"/>
      <c r="F677" s="16"/>
      <c r="G677" s="16"/>
    </row>
    <row r="678" spans="1:7" ht="13.2">
      <c r="A678" s="16"/>
      <c r="B678" s="16"/>
      <c r="C678" s="17"/>
      <c r="D678" s="17"/>
      <c r="F678" s="16"/>
      <c r="G678" s="16"/>
    </row>
    <row r="679" spans="1:7" ht="13.2">
      <c r="A679" s="16"/>
      <c r="B679" s="16"/>
      <c r="C679" s="17"/>
      <c r="D679" s="17"/>
      <c r="F679" s="16"/>
      <c r="G679" s="16"/>
    </row>
    <row r="680" spans="1:7" ht="13.2">
      <c r="A680" s="16"/>
      <c r="B680" s="16"/>
      <c r="C680" s="17"/>
      <c r="D680" s="17"/>
      <c r="F680" s="16"/>
      <c r="G680" s="16"/>
    </row>
    <row r="681" spans="1:7" ht="13.2">
      <c r="A681" s="16"/>
      <c r="B681" s="16"/>
      <c r="C681" s="17"/>
      <c r="D681" s="17"/>
      <c r="F681" s="16"/>
      <c r="G681" s="16"/>
    </row>
    <row r="682" spans="1:7" ht="13.2">
      <c r="A682" s="16"/>
      <c r="B682" s="16"/>
      <c r="C682" s="17"/>
      <c r="D682" s="17"/>
      <c r="F682" s="16"/>
      <c r="G682" s="16"/>
    </row>
    <row r="683" spans="1:7" ht="13.2">
      <c r="A683" s="16"/>
      <c r="B683" s="16"/>
      <c r="C683" s="17"/>
      <c r="D683" s="17"/>
      <c r="F683" s="16"/>
      <c r="G683" s="16"/>
    </row>
    <row r="684" spans="1:7" ht="13.2">
      <c r="A684" s="16"/>
      <c r="B684" s="16"/>
      <c r="C684" s="17"/>
      <c r="D684" s="17"/>
      <c r="F684" s="16"/>
      <c r="G684" s="16"/>
    </row>
    <row r="685" spans="1:7" ht="13.2">
      <c r="A685" s="16"/>
      <c r="B685" s="16"/>
      <c r="C685" s="17"/>
      <c r="D685" s="17"/>
      <c r="F685" s="16"/>
      <c r="G685" s="16"/>
    </row>
    <row r="686" spans="1:7" ht="13.2">
      <c r="A686" s="16"/>
      <c r="B686" s="16"/>
      <c r="C686" s="17"/>
      <c r="D686" s="17"/>
      <c r="F686" s="16"/>
      <c r="G686" s="16"/>
    </row>
    <row r="687" spans="1:7" ht="13.2">
      <c r="A687" s="16"/>
      <c r="B687" s="16"/>
      <c r="C687" s="17"/>
      <c r="D687" s="17"/>
      <c r="F687" s="16"/>
      <c r="G687" s="16"/>
    </row>
    <row r="688" spans="1:7" ht="13.2">
      <c r="A688" s="16"/>
      <c r="B688" s="16"/>
      <c r="C688" s="17"/>
      <c r="D688" s="17"/>
      <c r="F688" s="16"/>
      <c r="G688" s="16"/>
    </row>
    <row r="689" spans="1:7" ht="13.2">
      <c r="A689" s="16"/>
      <c r="B689" s="16"/>
      <c r="C689" s="17"/>
      <c r="D689" s="17"/>
      <c r="F689" s="16"/>
      <c r="G689" s="16"/>
    </row>
    <row r="690" spans="1:7" ht="13.2">
      <c r="A690" s="16"/>
      <c r="B690" s="16"/>
      <c r="C690" s="17"/>
      <c r="D690" s="17"/>
      <c r="F690" s="16"/>
      <c r="G690" s="16"/>
    </row>
    <row r="691" spans="1:7" ht="13.2">
      <c r="A691" s="16"/>
      <c r="B691" s="16"/>
      <c r="C691" s="17"/>
      <c r="D691" s="17"/>
      <c r="F691" s="16"/>
      <c r="G691" s="16"/>
    </row>
    <row r="692" spans="1:7" ht="13.2">
      <c r="A692" s="16"/>
      <c r="B692" s="16"/>
      <c r="C692" s="17"/>
      <c r="D692" s="17"/>
      <c r="F692" s="16"/>
      <c r="G692" s="16"/>
    </row>
    <row r="693" spans="1:7" ht="13.2">
      <c r="A693" s="16"/>
      <c r="B693" s="16"/>
      <c r="C693" s="17"/>
      <c r="D693" s="17"/>
      <c r="F693" s="16"/>
      <c r="G693" s="16"/>
    </row>
    <row r="694" spans="1:7" ht="13.2">
      <c r="A694" s="16"/>
      <c r="B694" s="16"/>
      <c r="C694" s="17"/>
      <c r="D694" s="17"/>
      <c r="F694" s="16"/>
      <c r="G694" s="16"/>
    </row>
    <row r="695" spans="1:7" ht="13.2">
      <c r="A695" s="16"/>
      <c r="B695" s="16"/>
      <c r="C695" s="17"/>
      <c r="D695" s="17"/>
      <c r="F695" s="16"/>
      <c r="G695" s="16"/>
    </row>
    <row r="696" spans="1:7" ht="13.2">
      <c r="A696" s="16"/>
      <c r="B696" s="16"/>
      <c r="C696" s="17"/>
      <c r="D696" s="17"/>
      <c r="F696" s="16"/>
      <c r="G696" s="16"/>
    </row>
    <row r="697" spans="1:7" ht="13.2">
      <c r="A697" s="16"/>
      <c r="B697" s="16"/>
      <c r="C697" s="17"/>
      <c r="D697" s="17"/>
      <c r="F697" s="16"/>
      <c r="G697" s="16"/>
    </row>
    <row r="698" spans="1:7" ht="13.2">
      <c r="A698" s="16"/>
      <c r="B698" s="16"/>
      <c r="C698" s="17"/>
      <c r="D698" s="17"/>
      <c r="F698" s="16"/>
      <c r="G698" s="16"/>
    </row>
    <row r="699" spans="1:7" ht="13.2">
      <c r="A699" s="16"/>
      <c r="B699" s="16"/>
      <c r="C699" s="17"/>
      <c r="D699" s="17"/>
      <c r="F699" s="16"/>
      <c r="G699" s="16"/>
    </row>
    <row r="700" spans="1:7" ht="13.2">
      <c r="A700" s="16"/>
      <c r="B700" s="16"/>
      <c r="C700" s="17"/>
      <c r="D700" s="17"/>
      <c r="F700" s="16"/>
      <c r="G700" s="16"/>
    </row>
    <row r="701" spans="1:7" ht="13.2">
      <c r="A701" s="16"/>
      <c r="B701" s="16"/>
      <c r="C701" s="17"/>
      <c r="D701" s="17"/>
      <c r="F701" s="16"/>
      <c r="G701" s="16"/>
    </row>
    <row r="702" spans="1:7" ht="13.2">
      <c r="A702" s="16"/>
      <c r="B702" s="16"/>
      <c r="C702" s="17"/>
      <c r="D702" s="17"/>
      <c r="F702" s="16"/>
      <c r="G702" s="16"/>
    </row>
    <row r="703" spans="1:7" ht="13.2">
      <c r="A703" s="16"/>
      <c r="B703" s="16"/>
      <c r="C703" s="17"/>
      <c r="D703" s="17"/>
      <c r="F703" s="16"/>
      <c r="G703" s="16"/>
    </row>
    <row r="704" spans="1:7" ht="13.2">
      <c r="A704" s="16"/>
      <c r="B704" s="16"/>
      <c r="C704" s="17"/>
      <c r="D704" s="17"/>
      <c r="F704" s="16"/>
      <c r="G704" s="16"/>
    </row>
    <row r="705" spans="1:7" ht="13.2">
      <c r="A705" s="16"/>
      <c r="B705" s="16"/>
      <c r="C705" s="17"/>
      <c r="D705" s="17"/>
      <c r="F705" s="16"/>
      <c r="G705" s="16"/>
    </row>
    <row r="706" spans="1:7" ht="13.2">
      <c r="A706" s="16"/>
      <c r="B706" s="16"/>
      <c r="C706" s="17"/>
      <c r="D706" s="17"/>
      <c r="F706" s="16"/>
      <c r="G706" s="16"/>
    </row>
    <row r="707" spans="1:7" ht="13.2">
      <c r="A707" s="16"/>
      <c r="B707" s="16"/>
      <c r="C707" s="17"/>
      <c r="D707" s="17"/>
      <c r="F707" s="16"/>
      <c r="G707" s="16"/>
    </row>
    <row r="708" spans="1:7" ht="13.2">
      <c r="A708" s="16"/>
      <c r="B708" s="16"/>
      <c r="C708" s="17"/>
      <c r="D708" s="17"/>
      <c r="F708" s="16"/>
      <c r="G708" s="16"/>
    </row>
    <row r="709" spans="1:7" ht="13.2">
      <c r="A709" s="16"/>
      <c r="B709" s="16"/>
      <c r="C709" s="17"/>
      <c r="D709" s="17"/>
      <c r="F709" s="16"/>
      <c r="G709" s="16"/>
    </row>
    <row r="710" spans="1:7" ht="13.2">
      <c r="A710" s="16"/>
      <c r="B710" s="16"/>
      <c r="C710" s="17"/>
      <c r="D710" s="17"/>
      <c r="F710" s="16"/>
      <c r="G710" s="16"/>
    </row>
    <row r="711" spans="1:7" ht="13.2">
      <c r="A711" s="16"/>
      <c r="B711" s="16"/>
      <c r="C711" s="17"/>
      <c r="D711" s="17"/>
      <c r="F711" s="16"/>
      <c r="G711" s="16"/>
    </row>
    <row r="712" spans="1:7" ht="13.2">
      <c r="A712" s="16"/>
      <c r="B712" s="16"/>
      <c r="C712" s="17"/>
      <c r="D712" s="17"/>
      <c r="F712" s="16"/>
      <c r="G712" s="16"/>
    </row>
    <row r="713" spans="1:7" ht="13.2">
      <c r="A713" s="16"/>
      <c r="B713" s="16"/>
      <c r="C713" s="17"/>
      <c r="D713" s="17"/>
      <c r="F713" s="16"/>
      <c r="G713" s="16"/>
    </row>
    <row r="714" spans="1:7" ht="13.2">
      <c r="A714" s="16"/>
      <c r="B714" s="16"/>
      <c r="C714" s="17"/>
      <c r="D714" s="17"/>
      <c r="F714" s="16"/>
      <c r="G714" s="16"/>
    </row>
    <row r="715" spans="1:7" ht="13.2">
      <c r="A715" s="16"/>
      <c r="B715" s="16"/>
      <c r="C715" s="17"/>
      <c r="D715" s="17"/>
      <c r="F715" s="16"/>
      <c r="G715" s="16"/>
    </row>
    <row r="716" spans="1:7" ht="13.2">
      <c r="A716" s="16"/>
      <c r="B716" s="16"/>
      <c r="C716" s="17"/>
      <c r="D716" s="17"/>
      <c r="F716" s="16"/>
      <c r="G716" s="16"/>
    </row>
    <row r="717" spans="1:7" ht="13.2">
      <c r="A717" s="16"/>
      <c r="B717" s="16"/>
      <c r="C717" s="17"/>
      <c r="D717" s="17"/>
      <c r="F717" s="16"/>
      <c r="G717" s="16"/>
    </row>
    <row r="718" spans="1:7" ht="13.2">
      <c r="A718" s="16"/>
      <c r="B718" s="16"/>
      <c r="C718" s="17"/>
      <c r="D718" s="17"/>
      <c r="F718" s="16"/>
      <c r="G718" s="16"/>
    </row>
    <row r="719" spans="1:7" ht="13.2">
      <c r="A719" s="16"/>
      <c r="B719" s="16"/>
      <c r="C719" s="17"/>
      <c r="D719" s="17"/>
      <c r="F719" s="16"/>
      <c r="G719" s="16"/>
    </row>
    <row r="720" spans="1:7" ht="13.2">
      <c r="A720" s="16"/>
      <c r="B720" s="16"/>
      <c r="C720" s="17"/>
      <c r="D720" s="17"/>
      <c r="F720" s="16"/>
      <c r="G720" s="16"/>
    </row>
    <row r="721" spans="1:7" ht="13.2">
      <c r="A721" s="16"/>
      <c r="B721" s="16"/>
      <c r="C721" s="17"/>
      <c r="D721" s="17"/>
      <c r="F721" s="16"/>
      <c r="G721" s="16"/>
    </row>
    <row r="722" spans="1:7" ht="13.2">
      <c r="A722" s="16"/>
      <c r="B722" s="16"/>
      <c r="C722" s="17"/>
      <c r="D722" s="17"/>
      <c r="F722" s="16"/>
      <c r="G722" s="16"/>
    </row>
    <row r="723" spans="1:7" ht="13.2">
      <c r="A723" s="16"/>
      <c r="B723" s="16"/>
      <c r="C723" s="17"/>
      <c r="D723" s="17"/>
      <c r="F723" s="16"/>
      <c r="G723" s="16"/>
    </row>
    <row r="724" spans="1:7" ht="13.2">
      <c r="A724" s="16"/>
      <c r="B724" s="16"/>
      <c r="C724" s="17"/>
      <c r="D724" s="17"/>
      <c r="F724" s="16"/>
      <c r="G724" s="16"/>
    </row>
    <row r="725" spans="1:7" ht="13.2">
      <c r="A725" s="16"/>
      <c r="B725" s="16"/>
      <c r="C725" s="17"/>
      <c r="D725" s="17"/>
      <c r="F725" s="16"/>
      <c r="G725" s="16"/>
    </row>
    <row r="726" spans="1:7" ht="13.2">
      <c r="A726" s="16"/>
      <c r="B726" s="16"/>
      <c r="C726" s="17"/>
      <c r="D726" s="17"/>
      <c r="F726" s="16"/>
      <c r="G726" s="16"/>
    </row>
    <row r="727" spans="1:7" ht="13.2">
      <c r="A727" s="16"/>
      <c r="B727" s="16"/>
      <c r="C727" s="17"/>
      <c r="D727" s="17"/>
      <c r="F727" s="16"/>
      <c r="G727" s="16"/>
    </row>
    <row r="728" spans="1:7" ht="13.2">
      <c r="A728" s="16"/>
      <c r="B728" s="16"/>
      <c r="C728" s="17"/>
      <c r="D728" s="17"/>
      <c r="F728" s="16"/>
      <c r="G728" s="16"/>
    </row>
    <row r="729" spans="1:7" ht="13.2">
      <c r="A729" s="16"/>
      <c r="B729" s="16"/>
      <c r="C729" s="17"/>
      <c r="D729" s="17"/>
      <c r="F729" s="16"/>
      <c r="G729" s="16"/>
    </row>
    <row r="730" spans="1:7" ht="13.2">
      <c r="A730" s="16"/>
      <c r="B730" s="16"/>
      <c r="C730" s="17"/>
      <c r="D730" s="17"/>
      <c r="F730" s="16"/>
      <c r="G730" s="16"/>
    </row>
    <row r="731" spans="1:7" ht="13.2">
      <c r="A731" s="16"/>
      <c r="B731" s="16"/>
      <c r="C731" s="17"/>
      <c r="D731" s="17"/>
      <c r="F731" s="16"/>
      <c r="G731" s="16"/>
    </row>
    <row r="732" spans="1:7" ht="13.2">
      <c r="A732" s="16"/>
      <c r="B732" s="16"/>
      <c r="C732" s="17"/>
      <c r="D732" s="17"/>
      <c r="F732" s="16"/>
      <c r="G732" s="16"/>
    </row>
    <row r="733" spans="1:7" ht="13.2">
      <c r="A733" s="16"/>
      <c r="B733" s="16"/>
      <c r="C733" s="17"/>
      <c r="D733" s="17"/>
      <c r="F733" s="16"/>
      <c r="G733" s="16"/>
    </row>
    <row r="734" spans="1:7" ht="13.2">
      <c r="A734" s="16"/>
      <c r="B734" s="16"/>
      <c r="C734" s="17"/>
      <c r="D734" s="17"/>
      <c r="F734" s="16"/>
      <c r="G734" s="16"/>
    </row>
    <row r="735" spans="1:7" ht="13.2">
      <c r="A735" s="16"/>
      <c r="B735" s="16"/>
      <c r="C735" s="17"/>
      <c r="D735" s="17"/>
      <c r="F735" s="16"/>
      <c r="G735" s="16"/>
    </row>
    <row r="736" spans="1:7" ht="13.2">
      <c r="A736" s="16"/>
      <c r="B736" s="16"/>
      <c r="C736" s="17"/>
      <c r="D736" s="17"/>
      <c r="F736" s="16"/>
      <c r="G736" s="16"/>
    </row>
    <row r="737" spans="1:7" ht="13.2">
      <c r="A737" s="16"/>
      <c r="B737" s="16"/>
      <c r="C737" s="17"/>
      <c r="D737" s="17"/>
      <c r="F737" s="16"/>
      <c r="G737" s="16"/>
    </row>
    <row r="738" spans="1:7" ht="13.2">
      <c r="A738" s="16"/>
      <c r="B738" s="16"/>
      <c r="C738" s="17"/>
      <c r="D738" s="17"/>
      <c r="F738" s="16"/>
      <c r="G738" s="16"/>
    </row>
    <row r="739" spans="1:7" ht="13.2">
      <c r="A739" s="16"/>
      <c r="B739" s="16"/>
      <c r="C739" s="17"/>
      <c r="D739" s="17"/>
      <c r="F739" s="16"/>
      <c r="G739" s="16"/>
    </row>
    <row r="740" spans="1:7" ht="13.2">
      <c r="A740" s="16"/>
      <c r="B740" s="16"/>
      <c r="C740" s="17"/>
      <c r="D740" s="17"/>
      <c r="F740" s="16"/>
      <c r="G740" s="16"/>
    </row>
    <row r="741" spans="1:7" ht="13.2">
      <c r="A741" s="16"/>
      <c r="B741" s="16"/>
      <c r="C741" s="17"/>
      <c r="D741" s="17"/>
      <c r="F741" s="16"/>
      <c r="G741" s="16"/>
    </row>
    <row r="742" spans="1:7" ht="13.2">
      <c r="A742" s="16"/>
      <c r="B742" s="16"/>
      <c r="C742" s="17"/>
      <c r="D742" s="17"/>
      <c r="F742" s="16"/>
      <c r="G742" s="16"/>
    </row>
    <row r="743" spans="1:7" ht="13.2">
      <c r="A743" s="16"/>
      <c r="B743" s="16"/>
      <c r="C743" s="17"/>
      <c r="D743" s="17"/>
      <c r="F743" s="16"/>
      <c r="G743" s="16"/>
    </row>
    <row r="744" spans="1:7" ht="13.2">
      <c r="A744" s="16"/>
      <c r="B744" s="16"/>
      <c r="C744" s="17"/>
      <c r="D744" s="17"/>
      <c r="F744" s="16"/>
      <c r="G744" s="16"/>
    </row>
    <row r="745" spans="1:7" ht="13.2">
      <c r="A745" s="16"/>
      <c r="B745" s="16"/>
      <c r="C745" s="17"/>
      <c r="D745" s="17"/>
      <c r="F745" s="16"/>
      <c r="G745" s="16"/>
    </row>
    <row r="746" spans="1:7" ht="13.2">
      <c r="A746" s="16"/>
      <c r="B746" s="16"/>
      <c r="C746" s="17"/>
      <c r="D746" s="17"/>
      <c r="F746" s="16"/>
      <c r="G746" s="16"/>
    </row>
    <row r="747" spans="1:7" ht="13.2">
      <c r="A747" s="16"/>
      <c r="B747" s="16"/>
      <c r="C747" s="17"/>
      <c r="D747" s="17"/>
      <c r="F747" s="16"/>
      <c r="G747" s="16"/>
    </row>
    <row r="748" spans="1:7" ht="13.2">
      <c r="A748" s="16"/>
      <c r="B748" s="16"/>
      <c r="C748" s="17"/>
      <c r="D748" s="17"/>
      <c r="F748" s="16"/>
      <c r="G748" s="16"/>
    </row>
    <row r="749" spans="1:7" ht="13.2">
      <c r="A749" s="16"/>
      <c r="B749" s="16"/>
      <c r="C749" s="17"/>
      <c r="D749" s="17"/>
      <c r="F749" s="16"/>
      <c r="G749" s="16"/>
    </row>
    <row r="750" spans="1:7" ht="13.2">
      <c r="A750" s="16"/>
      <c r="B750" s="16"/>
      <c r="C750" s="17"/>
      <c r="D750" s="17"/>
      <c r="F750" s="16"/>
      <c r="G750" s="16"/>
    </row>
    <row r="751" spans="1:7" ht="13.2">
      <c r="A751" s="16"/>
      <c r="B751" s="16"/>
      <c r="C751" s="17"/>
      <c r="D751" s="17"/>
      <c r="F751" s="16"/>
      <c r="G751" s="16"/>
    </row>
    <row r="752" spans="1:7" ht="13.2">
      <c r="A752" s="16"/>
      <c r="B752" s="16"/>
      <c r="C752" s="17"/>
      <c r="D752" s="17"/>
      <c r="F752" s="16"/>
      <c r="G752" s="16"/>
    </row>
    <row r="753" spans="1:7" ht="13.2">
      <c r="A753" s="16"/>
      <c r="B753" s="16"/>
      <c r="C753" s="17"/>
      <c r="D753" s="17"/>
      <c r="F753" s="16"/>
      <c r="G753" s="16"/>
    </row>
    <row r="754" spans="1:7" ht="13.2">
      <c r="A754" s="16"/>
      <c r="B754" s="16"/>
      <c r="C754" s="17"/>
      <c r="D754" s="17"/>
      <c r="F754" s="16"/>
      <c r="G754" s="16"/>
    </row>
    <row r="755" spans="1:7" ht="13.2">
      <c r="A755" s="16"/>
      <c r="B755" s="16"/>
      <c r="C755" s="17"/>
      <c r="D755" s="17"/>
      <c r="F755" s="16"/>
      <c r="G755" s="16"/>
    </row>
    <row r="756" spans="1:7" ht="13.2">
      <c r="A756" s="16"/>
      <c r="B756" s="16"/>
      <c r="C756" s="17"/>
      <c r="D756" s="17"/>
      <c r="F756" s="16"/>
      <c r="G756" s="16"/>
    </row>
    <row r="757" spans="1:7" ht="13.2">
      <c r="A757" s="16"/>
      <c r="B757" s="16"/>
      <c r="C757" s="17"/>
      <c r="D757" s="17"/>
      <c r="F757" s="16"/>
      <c r="G757" s="16"/>
    </row>
    <row r="758" spans="1:7" ht="13.2">
      <c r="A758" s="16"/>
      <c r="B758" s="16"/>
      <c r="C758" s="17"/>
      <c r="D758" s="17"/>
      <c r="F758" s="16"/>
      <c r="G758" s="16"/>
    </row>
    <row r="759" spans="1:7" ht="13.2">
      <c r="A759" s="16"/>
      <c r="B759" s="16"/>
      <c r="C759" s="17"/>
      <c r="D759" s="17"/>
      <c r="F759" s="16"/>
      <c r="G759" s="16"/>
    </row>
    <row r="760" spans="1:7" ht="13.2">
      <c r="A760" s="16"/>
      <c r="B760" s="16"/>
      <c r="C760" s="17"/>
      <c r="D760" s="17"/>
      <c r="F760" s="16"/>
      <c r="G760" s="16"/>
    </row>
    <row r="761" spans="1:7" ht="13.2">
      <c r="A761" s="16"/>
      <c r="B761" s="16"/>
      <c r="C761" s="17"/>
      <c r="D761" s="17"/>
      <c r="F761" s="16"/>
      <c r="G761" s="16"/>
    </row>
    <row r="762" spans="1:7" ht="13.2">
      <c r="A762" s="16"/>
      <c r="B762" s="16"/>
      <c r="C762" s="17"/>
      <c r="D762" s="17"/>
      <c r="F762" s="16"/>
      <c r="G762" s="16"/>
    </row>
    <row r="763" spans="1:7" ht="13.2">
      <c r="A763" s="16"/>
      <c r="B763" s="16"/>
      <c r="C763" s="17"/>
      <c r="D763" s="17"/>
      <c r="F763" s="16"/>
      <c r="G763" s="16"/>
    </row>
    <row r="764" spans="1:7" ht="13.2">
      <c r="A764" s="16"/>
      <c r="B764" s="16"/>
      <c r="C764" s="17"/>
      <c r="D764" s="17"/>
      <c r="F764" s="16"/>
      <c r="G764" s="16"/>
    </row>
    <row r="765" spans="1:7" ht="13.2">
      <c r="A765" s="16"/>
      <c r="B765" s="16"/>
      <c r="C765" s="17"/>
      <c r="D765" s="17"/>
      <c r="F765" s="16"/>
      <c r="G765" s="16"/>
    </row>
    <row r="766" spans="1:7" ht="13.2">
      <c r="A766" s="16"/>
      <c r="B766" s="16"/>
      <c r="C766" s="17"/>
      <c r="D766" s="17"/>
      <c r="F766" s="16"/>
      <c r="G766" s="16"/>
    </row>
    <row r="767" spans="1:7" ht="13.2">
      <c r="A767" s="16"/>
      <c r="B767" s="16"/>
      <c r="C767" s="17"/>
      <c r="D767" s="17"/>
      <c r="F767" s="16"/>
      <c r="G767" s="16"/>
    </row>
    <row r="768" spans="1:7" ht="13.2">
      <c r="A768" s="16"/>
      <c r="B768" s="16"/>
      <c r="C768" s="17"/>
      <c r="D768" s="17"/>
      <c r="F768" s="16"/>
      <c r="G768" s="16"/>
    </row>
    <row r="769" spans="1:7" ht="13.2">
      <c r="A769" s="16"/>
      <c r="B769" s="16"/>
      <c r="C769" s="17"/>
      <c r="D769" s="17"/>
      <c r="F769" s="16"/>
      <c r="G769" s="16"/>
    </row>
    <row r="770" spans="1:7" ht="13.2">
      <c r="A770" s="16"/>
      <c r="B770" s="16"/>
      <c r="C770" s="17"/>
      <c r="D770" s="17"/>
      <c r="F770" s="16"/>
      <c r="G770" s="16"/>
    </row>
    <row r="771" spans="1:7" ht="13.2">
      <c r="A771" s="16"/>
      <c r="B771" s="16"/>
      <c r="C771" s="17"/>
      <c r="D771" s="17"/>
      <c r="F771" s="16"/>
      <c r="G771" s="16"/>
    </row>
    <row r="772" spans="1:7" ht="13.2">
      <c r="A772" s="16"/>
      <c r="B772" s="16"/>
      <c r="C772" s="17"/>
      <c r="D772" s="17"/>
      <c r="F772" s="16"/>
      <c r="G772" s="16"/>
    </row>
    <row r="773" spans="1:7" ht="13.2">
      <c r="A773" s="16"/>
      <c r="B773" s="16"/>
      <c r="C773" s="17"/>
      <c r="D773" s="17"/>
      <c r="F773" s="16"/>
      <c r="G773" s="16"/>
    </row>
    <row r="774" spans="1:7" ht="13.2">
      <c r="A774" s="16"/>
      <c r="B774" s="16"/>
      <c r="C774" s="17"/>
      <c r="D774" s="17"/>
      <c r="F774" s="16"/>
      <c r="G774" s="16"/>
    </row>
    <row r="775" spans="1:7" ht="13.2">
      <c r="A775" s="16"/>
      <c r="B775" s="16"/>
      <c r="C775" s="17"/>
      <c r="D775" s="17"/>
      <c r="F775" s="16"/>
      <c r="G775" s="16"/>
    </row>
    <row r="776" spans="1:7" ht="13.2">
      <c r="A776" s="16"/>
      <c r="B776" s="16"/>
      <c r="C776" s="17"/>
      <c r="D776" s="17"/>
      <c r="F776" s="16"/>
      <c r="G776" s="16"/>
    </row>
    <row r="777" spans="1:7" ht="13.2">
      <c r="A777" s="16"/>
      <c r="B777" s="16"/>
      <c r="C777" s="17"/>
      <c r="D777" s="17"/>
      <c r="F777" s="16"/>
      <c r="G777" s="16"/>
    </row>
    <row r="778" spans="1:7" ht="13.2">
      <c r="A778" s="16"/>
      <c r="B778" s="16"/>
      <c r="C778" s="17"/>
      <c r="D778" s="17"/>
      <c r="F778" s="16"/>
      <c r="G778" s="16"/>
    </row>
    <row r="779" spans="1:7" ht="13.2">
      <c r="A779" s="16"/>
      <c r="B779" s="16"/>
      <c r="C779" s="17"/>
      <c r="D779" s="17"/>
      <c r="F779" s="16"/>
      <c r="G779" s="16"/>
    </row>
    <row r="780" spans="1:7" ht="13.2">
      <c r="A780" s="16"/>
      <c r="B780" s="16"/>
      <c r="C780" s="17"/>
      <c r="D780" s="17"/>
      <c r="F780" s="16"/>
      <c r="G780" s="16"/>
    </row>
    <row r="781" spans="1:7" ht="13.2">
      <c r="A781" s="16"/>
      <c r="B781" s="16"/>
      <c r="C781" s="17"/>
      <c r="D781" s="17"/>
      <c r="F781" s="16"/>
      <c r="G781" s="16"/>
    </row>
    <row r="782" spans="1:7" ht="13.2">
      <c r="A782" s="16"/>
      <c r="B782" s="16"/>
      <c r="C782" s="17"/>
      <c r="D782" s="17"/>
      <c r="F782" s="16"/>
      <c r="G782" s="16"/>
    </row>
    <row r="783" spans="1:7" ht="13.2">
      <c r="A783" s="16"/>
      <c r="B783" s="16"/>
      <c r="C783" s="17"/>
      <c r="D783" s="17"/>
      <c r="F783" s="16"/>
      <c r="G783" s="16"/>
    </row>
    <row r="784" spans="1:7" ht="13.2">
      <c r="A784" s="16"/>
      <c r="B784" s="16"/>
      <c r="C784" s="17"/>
      <c r="D784" s="17"/>
      <c r="F784" s="16"/>
      <c r="G784" s="16"/>
    </row>
    <row r="785" spans="1:7" ht="13.2">
      <c r="A785" s="16"/>
      <c r="B785" s="16"/>
      <c r="C785" s="17"/>
      <c r="D785" s="17"/>
      <c r="F785" s="16"/>
      <c r="G785" s="16"/>
    </row>
    <row r="786" spans="1:7" ht="13.2">
      <c r="A786" s="16"/>
      <c r="B786" s="16"/>
      <c r="C786" s="17"/>
      <c r="D786" s="17"/>
      <c r="F786" s="16"/>
      <c r="G786" s="16"/>
    </row>
    <row r="787" spans="1:7" ht="13.2">
      <c r="A787" s="16"/>
      <c r="B787" s="16"/>
      <c r="C787" s="17"/>
      <c r="D787" s="17"/>
      <c r="F787" s="16"/>
      <c r="G787" s="16"/>
    </row>
    <row r="788" spans="1:7" ht="13.2">
      <c r="A788" s="16"/>
      <c r="B788" s="16"/>
      <c r="C788" s="17"/>
      <c r="D788" s="17"/>
      <c r="F788" s="16"/>
      <c r="G788" s="16"/>
    </row>
    <row r="789" spans="1:7" ht="13.2">
      <c r="A789" s="16"/>
      <c r="B789" s="16"/>
      <c r="C789" s="17"/>
      <c r="D789" s="17"/>
      <c r="F789" s="16"/>
      <c r="G789" s="16"/>
    </row>
    <row r="790" spans="1:7" ht="13.2">
      <c r="A790" s="16"/>
      <c r="B790" s="16"/>
      <c r="C790" s="17"/>
      <c r="D790" s="17"/>
      <c r="F790" s="16"/>
      <c r="G790" s="16"/>
    </row>
    <row r="791" spans="1:7" ht="13.2">
      <c r="A791" s="16"/>
      <c r="B791" s="16"/>
      <c r="C791" s="17"/>
      <c r="D791" s="17"/>
      <c r="F791" s="16"/>
      <c r="G791" s="16"/>
    </row>
    <row r="792" spans="1:7" ht="13.2">
      <c r="A792" s="16"/>
      <c r="B792" s="16"/>
      <c r="C792" s="17"/>
      <c r="D792" s="17"/>
      <c r="F792" s="16"/>
      <c r="G792" s="16"/>
    </row>
    <row r="793" spans="1:7" ht="13.2">
      <c r="A793" s="16"/>
      <c r="B793" s="16"/>
      <c r="C793" s="17"/>
      <c r="D793" s="17"/>
      <c r="F793" s="16"/>
      <c r="G793" s="16"/>
    </row>
    <row r="794" spans="1:7" ht="13.2">
      <c r="A794" s="16"/>
      <c r="B794" s="16"/>
      <c r="C794" s="17"/>
      <c r="D794" s="17"/>
      <c r="F794" s="16"/>
      <c r="G794" s="16"/>
    </row>
    <row r="795" spans="1:7" ht="13.2">
      <c r="A795" s="16"/>
      <c r="B795" s="16"/>
      <c r="C795" s="17"/>
      <c r="D795" s="17"/>
      <c r="F795" s="16"/>
      <c r="G795" s="16"/>
    </row>
    <row r="796" spans="1:7" ht="13.2">
      <c r="A796" s="16"/>
      <c r="B796" s="16"/>
      <c r="C796" s="17"/>
      <c r="D796" s="17"/>
      <c r="F796" s="16"/>
      <c r="G796" s="16"/>
    </row>
    <row r="797" spans="1:7" ht="13.2">
      <c r="A797" s="16"/>
      <c r="B797" s="16"/>
      <c r="C797" s="17"/>
      <c r="D797" s="17"/>
      <c r="F797" s="16"/>
      <c r="G797" s="16"/>
    </row>
    <row r="798" spans="1:7" ht="13.2">
      <c r="A798" s="16"/>
      <c r="B798" s="16"/>
      <c r="C798" s="17"/>
      <c r="D798" s="17"/>
      <c r="F798" s="16"/>
      <c r="G798" s="16"/>
    </row>
    <row r="799" spans="1:7" ht="13.2">
      <c r="A799" s="16"/>
      <c r="B799" s="16"/>
      <c r="C799" s="17"/>
      <c r="D799" s="17"/>
      <c r="F799" s="16"/>
      <c r="G799" s="16"/>
    </row>
    <row r="800" spans="1:7" ht="13.2">
      <c r="A800" s="16"/>
      <c r="B800" s="16"/>
      <c r="C800" s="17"/>
      <c r="D800" s="17"/>
      <c r="F800" s="16"/>
      <c r="G800" s="16"/>
    </row>
    <row r="801" spans="1:7" ht="13.2">
      <c r="A801" s="16"/>
      <c r="B801" s="16"/>
      <c r="C801" s="17"/>
      <c r="D801" s="17"/>
      <c r="F801" s="16"/>
      <c r="G801" s="16"/>
    </row>
    <row r="802" spans="1:7" ht="13.2">
      <c r="A802" s="16"/>
      <c r="B802" s="16"/>
      <c r="C802" s="17"/>
      <c r="D802" s="17"/>
      <c r="F802" s="16"/>
      <c r="G802" s="16"/>
    </row>
    <row r="803" spans="1:7" ht="13.2">
      <c r="A803" s="16"/>
      <c r="B803" s="16"/>
      <c r="C803" s="17"/>
      <c r="D803" s="17"/>
      <c r="F803" s="16"/>
      <c r="G803" s="16"/>
    </row>
    <row r="804" spans="1:7" ht="13.2">
      <c r="A804" s="16"/>
      <c r="B804" s="16"/>
      <c r="C804" s="17"/>
      <c r="D804" s="17"/>
      <c r="F804" s="16"/>
      <c r="G804" s="16"/>
    </row>
    <row r="805" spans="1:7" ht="13.2">
      <c r="A805" s="16"/>
      <c r="B805" s="16"/>
      <c r="C805" s="17"/>
      <c r="D805" s="17"/>
      <c r="F805" s="16"/>
      <c r="G805" s="16"/>
    </row>
    <row r="806" spans="1:7" ht="13.2">
      <c r="A806" s="16"/>
      <c r="B806" s="16"/>
      <c r="C806" s="17"/>
      <c r="D806" s="17"/>
      <c r="F806" s="16"/>
      <c r="G806" s="16"/>
    </row>
    <row r="807" spans="1:7" ht="13.2">
      <c r="A807" s="16"/>
      <c r="B807" s="16"/>
      <c r="C807" s="17"/>
      <c r="D807" s="17"/>
      <c r="F807" s="16"/>
      <c r="G807" s="16"/>
    </row>
    <row r="808" spans="1:7" ht="13.2">
      <c r="A808" s="16"/>
      <c r="B808" s="16"/>
      <c r="C808" s="17"/>
      <c r="D808" s="17"/>
      <c r="F808" s="16"/>
      <c r="G808" s="16"/>
    </row>
    <row r="809" spans="1:7" ht="13.2">
      <c r="A809" s="16"/>
      <c r="B809" s="16"/>
      <c r="C809" s="17"/>
      <c r="D809" s="17"/>
      <c r="F809" s="16"/>
      <c r="G809" s="16"/>
    </row>
    <row r="810" spans="1:7" ht="13.2">
      <c r="A810" s="16"/>
      <c r="B810" s="16"/>
      <c r="C810" s="17"/>
      <c r="D810" s="17"/>
      <c r="F810" s="16"/>
      <c r="G810" s="16"/>
    </row>
    <row r="811" spans="1:7" ht="13.2">
      <c r="A811" s="16"/>
      <c r="B811" s="16"/>
      <c r="C811" s="17"/>
      <c r="D811" s="17"/>
      <c r="F811" s="16"/>
      <c r="G811" s="16"/>
    </row>
    <row r="812" spans="1:7" ht="13.2">
      <c r="A812" s="16"/>
      <c r="B812" s="16"/>
      <c r="C812" s="17"/>
      <c r="D812" s="17"/>
      <c r="F812" s="16"/>
      <c r="G812" s="16"/>
    </row>
    <row r="813" spans="1:7" ht="13.2">
      <c r="A813" s="16"/>
      <c r="B813" s="16"/>
      <c r="C813" s="17"/>
      <c r="D813" s="17"/>
      <c r="F813" s="16"/>
      <c r="G813" s="16"/>
    </row>
    <row r="814" spans="1:7" ht="13.2">
      <c r="A814" s="16"/>
      <c r="B814" s="16"/>
      <c r="C814" s="17"/>
      <c r="D814" s="17"/>
      <c r="F814" s="16"/>
      <c r="G814" s="16"/>
    </row>
    <row r="815" spans="1:7" ht="13.2">
      <c r="A815" s="16"/>
      <c r="B815" s="16"/>
      <c r="C815" s="17"/>
      <c r="D815" s="17"/>
      <c r="F815" s="16"/>
      <c r="G815" s="16"/>
    </row>
    <row r="816" spans="1:7" ht="13.2">
      <c r="A816" s="16"/>
      <c r="B816" s="16"/>
      <c r="C816" s="17"/>
      <c r="D816" s="17"/>
      <c r="F816" s="16"/>
      <c r="G816" s="16"/>
    </row>
    <row r="817" spans="1:7" ht="13.2">
      <c r="A817" s="16"/>
      <c r="B817" s="16"/>
      <c r="C817" s="17"/>
      <c r="D817" s="17"/>
      <c r="F817" s="16"/>
      <c r="G817" s="16"/>
    </row>
    <row r="818" spans="1:7" ht="13.2">
      <c r="A818" s="16"/>
      <c r="B818" s="16"/>
      <c r="C818" s="17"/>
      <c r="D818" s="17"/>
      <c r="F818" s="16"/>
      <c r="G818" s="16"/>
    </row>
    <row r="819" spans="1:7" ht="13.2">
      <c r="A819" s="16"/>
      <c r="B819" s="16"/>
      <c r="C819" s="17"/>
      <c r="D819" s="17"/>
      <c r="F819" s="16"/>
      <c r="G819" s="16"/>
    </row>
    <row r="820" spans="1:7" ht="13.2">
      <c r="A820" s="16"/>
      <c r="B820" s="16"/>
      <c r="C820" s="17"/>
      <c r="D820" s="17"/>
      <c r="F820" s="16"/>
      <c r="G820" s="16"/>
    </row>
    <row r="821" spans="1:7" ht="13.2">
      <c r="A821" s="16"/>
      <c r="B821" s="16"/>
      <c r="C821" s="17"/>
      <c r="D821" s="17"/>
      <c r="F821" s="16"/>
      <c r="G821" s="16"/>
    </row>
    <row r="822" spans="1:7" ht="13.2">
      <c r="A822" s="16"/>
      <c r="B822" s="16"/>
      <c r="C822" s="17"/>
      <c r="D822" s="17"/>
      <c r="F822" s="16"/>
      <c r="G822" s="16"/>
    </row>
    <row r="823" spans="1:7" ht="13.2">
      <c r="A823" s="16"/>
      <c r="B823" s="16"/>
      <c r="C823" s="17"/>
      <c r="D823" s="17"/>
      <c r="F823" s="16"/>
      <c r="G823" s="16"/>
    </row>
    <row r="824" spans="1:7" ht="13.2">
      <c r="A824" s="16"/>
      <c r="B824" s="16"/>
      <c r="C824" s="17"/>
      <c r="D824" s="17"/>
      <c r="F824" s="16"/>
      <c r="G824" s="16"/>
    </row>
    <row r="825" spans="1:7" ht="13.2">
      <c r="A825" s="16"/>
      <c r="B825" s="16"/>
      <c r="C825" s="17"/>
      <c r="D825" s="17"/>
      <c r="F825" s="16"/>
      <c r="G825" s="16"/>
    </row>
    <row r="826" spans="1:7" ht="13.2">
      <c r="A826" s="16"/>
      <c r="B826" s="16"/>
      <c r="C826" s="17"/>
      <c r="D826" s="17"/>
      <c r="F826" s="16"/>
      <c r="G826" s="16"/>
    </row>
    <row r="827" spans="1:7" ht="13.2">
      <c r="A827" s="16"/>
      <c r="B827" s="16"/>
      <c r="C827" s="17"/>
      <c r="D827" s="17"/>
      <c r="F827" s="16"/>
      <c r="G827" s="16"/>
    </row>
    <row r="828" spans="1:7" ht="13.2">
      <c r="A828" s="16"/>
      <c r="B828" s="16"/>
      <c r="C828" s="17"/>
      <c r="D828" s="17"/>
      <c r="F828" s="16"/>
      <c r="G828" s="16"/>
    </row>
    <row r="829" spans="1:7" ht="13.2">
      <c r="A829" s="16"/>
      <c r="B829" s="16"/>
      <c r="C829" s="17"/>
      <c r="D829" s="17"/>
      <c r="F829" s="16"/>
      <c r="G829" s="16"/>
    </row>
    <row r="830" spans="1:7" ht="13.2">
      <c r="A830" s="16"/>
      <c r="B830" s="16"/>
      <c r="C830" s="17"/>
      <c r="D830" s="17"/>
      <c r="F830" s="16"/>
      <c r="G830" s="16"/>
    </row>
    <row r="831" spans="1:7" ht="13.2">
      <c r="A831" s="16"/>
      <c r="B831" s="16"/>
      <c r="C831" s="17"/>
      <c r="D831" s="17"/>
      <c r="F831" s="16"/>
      <c r="G831" s="16"/>
    </row>
    <row r="832" spans="1:7" ht="13.2">
      <c r="A832" s="16"/>
      <c r="B832" s="16"/>
      <c r="C832" s="17"/>
      <c r="D832" s="17"/>
      <c r="F832" s="16"/>
      <c r="G832" s="16"/>
    </row>
    <row r="833" spans="1:7" ht="13.2">
      <c r="A833" s="16"/>
      <c r="B833" s="16"/>
      <c r="C833" s="17"/>
      <c r="D833" s="17"/>
      <c r="F833" s="16"/>
      <c r="G833" s="16"/>
    </row>
    <row r="834" spans="1:7" ht="13.2">
      <c r="A834" s="16"/>
      <c r="B834" s="16"/>
      <c r="C834" s="17"/>
      <c r="D834" s="17"/>
      <c r="F834" s="16"/>
      <c r="G834" s="16"/>
    </row>
    <row r="835" spans="1:7" ht="13.2">
      <c r="A835" s="16"/>
      <c r="B835" s="16"/>
      <c r="C835" s="17"/>
      <c r="D835" s="17"/>
      <c r="F835" s="16"/>
      <c r="G835" s="16"/>
    </row>
    <row r="836" spans="1:7" ht="13.2">
      <c r="A836" s="16"/>
      <c r="B836" s="16"/>
      <c r="C836" s="17"/>
      <c r="D836" s="17"/>
      <c r="F836" s="16"/>
      <c r="G836" s="16"/>
    </row>
    <row r="837" spans="1:7" ht="13.2">
      <c r="A837" s="16"/>
      <c r="B837" s="16"/>
      <c r="C837" s="17"/>
      <c r="D837" s="17"/>
      <c r="F837" s="16"/>
      <c r="G837" s="16"/>
    </row>
    <row r="838" spans="1:7" ht="13.2">
      <c r="A838" s="16"/>
      <c r="B838" s="16"/>
      <c r="C838" s="17"/>
      <c r="D838" s="17"/>
      <c r="F838" s="16"/>
      <c r="G838" s="16"/>
    </row>
    <row r="839" spans="1:7" ht="13.2">
      <c r="A839" s="16"/>
      <c r="B839" s="16"/>
      <c r="C839" s="17"/>
      <c r="D839" s="17"/>
      <c r="F839" s="16"/>
      <c r="G839" s="16"/>
    </row>
    <row r="840" spans="1:7" ht="13.2">
      <c r="A840" s="16"/>
      <c r="B840" s="16"/>
      <c r="C840" s="17"/>
      <c r="D840" s="17"/>
      <c r="F840" s="16"/>
      <c r="G840" s="16"/>
    </row>
    <row r="841" spans="1:7" ht="13.2">
      <c r="A841" s="16"/>
      <c r="B841" s="16"/>
      <c r="C841" s="17"/>
      <c r="D841" s="17"/>
      <c r="F841" s="16"/>
      <c r="G841" s="16"/>
    </row>
    <row r="842" spans="1:7" ht="13.2">
      <c r="A842" s="16"/>
      <c r="B842" s="16"/>
      <c r="C842" s="17"/>
      <c r="D842" s="17"/>
      <c r="F842" s="16"/>
      <c r="G842" s="16"/>
    </row>
    <row r="843" spans="1:7" ht="13.2">
      <c r="A843" s="16"/>
      <c r="B843" s="16"/>
      <c r="C843" s="17"/>
      <c r="D843" s="17"/>
      <c r="F843" s="16"/>
      <c r="G843" s="16"/>
    </row>
    <row r="844" spans="1:7" ht="13.2">
      <c r="A844" s="16"/>
      <c r="B844" s="16"/>
      <c r="C844" s="17"/>
      <c r="D844" s="17"/>
      <c r="F844" s="16"/>
      <c r="G844" s="16"/>
    </row>
    <row r="845" spans="1:7" ht="13.2">
      <c r="A845" s="16"/>
      <c r="B845" s="16"/>
      <c r="C845" s="17"/>
      <c r="D845" s="17"/>
      <c r="F845" s="16"/>
      <c r="G845" s="16"/>
    </row>
    <row r="846" spans="1:7" ht="13.2">
      <c r="A846" s="16"/>
      <c r="B846" s="16"/>
      <c r="C846" s="17"/>
      <c r="D846" s="17"/>
      <c r="F846" s="16"/>
      <c r="G846" s="16"/>
    </row>
    <row r="847" spans="1:7" ht="13.2">
      <c r="A847" s="16"/>
      <c r="B847" s="16"/>
      <c r="C847" s="17"/>
      <c r="D847" s="17"/>
      <c r="F847" s="16"/>
      <c r="G847" s="16"/>
    </row>
    <row r="848" spans="1:7" ht="13.2">
      <c r="A848" s="16"/>
      <c r="B848" s="16"/>
      <c r="C848" s="17"/>
      <c r="D848" s="17"/>
      <c r="F848" s="16"/>
      <c r="G848" s="16"/>
    </row>
    <row r="849" spans="1:7" ht="13.2">
      <c r="A849" s="16"/>
      <c r="B849" s="16"/>
      <c r="C849" s="17"/>
      <c r="D849" s="17"/>
      <c r="F849" s="16"/>
      <c r="G849" s="16"/>
    </row>
    <row r="850" spans="1:7" ht="13.2">
      <c r="A850" s="16"/>
      <c r="B850" s="16"/>
      <c r="C850" s="17"/>
      <c r="D850" s="17"/>
      <c r="F850" s="16"/>
      <c r="G850" s="16"/>
    </row>
    <row r="851" spans="1:7" ht="13.2">
      <c r="A851" s="16"/>
      <c r="B851" s="16"/>
      <c r="C851" s="17"/>
      <c r="D851" s="17"/>
      <c r="F851" s="16"/>
      <c r="G851" s="16"/>
    </row>
    <row r="852" spans="1:7" ht="13.2">
      <c r="A852" s="16"/>
      <c r="B852" s="16"/>
      <c r="C852" s="17"/>
      <c r="D852" s="17"/>
      <c r="F852" s="16"/>
      <c r="G852" s="16"/>
    </row>
    <row r="853" spans="1:7" ht="13.2">
      <c r="A853" s="16"/>
      <c r="B853" s="16"/>
      <c r="C853" s="17"/>
      <c r="D853" s="17"/>
      <c r="F853" s="16"/>
      <c r="G853" s="16"/>
    </row>
    <row r="854" spans="1:7" ht="13.2">
      <c r="A854" s="16"/>
      <c r="B854" s="16"/>
      <c r="C854" s="17"/>
      <c r="D854" s="17"/>
      <c r="F854" s="16"/>
      <c r="G854" s="16"/>
    </row>
    <row r="855" spans="1:7" ht="13.2">
      <c r="A855" s="16"/>
      <c r="B855" s="16"/>
      <c r="C855" s="17"/>
      <c r="D855" s="17"/>
      <c r="F855" s="16"/>
      <c r="G855" s="16"/>
    </row>
    <row r="856" spans="1:7" ht="13.2">
      <c r="A856" s="16"/>
      <c r="B856" s="16"/>
      <c r="C856" s="17"/>
      <c r="D856" s="17"/>
      <c r="F856" s="16"/>
      <c r="G856" s="16"/>
    </row>
    <row r="857" spans="1:7" ht="13.2">
      <c r="A857" s="16"/>
      <c r="B857" s="16"/>
      <c r="C857" s="17"/>
      <c r="D857" s="17"/>
      <c r="F857" s="16"/>
      <c r="G857" s="16"/>
    </row>
    <row r="858" spans="1:7" ht="13.2">
      <c r="A858" s="16"/>
      <c r="B858" s="16"/>
      <c r="C858" s="17"/>
      <c r="D858" s="17"/>
      <c r="F858" s="16"/>
      <c r="G858" s="16"/>
    </row>
    <row r="859" spans="1:7" ht="13.2">
      <c r="A859" s="16"/>
      <c r="B859" s="16"/>
      <c r="C859" s="17"/>
      <c r="D859" s="17"/>
      <c r="F859" s="16"/>
      <c r="G859" s="16"/>
    </row>
    <row r="860" spans="1:7" ht="13.2">
      <c r="A860" s="16"/>
      <c r="B860" s="16"/>
      <c r="C860" s="17"/>
      <c r="D860" s="17"/>
      <c r="F860" s="16"/>
      <c r="G860" s="16"/>
    </row>
    <row r="861" spans="1:7" ht="13.2">
      <c r="A861" s="16"/>
      <c r="B861" s="16"/>
      <c r="C861" s="17"/>
      <c r="D861" s="17"/>
      <c r="F861" s="16"/>
      <c r="G861" s="16"/>
    </row>
    <row r="862" spans="1:7" ht="13.2">
      <c r="A862" s="16"/>
      <c r="B862" s="16"/>
      <c r="C862" s="17"/>
      <c r="D862" s="17"/>
      <c r="F862" s="16"/>
      <c r="G862" s="16"/>
    </row>
    <row r="863" spans="1:7" ht="13.2">
      <c r="A863" s="16"/>
      <c r="B863" s="16"/>
      <c r="C863" s="17"/>
      <c r="D863" s="17"/>
      <c r="F863" s="16"/>
      <c r="G863" s="16"/>
    </row>
    <row r="864" spans="1:7" ht="13.2">
      <c r="A864" s="16"/>
      <c r="B864" s="16"/>
      <c r="C864" s="17"/>
      <c r="D864" s="17"/>
      <c r="F864" s="16"/>
      <c r="G864" s="16"/>
    </row>
    <row r="865" spans="1:7" ht="13.2">
      <c r="A865" s="16"/>
      <c r="B865" s="16"/>
      <c r="C865" s="17"/>
      <c r="D865" s="17"/>
      <c r="F865" s="16"/>
      <c r="G865" s="16"/>
    </row>
    <row r="866" spans="1:7" ht="13.2">
      <c r="A866" s="16"/>
      <c r="B866" s="16"/>
      <c r="C866" s="17"/>
      <c r="D866" s="17"/>
      <c r="F866" s="16"/>
      <c r="G866" s="16"/>
    </row>
    <row r="867" spans="1:7" ht="13.2">
      <c r="A867" s="16"/>
      <c r="B867" s="16"/>
      <c r="C867" s="17"/>
      <c r="D867" s="17"/>
      <c r="F867" s="16"/>
      <c r="G867" s="16"/>
    </row>
    <row r="868" spans="1:7" ht="13.2">
      <c r="A868" s="16"/>
      <c r="B868" s="16"/>
      <c r="C868" s="17"/>
      <c r="D868" s="17"/>
      <c r="F868" s="16"/>
      <c r="G868" s="16"/>
    </row>
    <row r="869" spans="1:7" ht="13.2">
      <c r="A869" s="16"/>
      <c r="B869" s="16"/>
      <c r="C869" s="17"/>
      <c r="D869" s="17"/>
      <c r="F869" s="16"/>
      <c r="G869" s="16"/>
    </row>
    <row r="870" spans="1:7" ht="13.2">
      <c r="A870" s="16"/>
      <c r="B870" s="16"/>
      <c r="C870" s="17"/>
      <c r="D870" s="17"/>
      <c r="F870" s="16"/>
      <c r="G870" s="16"/>
    </row>
    <row r="871" spans="1:7" ht="13.2">
      <c r="A871" s="16"/>
      <c r="B871" s="16"/>
      <c r="C871" s="17"/>
      <c r="D871" s="17"/>
      <c r="F871" s="16"/>
      <c r="G871" s="16"/>
    </row>
    <row r="872" spans="1:7" ht="13.2">
      <c r="A872" s="16"/>
      <c r="B872" s="16"/>
      <c r="C872" s="17"/>
      <c r="D872" s="17"/>
      <c r="F872" s="16"/>
      <c r="G872" s="16"/>
    </row>
    <row r="873" spans="1:7" ht="13.2">
      <c r="A873" s="16"/>
      <c r="B873" s="16"/>
      <c r="C873" s="17"/>
      <c r="D873" s="17"/>
      <c r="F873" s="16"/>
      <c r="G873" s="16"/>
    </row>
    <row r="874" spans="1:7" ht="13.2">
      <c r="A874" s="16"/>
      <c r="B874" s="16"/>
      <c r="C874" s="17"/>
      <c r="D874" s="17"/>
      <c r="F874" s="16"/>
      <c r="G874" s="16"/>
    </row>
    <row r="875" spans="1:7" ht="13.2">
      <c r="A875" s="16"/>
      <c r="B875" s="16"/>
      <c r="C875" s="17"/>
      <c r="D875" s="17"/>
      <c r="F875" s="16"/>
      <c r="G875" s="16"/>
    </row>
    <row r="876" spans="1:7" ht="13.2">
      <c r="A876" s="16"/>
      <c r="B876" s="16"/>
      <c r="C876" s="17"/>
      <c r="D876" s="17"/>
      <c r="F876" s="16"/>
      <c r="G876" s="16"/>
    </row>
    <row r="877" spans="1:7" ht="13.2">
      <c r="A877" s="16"/>
      <c r="B877" s="16"/>
      <c r="C877" s="17"/>
      <c r="D877" s="17"/>
      <c r="F877" s="16"/>
      <c r="G877" s="16"/>
    </row>
    <row r="878" spans="1:7" ht="13.2">
      <c r="A878" s="16"/>
      <c r="B878" s="16"/>
      <c r="C878" s="17"/>
      <c r="D878" s="17"/>
      <c r="F878" s="16"/>
      <c r="G878" s="16"/>
    </row>
    <row r="879" spans="1:7" ht="13.2">
      <c r="A879" s="16"/>
      <c r="B879" s="16"/>
      <c r="C879" s="17"/>
      <c r="D879" s="17"/>
      <c r="F879" s="16"/>
      <c r="G879" s="16"/>
    </row>
    <row r="880" spans="1:7" ht="13.2">
      <c r="A880" s="16"/>
      <c r="B880" s="16"/>
      <c r="C880" s="17"/>
      <c r="D880" s="17"/>
      <c r="F880" s="16"/>
      <c r="G880" s="16"/>
    </row>
    <row r="881" spans="1:7" ht="13.2">
      <c r="A881" s="16"/>
      <c r="B881" s="16"/>
      <c r="C881" s="17"/>
      <c r="D881" s="17"/>
      <c r="F881" s="16"/>
      <c r="G881" s="16"/>
    </row>
    <row r="882" spans="1:7" ht="13.2">
      <c r="A882" s="16"/>
      <c r="B882" s="16"/>
      <c r="C882" s="17"/>
      <c r="D882" s="17"/>
      <c r="F882" s="16"/>
      <c r="G882" s="16"/>
    </row>
    <row r="883" spans="1:7" ht="13.2">
      <c r="A883" s="16"/>
      <c r="B883" s="16"/>
      <c r="C883" s="17"/>
      <c r="D883" s="17"/>
      <c r="F883" s="16"/>
      <c r="G883" s="16"/>
    </row>
    <row r="884" spans="1:7" ht="13.2">
      <c r="A884" s="16"/>
      <c r="B884" s="16"/>
      <c r="C884" s="17"/>
      <c r="D884" s="17"/>
      <c r="F884" s="16"/>
      <c r="G884" s="16"/>
    </row>
    <row r="885" spans="1:7" ht="13.2">
      <c r="A885" s="16"/>
      <c r="B885" s="16"/>
      <c r="C885" s="17"/>
      <c r="D885" s="17"/>
      <c r="F885" s="16"/>
      <c r="G885" s="16"/>
    </row>
    <row r="886" spans="1:7" ht="13.2">
      <c r="A886" s="16"/>
      <c r="B886" s="16"/>
      <c r="C886" s="17"/>
      <c r="D886" s="17"/>
      <c r="F886" s="16"/>
      <c r="G886" s="16"/>
    </row>
    <row r="887" spans="1:7" ht="13.2">
      <c r="A887" s="16"/>
      <c r="B887" s="16"/>
      <c r="C887" s="17"/>
      <c r="D887" s="17"/>
      <c r="F887" s="16"/>
      <c r="G887" s="16"/>
    </row>
    <row r="888" spans="1:7" ht="13.2">
      <c r="A888" s="16"/>
      <c r="B888" s="16"/>
      <c r="C888" s="17"/>
      <c r="D888" s="17"/>
      <c r="F888" s="16"/>
      <c r="G888" s="16"/>
    </row>
    <row r="889" spans="1:7" ht="13.2">
      <c r="A889" s="16"/>
      <c r="B889" s="16"/>
      <c r="C889" s="17"/>
      <c r="D889" s="17"/>
      <c r="F889" s="16"/>
      <c r="G889" s="16"/>
    </row>
    <row r="890" spans="1:7" ht="13.2">
      <c r="A890" s="16"/>
      <c r="B890" s="16"/>
      <c r="C890" s="17"/>
      <c r="D890" s="17"/>
      <c r="F890" s="16"/>
      <c r="G890" s="16"/>
    </row>
    <row r="891" spans="1:7" ht="13.2">
      <c r="A891" s="16"/>
      <c r="B891" s="16"/>
      <c r="C891" s="17"/>
      <c r="D891" s="17"/>
      <c r="F891" s="16"/>
      <c r="G891" s="16"/>
    </row>
    <row r="892" spans="1:7" ht="13.2">
      <c r="A892" s="16"/>
      <c r="B892" s="16"/>
      <c r="C892" s="17"/>
      <c r="D892" s="17"/>
      <c r="F892" s="16"/>
      <c r="G892" s="16"/>
    </row>
    <row r="893" spans="1:7" ht="13.2">
      <c r="A893" s="16"/>
      <c r="B893" s="16"/>
      <c r="C893" s="17"/>
      <c r="D893" s="17"/>
      <c r="F893" s="16"/>
      <c r="G893" s="16"/>
    </row>
    <row r="894" spans="1:7" ht="13.2">
      <c r="A894" s="16"/>
      <c r="B894" s="16"/>
      <c r="C894" s="17"/>
      <c r="D894" s="17"/>
      <c r="F894" s="16"/>
      <c r="G894" s="16"/>
    </row>
    <row r="895" spans="1:7" ht="13.2">
      <c r="A895" s="16"/>
      <c r="B895" s="16"/>
      <c r="C895" s="17"/>
      <c r="D895" s="17"/>
      <c r="F895" s="16"/>
      <c r="G895" s="16"/>
    </row>
    <row r="896" spans="1:7" ht="13.2">
      <c r="A896" s="16"/>
      <c r="B896" s="16"/>
      <c r="C896" s="17"/>
      <c r="D896" s="17"/>
      <c r="F896" s="16"/>
      <c r="G896" s="16"/>
    </row>
    <row r="897" spans="1:7" ht="13.2">
      <c r="A897" s="16"/>
      <c r="B897" s="16"/>
      <c r="C897" s="17"/>
      <c r="D897" s="17"/>
      <c r="F897" s="16"/>
      <c r="G897" s="16"/>
    </row>
    <row r="898" spans="1:7" ht="13.2">
      <c r="A898" s="16"/>
      <c r="B898" s="16"/>
      <c r="C898" s="17"/>
      <c r="D898" s="17"/>
      <c r="F898" s="16"/>
      <c r="G898" s="16"/>
    </row>
    <row r="899" spans="1:7" ht="13.2">
      <c r="A899" s="16"/>
      <c r="B899" s="16"/>
      <c r="C899" s="17"/>
      <c r="D899" s="17"/>
      <c r="F899" s="16"/>
      <c r="G899" s="16"/>
    </row>
    <row r="900" spans="1:7" ht="13.2">
      <c r="A900" s="16"/>
      <c r="B900" s="16"/>
      <c r="C900" s="17"/>
      <c r="D900" s="17"/>
      <c r="F900" s="16"/>
      <c r="G900" s="16"/>
    </row>
    <row r="901" spans="1:7" ht="13.2">
      <c r="A901" s="16"/>
      <c r="B901" s="16"/>
      <c r="C901" s="17"/>
      <c r="D901" s="17"/>
      <c r="F901" s="16"/>
      <c r="G901" s="16"/>
    </row>
    <row r="902" spans="1:7" ht="13.2">
      <c r="A902" s="16"/>
      <c r="B902" s="16"/>
      <c r="C902" s="17"/>
      <c r="D902" s="17"/>
      <c r="F902" s="16"/>
      <c r="G902" s="16"/>
    </row>
    <row r="903" spans="1:7" ht="13.2">
      <c r="A903" s="16"/>
      <c r="B903" s="16"/>
      <c r="C903" s="17"/>
      <c r="D903" s="17"/>
      <c r="F903" s="16"/>
      <c r="G903" s="16"/>
    </row>
    <row r="904" spans="1:7" ht="13.2">
      <c r="A904" s="16"/>
      <c r="B904" s="16"/>
      <c r="C904" s="17"/>
      <c r="D904" s="17"/>
      <c r="F904" s="16"/>
      <c r="G904" s="16"/>
    </row>
    <row r="905" spans="1:7" ht="13.2">
      <c r="A905" s="16"/>
      <c r="B905" s="16"/>
      <c r="C905" s="17"/>
      <c r="D905" s="17"/>
      <c r="F905" s="16"/>
      <c r="G905" s="16"/>
    </row>
    <row r="906" spans="1:7" ht="13.2">
      <c r="A906" s="16"/>
      <c r="B906" s="16"/>
      <c r="C906" s="17"/>
      <c r="D906" s="17"/>
      <c r="F906" s="16"/>
      <c r="G906" s="16"/>
    </row>
    <row r="907" spans="1:7" ht="13.2">
      <c r="A907" s="16"/>
      <c r="B907" s="16"/>
      <c r="C907" s="17"/>
      <c r="D907" s="17"/>
      <c r="F907" s="16"/>
      <c r="G907" s="16"/>
    </row>
    <row r="908" spans="1:7" ht="13.2">
      <c r="A908" s="16"/>
      <c r="B908" s="16"/>
      <c r="C908" s="17"/>
      <c r="D908" s="17"/>
      <c r="F908" s="16"/>
      <c r="G908" s="16"/>
    </row>
    <row r="909" spans="1:7" ht="13.2">
      <c r="A909" s="16"/>
      <c r="B909" s="16"/>
      <c r="C909" s="17"/>
      <c r="D909" s="17"/>
      <c r="F909" s="16"/>
      <c r="G909" s="16"/>
    </row>
    <row r="910" spans="1:7" ht="13.2">
      <c r="A910" s="16"/>
      <c r="B910" s="16"/>
      <c r="C910" s="17"/>
      <c r="D910" s="17"/>
      <c r="F910" s="16"/>
      <c r="G910" s="16"/>
    </row>
    <row r="911" spans="1:7" ht="13.2">
      <c r="A911" s="16"/>
      <c r="B911" s="16"/>
      <c r="C911" s="17"/>
      <c r="D911" s="17"/>
      <c r="F911" s="16"/>
      <c r="G911" s="16"/>
    </row>
    <row r="912" spans="1:7" ht="13.2">
      <c r="A912" s="16"/>
      <c r="B912" s="16"/>
      <c r="C912" s="17"/>
      <c r="D912" s="17"/>
      <c r="F912" s="16"/>
      <c r="G912" s="16"/>
    </row>
    <row r="913" spans="1:7" ht="13.2">
      <c r="A913" s="16"/>
      <c r="B913" s="16"/>
      <c r="C913" s="17"/>
      <c r="D913" s="17"/>
      <c r="F913" s="16"/>
      <c r="G913" s="16"/>
    </row>
    <row r="914" spans="1:7" ht="13.2">
      <c r="A914" s="16"/>
      <c r="B914" s="16"/>
      <c r="C914" s="17"/>
      <c r="D914" s="17"/>
      <c r="F914" s="16"/>
      <c r="G914" s="16"/>
    </row>
    <row r="915" spans="1:7" ht="13.2">
      <c r="A915" s="16"/>
      <c r="B915" s="16"/>
      <c r="C915" s="17"/>
      <c r="D915" s="17"/>
      <c r="F915" s="16"/>
      <c r="G915" s="16"/>
    </row>
    <row r="916" spans="1:7" ht="13.2">
      <c r="A916" s="16"/>
      <c r="B916" s="16"/>
      <c r="C916" s="17"/>
      <c r="D916" s="17"/>
      <c r="F916" s="16"/>
      <c r="G916" s="16"/>
    </row>
    <row r="917" spans="1:7" ht="13.2">
      <c r="A917" s="16"/>
      <c r="B917" s="16"/>
      <c r="C917" s="17"/>
      <c r="D917" s="17"/>
      <c r="F917" s="16"/>
      <c r="G917" s="16"/>
    </row>
    <row r="918" spans="1:7" ht="13.2">
      <c r="A918" s="16"/>
      <c r="B918" s="16"/>
      <c r="C918" s="17"/>
      <c r="D918" s="17"/>
      <c r="F918" s="16"/>
      <c r="G918" s="16"/>
    </row>
    <row r="919" spans="1:7" ht="13.2">
      <c r="A919" s="16"/>
      <c r="B919" s="16"/>
      <c r="C919" s="17"/>
      <c r="D919" s="17"/>
      <c r="F919" s="16"/>
      <c r="G919" s="16"/>
    </row>
    <row r="920" spans="1:7" ht="13.2">
      <c r="A920" s="16"/>
      <c r="B920" s="16"/>
      <c r="C920" s="17"/>
      <c r="D920" s="17"/>
      <c r="F920" s="16"/>
      <c r="G920" s="16"/>
    </row>
    <row r="921" spans="1:7" ht="13.2">
      <c r="A921" s="16"/>
      <c r="B921" s="16"/>
      <c r="C921" s="17"/>
      <c r="D921" s="17"/>
      <c r="F921" s="16"/>
      <c r="G921" s="16"/>
    </row>
    <row r="922" spans="1:7" ht="13.2">
      <c r="A922" s="16"/>
      <c r="B922" s="16"/>
      <c r="C922" s="17"/>
      <c r="D922" s="17"/>
      <c r="F922" s="16"/>
      <c r="G922" s="16"/>
    </row>
    <row r="923" spans="1:7" ht="13.2">
      <c r="A923" s="16"/>
      <c r="B923" s="16"/>
      <c r="C923" s="17"/>
      <c r="D923" s="17"/>
      <c r="F923" s="16"/>
      <c r="G923" s="16"/>
    </row>
    <row r="924" spans="1:7" ht="13.2">
      <c r="A924" s="16"/>
      <c r="B924" s="16"/>
      <c r="C924" s="17"/>
      <c r="D924" s="17"/>
      <c r="F924" s="16"/>
      <c r="G924" s="16"/>
    </row>
    <row r="925" spans="1:7" ht="13.2">
      <c r="A925" s="16"/>
      <c r="B925" s="16"/>
      <c r="C925" s="17"/>
      <c r="D925" s="17"/>
      <c r="F925" s="16"/>
      <c r="G925" s="16"/>
    </row>
    <row r="926" spans="1:7" ht="13.2">
      <c r="A926" s="16"/>
      <c r="B926" s="16"/>
      <c r="C926" s="17"/>
      <c r="D926" s="17"/>
      <c r="F926" s="16"/>
      <c r="G926" s="16"/>
    </row>
    <row r="927" spans="1:7" ht="13.2">
      <c r="A927" s="16"/>
      <c r="B927" s="16"/>
      <c r="C927" s="17"/>
      <c r="D927" s="17"/>
      <c r="F927" s="16"/>
      <c r="G927" s="16"/>
    </row>
    <row r="928" spans="1:7" ht="13.2">
      <c r="A928" s="16"/>
      <c r="B928" s="16"/>
      <c r="C928" s="17"/>
      <c r="D928" s="17"/>
      <c r="F928" s="16"/>
      <c r="G928" s="16"/>
    </row>
    <row r="929" spans="1:7" ht="13.2">
      <c r="A929" s="16"/>
      <c r="B929" s="16"/>
      <c r="C929" s="17"/>
      <c r="D929" s="17"/>
      <c r="F929" s="16"/>
      <c r="G929" s="16"/>
    </row>
    <row r="930" spans="1:7" ht="13.2">
      <c r="A930" s="16"/>
      <c r="B930" s="16"/>
      <c r="C930" s="17"/>
      <c r="D930" s="17"/>
      <c r="F930" s="16"/>
      <c r="G930" s="16"/>
    </row>
    <row r="931" spans="1:7" ht="13.2">
      <c r="A931" s="16"/>
      <c r="B931" s="16"/>
      <c r="C931" s="17"/>
      <c r="D931" s="17"/>
      <c r="F931" s="16"/>
      <c r="G931" s="16"/>
    </row>
    <row r="932" spans="1:7" ht="13.2">
      <c r="A932" s="16"/>
      <c r="B932" s="16"/>
      <c r="C932" s="17"/>
      <c r="D932" s="17"/>
      <c r="F932" s="16"/>
      <c r="G932" s="16"/>
    </row>
    <row r="933" spans="1:7" ht="13.2">
      <c r="A933" s="16"/>
      <c r="B933" s="16"/>
      <c r="C933" s="17"/>
      <c r="D933" s="17"/>
      <c r="F933" s="16"/>
      <c r="G933" s="16"/>
    </row>
    <row r="934" spans="1:7" ht="13.2">
      <c r="A934" s="16"/>
      <c r="B934" s="16"/>
      <c r="C934" s="17"/>
      <c r="D934" s="17"/>
      <c r="F934" s="16"/>
      <c r="G934" s="16"/>
    </row>
    <row r="935" spans="1:7" ht="13.2">
      <c r="A935" s="16"/>
      <c r="B935" s="16"/>
      <c r="C935" s="17"/>
      <c r="D935" s="17"/>
      <c r="F935" s="16"/>
      <c r="G935" s="16"/>
    </row>
    <row r="936" spans="1:7" ht="13.2">
      <c r="A936" s="16"/>
      <c r="B936" s="16"/>
      <c r="C936" s="17"/>
      <c r="D936" s="17"/>
      <c r="F936" s="16"/>
      <c r="G936" s="16"/>
    </row>
    <row r="937" spans="1:7" ht="13.2">
      <c r="A937" s="16"/>
      <c r="B937" s="16"/>
      <c r="C937" s="17"/>
      <c r="D937" s="17"/>
      <c r="F937" s="16"/>
      <c r="G937" s="16"/>
    </row>
    <row r="938" spans="1:7" ht="13.2">
      <c r="A938" s="16"/>
      <c r="B938" s="16"/>
      <c r="C938" s="17"/>
      <c r="D938" s="17"/>
      <c r="F938" s="16"/>
      <c r="G938" s="16"/>
    </row>
    <row r="939" spans="1:7" ht="13.2">
      <c r="A939" s="16"/>
      <c r="B939" s="16"/>
      <c r="C939" s="17"/>
      <c r="D939" s="17"/>
      <c r="F939" s="16"/>
      <c r="G939" s="16"/>
    </row>
    <row r="940" spans="1:7" ht="13.2">
      <c r="A940" s="16"/>
      <c r="B940" s="16"/>
      <c r="C940" s="17"/>
      <c r="D940" s="17"/>
      <c r="F940" s="16"/>
      <c r="G940" s="16"/>
    </row>
    <row r="941" spans="1:7" ht="13.2">
      <c r="A941" s="16"/>
      <c r="B941" s="16"/>
      <c r="C941" s="17"/>
      <c r="D941" s="17"/>
      <c r="F941" s="16"/>
      <c r="G941" s="16"/>
    </row>
    <row r="942" spans="1:7" ht="13.2">
      <c r="A942" s="16"/>
      <c r="B942" s="16"/>
      <c r="C942" s="17"/>
      <c r="D942" s="17"/>
      <c r="F942" s="16"/>
      <c r="G942" s="16"/>
    </row>
    <row r="943" spans="1:7" ht="13.2">
      <c r="A943" s="16"/>
      <c r="B943" s="16"/>
      <c r="C943" s="17"/>
      <c r="D943" s="17"/>
      <c r="F943" s="16"/>
      <c r="G943" s="16"/>
    </row>
    <row r="944" spans="1:7" ht="13.2">
      <c r="A944" s="16"/>
      <c r="B944" s="16"/>
      <c r="C944" s="17"/>
      <c r="D944" s="17"/>
      <c r="F944" s="16"/>
      <c r="G944" s="16"/>
    </row>
    <row r="945" spans="1:7" ht="13.2">
      <c r="A945" s="16"/>
      <c r="B945" s="16"/>
      <c r="C945" s="17"/>
      <c r="D945" s="17"/>
      <c r="F945" s="16"/>
      <c r="G945" s="16"/>
    </row>
    <row r="946" spans="1:7" ht="13.2">
      <c r="A946" s="16"/>
      <c r="B946" s="16"/>
      <c r="C946" s="17"/>
      <c r="D946" s="17"/>
      <c r="F946" s="16"/>
      <c r="G946" s="16"/>
    </row>
    <row r="947" spans="1:7" ht="13.2">
      <c r="A947" s="16"/>
      <c r="B947" s="16"/>
      <c r="C947" s="17"/>
      <c r="D947" s="17"/>
      <c r="F947" s="16"/>
      <c r="G947" s="16"/>
    </row>
    <row r="948" spans="1:7" ht="13.2">
      <c r="A948" s="16"/>
      <c r="B948" s="16"/>
      <c r="C948" s="17"/>
      <c r="D948" s="17"/>
      <c r="F948" s="16"/>
      <c r="G948" s="16"/>
    </row>
    <row r="949" spans="1:7" ht="13.2">
      <c r="A949" s="16"/>
      <c r="B949" s="16"/>
      <c r="C949" s="17"/>
      <c r="D949" s="17"/>
      <c r="F949" s="16"/>
      <c r="G949" s="16"/>
    </row>
    <row r="950" spans="1:7" ht="13.2">
      <c r="A950" s="16"/>
      <c r="B950" s="16"/>
      <c r="C950" s="17"/>
      <c r="D950" s="17"/>
      <c r="F950" s="16"/>
      <c r="G950" s="16"/>
    </row>
    <row r="951" spans="1:7" ht="13.2">
      <c r="A951" s="16"/>
      <c r="B951" s="16"/>
      <c r="C951" s="17"/>
      <c r="D951" s="17"/>
      <c r="F951" s="16"/>
      <c r="G951" s="16"/>
    </row>
    <row r="952" spans="1:7" ht="13.2">
      <c r="A952" s="16"/>
      <c r="B952" s="16"/>
      <c r="C952" s="17"/>
      <c r="D952" s="17"/>
      <c r="F952" s="16"/>
      <c r="G952" s="16"/>
    </row>
    <row r="953" spans="1:7" ht="13.2">
      <c r="A953" s="16"/>
      <c r="B953" s="16"/>
      <c r="C953" s="17"/>
      <c r="D953" s="17"/>
      <c r="F953" s="16"/>
      <c r="G953" s="16"/>
    </row>
    <row r="954" spans="1:7" ht="13.2">
      <c r="A954" s="16"/>
      <c r="B954" s="16"/>
      <c r="C954" s="17"/>
      <c r="D954" s="17"/>
      <c r="F954" s="16"/>
      <c r="G954" s="16"/>
    </row>
    <row r="955" spans="1:7" ht="13.2">
      <c r="A955" s="16"/>
      <c r="B955" s="16"/>
      <c r="C955" s="17"/>
      <c r="D955" s="17"/>
      <c r="F955" s="16"/>
      <c r="G955" s="16"/>
    </row>
    <row r="956" spans="1:7" ht="13.2">
      <c r="A956" s="16"/>
      <c r="B956" s="16"/>
      <c r="C956" s="17"/>
      <c r="D956" s="17"/>
      <c r="F956" s="16"/>
      <c r="G956" s="16"/>
    </row>
    <row r="957" spans="1:7" ht="13.2">
      <c r="A957" s="16"/>
      <c r="B957" s="16"/>
      <c r="C957" s="17"/>
      <c r="D957" s="17"/>
      <c r="F957" s="16"/>
      <c r="G957" s="16"/>
    </row>
    <row r="958" spans="1:7" ht="13.2">
      <c r="A958" s="16"/>
      <c r="B958" s="16"/>
      <c r="C958" s="17"/>
      <c r="D958" s="17"/>
      <c r="F958" s="16"/>
      <c r="G958" s="16"/>
    </row>
    <row r="959" spans="1:7" ht="13.2">
      <c r="A959" s="16"/>
      <c r="B959" s="16"/>
      <c r="C959" s="17"/>
      <c r="D959" s="17"/>
      <c r="F959" s="16"/>
      <c r="G959" s="16"/>
    </row>
    <row r="960" spans="1:7" ht="13.2">
      <c r="A960" s="16"/>
      <c r="B960" s="16"/>
      <c r="C960" s="17"/>
      <c r="D960" s="17"/>
      <c r="F960" s="16"/>
      <c r="G960" s="16"/>
    </row>
    <row r="961" spans="1:7" ht="13.2">
      <c r="A961" s="16"/>
      <c r="B961" s="16"/>
      <c r="C961" s="17"/>
      <c r="D961" s="17"/>
      <c r="F961" s="16"/>
      <c r="G961" s="16"/>
    </row>
    <row r="962" spans="1:7" ht="13.2">
      <c r="A962" s="16"/>
      <c r="B962" s="16"/>
      <c r="C962" s="17"/>
      <c r="D962" s="17"/>
      <c r="F962" s="16"/>
      <c r="G962" s="16"/>
    </row>
    <row r="963" spans="1:7" ht="13.2">
      <c r="A963" s="16"/>
      <c r="B963" s="16"/>
      <c r="C963" s="17"/>
      <c r="D963" s="17"/>
      <c r="F963" s="16"/>
      <c r="G963" s="16"/>
    </row>
    <row r="964" spans="1:7" ht="13.2">
      <c r="A964" s="16"/>
      <c r="B964" s="16"/>
      <c r="C964" s="17"/>
      <c r="D964" s="17"/>
      <c r="F964" s="16"/>
      <c r="G964" s="16"/>
    </row>
    <row r="965" spans="1:7" ht="13.2">
      <c r="A965" s="16"/>
      <c r="B965" s="16"/>
      <c r="C965" s="17"/>
      <c r="D965" s="17"/>
      <c r="F965" s="16"/>
      <c r="G965" s="16"/>
    </row>
    <row r="966" spans="1:7" ht="13.2">
      <c r="A966" s="16"/>
      <c r="B966" s="16"/>
      <c r="C966" s="17"/>
      <c r="D966" s="17"/>
      <c r="F966" s="16"/>
      <c r="G966" s="16"/>
    </row>
    <row r="967" spans="1:7" ht="13.2">
      <c r="A967" s="16"/>
      <c r="B967" s="16"/>
      <c r="C967" s="17"/>
      <c r="D967" s="17"/>
      <c r="F967" s="16"/>
      <c r="G967" s="16"/>
    </row>
    <row r="968" spans="1:7" ht="13.2">
      <c r="A968" s="16"/>
      <c r="B968" s="16"/>
      <c r="C968" s="17"/>
      <c r="D968" s="17"/>
      <c r="F968" s="16"/>
      <c r="G968" s="16"/>
    </row>
    <row r="969" spans="1:7" ht="13.2">
      <c r="A969" s="16"/>
      <c r="B969" s="16"/>
      <c r="C969" s="17"/>
      <c r="D969" s="17"/>
      <c r="F969" s="16"/>
      <c r="G969" s="16"/>
    </row>
    <row r="970" spans="1:7" ht="13.2">
      <c r="A970" s="16"/>
      <c r="B970" s="16"/>
      <c r="C970" s="17"/>
      <c r="D970" s="17"/>
      <c r="F970" s="16"/>
      <c r="G970" s="16"/>
    </row>
    <row r="971" spans="1:7" ht="13.2">
      <c r="A971" s="16"/>
      <c r="B971" s="16"/>
      <c r="C971" s="17"/>
      <c r="D971" s="17"/>
      <c r="F971" s="16"/>
      <c r="G971" s="16"/>
    </row>
    <row r="972" spans="1:7" ht="13.2">
      <c r="A972" s="16"/>
      <c r="B972" s="16"/>
      <c r="C972" s="17"/>
      <c r="D972" s="17"/>
      <c r="F972" s="16"/>
      <c r="G972" s="16"/>
    </row>
    <row r="973" spans="1:7" ht="13.2">
      <c r="A973" s="16"/>
      <c r="B973" s="16"/>
      <c r="C973" s="17"/>
      <c r="D973" s="17"/>
      <c r="F973" s="16"/>
      <c r="G973" s="16"/>
    </row>
    <row r="974" spans="1:7" ht="13.2">
      <c r="A974" s="16"/>
      <c r="B974" s="16"/>
      <c r="C974" s="17"/>
      <c r="D974" s="17"/>
      <c r="F974" s="16"/>
      <c r="G974" s="16"/>
    </row>
    <row r="975" spans="1:7" ht="13.2">
      <c r="A975" s="16"/>
      <c r="B975" s="16"/>
      <c r="C975" s="17"/>
      <c r="D975" s="17"/>
      <c r="F975" s="16"/>
      <c r="G975" s="16"/>
    </row>
    <row r="976" spans="1:7" ht="13.2">
      <c r="A976" s="16"/>
      <c r="B976" s="16"/>
      <c r="C976" s="17"/>
      <c r="D976" s="17"/>
      <c r="F976" s="16"/>
      <c r="G976" s="16"/>
    </row>
    <row r="977" spans="1:7" ht="13.2">
      <c r="A977" s="16"/>
      <c r="B977" s="16"/>
      <c r="C977" s="17"/>
      <c r="D977" s="17"/>
      <c r="F977" s="16"/>
      <c r="G977" s="16"/>
    </row>
    <row r="978" spans="1:7" ht="13.2">
      <c r="A978" s="16"/>
      <c r="B978" s="16"/>
      <c r="C978" s="17"/>
      <c r="D978" s="17"/>
      <c r="F978" s="16"/>
      <c r="G978" s="16"/>
    </row>
    <row r="979" spans="1:7" ht="13.2">
      <c r="A979" s="16"/>
      <c r="B979" s="16"/>
      <c r="C979" s="17"/>
      <c r="D979" s="17"/>
      <c r="F979" s="16"/>
      <c r="G979" s="16"/>
    </row>
    <row r="980" spans="1:7" ht="13.2">
      <c r="A980" s="16"/>
      <c r="B980" s="16"/>
      <c r="C980" s="17"/>
      <c r="D980" s="17"/>
      <c r="F980" s="16"/>
      <c r="G980" s="16"/>
    </row>
    <row r="981" spans="1:7" ht="13.2">
      <c r="A981" s="16"/>
      <c r="B981" s="16"/>
      <c r="C981" s="17"/>
      <c r="D981" s="17"/>
      <c r="F981" s="16"/>
      <c r="G981" s="16"/>
    </row>
    <row r="982" spans="1:7" ht="13.2">
      <c r="A982" s="16"/>
      <c r="B982" s="16"/>
      <c r="C982" s="17"/>
      <c r="D982" s="17"/>
      <c r="F982" s="16"/>
      <c r="G982" s="16"/>
    </row>
    <row r="983" spans="1:7" ht="13.2">
      <c r="A983" s="16"/>
      <c r="B983" s="16"/>
      <c r="C983" s="17"/>
      <c r="D983" s="17"/>
      <c r="F983" s="16"/>
      <c r="G983" s="16"/>
    </row>
    <row r="984" spans="1:7" ht="13.2">
      <c r="A984" s="16"/>
      <c r="B984" s="16"/>
      <c r="C984" s="17"/>
      <c r="D984" s="17"/>
      <c r="F984" s="16"/>
      <c r="G984" s="16"/>
    </row>
    <row r="985" spans="1:7" ht="13.2">
      <c r="A985" s="16"/>
      <c r="B985" s="16"/>
      <c r="C985" s="17"/>
      <c r="D985" s="17"/>
      <c r="F985" s="16"/>
      <c r="G985" s="16"/>
    </row>
    <row r="986" spans="1:7" ht="13.2">
      <c r="A986" s="16"/>
      <c r="B986" s="16"/>
      <c r="C986" s="17"/>
      <c r="D986" s="17"/>
      <c r="F986" s="16"/>
      <c r="G986" s="16"/>
    </row>
    <row r="987" spans="1:7" ht="13.2">
      <c r="A987" s="16"/>
      <c r="B987" s="16"/>
      <c r="C987" s="17"/>
      <c r="D987" s="17"/>
      <c r="F987" s="16"/>
      <c r="G987" s="16"/>
    </row>
    <row r="988" spans="1:7" ht="13.2">
      <c r="A988" s="16"/>
      <c r="B988" s="16"/>
      <c r="C988" s="17"/>
      <c r="D988" s="17"/>
      <c r="F988" s="16"/>
      <c r="G988" s="16"/>
    </row>
    <row r="989" spans="1:7" ht="13.2">
      <c r="A989" s="16"/>
      <c r="B989" s="16"/>
      <c r="C989" s="17"/>
      <c r="D989" s="17"/>
      <c r="F989" s="16"/>
      <c r="G989" s="16"/>
    </row>
    <row r="990" spans="1:7" ht="13.2">
      <c r="A990" s="16"/>
      <c r="B990" s="16"/>
      <c r="C990" s="17"/>
      <c r="D990" s="17"/>
      <c r="F990" s="16"/>
      <c r="G990" s="16"/>
    </row>
    <row r="991" spans="1:7" ht="13.2">
      <c r="A991" s="16"/>
      <c r="B991" s="16"/>
      <c r="C991" s="17"/>
      <c r="D991" s="17"/>
      <c r="F991" s="16"/>
      <c r="G991" s="16"/>
    </row>
    <row r="992" spans="1:7" ht="13.2">
      <c r="A992" s="16"/>
      <c r="B992" s="16"/>
      <c r="C992" s="17"/>
      <c r="D992" s="17"/>
      <c r="F992" s="16"/>
      <c r="G992" s="16"/>
    </row>
    <row r="993" spans="1:7" ht="13.2">
      <c r="A993" s="16"/>
      <c r="B993" s="16"/>
      <c r="C993" s="17"/>
      <c r="D993" s="17"/>
      <c r="F993" s="16"/>
      <c r="G993" s="16"/>
    </row>
    <row r="994" spans="1:7" ht="13.2">
      <c r="A994" s="16"/>
      <c r="B994" s="16"/>
      <c r="C994" s="17"/>
      <c r="D994" s="17"/>
      <c r="F994" s="16"/>
      <c r="G994" s="16"/>
    </row>
    <row r="995" spans="1:7" ht="13.2">
      <c r="A995" s="16"/>
      <c r="B995" s="16"/>
      <c r="C995" s="17"/>
      <c r="D995" s="17"/>
      <c r="F995" s="16"/>
      <c r="G995" s="16"/>
    </row>
    <row r="996" spans="1:7" ht="13.2">
      <c r="A996" s="16"/>
      <c r="B996" s="16"/>
      <c r="C996" s="17"/>
      <c r="D996" s="17"/>
      <c r="F996" s="16"/>
      <c r="G996" s="16"/>
    </row>
    <row r="997" spans="1:7" ht="13.2">
      <c r="A997" s="16"/>
      <c r="B997" s="16"/>
      <c r="C997" s="17"/>
      <c r="D997" s="17"/>
      <c r="F997" s="16"/>
      <c r="G997" s="16"/>
    </row>
    <row r="998" spans="1:7" ht="13.2">
      <c r="A998" s="16"/>
      <c r="B998" s="16"/>
      <c r="C998" s="17"/>
      <c r="D998" s="17"/>
      <c r="F998" s="16"/>
      <c r="G998" s="16"/>
    </row>
    <row r="999" spans="1:7" ht="13.2">
      <c r="A999" s="16"/>
      <c r="B999" s="16"/>
      <c r="C999" s="17"/>
      <c r="D999" s="17"/>
      <c r="F999" s="16"/>
      <c r="G999" s="16"/>
    </row>
    <row r="1000" spans="1:7" ht="13.2">
      <c r="A1000" s="16"/>
      <c r="B1000" s="16"/>
      <c r="C1000" s="17"/>
      <c r="D1000" s="17"/>
      <c r="F1000" s="16"/>
      <c r="G1000" s="16"/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999"/>
  <sheetViews>
    <sheetView workbookViewId="0">
      <selection activeCell="I9" sqref="I9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18" t="s">
        <v>439</v>
      </c>
      <c r="B1" s="18" t="s">
        <v>440</v>
      </c>
      <c r="C1" s="29" t="s">
        <v>441</v>
      </c>
      <c r="D1" s="29" t="s">
        <v>442</v>
      </c>
      <c r="E1" s="30" t="s">
        <v>443</v>
      </c>
      <c r="F1" s="30" t="s">
        <v>444</v>
      </c>
      <c r="G1" s="31" t="s">
        <v>445</v>
      </c>
      <c r="H1" s="31" t="s">
        <v>446</v>
      </c>
      <c r="I1" s="32" t="s">
        <v>447</v>
      </c>
      <c r="J1" s="32" t="s">
        <v>448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5.75" customHeight="1">
      <c r="A2" s="19">
        <v>5</v>
      </c>
      <c r="B2" s="28" t="s">
        <v>474</v>
      </c>
      <c r="C2" s="33">
        <v>1</v>
      </c>
      <c r="D2" s="33">
        <v>1</v>
      </c>
      <c r="E2" s="33">
        <v>1</v>
      </c>
      <c r="F2" s="33">
        <v>0.86499999999999999</v>
      </c>
      <c r="G2" s="33">
        <v>0.86499999999999999</v>
      </c>
      <c r="H2" s="33">
        <v>0.73</v>
      </c>
      <c r="I2" s="33">
        <v>0.73</v>
      </c>
      <c r="J2" s="33"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/>
    <row r="5" spans="1:26" ht="15.75" customHeight="1">
      <c r="E5" s="17"/>
    </row>
    <row r="6" spans="1:26" ht="15.75" customHeight="1">
      <c r="E6" s="20"/>
    </row>
    <row r="7" spans="1:26" ht="15.75" customHeight="1">
      <c r="E7" s="20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 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2026-03-17T20:45:34Z</dcterms:created>
  <dcterms:modified xsi:type="dcterms:W3CDTF">2026-05-07T21:47:05Z</dcterms:modified>
</cp:coreProperties>
</file>